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Result" sheetId="1" r:id="rId4"/>
    <sheet state="visible" name="PeerSimilarity" sheetId="2" r:id="rId5"/>
    <sheet state="visible" name="temp" sheetId="3" r:id="rId6"/>
  </sheets>
  <definedNames/>
  <calcPr/>
  <extLst>
    <ext uri="GoogleSheetsCustomDataVersion2">
      <go:sheetsCustomData xmlns:go="http://customooxmlschemas.google.com/" r:id="rId7" roundtripDataChecksum="YWmQm3VU4GxjI/JXXo0H7EiAayyrJICMDRiTo0R2m/Q="/>
    </ext>
  </extLst>
</workbook>
</file>

<file path=xl/sharedStrings.xml><?xml version="1.0" encoding="utf-8"?>
<sst xmlns="http://schemas.openxmlformats.org/spreadsheetml/2006/main" count="17132" uniqueCount="2228">
  <si>
    <t>id</t>
  </si>
  <si>
    <t>consider</t>
  </si>
  <si>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</si>
  <si>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</si>
  <si>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</si>
  <si>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</si>
  <si>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</si>
  <si>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</si>
  <si>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</si>
  <si>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</si>
  <si>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</si>
  <si>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</si>
  <si>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</si>
  <si>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Edit Distance</t>
  </si>
  <si>
    <t>BodyEditDistance</t>
  </si>
  <si>
    <t>Selector</t>
  </si>
  <si>
    <t>Position Distance</t>
  </si>
  <si>
    <t>NoOfMethodsInFile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</si>
  <si>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</si>
  <si>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</si>
  <si>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</si>
  <si>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</si>
  <si>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</si>
  <si>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</si>
  <si>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</si>
  <si>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</si>
  <si>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</si>
  <si>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</si>
  <si>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</si>
  <si>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</si>
  <si>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</si>
  <si>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Comment outside testcase body</t>
  </si>
  <si>
    <t>comment inside testcase body</t>
  </si>
  <si>
    <t>test case name similarity</t>
  </si>
  <si>
    <t>semantic similarity</t>
  </si>
  <si>
    <t>variable name</t>
  </si>
  <si>
    <t>literal value</t>
  </si>
  <si>
    <t>constructor change</t>
  </si>
  <si>
    <t>source method change</t>
  </si>
  <si>
    <t>source method paramter</t>
  </si>
  <si>
    <t>assertion addition</t>
  </si>
  <si>
    <t>exception</t>
  </si>
  <si>
    <t>decision</t>
  </si>
  <si>
    <t>WHY</t>
  </si>
  <si>
    <t>yes</t>
  </si>
  <si>
    <t>org.apache.commons.validator.routines.EmailValidatorTest</t>
  </si>
  <si>
    <t>42ddee8c05780bcc4ee1f62ad6b01f7b73fdffa4</t>
  </si>
  <si>
    <t>147de68323c062cfba09c91a2a11e6c008105e5e</t>
  </si>
  <si>
    <t>testEmailExtension</t>
  </si>
  <si>
    <t>/**
 * Tests the e-mail validation.
 */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</t>
  </si>
  <si>
    <t>/**
 * Tests the e-mail validation.
 */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
/**
 * Write this test according to parts of RFC, as opposed to the type of character
 * that is being tested.
 *
 * &lt;p&gt;&lt;b&gt;FIXME&lt;/b&gt;: This test fails so disable it with a leading _ for 1.1.4 release.
 * The real solution is to fix the email parsing.
 */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}</t>
  </si>
  <si>
    <t>public void testEmailExtension() { assertTrue(validator.isValid("S")); assertTrue(validator.isValid("S")); assertTrue(validator.isValid("S")); assertTrue(validator.isValid("S")); assertFalse(validator.isValid("S")); assertFalse(validator.isValid("S")); assertTrue(validator.isValid("S")); assertFalse(validator.isValid("S")); }
public void testEmailUserName() {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assertFalse(validator.isValid("S")); assertFalse(validator.isValid("S")); assertFalse(validator.isValid("S")); assertTrue(validator.isValid("S")); assertFalse(validator.isValid("S")); assertFalse(validator.isValid("S")); assertFalse(validator.isValid("S")); assertFalse(validator.isValid("S")); assertFalse(validator.isValid("S")); assertFalse(validator.isValid("S"));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</si>
  <si>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</si>
  <si>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Write this test according to parts of RFC, as opposed to the type of character
 * that is being tested.
 *
 * &lt;p&gt;&lt;b&gt;FIXME&lt;/b&gt;: This test fails so disable it with a leading _ for 1.1.4 release.
 * The real solution is to fix the email parsing.
 */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}</t>
  </si>
  <si>
    <t>testEmailUserName</t>
  </si>
  <si>
    <t>EXT</t>
  </si>
  <si>
    <t/>
  </si>
  <si>
    <t>[]</t>
  </si>
  <si>
    <t>[org/apache/commons/validator/routines/EmailValidator.isValid]</t>
  </si>
  <si>
    <t>[CMN_COUNT_INC]</t>
  </si>
  <si>
    <t xml:space="preserve">Fix some failing e-mail tests (based on RFC 3696 section 3)
git-svn-id: https://svn.apache.org/repos/asf/commons/proper/validator/trunk@1094699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</si>
  <si>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src/test/java/org/apache/commons/validator/ValidatorTestSuite.java,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src/test/java/org/apache/commons/validator/routines/RoutinesTestSuite.java,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src/test/java/org/apache/commons/validator/routines/checkdigit/CheckDigitTestSuite.java,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</si>
  <si>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comment added</t>
  </si>
  <si>
    <t>no variable declaration</t>
  </si>
  <si>
    <t>changed</t>
  </si>
  <si>
    <t>no constructor</t>
  </si>
  <si>
    <t>common method increased</t>
  </si>
  <si>
    <t>no chnage</t>
  </si>
  <si>
    <t>similar assertion duplicated</t>
  </si>
  <si>
    <t>no exception handling</t>
  </si>
  <si>
    <t>bug resolve</t>
  </si>
  <si>
    <t>7d9d905705fb1e0a4d6ce10166c9019d0e1d2e14</t>
  </si>
  <si>
    <t>e127ae8ba3cc201f45408458b0d0f6fde1303dfc</t>
  </si>
  <si>
    <t>testEmailWithSpaces</t>
  </si>
  <si>
    <t>/**
 * Tests the email validation with spaces.
 */
public void testEmailWithSpaces() {
    // TODO - this should be valid?
    assertFalse(validator.isValid("joeblow @apache.org"));
    assertFalse(validator.isValid("joeblow@ apache.org"));
    // TODO - this should be valid?
    assertTrue(validator.isValid(" joeblow@apache.org"));
    assertTrue(validator.isValid("joeblow@apache.org "));
    assertFalse(validator.isValid("joe blow@apache.org "));
    assertFalse(validator.isValid("joeblow@apa che.org "));
}</t>
  </si>
  <si>
    <t>/**
 * Tests the email validation with spaces.
 */
public void testEmailWithSpaces() {
    // TODO - this should be valid?
    assertFalse(validator.isValid("joeblow @apache.org"));
    assertFalse(validator.isValid("joeblow@ apache.org"));
    // TODO - this should be valid?
    assertTrue(validator.isValid(" joeblow@apache.org"));
    assertTrue(validator.isValid("joeblow@apache.org "));
    assertFalse(validator.isValid("joe blow@apache.org "));
    assertFalse(validator.isValid("joeblow@apa che.org "));
}
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</si>
  <si>
    <t>public void testEmailWithSpaces() { assertFalse(validator.isValid("S")); assertFalse(validator.isValid("S")); assertTrue(validator.isValid("S")); assertTrue(validator.isValid("S")); assertFalse(validator.isValid("S")); assertFalse(validator.isValid("S")); }
public void testValidator293() { assertTrue(validator.isValid("S")); assertTrue(validator.isValid("S")); assertTrue(validator.isValid("S")); assertTrue(validator.isValid("S")); assertFalse(validator.isValid("S")); 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</si>
  <si>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</si>
  <si>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</si>
  <si>
    <t>testValidator293</t>
  </si>
  <si>
    <t>[CMN_COUNT_DEC]</t>
  </si>
  <si>
    <t xml:space="preserve">VALIDATOR-293 add tests for trailing - and _
git-svn-id: https://svn.apache.org/repos/asf/commons/proper/validator/trunk@1094721 13f79535-47bb-0310-9956-ffa450edef68
</t>
  </si>
  <si>
    <t>no comments</t>
  </si>
  <si>
    <t>comment removed</t>
  </si>
  <si>
    <t>common method decreased</t>
  </si>
  <si>
    <t>similar assertion reduced</t>
  </si>
  <si>
    <t>more test/coverage exploration</t>
  </si>
  <si>
    <t>no</t>
  </si>
  <si>
    <t>org.apache.commons.validator.routines.CodeValidatorTest</t>
  </si>
  <si>
    <t>ccb0bba48e88c4a66f2d8111437aa314df4fbad1</t>
  </si>
  <si>
    <t>b9a052ed7faa04ce82f837b80be8402b45968914</t>
  </si>
  <si>
    <t>testNoInput</t>
  </si>
  <si>
    <t>/**
 * Test Regular Expression.
 */
public void testNoInput() {
    CodeValidator validator = new CodeValidator((String) null, -1, -1, (CheckDigit) null);
    assertEquals("Null", null, validator.validate(null));
    assertEquals("Zero Length", null, validator.validate(""));
    assertEquals("Spaces", null, validator.validate("   "));
    assertEquals("Trimmed", "A", validator.validate(" A  "));
}</t>
  </si>
  <si>
    <t>/**
 * Test Regular Expression.
 */
public void testNoInput() {
    CodeValidator validator = new CodeValidator((String) null, -1, -1, (CheckDigit) null);
    assertEquals("Null", null, validator.validate(null));
    assertEquals("Zero Length", null, validator.validate(""));
    assertEquals("Spaces", null, validator.validate("   "));
    assertEquals("Trimmed", "A", validator.validate(" A  "));
}
public void testValidator294_1() {
    CodeValidator validator = new CodeValidator((String) null, 0, -1, (CheckDigit) null);
    assertEquals("Null", null, validator.validate(null));
    validator = new CodeValidator((String) null, -1, 0, (CheckDigit) null);
    assertEquals("Null", null, validator.validate(null));
}</t>
  </si>
  <si>
    <t>public void testNoInput() { CodeValidator validator = new CodeValidator((String) null, -0, -0, (CheckDigit) null); assertEquals("S", null, validator.validate(null)); assertEquals("S", null, validator.validate("S")); assertEquals("S", null, validator.validate("S")); assertEquals("S", "S", validator.validate("S")); }
public void testValidator294_1() { CodeValidator validator = new CodeValidator((String) null, 0, -0, (CheckDigit) null); assertEquals("S", null, validator.validate(null)); validator = new CodeValidator((String) null, -0, 0, (CheckDigit) null); assertEquals("S", null, validator.validate(null)); }</t>
  </si>
  <si>
    <t>[org/apache/commons/validator/routines/CodeValidator."&lt;init&gt;", org/apache/commons/validator/routines/CodeValidator.validate, org/apache/commons/validator/routines/CodeValidator.validate, org/apache/commons/validator/routines/CodeValidator.validate, org/apache/commons/validator/routines/CodeValidator.validate]
[org/apache/commons/validator/routines/CodeValidator."&lt;init&gt;", org/apache/commons/validator/routines/CodeValidator.validate, org/apache/commons/validator/routines/CodeValidator."&lt;init&gt;", org/apache/commons/validator/routines/CodeValidator.validate]</t>
  </si>
  <si>
    <t>public void testValidator294_1() {
    CodeValidator validator = new CodeValidator((String) null, 0, -1, (CheckDigit) null);
    assertEquals("Null", null, validator.validate(null));
    validator = new CodeValidator((String) null, -1, 0, (CheckDigit) null);
    assertEquals("Null", null, validator.validate(null));
}</t>
  </si>
  <si>
    <t>testValidator294_1</t>
  </si>
  <si>
    <t>[org/apache/commons/validator/routines/CodeValidator."&lt;init&gt;"]</t>
  </si>
  <si>
    <t>[org/apache/commons/validator/routines/CodeValidator.validate]</t>
  </si>
  <si>
    <t>[CMN_COUNT_INC, CMN_COUNT_DEC]</t>
  </si>
  <si>
    <t xml:space="preserve">VALIDATOR-294 NPE in CodeValidator.validate(null) if RE is null but min or max are not -1
git-svn-id: https://svn.apache.org/repos/asf/commons/proper/validator/trunk@1094799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</si>
  <si>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</si>
  <si>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exact same</t>
  </si>
  <si>
    <t>changed and similar</t>
  </si>
  <si>
    <t>no assertion addition</t>
  </si>
  <si>
    <t>same code block repeat</t>
  </si>
  <si>
    <t>bug resolve / regression test added</t>
  </si>
  <si>
    <t>/**
 * Test Regular Expression.
 */
public void testNoInput() {
    CodeValidator validator = new CodeValidator((String) null, -1, -1, (CheckDigit) null);
    assertEquals("Null", null, validator.validate(null));
    assertEquals("Zero Length", null, validator.validate(""));
    assertEquals("Spaces", null, validator.validate("   "));
    assertEquals("Trimmed", "A", validator.validate(" A  "));
}
public void testValidator294_2() {
    CodeValidator validator = new CodeValidator((String) null, -1, 0, (CheckDigit) null);
    assertEquals("Null", null, validator.validate(null));
}</t>
  </si>
  <si>
    <t>public void testNoInput() { CodeValidator validator = new CodeValidator((String) null, -0, -0, (CheckDigit) null); assertEquals("S", null, validator.validate(null)); assertEquals("S", null, validator.validate("S")); assertEquals("S", null, validator.validate("S")); assertEquals("S", "S", validator.validate("S")); }
public void testValidator294_2() { CodeValidator validator = new CodeValidator((String) null, -0, 0, (CheckDigit) null); assertEquals("S", null, validator.validate(null)); }</t>
  </si>
  <si>
    <t>[org/apache/commons/validator/routines/CodeValidator."&lt;init&gt;", org/apache/commons/validator/routines/CodeValidator.validate, org/apache/commons/validator/routines/CodeValidator.validate, org/apache/commons/validator/routines/CodeValidator.validate, org/apache/commons/validator/routines/CodeValidator.validate]
[org/apache/commons/validator/routines/CodeValidator."&lt;init&gt;", org/apache/commons/validator/routines/CodeValidator.validate]</t>
  </si>
  <si>
    <t>public void testValidator294_2() {
    CodeValidator validator = new CodeValidator((String) null, -1, 0, (CheckDigit) null);
    assertEquals("Null", null, validator.validate(null));
}</t>
  </si>
  <si>
    <t>testValidator294_2</t>
  </si>
  <si>
    <t>similar</t>
  </si>
  <si>
    <t>org.apache.commons.validator.EmailTest</t>
  </si>
  <si>
    <t>99416b6ad6f1e0eb7f880110242cf7f56cfb8cfe</t>
  </si>
  <si>
    <t>ec733f8435430670f0226649e25750f80a9c08c2</t>
  </si>
  <si>
    <t>testEmailWithNumericAddress</t>
  </si>
  <si>
    <t>/**
 * Tests the email validation with numeric domains.
 */
public void testEmailWithNumericAddress() throws ValidatorException {
    ValueBean info = new ValueBean();
    info.setValue("someone@[216.109.118.76]");
    valueTest(info, true);
    info.setValue("someone@yahoo.com");
    valueTest(info, true);
}</t>
  </si>
  <si>
    <t>/**
 * Tests the email validation with numeric domains.
 */
public void testEmailWithNumericAddress() throws ValidatorException {
    ValueBean info = new ValueBean();
    info.setValue("someone@[216.109.118.76]");
    valueTest(info, true);
    info.setValue("someone@yahoo.com");
    valueTest(info, true);
}
/**
 * Test that @localhost and @localhost.localdomain
 *  addresses aren't declared valid by default
 */
public void testEmailLocalhost() throws ValidatorException {
    ValueBean info = new ValueBean();
    info.setValue("joe@localhost");
    valueTest(info, false);
    info.setValue("joe@localhost.localdomain");
    valueTest(info, false);
}</t>
  </si>
  <si>
    <t>public void testEmailWithNumericAddress() throws ValidatorException { ValueBean info = new ValueBean(); info.setValue("S"); valueTest(info, false); info.setValue("S"); valueTest(info, false); }
public void testEmailLocalhost() throws ValidatorException { ValueBean info = new ValueBean(); info.setValue("S"); valueTest(info, false); info.setValue("S"); valueTest(info, false); }</t>
  </si>
  <si>
    <t>[org/apache/commons/validator/ValueBean."&lt;init&gt;", org/apache/commons/validator/ValueBean.setValue, .valueTest, org/apache/commons/validator/ValueBean.setValue, .valueTest]
[org/apache/commons/validator/ValueBean."&lt;init&gt;", org/apache/commons/validator/ValueBean.setValue, .valueTest, org/apache/commons/validator/ValueBean.setValue, .valueTest]</t>
  </si>
  <si>
    <t>/**
 * Test that @localhost and @localhost.localdomain
 *  addresses aren't declared valid by default
 */
public void testEmailLocalhost() throws ValidatorException {
    ValueBean info = new ValueBean();
    info.setValue("joe@localhost");
    valueTest(info, false);
    info.setValue("joe@localhost.localdomain");
    valueTest(info, false);
}</t>
  </si>
  <si>
    <t>testEmailLocalhost</t>
  </si>
  <si>
    <t>[IDEN, ORD_SAME]</t>
  </si>
  <si>
    <t xml:space="preserve">VALIDATOR-292 - Allow the Email and Domain validators to optionally accept local host names
git-svn-id: https://svn.apache.org/repos/asf/commons/proper/validator/trunk@1128342 13f79535-47bb-0310-9956-ffa450edef68
</t>
  </si>
  <si>
    <t>comments updated</t>
  </si>
  <si>
    <t>same constructor</t>
  </si>
  <si>
    <t>identical</t>
  </si>
  <si>
    <t>no exception change</t>
  </si>
  <si>
    <t>feature enhancement</t>
  </si>
  <si>
    <t>org.apache.commons.validator.routines.UrlValidatorTest</t>
  </si>
  <si>
    <t>e11175271927a538f6374385e9129146eff20675</t>
  </si>
  <si>
    <t>4b48efeb62f9fad4450e304c8243609340b3d399</t>
  </si>
  <si>
    <t>testValidator202</t>
  </si>
  <si>
    <t>public void testValidator202() {
    String[] schemes = { "http", "https" };
    UrlValidator urlValidator = new UrlValidator(schemes, UrlValidator.NO_FRAGMENTS);
    assertTrue(urlValidator.isValid("http://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org"));
}</t>
  </si>
  <si>
    <t>public void testValidator202() {
    String[] schemes = { "http", "https" };
    UrlValidator urlValidator = new UrlValidator(schemes, UrlValidator.NO_FRAGMENTS);
    assertTrue(urlValidator.isValid("http://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org"));
}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</t>
  </si>
  <si>
    <t>public void testValidator202() { String[] schemes = { "S", "S" }; UrlValidator urlValidator = new UrlValidator(schemes, UrlValidator.NO_FRAGMENTS); assertTrue(urlValidator.isValid("S")); }
public void testValidator288() { UrlValidator validator = new UrlValidator(UrlValidator.ALLOW_LOCAL_URLS); assertTrue("S", validator.isValid("S")); assertTrue("S", validator.isValid("S")); assertTrue("S", validator.isValid("S")); assertFalse("S", validator.isValid("S")); assertFalse("S", validator.isValid("S")); assertTrue("S", validator.isValid("S")); validator = new UrlValidator(0); assertFalse("S", validator.isValid("S")); assertFalse("S", validator.isValid("S")); assertTrue("S", validator.isValid("S")); 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</si>
  <si>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</si>
  <si>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</t>
  </si>
  <si>
    <t>testValidator288</t>
  </si>
  <si>
    <t>[org/apache/commons/validator/routines/UrlValidator."&lt;init&gt;", org/apache/commons/validator/routines/UrlValidator.isValid]</t>
  </si>
  <si>
    <t xml:space="preserve">VALIDATOR-288 - Add a new option ALLOW_LOCAL_URLS to UrlValidator, which if enabled requests the domain validator accept local names. When set, allows http://localhost/ and http://machinename/ to validate (not allowed if the option is unset)
git-svn-id: https://svn.apache.org/repos/asf/commons/proper/validator/trunk@1128396 13f79535-47bb-0310-9956-ffa450edef68
</t>
  </si>
  <si>
    <t>constructor parameters changed in count</t>
  </si>
  <si>
    <t>b9f179c29e965eb4e9bf15acb86d56c8d4b51088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</si>
  <si>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</t>
  </si>
  <si>
    <t>public void testValidator288() { UrlValidator validator = new UrlValidator(UrlValidator.ALLOW_LOCAL_URLS); assertTrue("S", validator.isValid("S")); assertTrue("S", validator.isValid("S")); assertTrue("S", validator.isValid("S")); assertFalse("S", validator.isValid("S")); assertFalse("S", validator.isValid("S")); assertTrue("S", validator.isValid("S")); validator = new UrlValidator(0); assertFalse("S", validator.isValid("S")); assertFalse("S", validator.isValid("S")); assertTrue("S", validator.isValid("S")); }
public void testValidator276() { UrlValidator validator = new UrlValidator(); assertTrue("S", validator.isValid("S")); assertFalse("S", validator.isValid("S")); assertFalse("S", validator.isValid("S")); assertFalse("S", validator.isValid("S")); assertFalse("S", validator.isValid("S")); assertFalse("S", validator.isValid("S")); validator = new UrlValidator(new String[] { "S", "S" }, UrlValidator.ALLOW_LOCAL_URLS); assertTrue("S", validator.isValid("S")); assertTrue("S", validator.isValid("S")); assertFalse("S", validator.isValid("S")); assertTrue("S", validator.isValid("S")); assertTrue("S", validator.isValid("S")); assertTrue("S", validator.isValid("S")); assertFalse("S", validator.isValid("S")); assertFalse("S", 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</si>
  <si>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</si>
  <si>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</t>
  </si>
  <si>
    <t>testValidator276</t>
  </si>
  <si>
    <t>[org/apache/commons/validator/routines/UrlValidator.isValid]</t>
  </si>
  <si>
    <t xml:space="preserve">VALIDATOR-276 - Allow file:///foo/bar.txt and file://localhost/foo/bar.txt urls to correctly url validate
git-svn-id: https://svn.apache.org/repos/asf/commons/proper/validator/trunk@1128446 13f79535-47bb-0310-9956-ffa450edef68
</t>
  </si>
  <si>
    <t>comments changed</t>
  </si>
  <si>
    <t>org.apache.commons.validator.routines.DomainValidatorTest</t>
  </si>
  <si>
    <t>b20037323ca34f2c33d47f0a318e1e89534274f7</t>
  </si>
  <si>
    <t>29db3b8d20363eddc3d63138eb4c171a38026a08</t>
  </si>
  <si>
    <t>testValidDomains</t>
  </si>
  <si>
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</t>
  </si>
  <si>
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
public void testIDN() {
    assertTrue("bücher.ch in IDN should validate", validator.isValid("www.xn--bcher-kva.ch"));
}</t>
  </si>
  <si>
    <t>public void testValidDomains() {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}
public void testIDN() { assertTrue("S", validator.isValid("S")); }</t>
  </si>
  <si>
    <t>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[org/apache/commons/validator/routines/DomainValidator.isValid]</t>
  </si>
  <si>
    <t>public void testIDN() {
    assertTrue("bücher.ch in IDN should validate", validator.isValid("www.xn--bcher-kva.ch"));
}</t>
  </si>
  <si>
    <t>testIDN</t>
  </si>
  <si>
    <t>[org/apache/commons/validator/routines/DomainValidator.isValid]</t>
  </si>
  <si>
    <t xml:space="preserve">VALIDATOR-290 - Initial test for validating an IDN domain
git-svn-id: https://svn.apache.org/repos/asf/commons/proper/validator/trunk@1128448 13f79535-47bb-0310-9956-ffa450edef68
</t>
  </si>
  <si>
    <t>0b3497b7d2dd22f8402bca82dd56b49f0724f367</t>
  </si>
  <si>
    <t>0456e7a94e139a104f3190e41372511dc82538a5</t>
  </si>
  <si>
    <t>testEmailWithCommas</t>
  </si>
  <si>
    <t>/**
 * Tests the email validation with commas.
 */
public void testEmailWithCommas() {
    assertFalse(validator.isValid("joeblow@apa,che.org"));
    assertFalse(validator.isValid("joeblow@apache.o,rg"));
    assertFalse(validator.isValid("joeblow@apache,org"));
}</t>
  </si>
  <si>
    <t>/**
 * Tests the email validation with commas.
 */
public void testEmailWithCommas() {
    assertFalse(validator.isValid("joeblow@apa,che.org"));
    assertFalse(validator.isValid("joeblow@apache.o,rg"));
    assertFalse(validator.isValid("joeblow@apache,org"));
}
/**
 * VALIDATOR-296 - A / or a ! is valid in the user part,
 *  but not in the domain part
 */
public void testEmailWithSlashes() {
    assertTrue("/ and ! valid in username", validator.isValid("joe!/blow@apache.org"));
    assertFalse("/ not valid in domain", validator.isValid("joe@ap/ache.org"));
    assertFalse("! not valid in domain", validator.isValid("joe@apac!he.org"));
}</t>
  </si>
  <si>
    <t>public void testEmailWithCommas() { assertFalse(validator.isValid("S")); assertFalse(validator.isValid("S")); assertFalse(validator.isValid("S")); }
public void testEmailWithSlashes() { assertTrue("S", validator.isValid("S")); assertFalse("S", validator.isValid("S")); assertFalse("S", validator.isValid("S")); }</t>
  </si>
  <si>
    <t>[org/apache/commons/validator/routines/EmailValidator.isValid,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org/apache/commons/validator/routines/EmailValidator.isValid]</t>
  </si>
  <si>
    <t>/**
 * VALIDATOR-296 - A / or a ! is valid in the user part,
 *  but not in the domain part
 */
public void testEmailWithSlashes() {
    assertTrue("/ and ! valid in username", validator.isValid("joe!/blow@apache.org"));
    assertFalse("/ not valid in domain", validator.isValid("joe@ap/ache.org"));
    assertFalse("! not valid in domain", validator.isValid("joe@apac!he.org"));
}</t>
  </si>
  <si>
    <t>testEmailWithSlashes</t>
  </si>
  <si>
    <t xml:space="preserve">Unit tests for VALIDATOR-296 - / and ! in domain part of emails
git-svn-id: https://svn.apache.org/repos/asf/commons/proper/validator/trunk@1207110 13f79535-47bb-0310-9956-ffa450edef68
</t>
  </si>
  <si>
    <t>7ff07e7799577aecaae22e8a5a9346707e676e3e</t>
  </si>
  <si>
    <t>testEmail</t>
  </si>
  <si>
    <t>/**
 * Tests the e-mail validation.
 */
public void testEmail() throws ValidatorException {
    // Create bean to run test on.
    ValueBean info = new ValueBean();
    info.setValue("jsmith@apache.org");
    valueTest(info, true);
}</t>
  </si>
  <si>
    <t>/**
 * Tests the e-mail validation.
 */
public void testEmail() throws ValidatorException {
    // Create bean to run test on.
    ValueBean info = new ValueBean();
    info.setValue("jsmith@apache.org");
    valueTest(info, true);
}
/**
 * Tests the e-mail validation with a user at a TLD
 */
public void testEmailAtTLD() throws ValidatorException {
    // Create bean to run test on.
    ValueBean info = new ValueBean();
    info.setValue("m@de");
    valueTest(info, true);
}</t>
  </si>
  <si>
    <t>public void testEmail() throws ValidatorException { ValueBean info = new ValueBean(); info.setValue("S"); valueTest(info, false); }
public void testEmailAtTLD() throws ValidatorException { ValueBean info = new ValueBean(); info.setValue("S"); valueTest(info, false); }</t>
  </si>
  <si>
    <t>[org/apache/commons/validator/ValueBean."&lt;init&gt;", org/apache/commons/validator/ValueBean.setValue, .valueTest]
[org/apache/commons/validator/ValueBean."&lt;init&gt;", org/apache/commons/validator/ValueBean.setValue, .valueTest]</t>
  </si>
  <si>
    <t>/**
 * Tests the e-mail validation with a user at a TLD
 */
public void testEmailAtTLD() throws ValidatorException {
    // Create bean to run test on.
    ValueBean info = new ValueBean();
    info.setValue("m@de");
    valueTest(info, true);
}</t>
  </si>
  <si>
    <t>testEmailAtTLD</t>
  </si>
  <si>
    <t xml:space="preserve">VALIDATOR-273: EmailValidator does not support mailboxes at TLDs. Thanks to Chris Lee
git-svn-id: https://svn.apache.org/repos/asf/commons/proper/validator/trunk@1608584 13f79535-47bb-0310-9956-ffa450edef68
</t>
  </si>
  <si>
    <t>comments same and updated</t>
  </si>
  <si>
    <t>comments same</t>
  </si>
  <si>
    <t>exception handling added</t>
  </si>
  <si>
    <t>org.apache.commons.validator.routines.InetAddressValidatorTest</t>
  </si>
  <si>
    <t>e8b35df457ba86106f8a86e6b0292f6da292b5f7</t>
  </si>
  <si>
    <t>c6e75535b2f622a82ece6831d08b02a4054f3a37</t>
  </si>
  <si>
    <t>testReservedInetAddresses</t>
  </si>
  <si>
    <t>/**
 * Test reserved IPs.
 */
public void testReservedInetAddresses() {
    assertTrue("localhost IP should be valid", validator.isValid("127.0.0.1"));
    assertTrue("broadcast IP should be valid", validator.isValid("255.255.255.255"));
}</t>
  </si>
  <si>
    <t>/**
 * Test reserved IPs.
 */
public void testReservedInetAddresses() {
    assertTrue("localhost IP should be valid", validator.isValid("127.0.0.1"));
    assertTrue("broadcast IP should be valid", validator.isValid("255.255.255.255"));
}
public void testVALIDATOR_335() {
    assertTrue("2001:0438:FFFE:0000:0000:0000:0000:0A35 should be valid", validator.isValid("2001:0438:FFFE:0000:0000:0000:0000:0A35"));
}</t>
  </si>
  <si>
    <t>public void testReservedInetAddresses() { assertTrue("S", validator.isValid("S")); assertTrue("S", validator.isValid("S")); }
public void testVALIDATOR_335() { assertTrue("S", validator.isValid("S")); }</t>
  </si>
  <si>
    <t>[org/apache/commons/validator/routines/InetAddressValidator.isValid, org/apache/commons/validator/routines/InetAddressValidator.isValid]
[org/apache/commons/validator/routines/InetAddressValidator.isValid]</t>
  </si>
  <si>
    <t>public void testVALIDATOR_335() {
    assertTrue("2001:0438:FFFE:0000:0000:0000:0000:0A35 should be valid", validator.isValid("2001:0438:FFFE:0000:0000:0000:0000:0A35"));
}</t>
  </si>
  <si>
    <t>testVALIDATOR_335</t>
  </si>
  <si>
    <t>[org/apache/commons/validator/routines/InetAddressValidator.isValid]</t>
  </si>
  <si>
    <t xml:space="preserve">Add test for validator-335
git-svn-id: https://svn.apache.org/repos/asf/commons/proper/validator/trunk@1649163 13f79535-47bb-0310-9956-ffa450edef68
</t>
  </si>
  <si>
    <t>848f7c0f88f2d92cd8d2f63404f2564a1bd7697c</t>
  </si>
  <si>
    <t>/**
 * Tests the email validation with numeric domains.
 */
public void testEmailWithNumericAddress() {
    assertTrue(validator.isValid("someone@[216.109.118.76]"));
    assertTrue(validator.isValid("someone@yahoo.com"));
}</t>
  </si>
  <si>
    <t>/**
 * Tests the email validation with numeric domains.
 */
public void testEmailWithNumericAddress() {
    assertTrue(validator.isValid("someone@[216.109.118.76]"));
    assertTrue(validator.isValid("someone@yahoo.com"));
}
public void testVALIDATOR_315() {
    assertFalse(validator.isValid("me@at&amp;t.net"));
    // Make sure TLD is not the cause of the failure
    assertTrue(validator.isValid("me@att.net"));
}</t>
  </si>
  <si>
    <t>public void testEmailWithNumericAddress() { assertTrue(validator.isValid("S")); assertTrue(validator.isValid("S")); }
public void testVALIDATOR_315() { assertFalse(validator.isValid("S")); assertTrue(validator.isValid("S")); }</t>
  </si>
  <si>
    <t>[org/apache/commons/validator/routines/EmailValidator.isValid, org/apache/commons/validator/routines/EmailValidator.isValid]
[org/apache/commons/validator/routines/EmailValidator.isValid, org/apache/commons/validator/routines/EmailValidator.isValid]</t>
  </si>
  <si>
    <t>public void testVALIDATOR_315() {
    assertFalse(validator.isValid("me@at&amp;t.net"));
    // Make sure TLD is not the cause of the failure
    assertTrue(validator.isValid("me@att.net"));
}</t>
  </si>
  <si>
    <t>testVALIDATOR_315</t>
  </si>
  <si>
    <t xml:space="preserve">VALIDATOR-315 - Email validator does not properly validate symbolic domain names
Add test to show it has been fixed
git-svn-id: https://svn.apache.org/repos/asf/commons/proper/validator/trunk@1649170 13f79535-47bb-0310-9956-ffa450edef68
</t>
  </si>
  <si>
    <t>e112f14bd993510c1a6539d9c9a9864a03060f48</t>
  </si>
  <si>
    <t>d9131bc0765ea5636cae044caab52af19483d222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</si>
  <si>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</si>
  <si>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public void testValidator288() { UrlValidator validator = new UrlValidator(UrlValidator.ALLOW_LOCAL_URLS); assertTrue("S", validator.isValid("S")); assertTrue("S", validator.isValid("S")); assertTrue("S", validator.isValid("S")); assertFalse("S", validator.isValid("S")); assertFalse("S", validator.isValid("S")); assertTrue("S", validator.isValid("S")); validator = new UrlValidator(0); assertFalse("S", validator.isValid("S")); assertFalse("S", validator.isValid("S")); assertTrue("S", validator.isValid("S")); }
public void testValidator309() { UrlValidator urlValidator = new UrlValidator(); assertTrue(urlValidator.isValid("S")); assertTrue(urlValidator.isValid("S")); assertTrue(urlValidator.isValid("S")); urlValidator = new UrlValidator(new String[] { "S", "S" }); assertTrue(urlValidator.isValid("S")); assertTrue(urlValidator.isValid("S")); assertTrue(urlValidator.isValid("S"));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</si>
  <si>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</si>
  <si>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</si>
  <si>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testValidator309</t>
  </si>
  <si>
    <t xml:space="preserve">VALIDATOR-309 - UrlValidator does not validate uppercase URL schemes
git-svn-id: https://svn.apache.org/repos/asf/commons/proper/validator/trunk@1649183 13f79535-47bb-0310-9956-ffa450edef68
</t>
  </si>
  <si>
    <t>57d42df6e345a83a8b647a279ef23503530077de</t>
  </si>
  <si>
    <t>dc9fb15e7f12ced397fb3bb34f29af7ed7cb5704</t>
  </si>
  <si>
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
// RFC2396: domainlabel   = alphanum | alphanum *( alphanum | "-" ) alphanum
public void testRFC2396domainlabel() {
    assertTrue("a.ch should validate", validator.isValid("a.ch"));
    assertTrue("9.ch should validate", validator.isValid("9.ch"));
    assertTrue("az.ch should validate", validator.isValid("az.ch"));
    assertTrue("09.ch should validate", validator.isValid("09.ch"));
    assertTrue("9-1.ch should validate", validator.isValid("9-1.ch"));
    assertFalse("91-.ch should not validate", validator.isValid("91-.ch"));
    assertFalse("-.ch should not validate", validator.isValid("-.ch"));
}</t>
  </si>
  <si>
    <t>public void testValidDomains() {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}
public void testRFC2396domainlabel() { assertTrue("S", validator.isValid("S")); assertTrue("S", validator.isValid("S")); assertTrue("S", validator.isValid("S")); assertTrue("S", validator.isValid("S")); assertTrue("S", validator.isValid("S")); assertFalse("S", validator.isValid("S")); assertFalse("S", validator.isValid("S")); }</t>
  </si>
  <si>
    <t>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</t>
  </si>
  <si>
    <t>// RFC2396: domainlabel   = alphanum | alphanum *( alphanum | "-" ) alphanum
public void testRFC2396domainlabel() {
    assertTrue("a.ch should validate", validator.isValid("a.ch"));
    assertTrue("9.ch should validate", validator.isValid("9.ch"));
    assertTrue("az.ch should validate", validator.isValid("az.ch"));
    assertTrue("09.ch should validate", validator.isValid("09.ch"));
    assertTrue("9-1.ch should validate", validator.isValid("9-1.ch"));
    assertFalse("91-.ch should not validate", validator.isValid("91-.ch"));
    assertFalse("-.ch should not validate", validator.isValid("-.ch"));
}</t>
  </si>
  <si>
    <t>testRFC2396domainlabel</t>
  </si>
  <si>
    <t xml:space="preserve">VALIDATOR-297 - Punycode url is not valid. Top-level domain regex matching was wrong;
                e.g. it did not allow embedded "-" as per RFC2396
git-svn-id: https://svn.apache.org/repos/asf/commons/proper/validator/trunk@1649251 13f79535-47bb-0310-9956-ffa450edef68
</t>
  </si>
  <si>
    <t>public void testIDN() {
    assertTrue("b\u00fccher.ch in IDN should validate", validator.isValid("www.xn--bcher-kva.ch"));
}</t>
  </si>
  <si>
    <t>public void testIDN() {
    assertTrue("b\u00fccher.ch in IDN should validate", validator.isValid("www.xn--bcher-kva.ch"));
}
public void testValidator297() {
    // This uses a valid TLD
    assertTrue("xn--d1abbgf6aiiy.xn--p1ai should validate", validator.isValid("xn--d1abbgf6aiiy.xn--p1ai"));
}</t>
  </si>
  <si>
    <t>public void testIDN() { assertTrue("S", validator.isValid("S")); }
public void testValidator297() { assertTrue("S", validator.isValid("S")); }</t>
  </si>
  <si>
    <t>[org/apache/commons/validator/routines/DomainValidator.isValid]
[org/apache/commons/validator/routines/DomainValidator.isValid]</t>
  </si>
  <si>
    <t>public void testValidator297() {
    // This uses a valid TLD
    assertTrue("xn--d1abbgf6aiiy.xn--p1ai should validate", validator.isValid("xn--d1abbgf6aiiy.xn--p1ai"));
}</t>
  </si>
  <si>
    <t>testValidator297</t>
  </si>
  <si>
    <t>27ee44fb05078102402c2b7be6ab7864063dccf6</t>
  </si>
  <si>
    <t>e4953ac9ebc3d74af4c6e4e5f4d03a828c30ad44</t>
  </si>
  <si>
    <t>public void testVALIDATOR_315() {
    assertFalse(validator.isValid("me@at&amp;t.net"));
    // Make sure TLD is not the cause of the failure
    assertTrue(validator.isValid("me@att.net"));
}
public void testVALIDATOR_278() {
    // hostname starts with dash/hyphen
    assertFalse(validator.isValid("someone@-test.com"));
    // hostname ends with dash/hyphen
    assertFalse(validator.isValid("someone@test-.com"));
}</t>
  </si>
  <si>
    <t>public void testVALIDATOR_315() { assertFalse(validator.isValid("S")); assertTrue(validator.isValid("S")); }
public void testVALIDATOR_278() { assertFalse(validator.isValid("S")); assertFalse(validator.isValid("S")); }</t>
  </si>
  <si>
    <t>public void testVALIDATOR_278() {
    // hostname starts with dash/hyphen
    assertFalse(validator.isValid("someone@-test.com"));
    // hostname ends with dash/hyphen
    assertFalse(validator.isValid("someone@test-.com"));
}</t>
  </si>
  <si>
    <t>testVALIDATOR_278</t>
  </si>
  <si>
    <t xml:space="preserve">VALIDATOR-278 - EmailValidator approves email addresses with hostnames starting with a dash/hyphen
Fixed previously - added test to prove it
git-svn-id: https://svn.apache.org/repos/asf/commons/proper/validator/trunk@1649289 13f79535-47bb-0310-9956-ffa450edef68
</t>
  </si>
  <si>
    <t>701e88856da1223a34eb6ad7fd133e0e0644c4fa</t>
  </si>
  <si>
    <t>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</si>
  <si>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public void testValidator276() { UrlValidator validator = new UrlValidator(); assertTrue("S", validator.isValid("S")); assertFalse("S", validator.isValid("S")); assertFalse("S", validator.isValid("S")); assertFalse("S", validator.isValid("S")); assertFalse("S", validator.isValid("S")); assertFalse("S", validator.isValid("S")); validator = new UrlValidator(new String[] { "S", "S" }, UrlValidator.ALLOW_LOCAL_URLS); assertTrue("S", validator.isValid("S")); assertTrue("S", validator.isValid("S")); assertFalse("S", validator.isValid("S")); assertTrue("S", validator.isValid("S")); assertTrue("S", validator.isValid("S")); assertTrue("S", validator.isValid("S")); assertFalse("S", validator.isValid("S")); assertFalse("S", validator.isValid("S")); }
public void testValidator290() { UrlValidator validator = new UrlValidator();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</si>
  <si>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</si>
  <si>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</si>
  <si>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testValidator290</t>
  </si>
  <si>
    <t>[org/apache/commons/validator/routines/UrlValidator."&lt;init&gt;"]</t>
  </si>
  <si>
    <t xml:space="preserve">VALIDATOR-290 - Create new url validation using rfc3986 and IDN - added new test
git-svn-id: https://svn.apache.org/repos/asf/commons/proper/validator/trunk@1649428 13f79535-47bb-0310-9956-ffa450edef68
</t>
  </si>
  <si>
    <t>method deleted | common method increased</t>
  </si>
  <si>
    <t>variable updated with overloaded constructor, but removed</t>
  </si>
  <si>
    <t>222bb7c86571971626f6eab3adf9c13fc4155dfc</t>
  </si>
  <si>
    <t>0aa433359c222fb8e0e5a4f77bd67fc1cbeaa21b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</si>
  <si>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</si>
  <si>
    <t>public void testValidator309() { UrlValidator urlValidator = new UrlValidator(); assertTrue(urlValidator.isValid("S")); assertTrue(urlValidator.isValid("S")); assertTrue(urlValidator.isValid("S")); urlValidator = new UrlValidator(new String[] { "S", "S" }); assertTrue(urlValidator.isValid("S")); assertTrue(urlValidator.isValid("S")); assertTrue(urlValidator.isValid("S")); }
public void testValidator339() { UrlValidator urlValidator = new UrlValidator(); assertTrue(urlValidator.isValid("S")); assertTrue(urlValidator.isValid("S")); assertFalse(urlValidator.isValid("S")); assertFalse(urlValidator.isValid("S")); assertFalse(urlValidator.isValid("S"));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</si>
  <si>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</si>
  <si>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</si>
  <si>
    <t>testValidator339</t>
  </si>
  <si>
    <t xml:space="preserve">VALIDATOR-339 - URLValidator fails validating domain names with a trailing period, which are valid.
git-svn-id: https://svn.apache.org/repos/asf/commons/proper/validator/trunk@1649450 13f79535-47bb-0310-9956-ffa450edef68
</t>
  </si>
  <si>
    <t>c8ea3317aa538e623ba219719dee1d860023893e</t>
  </si>
  <si>
    <t>6f9df09337f9a7f07c2dc689b763cc033d613587</t>
  </si>
  <si>
    <t>testValidator218</t>
  </si>
  <si>
    <t>public void testValidator218() {
    UrlValidator validator = new UrlValidator(UrlValidator.ALLOW_2_SLASHES);
    assertTrue("parentheses should be valid in URLs", validator.isValid("http://somewhere.com/pathxyz/file(1).html"));
}</t>
  </si>
  <si>
    <t>public void testValidator218() {
    UrlValidator validator = new UrlValidator(UrlValidator.ALLOW_2_SLASHES);
    assertTrue("parentheses should be valid in URLs", validator.isValid("http://somewhere.com/pathxyz/file(1).html"));
}
public void testValidator342() {
    UrlValidator urlValidator = new UrlValidator();
    assertTrue(urlValidator.isValid("http://example.rocks/"));
    assertTrue(urlValidator.isValid("http://example.rocks"));
}</t>
  </si>
  <si>
    <t>public void testValidator218() { UrlValidator validator = new UrlValidator(UrlValidator.ALLOW_2_SLASHES); assertTrue("S", validator.isValid("S")); }
public void testValidator342() { UrlValidator urlValidator = new UrlValidator(); assertTrue(urlValidator.isValid("S")); assertTrue(urlValidator.isValid("S")); 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</si>
  <si>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org/apache/commons/validator/routines/UrlValidator.isValid]</t>
  </si>
  <si>
    <t>public void testValidator342() {
    UrlValidator urlValidator = new UrlValidator();
    assertTrue(urlValidator.isValid("http://example.rocks/"));
    assertTrue(urlValidator.isValid("http://example.rocks"));
}</t>
  </si>
  <si>
    <t>testValidator342</t>
  </si>
  <si>
    <t xml:space="preserve">VALIDATOR-342 - URLValidator returns false for http://example.rocks
git-svn-id: https://svn.apache.org/repos/asf/commons/proper/validator/trunk@1649975 13f79535-47bb-0310-9956-ffa450edef68
</t>
  </si>
  <si>
    <t>similar assertion added</t>
  </si>
  <si>
    <t>f6ecda192c94f5ed4b4859ad041b8ecc775f874d</t>
  </si>
  <si>
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</si>
  <si>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public void testValidator339() { UrlValidator urlValidator = new UrlValidator(); assertTrue(urlValidator.isValid("S")); assertTrue(urlValidator.isValid("S")); assertFalse(urlValidator.isValid("S")); assertFalse(urlValidator.isValid("S")); assertFalse(urlValidator.isValid("S")); }
public void testValidator339IDN() { UrlValidator urlValidator = new UrlValidator(); assertTrue(urlValidator.isValid("S")); assertTrue(urlValidator.isValid("S")); assertFalse(urlValidator.isValid("S")); assertFalse(urlValidator.isValid("S")); assertFalse(urlValidator.isValid("S"));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</si>
  <si>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</si>
  <si>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</si>
  <si>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testValidator339IDN</t>
  </si>
  <si>
    <t xml:space="preserve">VALIDATOR-356 IDN.toASCII drops trailing dot in Java 6 &amp; 7
git-svn-id: https://svn.apache.org/repos/asf/commons/proper/validator/trunk@1651873 13f79535-47bb-0310-9956-ffa450edef68
</t>
  </si>
  <si>
    <t>18d5f4ba6e975408c9c171c316fcd38eac2d981f</t>
  </si>
  <si>
    <t>c2319cbf65acfc6c42a1594cd98ff5628205afcb</t>
  </si>
  <si>
    <t>public void testValidator218() {
    UrlValidator validator = new UrlValidator(UrlValidator.ALLOW_2_SLASHES);
    assertTrue("parentheses should be valid in URLs", validator.isValid("http://somewhere.com/pathxyz/file(1).html"));
}
public void testValidator361() {
    UrlValidator validator = new UrlValidator();
    assertTrue(validator.isValid("http://hello.tokyo/"));
}</t>
  </si>
  <si>
    <t>public void testValidator218() { UrlValidator validator = new UrlValidator(UrlValidator.ALLOW_2_SLASHES); assertTrue("S", validator.isValid("S")); }
public void testValidator361() { UrlValidator validator = new UrlValidator(); assertTrue(validator.isValid("S")); 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</si>
  <si>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org/apache/commons/validator/routines/UrlValidator.isValid]</t>
  </si>
  <si>
    <t>public void testValidator361() {
    UrlValidator validator = new UrlValidator();
    assertTrue(validator.isValid("http://hello.tokyo/"));
}</t>
  </si>
  <si>
    <t>testValidator361</t>
  </si>
  <si>
    <t xml:space="preserve">VALIDATOR-361 UrlValidator rejects new gTLDs with more than 4 characters
git-svn-id: https://svn.apache.org/repos/asf/commons/proper/validator/trunk@1712701 13f79535-47bb-0310-9956-ffa450edef68
</t>
  </si>
  <si>
    <t>similar asserted methods/attributes</t>
  </si>
  <si>
    <t>9f21a03adeb43b02a548d6fb79984c00ce5cd398</t>
  </si>
  <si>
    <t>0822508475c82d83ea93edaaf6b6d3a7ace3778f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</si>
  <si>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</si>
  <si>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public void testValidator309() { UrlValidator urlValidator = new UrlValidator(); assertTrue(urlValidator.isValid("S")); assertTrue(urlValidator.isValid("S")); assertTrue(urlValidator.isValid("S")); urlValidator = new UrlValidator(new String[] { "S", "S" }); assertTrue(urlValidator.isValid("S")); assertTrue(urlValidator.isValid("S")); assertTrue(urlValidator.isValid("S")); }
public void testValidator353() { UrlValidator validator = new UrlValidator(); assertTrue(validator.isValid("S")); assertTrue(validator.isValid("S")); assertTrue(validator.isValid("S")); assertTrue(validator.isValid("S")); assertFalse(validator.isValid("S")); assertFalse(validator.isValid("S")); assertFalse(validator.isValid("S")); assertFalse(validator.isValid("S"));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</si>
  <si>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</si>
  <si>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</si>
  <si>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testValidator353</t>
  </si>
  <si>
    <t xml:space="preserve">VALIDATOR-353 UrlValidator does not allow for optional userinfo in the authority
git-svn-id: https://svn.apache.org/repos/asf/commons/proper/validator/trunk@1713488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</si>
  <si>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</si>
  <si>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e97dc18159bfd8ae0aa14aaeb6b18d541cf03e3b</t>
  </si>
  <si>
    <t>public void testValidator342() {
    UrlValidator urlValidator = new UrlValidator();
    assertTrue(urlValidator.isValid("http://example.rocks/"));
    assertTrue(urlValidator.isValid("http://example.rocks"));
}
public void testValidator380() {
    UrlValidator validator = new UrlValidator();
    assertTrue(validator.isValid("http://www.apache.org:80/path"));
    assertTrue(validator.isValid("http://www.apache.org:8/path"));
    // To be enabled when code has been fixed
    //       assertTrue(validator.isValid("http://www.apache.org:/path"));
}</t>
  </si>
  <si>
    <t>public void testValidator342() { UrlValidator urlValidator = new UrlValidator(); assertTrue(urlValidator.isValid("S")); assertTrue(urlValidator.isValid("S")); }
public void testValidator380() { UrlValidator validator = new UrlValidator(); assertTrue(validator.isValid("S")); assertTrue(validator.isValid("S")); }</t>
  </si>
  <si>
    <t>[org/apache/commons/validator/routines/UrlValidator."&lt;init&gt;",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org/apache/commons/validator/routines/UrlValidator.isValid]</t>
  </si>
  <si>
    <t>public void testValidator380() {
    UrlValidator validator = new UrlValidator();
    assertTrue(validator.isValid("http://www.apache.org:80/path"));
    assertTrue(validator.isValid("http://www.apache.org:8/path"));
    // To be enabled when code has been fixed
    //       assertTrue(validator.isValid("http://www.apache.org:/path"));
}</t>
  </si>
  <si>
    <t>testValidator380</t>
  </si>
  <si>
    <t xml:space="preserve">Start work on VALIDATOR-380
git-svn-id: https://svn.apache.org/repos/asf/commons/proper/validator/trunk@1713503 13f79535-47bb-0310-9956-ffa450edef68
</t>
  </si>
  <si>
    <t>03bf0d33143ebd13e4f389cd4ecac8aec17c2057</t>
  </si>
  <si>
    <t>01fd9c792b8a2f3a7206d43c21d34de8135eaf6e</t>
  </si>
  <si>
    <t>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}</t>
  </si>
  <si>
    <t>public void testValidator353() { UrlValidator validator = new UrlValidator(); assertTrue(validator.isValid("S")); assertTrue(validator.isValid("S")); assertTrue(validator.isValid("S")); assertTrue(validator.isValid("S")); assertFalse(validator.isValid("S")); assertFalse(validator.isValid("S")); assertFalse(validator.isValid("S")); assertFalse(validator.isValid("S")); }
public void testValidator363() { UrlValidator urlValidator = new UrlValidator(); assertTrue(urlValidator.isValid("S")); assertTrue(urlValidator.isValid("S")); assertTrue(urlValidator.isValid("S")); assertTrue(urlValidator.isValid("S")); assertTrue(urlValidator.isValid("S")); assertTrue(urlValidator.isValid("S")); assertTrue(urlValidator.isValid("S")); assertTrue(urlValidator.isValid("S")); assertFalse(urlValidator.isValid("S"));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</si>
  <si>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</si>
  <si>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}</t>
  </si>
  <si>
    <t>testValidator363</t>
  </si>
  <si>
    <t xml:space="preserve">VALIDATOR-363 UrlValidator rejects path having two or more successive dots
git-svn-id: https://svn.apache.org/repos/asf/commons/proper/validator/trunk@1713573 13f79535-47bb-0310-9956-ffa450edef68
</t>
  </si>
  <si>
    <t>698b384a95456673fdfaaac2b9b3088dfad6f2a3</t>
  </si>
  <si>
    <t>ead6ffdd5f924cb7b100b3ff7fc2cb9edc17a66b</t>
  </si>
  <si>
    <t>public void testValidator361() {
    UrlValidator validator = new UrlValidator();
    assertTrue(validator.isValid("http://hello.tokyo/"));
}
public void testValidator382() {
    UrlValidator validator = new UrlValidator();
    assertTrue(validator.isValid("ftp://username:password@example.com:8042/over/there/index.dtb?type=animal&amp;name=narwhal#nose"));
}</t>
  </si>
  <si>
    <t>public void testValidator361() { UrlValidator validator = new UrlValidator(); assertTrue(validator.isValid("S")); }
public void testValidator382() { UrlValidator validator = new UrlValidator(); assertTrue(validator.isValid("S")); }</t>
  </si>
  <si>
    <t>public void testValidator382() {
    UrlValidator validator = new UrlValidator();
    assertTrue(validator.isValid("ftp://username:password@example.com:8042/over/there/index.dtb?type=animal&amp;name=narwhal#nose"));
}</t>
  </si>
  <si>
    <t>testValidator382</t>
  </si>
  <si>
    <t xml:space="preserve">VALIDATOR-382 duplicates VALIDATOR-353
git-svn-id: https://svn.apache.org/repos/asf/commons/proper/validator/trunk@1715076 13f79535-47bb-0310-9956-ffa450edef68
</t>
  </si>
  <si>
    <t>05de0f3b3b7ef1785c4e80c14c3009d73230c5d5</t>
  </si>
  <si>
    <t>c45994e38779957dbc09d74831aaa664e7031a46</t>
  </si>
  <si>
    <t>/**
 * Test that @localhost and @localhost.localdomain
 *  addresses are declared as valid when requested.
 */
public void testEmailLocalhost() {
    // Check the default is not to allow
    EmailValidator noLocal = EmailValidator.getInstance(false);
    EmailValidator allowLocal = EmailValidator.getInstance(true);
    assertEquals(validator, noLocal);
    // Depends on the validator
    assertTrue("@localhost.localdomain should be accepted but wasn't", allowLocal.isValid("joe@localhost.localdomain"));
    assertTrue("@localhost should be accepted but wasn't", allowLocal.isValid("joe@localhost"));
    assertFalse("@localhost.localdomain should be accepted but wasn't", noLocal.isValid("joe@localhost.localdomain"));
    assertFalse("@localhost should be accepted but wasn't", noLocal.isValid("joe@localhost"));
}</t>
  </si>
  <si>
    <t>/**
 * Test that @localhost and @localhost.localdomain
 *  addresses are declared as valid when requested.
 */
public void testEmailLocalhost() {
    // Check the default is not to allow
    EmailValidator noLocal = EmailValidator.getInstance(false);
    EmailValidator allowLocal = EmailValidator.getInstance(true);
    assertEquals(validator, noLocal);
    // Depends on the validator
    assertTrue("@localhost.localdomain should be accepted but wasn't", allowLocal.isValid("joe@localhost.localdomain"));
    assertTrue("@localhost should be accepted but wasn't", allowLocal.isValid("joe@localhost"));
    assertFalse("@localhost.localdomain should be accepted but wasn't", noLocal.isValid("joe@localhost.localdomain"));
    assertFalse("@localhost should be accepted but wasn't", noLocal.isValid("joe@localhost"));
}
/**
 * Tests the e-mail validation with a user at a TLD
 *
 * http://tools.ietf.org/html/rfc5321#section-2.3.5
 * (In the case of a top-level domain used by itself in an
 * email address, a single string is used without any dots)
 */
public void testEmailAtTLD() {
    EmailValidator val = EmailValidator.getInstance(false, true);
    assertTrue(val.isValid("test@com"));
}</t>
  </si>
  <si>
    <t>public void testEmailLocalhost() { EmailValidator noLocal = EmailValidator.getInstance(false); EmailValidator allowLocal = EmailValidator.getInstance(false); assertEquals(validator, noLocal); assertTrue("S", allowLocal.isValid("S")); assertTrue("S", allowLocal.isValid("S")); assertFalse("S", noLocal.isValid("S")); assertFalse("S", noLocal.isValid("S")); }
public void testEmailAtTLD() { EmailValidator val = EmailValidator.getInstance(false, false); assertTrue(val.isValid("S")); }</t>
  </si>
  <si>
    <t>[org/apache/commons/validator/routines/EmailValidator.getInstance, org/apache/commons/validator/routines/EmailValidator.getInstance,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[org/apache/commons/validator/routines/EmailValidator.getInstance, org/apache/commons/validator/routines/EmailValidator.isValid]</t>
  </si>
  <si>
    <t>/**
 * Tests the e-mail validation with a user at a TLD
 *
 * http://tools.ietf.org/html/rfc5321#section-2.3.5
 * (In the case of a top-level domain used by itself in an
 * email address, a single string is used without any dots)
 */
public void testEmailAtTLD() {
    EmailValidator val = EmailValidator.getInstance(false, true);
    assertTrue(val.isValid("test@com"));
}</t>
  </si>
  <si>
    <t>[org/apache/commons/validator/routines/EmailValidator.isValid, org/apache/commons/validator/routines/EmailValidator.getInstance]</t>
  </si>
  <si>
    <t xml:space="preserve">VALIDATOR-359 EmailValidator does not catch invalid email address like dora@.com
git-svn-id: https://svn.apache.org/repos/asf/commons/proper/validator/trunk@1723569 13f79535-47bb-0310-9956-ffa450edef68
</t>
  </si>
  <si>
    <t>/**
 * Test that @localhost and @localhost.localdomain
 *  addresses are declared as valid when requested.
 */
public void testEmailLocalhost() {
    // Check the default is not to allow
    EmailValidator noLocal = EmailValidator.getInstance(false);
    EmailValidator allowLocal = EmailValidator.getInstance(true);
    assertEquals(validator, noLocal);
    // Depends on the validator
    assertTrue("@localhost.localdomain should be accepted but wasn't", allowLocal.isValid("joe@localhost.localdomain"));
    assertTrue("@localhost should be accepted but wasn't", allowLocal.isValid("joe@localhost"));
    assertFalse("@localhost.localdomain should be accepted but wasn't", noLocal.isValid("joe@localhost.localdomain"));
    assertFalse("@localhost should be accepted but wasn't", noLocal.isValid("joe@localhost"));
}
public void testValidator359() {
    EmailValidator val = EmailValidator.getInstance(false, true);
    assertFalse(val.isValid("test@.com"));
}</t>
  </si>
  <si>
    <t>public void testEmailLocalhost() { EmailValidator noLocal = EmailValidator.getInstance(false); EmailValidator allowLocal = EmailValidator.getInstance(false); assertEquals(validator, noLocal); assertTrue("S", allowLocal.isValid("S")); assertTrue("S", allowLocal.isValid("S")); assertFalse("S", noLocal.isValid("S")); assertFalse("S", noLocal.isValid("S")); }
public void testValidator359() { EmailValidator val = EmailValidator.getInstance(false, false); assertFalse(val.isValid("S")); }</t>
  </si>
  <si>
    <t>public void testValidator359() {
    EmailValidator val = EmailValidator.getInstance(false, true);
    assertFalse(val.isValid("test@.com"));
}</t>
  </si>
  <si>
    <t>testValidator359</t>
  </si>
  <si>
    <t>method replaced | method replaced with overload | common method decreased</t>
  </si>
  <si>
    <t>method parameter count chnage</t>
  </si>
  <si>
    <t>c247c6e361bc1ea677526418cbbc2eb5ab2d54b9</t>
  </si>
  <si>
    <t>3ce16ccad16c15f607227606a65148cc6c84e58a</t>
  </si>
  <si>
    <t>testValidator204</t>
  </si>
  <si>
    <t>public void testValidator204() {
    String[] schemes = { "http", "https" };
    UrlValidator urlValidator = new UrlValidator(schemes);
    assertTrue(urlValidator.isValid("http://tech.yahoo.com/rc/desktops/102;_ylt=Ao8yevQHlZ4On0O3ZJGXLEQFLZA5"));
}</t>
  </si>
  <si>
    <t>public void testValidator204() {
    String[] schemes = { "http", "https" };
    UrlValidator urlValidator = new UrlValidator(schemes);
    assertTrue(urlValidator.isValid("http://tech.yahoo.com/rc/desktops/102;_ylt=Ao8yevQHlZ4On0O3ZJGXLEQFLZA5"));
}
public void testValidator391OK() {
    String[] schemes = { "file" };
    UrlValidator urlValidator = new UrlValidator(schemes);
    urlValidator.isValid("file:///C:/path/to/dir/");
}</t>
  </si>
  <si>
    <t>public void testValidator204() { String[] schemes = { "S", "S" }; UrlValidator urlValidator = new UrlValidator(schemes); assertTrue(urlValidator.isValid("S")); }
public void testValidator391OK() { String[] schemes = { "S" }; UrlValidator urlValidator = new UrlValidator(schemes); urlValidator.isValid("S"); }</t>
  </si>
  <si>
    <t>public void testValidator391OK() {
    String[] schemes = { "file" };
    UrlValidator urlValidator = new UrlValidator(schemes);
    urlValidator.isValid("file:///C:/path/to/dir/");
}</t>
  </si>
  <si>
    <t>testValidator391OK</t>
  </si>
  <si>
    <t xml:space="preserve">VALIDATOR-391 UrlValidator.isValid throws exception for FILEURLs
    Fixed code so it handles URLs with no authority field
git-svn-id: https://svn.apache.org/repos/asf/commons/proper/validator/trunk@1742006 13f79535-47bb-0310-9956-ffa450edef68
</t>
  </si>
  <si>
    <t>public void testValidator204() {
    String[] schemes = { "http", "https" };
    UrlValidator urlValidator = new UrlValidator(schemes);
    assertTrue(urlValidator.isValid("http://tech.yahoo.com/rc/desktops/102;_ylt=Ao8yevQHlZ4On0O3ZJGXLEQFLZA5"));
}
public void testValidator391FAILS() {
    String[] schemes = { "file" };
    UrlValidator urlValidator = new UrlValidator(schemes);
    urlValidator.isValid("file:/C:/path/to/dir/");
}</t>
  </si>
  <si>
    <t>public void testValidator204() { String[] schemes = { "S", "S" }; UrlValidator urlValidator = new UrlValidator(schemes); assertTrue(urlValidator.isValid("S")); }
public void testValidator391FAILS() { String[] schemes = { "S" }; UrlValidator urlValidator = new UrlValidator(schemes); urlValidator.isValid("S"); }</t>
  </si>
  <si>
    <t>public void testValidator391FAILS() {
    String[] schemes = { "file" };
    UrlValidator urlValidator = new UrlValidator(schemes);
    urlValidator.isValid("file:/C:/path/to/dir/");
}</t>
  </si>
  <si>
    <t>testValidator391FAILS</t>
  </si>
  <si>
    <t>322b49f7267ffd5f1f4b7dc46b24912ec66f7d20</t>
  </si>
  <si>
    <t>b03c73b9607fe2c49678d26ba19d9bf1b342e7d5</t>
  </si>
  <si>
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</si>
  <si>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public void testValidator339() { UrlValidator urlValidator = new UrlValidator(); assertTrue(urlValidator.isValid("S")); assertTrue(urlValidator.isValid("S")); assertFalse(urlValidator.isValid("S")); assertFalse(urlValidator.isValid("S")); assertFalse(urlValidator.isValid("S")); }
public void testValidator411() { UrlValidator urlValidator = new UrlValidator(); assertTrue(urlValidator.isValid("S")); assertTrue(urlValidator.isValid("S")); assertTrue(urlValidator.isValid("S")); assertFalse(urlValidator.isValid("S")); assertFalse(urlValidator.isValid("S")); }</t>
  </si>
  <si>
    <t>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</si>
  <si>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testValidator411</t>
  </si>
  <si>
    <t xml:space="preserve">VALIDATOR-411 UrlValidator accepts ports above max limit of 16-bit unsigned integer
git-svn-id: https://svn.apache.org/repos/asf/commons/proper/validator/trunk@1781670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</si>
  <si>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</si>
  <si>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e2feaed85df37bc91fdeb59220c90fac2d3ade4b</t>
  </si>
  <si>
    <t>testInetAddressesByClass</t>
  </si>
  <si>
    <t>/**
 * Test valid and invalid IPs from each address class.
 */
public void testInetAddressesByClass() {
    assertTrue("class A IP should be valid", validator.isValid("24.25.231.12"));
    assertFalse("illegal class A IP should be invalid", validator.isValid("2.41.32.324"));
    assertTrue("class B IP should be valid", validator.isValid("135.14.44.12"));
    assertFalse("illegal class B IP should be invalid", validator.isValid("154.123.441.123"));
    assertTrue("class C IP should be valid", validator.isValid("213.25.224.32"));
    assertFalse("illegal class C IP should be invalid", validator.isValid("201.543.23.11"));
    assertTrue("class D IP should be valid", validator.isValid("229.35.159.6"));
    assertFalse("illegal class D IP should be invalid", validator.isValid("231.54.11.987"));
    assertTrue("class E IP should be valid", validator.isValid("248.85.24.92"));
    assertFalse("illegal class E IP should be invalid", validator.isValid("250.21.323.48"));
}</t>
  </si>
  <si>
    <t>/**
 * Test valid and invalid IPs from each address class.
 */
public void testInetAddressesByClass() {
    assertTrue("class A IP should be valid", validator.isValid("24.25.231.12"));
    assertFalse("illegal class A IP should be invalid", validator.isValid("2.41.32.324"));
    assertTrue("class B IP should be valid", validator.isValid("135.14.44.12"));
    assertFalse("illegal class B IP should be invalid", validator.isValid("154.123.441.123"));
    assertTrue("class C IP should be valid", validator.isValid("213.25.224.32"));
    assertFalse("illegal class C IP should be invalid", validator.isValid("201.543.23.11"));
    assertTrue("class D IP should be valid", validator.isValid("229.35.159.6"));
    assertFalse("illegal class D IP should be invalid", validator.isValid("231.54.11.987"));
    assertTrue("class E IP should be valid", validator.isValid("248.85.24.92"));
    assertFalse("illegal class E IP should be invalid", validator.isValid("250.21.323.48"));
}
public void testVALIDATOR_419() {
    String addr;
    addr = "0:0:0:0:0:0:13.1.68.3";
    assertTrue(addr, validator.isValid(addr));
    addr = "0:0:0:0:0:FFFF:129.144.52.38";
    assertTrue(addr, validator.isValid(addr));
    addr = "::13.1.68.3";
    assertTrue(addr, validator.isValid(addr));
    addr = "::FFFF:129.144.52.38";
    assertTrue(addr, validator.isValid(addr));
    addr = "::ffff:192.168.1.1:192.168.1.1";
    assertFalse(addr, validator.isValid(addr));
    addr = "::192.168.1.1:192.168.1.1";
    assertFalse(addr, validator.isValid(addr));
}</t>
  </si>
  <si>
    <t>public void testInetAddressesByClass() { assertTrue("S", validator.isValid("S")); assertFalse("S", validator.isValid("S")); assertTrue("S", validator.isValid("S")); assertFalse("S", validator.isValid("S")); assertTrue("S", validator.isValid("S")); assertFalse("S", validator.isValid("S")); assertTrue("S", validator.isValid("S")); assertFalse("S", validator.isValid("S")); assertTrue("S", validator.isValid("S")); assertFalse("S", validator.isValid("S")); }
public void testVALIDATOR_419() { String addr; addr = "S"; assertTrue(addr, validator.isValid(addr)); addr = "S"; assertTrue(addr, validator.isValid(addr)); addr = "S"; assertTrue(addr, validator.isValid(addr)); addr = "S"; assertTrue(addr, validator.isValid(addr)); addr = "S"; assertFalse(addr, validator.isValid(addr)); addr = "S"; assertFalse(addr, validator.isValid(addr)); }</t>
  </si>
  <si>
    <t>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
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</t>
  </si>
  <si>
    <t>public void testVALIDATOR_419() {
    String addr;
    addr = "0:0:0:0:0:0:13.1.68.3";
    assertTrue(addr, validator.isValid(addr));
    addr = "0:0:0:0:0:FFFF:129.144.52.38";
    assertTrue(addr, validator.isValid(addr));
    addr = "::13.1.68.3";
    assertTrue(addr, validator.isValid(addr));
    addr = "::FFFF:129.144.52.38";
    assertTrue(addr, validator.isValid(addr));
    addr = "::ffff:192.168.1.1:192.168.1.1";
    assertFalse(addr, validator.isValid(addr));
    addr = "::192.168.1.1:192.168.1.1";
    assertFalse(addr, validator.isValid(addr));
}</t>
  </si>
  <si>
    <t>testVALIDATOR_419</t>
  </si>
  <si>
    <t xml:space="preserve">VALIDATOR-419 Invalid IPv6 addresses that are IPv4-mapped pass InetAddressValidator validation
git-svn-id: https://svn.apache.org/repos/asf/commons/proper/validator/trunk@1783032 13f79535-47bb-0310-9956-ffa450edef68
</t>
  </si>
  <si>
    <t>ba559195253cbe42f2f04642e93bcb7e72599005</t>
  </si>
  <si>
    <t>e4a3737c6c07420ee7c27a968c443b04d71c3eaf</t>
  </si>
  <si>
    <t>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</si>
  <si>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</si>
  <si>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public void testValidator380() { UrlValidator validator = new UrlValidator(); assertTrue(validator.isValid("S")); assertTrue(validator.isValid("S")); assertTrue(validator.isValid("S")); }
public void testValidator420() { UrlValidator validator = new UrlValidator(); assertFalse(validator.isValid("S")); assertTrue(validator.isValid("S")); assertTrue(validator.isValid("S"));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</si>
  <si>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org/apache/commons/validator/routines/UrlValidator.isValid]</t>
  </si>
  <si>
    <t>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</si>
  <si>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testValidator420</t>
  </si>
  <si>
    <t xml:space="preserve">VALIDATOR-420 Query params validator shouldn't accept whitespaces
git-svn-id: https://svn.apache.org/repos/asf/commons/proper/validator/trunk@1783203 13f79535-47bb-0310-9956-ffa450edef68
</t>
  </si>
  <si>
    <t>e9bda17e9a27e4e8d1b951854baf838f0075619f</t>
  </si>
  <si>
    <t>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</si>
  <si>
    <t>public void testValidator380() { UrlValidator validator = new UrlValidator(); assertTrue(validator.isValid("S")); assertTrue(validator.isValid("S")); assertTrue(validator.isValid("S")); }
public void testValidator467() { UrlValidator validator = new UrlValidator(UrlValidator.ALLOW_2_SLASHES); assertTrue(validator.isValid("S")); assertTrue(validator.isValid("S")); assertTrue(validator.isValid("S")); }</t>
  </si>
  <si>
    <t>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</si>
  <si>
    <t>testValidator467</t>
  </si>
  <si>
    <t xml:space="preserve">VALIDATOR-467 - URL fails for //path_underscore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</si>
  <si>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</si>
  <si>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81d60ae98cfd5ae0bff1ccecb7654bdbc6bc2692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</si>
  <si>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</si>
  <si>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public void testValidator464() {
    String[] schemes = { "file" };
    UrlValidator urlValidator = new UrlValidator(schemes);
    String fileOK = "file:///bad ^ domain.com/label/test";
    String fileNAK = "file://bad ^ domain.com/label/test";
    assertTrue(fileOK, urlValidator.isValid(fileOK));
    assertFalse(fileNAK, urlValidator.isValid(fileNAK));
}</t>
  </si>
  <si>
    <t>public void testValidator202() { String[] schemes = { "S", "S" }; UrlValidator urlValidator = new UrlValidator(schemes, UrlValidator.NO_FRAGMENTS); assertTrue(urlValidator.isValid("S")); }
public void testValidator464() { String[] schemes = { "S" }; UrlValidator urlValidator = new UrlValidator(schemes); String fileOK = "S"; String fileNAK = "S"; assertTrue(fileOK, urlValidator.isValid(fileOK)); assertFalse(fileNAK, urlValidator.isValid(fileNAK)); }</t>
  </si>
  <si>
    <t>public void testValidator464() {
    String[] schemes = { "file" };
    UrlValidator urlValidator = new UrlValidator(schemes);
    String fileOK = "file:///bad ^ domain.com/label/test";
    String fileNAK = "file://bad ^ domain.com/label/test";
    assertTrue(fileOK, urlValidator.isValid(fileOK));
    assertFalse(fileNAK, urlValidator.isValid(fileNAK));
}</t>
  </si>
  <si>
    <t>testValidator464</t>
  </si>
  <si>
    <t xml:space="preserve">VALIDATOR-464 - fix file: validation
</t>
  </si>
  <si>
    <t>1f2e113e90b20de2c6b8efe6f52a33e78dfcdce0</t>
  </si>
  <si>
    <t>15ee749bd505b9026830adf2e9c780097f36542b</t>
  </si>
  <si>
    <t>public void testValidator382() {
    UrlValidator validator = new UrlValidator();
    assertTrue(validator.isValid("ftp://username:password@example.com:8042/over/there/index.dtb?type=animal&amp;name=narwhal#nose"));
}
public void testValidator452() {
    UrlValidator urlValidator = new UrlValidator();
    assertTrue(urlValidator.isValid("http://[::FFFF:129.144.52.38]:80/index.html"));
}</t>
  </si>
  <si>
    <t>public void testValidator382() { UrlValidator validator = new UrlValidator(); assertTrue(validator.isValid("S")); }
public void testValidator452() { UrlValidator urlValidator = new UrlValidator(); assertTrue(urlValidator.isValid("S")); }</t>
  </si>
  <si>
    <t>public void testValidator452() {
    UrlValidator urlValidator = new UrlValidator();
    assertTrue(urlValidator.isValid("http://[::FFFF:129.144.52.38]:80/index.html"));
}</t>
  </si>
  <si>
    <t>testValidator452</t>
  </si>
  <si>
    <t xml:space="preserve">VALIDATOR-452 IPv4-mapped IPv6 address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</si>
  <si>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</si>
  <si>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f8e4d12aba0872b1f82fd26729a4a23b1bb5fc9e</t>
  </si>
  <si>
    <t>public void testValidator342() {
    UrlValidator urlValidator = new UrlValidator();
    assertTrue(urlValidator.isValid("http://example.rocks/"));
    assertTrue(urlValidator.isValid("http://example.rocks"));
}
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</si>
  <si>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public void testValidator342() { UrlValidator urlValidator = new UrlValidator(); assertTrue(urlValidator.isValid("S")); assertTrue(urlValidator.isValid("S")); }
public void testValidator283() { UrlValidator validator = new UrlValidator(); assertFalse(validator.isValid("S")); assertTrue(validator.isValid("S")); }</t>
  </si>
  <si>
    <t>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</si>
  <si>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testValidator283</t>
  </si>
  <si>
    <t xml:space="preserve">VALIDATOR-283 and VALIDATOR-472
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</si>
  <si>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</si>
  <si>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public void testValidator202() { String[] schemes = { "S", "S" }; UrlValidator urlValidator = new UrlValidator(schemes, UrlValidator.NO_FRAGMENTS); assertTrue(urlValidator.isValid("S")); }
public void testFragments() { String[] schemes = { "S", "S" }; UrlValidator urlValidator = new UrlValidator(schemes, UrlValidator.NO_FRAGMENTS); assertFalse(urlValidator.isValid("S")); urlValidator = new UrlValidator(schemes); assertTrue(urlValidator.isValid("S")); 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</si>
  <si>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org/apache/commons/validator/routines/UrlValidator."&lt;init&gt;", org/apache/commons/validator/routines/UrlValidator.isValid]</t>
  </si>
  <si>
    <t>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</si>
  <si>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testFragments</t>
  </si>
  <si>
    <t>partially similar</t>
  </si>
  <si>
    <t>new method added | common method increased</t>
  </si>
  <si>
    <t>similar asserted methods/attributes | similar assertion duplicated</t>
  </si>
  <si>
    <t>org.apache.commons.validator.routines.DomainValidatorStartupTest</t>
  </si>
  <si>
    <t>ee24cdd2981961c6678fa49595e7a04faa02270c</t>
  </si>
  <si>
    <t>2ca205750ad3e0a02b180369d2a36a39d3103796</t>
  </si>
  <si>
    <t>testVALIDATOR_412a</t>
  </si>
  <si>
    <t>@Test
public void testVALIDATOR_412a() {
    DomainValidator validator = DomainValidator.getInstance();
    assertFalse(validator.isValidGenericTld("local"));
    assertFalse(validator.isValid("abc.local"));
    assertFalse(validator.isValidGenericTld("pvt"));
    assertFalse(validator.isValid("abc.pvt"));
}</t>
  </si>
  <si>
    <t>@Test
public void testVALIDATOR_412a() {
    DomainValidator validator = DomainValidator.getInstance();
    assertFalse(validator.isValidGenericTld("local"));
    assertFalse(validator.isValid("abc.local"));
    assertFalse(validator.isValidGenericTld("pvt"));
    assertFalse(validator.isValid("abc.pvt"));
}
@Test
public void testVALIDATOR_412c() {
    DomainValidator validator = DomainValidator.getInstance(true);
    assertFalse(validator.isValidLocalTld("local"));
    assertFalse(validator.isValid("abc.local"));
    assertFalse(validator.isValidLocalTld("pvt"));
    assertFalse(validator.isValid("abc.pvt"));
}</t>
  </si>
  <si>
    <t>@Test public void testVALIDATOR_412a() { DomainValidator validator = DomainValidator.getInstance(); assertFalse(validator.isValidGenericTld("S")); assertFalse(validator.isValid("S")); assertFalse(validator.isValidGenericTld("S")); assertFalse(validator.isValid("S")); }
@Test public void testVALIDATOR_412c() { DomainValidator validator = DomainValidator.getInstance(false); assertFalse(validator.isValidLocalTld("S")); assertFalse(validator.isValid("S")); assertFalse(validator.isValidLocalTld("S")); assertFalse(validator.isValid("S")); }</t>
  </si>
  <si>
    <t>[org/apache/commons/validator/routines/DomainValidator.getInstance, org/apache/commons/validator/routines/DomainValidator.isValidGenericTld, org/apache/commons/validator/routines/DomainValidator.isValid, org/apache/commons/validator/routines/DomainValidator.isValidGenericTld, org/apache/commons/validator/routines/DomainValidator.isValid]
[org/apache/commons/validator/routines/DomainValidator.getInstance, org/apache/commons/validator/routines/DomainValidator.isValidLocalTld, org/apache/commons/validator/routines/DomainValidator.isValid, org/apache/commons/validator/routines/DomainValidator.isValidLocalTld, org/apache/commons/validator/routines/DomainValidator.isValid]</t>
  </si>
  <si>
    <t>@Test
public void testVALIDATOR_412c() {
    DomainValidator validator = DomainValidator.getInstance(true);
    assertFalse(validator.isValidLocalTld("local"));
    assertFalse(validator.isValid("abc.local"));
    assertFalse(validator.isValidLocalTld("pvt"));
    assertFalse(validator.isValid("abc.pvt"));
}</t>
  </si>
  <si>
    <t>testVALIDATOR_412c</t>
  </si>
  <si>
    <t>[org/apache/commons/validator/routines/DomainValidator.isValidLocalTld]</t>
  </si>
  <si>
    <t>[ADD, REM, ADD_MUL]</t>
  </si>
  <si>
    <t xml:space="preserve">VALIDATOR-474 - DomainValidator local overrides
</t>
  </si>
  <si>
    <t>method replaced</t>
  </si>
  <si>
    <t>new method in assertion | no assertion addition</t>
  </si>
  <si>
    <t>b4d7e9452f75ba3dc1acc1cd59c6575b50192278</t>
  </si>
  <si>
    <t>bb2ddadaff773bd4fa3953adf6182ba360dadd62</t>
  </si>
  <si>
    <t>/**
 * Test reserved IPs.
 */
@Test
public void testReservedInetAddresses() {
    assertTrue(validator.isValid("127.0.0.1"), "localhost IP should be valid");
    assertTrue(validator.isValid("255.255.255.255"), "broadcast IP should be valid");
}</t>
  </si>
  <si>
    <t>/**
 * Test reserved IPs.
 */
@Test
public void testReservedInetAddresses() {
    assertTrue(validator.isValid("127.0.0.1"), "localhost IP should be valid");
    assertTrue(validator.isValid("255.255.255.255"), "broadcast IP should be valid");
}
@Test
public void testValidator335() {
    assertTrue(validator.isValid("2001:0438:FFFE:0000:0000:0000:0000:0A35"), "2001:0438:FFFE:0000:0000:0000:0000:0A35 should be valid");
}</t>
  </si>
  <si>
    <t>@Test public void testReservedInetAddresses() { assertTrue(validator.isValid("S"), "S"); assertTrue(validator.isValid("S"), "S"); }
@Test public void testValidator335() { assertTrue(validator.isValid("S"), "S"); }</t>
  </si>
  <si>
    <t>@Test
public void testValidator335() {
    assertTrue(validator.isValid("2001:0438:FFFE:0000:0000:0000:0000:0A35"), "2001:0438:FFFE:0000:0000:0000:0000:0A35 should be valid");
}</t>
  </si>
  <si>
    <t>testValidator335</t>
  </si>
  <si>
    <t xml:space="preserve">Fix some Checkstyle issues in tests
- Port to JUnit 5 assertThrows
- Whitespace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</si>
  <si>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</si>
  <si>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/**
 * Test valid and invalid IPs from each address class.
 */
@Test
public void testInetAddressesByClass() {
    assertTrue(validator.isValid("24.25.231.12"), "class A IP should be valid");
    assertFalse(validator.isValid("2.41.32.324"), "illegal class A IP should be invalid");
    assertTrue(validator.isValid("135.14.44.12"), "class B IP should be valid");
    assertFalse(validator.isValid("154.123.441.123"), "illegal class B IP should be invalid");
    assertTrue(validator.isValid("213.25.224.32"), "class C IP should be valid");
    assertFalse(validator.isValid("201.543.23.11"), "illegal class C IP should be invalid");
    assertTrue(validator.isValid("229.35.159.6"), "class D IP should be valid");
    assertFalse(validator.isValid("231.54.11.987"), "illegal class D IP should be invalid");
    assertTrue(validator.isValid("248.85.24.92"), "class E IP should be valid");
    assertFalse(validator.isValid("250.21.323.48"), "illegal class E IP should be invalid");
}</t>
  </si>
  <si>
    <t>/**
 * Test valid and invalid IPs from each address class.
 */
@Test
public void testInetAddressesByClass() {
    assertTrue(validator.isValid("24.25.231.12"), "class A IP should be valid");
    assertFalse(validator.isValid("2.41.32.324"), "illegal class A IP should be invalid");
    assertTrue(validator.isValid("135.14.44.12"), "class B IP should be valid");
    assertFalse(validator.isValid("154.123.441.123"), "illegal class B IP should be invalid");
    assertTrue(validator.isValid("213.25.224.32"), "class C IP should be valid");
    assertFalse(validator.isValid("201.543.23.11"), "illegal class C IP should be invalid");
    assertTrue(validator.isValid("229.35.159.6"), "class D IP should be valid");
    assertFalse(validator.isValid("231.54.11.987"), "illegal class D IP should be invalid");
    assertTrue(validator.isValid("248.85.24.92"), "class E IP should be valid");
    assertFalse(validator.isValid("250.21.323.48"), "illegal class E IP should be invalid");
}
@Test
public void testValidator419() {
    String addr;
    addr = "0:0:0:0:0:0:13.1.68.3";
    assertTrue(validator.isValid(addr));
    addr = "0:0:0:0:0:FFFF:129.144.52.38";
    assertTrue(validator.isValid(addr), addr);
    addr = "::13.1.68.3";
    assertTrue(validator.isValid(addr), addr);
    addr = "::FFFF:129.144.52.38";
    assertTrue(validator.isValid(addr), addr);
    addr = "::ffff:192.168.1.1:192.168.1.1";
    assertFalse(validator.isValid(addr), addr);
    addr = "::192.168.1.1:192.168.1.1";
    assertFalse(validator.isValid(addr), addr);
}</t>
  </si>
  <si>
    <t>@Test public void testInetAddressesByClass() { assertTrue(validator.isValid("S"), "S"); assertFalse(validator.isValid("S"), "S"); assertTrue(validator.isValid("S"), "S"); assertFalse(validator.isValid("S"), "S"); assertTrue(validator.isValid("S"), "S"); assertFalse(validator.isValid("S"), "S"); assertTrue(validator.isValid("S"), "S"); assertFalse(validator.isValid("S"), "S"); assertTrue(validator.isValid("S"), "S"); assertFalse(validator.isValid("S"), "S"); }
@Test public void testValidator419() { String addr; addr = "S"; assertTrue(validator.isValid(addr)); addr = "S"; assertTrue(validator.isValid(addr), addr); addr = "S"; assertTrue(validator.isValid(addr), addr); addr = "S"; assertTrue(validator.isValid(addr), addr); addr = "S"; assertFalse(validator.isValid(addr), addr); addr = "S"; assertFalse(validator.isValid(addr), addr); }</t>
  </si>
  <si>
    <t>@Test
public void testValidator419() {
    String addr;
    addr = "0:0:0:0:0:0:13.1.68.3";
    assertTrue(validator.isValid(addr));
    addr = "0:0:0:0:0:FFFF:129.144.52.38";
    assertTrue(validator.isValid(addr), addr);
    addr = "::13.1.68.3";
    assertTrue(validator.isValid(addr), addr);
    addr = "::FFFF:129.144.52.38";
    assertTrue(validator.isValid(addr), addr);
    addr = "::ffff:192.168.1.1:192.168.1.1";
    assertFalse(validator.isValid(addr), addr);
    addr = "::192.168.1.1:192.168.1.1";
    assertFalse(validator.isValid(addr), addr);
}</t>
  </si>
  <si>
    <t>testValidator419</t>
  </si>
  <si>
    <t>/**
 * Test valid and invalid IPs from each address class.
 */
@Test
public void testInetAddressesByClass() {
    assertTrue(validator.isValid("24.25.231.12"), "class A IP should be valid");
    assertFalse(validator.isValid("2.41.32.324"), "illegal class A IP should be invalid");
    assertTrue(validator.isValid("135.14.44.12"), "class B IP should be valid");
    assertFalse(validator.isValid("154.123.441.123"), "illegal class B IP should be invalid");
    assertTrue(validator.isValid("213.25.224.32"), "class C IP should be valid");
    assertFalse(validator.isValid("201.543.23.11"), "illegal class C IP should be invalid");
    assertTrue(validator.isValid("229.35.159.6"), "class D IP should be valid");
    assertFalse(validator.isValid("231.54.11.987"), "illegal class D IP should be invalid");
    assertTrue(validator.isValid("248.85.24.92"), "class E IP should be valid");
    assertFalse(validator.isValid("250.21.323.48"), "illegal class E IP should be invalid");
}
/**
 * Inet6Address may also contain a scope id
 */
@Test
public void testValidator445() {
    final String[] valid = { "2001:0000:1234:0000:0000:C1C0:ABCD:0876", "2001:0000:1234:0000:0000:C1C0:ABCD:0876/123", "2001:0000:1234:0000:0000:C1C0:ABCD:0876/0", "2001:0000:1234:0000:0000:C1C0:ABCD:0876%0", "2001:0000:1234:0000:0000:C1C0:ABCD:0876%abcdefgh" };
    final String[] invalid = { // too big
    "2001:0000:1234:0000:0000:C1C0:ABCD:0876/129", // sign not allowed
    "2001:0000:1234:0000:0000:C1C0:ABCD:0876/-0", // sign not allowed
    "2001:0000:1234:0000:0000:C1C0:ABCD:0876/+0", // non-digit
    "2001:0000:1234:0000:0000:C1C0:ABCD:0876/10O", // /bits before %node-id
    "2001:0000:1234:0000:0000:C1C0:ABCD:0876/0%0", // space in node id
    "2001:0000:1234:0000:0000:C1C0:ABCD:0876%abc defgh", // '%' in node id
    "2001:0000:1234:0000:0000:C1C0:ABCD:0876%abc%defgh" };
    for (final String item : valid) {
        assertTrue(validator.isValid(item), () -&gt; String.format("%s should be valid", item));
    }
    for (final String item : invalid) {
        assertFalse(validator.isValid(item), () -&gt; String.format("%s should be invalid", item));
    }
}</t>
  </si>
  <si>
    <t>@Test public void testInetAddressesByClass() { assertTrue(validator.isValid("S"), "S"); assertFalse(validator.isValid("S"), "S"); assertTrue(validator.isValid("S"), "S"); assertFalse(validator.isValid("S"), "S"); assertTrue(validator.isValid("S"), "S"); assertFalse(validator.isValid("S"), "S"); assertTrue(validator.isValid("S"), "S"); assertFalse(validator.isValid("S"), "S"); assertTrue(validator.isValid("S"), "S"); assertFalse(validator.isValid("S"), "S"); }
@Test public void testValidator445() { final String[] valid = { "S", "S", "S", "S", "S" }; final String[] invalid = { "S", "S", "S", "S", "S", "S", "S" }; for (final String item : valid) { assertTrue(validator.isValid(item), () -&gt; String.format("S", item)); } for (final String item : invalid) { assertFalse(validator.isValid(item), () -&gt; String.format("S", item)); } }</t>
  </si>
  <si>
    <t>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
[org/apache/commons/validator/routines/InetAddressValidator.isValid, org/apache/commons/validator/routines/InetAddressValidator.isValid]</t>
  </si>
  <si>
    <t>/**
 * Inet6Address may also contain a scope id
 */
@Test
public void testValidator445() {
    final String[] valid = { "2001:0000:1234:0000:0000:C1C0:ABCD:0876", "2001:0000:1234:0000:0000:C1C0:ABCD:0876/123", "2001:0000:1234:0000:0000:C1C0:ABCD:0876/0", "2001:0000:1234:0000:0000:C1C0:ABCD:0876%0", "2001:0000:1234:0000:0000:C1C0:ABCD:0876%abcdefgh" };
    final String[] invalid = { // too big
    "2001:0000:1234:0000:0000:C1C0:ABCD:0876/129", // sign not allowed
    "2001:0000:1234:0000:0000:C1C0:ABCD:0876/-0", // sign not allowed
    "2001:0000:1234:0000:0000:C1C0:ABCD:0876/+0", // non-digit
    "2001:0000:1234:0000:0000:C1C0:ABCD:0876/10O", // /bits before %node-id
    "2001:0000:1234:0000:0000:C1C0:ABCD:0876/0%0", // space in node id
    "2001:0000:1234:0000:0000:C1C0:ABCD:0876%abc defgh", // '%' in node id
    "2001:0000:1234:0000:0000:C1C0:ABCD:0876%abc%defgh" };
    for (final String item : valid) {
        assertTrue(validator.isValid(item), () -&gt; String.format("%s should be valid", item));
    }
    for (final String item : invalid) {
        assertFalse(validator.isValid(item), () -&gt; String.format("%s should be invalid", item));
    }
}</t>
  </si>
  <si>
    <t>testValidator445</t>
  </si>
  <si>
    <t>4bbab39e724b78f7f7ab044e00f0c65b5ecf6cf6</t>
  </si>
  <si>
    <t>/**
 * Test Regular Expression.
 */
@Test
public void testNoInput() {
    final CodeValidator validator = new CodeValidator((String) null, -1, -1, (CheckDigit) null);
    assertNull(validator.validate(null), "Null");
    assertNull(validator.validate(""), "Zero Length");
    assertNull(validator.validate("   "), "Spaces");
    assertEquals(validator.validate(" A  "), "A", "Trimmed");
}</t>
  </si>
  <si>
    <t>/**
 * Test Regular Expression.
 */
@Test
public void testNoInput() {
    final CodeValidator validator = new CodeValidator((String) null, -1, -1, (CheckDigit) null);
    assertNull(validator.validate(null), "Null");
    assertNull(validator.validate(""), "Zero Length");
    assertNull(validator.validate("   "), "Spaces");
    assertEquals(validator.validate(" A  "), "A", "Trimmed");
}
@Test
public void testValidator294Part1() {
    CodeValidator validator = new CodeValidator((String) null, 0, -1, (CheckDigit) null);
    assertNull(validator.validate(null), "Null");
    validator = new CodeValidator((String) null, -1, 0, (CheckDigit) null);
    assertNull(validator.validate(null), "Null");
}</t>
  </si>
  <si>
    <t>@Test public void testNoInput() { final CodeValidator validator = new CodeValidator((String) null, -0, -0, (CheckDigit) null); assertNull(validator.validate(null), "S"); assertNull(validator.validate("S"), "S"); assertNull(validator.validate("S"), "S"); assertEquals(validator.validate("S"), "S", "S"); }
@Test public void testValidator294Part1() { CodeValidator validator = new CodeValidator((String) null, 0, -0, (CheckDigit) null); assertNull(validator.validate(null), "S"); validator = new CodeValidator((String) null, -0, 0, (CheckDigit) null); assertNull(validator.validate(null), "S"); }</t>
  </si>
  <si>
    <t>@Test
public void testValidator294Part1() {
    CodeValidator validator = new CodeValidator((String) null, 0, -1, (CheckDigit) null);
    assertNull(validator.validate(null), "Null");
    validator = new CodeValidator((String) null, -1, 0, (CheckDigit) null);
    assertNull(validator.validate(null), "Null");
}</t>
  </si>
  <si>
    <t>testValidator294Part1</t>
  </si>
  <si>
    <t>common method increased | common method decreased</t>
  </si>
  <si>
    <t>/**
 * Test Regular Expression.
 */
@Test
public void testNoInput() {
    final CodeValidator validator = new CodeValidator((String) null, -1, -1, (CheckDigit) null);
    assertNull(validator.validate(null), "Null");
    assertNull(validator.validate(""), "Zero Length");
    assertNull(validator.validate("   "), "Spaces");
    assertEquals(validator.validate(" A  "), "A", "Trimmed");
}
@Test
public void testValidator294Part2() {
    final CodeValidator validator = new CodeValidator((String) null, -1, 0, (CheckDigit) null);
    assertNull(validator.validate(null), "Null");
}</t>
  </si>
  <si>
    <t>@Test public void testNoInput() { final CodeValidator validator = new CodeValidator((String) null, -0, -0, (CheckDigit) null); assertNull(validator.validate(null), "S"); assertNull(validator.validate("S"), "S"); assertNull(validator.validate("S"), "S"); assertEquals(validator.validate("S"), "S", "S"); }
@Test public void testValidator294Part2() { final CodeValidator validator = new CodeValidator((String) null, -0, 0, (CheckDigit) null); assertNull(validator.validate(null), "S"); }</t>
  </si>
  <si>
    <t>@Test
public void testValidator294Part2() {
    final CodeValidator validator = new CodeValidator((String) null, -1, 0, (CheckDigit) null);
    assertNull(validator.validate(null), "Null");
}</t>
  </si>
  <si>
    <t>testValidator294Part2</t>
  </si>
  <si>
    <t>7a420640d71d8635406377339ae750bd4ce0305f</t>
  </si>
  <si>
    <t>/**
 * Tests the email validation with numeric domains.
 */
@Test
public void testEmailWithNumericAddress() {
    assertTrue(validator.isValid("someone@[216.109.118.76]"));
    assertTrue(validator.isValid("someone@yahoo.com"));
}</t>
  </si>
  <si>
    <t>/**
 * Tests the email validation with numeric domains.
 */
@Test
public void testEmailWithNumericAddress() {
    assertTrue(validator.isValid("someone@[216.109.118.76]"));
    assertTrue(validator.isValid("someone@yahoo.com"));
}
@Test
public void testValidator278() {
    // hostname starts with dash/hyphen
    assertFalse(validator.isValid("someone@-test.com"));
    // hostname ends with dash/hyphen
    assertFalse(validator.isValid("someone@test-.com"));
}</t>
  </si>
  <si>
    <t>@Test public void testEmailWithNumericAddress() { assertTrue(validator.isValid("S")); assertTrue(validator.isValid("S")); }
@Test public void testValidator278() { assertFalse(validator.isValid("S")); assertFalse(validator.isValid("S")); }</t>
  </si>
  <si>
    <t>@Test
public void testValidator278() {
    // hostname starts with dash/hyphen
    assertFalse(validator.isValid("someone@-test.com"));
    // hostname ends with dash/hyphen
    assertFalse(validator.isValid("someone@test-.com"));
}</t>
  </si>
  <si>
    <t>testValidator278</t>
  </si>
  <si>
    <t>/**
 * Tests the email validation with numeric domains.
 */
@Test
public void testEmailWithNumericAddress() {
    assertTrue(validator.isValid("someone@[216.109.118.76]"));
    assertTrue(validator.isValid("someone@yahoo.com"));
}
@Test
public void testValidator315() {
    assertFalse(validator.isValid("me@at&amp;t.net"));
    // Make sure TLD is not the cause of the failure
    assertTrue(validator.isValid("me@att.net"));
}</t>
  </si>
  <si>
    <t>@Test public void testEmailWithNumericAddress() { assertTrue(validator.isValid("S")); assertTrue(validator.isValid("S")); }
@Test public void testValidator315() { assertFalse(validator.isValid("S")); assertTrue(validator.isValid("S")); }</t>
  </si>
  <si>
    <t>@Test
public void testValidator315() {
    assertFalse(validator.isValid("me@at&amp;t.net"));
    // Make sure TLD is not the cause of the failure
    assertTrue(validator.isValid("me@att.net"));
}</t>
  </si>
  <si>
    <t>testValidator315</t>
  </si>
  <si>
    <t>d8775a12b3f88bb7ee1e1cfb1e5449a3311c29c9</t>
  </si>
  <si>
    <t>/**
 * Test that @localhost and @localhost.localdomain addresses aren't declared valid by default
 */
@Test
public void testEmailLocalhost() throws ValidatorException {
    final ValueBean info = new ValueBean();
    info.setValue("joe@localhost");
    valueTest(info, false);
    info.setValue("joe@localhost.localdomain");
    valueTest(info, false);
}</t>
  </si>
  <si>
    <t>/**
 * Test that @localhost and @localhost.localdomain addresses aren't declared valid by default
 */
@Test
public void testEmailLocalhost() throws ValidatorException {
    final ValueBean info = new ValueBean();
    info.setValue("joe@localhost");
    valueTest(info, false);
    info.setValue("joe@localhost.localdomain");
    valueTest(info, false);
}
/**
 * Write this test based on perl Mail::RFC822::Address which takes its example email address directly from RFC822
 *
 * @throws ValidatorException
 *
 *                            FIXME This test fails so disable it with a leading _ for 1.1.4 release. The real solution is to fix the email parsing.
 */
@Ignore
public void testEmailFromPerl() throws ValidatorException {
    final ValueBean info = new ValueBean();
    for (final ResultPair element : testEmailFromPerl) {
        info.setValue(element.item);
        valueTest(info, element.valid);
    }
}</t>
  </si>
  <si>
    <t>@Test public void testEmailLocalhost() throws ValidatorException { final ValueBean info = new ValueBean(); info.setValue("S"); valueTest(info, false); info.setValue("S"); valueTest(info, false); }
@Ignore public void testEmailFromPerl() throws ValidatorException { final ValueBean info = new ValueBean(); for (final ResultPair element : testEmailFromPerl) { info.setValue(element.item); valueTest(info, element.valid); } }</t>
  </si>
  <si>
    <t>[org/apache/commons/validator/ValueBean."&lt;init&gt;", org/apache/commons/validator/ValueBean.setValue, .valueTest, org/apache/commons/validator/ValueBean.setValue, .valueTest]
[org/apache/commons/validator/ValueBean."&lt;init&gt;", org/apache/commons/validator/ValueBean.setValue, .valueTest]</t>
  </si>
  <si>
    <t>/**
 * Write this test based on perl Mail::RFC822::Address which takes its example email address directly from RFC822
 *
 * @throws ValidatorException
 *
 *                            FIXME This test fails so disable it with a leading _ for 1.1.4 release. The real solution is to fix the email parsing.
 */
@Ignore
public void testEmailFromPerl() throws ValidatorException {
    final ValueBean info = new ValueBean();
    for (final ResultPair element : testEmailFromPerl) {
        info.setValue(element.item);
        valueTest(info, element.valid);
    }
}</t>
  </si>
  <si>
    <t>testEmailFromPerl</t>
  </si>
  <si>
    <t>[org/apache/commons/validator/ValueBean.setValue, .valueTest]</t>
  </si>
  <si>
    <t>method call inside for loop</t>
  </si>
  <si>
    <t>/**
 * Tests the e-mail validation.
 */
@Test
public void testEmailExtension() throws ValidatorException {
    // Create bean to run test on.
    final ValueBean info = new ValueBean();
    info.setValue("jsmith@apache.org");
    valueTest(info, true);
    info.setValue("jsmith@apache.com");
    valueTest(info, true);
    info.setValue("jsmith@apache.net");
    valueTest(info, true);
    info.setValue("jsmith@apache.info");
    valueTest(info, true);
    info.setValue("jsmith@apache.");
    valueTest(info, false);
    info.setValue("jsmith@apache.c");
    valueTest(info, false);
    info.setValue("someone@yahoo.museum");
    valueTest(info, true);
    info.setValue("someone@yahoo.mu-seum");
    valueTest(info, false);
}</t>
  </si>
  <si>
    <t>/**
 * Tests the e-mail validation.
 */
@Test
public void testEmailExtension() throws ValidatorException {
    // Create bean to run test on.
    final ValueBean info = new ValueBean();
    info.setValue("jsmith@apache.org");
    valueTest(info, true);
    info.setValue("jsmith@apache.com");
    valueTest(info, true);
    info.setValue("jsmith@apache.net");
    valueTest(info, true);
    info.setValue("jsmith@apache.info");
    valueTest(info, true);
    info.setValue("jsmith@apache.");
    valueTest(info, false);
    info.setValue("jsmith@apache.c");
    valueTest(info, false);
    info.setValue("someone@yahoo.museum");
    valueTest(info, true);
    info.setValue("someone@yahoo.mu-seum");
    valueTest(info, false);
}
/**
 * Write this test according to parts of RFC, as opposed to the type of character that is being tested.
 *
 * &lt;p&gt;
 * &lt;b&gt;FIXME&lt;/b&gt;: This test fails so disable it with a leading _ for 1.1.4 release. The real solution is to fix the email parsing.
 *
 * @throws ValidatorException
 */
@Ignore
public void testEmailUserName() throws ValidatorException {
    final ValueBean info = new ValueBean();
    info.setValue("joe1blow@apache.org");
    valueTest(info, true);
    info.setValue("joe$blow@apache.org");
    valueTest(info, true);
    info.setValue("joe-@apache.org");
    valueTest(info, true);
    info.setValue("joe_@apache.org");
    valueTest(info, true);
    // UnQuoted Special characters are invalid
    info.setValue("joe.@apache.org");
    valueTest(info, false);
    info.setValue("joe+@apache.org");
    valueTest(info, false);
    info.setValue("joe!@apache.org");
    valueTest(info, false);
    info.setValue("joe*@apache.org");
    valueTest(info, false);
    info.setValue("joe'@apache.org");
    valueTest(info, false);
    info.setValue("joe(@apache.org");
    valueTest(info, false);
    info.setValue("joe)@apache.org");
    valueTest(info, false);
    info.setValue("joe,@apache.org");
    valueTest(info, false);
    info.setValue("joe%45@apache.org");
    valueTest(info, false);
    info.setValue("joe;@apache.org");
    valueTest(info, false);
    info.setValue("joe?@apache.org");
    valueTest(info, false);
    info.setValue("joe&amp;@apache.org");
    valueTest(info, false);
    info.setValue("joe=@apache.org");
    valueTest(info, false);
    // Quoted Special characters are valid
    info.setValue("\"joe.\"@apache.org");
    valueTest(info, true);
    info.setValue("\"joe+\"@apache.org");
    valueTest(info, true);
    info.setValue("\"joe!\"@apache.org");
    valueTest(info, true);
    info.setValue("\"joe*\"@apache.org");
    valueTest(info, true);
    info.setValue("\"joe'\"@apache.org");
    valueTest(info, true);
    info.setValue("\"joe(\"@apache.org");
    valueTest(info, true);
    info.setValue("\"joe)\"@apache.org");
    valueTest(info, true);
    info.setValue("\"joe,\"@apache.org");
    valueTest(info, true);
    info.setValue("\"joe%45\"@apache.org");
    valueTest(info, true);
    info.setValue("\"joe;\"@apache.org");
    valueTest(info, true);
    info.setValue("\"joe?\"@apache.org");
    valueTest(info, true);
    info.setValue("\"joe&amp;\"@apache.org");
    valueTest(info, true);
    info.setValue("\"joe=\"@apache.org");
    valueTest(info, true);
}</t>
  </si>
  <si>
    <t>@Test public void testEmailExtension() throws ValidatorException { final ValueBean info = new ValueBean();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}
@Ignore public void testEmailUserName() throws ValidatorException { final ValueBean info = new ValueBean();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}</t>
  </si>
  <si>
    <t>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.valueTest]
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.valueTest]</t>
  </si>
  <si>
    <t>/**
 * Write this test according to parts of RFC, as opposed to the type of character that is being tested.
 *
 * &lt;p&gt;
 * &lt;b&gt;FIXME&lt;/b&gt;: This test fails so disable it with a leading _ for 1.1.4 release. The real solution is to fix the email parsing.
 *
 * @throws ValidatorException
 */
@Ignore
public void testEmailUserName() throws ValidatorException {
    final ValueBean info = new ValueBean();
    info.setValue("joe1blow@apache.org");
    valueTest(info, true);
    info.setValue("joe$blow@apache.org");
    valueTest(info, true);
    info.setValue("joe-@apache.org");
    valueTest(info, true);
    info.setValue("joe_@apache.org");
    valueTest(info, true);
    // UnQuoted Special characters are invalid
    info.setValue("joe.@apache.org");
    valueTest(info, false);
    info.setValue("joe+@apache.org");
    valueTest(info, false);
    info.setValue("joe!@apache.org");
    valueTest(info, false);
    info.setValue("joe*@apache.org");
    valueTest(info, false);
    info.setValue("joe'@apache.org");
    valueTest(info, false);
    info.setValue("joe(@apache.org");
    valueTest(info, false);
    info.setValue("joe)@apache.org");
    valueTest(info, false);
    info.setValue("joe,@apache.org");
    valueTest(info, false);
    info.setValue("joe%45@apache.org");
    valueTest(info, false);
    info.setValue("joe;@apache.org");
    valueTest(info, false);
    info.setValue("joe?@apache.org");
    valueTest(info, false);
    info.setValue("joe&amp;@apache.org");
    valueTest(info, false);
    info.setValue("joe=@apache.org");
    valueTest(info, false);
    // Quoted Special characters are valid
    info.setValue("\"joe.\"@apache.org");
    valueTest(info, true);
    info.setValue("\"joe+\"@apache.org");
    valueTest(info, true);
    info.setValue("\"joe!\"@apache.org");
    valueTest(info, true);
    info.setValue("\"joe*\"@apache.org");
    valueTest(info, true);
    info.setValue("\"joe'\"@apache.org");
    valueTest(info, true);
    info.setValue("\"joe(\"@apache.org");
    valueTest(info, true);
    info.setValue("\"joe)\"@apache.org");
    valueTest(info, true);
    info.setValue("\"joe,\"@apache.org");
    valueTest(info, true);
    info.setValue("\"joe%45\"@apache.org");
    valueTest(info, true);
    info.setValue("\"joe;\"@apache.org");
    valueTest(info, true);
    info.setValue("\"joe?\"@apache.org");
    valueTest(info, true);
    info.setValue("\"joe&amp;\"@apache.org");
    valueTest(info, true);
    info.setValue("\"joe=\"@apache.org");
    valueTest(info, true);
}</t>
  </si>
  <si>
    <t>org.apache.commons.validator.ExceptionTest</t>
  </si>
  <si>
    <t>66a1c50a4e906e2ad2dd92355ddeb70319b845d2</t>
  </si>
  <si>
    <t>testValidatorException</t>
  </si>
  <si>
    <t>/**
 * Tests handling of checked exceptions - should become ValidatorExceptions.
 */
@Test
public void testValidatorException() {
    // Create bean to run test on.
    final ValueBean info = new ValueBean();
    info.setValue("VALIDATOR");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try {
        validator.validate();
        fail("ValidatorException should occur here!");
    } catch (final ValidatorException expected) {
        assertTrue("VALIDATOR-EXCEPTION".equals(expected.getMessage()));
    }
}</t>
  </si>
  <si>
    <t>/**
 * Tests handling of checked exceptions - should become ValidatorExceptions.
 */
@Test
public void testValidatorException() {
    // Create bean to run test on.
    final ValueBean info = new ValueBean();
    info.setValue("VALIDATOR");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try {
        validator.validate();
        fail("ValidatorException should occur here!");
    } catch (final ValidatorException expected) {
        assertTrue("VALIDATOR-EXCEPTION".equals(expected.getMessage()));
    }
}
/**
 * Tests handling of checked exceptions - should become ValidatorExceptions.
 *
 * N.B. This test has been removed (renamed) as it currently serves no purpose. If/When exception handling is changed in Validator 2.0 it can be
 * reconsidered then.
 */
@Ignore
public void testCheckedException() {
    // Create bean to run test on.
    final ValueBean info = new ValueBean();
    info.setValue("CHECKED");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// Tests Validator 1.x exception handling
    try {
        validator.validate();
    } catch (final ValidatorException expected) {
        fail("Checked exceptions are not wrapped in ValidatorException in Validator 1.x.");
    } catch (final Exception e) {
        assertTrue("CHECKED-EXCEPTION".equals(e.getMessage()));
    }
    // This will be true in Validator 2.0
    //        try {
    //            validator.validate();
    //            fail("ValidatorException should occur here!");
    //        } catch (ValidatorException expected) {
    //            assertTrue("CHECKED-EXCEPTION".equals(expected.getMessage()));
    //        }
}</t>
  </si>
  <si>
    <t>@Test public void testValidatorException() { final ValueBean info = new ValueBean(); info.setValue("S"); final Validator validator = new Validator(resources, FORM_KEY); validator.setParameter(Validator.BEAN_PARAM, info); try { validator.validate(); fail("S"); } catch (final ValidatorException expected) { assertTrue("S".equals(expected.getMessage())); } }
@Ignore public void testCheckedException() { final ValueBean info = new ValueBean(); info.setValue("S"); final Validator validator = new Validator(resources, FORM_KEY); validator.setParameter(Validator.BEAN_PARAM, info); try { validator.validate(); } catch (final ValidatorException expected) { fail("S"); } catch (final Exception e) { assertTrue("S".equals(e.getMessage())); } }</t>
  </si>
  <si>
    <t>[org/apache/commons/validator/ValueBean."&lt;init&gt;", org/apache/commons/validator/ValueBean.setValue, org/apache/commons/validator/Validator."&lt;init&gt;", org/apache/commons/validator/Validator.setParameter, org/apache/commons/validator/Validator.validate, org/apache/commons/validator/ValidatorException.getMessage, java/lang/String.equals]
[org/apache/commons/validator/ValueBean."&lt;init&gt;", org/apache/commons/validator/ValueBean.setValue, org/apache/commons/validator/Validator."&lt;init&gt;", org/apache/commons/validator/Validator.setParameter, org/apache/commons/validator/Validator.validate, java/lang/Exception.getMessage, java/lang/String.equals]</t>
  </si>
  <si>
    <t>/**
 * Tests handling of checked exceptions - should become ValidatorExceptions.
 *
 * N.B. This test has been removed (renamed) as it currently serves no purpose. If/When exception handling is changed in Validator 2.0 it can be
 * reconsidered then.
 */
@Ignore
public void testCheckedException() {
    // Create bean to run test on.
    final ValueBean info = new ValueBean();
    info.setValue("CHECKED");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// Tests Validator 1.x exception handling
    try {
        validator.validate();
    } catch (final ValidatorException expected) {
        fail("Checked exceptions are not wrapped in ValidatorException in Validator 1.x.");
    } catch (final Exception e) {
        assertTrue("CHECKED-EXCEPTION".equals(e.getMessage()));
    }
    // This will be true in Validator 2.0
    //        try {
    //            validator.validate();
    //            fail("ValidatorException should occur here!");
    //        } catch (ValidatorException expected) {
    //            assertTrue("CHECKED-EXCEPTION".equals(expected.getMessage()));
    //        }
}</t>
  </si>
  <si>
    <t>testCheckedException</t>
  </si>
  <si>
    <t>[java/lang/String.equals, java/lang/Exception.getMessage]</t>
  </si>
  <si>
    <t>[java/lang/Exception.getMessage]</t>
  </si>
  <si>
    <t>[ADD, REM]</t>
  </si>
  <si>
    <t>assertion checking added</t>
  </si>
  <si>
    <t>one more catch block added</t>
  </si>
  <si>
    <t>319400a5ab8a694dd8ebc6131ae3fd20c9db0edd</t>
  </si>
  <si>
    <t>a2114b76f1908acf2ce831711776f31e4ef88240</t>
  </si>
  <si>
    <t>@Test
void testValidator297() {
    // This uses a valid TLD
    assertTrue(validator.isValid("xn--d1abbgf6aiiy.xn--p1ai"), "xn--d1abbgf6aiiy.xn--p1ai should validate");
}</t>
  </si>
  <si>
    <t>@Test
void testValidator297() {
    // This uses a valid TLD
    assertTrue(validator.isValid("xn--d1abbgf6aiiy.xn--p1ai"), "xn--d1abbgf6aiiy.xn--p1ai should validate");
}
@Test
@Disabled
void testInvalidDomains501() {
    // VALIDATOR-501
    assertFalse(validator.isValid("-tést.fr"));
    assertFalse(validator.isValid("tést-.fr"));
}</t>
  </si>
  <si>
    <t>@Test void testValidator297() { assertTrue(validator.isValid("S"), "S"); }
@Test @Disabled void testInvalidDomains501() { assertFalse(validator.isValid("S")); assertFalse(validator.isValid("S")); }</t>
  </si>
  <si>
    <t>[org/apache/commons/validator/routines/DomainValidator.isValid]
[org/apache/commons/validator/routines/DomainValidator.isValid, org/apache/commons/validator/routines/DomainValidator.isValid]</t>
  </si>
  <si>
    <t>@Test
@Disabled
void testInvalidDomains501() {
    // VALIDATOR-501
    assertFalse(validator.isValid("-tést.fr"));
    assertFalse(validator.isValid("tést-.fr"));
}</t>
  </si>
  <si>
    <t>testInvalidDomains501</t>
  </si>
  <si>
    <t>Add DomainValidatorTest.testInvalidDomains501()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</si>
  <si>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src/main/java/org/apache/commons/validator/routines/checkdigit/CASNumberCheckDigit.java,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src/main/java/org/apache/commons/validator/routines/IBANValidatorStatus.java,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src/test/java/org/apache/commons/validator/util/TestTimeZones.java,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src/test/java/org/apache/commons/validator/routines/checkdigit/ECNumberCheckDigitTest.java,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src/main/java/org/apache/commons/validator/routines/checkdigit/ECNumberCheckDigit.java,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src/test/java/org/apache/commons/validator/routines/checkdigit/CASNumberCheckDigitTest.java,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</si>
  <si>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1a2797bf312611fc40ac51ca584d542a2d6419d5</t>
  </si>
  <si>
    <t>testRFC2396toplabel</t>
  </si>
  <si>
    <t>// RFC2396 toplabel = alpha | alpha *( alphanum | "-" ) alphanum
 public void testRFC2396toplabel() {
  // These tests use non-existent TLDs so currently need to use a package protected method
  assertTrue("a.c (alpha) should validate", validator.isValidDomainSyntax("a.c"));
  assertTrue("a.cc (alpha alpha) should validate", validator.isValidDomainSyntax("a.cc"));
  assertTrue("a.c9 (alpha alphanum) should validate", validator.isValidDomainSyntax("a.c9"));
  assertTrue("a.c-9 (alpha - alphanum) should validate", validator.isValidDomainSyntax("a.c-9"));
  assertTrue("a.c-z (alpha - alpha) should validate", validator.isValidDomainSyntax("a.c-z"));
  assertFalse("a.9c (alphanum alpha) should fail", validator.isValidDomainSyntax("a.9c"));
  assertFalse("a.c- (alpha -) should fail", validator.isValidDomainSyntax("a.c-"));
  assertFalse("a.- (-) should fail", validator.isValidDomainSyntax("a.-"));
  assertFalse("a.-9 (- alphanum) should fail", validator.isValidDomainSyntax("a.-9"));
 }</t>
  </si>
  <si>
    <t>// RFC2396 toplabel = alpha | alpha *( alphanum | "-" ) alphanum
 public void testRFC2396toplabel() {
  // These tests use non-existent TLDs so currently need to use a package protected method
  assertTrue("a.c (alpha) should validate", validator.isValidDomainSyntax("a.c"));
  assertTrue("a.cc (alpha alpha) should validate", validator.isValidDomainSyntax("a.cc"));
  assertTrue("a.c9 (alpha alphanum) should validate", validator.isValidDomainSyntax("a.c9"));
  assertTrue("a.c-9 (alpha - alphanum) should validate", validator.isValidDomainSyntax("a.c-9"));
  assertTrue("a.c-z (alpha - alpha) should validate", validator.isValidDomainSyntax("a.c-z"));
  assertFalse("a.9c (alphanum alpha) should fail", validator.isValidDomainSyntax("a.9c"));
  assertFalse("a.c- (alpha -) should fail", validator.isValidDomainSyntax("a.c-"));
  assertFalse("a.- (-) should fail", validator.isValidDomainSyntax("a.-"));
  assertFalse("a.-9 (- alphanum) should fail", validator.isValidDomainSyntax("a.-9"));
 }
 public void testDomainNoDots() {
  // rfc1123
  assertTrue("a (alpha) should validate", validator.isValidDomainSyntax("a"));
  assertTrue("9 (alphanum) should validate", validator.isValidDomainSyntax("9"));
  assertTrue("c-z (alpha - alpha) should validate", validator.isValidDomainSyntax("c-z"));
  assertFalse("c- (alpha -) should fail", validator.isValidDomainSyntax("c-"));
  assertFalse("-c (- alpha) should fail", validator.isValidDomainSyntax("-c"));
  assertFalse("- (-) should fail", validator.isValidDomainSyntax("-"));
 }</t>
  </si>
  <si>
    <t>public void testRFC2396toplabel() { assertTrue("S", validator.isValidDomainSyntax("S")); assertTrue("S", validator.isValidDomainSyntax("S")); assertTrue("S", validator.isValidDomainSyntax("S")); assertTrue("S", validator.isValidDomainSyntax("S")); assertTrue("S", validator.isValidDomainSyntax("S")); assertFalse("S", validator.isValidDomainSyntax("S")); assertFalse("S", validator.isValidDomainSyntax("S")); assertFalse("S", validator.isValidDomainSyntax("S")); assertFalse("S", validator.isValidDomainSyntax("S")); }
 public void testDomainNoDots() { assertTrue("S", validator.isValidDomainSyntax("S")); assertTrue("S", validator.isValidDomainSyntax("S")); assertTrue("S", validator.isValidDomainSyntax("S")); assertFalse("S", validator.isValidDomainSyntax("S")); assertFalse("S", validator.isValidDomainSyntax("S")); assertFalse("S", validator.isValidDomainSyntax("S")); }</t>
  </si>
  <si>
    <t>[org/apache/commons/validator/routines/DomainValidator.isValidDomainSyntax,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org/apache/commons/validator/routines/DomainValidator.isValidDomainSyntax]
 [org/apache/commons/validator/routines/DomainValidator.isValidDomainSyntax,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org/apache/commons/validator/routines/DomainValidator.isValidDomainSyntax]</t>
  </si>
  <si>
    <t>public void testDomainNoDots() {
  // rfc1123
  assertTrue("a (alpha) should validate", validator.isValidDomainSyntax("a"));
  assertTrue("9 (alphanum) should validate", validator.isValidDomainSyntax("9"));
  assertTrue("c-z (alpha - alpha) should validate", validator.isValidDomainSyntax("c-z"));
  assertFalse("c- (alpha -) should fail", validator.isValidDomainSyntax("c-"));
  assertFalse("-c (- alpha) should fail", validator.isValidDomainSyntax("-c"));
  assertFalse("- (-) should fail", validator.isValidDomainSyntax("-"));
 }</t>
  </si>
  <si>
    <t>testDomainNoDots</t>
  </si>
  <si>
    <t>MOD</t>
  </si>
  <si>
    <t>N/A</t>
  </si>
  <si>
    <t>Add some tests of hosts with leading numeric
 git-svn-id: https://svn.apache.org/repos/asf/commons/proper/validator/trunk@1649524 13f79535-47bb-0310-9956-ffa450edef68</t>
  </si>
  <si>
    <t>org.apache.commons.validator.ValidatorTest</t>
  </si>
  <si>
    <t>0aa092df75dab647f7feeea70109745109c2eecd</t>
  </si>
  <si>
    <t>7813a3840fea87bdc86e021366ecf2975b11cbff</t>
  </si>
  <si>
    <t>testManualBoolean</t>
  </si>
  <si>
    <t>/**
  * Verify that one value generates an error and the other passes. The validation
  * method being tested returns a &lt;code&gt;boolean&lt;/code&gt; value.
  */
 public void testManualBoolean() {
  final ValidatorResources resources = new ValidatorResources();
  final ValidatorAction va = new ValidatorAction();
  va.setName("capLetter");
  va.setClassName("org.apache.commons.validator.ValidatorTest");
  va.setMethod("isCapLetter");
  va.setMethodParams("java.lang.Object,org.apache.commons.validator.Field,java.util.List");
  final FormSet fs = new FormSet();
  final Form form = new Form();
  form.setName("testForm");
  final Field field = new Field();
  field.setProperty("letter");
  field.setDepends("capLetter");
  form.addField(field);
  fs.addForm(form);
  resources.addValidatorAction(va);
  resources.addFormSet(fs);
  resources.process();
  final List&lt;?&gt; l = new ArrayList&lt;&gt;();
  final TestBean bean = new TestBean();
  bean.setLetter("A");
  final Validator validator = new Validator(resources, "testForm");
  validator.setParameter(Validator.BEAN_PARAM, bean);
  validator.setParameter("java.util.List", l);
  try {
  validator.validate();
  } catch (final Exception e) {
  fail("An exception was thrown while calling Validator.validate()");
  }
  assertEquals("Validation of the letter 'A'.", 0, l.size());
  l.clear();
  bean.setLetter("AA");
  try {
  validator.validate();
  } catch (final Exception e) {
  fail("An exception was thrown while calling Validator.validate()");
  }
  assertEquals("Validation of the letter 'AA'.", 1, l.size());
 }</t>
  </si>
  <si>
    <t>/**
  * Verify that one value generates an error and the other passes. The validation
  * method being tested returns a &lt;code&gt;boolean&lt;/code&gt; value.
  */
 public void testManualBoolean() {
  final ValidatorResources resources = new ValidatorResources();
  final ValidatorAction va = new ValidatorAction();
  va.setName("capLetter");
  va.setClassName("org.apache.commons.validator.ValidatorTest");
  va.setMethod("isCapLetter");
  va.setMethodParams("java.lang.Object,org.apache.commons.validator.Field,java.util.List");
  final FormSet fs = new FormSet();
  final Form form = new Form();
  form.setName("testForm");
  final Field field = new Field();
  field.setProperty("letter");
  field.setDepends("capLetter");
  form.addField(field);
  fs.addForm(form);
  resources.addValidatorAction(va);
  resources.addFormSet(fs);
  resources.process();
  final List&lt;?&gt; l = new ArrayList&lt;&gt;();
  final TestBean bean = new TestBean();
  bean.setLetter("A");
  final Validator validator = new Validator(resources, "testForm");
  validator.setParameter(Validator.BEAN_PARAM, bean);
  validator.setParameter("java.util.List", l);
  try {
  validator.validate();
  } catch (final Exception e) {
  fail("An exception was thrown while calling Validator.validate()");
  }
  assertEquals("Validation of the letter 'A'.", 0, l.size());
  l.clear();
  bean.setLetter("AA");
  try {
  validator.validate();
  } catch (final Exception e) {
  fail("An exception was thrown while calling Validator.validate()");
  }
  assertEquals("Validation of the letter 'AA'.", 1, l.size());
 }
 /**
  * Verify that one value generates an error and the other passes. The validation
  * method being tested returns a &lt;code&gt;boolean&lt;/code&gt; value.
  */
 public void testManualBooleanDeprecated() {
  final ValidatorResources resources = new ValidatorResources();
  final ValidatorAction va = new ValidatorAction();
  va.setName("capLetter");
  va.setClassname("org.apache.commons.validator.ValidatorTest");
  va.setMethod("isCapLetter");
  va.setMethodParams("java.lang.Object,org.apache.commons.validator.Field,java.util.List");
  final FormSet fs = new FormSet();
  final Form form = new Form();
  form.setName("testForm");
  final Field field = new Field();
  field.setProperty("letter");
  field.setDepends("capLetter");
  form.addField(field);
  fs.addForm(form);
  resources.addValidatorAction(va);
  resources.addFormSet(fs);
  resources.process();
  final List&lt;?&gt; l = new ArrayList&lt;&gt;();
  final TestBean bean = new TestBean();
  bean.setLetter("A");
  final Validator validator = new Validator(resources, "testForm");
  validator.setParameter(Validator.BEAN_PARAM, bean);
  validator.setParameter("java.util.List", l);
  try {
  validator.validate();
  } catch (final Exception e) {
  fail("An exception was thrown while calling Validator.validate()");
  }
  assertEquals("Validation of the letter 'A'.", 0, l.size());
  l.clear();
  bean.setLetter("AA");
  try {
  validator.validate();
  } catch (final Exception e) {
  fail("An exception was thrown while calling Validator.validate()");
  }
  assertEquals("Validation of the letter 'AA'.", 1, l.size());
 }</t>
  </si>
  <si>
    <t>public void testManualBoolean() { final ValidatorResources resources = new ValidatorResources(); final ValidatorAction va = new ValidatorAction(); va.setName("S"); va.setClassName("S"); va.setMethod("S"); va.setMethodParams("S"); final FormSet fs = new FormSet(); final Form form = new Form(); form.setName("S"); final Field field = new Field(); field.setProperty("S"); field.setDepends("S"); form.addField(field); fs.addForm(form); resources.addValidatorAction(va); resources.addFormSet(fs); resources.process(); final List&lt;?&gt; l = new ArrayList&lt;&gt;(); final TestBean bean = new TestBean(); bean.setLetter("S"); final Validator validator = new Validator(resources, "S"); validator.setParameter(Validator.BEAN_PARAM, bean); validator.setParameter("S", l); try { validator.validate(); } catch (final Exception e) { fail("S"); } assertEquals("S", 0, l.size()); l.clear(); bean.setLetter("S"); try { validator.validate(); } catch (final Exception e) { fail("S"); } assertEquals("S", 0, l.size()); }
 public void testManualBooleanDeprecated() { final ValidatorResources resources = new ValidatorResources(); final ValidatorAction va = new ValidatorAction(); va.setName("S"); va.setClassname("S"); va.setMethod("S"); va.setMethodParams("S"); final FormSet fs = new FormSet(); final Form form = new Form(); form.setName("S"); final Field field = new Field(); field.setProperty("S"); field.setDepends("S"); form.addField(field); fs.addForm(form); resources.addValidatorAction(va); resources.addFormSet(fs); resources.process(); final List&lt;?&gt; l = new ArrayList&lt;&gt;(); final TestBean bean = new TestBean(); bean.setLetter("S"); final Validator validator = new Validator(resources, "S"); validator.setParameter(Validator.BEAN_PARAM, bean); validator.setParameter("S", l); try { validator.validate(); } catch (final Exception e) { fail("S"); } assertEquals("S", 0, l.size()); l.clear(); bean.setLetter("S"); try { validator.validate(); } catch (final Exception e) { fail("S"); } assertEquals("S", 0, l.size()); }</t>
  </si>
  <si>
    <t>[org/apache/commons/validator/ValidatorResources."&lt;init&gt;", org/apache/commons/validator/ValidatorAction."&lt;init&gt;", org/apache/commons/validator/ValidatorAction.setName, org/apache/commons/validator/ValidatorAction.setClassName, org/apache/commons/validator/ValidatorAction.setMethod, org/apache/commons/validator/ValidatorAction.setMethodParams, org/apache/commons/validator/FormSet."&lt;init&gt;", org/apache/commons/validator/Form."&lt;init&gt;", org/apache/commons/validator/Form.setName, org/apache/commons/validator/Field."&lt;init&gt;", org/apache/commons/validator/Field.setProperty, org/apache/commons/validator/Field.setDepends, org/apache/commons/validator/Form.addField, org/apache/commons/validator/FormSet.addForm, org/apache/commons/validator/ValidatorResources.addValidatorAction, org/apache/commons/validator/ValidatorResources.addFormSet, org/apache/commons/validator/ValidatorResources.process, java/util/ArrayList."&lt;init&gt;", org/apache/commons/validator/ValidatorTest$TestBean."&lt;init&gt;", org/apache/commons/validator/ValidatorTest$TestBean.setLetter, org/apache/commons/validator/Validator."&lt;init&gt;", org/apache/commons/validator/Validator.setParameter, org/apache/commons/validator/Validator.setParameter, org/apache/commons/validator/Validator.validate, java/util/List.size, java/util/List.clear, org/apache/commons/validator/ValidatorTest$TestBean.setLetter, org/apache/commons/validator/Validator.validate, java/util/List.size]
 [org/apache/commons/validator/ValidatorResources."&lt;init&gt;", org/apache/commons/validator/ValidatorAction."&lt;init&gt;", org/apache/commons/validator/ValidatorAction.setName, org/apache/commons/validator/ValidatorAction.setClassname, org/apache/commons/validator/ValidatorAction.setMethod, org/apache/commons/validator/ValidatorAction.setMethodParams, org/apache/commons/validator/FormSet."&lt;init&gt;", org/apache/commons/validator/Form."&lt;init&gt;", org/apache/commons/validator/Form.setName, org/apache/commons/validator/Field."&lt;init&gt;", org/apache/commons/validator/Field.setProperty, org/apache/commons/validator/Field.setDepends, org/apache/commons/validator/Form.addField, org/apache/commons/validator/FormSet.addForm, org/apache/commons/validator/ValidatorResources.addValidatorAction, org/apache/commons/validator/ValidatorResources.addFormSet, org/apache/commons/validator/ValidatorResources.process, java/util/ArrayList."&lt;init&gt;", org/apache/commons/validator/ValidatorTest$TestBean."&lt;init&gt;", org/apache/commons/validator/ValidatorTest$TestBean.setLetter, org/apache/commons/validator/Validator."&lt;init&gt;", org/apache/commons/validator/Validator.setParameter, org/apache/commons/validator/Validator.setParameter, org/apache/commons/validator/Validator.validate, java/util/List.size, java/util/List.clear, org/apache/commons/validator/ValidatorTest$TestBean.setLetter, org/apache/commons/validator/Validator.validate, java/util/List.size]</t>
  </si>
  <si>
    <t>/**
  * Verify that one value generates an error and the other passes. The validation
  * method being tested returns a &lt;code&gt;boolean&lt;/code&gt; value.
  */
 public void testManualBooleanDeprecated() {
  final ValidatorResources resources = new ValidatorResources();
  final ValidatorAction va = new ValidatorAction();
  va.setName("capLetter");
  va.setClassname("org.apache.commons.validator.ValidatorTest");
  va.setMethod("isCapLetter");
  va.setMethodParams("java.lang.Object,org.apache.commons.validator.Field,java.util.List");
  final FormSet fs = new FormSet();
  final Form form = new Form();
  form.setName("testForm");
  final Field field = new Field();
  field.setProperty("letter");
  field.setDepends("capLetter");
  form.addField(field);
  fs.addForm(form);
  resources.addValidatorAction(va);
  resources.addFormSet(fs);
  resources.process();
  final List&lt;?&gt; l = new ArrayList&lt;&gt;();
  final TestBean bean = new TestBean();
  bean.setLetter("A");
  final Validator validator = new Validator(resources, "testForm");
  validator.setParameter(Validator.BEAN_PARAM, bean);
  validator.setParameter("java.util.List", l);
  try {
  validator.validate();
  } catch (final Exception e) {
  fail("An exception was thrown while calling Validator.validate()");
  }
  assertEquals("Validation of the letter 'A'.", 0, l.size());
  l.clear();
  bean.setLetter("AA");
  try {
  validator.validate();
  } catch (final Exception e) {
  fail("An exception was thrown while calling Validator.validate()");
  }
  assertEquals("Validation of the letter 'AA'.", 1, l.size());
 }</t>
  </si>
  <si>
    <t>testManualBooleanDeprecated</t>
  </si>
  <si>
    <t>[org/apache/commons/validator/ValidatorTest$TestBean.setLetter, org/apache/commons/validator/ValidatorResources.process, org/apache/commons/validator/FormSet.addForm, java/util/ArrayList."&lt;init&gt;", org/apache/commons/validator/Field.setProperty, org/apache/commons/validator/ValidatorResources."&lt;init&gt;", org/apache/commons/validator/Form."&lt;init&gt;", org/apache/commons/validator/ValidatorAction.setName, org/apache/commons/validator/FormSet."&lt;init&gt;", org/apache/commons/validator/Form.addField, org/apache/commons/validator/ValidatorAction.setMethodParams, org/apache/commons/validator/ValidatorResources.addValidatorAction, org/apache/commons/validator/ValidatorAction."&lt;init&gt;", org/apache/commons/validator/ValidatorAction.setMethod, java/util/List.size, java/util/List.clear, org/apache/commons/validator/ValidatorResources.addFormSet, org/apache/commons/validator/Field."&lt;init&gt;", org/apache/commons/validator/ValidatorAction.setClassname, org/apache/commons/validator/Form.setName, org/apache/commons/validator/Field.setDepends]</t>
  </si>
  <si>
    <t>Add ValidatorAction.setClassName(String) and deprecate
 setClassname(String).
 Javadoc
 Camel case names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</si>
  <si>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</si>
  <si>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Method1Name</t>
  </si>
  <si>
    <t>M1Body-M2Body</t>
  </si>
  <si>
    <t>M1-M2-NormalizedBody</t>
  </si>
  <si>
    <t>Method2Name</t>
  </si>
  <si>
    <t>JaccardSimilarity</t>
  </si>
  <si>
    <t>PositionDistance</t>
  </si>
  <si>
    <t>clusters</t>
  </si>
  <si>
    <t>UncommonMethods</t>
  </si>
  <si>
    <t>public void testValidator294_1() {
    CodeValidator validator = new CodeValidator((String) null, 0, -1, (CheckDigit) null);
    assertEquals("Null", null, validator.validate(null));
    validator = new CodeValidator((String) null, -1, 0, (CheckDigit) null);
    assertEquals("Null", null, validator.validate(null));
}
public void testValidator294_2() {
    CodeValidator validator = new CodeValidator((String) null, -1, 0, (CheckDigit) null);
    assertEquals("Null", null, validator.validate(null));
}</t>
  </si>
  <si>
    <t>[org/apache/commons/validator/routines/CodeValidator."&lt;init&gt;", org/apache/commons/validator/routines/CodeValidator.validate, org/apache/commons/validator/routines/CodeValidator."&lt;init&gt;", org/apache/commons/validator/routines/CodeValidator.validate]
[org/apache/commons/validator/routines/CodeValidator."&lt;init&gt;", org/apache/commons/validator/routines/CodeValidator.validate]</t>
  </si>
  <si>
    <t>[[testValidator294_1, testValidator294_2]]</t>
  </si>
  <si>
    <t>[ org/apache/commons/validator/routines/CodeValidator."&lt;init&gt;"]</t>
  </si>
  <si>
    <t>org.apache.commons.validator.routines.checkdigit.CUSIPCheckDigitTest</t>
  </si>
  <si>
    <t>8747c860df77325a1ac6ddb9e77e9960cad11570</t>
  </si>
  <si>
    <t>testVALIDATOR_336_InvalidCheckDigits</t>
  </si>
  <si>
    <t>public void testVALIDATOR_336_InvalidCheckDigits() {
    for (int i = 0; i &lt; invalidCheckDigits.length; i++) {
        String invalidCheckDigit = invalidCheckDigits[i];
        assertFalse("Should fail: " + invalidCheckDigit, routine.isValid(invalidCheckDigit));
    }
}
public void testVALIDATOR_336_ValidCheckDigits() {
    for (int i = 0; i &lt; validCheckDigits.length; i++) {
        String validCheckDigit = validCheckDigits[i];
        assertTrue("Should fail: " + validCheckDigit, routine.isValid(validCheckDigit));
    }
}</t>
  </si>
  <si>
    <t>[java/lang/StringBuffer."&lt;init&gt;", java/lang/StringBuffer.append, java/lang/StringBuffer.append, java/lang/StringBuffer.toString, org/apache/commons/validator/routines/checkdigit/CheckDigit.isValid]
[java/lang/StringBuffer."&lt;init&gt;", java/lang/StringBuffer.append, java/lang/StringBuffer.append, java/lang/StringBuffer.toString, org/apache/commons/validator/routines/checkdigit/CheckDigit.isValid]</t>
  </si>
  <si>
    <t>testVALIDATOR_336_ValidCheckDigits</t>
  </si>
  <si>
    <t>93e35ca9749f147a46a6ee9c26c250a8e9f5d27f</t>
  </si>
  <si>
    <t>557975a604a26e8b1cf651c1fc0db00e39bf62bb</t>
  </si>
  <si>
    <t>test_INFRASTRUCTURE_TLDS_sorted</t>
  </si>
  <si>
    <t>// Check array is sorted (not strictly needed yet)
public void test_INFRASTRUCTURE_TLDS_sorted() throws Exception {
    final boolean sorted = isSorted("INFRASTRUCTURE_TLDS");
    assertTrue(sorted);
}
// Check array is sorted (not strictly needed yet)
public void test_COUNTRY_CODE_TLDS_sorted() throws Exception {
    final boolean sorted = isSorted("COUNTRY_CODE_TLDS");
    assertTrue(sorted);
}</t>
  </si>
  <si>
    <t>[.isSorted]
[.isSorted]</t>
  </si>
  <si>
    <t>test_COUNTRY_CODE_TLDS_sorted</t>
  </si>
  <si>
    <t>[[test_INFRASTRUCTURE_TLDS_sorted, test_COUNTRY_CODE_TLDS_sorted, test_GENERIC_TLDS_sorted, test_LOCAL_TLDS_sorted]]</t>
  </si>
  <si>
    <t>// Check array is sorted (not strictly needed yet)
public void test_INFRASTRUCTURE_TLDS_sorted() throws Exception {
    final boolean sorted = isSorted("INFRASTRUCTURE_TLDS");
    assertTrue(sorted);
}
// Check array is sorted (not strictly needed yet)
public void test_GENERIC_TLDS_sorted() throws Exception {
    final boolean sorted = isSorted("GENERIC_TLDS");
    assertTrue(sorted);
}</t>
  </si>
  <si>
    <t>test_GENERIC_TLDS_sorted</t>
  </si>
  <si>
    <t>// Check array is sorted (not strictly needed yet)
public void test_INFRASTRUCTURE_TLDS_sorted() throws Exception {
    final boolean sorted = isSorted("INFRASTRUCTURE_TLDS");
    assertTrue(sorted);
}
// Check array is sorted (not strictly needed yet)
public void test_LOCAL_TLDS_sorted() throws Exception {
    final boolean sorted = isSorted("LOCAL_TLDS");
    assertTrue(sorted);
}</t>
  </si>
  <si>
    <t>test_LOCAL_TLDS_sorted</t>
  </si>
  <si>
    <t>// Check array is sorted (not strictly needed yet)
public void test_COUNTRY_CODE_TLDS_sorted() throws Exception {
    final boolean sorted = isSorted("COUNTRY_CODE_TLDS");
    assertTrue(sorted);
}
// Check array is sorted (not strictly needed yet)
public void test_GENERIC_TLDS_sorted() throws Exception {
    final boolean sorted = isSorted("GENERIC_TLDS");
    assertTrue(sorted);
}</t>
  </si>
  <si>
    <t>// Check array is sorted (not strictly needed yet)
public void test_COUNTRY_CODE_TLDS_sorted() throws Exception {
    final boolean sorted = isSorted("COUNTRY_CODE_TLDS");
    assertTrue(sorted);
}
// Check array is sorted (not strictly needed yet)
public void test_LOCAL_TLDS_sorted() throws Exception {
    final boolean sorted = isSorted("LOCAL_TLDS");
    assertTrue(sorted);
}</t>
  </si>
  <si>
    <t>// Check array is sorted (not strictly needed yet)
public void test_GENERIC_TLDS_sorted() throws Exception {
    final boolean sorted = isSorted("GENERIC_TLDS");
    assertTrue(sorted);
}
// Check array is sorted (not strictly needed yet)
public void test_LOCAL_TLDS_sorted() throws Exception {
    final boolean sorted = isSorted("LOCAL_TLDS");
    assertTrue(sorted);
}</t>
  </si>
  <si>
    <t>3ac78c9fd474b13b217bfb6579fedcb6534f71bf</t>
  </si>
  <si>
    <t>14c7170ed3f699bf75b1bc55103acac3cbfa5316</t>
  </si>
  <si>
    <t>test_INFRASTRUCTURE_TLDS_sortedAndLowerCase</t>
  </si>
  <si>
    <t>// Check array is sorted and is lower-case
public void test_INFRASTRUCTURE_TLDS_sortedAndLowerCase() throws Exception {
    final boolean sorted = isSortedLowerCase("INFRASTRUCTURE_TLDS");
    assertTrue(sorted);
}
// Check array is sorted and is lower-case
public void test_COUNTRY_CODE_TLDS_sortedAndLowerCase() throws Exception {
    final boolean sorted = isSortedLowerCase("COUNTRY_CODE_TLDS");
    assertTrue(sorted);
}</t>
  </si>
  <si>
    <t>[.isSortedLowerCase]
[.isSortedLowerCase]</t>
  </si>
  <si>
    <t>test_COUNTRY_CODE_TLDS_sortedAndLowerCase</t>
  </si>
  <si>
    <t>[[test_INFRASTRUCTURE_TLDS_sortedAndLowerCase, test_COUNTRY_CODE_TLDS_sortedAndLowerCase, test_GENERIC_TLDS_sortedAndLowerCase, test_LOCAL_TLDS_sortedAndLowerCase]]</t>
  </si>
  <si>
    <t>// Check array is sorted and is lower-case
public void test_INFRASTRUCTURE_TLDS_sortedAndLowerCase() throws Exception {
    final boolean sorted = isSortedLowerCase("INFRASTRUCTURE_TLDS");
    assertTrue(sorted);
}
// Check array is sorted and is lower-case
public void test_GENERIC_TLDS_sortedAndLowerCase() throws Exception {
    final boolean sorted = isSortedLowerCase("GENERIC_TLDS");
    assertTrue(sorted);
}</t>
  </si>
  <si>
    <t>test_GENERIC_TLDS_sortedAndLowerCase</t>
  </si>
  <si>
    <t>// Check array is sorted and is lower-case
public void test_INFRASTRUCTURE_TLDS_sortedAndLowerCase() throws Exception {
    final boolean sorted = isSortedLowerCase("INFRASTRUCTURE_TLDS");
    assertTrue(sorted);
}
// Check array is sorted and is lower-case
public void test_LOCAL_TLDS_sortedAndLowerCase() throws Exception {
    final boolean sorted = isSortedLowerCase("LOCAL_TLDS");
    assertTrue(sorted);
}</t>
  </si>
  <si>
    <t>test_LOCAL_TLDS_sortedAndLowerCase</t>
  </si>
  <si>
    <t>// Check array is sorted and is lower-case
public void test_COUNTRY_CODE_TLDS_sortedAndLowerCase() throws Exception {
    final boolean sorted = isSortedLowerCase("COUNTRY_CODE_TLDS");
    assertTrue(sorted);
}
// Check array is sorted and is lower-case
public void test_GENERIC_TLDS_sortedAndLowerCase() throws Exception {
    final boolean sorted = isSortedLowerCase("GENERIC_TLDS");
    assertTrue(sorted);
}</t>
  </si>
  <si>
    <t>// Check array is sorted and is lower-case
public void test_COUNTRY_CODE_TLDS_sortedAndLowerCase() throws Exception {
    final boolean sorted = isSortedLowerCase("COUNTRY_CODE_TLDS");
    assertTrue(sorted);
}
// Check array is sorted and is lower-case
public void test_LOCAL_TLDS_sortedAndLowerCase() throws Exception {
    final boolean sorted = isSortedLowerCase("LOCAL_TLDS");
    assertTrue(sorted);
}</t>
  </si>
  <si>
    <t>// Check array is sorted and is lower-case
public void test_GENERIC_TLDS_sortedAndLowerCase() throws Exception {
    final boolean sorted = isSortedLowerCase("GENERIC_TLDS");
    assertTrue(sorted);
}
// Check array is sorted and is lower-case
public void test_LOCAL_TLDS_sortedAndLowerCase() throws Exception {
    final boolean sorted = isSortedLowerCase("LOCAL_TLDS");
    assertTrue(sorted);
}</t>
  </si>
  <si>
    <t>// RFC2396: domainlabel   = alphanum | alphanum *( alphanum | "-" ) alphanum
public void testRFC2396domainlabel() {
    assertTrue("a.ch should validate", validator.isValid("a.ch"));
    assertTrue("9.ch should validate", validator.isValid("9.ch"));
    assertTrue("az.ch should validate", validator.isValid("az.ch"));
    assertTrue("09.ch should validate", validator.isValid("09.ch"));
    assertTrue("9-1.ch should validate", validator.isValid("9-1.ch"));
    assertFalse("91-.ch should not validate", validator.isValid("91-.ch"));
    assertFalse("-.ch should not validate", validator.isValid("-.ch"));
}
public void testValidator297() {
    // This uses a valid TLD
    assertTrue("xn--d1abbgf6aiiy.xn--p1ai should validate", validator.isValid("xn--d1abbgf6aiiy.xn--p1ai"));
}</t>
  </si>
  <si>
    <t>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[org/apache/commons/validator/routines/DomainValidator.isValid]</t>
  </si>
  <si>
    <t>[[testRFC2396domainlabel, testRFC2396toplabel, testValidator297]]</t>
  </si>
  <si>
    <t>[ org/apache/commons/validator/routines/DomainValidator.isValid]</t>
  </si>
  <si>
    <t>org.apache.commons.validator.util.FlagsTest</t>
  </si>
  <si>
    <t>562c880b48b56d6cef6095be3f4793141fd9fa24</t>
  </si>
  <si>
    <t>testIsOn_isFalseWhenNotAllFlagsInArgumentAreOn</t>
  </si>
  <si>
    <t>public void testIsOn_isFalseWhenNotAllFlagsInArgumentAreOn() {
    Flags first = new Flags(1);
    long firstAndSecond = 3;
    assertFalse(first.isOn(firstAndSecond));
}
public void testIsOn_isTrueWhenHighOrderBitIsSetAndQueried() {
    Flags allOn = new Flags(~0);
    long highOrderBit = 0x8000000000000000L;
    assertTrue(allOn.isOn(highOrderBit));
}</t>
  </si>
  <si>
    <t>[org/apache/commons/validator/util/Flags."&lt;init&gt;", org/apache/commons/validator/util/Flags.isOn]
[org/apache/commons/validator/util/Flags."&lt;init&gt;", org/apache/commons/validator/util/Flags.isOn]</t>
  </si>
  <si>
    <t>testIsOn_isTrueWhenHighOrderBitIsSetAndQueried</t>
  </si>
  <si>
    <t>[[testIsOn_isFalseWhenNotAllFlagsInArgumentAreOn, testIsOn_isTrueWhenHighOrderBitIsSetAndQueried]]</t>
  </si>
  <si>
    <t>org.apache.commons.validator.routines.IBANValidatorTest</t>
  </si>
  <si>
    <t>50ebc0f5446a38762932f9f7d202856501b2c9c7</t>
  </si>
  <si>
    <t>testInValid</t>
  </si>
  <si>
    <t>public void testInValid() {
    for (String f : invalidIBANFormat) {
        assertFalse(f, validator.isValid(f));
    }
}
public void testNull() {
    assertFalse("isValid(null)", validator.isValid(null));
}</t>
  </si>
  <si>
    <t>[org/apache/commons/validator/routines/IBANValidator.isValid]
[org/apache/commons/validator/routines/IBANValidator.isValid]</t>
  </si>
  <si>
    <t>testNull</t>
  </si>
  <si>
    <t>71ae282ead03e312808b80b2cc3214b641496bfd</t>
  </si>
  <si>
    <t>testSetDefaultValidator1</t>
  </si>
  <si>
    <t>@Test(expected = IllegalStateException.class)
public void testSetDefaultValidator1() {
    assertNotNull(VALIDATOR.setValidator("GB", 15, "GB"));
}
@Test(expected = IllegalStateException.class)
public void testSetDefaultValidator2() {
    assertNotNull(VALIDATOR.setValidator("GB", -1, "GB"));
}</t>
  </si>
  <si>
    <t>[org/apache/commons/validator/routines/IBANValidator.setValidator]
[org/apache/commons/validator/routines/IBANValidator.setValidator]</t>
  </si>
  <si>
    <t>testSetDefaultValidator2</t>
  </si>
  <si>
    <t>testSetValidatorLC</t>
  </si>
  <si>
    <t>@Test(expected = IllegalArgumentException.class)
public void testSetValidatorLC() {
    IBANValidator validator = new IBANValidator();
    assertNotNull(validator.setValidator("gb", 15, "GB"));
}
@Test(expected = IllegalArgumentException.class)
public void testSetValidatorLen7() {
    IBANValidator validator = new IBANValidator();
    assertNotNull(validator.setValidator("GB", 7, "GB"));
}</t>
  </si>
  <si>
    <t>[org/apache/commons/validator/routines/IBANValidator."&lt;init&gt;", org/apache/commons/validator/routines/IBANValidator.setValidator]
[org/apache/commons/validator/routines/IBANValidator."&lt;init&gt;", org/apache/commons/validator/routines/IBANValidator.setValidator]</t>
  </si>
  <si>
    <t>testSetValidatorLen7</t>
  </si>
  <si>
    <t>@Test(expected = IllegalArgumentException.class)
public void testSetValidatorLC() {
    IBANValidator validator = new IBANValidator();
    assertNotNull(validator.setValidator("gb", 15, "GB"));
}
@Test(expected = IllegalArgumentException.class)
public void testSetValidatorLen35() {
    IBANValidator validator = new IBANValidator();
    // valid params, but immutable validator
    assertNotNull(validator.setValidator("GB", 35, "GB"));
}</t>
  </si>
  <si>
    <t>testSetValidatorLen35</t>
  </si>
  <si>
    <t>@Test(expected = IllegalArgumentException.class)
public void testSetValidatorLen7() {
    IBANValidator validator = new IBANValidator();
    assertNotNull(validator.setValidator("GB", 7, "GB"));
}
@Test(expected = IllegalArgumentException.class)
public void testSetValidatorLen35() {
    IBANValidator validator = new IBANValidator();
    // valid params, but immutable validator
    assertNotNull(validator.setValidator("GB", 35, "GB"));
}</t>
  </si>
  <si>
    <t>org.apache.commons.validator.routines.ISSNValidatorTest</t>
  </si>
  <si>
    <t>9cad8211cc6ecf280e031d9c8b1c0e985d70019c</t>
  </si>
  <si>
    <t>testIsValidISSN</t>
  </si>
  <si>
    <t>/**
 * Test isValid() ISSN codes
 */
public void testIsValidISSN() {
    for (String f : validFormat) {
        assertTrue(f, VALIDATOR.isValid(f));
    }
}
/**
 * Test Invalid ISSN codes
 */
public void testInvalid() {
    for (String f : invalidFormat) {
        assertFalse(f, VALIDATOR.isValid(f));
    }
}</t>
  </si>
  <si>
    <t>[org/apache/commons/validator/routines/ISSNValidator.isValid]
[org/apache/commons/validator/routines/ISSNValidator.isValid]</t>
  </si>
  <si>
    <t>testInvalid</t>
  </si>
  <si>
    <t>/**
 * Test isValid() ISSN codes
 */
public void testIsValidISSN() {
    for (String f : validFormat) {
        assertTrue(f, VALIDATOR.isValid(f));
    }
}
/**
 * Test null values
 */
public void testNull() {
    assertFalse("isValid", VALIDATOR.isValid(null));
}</t>
  </si>
  <si>
    <t>/**
 * Test null values
 */
public void testNull() {
    assertFalse("isValid", VALIDATOR.isValid(null));
}
/**
 * Test Invalid ISSN codes
 */
public void testInvalid() {
    for (String f : invalidFormat) {
        assertFalse(f, VALIDATOR.isValid(f));
    }
}</t>
  </si>
  <si>
    <t>testIsValidISSNConvertNull</t>
  </si>
  <si>
    <t>public void testIsValidISSNConvertNull() {
    assertNull(VALIDATOR.convertToEAN13(null, "00"));
}
public void testIsValidISSNConvertSuffix() {
    try {
        assertNull(VALIDATOR.convertToEAN13(null, null));
        fail("Expected IllegalArgumentException");
    } catch (IllegalArgumentException expected) {
    }
    try {
        assertNull(VALIDATOR.convertToEAN13(null, ""));
        fail("Expected IllegalArgumentException");
    } catch (IllegalArgumentException expected) {
    }
    try {
        assertNull(VALIDATOR.convertToEAN13(null, "0"));
        fail("Expected IllegalArgumentException");
    } catch (IllegalArgumentException expected) {
    }
    try {
        assertNull(VALIDATOR.convertToEAN13(null, "A"));
        fail("Expected IllegalArgumentException");
    } catch (IllegalArgumentException expected) {
    }
    try {
        assertNull(VALIDATOR.convertToEAN13(null, "AA"));
        fail("Expected IllegalArgumentException");
    } catch (IllegalArgumentException expected) {
    }
    try {
        assertNull(VALIDATOR.convertToEAN13(null, "999"));
        fail("Expected IllegalArgumentException");
    } catch (IllegalArgumentException expected) {
    }
}</t>
  </si>
  <si>
    <t>[org/apache/commons/validator/routines/ISSNValidator.convertToEAN13]
[org/apache/commons/validator/routines/ISSNValidator.convertToEAN13, org/apache/commons/validator/routines/ISSNValidator.convertToEAN13, org/apache/commons/validator/routines/ISSNValidator.convertToEAN13, org/apache/commons/validator/routines/ISSNValidator.convertToEAN13, org/apache/commons/validator/routines/ISSNValidator.convertToEAN13, org/apache/commons/validator/routines/ISSNValidator.convertToEAN13]</t>
  </si>
  <si>
    <t>testIsValidISSNConvertSuffix</t>
  </si>
  <si>
    <t>[ org/apache/commons/validator/routines/ISSNValidator.convertToEAN13]</t>
  </si>
  <si>
    <t>/**
 * Tests the e-mail validation with a user at a TLD
 *
 * http://tools.ietf.org/html/rfc5321#section-2.3.5
 * (In the case of a top-level domain used by itself in an
 * email address, a single string is used without any dots)
 */
public void testEmailAtTLD() {
    EmailValidator val = EmailValidator.getInstance(false, true);
    assertTrue(val.isValid("test@com"));
}
public void testValidator359() {
    EmailValidator val = EmailValidator.getInstance(false, true);
    assertFalse(val.isValid("test@.com"));
}</t>
  </si>
  <si>
    <t>[org/apache/commons/validator/routines/EmailValidator.getInstance, org/apache/commons/validator/routines/EmailValidator.isValid]
[org/apache/commons/validator/routines/EmailValidator.getInstance, org/apache/commons/validator/routines/EmailValidator.isValid]</t>
  </si>
  <si>
    <t>[[testEmailAtTLD, testValidator359]]</t>
  </si>
  <si>
    <t>public void testValidator391OK() {
    String[] schemes = { "file" };
    UrlValidator urlValidator = new UrlValidator(schemes);
    urlValidator.isValid("file:///C:/path/to/dir/");
}
public void testValidator391FAILS() {
    String[] schemes = { "file" };
    UrlValidator urlValidator = new UrlValidator(schemes);
    urlValidator.isValid("file:/C:/path/to/dir/");
}</t>
  </si>
  <si>
    <t>[[testValidator391OK, testValidator391FAILS]]</t>
  </si>
  <si>
    <t>org.apache.commons.validator.routines.checkdigit.ModulusTenCUSIPCheckDigitTest</t>
  </si>
  <si>
    <t>27f1c3badc173b2e739121dce36b3a6634dd3a65</t>
  </si>
  <si>
    <t>[java/lang/StringBuilder."&lt;init&gt;", java/lang/StringBuilder.append, java/lang/StringBuilder.append, java/lang/StringBuilder.toString, org/apache/commons/validator/routines/checkdigit/CheckDigit.isValid]
[java/lang/StringBuilder."&lt;init&gt;", java/lang/StringBuilder.append, java/lang/StringBuilder.append, java/lang/StringBuilder.toString, org/apache/commons/validator/routines/checkdigit/CheckDigit.isValid]</t>
  </si>
  <si>
    <t>org.apache.commons.validator.routines.ISINValidatorTest</t>
  </si>
  <si>
    <t>946da9d66480c27a221e6ef1282c88d7f81ee8af</t>
  </si>
  <si>
    <t>testIsValidTrue</t>
  </si>
  <si>
    <t>public void testIsValidTrue() {
    for (String f : validFormat) {
        assertTrue(f, VALIDATOR_TRUE.isValid(f));
    }
}
public void testIsValidFalse() {
    for (String f : validFormat) {
        assertTrue(f, VALIDATOR_FALSE.isValid(f));
    }
}</t>
  </si>
  <si>
    <t>[org/apache/commons/validator/routines/ISINValidator.isValid]
[org/apache/commons/validator/routines/ISINValidator.isValid]</t>
  </si>
  <si>
    <t>testIsValidFalse</t>
  </si>
  <si>
    <t>public void testIsValidTrue() {
    for (String f : validFormat) {
        assertTrue(f, VALIDATOR_TRUE.isValid(f));
    }
}
public void testInvalidTrue() {
    for (String f : invalidFormat) {
        assertFalse(f, VALIDATOR_TRUE.isValid(f));
    }
    for (String f : invalidFormatTrue) {
        assertFalse(f, VALIDATOR_TRUE.isValid(f));
    }
}</t>
  </si>
  <si>
    <t>[org/apache/commons/validator/routines/ISINValidator.isValid]
[org/apache/commons/validator/routines/ISINValidator.isValid, org/apache/commons/validator/routines/ISINValidator.isValid]</t>
  </si>
  <si>
    <t>testInvalidTrue</t>
  </si>
  <si>
    <t>[ org/apache/commons/validator/routines/ISINValidator.isValid]</t>
  </si>
  <si>
    <t>public void testInvalidTrue() {
    for (String f : invalidFormat) {
        assertFalse(f, VALIDATOR_TRUE.isValid(f));
    }
    for (String f : invalidFormatTrue) {
        assertFalse(f, VALIDATOR_TRUE.isValid(f));
    }
}
public void testIsValidFalse() {
    for (String f : validFormat) {
        assertTrue(f, VALIDATOR_FALSE.isValid(f));
    }
}</t>
  </si>
  <si>
    <t>[org/apache/commons/validator/routines/ISINValidator.isValid, org/apache/commons/validator/routines/ISINValidator.isValid]
[org/apache/commons/validator/routines/ISINValidator.isValid]</t>
  </si>
  <si>
    <t>public void testIsValidFalse() {
    for (String f : validFormat) {
        assertTrue(f, VALIDATOR_FALSE.isValid(f));
    }
}
public void testInvalidFalse() {
    for (String f : invalidFormat) {
        assertFalse(f, VALIDATOR_FALSE.isValid(f));
    }
}</t>
  </si>
  <si>
    <t>[org/apache/commons/validator/routines/ISINValidator.isValid]
[org/apache/commons/validator/routines/ISINValidator.isValid, org/apache/commons/validator/routines/ISINValidator.getInstance, org/apache/commons/validator/routines/ISINValidator.getInstance]</t>
  </si>
  <si>
    <t>testInvalidFalse</t>
  </si>
  <si>
    <t>[ org/apache/commons/validator/routines/ISINValidator.getInstance]</t>
  </si>
  <si>
    <t>f97a047dd0dc9f2adfdc7892e43e750cd0234e3f</t>
  </si>
  <si>
    <t>4348e49dc2bc75ee59286dbaa19f8a46e569e4d0</t>
  </si>
  <si>
    <t>@Test
public void testInValid() {
    for (String f : invalidIBANFormat) {
        assertFalse(f, VALIDATOR.isValid(f));
    }
}
@Test
public void testNull() {
    assertFalse("isValid(null)", VALIDATOR.isValid(null));
}</t>
  </si>
  <si>
    <t>@Test(expected = IllegalArgumentException.class)
public void testSetValidatorLC() {
    IBANValidator validator = new IBANValidator();
    assertNotNull(validator.setValidator("gb", 15, "GB"));
}
@Test
public void testSetValidatorLen_1() {
    IBANValidator validator = new IBANValidator();
    assertNotNull("should be present", validator.setValidator("GB", -1, ""));
    assertNull("no longer present", validator.setValidator("GB", -1, ""));
}</t>
  </si>
  <si>
    <t>[org/apache/commons/validator/routines/IBANValidator."&lt;init&gt;", org/apache/commons/validator/routines/IBANValidator.setValidator]
[org/apache/commons/validator/routines/IBANValidator."&lt;init&gt;", org/apache/commons/validator/routines/IBANValidator.setValidator, org/apache/commons/validator/routines/IBANValidator.setValidator]</t>
  </si>
  <si>
    <t>testSetValidatorLen_1</t>
  </si>
  <si>
    <t>@Test(expected = IllegalArgumentException.class)
public void testSetValidatorLen7() {
    IBANValidator validator = new IBANValidator();
    assertNotNull(validator.setValidator("GB", 7, "GB"));
}
@Test
public void testSetValidatorLen_1() {
    IBANValidator validator = new IBANValidator();
    assertNotNull("should be present", validator.setValidator("GB", -1, ""));
    assertNull("no longer present", validator.setValidator("GB", -1, ""));
}</t>
  </si>
  <si>
    <t>@Test(expected = IllegalArgumentException.class)
public void testSetValidatorLen35() {
    IBANValidator validator = new IBANValidator();
    // valid params, but immutable validator
    assertNotNull(validator.setValidator("GB", 35, "GB"));
}
@Test
public void testSetValidatorLen_1() {
    IBANValidator validator = new IBANValidator();
    assertNotNull("should be present", validator.setValidator("GB", -1, ""));
    assertNull("no longer present", validator.setValidator("GB", -1, ""));
}</t>
  </si>
  <si>
    <t>org.apache.commons.validator.ByteTest</t>
  </si>
  <si>
    <t>0c88631c6c3df2dcb55117d0e972f3b6106934f3</t>
  </si>
  <si>
    <t>testByte</t>
  </si>
  <si>
    <t>/**
 * Tests the byte validation.
 */
public void testByte() throws ValidatorException {
    // Create bean to run test on.
    ValueBean info = new ValueBean();
    info.setValue("0");
    valueTest(info, true);
}
/**
 * Tests the byte validation failure.
 */
public void testByteBeyondMax() throws ValidatorException {
    // Create bean to run test on.
    ValueBean info = new ValueBean();
    info.setValue(Byte.MAX_VALUE + "1");
    valueTest(info, false);
}</t>
  </si>
  <si>
    <t>testByteBeyondMax</t>
  </si>
  <si>
    <t>/**
 * Tests the byte validation.
 */
public void testByte() throws ValidatorException {
    // Create bean to run test on.
    ValueBean info = new ValueBean();
    info.setValue("0");
    valueTest(info, true);
}
/**
 * Tests the byte validation failure.
 */
public void testByteBeyondMin() throws ValidatorException {
    // Create bean to run test on.
    ValueBean info = new ValueBean();
    info.setValue(Byte.MIN_VALUE + "1");
    valueTest(info, false);
}</t>
  </si>
  <si>
    <t>testByteBeyondMin</t>
  </si>
  <si>
    <t>testByteMin</t>
  </si>
  <si>
    <t>/**
 * Tests the byte validation.
 */
public void testByteMin() throws ValidatorException {
    // Create bean to run test on.
    ValueBean info = new ValueBean();
    info.setValue(Byte.valueOf(Byte.MIN_VALUE).toString());
    valueTest(info, true);
}
/**
 * Tests the byte validation.
 */
public void testByteMax() throws ValidatorException {
    // Create bean to run test on.
    ValueBean info = new ValueBean();
    info.setValue(Byte.valueOf(Byte.MAX_VALUE).toString());
    valueTest(info, true);
}</t>
  </si>
  <si>
    <t>[org/apache/commons/validator/ValueBean."&lt;init&gt;", java/lang/Byte.valueOf, java/lang/Byte.toString, org/apache/commons/validator/ValueBean.setValue, .valueTest]
[org/apache/commons/validator/ValueBean."&lt;init&gt;", java/lang/Byte.valueOf, java/lang/Byte.toString, org/apache/commons/validator/ValueBean.setValue, .valueTest]</t>
  </si>
  <si>
    <t>testByteMax</t>
  </si>
  <si>
    <t>/**
 * Tests the byte validation failure.
 */
public void testByteBeyondMin() throws ValidatorException {
    // Create bean to run test on.
    ValueBean info = new ValueBean();
    info.setValue(Byte.MIN_VALUE + "1");
    valueTest(info, false);
}
/**
 * Tests the byte validation failure.
 */
public void testByteBeyondMax() throws ValidatorException {
    // Create bean to run test on.
    ValueBean info = new ValueBean();
    info.setValue(Byte.MAX_VALUE + "1");
    valueTest(info, false);
}</t>
  </si>
  <si>
    <t>org.apache.commons.validator.routines.AbstractNumberValidatorTest</t>
  </si>
  <si>
    <t>testInvalidStrict</t>
  </si>
  <si>
    <t>/**
 * Test Invalid, strict=true
 */
public void testInvalidStrict() {
    for (int i = 0; i &lt; invalidStrict.length; i++) {
        String text = "idx=[" + i + "] value=[" + invalidStrict[i] + "]";
        assertNull("(A) " + text, strictValidator.parse(invalidStrict[i], null, Locale.US));
        assertFalse("(B) " + text, strictValidator.isValid(invalidStrict[i], null, Locale.US));
        assertNull("(C) " + text, strictValidator.parse(invalidStrict[i], testPattern, null));
        assertFalse("(D) " + text, strictValidator.isValid(invalidStrict[i], testPattern, null));
    }
}
/**
 * Test Invalid, strict=false
 */
public void testInvalidNotStrict() {
    for (int i = 0; i &lt; invalid.length; i++) {
        String text = "idx=[" + i + "] value=[" + invalid[i] + "]";
        assertNull("(A) " + text, validator.parse(invalid[i], null, Locale.US));
        assertFalse("(B) " + text, validator.isValid(invalid[i], null, Locale.US));
        assertNull("(C) " + text, validator.parse(invalid[i], testPattern, null));
        assertFalse("(D) " + text, validator.isValid(invalid[i], testPattern, null));
    }
}</t>
  </si>
  <si>
    <t>[java/lang/StringBuilder."&lt;init&gt;", java/lang/StringBuilder.append, java/lang/StringBuilder.append, java/lang/StringBuilder.append, java/lang/StringBuilder.append, java/lang/StringBuilder.append, java/lang/StringBuilder.toString, java/lang/StringBuilder."&lt;init&gt;", java/lang/StringBuilder.append, java/lang/StringBuilder.append, java/lang/StringBuilder.toString, org/apache/commons/validator/routines/AbstractNumberValidator.parse, java/lang/StringBuilder."&lt;init&gt;", java/lang/StringBuilder.append, java/lang/StringBuilder.append, java/lang/StringBuilder.toString, org/apache/commons/validator/routines/AbstractNumberValidator.isValid, java/lang/StringBuilder."&lt;init&gt;", java/lang/StringBuilder.append, java/lang/StringBuilder.append, java/lang/StringBuilder.toString, org/apache/commons/validator/routines/AbstractNumberValidator.parse, java/lang/StringBuilder."&lt;init&gt;", java/lang/StringBuilder.append, java/lang/StringBuilder.append, java/lang/StringBuilder.toString, org/apache/commons/validator/routines/AbstractNumberValidator.isValid]
[java/lang/StringBuilder."&lt;init&gt;", java/lang/StringBuilder.append, java/lang/StringBuilder.append, java/lang/StringBuilder.append, java/lang/StringBuilder.append, java/lang/StringBuilder.append, java/lang/StringBuilder.toString, java/lang/StringBuilder."&lt;init&gt;", java/lang/StringBuilder.append, java/lang/StringBuilder.append, java/lang/StringBuilder.toString, org/apache/commons/validator/routines/AbstractNumberValidator.parse, java/lang/StringBuilder."&lt;init&gt;", java/lang/StringBuilder.append, java/lang/StringBuilder.append, java/lang/StringBuilder.toString, org/apache/commons/validator/routines/AbstractNumberValidator.isValid, java/lang/StringBuilder."&lt;init&gt;", java/lang/StringBuilder.append, java/lang/StringBuilder.append, java/lang/StringBuilder.toString, org/apache/commons/validator/routines/AbstractNumberValidator.parse, java/lang/StringBuilder."&lt;init&gt;", java/lang/StringBuilder.append, java/lang/StringBuilder.append, java/lang/StringBuilder.toString, org/apache/commons/validator/routines/AbstractNumberValidator.isValid]</t>
  </si>
  <si>
    <t>testInvalidNotStrict</t>
  </si>
  <si>
    <t>/**
 * Test Invalid, strict=true
 */
public void testInvalidStrict() {
    for (int i = 0; i &lt; invalidStrict.length; i++) {
        String text = "idx=[" + i + "] value=[" + invalidStrict[i] + "]";
        assertNull("(A) " + text, strictValidator.parse(invalidStrict[i], null, Locale.US));
        assertFalse("(B) " + text, strictValidator.isValid(invalidStrict[i], null, Locale.US));
        assertNull("(C) " + text, strictValidator.parse(invalidStrict[i], testPattern, null));
        assertFalse("(D) " + text, strictValidator.isValid(invalidStrict[i], testPattern, null));
    }
}
/**
 * Test Valid, strict=true
 */
public void testValidStrict() {
    for (int i = 0; i &lt; validStrict.length; i++) {
        String text = "idx=[" + i + "] value=[" + validStrictCompare[i] + "]";
        assertEquals("(A) " + text, validStrictCompare[i], strictValidator.parse(validStrict[i], null, Locale.US));
        assertTrue("(B) " + text, strictValidator.isValid(validStrict[i], null, Locale.US));
        assertEquals("(C) " + text, validStrictCompare[i], strictValidator.parse(validStrict[i], testPattern, null));
        assertTrue("(D) " + text, strictValidator.isValid(validStrict[i], testPattern, null));
    }
}</t>
  </si>
  <si>
    <t>testValidStrict</t>
  </si>
  <si>
    <t>/**
 * Test Invalid, strict=true
 */
public void testInvalidStrict() {
    for (int i = 0; i &lt; invalidStrict.length; i++) {
        String text = "idx=[" + i + "] value=[" + invalidStrict[i] + "]";
        assertNull("(A) " + text, strictValidator.parse(invalidStrict[i], null, Locale.US));
        assertFalse("(B) " + text, strictValidator.isValid(invalidStrict[i], null, Locale.US));
        assertNull("(C) " + text, strictValidator.parse(invalidStrict[i], testPattern, null));
        assertFalse("(D) " + text, strictValidator.isValid(invalidStrict[i], testPattern, null));
    }
}
/**
 * Test Valid, strict=false
 */
public void testValidNotStrict() {
    for (int i = 0; i &lt; valid.length; i++) {
        String text = "idx=[" + i + "] value=[" + validCompare[i] + "]";
        assertEquals("(A) " + text, validCompare[i], validator.parse(valid[i], null, Locale.US));
        assertTrue("(B) " + text, validator.isValid(valid[i], null, Locale.US));
        assertEquals("(C) " + text, validCompare[i], validator.parse(valid[i], testPattern, null));
        assertTrue("(D) " + text, validator.isValid(valid[i], testPattern, null));
    }
}</t>
  </si>
  <si>
    <t>testValidNotStrict</t>
  </si>
  <si>
    <t>/**
 * Test Invalid, strict=false
 */
public void testInvalidNotStrict() {
    for (int i = 0; i &lt; invalid.length; i++) {
        String text = "idx=[" + i + "] value=[" + invalid[i] + "]";
        assertNull("(A) " + text, validator.parse(invalid[i], null, Locale.US));
        assertFalse("(B) " + text, validator.isValid(invalid[i], null, Locale.US));
        assertNull("(C) " + text, validator.parse(invalid[i], testPattern, null));
        assertFalse("(D) " + text, validator.isValid(invalid[i], testPattern, null));
    }
}
/**
 * Test Valid, strict=false
 */
public void testValidNotStrict() {
    for (int i = 0; i &lt; valid.length; i++) {
        String text = "idx=[" + i + "] value=[" + validCompare[i] + "]";
        assertEquals("(A) " + text, validCompare[i], validator.parse(valid[i], null, Locale.US));
        assertTrue("(B) " + text, validator.isValid(valid[i], null, Locale.US));
        assertEquals("(C) " + text, validCompare[i], validator.parse(valid[i], testPattern, null));
        assertTrue("(D) " + text, validator.isValid(valid[i], testPattern, null));
    }
}</t>
  </si>
  <si>
    <t>/**
 * Test Invalid, strict=false
 */
public void testInvalidNotStrict() {
    for (int i = 0; i &lt; invalid.length; i++) {
        String text = "idx=[" + i + "] value=[" + invalid[i] + "]";
        assertNull("(A) " + text, validator.parse(invalid[i], null, Locale.US));
        assertFalse("(B) " + text, validator.isValid(invalid[i], null, Locale.US));
        assertNull("(C) " + text, validator.parse(invalid[i], testPattern, null));
        assertFalse("(D) " + text, validator.isValid(invalid[i], testPattern, null));
    }
}
/**
 * Test Valid, strict=true
 */
public void testValidStrict() {
    for (int i = 0; i &lt; validStrict.length; i++) {
        String text = "idx=[" + i + "] value=[" + validStrictCompare[i] + "]";
        assertEquals("(A) " + text, validStrictCompare[i], strictValidator.parse(validStrict[i], null, Locale.US));
        assertTrue("(B) " + text, strictValidator.isValid(validStrict[i], null, Locale.US));
        assertEquals("(C) " + text, validStrictCompare[i], strictValidator.parse(validStrict[i], testPattern, null));
        assertTrue("(D) " + text, strictValidator.isValid(validStrict[i], testPattern, null));
    }
}</t>
  </si>
  <si>
    <t>/**
 * Test Valid, strict=true
 */
public void testValidStrict() {
    for (int i = 0; i &lt; validStrict.length; i++) {
        String text = "idx=[" + i + "] value=[" + validStrictCompare[i] + "]";
        assertEquals("(A) " + text, validStrictCompare[i], strictValidator.parse(validStrict[i], null, Locale.US));
        assertTrue("(B) " + text, strictValidator.isValid(validStrict[i], null, Locale.US));
        assertEquals("(C) " + text, validStrictCompare[i], strictValidator.parse(validStrict[i], testPattern, null));
        assertTrue("(D) " + text, strictValidator.isValid(validStrict[i], testPattern, null));
    }
}
/**
 * Test Valid, strict=false
 */
public void testValidNotStrict() {
    for (int i = 0; i &lt; valid.length; i++) {
        String text = "idx=[" + i + "] value=[" + validCompare[i] + "]";
        assertEquals("(A) " + text, validCompare[i], validator.parse(valid[i], null, Locale.US));
        assertTrue("(B) " + text, validator.isValid(valid[i], null, Locale.US));
        assertEquals("(C) " + text, validCompare[i], validator.parse(valid[i], testPattern, null));
        assertTrue("(D) " + text, validator.isValid(valid[i], testPattern, null));
    }
}</t>
  </si>
  <si>
    <t>org.apache.commons.validator.IntegerTest</t>
  </si>
  <si>
    <t>testInt</t>
  </si>
  <si>
    <t>/**
 * Tests the int validation.
 */
public void testInt() throws ValidatorException {
    // Create bean to run test on.
    ValueBean info = new ValueBean();
    info.setValue("0");
    valueTest(info, true);
}
/**
 * Tests the int validation failure.
 */
public void testIntBeyondMin() throws ValidatorException {
    // Create bean to run test on.
    ValueBean info = new ValueBean();
    info.setValue(Integer.MIN_VALUE + "1");
    valueTest(info, false);
}</t>
  </si>
  <si>
    <t>testIntBeyondMin</t>
  </si>
  <si>
    <t>/**
 * Tests the int validation.
 */
public void testInt() throws ValidatorException {
    // Create bean to run test on.
    ValueBean info = new ValueBean();
    info.setValue("0");
    valueTest(info, true);
}
/**
 * Tests the int validation failure.
 */
public void testIntBeyondMax() throws ValidatorException {
    // Create bean to run test on.
    ValueBean info = new ValueBean();
    info.setValue(Integer.MAX_VALUE + "1");
    valueTest(info, false);
}</t>
  </si>
  <si>
    <t>testIntBeyondMax</t>
  </si>
  <si>
    <t>testIntMin</t>
  </si>
  <si>
    <t>/**
 * Tests the int validation.
 */
public void testIntMin() throws ValidatorException {
    // Create bean to run test on.
    ValueBean info = new ValueBean();
    info.setValue(Integer.valueOf(Integer.MIN_VALUE).toString());
    valueTest(info, true);
}
/**
 * Tests the int validation.
 */
public void testIntegerMax() throws ValidatorException {
    // Create bean to run test on.
    ValueBean info = new ValueBean();
    info.setValue(Integer.valueOf(Integer.MAX_VALUE).toString());
    valueTest(info, true);
}</t>
  </si>
  <si>
    <t>[org/apache/commons/validator/ValueBean."&lt;init&gt;", java/lang/Integer.valueOf, java/lang/Integer.toString, org/apache/commons/validator/ValueBean.setValue, .valueTest]
[org/apache/commons/validator/ValueBean."&lt;init&gt;", java/lang/Integer.valueOf, java/lang/Integer.toString, org/apache/commons/validator/ValueBean.setValue, .valueTest]</t>
  </si>
  <si>
    <t>testIntegerMax</t>
  </si>
  <si>
    <t>/**
 * Tests the int validation failure.
 */
public void testIntBeyondMin() throws ValidatorException {
    // Create bean to run test on.
    ValueBean info = new ValueBean();
    info.setValue(Integer.MIN_VALUE + "1");
    valueTest(info, false);
}
/**
 * Tests the int validation failure.
 */
public void testIntBeyondMax() throws ValidatorException {
    // Create bean to run test on.
    ValueBean info = new ValueBean();
    info.setValue(Integer.MAX_VALUE + "1");
    valueTest(info, false);
}</t>
  </si>
  <si>
    <t>testIsValid</t>
  </si>
  <si>
    <t>public void testIsValid() {
    testIsValid(testUrlParts, UrlValidator.ALLOW_ALL_SCHEMES);
    setUp();
    long options = UrlValidator.ALLOW_2_SLASHES + UrlValidator.ALLOW_ALL_SCHEMES + UrlValidator.NO_FRAGMENTS;
    testIsValid(testUrlPartsOptions, options);
}
public void testValidator375() {
    UrlValidator validator = new UrlValidator();
    String url = "http://[FEDC:BA98:7654:3210:FEDC:BA98:7654:3210]:80/index.html";
    assertTrue("IPv6 address URL should validate: " + url, validator.isValid(url));
    url = "http://[::1]:80/index.html";
    assertTrue("IPv6 address URL should validate: " + url, validator.isValid(url));
    url = "http://FEDC:BA98:7654:3210:FEDC:BA98:7654:3210:80/index.html";
    assertFalse("IPv6 address without [] should not validate: " + url, validator.isValid(url));
}</t>
  </si>
  <si>
    <t>[org/apache/commons/validator/routines/UrlValidator."&lt;init&gt;", org/apache/commons/validator/routines/UrlValidator.isValid, org/apache/commons/validator/routines/UrlValidator.isValid, java/lang/StringBuilder."&lt;init&gt;", java/lang/StringBuilder.append, java/lang/StringBuilder.toString, org/apache/commons/validator/routines/UrlValidator.isValid, .incrementTestPartsIndex]
[org/apache/commons/validator/routines/UrlValidator."&lt;init&gt;", java/lang/StringBuilder."&lt;init&gt;", java/lang/StringBuilder.append, java/lang/StringBuilder.append, java/lang/StringBuilder.toString, org/apache/commons/validator/routines/UrlValidator.isValid, java/lang/StringBuilder."&lt;init&gt;", java/lang/StringBuilder.append, java/lang/StringBuilder.append, java/lang/StringBuilder.toString, org/apache/commons/validator/routines/UrlValidator.isValid, java/lang/StringBuilder."&lt;init&gt;", java/lang/StringBuilder.append, java/lang/StringBuilder.append, java/lang/StringBuilder.toString, org/apache/commons/validator/routines/UrlValidator.isValid]</t>
  </si>
  <si>
    <t>testValidator375</t>
  </si>
  <si>
    <t>[ .incrementTestPartsIndex]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</si>
  <si>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public void testValidator204() {
    String[] schemes = { "http", "https" };
    UrlValidator urlValidator = new UrlValidator(schemes);
    assertTrue(urlValidator.isValid("http://tech.yahoo.com/rc/desktops/102;_ylt=Ao8yevQHlZ4On0O3ZJGXLEQFLZA5"));
}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</si>
  <si>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public void testValidator391OK() {
    String[] schemes = { "file" };
    UrlValidator urlValidator = new UrlValidator(schemes);
    assertTrue(urlValidator.isValid("file:///C:/path/to/dir/"));
}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</si>
  <si>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public void testValidator391FAILS() {
    String[] schemes = { "file" };
    UrlValidator urlValidator = new UrlValidator(schemes);
    assertTrue(urlValidator.isValid("file:/C:/path/to/dir/"));
}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</si>
  <si>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public void testValidator342() {
    UrlValidator urlValidator = new UrlValidator();
    assertTrue(urlValidator.isValid("http://example.rocks/"));
    assertTrue(urlValidator.isValid("http://example.rocks"));
}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</si>
  <si>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public void testValidator218() {
    UrlValidator validator = new UrlValidator(UrlValidator.ALLOW_2_SLASHES);
    assertTrue("parentheses should be valid in URLs", validator.isValid("http://somewhere.com/pathxyz/file(1).html"));
}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</si>
  <si>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public void testValidator382() {
    UrlValidator validator = new UrlValidator();
    assertTrue(validator.isValid("ftp://username:password@example.com:8042/over/there/index.dtb?type=animal&amp;name=narwhal#nose"));
}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</si>
  <si>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public void testValidator361() {
    UrlValidator validator = new UrlValidator();
    assertTrue(validator.isValid("http://hello.tokyo/"));
}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</si>
  <si>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</si>
  <si>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org/apache/commons/validator/routines/UrlValidator.isValid]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</si>
  <si>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</si>
  <si>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</si>
  <si>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</si>
  <si>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</si>
  <si>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</si>
  <si>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</si>
  <si>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</si>
  <si>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</t>
  </si>
  <si>
    <t>[ org/apache/commons/validator/routines/UrlValidator."&lt;init&gt;"]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</si>
  <si>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</si>
  <si>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</si>
  <si>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</si>
  <si>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</si>
  <si>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</si>
  <si>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</si>
  <si>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</si>
  <si>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</si>
  <si>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</si>
  <si>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testValidator204() {
    String[] schemes = { "http", "https" };
    UrlValidator urlValidator = new UrlValidator(schemes);
    assertTrue(urlValidator.isValid("http://tech.yahoo.com/rc/desktops/102;_ylt=Ao8yevQHlZ4On0O3ZJGXLEQFLZA5"));
}
public void testValidator391OK() {
    String[] schemes = { "file" };
    UrlValidator urlValidator = new UrlValidator(schemes);
    assertTrue(urlValidator.isValid("file:///C:/path/to/dir/"));
}</t>
  </si>
  <si>
    <t>public void testValidator204() {
    String[] schemes = { "http", "https" };
    UrlValidator urlValidator = new UrlValidator(schemes);
    assertTrue(urlValidator.isValid("http://tech.yahoo.com/rc/desktops/102;_ylt=Ao8yevQHlZ4On0O3ZJGXLEQFLZA5"));
}
public void testValidator391FAILS() {
    String[] schemes = { "file" };
    UrlValidator urlValidator = new UrlValidator(schemes);
    assertTrue(urlValidator.isValid("file:/C:/path/to/dir/"));
}</t>
  </si>
  <si>
    <t>public void testValidator204() {
    String[] schemes = { "http", "https" };
    UrlValidator urlValidator = new UrlValidator(schemes);
    assertTrue(urlValidator.isValid("http://tech.yahoo.com/rc/desktops/102;_ylt=Ao8yevQHlZ4On0O3ZJGXLEQFLZA5"));
}
public void testValidator382() {
    UrlValidator validator = new UrlValidator();
    assertTrue(validator.isValid("ftp://username:password@example.com:8042/over/there/index.dtb?type=animal&amp;name=narwhal#nose"));
}</t>
  </si>
  <si>
    <t>public void testValidator204() {
    String[] schemes = { "http", "https" };
    UrlValidator urlValidator = new UrlValidator(schemes);
    assertTrue(urlValidator.isValid("http://tech.yahoo.com/rc/desktops/102;_ylt=Ao8yevQHlZ4On0O3ZJGXLEQFLZA5"));
}
public void testValidator361() {
    UrlValidator validator = new UrlValidator();
    assertTrue(validator.isValid("http://hello.tokyo/"));
}</t>
  </si>
  <si>
    <t>public void testValidator204() {
    String[] schemes = { "http", "https" };
    UrlValidator urlValidator = new UrlValidator(schemes);
    assertTrue(urlValidator.isValid("http://tech.yahoo.com/rc/desktops/102;_ylt=Ao8yevQHlZ4On0O3ZJGXLEQFLZA5"));
}
public void testValidator342() {
    UrlValidator urlValidator = new UrlValidator();
    assertTrue(urlValidator.isValid("http://example.rocks/"));
    assertTrue(urlValidator.isValid("http://example.rocks"));
}</t>
  </si>
  <si>
    <t>public void testValidator204() {
    String[] schemes = { "http", "https" };
    UrlValidator urlValidator = new UrlValidator(schemes);
    assertTrue(urlValidator.isValid("http://tech.yahoo.com/rc/desktops/102;_ylt=Ao8yevQHlZ4On0O3ZJGXLEQFLZA5"));
}
public void testValidator218() {
    UrlValidator validator = new UrlValidator(UrlValidator.ALLOW_2_SLASHES);
    assertTrue("parentheses should be valid in URLs", validator.isValid("http://somewhere.com/pathxyz/file(1).html"));
}</t>
  </si>
  <si>
    <t>public void testValidator204() {
    String[] schemes = { "http", "https" };
    UrlValidator urlValidator = new UrlValidator(schemes);
    assertTrue(urlValidator.isValid("http://tech.yahoo.com/rc/desktops/102;_ylt=Ao8yevQHlZ4On0O3ZJGXLEQFLZA5"));
}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</si>
  <si>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public void testValidator204() {
    String[] schemes = { "http", "https" };
    UrlValidator urlValidator = new UrlValidator(schemes);
    assertTrue(urlValidator.isValid("http://tech.yahoo.com/rc/desktops/102;_ylt=Ao8yevQHlZ4On0O3ZJGXLEQFLZA5"));
}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</si>
  <si>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public void testValidator204() {
    String[] schemes = { "http", "https" };
    UrlValidator urlValidator = new UrlValidator(schemes);
    assertTrue(urlValidator.isValid("http://tech.yahoo.com/rc/desktops/102;_ylt=Ao8yevQHlZ4On0O3ZJGXLEQFLZA5"));
}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</si>
  <si>
    <t>public void testValidator204() {
    String[] schemes = { "http", "https" };
    UrlValidator urlValidator = new UrlValidator(schemes);
    assertTrue(urlValidator.isValid("http://tech.yahoo.com/rc/desktops/102;_ylt=Ao8yevQHlZ4On0O3ZJGXLEQFLZA5"));
}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</si>
  <si>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public void testValidator204() {
    String[] schemes = { "http", "https" };
    UrlValidator urlValidator = new UrlValidator(schemes);
    assertTrue(urlValidator.isValid("http://tech.yahoo.com/rc/desktops/102;_ylt=Ao8yevQHlZ4On0O3ZJGXLEQFLZA5"));
}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</si>
  <si>
    <t>public void testValidator204() {
    String[] schemes = { "http", "https" };
    UrlValidator urlValidator = new UrlValidator(schemes);
    assertTrue(urlValidator.isValid("http://tech.yahoo.com/rc/desktops/102;_ylt=Ao8yevQHlZ4On0O3ZJGXLEQFLZA5"));
}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</si>
  <si>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public void testValidator204() {
    String[] schemes = { "http", "https" };
    UrlValidator urlValidator = new UrlValidator(schemes);
    assertTrue(urlValidator.isValid("http://tech.yahoo.com/rc/desktops/102;_ylt=Ao8yevQHlZ4On0O3ZJGXLEQFLZA5"));
}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</si>
  <si>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public void testValidator204() {
    String[] schemes = { "http", "https" };
    UrlValidator urlValidator = new UrlValidator(schemes);
    assertTrue(urlValidator.isValid("http://tech.yahoo.com/rc/desktops/102;_ylt=Ao8yevQHlZ4On0O3ZJGXLEQFLZA5"));
}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</si>
  <si>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public void testValidator204() {
    String[] schemes = { "http", "https" };
    UrlValidator urlValidator = new UrlValidator(schemes);
    assertTrue(urlValidator.isValid("http://tech.yahoo.com/rc/desktops/102;_ylt=Ao8yevQHlZ4On0O3ZJGXLEQFLZA5"));
}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</t>
  </si>
  <si>
    <t>public void testValidator204() {
    String[] schemes = { "http", "https" };
    UrlValidator urlValidator = new UrlValidator(schemes);
    assertTrue(urlValidator.isValid("http://tech.yahoo.com/rc/desktops/102;_ylt=Ao8yevQHlZ4On0O3ZJGXLEQFLZA5"));
}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</si>
  <si>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public void testValidator204() {
    String[] schemes = { "http", "https" };
    UrlValidator urlValidator = new UrlValidator(schemes);
    assertTrue(urlValidator.isValid("http://tech.yahoo.com/rc/desktops/102;_ylt=Ao8yevQHlZ4On0O3ZJGXLEQFLZA5"));
}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</t>
  </si>
  <si>
    <t>public void testValidator204() {
    String[] schemes = { "http", "https" };
    UrlValidator urlValidator = new UrlValidator(schemes);
    assertTrue(urlValidator.isValid("http://tech.yahoo.com/rc/desktops/102;_ylt=Ao8yevQHlZ4On0O3ZJGXLEQFLZA5"));
}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</si>
  <si>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public void testValidator218() {
    UrlValidator validator = new UrlValidator(UrlValidator.ALLOW_2_SLASHES);
    assertTrue("parentheses should be valid in URLs", validator.isValid("http://somewhere.com/pathxyz/file(1).html"));
}
public void testValidator382() {
    UrlValidator validator = new UrlValidator();
    assertTrue(validator.isValid("ftp://username:password@example.com:8042/over/there/index.dtb?type=animal&amp;name=narwhal#nose"));
}</t>
  </si>
  <si>
    <t>public void testValidator218() {
    UrlValidator validator = new UrlValidator(UrlValidator.ALLOW_2_SLASHES);
    assertTrue("parentheses should be valid in URLs", validator.isValid("http://somewhere.com/pathxyz/file(1).html"));
}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</si>
  <si>
    <t>public void testValidator218() {
    UrlValidator validator = new UrlValidator(UrlValidator.ALLOW_2_SLASHES);
    assertTrue("parentheses should be valid in URLs", validator.isValid("http://somewhere.com/pathxyz/file(1).html"));
}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</si>
  <si>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public void testValidator218() {
    UrlValidator validator = new UrlValidator(UrlValidator.ALLOW_2_SLASHES);
    assertTrue("parentheses should be valid in URLs", validator.isValid("http://somewhere.com/pathxyz/file(1).html"));
}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</si>
  <si>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public void testValidator218() {
    UrlValidator validator = new UrlValidator(UrlValidator.ALLOW_2_SLASHES);
    assertTrue("parentheses should be valid in URLs", validator.isValid("http://somewhere.com/pathxyz/file(1).html"));
}
public void testValidator391OK() {
    String[] schemes = { "file" };
    UrlValidator urlValidator = new UrlValidator(schemes);
    assertTrue(urlValidator.isValid("file:///C:/path/to/dir/"));
}</t>
  </si>
  <si>
    <t>public void testValidator218() {
    UrlValidator validator = new UrlValidator(UrlValidator.ALLOW_2_SLASHES);
    assertTrue("parentheses should be valid in URLs", validator.isValid("http://somewhere.com/pathxyz/file(1).html"));
}
public void testValidator391FAILS() {
    String[] schemes = { "file" };
    UrlValidator urlValidator = new UrlValidator(schemes);
    assertTrue(urlValidator.isValid("file:/C:/path/to/dir/"));
}</t>
  </si>
  <si>
    <t>public void testValidator218() {
    UrlValidator validator = new UrlValidator(UrlValidator.ALLOW_2_SLASHES);
    assertTrue("parentheses should be valid in URLs", validator.isValid("http://somewhere.com/pathxyz/file(1).html"));
}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</si>
  <si>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public void testValidator218() {
    UrlValidator validator = new UrlValidator(UrlValidator.ALLOW_2_SLASHES);
    assertTrue("parentheses should be valid in URLs", validator.isValid("http://somewhere.com/pathxyz/file(1).html"));
}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</si>
  <si>
    <t>public void testValidator218() {
    UrlValidator validator = new UrlValidator(UrlValidator.ALLOW_2_SLASHES);
    assertTrue("parentheses should be valid in URLs", validator.isValid("http://somewhere.com/pathxyz/file(1).html"));
}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</si>
  <si>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public void testValidator218() {
    UrlValidator validator = new UrlValidator(UrlValidator.ALLOW_2_SLASHES);
    assertTrue("parentheses should be valid in URLs", validator.isValid("http://somewhere.com/pathxyz/file(1).html"));
}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</si>
  <si>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public void testValidator218() {
    UrlValidator validator = new UrlValidator(UrlValidator.ALLOW_2_SLASHES);
    assertTrue("parentheses should be valid in URLs", validator.isValid("http://somewhere.com/pathxyz/file(1).html"));
}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</si>
  <si>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public void testValidator218() {
    UrlValidator validator = new UrlValidator(UrlValidator.ALLOW_2_SLASHES);
    assertTrue("parentheses should be valid in URLs", validator.isValid("http://somewhere.com/pathxyz/file(1).html"));
}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</t>
  </si>
  <si>
    <t>public void testValidator218() {
    UrlValidator validator = new UrlValidator(UrlValidator.ALLOW_2_SLASHES);
    assertTrue("parentheses should be valid in URLs", validator.isValid("http://somewhere.com/pathxyz/file(1).html"));
}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</t>
  </si>
  <si>
    <t>public void testValidator218() {
    UrlValidator validator = new UrlValidator(UrlValidator.ALLOW_2_SLASHES);
    assertTrue("parentheses should be valid in URLs", validator.isValid("http://somewhere.com/pathxyz/file(1).html"));
}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</si>
  <si>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public void testValidator218() {
    UrlValidator validator = new UrlValidator(UrlValidator.ALLOW_2_SLASHES);
    assertTrue("parentheses should be valid in URLs", validator.isValid("http://somewhere.com/pathxyz/file(1).html"));
}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</si>
  <si>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</si>
  <si>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</si>
  <si>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</si>
  <si>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</si>
  <si>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</si>
  <si>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</si>
  <si>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</si>
  <si>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</si>
  <si>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</si>
  <si>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org/apache/commons/validator/routines/UrlValidator.isValid]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</si>
  <si>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</si>
  <si>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</si>
  <si>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</si>
  <si>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</si>
  <si>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public void testValidator342() {
    UrlValidator urlValidator = new UrlValidator();
    assertTrue(urlValidator.isValid("http://example.rocks/"));
    assertTrue(urlValidator.isValid("http://example.rocks"));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</si>
  <si>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org/apache/commons/validator/routines/UrlValidator.isValid]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</si>
  <si>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public void testValidator391OK() {
    String[] schemes = { "file" };
    UrlValidator urlValidator = new UrlValidator(schemes);
    assertTrue(urlValidator.isValid("file:///C:/path/to/dir/"));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</si>
  <si>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org/apache/commons/validator/routines/UrlValidator.isValid]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</si>
  <si>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public void testValidator391FAILS() {
    String[] schemes = { "file" };
    UrlValidator urlValidator = new UrlValidator(schemes);
    assertTrue(urlValidator.isValid("file:/C:/path/to/dir/"));
}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</si>
  <si>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public void testValidator382() {
    UrlValidator validator = new UrlValidator();
    assertTrue(validator.isValid("ftp://username:password@example.com:8042/over/there/index.dtb?type=animal&amp;name=narwhal#nose"));
}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</si>
  <si>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public void testValidator361() {
    UrlValidator validator = new UrlValidator();
    assertTrue(validator.isValid("http://hello.tokyo/"));
}</t>
  </si>
  <si>
    <t>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</si>
  <si>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</si>
  <si>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</si>
  <si>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</si>
  <si>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</si>
  <si>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</t>
  </si>
  <si>
    <t>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</si>
  <si>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</si>
  <si>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</si>
  <si>
    <t>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</si>
  <si>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</si>
  <si>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org/apache/commons/validator/routines/UrlValidator.isValid]</t>
  </si>
  <si>
    <t>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</si>
  <si>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</si>
  <si>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public void testValidator342() {
    UrlValidator urlValidator = new UrlValidator();
    assertTrue(urlValidator.isValid("http://example.rocks/"));
    assertTrue(urlValidator.isValid("http://example.rocks"));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</si>
  <si>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org/apache/commons/validator/routines/UrlValidator.isValid]</t>
  </si>
  <si>
    <t>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public void testValidator391OK() {
    String[] schemes = { "file" };
    UrlValidator urlValidator = new UrlValidator(schemes);
    assertTrue(urlValidator.isValid("file:///C:/path/to/dir/"));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</si>
  <si>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org/apache/commons/validator/routines/UrlValidator.isValid]</t>
  </si>
  <si>
    <t>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public void testValidator391FAILS() {
    String[] schemes = { "file" };
    UrlValidator urlValidator = new UrlValidator(schemes);
    assertTrue(urlValidator.isValid("file:/C:/path/to/dir/"));
}</t>
  </si>
  <si>
    <t>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public void testValidator382() {
    UrlValidator validator = new UrlValidator();
    assertTrue(validator.isValid("ftp://username:password@example.com:8042/over/there/index.dtb?type=animal&amp;name=narwhal#nose"));
}</t>
  </si>
  <si>
    <t>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public void testValidator361() {
    UrlValidator validator = new UrlValidator();
    assertTrue(validator.isValid("http://hello.tokyo/"));
}</t>
  </si>
  <si>
    <t>public void testValidator391OK() {
    String[] schemes = { "file" };
    UrlValidator urlValidator = new UrlValidator(schemes);
    assertTrue(urlValidator.isValid("file:///C:/path/to/dir/"));
}
public void testValidator391FAILS() {
    String[] schemes = { "file" };
    UrlValidator urlValidator = new UrlValidator(schemes);
    assertTrue(urlValidator.isValid("file:/C:/path/to/dir/"));
}</t>
  </si>
  <si>
    <t>public void testValidator391OK() {
    String[] schemes = { "file" };
    UrlValidator urlValidator = new UrlValidator(schemes);
    assertTrue(urlValidator.isValid("file:///C:/path/to/dir/"));
}
public void testValidator361() {
    UrlValidator validator = new UrlValidator();
    assertTrue(validator.isValid("http://hello.tokyo/"));
}</t>
  </si>
  <si>
    <t>public void testValidator391OK() {
    String[] schemes = { "file" };
    UrlValidator urlValidator = new UrlValidator(schemes);
    assertTrue(urlValidator.isValid("file:///C:/path/to/dir/"));
}
public void testValidator382() {
    UrlValidator validator = new UrlValidator();
    assertTrue(validator.isValid("ftp://username:password@example.com:8042/over/there/index.dtb?type=animal&amp;name=narwhal#nose"));
}</t>
  </si>
  <si>
    <t>public void testValidator391OK() {
    String[] schemes = { "file" };
    UrlValidator urlValidator = new UrlValidator(schemes);
    assertTrue(urlValidator.isValid("file:///C:/path/to/dir/"));
}
public void testValidator342() {
    UrlValidator urlValidator = new UrlValidator();
    assertTrue(urlValidator.isValid("http://example.rocks/"));
    assertTrue(urlValidator.isValid("http://example.rocks"));
}</t>
  </si>
  <si>
    <t>public void testValidator391OK() {
    String[] schemes = { "file" };
    UrlValidator urlValidator = new UrlValidator(schemes);
    assertTrue(urlValidator.isValid("file:///C:/path/to/dir/"));
}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</si>
  <si>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public void testValidator391OK() {
    String[] schemes = { "file" };
    UrlValidator urlValidator = new UrlValidator(schemes);
    assertTrue(urlValidator.isValid("file:///C:/path/to/dir/"));
}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</si>
  <si>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public void testValidator391OK() {
    String[] schemes = { "file" };
    UrlValidator urlValidator = new UrlValidator(schemes);
    assertTrue(urlValidator.isValid("file:///C:/path/to/dir/"));
}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</si>
  <si>
    <t>public void testValidator391OK() {
    String[] schemes = { "file" };
    UrlValidator urlValidator = new UrlValidator(schemes);
    assertTrue(urlValidator.isValid("file:///C:/path/to/dir/"));
}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</si>
  <si>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public void testValidator391OK() {
    String[] schemes = { "file" };
    UrlValidator urlValidator = new UrlValidator(schemes);
    assertTrue(urlValidator.isValid("file:///C:/path/to/dir/"));
}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</si>
  <si>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public void testValidator391OK() {
    String[] schemes = { "file" };
    UrlValidator urlValidator = new UrlValidator(schemes);
    assertTrue(urlValidator.isValid("file:///C:/path/to/dir/"));
}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</si>
  <si>
    <t>public void testValidator391OK() {
    String[] schemes = { "file" };
    UrlValidator urlValidator = new UrlValidator(schemes);
    assertTrue(urlValidator.isValid("file:///C:/path/to/dir/"));
}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</si>
  <si>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public void testValidator391OK() {
    String[] schemes = { "file" };
    UrlValidator urlValidator = new UrlValidator(schemes);
    assertTrue(urlValidator.isValid("file:///C:/path/to/dir/"));
}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</si>
  <si>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public void testValidator391OK() {
    String[] schemes = { "file" };
    UrlValidator urlValidator = new UrlValidator(schemes);
    assertTrue(urlValidator.isValid("file:///C:/path/to/dir/"));
}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</si>
  <si>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public void testValidator391OK() {
    String[] schemes = { "file" };
    UrlValidator urlValidator = new UrlValidator(schemes);
    assertTrue(urlValidator.isValid("file:///C:/path/to/dir/"));
}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</si>
  <si>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public void testValidator391FAILS() {
    String[] schemes = { "file" };
    UrlValidator urlValidator = new UrlValidator(schemes);
    assertTrue(urlValidator.isValid("file:/C:/path/to/dir/"));
}
public void testValidator361() {
    UrlValidator validator = new UrlValidator();
    assertTrue(validator.isValid("http://hello.tokyo/"));
}</t>
  </si>
  <si>
    <t>public void testValidator391FAILS() {
    String[] schemes = { "file" };
    UrlValidator urlValidator = new UrlValidator(schemes);
    assertTrue(urlValidator.isValid("file:/C:/path/to/dir/"));
}
public void testValidator382() {
    UrlValidator validator = new UrlValidator();
    assertTrue(validator.isValid("ftp://username:password@example.com:8042/over/there/index.dtb?type=animal&amp;name=narwhal#nose"));
}</t>
  </si>
  <si>
    <t>public void testValidator391FAILS() {
    String[] schemes = { "file" };
    UrlValidator urlValidator = new UrlValidator(schemes);
    assertTrue(urlValidator.isValid("file:/C:/path/to/dir/"));
}
public void testValidator342() {
    UrlValidator urlValidator = new UrlValidator();
    assertTrue(urlValidator.isValid("http://example.rocks/"));
    assertTrue(urlValidator.isValid("http://example.rocks"));
}</t>
  </si>
  <si>
    <t>public void testValidator391FAILS() {
    String[] schemes = { "file" };
    UrlValidator urlValidator = new UrlValidator(schemes);
    assertTrue(urlValidator.isValid("file:/C:/path/to/dir/"));
}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</si>
  <si>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public void testValidator391FAILS() {
    String[] schemes = { "file" };
    UrlValidator urlValidator = new UrlValidator(schemes);
    assertTrue(urlValidator.isValid("file:/C:/path/to/dir/"));
}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</si>
  <si>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public void testValidator391FAILS() {
    String[] schemes = { "file" };
    UrlValidator urlValidator = new UrlValidator(schemes);
    assertTrue(urlValidator.isValid("file:/C:/path/to/dir/"));
}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</si>
  <si>
    <t>public void testValidator391FAILS() {
    String[] schemes = { "file" };
    UrlValidator urlValidator = new UrlValidator(schemes);
    assertTrue(urlValidator.isValid("file:/C:/path/to/dir/"));
}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</si>
  <si>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public void testValidator391FAILS() {
    String[] schemes = { "file" };
    UrlValidator urlValidator = new UrlValidator(schemes);
    assertTrue(urlValidator.isValid("file:/C:/path/to/dir/"));
}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</si>
  <si>
    <t>public void testValidator391FAILS() {
    String[] schemes = { "file" };
    UrlValidator urlValidator = new UrlValidator(schemes);
    assertTrue(urlValidator.isValid("file:/C:/path/to/dir/"));
}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</si>
  <si>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public void testValidator391FAILS() {
    String[] schemes = { "file" };
    UrlValidator urlValidator = new UrlValidator(schemes);
    assertTrue(urlValidator.isValid("file:/C:/path/to/dir/"));
}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</si>
  <si>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public void testValidator391FAILS() {
    String[] schemes = { "file" };
    UrlValidator urlValidator = new UrlValidator(schemes);
    assertTrue(urlValidator.isValid("file:/C:/path/to/dir/"));
}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</si>
  <si>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public void testValidator391FAILS() {
    String[] schemes = { "file" };
    UrlValidator urlValidator = new UrlValidator(schemes);
    assertTrue(urlValidator.isValid("file:/C:/path/to/dir/"));
}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</si>
  <si>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public void testValidator391FAILS() {
    String[] schemes = { "file" };
    UrlValidator urlValidator = new UrlValidator(schemes);
    assertTrue(urlValidator.isValid("file:/C:/path/to/dir/"));
}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</si>
  <si>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</si>
  <si>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</si>
  <si>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</si>
  <si>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</si>
  <si>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</si>
  <si>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org/apache/commons/validator/routines/UrlValidator.isValid]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</si>
  <si>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</si>
  <si>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</si>
  <si>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</si>
  <si>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</si>
  <si>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public void testValidator342() {
    UrlValidator urlValidator = new UrlValidator();
    assertTrue(urlValidator.isValid("http://example.rocks/"));
    assertTrue(urlValidator.isValid("http://example.rocks"));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</si>
  <si>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org/apache/commons/validator/routines/UrlValidator.isValid]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</si>
  <si>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public void testValidator382() {
    UrlValidator validator = new UrlValidator();
    assertTrue(validator.isValid("ftp://username:password@example.com:8042/over/there/index.dtb?type=animal&amp;name=narwhal#nose"));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</si>
  <si>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org/apache/commons/validator/routines/UrlValidator.isValid]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</si>
  <si>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public void testValidator361() {
    UrlValidator validator = new UrlValidator();
    assertTrue(validator.isValid("http://hello.tokyo/"));
}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</si>
  <si>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</si>
  <si>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</si>
  <si>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</si>
  <si>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org/apache/commons/validator/routines/UrlValidator.isValid]</t>
  </si>
  <si>
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</si>
  <si>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</si>
  <si>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</si>
  <si>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</si>
  <si>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public void testValidator342() {
    UrlValidator urlValidator = new UrlValidator();
    assertTrue(urlValidator.isValid("http://example.rocks/"));
    assertTrue(urlValidator.isValid("http://example.rocks"));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</si>
  <si>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org/apache/commons/validator/routines/UrlValidator.isValid]</t>
  </si>
  <si>
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public void testValidator382() {
    UrlValidator validator = new UrlValidator();
    assertTrue(validator.isValid("ftp://username:password@example.com:8042/over/there/index.dtb?type=animal&amp;name=narwhal#nose"));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</si>
  <si>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org/apache/commons/validator/routines/UrlValidator.isValid]</t>
  </si>
  <si>
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public void testValidator361() {
    UrlValidator validator = new UrlValidator();
    assertTrue(validator.isValid("http://hello.tokyo/"));
}</t>
  </si>
  <si>
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</si>
  <si>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</si>
  <si>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</si>
  <si>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</si>
  <si>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</si>
  <si>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</si>
  <si>
    <t>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</si>
  <si>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</si>
  <si>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</si>
  <si>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public void testValidator342() {
    UrlValidator urlValidator = new UrlValidator();
    assertTrue(urlValidator.isValid("http://example.rocks/"));
    assertTrue(urlValidator.isValid("http://example.rocks"));
}</t>
  </si>
  <si>
    <t>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public void testValidator382() {
    UrlValidator validator = new UrlValidator();
    assertTrue(validator.isValid("ftp://username:password@example.com:8042/over/there/index.dtb?type=animal&amp;name=narwhal#nose"));
}</t>
  </si>
  <si>
    <t>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public void testValidator361() {
    UrlValidator validator = new UrlValidator();
    assertTrue(validator.isValid("http://hello.tokyo/"));
}</t>
  </si>
  <si>
    <t>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</si>
  <si>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</si>
  <si>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public void testValidator342() {
    UrlValidator urlValidator = new UrlValidator();
    assertTrue(urlValidator.isValid("http://example.rocks/"));
    assertTrue(urlValidator.isValid("http://example.rocks"));
}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</si>
  <si>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[org/apache/commons/validator/routines/UrlValidator."&lt;init&gt;",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org/apache/commons/validator/routines/UrlValidator.isValid]</t>
  </si>
  <si>
    <t>public void testValidator342() {
    UrlValidator urlValidator = new UrlValidator();
    assertTrue(urlValidator.isValid("http://example.rocks/"));
    assertTrue(urlValidator.isValid("http://example.rocks"));
}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</si>
  <si>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public void testValidator342() {
    UrlValidator urlValidator = new UrlValidator();
    assertTrue(urlValidator.isValid("http://example.rocks/"));
    assertTrue(urlValidator.isValid("http://example.rocks"));
}
public void testValidator382() {
    UrlValidator validator = new UrlValidator();
    assertTrue(validator.isValid("ftp://username:password@example.com:8042/over/there/index.dtb?type=animal&amp;name=narwhal#nose"));
}</t>
  </si>
  <si>
    <t>[org/apache/commons/validator/routines/UrlValidator."&lt;init&gt;", org/apache/commons/validator/routines/UrlValidator.isValid, org/apache/commons/validator/routines/UrlValidator.isValid]
[org/apache/commons/validator/routines/UrlValidator."&lt;init&gt;", org/apache/commons/validator/routines/UrlValidator.isValid]</t>
  </si>
  <si>
    <t>public void testValidator342() {
    UrlValidator urlValidator = new UrlValidator();
    assertTrue(urlValidator.isValid("http://example.rocks/"));
    assertTrue(urlValidator.isValid("http://example.rocks"));
}
public void testValidator361() {
    UrlValidator validator = new UrlValidator();
    assertTrue(validator.isValid("http://hello.tokyo/"));
}</t>
  </si>
  <si>
    <t>public void testValidator342() {
    UrlValidator urlValidator = new UrlValidator();
    assertTrue(urlValidator.isValid("http://example.rocks/"));
    assertTrue(urlValidator.isValid("http://example.rocks"));
}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</si>
  <si>
    <t>public void testValidator342() {
    UrlValidator urlValidator = new UrlValidator();
    assertTrue(urlValidator.isValid("http://example.rocks/"));
    assertTrue(urlValidator.isValid("http://example.rocks"));
}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</si>
  <si>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[org/apache/commons/validator/routines/UrlValidator."&lt;init&gt;",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</si>
  <si>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testValidator342() {
    UrlValidator urlValidator = new UrlValidator();
    assertTrue(urlValidator.isValid("http://example.rocks/"));
    assertTrue(urlValidator.isValid("http://example.rocks"));
}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</si>
  <si>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[org/apache/commons/validator/routines/UrlValidator."&lt;init&gt;",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</si>
  <si>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testValidator342() {
    UrlValidator urlValidator = new UrlValidator();
    assertTrue(urlValidator.isValid("http://example.rocks/"));
    assertTrue(urlValidator.isValid("http://example.rocks"));
}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</si>
  <si>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[org/apache/commons/validator/routines/UrlValidator."&lt;init&gt;",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</si>
  <si>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testValidator342() {
    UrlValidator urlValidator = new UrlValidator();
    assertTrue(urlValidator.isValid("http://example.rocks/"));
    assertTrue(urlValidator.isValid("http://example.rocks"));
}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</si>
  <si>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[org/apache/commons/validator/routines/UrlValidator."&lt;init&gt;",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</si>
  <si>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</si>
  <si>
    <t>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</si>
  <si>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</si>
  <si>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</si>
  <si>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
public void testValidator361() {
    UrlValidator validator = new UrlValidator();
    assertTrue(validator.isValid("http://hello.tokyo/"));
}</t>
  </si>
  <si>
    <t>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
public void testValidator382() {
    UrlValidator validator = new UrlValidator();
    assertTrue(validator.isValid("ftp://username:password@example.com:8042/over/there/index.dtb?type=animal&amp;name=narwhal#nose"));
}</t>
  </si>
  <si>
    <t>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</si>
  <si>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</si>
  <si>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</si>
  <si>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</si>
  <si>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</si>
  <si>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</si>
  <si>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</si>
  <si>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org/apache/commons/validator/routines/UrlValidator.isValid]</t>
  </si>
  <si>
    <t>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</si>
  <si>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</si>
  <si>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
public void testValidator382() {
    UrlValidator validator = new UrlValidator();
    assertTrue(validator.isValid("ftp://username:password@example.com:8042/over/there/index.dtb?type=animal&amp;name=narwhal#nose"));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</si>
  <si>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org/apache/commons/validator/routines/UrlValidator.isValid]</t>
  </si>
  <si>
    <t>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
public void testValidator361() {
    UrlValidator validator = new UrlValidator();
    assertTrue(validator.isValid("http://hello.tokyo/"));
}</t>
  </si>
  <si>
    <t>public void testValidator361() {
    UrlValidator validator = new UrlValidator();
    assertTrue(validator.isValid("http://hello.tokyo/"));
}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</si>
  <si>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public void testValidator361() {
    UrlValidator validator = new UrlValidator();
    assertTrue(validator.isValid("http://hello.tokyo/"));
}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</si>
  <si>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public void testValidator361() {
    UrlValidator validator = new UrlValidator();
    assertTrue(validator.isValid("http://hello.tokyo/"));
}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</si>
  <si>
    <t>public void testValidator361() {
    UrlValidator validator = new UrlValidator();
    assertTrue(validator.isValid("http://hello.tokyo/"));
}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</si>
  <si>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public void testValidator361() {
    UrlValidator validator = new UrlValidator();
    assertTrue(validator.isValid("http://hello.tokyo/"));
}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</si>
  <si>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</si>
  <si>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</si>
  <si>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</si>
  <si>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org/apache/commons/validator/routines/UrlValidator.isValid]</t>
  </si>
  <si>
    <t>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</si>
  <si>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</si>
  <si>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
public void testValidator382() {
    UrlValidator validator = new UrlValidator();
    assertTrue(validator.isValid("ftp://username:password@example.com:8042/over/there/index.dtb?type=animal&amp;name=narwhal#nose"));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</si>
  <si>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org/apache/commons/validator/routines/UrlValidator.isValid]</t>
  </si>
  <si>
    <t>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</si>
  <si>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org/apache/commons/validator/routines/UrlValidator.isValid]</t>
  </si>
  <si>
    <t>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</si>
  <si>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</si>
  <si>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
public void testValidator382() {
    UrlValidator validator = new UrlValidator();
    assertTrue(validator.isValid("ftp://username:password@example.com:8042/over/there/index.dtb?type=animal&amp;name=narwhal#nose"));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</si>
  <si>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org/apache/commons/validator/routines/UrlValidator.isValid]</t>
  </si>
  <si>
    <t>public void testValidator382() {
    UrlValidator validator = new UrlValidator();
    assertTrue(validator.isValid("ftp://username:password@example.com:8042/over/there/index.dtb?type=animal&amp;name=narwhal#nose"));
}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</si>
  <si>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public void testValidator382() {
    UrlValidator validator = new UrlValidator();
    assertTrue(validator.isValid("ftp://username:password@example.com:8042/over/there/index.dtb?type=animal&amp;name=narwhal#nose"));
}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</si>
  <si>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public void testValidator382() {
    UrlValidator validator = new UrlValidator();
    assertTrue(validator.isValid("ftp://username:password@example.com:8042/over/there/index.dtb?type=animal&amp;name=narwhal#nose"));
}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</si>
  <si>
    <t>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</si>
  <si>
    <t>org.apache.commons.validator.DoubleTest</t>
  </si>
  <si>
    <t>testDoubleMin</t>
  </si>
  <si>
    <t>/**
 * Tests the double validation.
 */
public void testDoubleMin() throws ValidatorException {
    // Create bean to run test on.
    ValueBean info = new ValueBean();
    info.setValue(Double.valueOf(Double.MIN_VALUE).toString());
    valueTest(info, true);
}
/**
 * Tests the double validation.
 */
public void testDoubleMax() throws ValidatorException {
    // Create bean to run test on.
    ValueBean info = new ValueBean();
    info.setValue(Double.valueOf(Double.MAX_VALUE).toString());
    valueTest(info, true);
}</t>
  </si>
  <si>
    <t>[org/apache/commons/validator/ValueBean."&lt;init&gt;", java/lang/Double.valueOf, java/lang/Double.toString, org/apache/commons/validator/ValueBean.setValue, .valueTest]
[org/apache/commons/validator/ValueBean."&lt;init&gt;", java/lang/Double.valueOf, java/lang/Double.toString, org/apache/commons/validator/ValueBean.setValue, .valueTest]</t>
  </si>
  <si>
    <t>testDoubleMax</t>
  </si>
  <si>
    <t>org.apache.commons.validator.ShortTest</t>
  </si>
  <si>
    <t>testShortMin</t>
  </si>
  <si>
    <t>/**
 * Tests the short validation.
 */
public void testShortMin() throws ValidatorException {
    // Create bean to run test on.
    ValueBean info = new ValueBean();
    info.setValue(Short.valueOf(Short.MIN_VALUE).toString());
    valueTest(info, true);
}
/**
 * Tests the short validation.
 */
public void testShortMax() throws ValidatorException {
    // Create bean to run test on.
    ValueBean info = new ValueBean();
    info.setValue(Short.valueOf(Short.MAX_VALUE).toString());
    valueTest(info, true);
}</t>
  </si>
  <si>
    <t>[org/apache/commons/validator/ValueBean."&lt;init&gt;", java/lang/Short.valueOf, java/lang/Short.toString, org/apache/commons/validator/ValueBean.setValue, .valueTest]
[org/apache/commons/validator/ValueBean."&lt;init&gt;", java/lang/Short.valueOf, java/lang/Short.toString, org/apache/commons/validator/ValueBean.setValue, .valueTest]</t>
  </si>
  <si>
    <t>testShortMax</t>
  </si>
  <si>
    <t>testShortBeyondMin</t>
  </si>
  <si>
    <t>/**
 * Tests the short validation failure.
 */
public void testShortBeyondMin() throws ValidatorException {
    // Create bean to run test on.
    ValueBean info = new ValueBean();
    info.setValue(Short.MIN_VALUE + "1");
    valueTest(info, false);
}
/**
 * Tests the short validation failure.
 */
public void testShortBeyondMax() throws ValidatorException {
    // Create bean to run test on.
    ValueBean info = new ValueBean();
    info.setValue(Short.MAX_VALUE + "1");
    valueTest(info, false);
}</t>
  </si>
  <si>
    <t>testShortBeyondMax</t>
  </si>
  <si>
    <t>org.apache.commons.validator.LongTest</t>
  </si>
  <si>
    <t>testLong</t>
  </si>
  <si>
    <t>/**
 * Tests the long validation.
 */
public void testLong() throws ValidatorException {
    // Create bean to run test on.
    ValueBean info = new ValueBean();
    info.setValue("0");
    valueTest(info, true);
}
/**
 * Tests the long validation failure.
 */
public void testLongBeyondMax() throws ValidatorException {
    // Create bean to run test on.
    ValueBean info = new ValueBean();
    info.setValue(Long.MAX_VALUE + "1");
    valueTest(info, false);
}</t>
  </si>
  <si>
    <t>testLongBeyondMax</t>
  </si>
  <si>
    <t>/**
 * Tests the long validation.
 */
public void testLong() throws ValidatorException {
    // Create bean to run test on.
    ValueBean info = new ValueBean();
    info.setValue("0");
    valueTest(info, true);
}
/**
 * Tests the long validation failure.
 */
public void testLongBeyondMin() throws ValidatorException {
    // Create bean to run test on.
    ValueBean info = new ValueBean();
    info.setValue(Long.MIN_VALUE + "1");
    valueTest(info, false);
}</t>
  </si>
  <si>
    <t>testLongBeyondMin</t>
  </si>
  <si>
    <t>testLongMin</t>
  </si>
  <si>
    <t>/**
 * Tests the long validation.
 */
public void testLongMin() throws ValidatorException {
    // Create bean to run test on.
    ValueBean info = new ValueBean();
    info.setValue(Long.valueOf(Long.MIN_VALUE).toString());
    valueTest(info, true);
}
/**
 * Tests the long validation.
 */
public void testLongMax() throws ValidatorException {
    // Create bean to run test on.
    ValueBean info = new ValueBean();
    info.setValue(Long.valueOf(Long.MAX_VALUE).toString());
    valueTest(info, true);
}</t>
  </si>
  <si>
    <t>[org/apache/commons/validator/ValueBean."&lt;init&gt;", java/lang/Long.valueOf, java/lang/Long.toString, org/apache/commons/validator/ValueBean.setValue, .valueTest]
[org/apache/commons/validator/ValueBean."&lt;init&gt;", java/lang/Long.valueOf, java/lang/Long.toString, org/apache/commons/validator/ValueBean.setValue, .valueTest]</t>
  </si>
  <si>
    <t>testLongMax</t>
  </si>
  <si>
    <t>/**
 * Tests the long validation failure.
 */
public void testLongBeyondMin() throws ValidatorException {
    // Create bean to run test on.
    ValueBean info = new ValueBean();
    info.setValue(Long.MIN_VALUE + "1");
    valueTest(info, false);
}
/**
 * Tests the long validation failure.
 */
public void testLongBeyondMax() throws ValidatorException {
    // Create bean to run test on.
    ValueBean info = new ValueBean();
    info.setValue(Long.MAX_VALUE + "1");
    valueTest(info, false);
}</t>
  </si>
  <si>
    <t>org.apache.commons.validator.FloatTest</t>
  </si>
  <si>
    <t>testFloatMin</t>
  </si>
  <si>
    <t>/**
 * Tests the float validation.
 */
public void testFloatMin() throws ValidatorException {
    // Create bean to run test on.
    ValueBean info = new ValueBean();
    info.setValue(Float.valueOf(Float.MIN_VALUE).toString());
    valueTest(info, true);
}
/**
 * Tests the float validation.
 */
public void testFloatMax() throws ValidatorException {
    // Create bean to run test on.
    ValueBean info = new ValueBean();
    info.setValue(Float.valueOf(Float.MAX_VALUE).toString());
    valueTest(info, true);
}</t>
  </si>
  <si>
    <t>[org/apache/commons/validator/ValueBean."&lt;init&gt;", java/lang/Float.valueOf, java/lang/Float.toString, org/apache/commons/validator/ValueBean.setValue, .valueTest]
[org/apache/commons/validator/ValueBean."&lt;init&gt;", java/lang/Float.valueOf, java/lang/Float.toString, org/apache/commons/validator/ValueBean.setValue, .valueTest]</t>
  </si>
  <si>
    <t>testFloatMax</t>
  </si>
  <si>
    <t>77d7036ec8e8a76467985285ada364988afa4628</t>
  </si>
  <si>
    <t>488734353f58f3e4ac7db7b256b5140c0abb377e</t>
  </si>
  <si>
    <t>testUpdateBaseArrayCC</t>
  </si>
  <si>
    <t>@Test(expected = IllegalArgumentException.class)
public void testUpdateBaseArrayCC() {
    DomainValidator.updateTLDOverride(ArrayType.COUNTRY_CODE_RO, new String[] { "com" });
}
@Test(expected = IllegalArgumentException.class)
public void testUpdateBaseArrayLocal() {
    DomainValidator.updateTLDOverride(ArrayType.LOCAL_RO, new String[] { "com" });
}</t>
  </si>
  <si>
    <t>[org/apache/commons/validator/routines/DomainValidator.updateTLDOverride]
[org/apache/commons/validator/routines/DomainValidator.updateTLDOverride]</t>
  </si>
  <si>
    <t>testUpdateBaseArrayLocal</t>
  </si>
  <si>
    <t>@Test(expected = IllegalArgumentException.class)
public void testUpdateBaseArrayCC() {
    DomainValidator.updateTLDOverride(ArrayType.COUNTRY_CODE_RO, new String[] { "com" });
}
@Test(expected = IllegalArgumentException.class)
public void testUpdateBaseArrayInfra() {
    DomainValidator.updateTLDOverride(ArrayType.INFRASTRUCTURE_RO, new String[] { "com" });
}</t>
  </si>
  <si>
    <t>testUpdateBaseArrayInfra</t>
  </si>
  <si>
    <t>@Test(expected = IllegalArgumentException.class)
public void testUpdateBaseArrayCC() {
    DomainValidator.updateTLDOverride(ArrayType.COUNTRY_CODE_RO, new String[] { "com" });
}
@Test(expected = IllegalArgumentException.class)
public void testUpdateBaseArrayGeneric() {
    DomainValidator.updateTLDOverride(ArrayType.GENERIC_RO, new String[] { "com" });
}</t>
  </si>
  <si>
    <t>testUpdateBaseArrayGeneric</t>
  </si>
  <si>
    <t>@Test(expected = IllegalArgumentException.class)
public void testUpdateBaseArrayGeneric() {
    DomainValidator.updateTLDOverride(ArrayType.GENERIC_RO, new String[] { "com" });
}
@Test(expected = IllegalArgumentException.class)
public void testUpdateBaseArrayLocal() {
    DomainValidator.updateTLDOverride(ArrayType.LOCAL_RO, new String[] { "com" });
}</t>
  </si>
  <si>
    <t>@Test(expected = IllegalArgumentException.class)
public void testUpdateBaseArrayGeneric() {
    DomainValidator.updateTLDOverride(ArrayType.GENERIC_RO, new String[] { "com" });
}
@Test(expected = IllegalArgumentException.class)
public void testUpdateBaseArrayInfra() {
    DomainValidator.updateTLDOverride(ArrayType.INFRASTRUCTURE_RO, new String[] { "com" });
}</t>
  </si>
  <si>
    <t>@Test(expected = IllegalArgumentException.class)
public void testUpdateBaseArrayInfra() {
    DomainValidator.updateTLDOverride(ArrayType.INFRASTRUCTURE_RO, new String[] { "com" });
}
@Test(expected = IllegalArgumentException.class)
public void testUpdateBaseArrayLocal() {
    DomainValidator.updateTLDOverride(ArrayType.LOCAL_RO, new String[] { "com" });
}</t>
  </si>
  <si>
    <t>dcf935a9ef9909e59f631ecbda6d00e2a8ac8450</t>
  </si>
  <si>
    <t>testUpdateCountryCode1a</t>
  </si>
  <si>
    <t>@Test
public void testUpdateCountryCode1a() {
    DomainValidator validator = DomainValidator.getInstance();
    // cannot be valid
    assertFalse(validator.isValidCountryCodeTld("com"));
}
@Test
public void testUpdateCountryCode3a() {
    // show ch is valid
    DomainValidator validator = DomainValidator.getInstance();
    assertTrue(validator.isValidCountryCodeTld("ch"));
}</t>
  </si>
  <si>
    <t>[org/apache/commons/validator/routines/DomainValidator.getInstance, org/apache/commons/validator/routines/DomainValidator.isValidCountryCodeTld]
[org/apache/commons/validator/routines/DomainValidator.getInstance, org/apache/commons/validator/routines/DomainValidator.isValidCountryCodeTld]</t>
  </si>
  <si>
    <t>testUpdateCountryCode3a</t>
  </si>
  <si>
    <t>[[testUpdateCountryCode1a, testUpdateCountryCode1b, testUpdateCountryCode2, testUpdateCountryCode3a, testUpdateCountryCode3b, testUpdateCountryCode3c, testUpdateGeneric1, testUpdateGeneric2, testUpdateGeneric3, testUpdateGeneric4, testUpdateGeneric5, testVALIDATOR_412a, testVALIDATOR_412b]]</t>
  </si>
  <si>
    <t>testUpdateCountryCode1b</t>
  </si>
  <si>
    <t>@Test
public void testUpdateCountryCode1b() {
    DomainValidator.updateTLDOverride(ArrayType.COUNTRY_CODE_PLUS, new String[] { "com" });
    DomainValidator validator = DomainValidator.getInstance();
    // it is now!
    assertTrue(validator.isValidCountryCodeTld("com"));
}
@Test
public void testUpdateCountryCode3b() {
    // show ch can be made invalid
    DomainValidator.updateTLDOverride(ArrayType.COUNTRY_CODE_MINUS, new String[] { "ch" });
    DomainValidator validator = DomainValidator.getInstance();
    assertFalse(validator.isValidCountryCodeTld("ch"));
}</t>
  </si>
  <si>
    <t>[org/apache/commons/validator/routines/DomainValidator.updateTLDOverride, org/apache/commons/validator/routines/DomainValidator.getInstance, org/apache/commons/validator/routines/DomainValidator.isValidCountryCodeTld]
[org/apache/commons/validator/routines/DomainValidator.updateTLDOverride, org/apache/commons/validator/routines/DomainValidator.getInstance, org/apache/commons/validator/routines/DomainValidator.isValidCountryCodeTld]</t>
  </si>
  <si>
    <t>testUpdateCountryCode3b</t>
  </si>
  <si>
    <t>@Test
public void testUpdateCountryCode1b() {
    DomainValidator.updateTLDOverride(ArrayType.COUNTRY_CODE_PLUS, new String[] { "com" });
    DomainValidator validator = DomainValidator.getInstance();
    // it is now!
    assertTrue(validator.isValidCountryCodeTld("com"));
}
@Test
public void testUpdateCountryCode3c() {
    // show ch can be made valid again by replacing the CC array
    DomainValidator.updateTLDOverride(ArrayType.COUNTRY_CODE_MINUS, new String[] { "ch" });
    DomainValidator.updateTLDOverride(ArrayType.COUNTRY_CODE_MINUS, new String[] { "xx" });
    DomainValidator validator = DomainValidator.getInstance();
    assertTrue(validator.isValidCountryCodeTld("ch"));
}</t>
  </si>
  <si>
    <t>[org/apache/commons/validator/routines/DomainValidator.updateTLDOverride, org/apache/commons/validator/routines/DomainValidator.getInstance, org/apache/commons/validator/routines/DomainValidator.isValidCountryCodeTld]
[org/apache/commons/validator/routines/DomainValidator.updateTLDOverride, org/apache/commons/validator/routines/DomainValidator.updateTLDOverride, org/apache/commons/validator/routines/DomainValidator.getInstance, org/apache/commons/validator/routines/DomainValidator.isValidCountryCodeTld]</t>
  </si>
  <si>
    <t>testUpdateCountryCode3c</t>
  </si>
  <si>
    <t>[ org/apache/commons/validator/routines/DomainValidator.updateTLDOverride]</t>
  </si>
  <si>
    <t>@Test
public void testUpdateCountryCode1b() {
    DomainValidator.updateTLDOverride(ArrayType.COUNTRY_CODE_PLUS, new String[] { "com" });
    DomainValidator validator = DomainValidator.getInstance();
    // it is now!
    assertTrue(validator.isValidCountryCodeTld("com"));
}
@Test
public void testUpdateCountryCode2() {
    DomainValidator.updateTLDOverride(ArrayType.COUNTRY_CODE_PLUS, new String[] { "com" });
    DomainValidator.updateTLDOverride(ArrayType.COUNTRY_CODE_MINUS, new String[] { "com" });
    DomainValidator validator = DomainValidator.getInstance();
    // show that minus overrides the rest
    assertFalse(validator.isValidCountryCodeTld("com"));
}</t>
  </si>
  <si>
    <t>testUpdateCountryCode2</t>
  </si>
  <si>
    <t>@Test
public void testUpdateCountryCode2() {
    DomainValidator.updateTLDOverride(ArrayType.COUNTRY_CODE_PLUS, new String[] { "com" });
    DomainValidator.updateTLDOverride(ArrayType.COUNTRY_CODE_MINUS, new String[] { "com" });
    DomainValidator validator = DomainValidator.getInstance();
    // show that minus overrides the rest
    assertFalse(validator.isValidCountryCodeTld("com"));
}
@Test
public void testUpdateCountryCode3c() {
    // show ch can be made valid again by replacing the CC array
    DomainValidator.updateTLDOverride(ArrayType.COUNTRY_CODE_MINUS, new String[] { "ch" });
    DomainValidator.updateTLDOverride(ArrayType.COUNTRY_CODE_MINUS, new String[] { "xx" });
    DomainValidator validator = DomainValidator.getInstance();
    assertTrue(validator.isValidCountryCodeTld("ch"));
}</t>
  </si>
  <si>
    <t>[org/apache/commons/validator/routines/DomainValidator.updateTLDOverride, org/apache/commons/validator/routines/DomainValidator.updateTLDOverride, org/apache/commons/validator/routines/DomainValidator.getInstance, org/apache/commons/validator/routines/DomainValidator.isValidCountryCodeTld]
[org/apache/commons/validator/routines/DomainValidator.updateTLDOverride, org/apache/commons/validator/routines/DomainValidator.updateTLDOverride, org/apache/commons/validator/routines/DomainValidator.getInstance, org/apache/commons/validator/routines/DomainValidator.isValidCountryCodeTld]</t>
  </si>
  <si>
    <t>@Test
public void testUpdateCountryCode2() {
    DomainValidator.updateTLDOverride(ArrayType.COUNTRY_CODE_PLUS, new String[] { "com" });
    DomainValidator.updateTLDOverride(ArrayType.COUNTRY_CODE_MINUS, new String[] { "com" });
    DomainValidator validator = DomainValidator.getInstance();
    // show that minus overrides the rest
    assertFalse(validator.isValidCountryCodeTld("com"));
}
@Test
public void testUpdateCountryCode3b() {
    // show ch can be made invalid
    DomainValidator.updateTLDOverride(ArrayType.COUNTRY_CODE_MINUS, new String[] { "ch" });
    DomainValidator validator = DomainValidator.getInstance();
    assertFalse(validator.isValidCountryCodeTld("ch"));
}</t>
  </si>
  <si>
    <t>[org/apache/commons/validator/routines/DomainValidator.updateTLDOverride, org/apache/commons/validator/routines/DomainValidator.updateTLDOverride, org/apache/commons/validator/routines/DomainValidator.getInstance, org/apache/commons/validator/routines/DomainValidator.isValidCountryCodeTld]
[org/apache/commons/validator/routines/DomainValidator.updateTLDOverride, org/apache/commons/validator/routines/DomainValidator.getInstance, org/apache/commons/validator/routines/DomainValidator.isValidCountryCodeTld]</t>
  </si>
  <si>
    <t>@Test
public void testUpdateCountryCode3b() {
    // show ch can be made invalid
    DomainValidator.updateTLDOverride(ArrayType.COUNTRY_CODE_MINUS, new String[] { "ch" });
    DomainValidator validator = DomainValidator.getInstance();
    assertFalse(validator.isValidCountryCodeTld("ch"));
}
@Test
public void testUpdateCountryCode3c() {
    // show ch can be made valid again by replacing the CC array
    DomainValidator.updateTLDOverride(ArrayType.COUNTRY_CODE_MINUS, new String[] { "ch" });
    DomainValidator.updateTLDOverride(ArrayType.COUNTRY_CODE_MINUS, new String[] { "xx" });
    DomainValidator validator = DomainValidator.getInstance();
    assertTrue(validator.isValidCountryCodeTld("ch"));
}</t>
  </si>
  <si>
    <t>testUpdateGeneric2</t>
  </si>
  <si>
    <t>@Test
public void testUpdateGeneric2() {
    DomainValidator.updateTLDOverride(ArrayType.GENERIC_PLUS, new String[] { "ch" });
    DomainValidator validator = DomainValidator.getInstance();
    // it is now!
    assertTrue(validator.isValidGenericTld("ch"));
}
@Test
public void testUpdateGeneric3() {
    DomainValidator.updateTLDOverride(ArrayType.GENERIC_PLUS, new String[] { "ch" });
    DomainValidator.updateTLDOverride(ArrayType.GENERIC_MINUS, new String[] { "ch" });
    DomainValidator validator = DomainValidator.getInstance();
    // show that minus overrides the rest
    assertFalse(validator.isValidGenericTld("ch"));
    assertTrue(validator.isValidGenericTld("com"));
}</t>
  </si>
  <si>
    <t>[org/apache/commons/validator/routines/DomainValidator.updateTLDOverride, org/apache/commons/validator/routines/DomainValidator.getInstance, org/apache/commons/validator/routines/DomainValidator.isValidGenericTld]
[org/apache/commons/validator/routines/DomainValidator.updateTLDOverride, org/apache/commons/validator/routines/DomainValidator.updateTLDOverride, org/apache/commons/validator/routines/DomainValidator.getInstance, org/apache/commons/validator/routines/DomainValidator.isValidGenericTld, org/apache/commons/validator/routines/DomainValidator.isValidGenericTld]</t>
  </si>
  <si>
    <t>testUpdateGeneric3</t>
  </si>
  <si>
    <t>@Test
public void testUpdateGeneric2() {
    DomainValidator.updateTLDOverride(ArrayType.GENERIC_PLUS, new String[] { "ch" });
    DomainValidator validator = DomainValidator.getInstance();
    // it is now!
    assertTrue(validator.isValidGenericTld("ch"));
}
@Test
public void testUpdateGeneric4() {
    DomainValidator.updateTLDOverride(ArrayType.GENERIC_PLUS, new String[] { "ch" });
    DomainValidator.updateTLDOverride(ArrayType.GENERIC_MINUS, new String[] { "ch" });
    DomainValidator.updateTLDOverride(ArrayType.GENERIC_MINUS, new String[] { "com" });
    DomainValidator validator = DomainValidator.getInstance();
    assertFalse(validator.isValidGenericTld("com"));
}</t>
  </si>
  <si>
    <t>[org/apache/commons/validator/routines/DomainValidator.updateTLDOverride, org/apache/commons/validator/routines/DomainValidator.getInstance, org/apache/commons/validator/routines/DomainValidator.isValidGenericTld]
[org/apache/commons/validator/routines/DomainValidator.updateTLDOverride, org/apache/commons/validator/routines/DomainValidator.updateTLDOverride, org/apache/commons/validator/routines/DomainValidator.updateTLDOverride, org/apache/commons/validator/routines/DomainValidator.getInstance, org/apache/commons/validator/routines/DomainValidator.isValidGenericTld]</t>
  </si>
  <si>
    <t>testUpdateGeneric4</t>
  </si>
  <si>
    <t>@Test
public void testUpdateGeneric2() {
    DomainValidator.updateTLDOverride(ArrayType.GENERIC_PLUS, new String[] { "ch" });
    DomainValidator validator = DomainValidator.getInstance();
    // it is now!
    assertTrue(validator.isValidGenericTld("ch"));
}
@Test
public void testUpdateGeneric5() {
    DomainValidator.updateTLDOverride(ArrayType.GENERIC_PLUS, new String[] { "ch" });
    DomainValidator.updateTLDOverride(ArrayType.GENERIC_MINUS, new String[] { "ch" });
    DomainValidator.updateTLDOverride(ArrayType.GENERIC_MINUS, new String[] { "com" });
    // change the minus list
    DomainValidator.updateTLDOverride(ArrayType.GENERIC_MINUS, new String[] { "xx" });
    DomainValidator validator = DomainValidator.getInstance();
    assertTrue(validator.isValidGenericTld("com"));
}</t>
  </si>
  <si>
    <t>[org/apache/commons/validator/routines/DomainValidator.updateTLDOverride, org/apache/commons/validator/routines/DomainValidator.getInstance, org/apache/commons/validator/routines/DomainValidator.isValidGenericTld]
[org/apache/commons/validator/routines/DomainValidator.updateTLDOverride, org/apache/commons/validator/routines/DomainValidator.updateTLDOverride, org/apache/commons/validator/routines/DomainValidator.updateTLDOverride, org/apache/commons/validator/routines/DomainValidator.updateTLDOverride, org/apache/commons/validator/routines/DomainValidator.getInstance, org/apache/commons/validator/routines/DomainValidator.isValidGenericTld]</t>
  </si>
  <si>
    <t>testUpdateGeneric5</t>
  </si>
  <si>
    <t>@Test
public void testUpdateGeneric3() {
    DomainValidator.updateTLDOverride(ArrayType.GENERIC_PLUS, new String[] { "ch" });
    DomainValidator.updateTLDOverride(ArrayType.GENERIC_MINUS, new String[] { "ch" });
    DomainValidator validator = DomainValidator.getInstance();
    // show that minus overrides the rest
    assertFalse(validator.isValidGenericTld("ch"));
    assertTrue(validator.isValidGenericTld("com"));
}
@Test
public void testUpdateGeneric4() {
    DomainValidator.updateTLDOverride(ArrayType.GENERIC_PLUS, new String[] { "ch" });
    DomainValidator.updateTLDOverride(ArrayType.GENERIC_MINUS, new String[] { "ch" });
    DomainValidator.updateTLDOverride(ArrayType.GENERIC_MINUS, new String[] { "com" });
    DomainValidator validator = DomainValidator.getInstance();
    assertFalse(validator.isValidGenericTld("com"));
}</t>
  </si>
  <si>
    <t>[org/apache/commons/validator/routines/DomainValidator.updateTLDOverride, org/apache/commons/validator/routines/DomainValidator.updateTLDOverride, org/apache/commons/validator/routines/DomainValidator.getInstance, org/apache/commons/validator/routines/DomainValidator.isValidGenericTld, org/apache/commons/validator/routines/DomainValidator.isValidGenericTld]
[org/apache/commons/validator/routines/DomainValidator.updateTLDOverride, org/apache/commons/validator/routines/DomainValidator.updateTLDOverride, org/apache/commons/validator/routines/DomainValidator.updateTLDOverride, org/apache/commons/validator/routines/DomainValidator.getInstance, org/apache/commons/validator/routines/DomainValidator.isValidGenericTld]</t>
  </si>
  <si>
    <t>@Test
public void testUpdateGeneric3() {
    DomainValidator.updateTLDOverride(ArrayType.GENERIC_PLUS, new String[] { "ch" });
    DomainValidator.updateTLDOverride(ArrayType.GENERIC_MINUS, new String[] { "ch" });
    DomainValidator validator = DomainValidator.getInstance();
    // show that minus overrides the rest
    assertFalse(validator.isValidGenericTld("ch"));
    assertTrue(validator.isValidGenericTld("com"));
}
@Test
public void testUpdateGeneric5() {
    DomainValidator.updateTLDOverride(ArrayType.GENERIC_PLUS, new String[] { "ch" });
    DomainValidator.updateTLDOverride(ArrayType.GENERIC_MINUS, new String[] { "ch" });
    DomainValidator.updateTLDOverride(ArrayType.GENERIC_MINUS, new String[] { "com" });
    // change the minus list
    DomainValidator.updateTLDOverride(ArrayType.GENERIC_MINUS, new String[] { "xx" });
    DomainValidator validator = DomainValidator.getInstance();
    assertTrue(validator.isValidGenericTld("com"));
}</t>
  </si>
  <si>
    <t>[org/apache/commons/validator/routines/DomainValidator.updateTLDOverride, org/apache/commons/validator/routines/DomainValidator.updateTLDOverride, org/apache/commons/validator/routines/DomainValidator.getInstance, org/apache/commons/validator/routines/DomainValidator.isValidGenericTld, org/apache/commons/validator/routines/DomainValidator.isValidGenericTld]
[org/apache/commons/validator/routines/DomainValidator.updateTLDOverride, org/apache/commons/validator/routines/DomainValidator.updateTLDOverride, org/apache/commons/validator/routines/DomainValidator.updateTLDOverride, org/apache/commons/validator/routines/DomainValidator.updateTLDOverride, org/apache/commons/validator/routines/DomainValidator.getInstance, org/apache/commons/validator/routines/DomainValidator.isValidGenericTld]</t>
  </si>
  <si>
    <t>@Test
public void testUpdateGeneric4() {
    DomainValidator.updateTLDOverride(ArrayType.GENERIC_PLUS, new String[] { "ch" });
    DomainValidator.updateTLDOverride(ArrayType.GENERIC_MINUS, new String[] { "ch" });
    DomainValidator.updateTLDOverride(ArrayType.GENERIC_MINUS, new String[] { "com" });
    DomainValidator validator = DomainValidator.getInstance();
    assertFalse(validator.isValidGenericTld("com"));
}
@Test
public void testUpdateGeneric5() {
    DomainValidator.updateTLDOverride(ArrayType.GENERIC_PLUS, new String[] { "ch" });
    DomainValidator.updateTLDOverride(ArrayType.GENERIC_MINUS, new String[] { "ch" });
    DomainValidator.updateTLDOverride(ArrayType.GENERIC_MINUS, new String[] { "com" });
    // change the minus list
    DomainValidator.updateTLDOverride(ArrayType.GENERIC_MINUS, new String[] { "xx" });
    DomainValidator validator = DomainValidator.getInstance();
    assertTrue(validator.isValidGenericTld("com"));
}</t>
  </si>
  <si>
    <t>[org/apache/commons/validator/routines/DomainValidator.updateTLDOverride, org/apache/commons/validator/routines/DomainValidator.updateTLDOverride, org/apache/commons/validator/routines/DomainValidator.updateTLDOverride, org/apache/commons/validator/routines/DomainValidator.getInstance, org/apache/commons/validator/routines/DomainValidator.isValidGenericTld]
[org/apache/commons/validator/routines/DomainValidator.updateTLDOverride, org/apache/commons/validator/routines/DomainValidator.updateTLDOverride, org/apache/commons/validator/routines/DomainValidator.updateTLDOverride, org/apache/commons/validator/routines/DomainValidator.updateTLDOverride, org/apache/commons/validator/routines/DomainValidator.getInstance, org/apache/commons/validator/routines/DomainValidator.isValidGenericTld]</t>
  </si>
  <si>
    <t>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</si>
  <si>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[org/apache/commons/validator/routines/UrlValidator."&lt;init&gt;",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org/apache/commons/validator/routines/UrlValidator."&lt;init&gt;", org/apache/commons/validator/routines/UrlValidator.isValid]</t>
  </si>
  <si>
    <t>[[testValidator283, testFragments]]</t>
  </si>
  <si>
    <t>44522d25d578e74175e0908dc6e75e387a631a38</t>
  </si>
  <si>
    <t>0924ed1241ec67282082fd3b977f127d7f229b74</t>
  </si>
  <si>
    <t>testValidator473_2</t>
  </si>
  <si>
    <t>@Test(expected = IllegalArgumentException.class)
public void testValidator473_2() {
    // reject null DomainValidator with mismatched allowLocal
    List&lt;DomainValidator.Item&gt; items = new ArrayList&lt;&gt;();
    new UrlValidator(new String[] {}, null, 0L, DomainValidator.getInstance(true, items));
}
@Test(expected = IllegalArgumentException.class)
public void testValidator473_3() {
    // reject null DomainValidator with mismatched allowLocal
    List&lt;DomainValidator.Item&gt; items = new ArrayList&lt;&gt;();
    new UrlValidator(new String[] {}, null, UrlValidator.ALLOW_LOCAL_URLS, DomainValidator.getInstance(false, items));
}</t>
  </si>
  <si>
    <t>[java/util/ArrayList."&lt;init&gt;", org/apache/commons/validator/routines/DomainValidator.getInstance, org/apache/commons/validator/routines/UrlValidator."&lt;init&gt;"]
[java/util/ArrayList."&lt;init&gt;", org/apache/commons/validator/routines/DomainValidator.getInstance, org/apache/commons/validator/routines/UrlValidator."&lt;init&gt;"]</t>
  </si>
  <si>
    <t>testValidator473_3</t>
  </si>
  <si>
    <t>[[testValidator473_1, testValidator473_2, testValidator473_3]]</t>
  </si>
  <si>
    <t>15156f145b1cd638bcc8d522f06822e291c1edfa</t>
  </si>
  <si>
    <t>@Test(expected = IllegalArgumentException.class)
public void testValidator473_2() {
    // reject null DomainValidator with mismatched allowLocal
    List&lt;DomainValidator.Item&gt; items = new ArrayList&lt;&gt;();
    new EmailValidator(false, false, DomainValidator.getInstance(true, items));
}
@Test(expected = IllegalArgumentException.class)
public void testValidator473_3() {
    // reject null DomainValidator with mismatched allowLocal
    List&lt;DomainValidator.Item&gt; items = new ArrayList&lt;&gt;();
    new EmailValidator(true, false, DomainValidator.getInstance(false, items));
}</t>
  </si>
  <si>
    <t>[java/util/ArrayList."&lt;init&gt;", org/apache/commons/validator/routines/DomainValidator.getInstance, org/apache/commons/validator/routines/EmailValidator."&lt;init&gt;"]
[java/util/ArrayList."&lt;init&gt;", org/apache/commons/validator/routines/DomainValidator.getInstance, org/apache/commons/validator/routines/EmailValidator."&lt;init&gt;"]</t>
  </si>
  <si>
    <t>[[testValidator473_1, testValidator473_2, testValidator473_3, testValidator473_4]]</t>
  </si>
  <si>
    <t>a7ce4684437788ae6f12446551c2ff008cae0a48</t>
  </si>
  <si>
    <t>public void testVALIDATOR_336_InvalidCheckDigits() {
    for (String invalidCheckDigit : invalidCheckDigits) {
        assertFalse("Should fail: " + invalidCheckDigit, routine.isValid(invalidCheckDigit));
    }
}
public void testVALIDATOR_336_ValidCheckDigits() {
    for (String validCheckDigit : validCheckDigits) {
        assertTrue("Should fail: " + validCheckDigit, routine.isValid(validCheckDigit));
    }
}</t>
  </si>
  <si>
    <t>org.apache.commons.validator.routines.checkdigit.AbstractCheckDigitTest</t>
  </si>
  <si>
    <t>/**
 * Test isValid() for valid values.
 */
public void testIsValidTrue() {
    if (log.isDebugEnabled()) {
        log.debug("testIsValidTrue() for " + routine.getClass().getName());
    }
    // test valid values
    for (int i = 0; i &lt; valid.length; i++) {
        if (log.isDebugEnabled()) {
            log.debug("   " + i + " Testing Valid Code=[" + valid[i] + "]");
        }
        assertTrue("valid[" + i + "]: " + valid[i], routine.isValid(valid[i]));
    }
}
/**
 * Test isValid() for invalid values.
 */
public void testIsValidFalse() {
    if (log.isDebugEnabled()) {
        log.debug("testIsValidFalse() for " + routine.getClass().getName());
    }
    // test invalid code values
    for (int i = 0; i &lt; invalid.length; i++) {
        if (log.isDebugEnabled()) {
            log.debug("   " + i + " Testing Invalid Code=[" + invalid[i] + "]");
        }
        assertFalse("invalid[" + i + "]: " + invalid[i], routine.isValid(invalid[i]));
    }
    // test invalid check digit values
    String[] invalidCheckDigits = createInvalidCodes(valid);
    for (int i = 0; i &lt; invalidCheckDigits.length; i++) {
        if (log.isDebugEnabled()) {
            log.debug("   " + i + " Testing Invalid Check Digit, Code=[" + invalidCheckDigits[i] + "]");
        }
        assertFalse("invalid check digit[" + i + "]: " + invalidCheckDigits[i], routine.isValid(invalidCheckDigits[i]));
    }
}</t>
  </si>
  <si>
    <t>[org/apache/commons/logging/Log.isDebugEnabled, java/lang/StringBuilder."&lt;init&gt;", java/lang/StringBuilder.append, java/lang/Object.getClass, java/lang/Class.getName, java/lang/StringBuilder.append, java/lang/StringBuilder.toString, org/apache/commons/logging/Log.debug, org/apache/commons/logging/Log.isDebugEnabled, java/lang/StringBuilder."&lt;init&gt;", java/lang/StringBuilder.append, java/lang/StringBuilder.append, java/lang/StringBuilder.append, java/lang/StringBuilder.append, java/lang/StringBuilder.append, java/lang/StringBuilder.toString, org/apache/commons/logging/Log.debug, java/lang/StringBuilder."&lt;init&gt;", java/lang/StringBuilder.append, java/lang/StringBuilder.append, java/lang/StringBuilder.append, java/lang/StringBuilder.append, java/lang/StringBuilder.toString, org/apache/commons/validator/routines/checkdigit/CheckDigit.isValid]
[org/apache/commons/logging/Log.isDebugEnabled, java/lang/StringBuilder."&lt;init&gt;", java/lang/StringBuilder.append, java/lang/Object.getClass, java/lang/Class.getName, java/lang/StringBuilder.append, java/lang/StringBuilder.toString, org/apache/commons/logging/Log.debug, org/apache/commons/logging/Log.isDebugEnabled, java/lang/StringBuilder."&lt;init&gt;", java/lang/StringBuilder.append, java/lang/StringBuilder.append, java/lang/StringBuilder.append, java/lang/StringBuilder.append, java/lang/StringBuilder.append, java/lang/StringBuilder.toString, org/apache/commons/logging/Log.debug, java/lang/StringBuilder."&lt;init&gt;", java/lang/StringBuilder.append, java/lang/StringBuilder.append, java/lang/StringBuilder.append, java/lang/StringBuilder.append, java/lang/StringBuilder.toString, org/apache/commons/validator/routines/checkdigit/CheckDigit.isValid, .createInvalidCodes, org/apache/commons/logging/Log.isDebugEnabled, java/lang/StringBuilder."&lt;init&gt;", java/lang/StringBuilder.append, java/lang/StringBuilder.append, java/lang/StringBuilder.append, java/lang/StringBuilder.append, java/lang/StringBuilder.append, java/lang/StringBuilder.toString, org/apache/commons/logging/Log.debug, java/lang/StringBuilder."&lt;init&gt;", java/lang/StringBuilder.append, java/lang/StringBuilder.append, java/lang/StringBuilder.append, java/lang/StringBuilder.append, java/lang/StringBuilder.toString, org/apache/commons/validator/routines/checkdigit/CheckDigit.isValid]</t>
  </si>
  <si>
    <t>[ .createInvalidCodes]</t>
  </si>
  <si>
    <t>testMissingCode</t>
  </si>
  <si>
    <t>/**
 * Test missing code
 */
public void testMissingCode() {
    // isValid() null
    assertFalse("isValid() Null", routine.isValid(null));
    // isValid() zero length
    assertFalse("isValid() Zero Length", routine.isValid(""));
    // isValid() length 1
    // Don't use 0, because that passes for Verhoef (not sure why yet)
    assertFalse("isValid() Length 1", routine.isValid("9"));
    // calculate() null
    try {
        routine.calculate(null);
        fail("calculate() Null - expected exception");
    } catch (Exception e) {
        assertEquals("calculate() Null", missingMessage, e.getMessage());
    }
    // calculate() zero length
    try {
        routine.calculate("");
        fail("calculate() Zero Length - expected exception");
    } catch (Exception e) {
        assertEquals("calculate() Zero Length", missingMessage, e.getMessage());
    }
}
/**
 * Test zero sum
 */
public void testZeroSum() {
    assertFalse("isValid() Zero Sum", routine.isValid(zeroSum));
    try {
        routine.calculate(zeroSum);
        fail("Zero Sum - expected exception");
    } catch (Exception e) {
        assertEquals("isValid() Zero Sum", "Invalid code, sum is zero", e.getMessage());
    }
}</t>
  </si>
  <si>
    <t>[org/apache/commons/validator/routines/checkdigit/CheckDigit.isValid, org/apache/commons/validator/routines/checkdigit/CheckDigit.isValid, org/apache/commons/validator/routines/checkdigit/CheckDigit.isValid, org/apache/commons/validator/routines/checkdigit/CheckDigit.calculate, java/lang/Exception.getMessage, org/apache/commons/validator/routines/checkdigit/CheckDigit.calculate, java/lang/Exception.getMessage]
[org/apache/commons/validator/routines/checkdigit/CheckDigit.isValid, org/apache/commons/validator/routines/checkdigit/CheckDigit.calculate, java/lang/Exception.getMessage]</t>
  </si>
  <si>
    <t>testZeroSum</t>
  </si>
  <si>
    <t>[ org/apache/commons/validator/routines/checkdigit/CheckDigit.isValid]</t>
  </si>
  <si>
    <t>/**
 * Tests the byte validation.
 */
public void testByte() throws ValidatorException {
    // Create bean to run test on.
    ValueBean info = new ValueBean();
    info.setValue("0");
    valueTest(info, true);
}
/**
 * Tests the byte validation.
 */
public void testByteMin() throws ValidatorException {
    // Create bean to run test on.
    ValueBean info = new ValueBean();
    info.setValue(Byte.toString(Byte.MIN_VALUE));
    valueTest(info, true);
}</t>
  </si>
  <si>
    <t>[org/apache/commons/validator/ValueBean."&lt;init&gt;", org/apache/commons/validator/ValueBean.setValue, .valueTest]
[org/apache/commons/validator/ValueBean."&lt;init&gt;", java/lang/Byte.toString, org/apache/commons/validator/ValueBean.setValue, .valueTest]</t>
  </si>
  <si>
    <t>[ java/lang/Byte.toString]</t>
  </si>
  <si>
    <t>/**
 * Tests the byte validation.
 */
public void testByte() throws ValidatorException {
    // Create bean to run test on.
    ValueBean info = new ValueBean();
    info.setValue("0");
    valueTest(info, true);
}
/**
 * Tests the byte validation.
 */
public void testByteMax() throws ValidatorException {
    // Create bean to run test on.
    ValueBean info = new ValueBean();
    info.setValue(Byte.toString(Byte.MAX_VALUE));
    valueTest(info, true);
}</t>
  </si>
  <si>
    <t>/**
 * Tests the byte validation.
 */
public void testByteMin() throws ValidatorException {
    // Create bean to run test on.
    ValueBean info = new ValueBean();
    info.setValue(Byte.toString(Byte.MIN_VALUE));
    valueTest(info, true);
}
/**
 * Tests the byte validation.
 */
public void testByteMax() throws ValidatorException {
    // Create bean to run test on.
    ValueBean info = new ValueBean();
    info.setValue(Byte.toString(Byte.MAX_VALUE));
    valueTest(info, true);
}</t>
  </si>
  <si>
    <t>[org/apache/commons/validator/ValueBean."&lt;init&gt;", java/lang/Byte.toString, org/apache/commons/validator/ValueBean.setValue, .valueTest]
[org/apache/commons/validator/ValueBean."&lt;init&gt;", java/lang/Byte.toString, org/apache/commons/validator/ValueBean.setValue, .valueTest]</t>
  </si>
  <si>
    <t>/**
 * Tests the byte validation.
 */
public void testByteMin() throws ValidatorException {
    // Create bean to run test on.
    ValueBean info = new ValueBean();
    info.setValue(Byte.toString(Byte.MIN_VALUE));
    valueTest(info, true);
}
/**
 * Tests the byte validation failure.
 */
public void testByteBeyondMin() throws ValidatorException {
    // Create bean to run test on.
    ValueBean info = new ValueBean();
    info.setValue(Byte.MIN_VALUE + "1");
    valueTest(info, false);
}</t>
  </si>
  <si>
    <t>[org/apache/commons/validator/ValueBean."&lt;init&gt;", java/lang/Byte.toString, org/apache/commons/validator/ValueBean.setValue, .valueTest]
[org/apache/commons/validator/ValueBean."&lt;init&gt;", org/apache/commons/validator/ValueBean.setValue, .valueTest]</t>
  </si>
  <si>
    <t>/**
 * Tests the byte validation.
 */
public void testByteMin() throws ValidatorException {
    // Create bean to run test on.
    ValueBean info = new ValueBean();
    info.setValue(Byte.toString(Byte.MIN_VALUE));
    valueTest(info, true);
}
/**
 * Tests the byte validation failure.
 */
public void testByteBeyondMax() throws ValidatorException {
    // Create bean to run test on.
    ValueBean info = new ValueBean();
    info.setValue(Byte.MAX_VALUE + "1");
    valueTest(info, false);
}</t>
  </si>
  <si>
    <t>/**
 * Tests the byte validation.
 */
public void testByteMax() throws ValidatorException {
    // Create bean to run test on.
    ValueBean info = new ValueBean();
    info.setValue(Byte.toString(Byte.MAX_VALUE));
    valueTest(info, true);
}
/**
 * Tests the byte validation failure.
 */
public void testByteBeyondMax() throws ValidatorException {
    // Create bean to run test on.
    ValueBean info = new ValueBean();
    info.setValue(Byte.MAX_VALUE + "1");
    valueTest(info, false);
}</t>
  </si>
  <si>
    <t>/**
 * Tests the byte validation.
 */
public void testByteMax() throws ValidatorException {
    // Create bean to run test on.
    ValueBean info = new ValueBean();
    info.setValue(Byte.toString(Byte.MAX_VALUE));
    valueTest(info, true);
}
/**
 * Tests the byte validation failure.
 */
public void testByteBeyondMin() throws ValidatorException {
    // Create bean to run test on.
    ValueBean info = new ValueBean();
    info.setValue(Byte.MIN_VALUE + "1");
    valueTest(info, false);
}</t>
  </si>
  <si>
    <t>org.apache.commons.validator.DateTest</t>
  </si>
  <si>
    <t>testValidDate</t>
  </si>
  <si>
    <t>/**
 * Tests the date validation.
 */
public void testValidDate() throws ValidatorException {
    // Create bean to run test on.
    ValueBean info = new ValueBean();
    info.setValue("12/01/2005");
    valueTest(info, true);
}
/**
 * Tests the date validation.
 */
public void testInvalidDate() throws ValidatorException {
    // Create bean to run test on.
    ValueBean info = new ValueBean();
    info.setValue("12/01as/2005");
    valueTest(info, false);
}</t>
  </si>
  <si>
    <t>testInvalidDate</t>
  </si>
  <si>
    <t>/**
 * Tests the int validation.
 */
public void testIntMin() throws ValidatorException {
    // Create bean to run test on.
    ValueBean info = new ValueBean();
    info.setValue(Integer.toString(Integer.MIN_VALUE));
    valueTest(info, true);
}
/**
 * Tests the int validation.
 */
public void testIntegerMax() throws ValidatorException {
    // Create bean to run test on.
    ValueBean info = new ValueBean();
    info.setValue(Integer.toString(Integer.MAX_VALUE));
    valueTest(info, true);
}</t>
  </si>
  <si>
    <t>[org/apache/commons/validator/ValueBean."&lt;init&gt;", java/lang/Integer.toString, org/apache/commons/validator/ValueBean.setValue, .valueTest]
[org/apache/commons/validator/ValueBean."&lt;init&gt;", java/lang/Integer.toString, org/apache/commons/validator/ValueBean.setValue, .valueTest]</t>
  </si>
  <si>
    <t>/**
 * Tests the int validation.
 */
public void testIntMin() throws ValidatorException {
    // Create bean to run test on.
    ValueBean info = new ValueBean();
    info.setValue(Integer.toString(Integer.MIN_VALUE));
    valueTest(info, true);
}
/**
 * Tests the int validation failure.
 */
public void testIntBeyondMin() throws ValidatorException {
    // Create bean to run test on.
    ValueBean info = new ValueBean();
    info.setValue(Integer.MIN_VALUE + "1");
    valueTest(info, false);
}</t>
  </si>
  <si>
    <t>[org/apache/commons/validator/ValueBean."&lt;init&gt;", java/lang/Integer.toString, org/apache/commons/validator/ValueBean.setValue, .valueTest]
[org/apache/commons/validator/ValueBean."&lt;init&gt;", org/apache/commons/validator/ValueBean.setValue, .valueTest]</t>
  </si>
  <si>
    <t>[ java/lang/Integer.toString]</t>
  </si>
  <si>
    <t>/**
 * Tests the int validation.
 */
public void testIntMin() throws ValidatorException {
    // Create bean to run test on.
    ValueBean info = new ValueBean();
    info.setValue(Integer.toString(Integer.MIN_VALUE));
    valueTest(info, true);
}
/**
 * Tests the int validation failure.
 */
public void testIntBeyondMax() throws ValidatorException {
    // Create bean to run test on.
    ValueBean info = new ValueBean();
    info.setValue(Integer.MAX_VALUE + "1");
    valueTest(info, false);
}</t>
  </si>
  <si>
    <t>/**
 * Tests the int validation.
 */
public void testIntegerMax() throws ValidatorException {
    // Create bean to run test on.
    ValueBean info = new ValueBean();
    info.setValue(Integer.toString(Integer.MAX_VALUE));
    valueTest(info, true);
}
/**
 * Tests the int validation failure.
 */
public void testIntBeyondMax() throws ValidatorException {
    // Create bean to run test on.
    ValueBean info = new ValueBean();
    info.setValue(Integer.MAX_VALUE + "1");
    valueTest(info, false);
}</t>
  </si>
  <si>
    <t>/**
 * Tests the int validation.
 */
public void testIntegerMax() throws ValidatorException {
    // Create bean to run test on.
    ValueBean info = new ValueBean();
    info.setValue(Integer.toString(Integer.MAX_VALUE));
    valueTest(info, true);
}
/**
 * Tests the int validation failure.
 */
public void testIntBeyondMin() throws ValidatorException {
    // Create bean to run test on.
    ValueBean info = new ValueBean();
    info.setValue(Integer.MIN_VALUE + "1");
    valueTest(info, false);
}</t>
  </si>
  <si>
    <t>testOnlyReturnErrors</t>
  </si>
  <si>
    <t>public void testOnlyReturnErrors() throws ValidatorException {
    //     property name of the method we are validating
    String property = "date";
    // name of ValidatorAction
    String action = "date";
    ValidatorResources resources = setupDateResources(property, action);
    TestBean bean = new TestBean();
    bean.setDate("2/3/1999");
    Validator validator = new Validator(resources, "testForm");
    validator.setParameter(Validator.BEAN_PARAM, bean);
    ValidatorResults results = validator.validate();
    assertNotNull(results);
    // Field passed and should be in results
    assertTrue(results.getPropertyNames().contains(property));
    // Field passed but should not be in results
    validator.setOnlyReturnErrors(true);
    results = validator.validate();
    assertFalse(results.getPropertyNames().contains(property));
}
public void testOnlyValidateField() throws ValidatorException {
    //     property name of the method we are validating
    String property = "date";
    // name of ValidatorAction
    String action = "date";
    ValidatorResources resources = setupDateResources(property, action);
    TestBean bean = new TestBean();
    bean.setDate("2/3/1999");
    Validator validator = new Validator(resources, "testForm", property);
    validator.setParameter(Validator.BEAN_PARAM, bean);
    ValidatorResults results = validator.validate();
    assertNotNull(results);
    // Field passed and should be in results
    assertTrue(results.getPropertyNames().contains(property));
}</t>
  </si>
  <si>
    <t>[.setupDateResources, org/apache/commons/validator/ValidatorTest$TestBean."&lt;init&gt;", org/apache/commons/validator/ValidatorTest$TestBean.setDate, org/apache/commons/validator/Validator."&lt;init&gt;", org/apache/commons/validator/Validator.setParameter, org/apache/commons/validator/Validator.validate, org/apache/commons/validator/ValidatorResults.getPropertyNames, java/util/Set.contains, org/apache/commons/validator/Validator.setOnlyReturnErrors, org/apache/commons/validator/Validator.validate, org/apache/commons/validator/ValidatorResults.getPropertyNames, java/util/Set.contains]
[.setupDateResources, org/apache/commons/validator/ValidatorTest$TestBean."&lt;init&gt;", org/apache/commons/validator/ValidatorTest$TestBean.setDate, org/apache/commons/validator/Validator."&lt;init&gt;", org/apache/commons/validator/Validator.setParameter, org/apache/commons/validator/Validator.validate, org/apache/commons/validator/ValidatorResults.getPropertyNames, java/util/Set.contains]</t>
  </si>
  <si>
    <t>testOnlyValidateField</t>
  </si>
  <si>
    <t>[ org/apache/commons/validator/Validator.setOnlyReturnErrors]</t>
  </si>
  <si>
    <t>/**
 * Tests the short validation.
 */
public void testShortMin() throws ValidatorException {
    // Create bean to run test on.
    ValueBean info = new ValueBean();
    info.setValue(Short.toString(Short.MIN_VALUE));
    valueTest(info, true);
}
/**
 * Tests the short validation.
 */
public void testShortMax() throws ValidatorException {
    // Create bean to run test on.
    ValueBean info = new ValueBean();
    info.setValue(Short.toString(Short.MAX_VALUE));
    valueTest(info, true);
}</t>
  </si>
  <si>
    <t>[org/apache/commons/validator/ValueBean."&lt;init&gt;", java/lang/Short.toString, org/apache/commons/validator/ValueBean.setValue, .valueTest]
[org/apache/commons/validator/ValueBean."&lt;init&gt;", java/lang/Short.toString, org/apache/commons/validator/ValueBean.setValue, .valueTest]</t>
  </si>
  <si>
    <t>/**
 * Tests the short validation.
 */
public void testShortMin() throws ValidatorException {
    // Create bean to run test on.
    ValueBean info = new ValueBean();
    info.setValue(Short.toString(Short.MIN_VALUE));
    valueTest(info, true);
}
/**
 * Tests the short validation failure.
 */
public void testShortBeyondMin() throws ValidatorException {
    // Create bean to run test on.
    ValueBean info = new ValueBean();
    info.setValue(Short.MIN_VALUE + "1");
    valueTest(info, false);
}</t>
  </si>
  <si>
    <t>[org/apache/commons/validator/ValueBean."&lt;init&gt;", java/lang/Short.toString, org/apache/commons/validator/ValueBean.setValue, .valueTest]
[org/apache/commons/validator/ValueBean."&lt;init&gt;", org/apache/commons/validator/ValueBean.setValue, .valueTest]</t>
  </si>
  <si>
    <t>[ java/lang/Short.toString]</t>
  </si>
  <si>
    <t>/**
 * Tests the short validation.
 */
public void testShortMin() throws ValidatorException {
    // Create bean to run test on.
    ValueBean info = new ValueBean();
    info.setValue(Short.toString(Short.MIN_VALUE));
    valueTest(info, true);
}
/**
 * Tests the short validation failure.
 */
public void testShortBeyondMax() throws ValidatorException {
    // Create bean to run test on.
    ValueBean info = new ValueBean();
    info.setValue(Short.MAX_VALUE + "1");
    valueTest(info, false);
}</t>
  </si>
  <si>
    <t>/**
 * Tests the short validation.
 */
public void testShortMax() throws ValidatorException {
    // Create bean to run test on.
    ValueBean info = new ValueBean();
    info.setValue(Short.toString(Short.MAX_VALUE));
    valueTest(info, true);
}
/**
 * Tests the short validation failure.
 */
public void testShortBeyondMax() throws ValidatorException {
    // Create bean to run test on.
    ValueBean info = new ValueBean();
    info.setValue(Short.MAX_VALUE + "1");
    valueTest(info, false);
}</t>
  </si>
  <si>
    <t>/**
 * Tests the short validation.
 */
public void testShortMax() throws ValidatorException {
    // Create bean to run test on.
    ValueBean info = new ValueBean();
    info.setValue(Short.toString(Short.MAX_VALUE));
    valueTest(info, true);
}
/**
 * Tests the short validation failure.
 */
public void testShortBeyondMin() throws ValidatorException {
    // Create bean to run test on.
    ValueBean info = new ValueBean();
    info.setValue(Short.MIN_VALUE + "1");
    valueTest(info, false);
}</t>
  </si>
  <si>
    <t>org.apache.commons.validator.FieldTest</t>
  </si>
  <si>
    <t>testDefaultPositionImplied</t>
  </si>
  <si>
    <t>/**
 * test Field with only 'default' arguments, no positions specified.
 */
public void testDefaultPositionImplied() {
    field.addArg(createArg("default-position-0"));
    field.addArg(createArg("default-position-1"));
    field.addArg(createArg("default-position-2"));
    assertEquals("testDefaultPositionImplied(1) ", 3, field.getArgs("required").length);
    assertEquals("testDefaultPositionImplied(2) ", "default-position-0", field.getArg("required", 0).getKey());
    assertEquals("testDefaultPositionImplied(3) ", "default-position-1", field.getArg("required", 1).getKey());
    assertEquals("testDefaultPositionImplied(4) ", "default-position-2", field.getArg("required", 2).getKey());
}
/**
 * test Field with only 'default' arguments, positions specified.
 */
public void testDefaultUsingPositions() {
    field.addArg(createArg("default-position-1", 1));
    field.addArg(createArg("default-position-0", 0));
    field.addArg(createArg("default-position-2", 2));
    assertEquals("testDefaultUsingPositions(1) ", 3, field.getArgs("required").length);
    assertEquals("testDefaultUsingPositions(2) ", "default-position-0", field.getArg("required", 0).getKey());
    assertEquals("testDefaultUsingPositions(3) ", "default-position-1", field.getArg("required", 1).getKey());
    assertEquals("testDefaultUsingPositions(4) ", "default-position-2", field.getArg("required", 2).getKey());
}</t>
  </si>
  <si>
    <t>[.createArg,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org/apache/commons/validator/Arg.getKey]
[.createArg,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org/apache/commons/validator/Arg.getKey]</t>
  </si>
  <si>
    <t>testDefaultUsingPositions</t>
  </si>
  <si>
    <t>/**
 * test Field with only 'default' arguments, no positions specified.
 */
public void testDefaultPositionImplied() {
    field.addArg(createArg("default-position-0"));
    field.addArg(createArg("default-position-1"));
    field.addArg(createArg("default-position-2"));
    assertEquals("testDefaultPositionImplied(1) ", 3, field.getArgs("required").length);
    assertEquals("testDefaultPositionImplied(2) ", "default-position-0", field.getArg("required", 0).getKey());
    assertEquals("testDefaultPositionImplied(3) ", "default-position-1", field.getArg("required", 1).getKey());
    assertEquals("testDefaultPositionImplied(4) ", "default-position-2", field.getArg("required", 2).getKey());
}
/**
 * test Field with only 'default' arguments, position specified for one argument
 */
public void testDefaultOnePosition() {
    field.addArg(createArg("default-position-0"));
    field.addArg(createArg("default-position-2", 2));
    field.addArg(createArg("default-position-3"));
    assertEquals("testDefaultOnePosition(1) ", 4, field.getArgs("required").length);
    assertEquals("testDefaultOnePosition(2) ", "default-position-0", field.getArg("required", 0).getKey());
    assertNull("testDefaultOnePosition(3) ", field.getArg("required", 1));
    assertEquals("testDefaultOnePosition(4) ", "default-position-2", field.getArg("required", 2).getKey());
    assertEquals("testDefaultOnePosition(5) ", "default-position-3", field.getArg("required", 3).getKey());
}</t>
  </si>
  <si>
    <t>[.createArg,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org/apache/commons/validator/Arg.getKey]
[.createArg,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org/apache/commons/validator/Field.getArg, org/apache/commons/validator/Arg.getKey, org/apache/commons/validator/Field.getArg, org/apache/commons/validator/Arg.getKey]</t>
  </si>
  <si>
    <t>testDefaultOnePosition</t>
  </si>
  <si>
    <t>/**
 * test Field with only 'default' arguments, no positions specified.
 */
public void testDefaultPositionImplied() {
    field.addArg(createArg("default-position-0"));
    field.addArg(createArg("default-position-1"));
    field.addArg(createArg("default-position-2"));
    assertEquals("testDefaultPositionImplied(1) ", 3, field.getArgs("required").length);
    assertEquals("testDefaultPositionImplied(2) ", "default-position-0", field.getArg("required", 0).getKey());
    assertEquals("testDefaultPositionImplied(3) ", "default-position-1", field.getArg("required", 1).getKey());
    assertEquals("testDefaultPositionImplied(4) ", "default-position-2", field.getArg("required", 2).getKey());
}
/**
 * test Field with only 'default' arguments, some position specified.
 */
public void testDefaultSomePositions() {
    field.addArg(createArg("default-position-0"));
    field.addArg(createArg("default-position-2", 2));
    field.addArg(createArg("default-position-3"));
    field.addArg(createArg("default-position-1", 1));
    assertEquals("testDefaultSomePositions(1) ", 4, field.getArgs("required").length);
    assertEquals("testDefaultSomePositions(2) ", "default-position-0", field.getArg("required", 0).getKey());
    assertEquals("testDefaultSomePositions(3) ", "default-position-1", field.getArg("required", 1).getKey());
    assertEquals("testDefaultSomePositions(4) ", "default-position-2", field.getArg("required", 2).getKey());
    assertEquals("testDefaultSomePositions(5) ", "default-position-3", field.getArg("required", 3).getKey());
}</t>
  </si>
  <si>
    <t>[.createArg,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org/apache/commons/validator/Arg.getKey]
[.createArg, org/apache/commons/validator/Field.addArg, 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org/apache/commons/validator/Arg.getKey]</t>
  </si>
  <si>
    <t>testDefaultSomePositions</t>
  </si>
  <si>
    <t>/**
 * test Field with only 'default' arguments, no positions specified.
 */
public void testDefaultPositionImplied() {
    field.addArg(createArg("default-position-0"));
    field.addArg(createArg("default-position-1"));
    field.addArg(createArg("default-position-2"));
    assertEquals("testDefaultPositionImplied(1) ", 3, field.getArgs("required").length);
    assertEquals("testDefaultPositionImplied(2) ", "default-position-0", field.getArg("required", 0).getKey());
    assertEquals("testDefaultPositionImplied(3) ", "default-position-1", field.getArg("required", 1).getKey());
    assertEquals("testDefaultPositionImplied(4) ", "default-position-2", field.getArg("required", 2).getKey());
}
/**
 * test Field with a 'default' argument overriden using 'position' property
 */
public void testOverrideUsingPositionA() {
    field.addArg(createArg("default-position-0"));
    field.addArg(createArg("default-position-1"));
    field.addArg(createArg("default-position-2"));
    field.addArg(createArg("required-position-1", "required", 1));
    // use 'required' as name
    assertEquals("testOverrideUsingPositionA(1) ", 3, field.getArgs("required").length);
    assertEquals("testOverrideUsingPositionA(2) ", "required-position-1", field.getArg("required", 1).getKey());
    // use 'mask' as name
    assertEquals("testOverrideUsingPositionA(3) ", 3, field.getArgs("mask").length);
    assertEquals("testOverrideUsingPositionA(4) ", "default-position-1", field.getArg("mask", 1).getKey());
    // Get Default
    assertEquals("testOverrideUsingPositionA(5) ", "default-position-1", field.getArg(1).getKey());
}</t>
  </si>
  <si>
    <t>[.createArg,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org/apache/commons/validator/Arg.getKey]
[.createArg, org/apache/commons/validator/Field.addArg, 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org/apache/commons/validator/Field.getArgs, org/apache/commons/validator/Field.getArg, org/apache/commons/validator/Arg.getKey, org/apache/commons/validator/Field.getArg, org/apache/commons/validator/Arg.getKey]</t>
  </si>
  <si>
    <t>testOverrideUsingPositionA</t>
  </si>
  <si>
    <t>/**
 * test Field with only 'default' arguments, no positions specified.
 */
public void testDefaultPositionImplied() {
    field.addArg(createArg("default-position-0"));
    field.addArg(createArg("default-position-1"));
    field.addArg(createArg("default-position-2"));
    assertEquals("testDefaultPositionImplied(1) ", 3, field.getArgs("required").length);
    assertEquals("testDefaultPositionImplied(2) ", "default-position-0", field.getArg("required", 0).getKey());
    assertEquals("testDefaultPositionImplied(3) ", "default-position-1", field.getArg("required", 1).getKey());
    assertEquals("testDefaultPositionImplied(4) ", "default-position-2", field.getArg("required", 2).getKey());
}
/**
 * test Field with a 'default' argument overriden without positions specified.
 */
public void testOverridePositionImplied() {
    field.addArg(createArg("default-position-0"));
    field.addArg(createArg("required-position-1", "required"));
    field.addArg(createArg("required-position-2", "required"));
    field.addArg(createArg("mask-position-1", "mask"));
    // use 'required' as name
    assertEquals("testOverridePositionImplied(1) ", 3, field.getArgs("required").length);
    assertEquals("testOverridePositionImplied(2) ", "default-position-0", field.getArg("required", 0).getKey());
    assertEquals("testOverridePositionImplied(3) ", "required-position-1", field.getArg("required", 1).getKey());
    assertEquals("testOverridePositionImplied(4) ", "required-position-2", field.getArg("required", 2).getKey());
    // use 'mask' as name
    assertEquals("testOverridePositionImplied(5) ", 3, field.getArgs("mask").length);
    assertEquals("testOverridePositionImplied(6) ", "default-position-0", field.getArg("mask", 0).getKey());
    assertEquals("testOverridePositionImplied(7) ", "mask-position-1", field.getArg("mask", 1).getKey());
    assertNull("testOverridePositionImplied(8) ", field.getArg("mask", 2));
    // Get Defaults
    assertEquals("testOverridePositionImplied(9) ", "default-position-0", field.getArg(0).getKey());
    assertNull("testOverridePositionImplied(10) ", field.getArg(1));
    assertNull("testOverridePositionImplied(11) ", field.getArg(2));
}</t>
  </si>
  <si>
    <t>[.createArg,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org/apache/commons/validator/Arg.getKey]
[.createArg, org/apache/commons/validator/Field.addArg, 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org/apache/commons/validator/Field.getArg, org/apache/commons/validator/Arg.getKey, org/apache/commons/validator/Field.getArg, org/apache/commons/validator/Field.getArg]</t>
  </si>
  <si>
    <t>testOverridePositionImplied</t>
  </si>
  <si>
    <t>/**
 * test Field with only 'default' arguments, no positions specified.
 */
public void testDefaultPositionImplied() {
    field.addArg(createArg("default-position-0"));
    field.addArg(createArg("default-position-1"));
    field.addArg(createArg("default-position-2"));
    assertEquals("testDefaultPositionImplied(1) ", 3, field.getArgs("required").length);
    assertEquals("testDefaultPositionImplied(2) ", "default-position-0", field.getArg("required", 0).getKey());
    assertEquals("testDefaultPositionImplied(3) ", "default-position-1", field.getArg("required", 1).getKey());
    assertEquals("testDefaultPositionImplied(4) ", "default-position-2", field.getArg("required", 2).getKey());
}
/**
 * test Field with a 'default' argument overriden using 'position' property
 */
public void testOverrideUsingPositionB() {
    field.addArg(createArg("required-position-3", "required", 3));
    field.addArg(createArg("required-position-1", "required", 1));
    field.addArg(createArg("default-position-0"));
    field.addArg(createArg("default-position-1"));
    field.addArg(createArg("default-position-2"));
    // use 'required' as name
    assertEquals("testOverrideUsingPositionB(1) ", 4, field.getArgs("required").length);
    assertEquals("testOverrideUsingPositionB(2) ", "default-position-0", field.getArg("required", 0).getKey());
    assertEquals("testOverrideUsingPositionB(3) ", "required-position-1", field.getArg("required", 1).getKey());
    assertEquals("testOverrideUsingPositionB(4) ", "default-position-2", field.getArg("required", 2).getKey());
    assertEquals("testOverrideUsingPositionB(5) ", "required-position-3", field.getArg("required", 3).getKey());
    // use 'mask' as name
    assertEquals("testOverrideUsingPositionB(6) ", 4, field.getArgs("mask").length);
    assertEquals("testOverrideUsingPositionB(6) ", "default-position-0", field.getArg("mask", 0).getKey());
    assertEquals("testOverrideUsingPositionB(7) ", "default-position-1", field.getArg("mask", 1).getKey());
    assertEquals("testOverrideUsingPositionB(8) ", "default-position-2", field.getArg("mask", 2).getKey());
    assertNull("testOverrideUsingPositionB(9) ", field.getArg("mask", 3));
}</t>
  </si>
  <si>
    <t>[.createArg,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org/apache/commons/validator/Arg.getKey]
[.createArg, org/apache/commons/validator/Field.addArg, .createArg, org/apache/commons/validator/Field.addArg, 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org/apache/commons/validator/Field.getArg]</t>
  </si>
  <si>
    <t>testOverrideUsingPositionB</t>
  </si>
  <si>
    <t>/**
 * test Field with only 'default' arguments, no positions specified.
 */
public void testDefaultPositionImplied() {
    field.addArg(createArg("default-position-0"));
    field.addArg(createArg("default-position-1"));
    field.addArg(createArg("default-position-2"));
    assertEquals("testDefaultPositionImplied(1) ", 3, field.getArgs("required").length);
    assertEquals("testDefaultPositionImplied(2) ", "default-position-0", field.getArg("required", 0).getKey());
    assertEquals("testDefaultPositionImplied(3) ", "default-position-1", field.getArg("required", 1).getKey());
    assertEquals("testDefaultPositionImplied(4) ", "default-position-2", field.getArg("required", 2).getKey());
}
/**
 * test Field with a 'default' argument overriden with some positions specified
 */
public void testOverrideSomePosition() {
    field.addArg(createArg("default-position-0"));
    field.addArg(createArg("default-position-1"));
    field.addArg(createArg("default-position-2"));
    field.addArg(createArg("required-position-1", "required", 1));
    field.addArg(createArg("required-position-2", "required"));
    field.addArg(createArg("mask-position-3", "mask"));
    // use 'required' as name
    assertEquals("testOverrideSomePosition(1) ", 4, field.getArgs("required").length);
    assertEquals("testOverrideSomePosition(2) ", "default-position-0", field.getArg("required", 0).getKey());
    assertEquals("testOverrideSomePosition(3) ", "required-position-1", field.getArg("required", 1).getKey());
    assertEquals("testOverrideSomePosition(4) ", "required-position-2", field.getArg("required", 2).getKey());
    assertNull("testOverrideSomePosition(5) ", field.getArg("required", 3));
    // use 'mask' as name
    assertEquals("testOverrideSomePosition(6) ", 4, field.getArgs("mask").length);
    assertEquals("testOverrideSomePosition(7) ", "default-position-0", field.getArg("mask", 0).getKey());
    assertEquals("testOverrideSomePosition(8) ", "default-position-1", field.getArg("mask", 1).getKey());
    assertEquals("testOverrideSomePosition(9) ", "default-position-2", field.getArg("mask", 2).getKey());
    assertEquals("testOverrideSomePosition(10) ", "mask-position-3", field.getArg("mask", 3).getKey());
    // Get Defaults
    assertEquals("testOverrideSomePosition(11) ", "default-position-0", field.getArg(0).getKey());
    assertEquals("testOverrideSomePosition(12) ", "default-position-1", field.getArg(1).getKey());
    assertEquals("testOverrideSomePosition(13) ", "default-position-2", field.getArg(2).getKey());
    assertNull("testOverrideSomePosition(14) ", field.getArg(3));
}</t>
  </si>
  <si>
    <t>[.createArg,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org/apache/commons/validator/Arg.getKey]
[.createArg, org/apache/commons/validator/Field.addArg, .createArg, org/apache/commons/validator/Field.addArg, .createArg, org/apache/commons/validator/Field.addArg, 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org/apache/commons/validator/Field.getArg]</t>
  </si>
  <si>
    <t>testOverrideSomePosition</t>
  </si>
  <si>
    <t>/**
 * test Field with only 'default' arguments, positions specified.
 */
public void testDefaultUsingPositions() {
    field.addArg(createArg("default-position-1", 1));
    field.addArg(createArg("default-position-0", 0));
    field.addArg(createArg("default-position-2", 2));
    assertEquals("testDefaultUsingPositions(1) ", 3, field.getArgs("required").length);
    assertEquals("testDefaultUsingPositions(2) ", "default-position-0", field.getArg("required", 0).getKey());
    assertEquals("testDefaultUsingPositions(3) ", "default-position-1", field.getArg("required", 1).getKey());
    assertEquals("testDefaultUsingPositions(4) ", "default-position-2", field.getArg("required", 2).getKey());
}
/**
 * test Field with only 'default' arguments, position specified for one argument
 */
public void testDefaultOnePosition() {
    field.addArg(createArg("default-position-0"));
    field.addArg(createArg("default-position-2", 2));
    field.addArg(createArg("default-position-3"));
    assertEquals("testDefaultOnePosition(1) ", 4, field.getArgs("required").length);
    assertEquals("testDefaultOnePosition(2) ", "default-position-0", field.getArg("required", 0).getKey());
    assertNull("testDefaultOnePosition(3) ", field.getArg("required", 1));
    assertEquals("testDefaultOnePosition(4) ", "default-position-2", field.getArg("required", 2).getKey());
    assertEquals("testDefaultOnePosition(5) ", "default-position-3", field.getArg("required", 3).getKey());
}</t>
  </si>
  <si>
    <t>/**
 * test Field with only 'default' arguments, positions specified.
 */
public void testDefaultUsingPositions() {
    field.addArg(createArg("default-position-1", 1));
    field.addArg(createArg("default-position-0", 0));
    field.addArg(createArg("default-position-2", 2));
    assertEquals("testDefaultUsingPositions(1) ", 3, field.getArgs("required").length);
    assertEquals("testDefaultUsingPositions(2) ", "default-position-0", field.getArg("required", 0).getKey());
    assertEquals("testDefaultUsingPositions(3) ", "default-position-1", field.getArg("required", 1).getKey());
    assertEquals("testDefaultUsingPositions(4) ", "default-position-2", field.getArg("required", 2).getKey());
}
/**
 * test Field with only 'default' arguments, some position specified.
 */
public void testDefaultSomePositions() {
    field.addArg(createArg("default-position-0"));
    field.addArg(createArg("default-position-2", 2));
    field.addArg(createArg("default-position-3"));
    field.addArg(createArg("default-position-1", 1));
    assertEquals("testDefaultSomePositions(1) ", 4, field.getArgs("required").length);
    assertEquals("testDefaultSomePositions(2) ", "default-position-0", field.getArg("required", 0).getKey());
    assertEquals("testDefaultSomePositions(3) ", "default-position-1", field.getArg("required", 1).getKey());
    assertEquals("testDefaultSomePositions(4) ", "default-position-2", field.getArg("required", 2).getKey());
    assertEquals("testDefaultSomePositions(5) ", "default-position-3", field.getArg("required", 3).getKey());
}</t>
  </si>
  <si>
    <t>/**
 * test Field with only 'default' arguments, positions specified.
 */
public void testDefaultUsingPositions() {
    field.addArg(createArg("default-position-1", 1));
    field.addArg(createArg("default-position-0", 0));
    field.addArg(createArg("default-position-2", 2));
    assertEquals("testDefaultUsingPositions(1) ", 3, field.getArgs("required").length);
    assertEquals("testDefaultUsingPositions(2) ", "default-position-0", field.getArg("required", 0).getKey());
    assertEquals("testDefaultUsingPositions(3) ", "default-position-1", field.getArg("required", 1).getKey());
    assertEquals("testDefaultUsingPositions(4) ", "default-position-2", field.getArg("required", 2).getKey());
}
/**
 * test Field with a 'default' argument overriden using 'position' property
 */
public void testOverrideUsingPositionA() {
    field.addArg(createArg("default-position-0"));
    field.addArg(createArg("default-position-1"));
    field.addArg(createArg("default-position-2"));
    field.addArg(createArg("required-position-1", "required", 1));
    // use 'required' as name
    assertEquals("testOverrideUsingPositionA(1) ", 3, field.getArgs("required").length);
    assertEquals("testOverrideUsingPositionA(2) ", "required-position-1", field.getArg("required", 1).getKey());
    // use 'mask' as name
    assertEquals("testOverrideUsingPositionA(3) ", 3, field.getArgs("mask").length);
    assertEquals("testOverrideUsingPositionA(4) ", "default-position-1", field.getArg("mask", 1).getKey());
    // Get Default
    assertEquals("testOverrideUsingPositionA(5) ", "default-position-1", field.getArg(1).getKey());
}</t>
  </si>
  <si>
    <t>/**
 * test Field with only 'default' arguments, positions specified.
 */
public void testDefaultUsingPositions() {
    field.addArg(createArg("default-position-1", 1));
    field.addArg(createArg("default-position-0", 0));
    field.addArg(createArg("default-position-2", 2));
    assertEquals("testDefaultUsingPositions(1) ", 3, field.getArgs("required").length);
    assertEquals("testDefaultUsingPositions(2) ", "default-position-0", field.getArg("required", 0).getKey());
    assertEquals("testDefaultUsingPositions(3) ", "default-position-1", field.getArg("required", 1).getKey());
    assertEquals("testDefaultUsingPositions(4) ", "default-position-2", field.getArg("required", 2).getKey());
}
/**
 * test Field with a 'default' argument overriden using 'position' property
 */
public void testOverrideUsingPositionB() {
    field.addArg(createArg("required-position-3", "required", 3));
    field.addArg(createArg("required-position-1", "required", 1));
    field.addArg(createArg("default-position-0"));
    field.addArg(createArg("default-position-1"));
    field.addArg(createArg("default-position-2"));
    // use 'required' as name
    assertEquals("testOverrideUsingPositionB(1) ", 4, field.getArgs("required").length);
    assertEquals("testOverrideUsingPositionB(2) ", "default-position-0", field.getArg("required", 0).getKey());
    assertEquals("testOverrideUsingPositionB(3) ", "required-position-1", field.getArg("required", 1).getKey());
    assertEquals("testOverrideUsingPositionB(4) ", "default-position-2", field.getArg("required", 2).getKey());
    assertEquals("testOverrideUsingPositionB(5) ", "required-position-3", field.getArg("required", 3).getKey());
    // use 'mask' as name
    assertEquals("testOverrideUsingPositionB(6) ", 4, field.getArgs("mask").length);
    assertEquals("testOverrideUsingPositionB(6) ", "default-position-0", field.getArg("mask", 0).getKey());
    assertEquals("testOverrideUsingPositionB(7) ", "default-position-1", field.getArg("mask", 1).getKey());
    assertEquals("testOverrideUsingPositionB(8) ", "default-position-2", field.getArg("mask", 2).getKey());
    assertNull("testOverrideUsingPositionB(9) ", field.getArg("mask", 3));
}</t>
  </si>
  <si>
    <t>/**
 * test Field with only 'default' arguments, positions specified.
 */
public void testDefaultUsingPositions() {
    field.addArg(createArg("default-position-1", 1));
    field.addArg(createArg("default-position-0", 0));
    field.addArg(createArg("default-position-2", 2));
    assertEquals("testDefaultUsingPositions(1) ", 3, field.getArgs("required").length);
    assertEquals("testDefaultUsingPositions(2) ", "default-position-0", field.getArg("required", 0).getKey());
    assertEquals("testDefaultUsingPositions(3) ", "default-position-1", field.getArg("required", 1).getKey());
    assertEquals("testDefaultUsingPositions(4) ", "default-position-2", field.getArg("required", 2).getKey());
}
/**
 * test Field with a 'default' argument overriden without positions specified.
 */
public void testOverridePositionImplied() {
    field.addArg(createArg("default-position-0"));
    field.addArg(createArg("required-position-1", "required"));
    field.addArg(createArg("required-position-2", "required"));
    field.addArg(createArg("mask-position-1", "mask"));
    // use 'required' as name
    assertEquals("testOverridePositionImplied(1) ", 3, field.getArgs("required").length);
    assertEquals("testOverridePositionImplied(2) ", "default-position-0", field.getArg("required", 0).getKey());
    assertEquals("testOverridePositionImplied(3) ", "required-position-1", field.getArg("required", 1).getKey());
    assertEquals("testOverridePositionImplied(4) ", "required-position-2", field.getArg("required", 2).getKey());
    // use 'mask' as name
    assertEquals("testOverridePositionImplied(5) ", 3, field.getArgs("mask").length);
    assertEquals("testOverridePositionImplied(6) ", "default-position-0", field.getArg("mask", 0).getKey());
    assertEquals("testOverridePositionImplied(7) ", "mask-position-1", field.getArg("mask", 1).getKey());
    assertNull("testOverridePositionImplied(8) ", field.getArg("mask", 2));
    // Get Defaults
    assertEquals("testOverridePositionImplied(9) ", "default-position-0", field.getArg(0).getKey());
    assertNull("testOverridePositionImplied(10) ", field.getArg(1));
    assertNull("testOverridePositionImplied(11) ", field.getArg(2));
}</t>
  </si>
  <si>
    <t>/**
 * test Field with only 'default' arguments, positions specified.
 */
public void testDefaultUsingPositions() {
    field.addArg(createArg("default-position-1", 1));
    field.addArg(createArg("default-position-0", 0));
    field.addArg(createArg("default-position-2", 2));
    assertEquals("testDefaultUsingPositions(1) ", 3, field.getArgs("required").length);
    assertEquals("testDefaultUsingPositions(2) ", "default-position-0", field.getArg("required", 0).getKey());
    assertEquals("testDefaultUsingPositions(3) ", "default-position-1", field.getArg("required", 1).getKey());
    assertEquals("testDefaultUsingPositions(4) ", "default-position-2", field.getArg("required", 2).getKey());
}
/**
 * test Field with a 'default' argument overriden with some positions specified
 */
public void testOverrideSomePosition() {
    field.addArg(createArg("default-position-0"));
    field.addArg(createArg("default-position-1"));
    field.addArg(createArg("default-position-2"));
    field.addArg(createArg("required-position-1", "required", 1));
    field.addArg(createArg("required-position-2", "required"));
    field.addArg(createArg("mask-position-3", "mask"));
    // use 'required' as name
    assertEquals("testOverrideSomePosition(1) ", 4, field.getArgs("required").length);
    assertEquals("testOverrideSomePosition(2) ", "default-position-0", field.getArg("required", 0).getKey());
    assertEquals("testOverrideSomePosition(3) ", "required-position-1", field.getArg("required", 1).getKey());
    assertEquals("testOverrideSomePosition(4) ", "required-position-2", field.getArg("required", 2).getKey());
    assertNull("testOverrideSomePosition(5) ", field.getArg("required", 3));
    // use 'mask' as name
    assertEquals("testOverrideSomePosition(6) ", 4, field.getArgs("mask").length);
    assertEquals("testOverrideSomePosition(7) ", "default-position-0", field.getArg("mask", 0).getKey());
    assertEquals("testOverrideSomePosition(8) ", "default-position-1", field.getArg("mask", 1).getKey());
    assertEquals("testOverrideSomePosition(9) ", "default-position-2", field.getArg("mask", 2).getKey());
    assertEquals("testOverrideSomePosition(10) ", "mask-position-3", field.getArg("mask", 3).getKey());
    // Get Defaults
    assertEquals("testOverrideSomePosition(11) ", "default-position-0", field.getArg(0).getKey());
    assertEquals("testOverrideSomePosition(12) ", "default-position-1", field.getArg(1).getKey());
    assertEquals("testOverrideSomePosition(13) ", "default-position-2", field.getArg(2).getKey());
    assertNull("testOverrideSomePosition(14) ", field.getArg(3));
}</t>
  </si>
  <si>
    <t>/**
 * test Field with only 'default' arguments, position specified for one argument
 */
public void testDefaultOnePosition() {
    field.addArg(createArg("default-position-0"));
    field.addArg(createArg("default-position-2", 2));
    field.addArg(createArg("default-position-3"));
    assertEquals("testDefaultOnePosition(1) ", 4, field.getArgs("required").length);
    assertEquals("testDefaultOnePosition(2) ", "default-position-0", field.getArg("required", 0).getKey());
    assertNull("testDefaultOnePosition(3) ", field.getArg("required", 1));
    assertEquals("testDefaultOnePosition(4) ", "default-position-2", field.getArg("required", 2).getKey());
    assertEquals("testDefaultOnePosition(5) ", "default-position-3", field.getArg("required", 3).getKey());
}
/**
 * test Field with only 'default' arguments, some position specified.
 */
public void testDefaultSomePositions() {
    field.addArg(createArg("default-position-0"));
    field.addArg(createArg("default-position-2", 2));
    field.addArg(createArg("default-position-3"));
    field.addArg(createArg("default-position-1", 1));
    assertEquals("testDefaultSomePositions(1) ", 4, field.getArgs("required").length);
    assertEquals("testDefaultSomePositions(2) ", "default-position-0", field.getArg("required", 0).getKey());
    assertEquals("testDefaultSomePositions(3) ", "default-position-1", field.getArg("required", 1).getKey());
    assertEquals("testDefaultSomePositions(4) ", "default-position-2", field.getArg("required", 2).getKey());
    assertEquals("testDefaultSomePositions(5) ", "default-position-3", field.getArg("required", 3).getKey());
}</t>
  </si>
  <si>
    <t>[.createArg,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org/apache/commons/validator/Field.getArg, org/apache/commons/validator/Arg.getKey, org/apache/commons/validator/Field.getArg, org/apache/commons/validator/Arg.getKey]
[.createArg, org/apache/commons/validator/Field.addArg, 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org/apache/commons/validator/Arg.getKey]</t>
  </si>
  <si>
    <t>/**
 * test Field with only 'default' arguments, position specified for one argument
 */
public void testDefaultOnePosition() {
    field.addArg(createArg("default-position-0"));
    field.addArg(createArg("default-position-2", 2));
    field.addArg(createArg("default-position-3"));
    assertEquals("testDefaultOnePosition(1) ", 4, field.getArgs("required").length);
    assertEquals("testDefaultOnePosition(2) ", "default-position-0", field.getArg("required", 0).getKey());
    assertNull("testDefaultOnePosition(3) ", field.getArg("required", 1));
    assertEquals("testDefaultOnePosition(4) ", "default-position-2", field.getArg("required", 2).getKey());
    assertEquals("testDefaultOnePosition(5) ", "default-position-3", field.getArg("required", 3).getKey());
}
/**
 * test Field with a 'default' argument overriden using 'position' property
 */
public void testOverrideUsingPositionA() {
    field.addArg(createArg("default-position-0"));
    field.addArg(createArg("default-position-1"));
    field.addArg(createArg("default-position-2"));
    field.addArg(createArg("required-position-1", "required", 1));
    // use 'required' as name
    assertEquals("testOverrideUsingPositionA(1) ", 3, field.getArgs("required").length);
    assertEquals("testOverrideUsingPositionA(2) ", "required-position-1", field.getArg("required", 1).getKey());
    // use 'mask' as name
    assertEquals("testOverrideUsingPositionA(3) ", 3, field.getArgs("mask").length);
    assertEquals("testOverrideUsingPositionA(4) ", "default-position-1", field.getArg("mask", 1).getKey());
    // Get Default
    assertEquals("testOverrideUsingPositionA(5) ", "default-position-1", field.getArg(1).getKey());
}</t>
  </si>
  <si>
    <t>[.createArg,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org/apache/commons/validator/Field.getArg, org/apache/commons/validator/Arg.getKey, org/apache/commons/validator/Field.getArg, org/apache/commons/validator/Arg.getKey]
[.createArg, org/apache/commons/validator/Field.addArg, 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org/apache/commons/validator/Field.getArgs, org/apache/commons/validator/Field.getArg, org/apache/commons/validator/Arg.getKey, org/apache/commons/validator/Field.getArg, org/apache/commons/validator/Arg.getKey]</t>
  </si>
  <si>
    <t>/**
 * test Field with only 'default' arguments, position specified for one argument
 */
public void testDefaultOnePosition() {
    field.addArg(createArg("default-position-0"));
    field.addArg(createArg("default-position-2", 2));
    field.addArg(createArg("default-position-3"));
    assertEquals("testDefaultOnePosition(1) ", 4, field.getArgs("required").length);
    assertEquals("testDefaultOnePosition(2) ", "default-position-0", field.getArg("required", 0).getKey());
    assertNull("testDefaultOnePosition(3) ", field.getArg("required", 1));
    assertEquals("testDefaultOnePosition(4) ", "default-position-2", field.getArg("required", 2).getKey());
    assertEquals("testDefaultOnePosition(5) ", "default-position-3", field.getArg("required", 3).getKey());
}
/**
 * test Field with a 'default' argument overriden without positions specified.
 */
public void testOverridePositionImplied() {
    field.addArg(createArg("default-position-0"));
    field.addArg(createArg("required-position-1", "required"));
    field.addArg(createArg("required-position-2", "required"));
    field.addArg(createArg("mask-position-1", "mask"));
    // use 'required' as name
    assertEquals("testOverridePositionImplied(1) ", 3, field.getArgs("required").length);
    assertEquals("testOverridePositionImplied(2) ", "default-position-0", field.getArg("required", 0).getKey());
    assertEquals("testOverridePositionImplied(3) ", "required-position-1", field.getArg("required", 1).getKey());
    assertEquals("testOverridePositionImplied(4) ", "required-position-2", field.getArg("required", 2).getKey());
    // use 'mask' as name
    assertEquals("testOverridePositionImplied(5) ", 3, field.getArgs("mask").length);
    assertEquals("testOverridePositionImplied(6) ", "default-position-0", field.getArg("mask", 0).getKey());
    assertEquals("testOverridePositionImplied(7) ", "mask-position-1", field.getArg("mask", 1).getKey());
    assertNull("testOverridePositionImplied(8) ", field.getArg("mask", 2));
    // Get Defaults
    assertEquals("testOverridePositionImplied(9) ", "default-position-0", field.getArg(0).getKey());
    assertNull("testOverridePositionImplied(10) ", field.getArg(1));
    assertNull("testOverridePositionImplied(11) ", field.getArg(2));
}</t>
  </si>
  <si>
    <t>[.createArg,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org/apache/commons/validator/Field.getArg, org/apache/commons/validator/Arg.getKey, org/apache/commons/validator/Field.getArg, org/apache/commons/validator/Arg.getKey]
[.createArg, org/apache/commons/validator/Field.addArg, 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org/apache/commons/validator/Field.getArg, org/apache/commons/validator/Arg.getKey, org/apache/commons/validator/Field.getArg, org/apache/commons/validator/Field.getArg]</t>
  </si>
  <si>
    <t>/**
 * test Field with only 'default' arguments, position specified for one argument
 */
public void testDefaultOnePosition() {
    field.addArg(createArg("default-position-0"));
    field.addArg(createArg("default-position-2", 2));
    field.addArg(createArg("default-position-3"));
    assertEquals("testDefaultOnePosition(1) ", 4, field.getArgs("required").length);
    assertEquals("testDefaultOnePosition(2) ", "default-position-0", field.getArg("required", 0).getKey());
    assertNull("testDefaultOnePosition(3) ", field.getArg("required", 1));
    assertEquals("testDefaultOnePosition(4) ", "default-position-2", field.getArg("required", 2).getKey());
    assertEquals("testDefaultOnePosition(5) ", "default-position-3", field.getArg("required", 3).getKey());
}
/**
 * test Field with a 'default' argument overriden using 'position' property
 */
public void testOverrideUsingPositionB() {
    field.addArg(createArg("required-position-3", "required", 3));
    field.addArg(createArg("required-position-1", "required", 1));
    field.addArg(createArg("default-position-0"));
    field.addArg(createArg("default-position-1"));
    field.addArg(createArg("default-position-2"));
    // use 'required' as name
    assertEquals("testOverrideUsingPositionB(1) ", 4, field.getArgs("required").length);
    assertEquals("testOverrideUsingPositionB(2) ", "default-position-0", field.getArg("required", 0).getKey());
    assertEquals("testOverrideUsingPositionB(3) ", "required-position-1", field.getArg("required", 1).getKey());
    assertEquals("testOverrideUsingPositionB(4) ", "default-position-2", field.getArg("required", 2).getKey());
    assertEquals("testOverrideUsingPositionB(5) ", "required-position-3", field.getArg("required", 3).getKey());
    // use 'mask' as name
    assertEquals("testOverrideUsingPositionB(6) ", 4, field.getArgs("mask").length);
    assertEquals("testOverrideUsingPositionB(6) ", "default-position-0", field.getArg("mask", 0).getKey());
    assertEquals("testOverrideUsingPositionB(7) ", "default-position-1", field.getArg("mask", 1).getKey());
    assertEquals("testOverrideUsingPositionB(8) ", "default-position-2", field.getArg("mask", 2).getKey());
    assertNull("testOverrideUsingPositionB(9) ", field.getArg("mask", 3));
}</t>
  </si>
  <si>
    <t>[.createArg,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org/apache/commons/validator/Field.getArg, org/apache/commons/validator/Arg.getKey, org/apache/commons/validator/Field.getArg, org/apache/commons/validator/Arg.getKey]
[.createArg, org/apache/commons/validator/Field.addArg, .createArg, org/apache/commons/validator/Field.addArg, 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org/apache/commons/validator/Field.getArg]</t>
  </si>
  <si>
    <t>/**
 * test Field with only 'default' arguments, position specified for one argument
 */
public void testDefaultOnePosition() {
    field.addArg(createArg("default-position-0"));
    field.addArg(createArg("default-position-2", 2));
    field.addArg(createArg("default-position-3"));
    assertEquals("testDefaultOnePosition(1) ", 4, field.getArgs("required").length);
    assertEquals("testDefaultOnePosition(2) ", "default-position-0", field.getArg("required", 0).getKey());
    assertNull("testDefaultOnePosition(3) ", field.getArg("required", 1));
    assertEquals("testDefaultOnePosition(4) ", "default-position-2", field.getArg("required", 2).getKey());
    assertEquals("testDefaultOnePosition(5) ", "default-position-3", field.getArg("required", 3).getKey());
}
/**
 * test Field with a 'default' argument overriden with some positions specified
 */
public void testOverrideSomePosition() {
    field.addArg(createArg("default-position-0"));
    field.addArg(createArg("default-position-1"));
    field.addArg(createArg("default-position-2"));
    field.addArg(createArg("required-position-1", "required", 1));
    field.addArg(createArg("required-position-2", "required"));
    field.addArg(createArg("mask-position-3", "mask"));
    // use 'required' as name
    assertEquals("testOverrideSomePosition(1) ", 4, field.getArgs("required").length);
    assertEquals("testOverrideSomePosition(2) ", "default-position-0", field.getArg("required", 0).getKey());
    assertEquals("testOverrideSomePosition(3) ", "required-position-1", field.getArg("required", 1).getKey());
    assertEquals("testOverrideSomePosition(4) ", "required-position-2", field.getArg("required", 2).getKey());
    assertNull("testOverrideSomePosition(5) ", field.getArg("required", 3));
    // use 'mask' as name
    assertEquals("testOverrideSomePosition(6) ", 4, field.getArgs("mask").length);
    assertEquals("testOverrideSomePosition(7) ", "default-position-0", field.getArg("mask", 0).getKey());
    assertEquals("testOverrideSomePosition(8) ", "default-position-1", field.getArg("mask", 1).getKey());
    assertEquals("testOverrideSomePosition(9) ", "default-position-2", field.getArg("mask", 2).getKey());
    assertEquals("testOverrideSomePosition(10) ", "mask-position-3", field.getArg("mask", 3).getKey());
    // Get Defaults
    assertEquals("testOverrideSomePosition(11) ", "default-position-0", field.getArg(0).getKey());
    assertEquals("testOverrideSomePosition(12) ", "default-position-1", field.getArg(1).getKey());
    assertEquals("testOverrideSomePosition(13) ", "default-position-2", field.getArg(2).getKey());
    assertNull("testOverrideSomePosition(14) ", field.getArg(3));
}</t>
  </si>
  <si>
    <t>[.createArg,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org/apache/commons/validator/Field.getArg, org/apache/commons/validator/Arg.getKey, org/apache/commons/validator/Field.getArg, org/apache/commons/validator/Arg.getKey]
[.createArg, org/apache/commons/validator/Field.addArg, .createArg, org/apache/commons/validator/Field.addArg, .createArg, org/apache/commons/validator/Field.addArg, 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org/apache/commons/validator/Field.getArg]</t>
  </si>
  <si>
    <t>/**
 * test Field with only 'default' arguments, some position specified.
 */
public void testDefaultSomePositions() {
    field.addArg(createArg("default-position-0"));
    field.addArg(createArg("default-position-2", 2));
    field.addArg(createArg("default-position-3"));
    field.addArg(createArg("default-position-1", 1));
    assertEquals("testDefaultSomePositions(1) ", 4, field.getArgs("required").length);
    assertEquals("testDefaultSomePositions(2) ", "default-position-0", field.getArg("required", 0).getKey());
    assertEquals("testDefaultSomePositions(3) ", "default-position-1", field.getArg("required", 1).getKey());
    assertEquals("testDefaultSomePositions(4) ", "default-position-2", field.getArg("required", 2).getKey());
    assertEquals("testDefaultSomePositions(5) ", "default-position-3", field.getArg("required", 3).getKey());
}
/**
 * test Field with a 'default' argument overriden using 'position' property
 */
public void testOverrideUsingPositionA() {
    field.addArg(createArg("default-position-0"));
    field.addArg(createArg("default-position-1"));
    field.addArg(createArg("default-position-2"));
    field.addArg(createArg("required-position-1", "required", 1));
    // use 'required' as name
    assertEquals("testOverrideUsingPositionA(1) ", 3, field.getArgs("required").length);
    assertEquals("testOverrideUsingPositionA(2) ", "required-position-1", field.getArg("required", 1).getKey());
    // use 'mask' as name
    assertEquals("testOverrideUsingPositionA(3) ", 3, field.getArgs("mask").length);
    assertEquals("testOverrideUsingPositionA(4) ", "default-position-1", field.getArg("mask", 1).getKey());
    // Get Default
    assertEquals("testOverrideUsingPositionA(5) ", "default-position-1", field.getArg(1).getKey());
}</t>
  </si>
  <si>
    <t>[.createArg, org/apache/commons/validator/Field.addArg, 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org/apache/commons/validator/Arg.getKey]
[.createArg, org/apache/commons/validator/Field.addArg, 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org/apache/commons/validator/Field.getArgs, org/apache/commons/validator/Field.getArg, org/apache/commons/validator/Arg.getKey, org/apache/commons/validator/Field.getArg, org/apache/commons/validator/Arg.getKey]</t>
  </si>
  <si>
    <t>/**
 * test Field with only 'default' arguments, some position specified.
 */
public void testDefaultSomePositions() {
    field.addArg(createArg("default-position-0"));
    field.addArg(createArg("default-position-2", 2));
    field.addArg(createArg("default-position-3"));
    field.addArg(createArg("default-position-1", 1));
    assertEquals("testDefaultSomePositions(1) ", 4, field.getArgs("required").length);
    assertEquals("testDefaultSomePositions(2) ", "default-position-0", field.getArg("required", 0).getKey());
    assertEquals("testDefaultSomePositions(3) ", "default-position-1", field.getArg("required", 1).getKey());
    assertEquals("testDefaultSomePositions(4) ", "default-position-2", field.getArg("required", 2).getKey());
    assertEquals("testDefaultSomePositions(5) ", "default-position-3", field.getArg("required", 3).getKey());
}
/**
 * test Field with a 'default' argument overriden without positions specified.
 */
public void testOverridePositionImplied() {
    field.addArg(createArg("default-position-0"));
    field.addArg(createArg("required-position-1", "required"));
    field.addArg(createArg("required-position-2", "required"));
    field.addArg(createArg("mask-position-1", "mask"));
    // use 'required' as name
    assertEquals("testOverridePositionImplied(1) ", 3, field.getArgs("required").length);
    assertEquals("testOverridePositionImplied(2) ", "default-position-0", field.getArg("required", 0).getKey());
    assertEquals("testOverridePositionImplied(3) ", "required-position-1", field.getArg("required", 1).getKey());
    assertEquals("testOverridePositionImplied(4) ", "required-position-2", field.getArg("required", 2).getKey());
    // use 'mask' as name
    assertEquals("testOverridePositionImplied(5) ", 3, field.getArgs("mask").length);
    assertEquals("testOverridePositionImplied(6) ", "default-position-0", field.getArg("mask", 0).getKey());
    assertEquals("testOverridePositionImplied(7) ", "mask-position-1", field.getArg("mask", 1).getKey());
    assertNull("testOverridePositionImplied(8) ", field.getArg("mask", 2));
    // Get Defaults
    assertEquals("testOverridePositionImplied(9) ", "default-position-0", field.getArg(0).getKey());
    assertNull("testOverridePositionImplied(10) ", field.getArg(1));
    assertNull("testOverridePositionImplied(11) ", field.getArg(2));
}</t>
  </si>
  <si>
    <t>[.createArg, org/apache/commons/validator/Field.addArg, 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org/apache/commons/validator/Arg.getKey]
[.createArg, org/apache/commons/validator/Field.addArg, 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org/apache/commons/validator/Field.getArg, org/apache/commons/validator/Arg.getKey, org/apache/commons/validator/Field.getArg, org/apache/commons/validator/Field.getArg]</t>
  </si>
  <si>
    <t>/**
 * test Field with only 'default' arguments, some position specified.
 */
public void testDefaultSomePositions() {
    field.addArg(createArg("default-position-0"));
    field.addArg(createArg("default-position-2", 2));
    field.addArg(createArg("default-position-3"));
    field.addArg(createArg("default-position-1", 1));
    assertEquals("testDefaultSomePositions(1) ", 4, field.getArgs("required").length);
    assertEquals("testDefaultSomePositions(2) ", "default-position-0", field.getArg("required", 0).getKey());
    assertEquals("testDefaultSomePositions(3) ", "default-position-1", field.getArg("required", 1).getKey());
    assertEquals("testDefaultSomePositions(4) ", "default-position-2", field.getArg("required", 2).getKey());
    assertEquals("testDefaultSomePositions(5) ", "default-position-3", field.getArg("required", 3).getKey());
}
/**
 * test Field with a 'default' argument overriden using 'position' property
 */
public void testOverrideUsingPositionB() {
    field.addArg(createArg("required-position-3", "required", 3));
    field.addArg(createArg("required-position-1", "required", 1));
    field.addArg(createArg("default-position-0"));
    field.addArg(createArg("default-position-1"));
    field.addArg(createArg("default-position-2"));
    // use 'required' as name
    assertEquals("testOverrideUsingPositionB(1) ", 4, field.getArgs("required").length);
    assertEquals("testOverrideUsingPositionB(2) ", "default-position-0", field.getArg("required", 0).getKey());
    assertEquals("testOverrideUsingPositionB(3) ", "required-position-1", field.getArg("required", 1).getKey());
    assertEquals("testOverrideUsingPositionB(4) ", "default-position-2", field.getArg("required", 2).getKey());
    assertEquals("testOverrideUsingPositionB(5) ", "required-position-3", field.getArg("required", 3).getKey());
    // use 'mask' as name
    assertEquals("testOverrideUsingPositionB(6) ", 4, field.getArgs("mask").length);
    assertEquals("testOverrideUsingPositionB(6) ", "default-position-0", field.getArg("mask", 0).getKey());
    assertEquals("testOverrideUsingPositionB(7) ", "default-position-1", field.getArg("mask", 1).getKey());
    assertEquals("testOverrideUsingPositionB(8) ", "default-position-2", field.getArg("mask", 2).getKey());
    assertNull("testOverrideUsingPositionB(9) ", field.getArg("mask", 3));
}</t>
  </si>
  <si>
    <t>[.createArg, org/apache/commons/validator/Field.addArg, 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org/apache/commons/validator/Arg.getKey]
[.createArg, org/apache/commons/validator/Field.addArg, .createArg, org/apache/commons/validator/Field.addArg, 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org/apache/commons/validator/Field.getArg]</t>
  </si>
  <si>
    <t>/**
 * test Field with only 'default' arguments, some position specified.
 */
public void testDefaultSomePositions() {
    field.addArg(createArg("default-position-0"));
    field.addArg(createArg("default-position-2", 2));
    field.addArg(createArg("default-position-3"));
    field.addArg(createArg("default-position-1", 1));
    assertEquals("testDefaultSomePositions(1) ", 4, field.getArgs("required").length);
    assertEquals("testDefaultSomePositions(2) ", "default-position-0", field.getArg("required", 0).getKey());
    assertEquals("testDefaultSomePositions(3) ", "default-position-1", field.getArg("required", 1).getKey());
    assertEquals("testDefaultSomePositions(4) ", "default-position-2", field.getArg("required", 2).getKey());
    assertEquals("testDefaultSomePositions(5) ", "default-position-3", field.getArg("required", 3).getKey());
}
/**
 * test Field with a 'default' argument overriden with some positions specified
 */
public void testOverrideSomePosition() {
    field.addArg(createArg("default-position-0"));
    field.addArg(createArg("default-position-1"));
    field.addArg(createArg("default-position-2"));
    field.addArg(createArg("required-position-1", "required", 1));
    field.addArg(createArg("required-position-2", "required"));
    field.addArg(createArg("mask-position-3", "mask"));
    // use 'required' as name
    assertEquals("testOverrideSomePosition(1) ", 4, field.getArgs("required").length);
    assertEquals("testOverrideSomePosition(2) ", "default-position-0", field.getArg("required", 0).getKey());
    assertEquals("testOverrideSomePosition(3) ", "required-position-1", field.getArg("required", 1).getKey());
    assertEquals("testOverrideSomePosition(4) ", "required-position-2", field.getArg("required", 2).getKey());
    assertNull("testOverrideSomePosition(5) ", field.getArg("required", 3));
    // use 'mask' as name
    assertEquals("testOverrideSomePosition(6) ", 4, field.getArgs("mask").length);
    assertEquals("testOverrideSomePosition(7) ", "default-position-0", field.getArg("mask", 0).getKey());
    assertEquals("testOverrideSomePosition(8) ", "default-position-1", field.getArg("mask", 1).getKey());
    assertEquals("testOverrideSomePosition(9) ", "default-position-2", field.getArg("mask", 2).getKey());
    assertEquals("testOverrideSomePosition(10) ", "mask-position-3", field.getArg("mask", 3).getKey());
    // Get Defaults
    assertEquals("testOverrideSomePosition(11) ", "default-position-0", field.getArg(0).getKey());
    assertEquals("testOverrideSomePosition(12) ", "default-position-1", field.getArg(1).getKey());
    assertEquals("testOverrideSomePosition(13) ", "default-position-2", field.getArg(2).getKey());
    assertNull("testOverrideSomePosition(14) ", field.getArg(3));
}</t>
  </si>
  <si>
    <t>[.createArg, org/apache/commons/validator/Field.addArg, 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org/apache/commons/validator/Arg.getKey]
[.createArg, org/apache/commons/validator/Field.addArg, .createArg, org/apache/commons/validator/Field.addArg, .createArg, org/apache/commons/validator/Field.addArg, 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org/apache/commons/validator/Field.getArg]</t>
  </si>
  <si>
    <t>/**
 * test Field with a 'default' argument overriden using 'position' property
 */
public void testOverrideUsingPositionA() {
    field.addArg(createArg("default-position-0"));
    field.addArg(createArg("default-position-1"));
    field.addArg(createArg("default-position-2"));
    field.addArg(createArg("required-position-1", "required", 1));
    // use 'required' as name
    assertEquals("testOverrideUsingPositionA(1) ", 3, field.getArgs("required").length);
    assertEquals("testOverrideUsingPositionA(2) ", "required-position-1", field.getArg("required", 1).getKey());
    // use 'mask' as name
    assertEquals("testOverrideUsingPositionA(3) ", 3, field.getArgs("mask").length);
    assertEquals("testOverrideUsingPositionA(4) ", "default-position-1", field.getArg("mask", 1).getKey());
    // Get Default
    assertEquals("testOverrideUsingPositionA(5) ", "default-position-1", field.getArg(1).getKey());
}
/**
 * test Field with a 'default' argument overriden without positions specified.
 */
public void testOverridePositionImplied() {
    field.addArg(createArg("default-position-0"));
    field.addArg(createArg("required-position-1", "required"));
    field.addArg(createArg("required-position-2", "required"));
    field.addArg(createArg("mask-position-1", "mask"));
    // use 'required' as name
    assertEquals("testOverridePositionImplied(1) ", 3, field.getArgs("required").length);
    assertEquals("testOverridePositionImplied(2) ", "default-position-0", field.getArg("required", 0).getKey());
    assertEquals("testOverridePositionImplied(3) ", "required-position-1", field.getArg("required", 1).getKey());
    assertEquals("testOverridePositionImplied(4) ", "required-position-2", field.getArg("required", 2).getKey());
    // use 'mask' as name
    assertEquals("testOverridePositionImplied(5) ", 3, field.getArgs("mask").length);
    assertEquals("testOverridePositionImplied(6) ", "default-position-0", field.getArg("mask", 0).getKey());
    assertEquals("testOverridePositionImplied(7) ", "mask-position-1", field.getArg("mask", 1).getKey());
    assertNull("testOverridePositionImplied(8) ", field.getArg("mask", 2));
    // Get Defaults
    assertEquals("testOverridePositionImplied(9) ", "default-position-0", field.getArg(0).getKey());
    assertNull("testOverridePositionImplied(10) ", field.getArg(1));
    assertNull("testOverridePositionImplied(11) ", field.getArg(2));
}</t>
  </si>
  <si>
    <t>[.createArg, org/apache/commons/validator/Field.addArg, 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org/apache/commons/validator/Field.getArgs, org/apache/commons/validator/Field.getArg, org/apache/commons/validator/Arg.getKey, org/apache/commons/validator/Field.getArg, org/apache/commons/validator/Arg.getKey]
[.createArg, org/apache/commons/validator/Field.addArg, 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org/apache/commons/validator/Field.getArg, org/apache/commons/validator/Arg.getKey, org/apache/commons/validator/Field.getArg, org/apache/commons/validator/Field.getArg]</t>
  </si>
  <si>
    <t>/**
 * test Field with a 'default' argument overriden using 'position' property
 */
public void testOverrideUsingPositionA() {
    field.addArg(createArg("default-position-0"));
    field.addArg(createArg("default-position-1"));
    field.addArg(createArg("default-position-2"));
    field.addArg(createArg("required-position-1", "required", 1));
    // use 'required' as name
    assertEquals("testOverrideUsingPositionA(1) ", 3, field.getArgs("required").length);
    assertEquals("testOverrideUsingPositionA(2) ", "required-position-1", field.getArg("required", 1).getKey());
    // use 'mask' as name
    assertEquals("testOverrideUsingPositionA(3) ", 3, field.getArgs("mask").length);
    assertEquals("testOverrideUsingPositionA(4) ", "default-position-1", field.getArg("mask", 1).getKey());
    // Get Default
    assertEquals("testOverrideUsingPositionA(5) ", "default-position-1", field.getArg(1).getKey());
}
/**
 * test Field with a 'default' argument overriden using 'position' property
 */
public void testOverrideUsingPositionB() {
    field.addArg(createArg("required-position-3", "required", 3));
    field.addArg(createArg("required-position-1", "required", 1));
    field.addArg(createArg("default-position-0"));
    field.addArg(createArg("default-position-1"));
    field.addArg(createArg("default-position-2"));
    // use 'required' as name
    assertEquals("testOverrideUsingPositionB(1) ", 4, field.getArgs("required").length);
    assertEquals("testOverrideUsingPositionB(2) ", "default-position-0", field.getArg("required", 0).getKey());
    assertEquals("testOverrideUsingPositionB(3) ", "required-position-1", field.getArg("required", 1).getKey());
    assertEquals("testOverrideUsingPositionB(4) ", "default-position-2", field.getArg("required", 2).getKey());
    assertEquals("testOverrideUsingPositionB(5) ", "required-position-3", field.getArg("required", 3).getKey());
    // use 'mask' as name
    assertEquals("testOverrideUsingPositionB(6) ", 4, field.getArgs("mask").length);
    assertEquals("testOverrideUsingPositionB(6) ", "default-position-0", field.getArg("mask", 0).getKey());
    assertEquals("testOverrideUsingPositionB(7) ", "default-position-1", field.getArg("mask", 1).getKey());
    assertEquals("testOverrideUsingPositionB(8) ", "default-position-2", field.getArg("mask", 2).getKey());
    assertNull("testOverrideUsingPositionB(9) ", field.getArg("mask", 3));
}</t>
  </si>
  <si>
    <t>[.createArg, org/apache/commons/validator/Field.addArg, 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org/apache/commons/validator/Field.getArgs, org/apache/commons/validator/Field.getArg, org/apache/commons/validator/Arg.getKey, org/apache/commons/validator/Field.getArg, org/apache/commons/validator/Arg.getKey]
[.createArg, org/apache/commons/validator/Field.addArg, .createArg, org/apache/commons/validator/Field.addArg, 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org/apache/commons/validator/Field.getArg]</t>
  </si>
  <si>
    <t>/**
 * test Field with a 'default' argument overriden using 'position' property
 */
public void testOverrideUsingPositionA() {
    field.addArg(createArg("default-position-0"));
    field.addArg(createArg("default-position-1"));
    field.addArg(createArg("default-position-2"));
    field.addArg(createArg("required-position-1", "required", 1));
    // use 'required' as name
    assertEquals("testOverrideUsingPositionA(1) ", 3, field.getArgs("required").length);
    assertEquals("testOverrideUsingPositionA(2) ", "required-position-1", field.getArg("required", 1).getKey());
    // use 'mask' as name
    assertEquals("testOverrideUsingPositionA(3) ", 3, field.getArgs("mask").length);
    assertEquals("testOverrideUsingPositionA(4) ", "default-position-1", field.getArg("mask", 1).getKey());
    // Get Default
    assertEquals("testOverrideUsingPositionA(5) ", "default-position-1", field.getArg(1).getKey());
}
/**
 * test Field with a 'default' argument overriden with some positions specified
 */
public void testOverrideSomePosition() {
    field.addArg(createArg("default-position-0"));
    field.addArg(createArg("default-position-1"));
    field.addArg(createArg("default-position-2"));
    field.addArg(createArg("required-position-1", "required", 1));
    field.addArg(createArg("required-position-2", "required"));
    field.addArg(createArg("mask-position-3", "mask"));
    // use 'required' as name
    assertEquals("testOverrideSomePosition(1) ", 4, field.getArgs("required").length);
    assertEquals("testOverrideSomePosition(2) ", "default-position-0", field.getArg("required", 0).getKey());
    assertEquals("testOverrideSomePosition(3) ", "required-position-1", field.getArg("required", 1).getKey());
    assertEquals("testOverrideSomePosition(4) ", "required-position-2", field.getArg("required", 2).getKey());
    assertNull("testOverrideSomePosition(5) ", field.getArg("required", 3));
    // use 'mask' as name
    assertEquals("testOverrideSomePosition(6) ", 4, field.getArgs("mask").length);
    assertEquals("testOverrideSomePosition(7) ", "default-position-0", field.getArg("mask", 0).getKey());
    assertEquals("testOverrideSomePosition(8) ", "default-position-1", field.getArg("mask", 1).getKey());
    assertEquals("testOverrideSomePosition(9) ", "default-position-2", field.getArg("mask", 2).getKey());
    assertEquals("testOverrideSomePosition(10) ", "mask-position-3", field.getArg("mask", 3).getKey());
    // Get Defaults
    assertEquals("testOverrideSomePosition(11) ", "default-position-0", field.getArg(0).getKey());
    assertEquals("testOverrideSomePosition(12) ", "default-position-1", field.getArg(1).getKey());
    assertEquals("testOverrideSomePosition(13) ", "default-position-2", field.getArg(2).getKey());
    assertNull("testOverrideSomePosition(14) ", field.getArg(3));
}</t>
  </si>
  <si>
    <t>[.createArg, org/apache/commons/validator/Field.addArg, 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org/apache/commons/validator/Field.getArgs, org/apache/commons/validator/Field.getArg, org/apache/commons/validator/Arg.getKey, org/apache/commons/validator/Field.getArg, org/apache/commons/validator/Arg.getKey]
[.createArg, org/apache/commons/validator/Field.addArg, .createArg, org/apache/commons/validator/Field.addArg, .createArg, org/apache/commons/validator/Field.addArg, 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org/apache/commons/validator/Field.getArg]</t>
  </si>
  <si>
    <t>/**
 * test Field with a 'default' argument overriden using 'position' property
 */
public void testOverrideUsingPositionB() {
    field.addArg(createArg("required-position-3", "required", 3));
    field.addArg(createArg("required-position-1", "required", 1));
    field.addArg(createArg("default-position-0"));
    field.addArg(createArg("default-position-1"));
    field.addArg(createArg("default-position-2"));
    // use 'required' as name
    assertEquals("testOverrideUsingPositionB(1) ", 4, field.getArgs("required").length);
    assertEquals("testOverrideUsingPositionB(2) ", "default-position-0", field.getArg("required", 0).getKey());
    assertEquals("testOverrideUsingPositionB(3) ", "required-position-1", field.getArg("required", 1).getKey());
    assertEquals("testOverrideUsingPositionB(4) ", "default-position-2", field.getArg("required", 2).getKey());
    assertEquals("testOverrideUsingPositionB(5) ", "required-position-3", field.getArg("required", 3).getKey());
    // use 'mask' as name
    assertEquals("testOverrideUsingPositionB(6) ", 4, field.getArgs("mask").length);
    assertEquals("testOverrideUsingPositionB(6) ", "default-position-0", field.getArg("mask", 0).getKey());
    assertEquals("testOverrideUsingPositionB(7) ", "default-position-1", field.getArg("mask", 1).getKey());
    assertEquals("testOverrideUsingPositionB(8) ", "default-position-2", field.getArg("mask", 2).getKey());
    assertNull("testOverrideUsingPositionB(9) ", field.getArg("mask", 3));
}
/**
 * test Field with a 'default' argument overriden without positions specified.
 */
public void testOverridePositionImplied() {
    field.addArg(createArg("default-position-0"));
    field.addArg(createArg("required-position-1", "required"));
    field.addArg(createArg("required-position-2", "required"));
    field.addArg(createArg("mask-position-1", "mask"));
    // use 'required' as name
    assertEquals("testOverridePositionImplied(1) ", 3, field.getArgs("required").length);
    assertEquals("testOverridePositionImplied(2) ", "default-position-0", field.getArg("required", 0).getKey());
    assertEquals("testOverridePositionImplied(3) ", "required-position-1", field.getArg("required", 1).getKey());
    assertEquals("testOverridePositionImplied(4) ", "required-position-2", field.getArg("required", 2).getKey());
    // use 'mask' as name
    assertEquals("testOverridePositionImplied(5) ", 3, field.getArgs("mask").length);
    assertEquals("testOverridePositionImplied(6) ", "default-position-0", field.getArg("mask", 0).getKey());
    assertEquals("testOverridePositionImplied(7) ", "mask-position-1", field.getArg("mask", 1).getKey());
    assertNull("testOverridePositionImplied(8) ", field.getArg("mask", 2));
    // Get Defaults
    assertEquals("testOverridePositionImplied(9) ", "default-position-0", field.getArg(0).getKey());
    assertNull("testOverridePositionImplied(10) ", field.getArg(1));
    assertNull("testOverridePositionImplied(11) ", field.getArg(2));
}</t>
  </si>
  <si>
    <t>[.createArg, org/apache/commons/validator/Field.addArg, .createArg, org/apache/commons/validator/Field.addArg, 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org/apache/commons/validator/Field.getArg]
[.createArg, org/apache/commons/validator/Field.addArg, 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org/apache/commons/validator/Field.getArg, org/apache/commons/validator/Arg.getKey, org/apache/commons/validator/Field.getArg, org/apache/commons/validator/Field.getArg]</t>
  </si>
  <si>
    <t>/**
 * test Field with a 'default' argument overriden using 'position' property
 */
public void testOverrideUsingPositionB() {
    field.addArg(createArg("required-position-3", "required", 3));
    field.addArg(createArg("required-position-1", "required", 1));
    field.addArg(createArg("default-position-0"));
    field.addArg(createArg("default-position-1"));
    field.addArg(createArg("default-position-2"));
    // use 'required' as name
    assertEquals("testOverrideUsingPositionB(1) ", 4, field.getArgs("required").length);
    assertEquals("testOverrideUsingPositionB(2) ", "default-position-0", field.getArg("required", 0).getKey());
    assertEquals("testOverrideUsingPositionB(3) ", "required-position-1", field.getArg("required", 1).getKey());
    assertEquals("testOverrideUsingPositionB(4) ", "default-position-2", field.getArg("required", 2).getKey());
    assertEquals("testOverrideUsingPositionB(5) ", "required-position-3", field.getArg("required", 3).getKey());
    // use 'mask' as name
    assertEquals("testOverrideUsingPositionB(6) ", 4, field.getArgs("mask").length);
    assertEquals("testOverrideUsingPositionB(6) ", "default-position-0", field.getArg("mask", 0).getKey());
    assertEquals("testOverrideUsingPositionB(7) ", "default-position-1", field.getArg("mask", 1).getKey());
    assertEquals("testOverrideUsingPositionB(8) ", "default-position-2", field.getArg("mask", 2).getKey());
    assertNull("testOverrideUsingPositionB(9) ", field.getArg("mask", 3));
}
/**
 * test Field with a 'default' argument overriden with some positions specified
 */
public void testOverrideSomePosition() {
    field.addArg(createArg("default-position-0"));
    field.addArg(createArg("default-position-1"));
    field.addArg(createArg("default-position-2"));
    field.addArg(createArg("required-position-1", "required", 1));
    field.addArg(createArg("required-position-2", "required"));
    field.addArg(createArg("mask-position-3", "mask"));
    // use 'required' as name
    assertEquals("testOverrideSomePosition(1) ", 4, field.getArgs("required").length);
    assertEquals("testOverrideSomePosition(2) ", "default-position-0", field.getArg("required", 0).getKey());
    assertEquals("testOverrideSomePosition(3) ", "required-position-1", field.getArg("required", 1).getKey());
    assertEquals("testOverrideSomePosition(4) ", "required-position-2", field.getArg("required", 2).getKey());
    assertNull("testOverrideSomePosition(5) ", field.getArg("required", 3));
    // use 'mask' as name
    assertEquals("testOverrideSomePosition(6) ", 4, field.getArgs("mask").length);
    assertEquals("testOverrideSomePosition(7) ", "default-position-0", field.getArg("mask", 0).getKey());
    assertEquals("testOverrideSomePosition(8) ", "default-position-1", field.getArg("mask", 1).getKey());
    assertEquals("testOverrideSomePosition(9) ", "default-position-2", field.getArg("mask", 2).getKey());
    assertEquals("testOverrideSomePosition(10) ", "mask-position-3", field.getArg("mask", 3).getKey());
    // Get Defaults
    assertEquals("testOverrideSomePosition(11) ", "default-position-0", field.getArg(0).getKey());
    assertEquals("testOverrideSomePosition(12) ", "default-position-1", field.getArg(1).getKey());
    assertEquals("testOverrideSomePosition(13) ", "default-position-2", field.getArg(2).getKey());
    assertNull("testOverrideSomePosition(14) ", field.getArg(3));
}</t>
  </si>
  <si>
    <t>[.createArg, org/apache/commons/validator/Field.addArg, .createArg, org/apache/commons/validator/Field.addArg, 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org/apache/commons/validator/Field.getArg]
[.createArg, org/apache/commons/validator/Field.addArg, .createArg, org/apache/commons/validator/Field.addArg, .createArg, org/apache/commons/validator/Field.addArg, 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org/apache/commons/validator/Field.getArg]</t>
  </si>
  <si>
    <t>/**
 * test Field with a 'default' argument overriden without positions specified.
 */
public void testOverridePositionImplied() {
    field.addArg(createArg("default-position-0"));
    field.addArg(createArg("required-position-1", "required"));
    field.addArg(createArg("required-position-2", "required"));
    field.addArg(createArg("mask-position-1", "mask"));
    // use 'required' as name
    assertEquals("testOverridePositionImplied(1) ", 3, field.getArgs("required").length);
    assertEquals("testOverridePositionImplied(2) ", "default-position-0", field.getArg("required", 0).getKey());
    assertEquals("testOverridePositionImplied(3) ", "required-position-1", field.getArg("required", 1).getKey());
    assertEquals("testOverridePositionImplied(4) ", "required-position-2", field.getArg("required", 2).getKey());
    // use 'mask' as name
    assertEquals("testOverridePositionImplied(5) ", 3, field.getArgs("mask").length);
    assertEquals("testOverridePositionImplied(6) ", "default-position-0", field.getArg("mask", 0).getKey());
    assertEquals("testOverridePositionImplied(7) ", "mask-position-1", field.getArg("mask", 1).getKey());
    assertNull("testOverridePositionImplied(8) ", field.getArg("mask", 2));
    // Get Defaults
    assertEquals("testOverridePositionImplied(9) ", "default-position-0", field.getArg(0).getKey());
    assertNull("testOverridePositionImplied(10) ", field.getArg(1));
    assertNull("testOverridePositionImplied(11) ", field.getArg(2));
}
/**
 * test Field with a 'default' argument overriden with some positions specified
 */
public void testOverrideSomePosition() {
    field.addArg(createArg("default-position-0"));
    field.addArg(createArg("default-position-1"));
    field.addArg(createArg("default-position-2"));
    field.addArg(createArg("required-position-1", "required", 1));
    field.addArg(createArg("required-position-2", "required"));
    field.addArg(createArg("mask-position-3", "mask"));
    // use 'required' as name
    assertEquals("testOverrideSomePosition(1) ", 4, field.getArgs("required").length);
    assertEquals("testOverrideSomePosition(2) ", "default-position-0", field.getArg("required", 0).getKey());
    assertEquals("testOverrideSomePosition(3) ", "required-position-1", field.getArg("required", 1).getKey());
    assertEquals("testOverrideSomePosition(4) ", "required-position-2", field.getArg("required", 2).getKey());
    assertNull("testOverrideSomePosition(5) ", field.getArg("required", 3));
    // use 'mask' as name
    assertEquals("testOverrideSomePosition(6) ", 4, field.getArgs("mask").length);
    assertEquals("testOverrideSomePosition(7) ", "default-position-0", field.getArg("mask", 0).getKey());
    assertEquals("testOverrideSomePosition(8) ", "default-position-1", field.getArg("mask", 1).getKey());
    assertEquals("testOverrideSomePosition(9) ", "default-position-2", field.getArg("mask", 2).getKey());
    assertEquals("testOverrideSomePosition(10) ", "mask-position-3", field.getArg("mask", 3).getKey());
    // Get Defaults
    assertEquals("testOverrideSomePosition(11) ", "default-position-0", field.getArg(0).getKey());
    assertEquals("testOverrideSomePosition(12) ", "default-position-1", field.getArg(1).getKey());
    assertEquals("testOverrideSomePosition(13) ", "default-position-2", field.getArg(2).getKey());
    assertNull("testOverrideSomePosition(14) ", field.getArg(3));
}</t>
  </si>
  <si>
    <t>[.createArg, org/apache/commons/validator/Field.addArg, 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org/apache/commons/validator/Field.getArg, org/apache/commons/validator/Arg.getKey, org/apache/commons/validator/Field.getArg, org/apache/commons/validator/Field.getArg]
[.createArg, org/apache/commons/validator/Field.addArg, .createArg, org/apache/commons/validator/Field.addArg, .createArg, org/apache/commons/validator/Field.addArg, 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org/apache/commons/validator/Field.getArg]</t>
  </si>
  <si>
    <t>org.apache.commons.validator.LocaleTest</t>
  </si>
  <si>
    <t>testLocale1</t>
  </si>
  <si>
    <t>/**
 * See what happens when we try to validate with a Locale, Country and
 * variant. Also check if the added locale validation field is getting used.
 *
 * @throws ValidatorException  If something goes wrong
 */
public void testLocale1() throws ValidatorException {
    // Create bean to run test on.
    NameBean name = new NameBean();
    name.setFirstName("");
    name.setLastName("");
    valueTest(name, new Locale("en", "US", "TEST1"), false, false, false);
}
/**
 * See what happens when we try to validate with a Locale, Country and
 * variant
 *
 * @throws ValidatorException  If something goes wrong
 */
public void testLocale2() throws ValidatorException {
    // Create bean to run test on.
    NameBean name = new NameBean();
    name.setFirstName("");
    name.setLastName("");
    valueTest(name, new Locale("en", "US", "TEST2"), true, false, true);
}</t>
  </si>
  <si>
    <t>[org/apache/commons/validator/NameBean."&lt;init&gt;", org/apache/commons/validator/NameBean.setFirstName, org/apache/commons/validator/NameBean.setLastName, java/util/Locale."&lt;init&gt;", .valueTest]
[org/apache/commons/validator/NameBean."&lt;init&gt;", org/apache/commons/validator/NameBean.setFirstName, org/apache/commons/validator/NameBean.setLastName, java/util/Locale."&lt;init&gt;", .valueTest]</t>
  </si>
  <si>
    <t>testLocale2</t>
  </si>
  <si>
    <t>/**
 * See what happens when we try to validate with a Locale, Country and
 * variant. Also check if the added locale validation field is getting used.
 *
 * @throws ValidatorException  If something goes wrong
 */
public void testLocale1() throws ValidatorException {
    // Create bean to run test on.
    NameBean name = new NameBean();
    name.setFirstName("");
    name.setLastName("");
    valueTest(name, new Locale("en", "US", "TEST1"), false, false, false);
}
/**
 * See if a locale of en_UK_TEST falls back to en_UK instead of default form
 * set. Bug #16920 states that this isn't happening, even though it is
 * passing this test. see #16920.
 *
 * @throws ValidatorException  If something goes wrong
 */
public void testLocale4() throws ValidatorException {
    // Create bean to run test on.
    NameBean name = new NameBean();
    name.setFirstName("");
    name.setLastName("");
    valueTest(name, new Locale("en", "UK", "TEST"), false, true, true);
}</t>
  </si>
  <si>
    <t>testLocale4</t>
  </si>
  <si>
    <t>/**
 * See what happens when we try to validate with a Locale, Country and
 * variant. Also check if the added locale validation field is getting used.
 *
 * @throws ValidatorException  If something goes wrong
 */
public void testLocale1() throws ValidatorException {
    // Create bean to run test on.
    NameBean name = new NameBean();
    name.setFirstName("");
    name.setLastName("");
    valueTest(name, new Locale("en", "US", "TEST1"), false, false, false);
}
/**
 * See what happens when we try to validate with a Locale, Country and
 * variant
 *
 * @throws ValidatorException  If something goes wrong
 */
public void testLocale3() throws ValidatorException {
    // Create bean to run test on.
    NameBean name = new NameBean();
    name.setFirstName("");
    name.setLastName("");
    valueTest(name, new Locale("en", "UK"), false, true, true);
}</t>
  </si>
  <si>
    <t>testLocale3</t>
  </si>
  <si>
    <t>/**
 * See what happens when we try to validate with a Locale, Country and
 * variant. Also check if the added locale validation field is getting used.
 *
 * @throws ValidatorException  If something goes wrong
 */
public void testLocale1() throws ValidatorException {
    // Create bean to run test on.
    NameBean name = new NameBean();
    name.setFirstName("");
    name.setLastName("");
    valueTest(name, new Locale("en", "US", "TEST1"), false, false, false);
}
/**
 * See if a locale of language=en falls back to default form set.
 *
 * @throws ValidatorException  If something goes wrong
 */
public void testLocale5() throws ValidatorException {
    // Create bean to run test on.
    NameBean name = new NameBean();
    name.setFirstName("");
    name.setLastName("");
    valueTest(name, new Locale("en", ""), false, false, true);
}</t>
  </si>
  <si>
    <t>testLocale5</t>
  </si>
  <si>
    <t>/**
 * See what happens when we try to validate with a Locale, Country and
 * variant
 *
 * @throws ValidatorException  If something goes wrong
 */
public void testLocale2() throws ValidatorException {
    // Create bean to run test on.
    NameBean name = new NameBean();
    name.setFirstName("");
    name.setLastName("");
    valueTest(name, new Locale("en", "US", "TEST2"), true, false, true);
}
/**
 * See if a locale of en_UK_TEST falls back to en_UK instead of default form
 * set. Bug #16920 states that this isn't happening, even though it is
 * passing this test. see #16920.
 *
 * @throws ValidatorException  If something goes wrong
 */
public void testLocale4() throws ValidatorException {
    // Create bean to run test on.
    NameBean name = new NameBean();
    name.setFirstName("");
    name.setLastName("");
    valueTest(name, new Locale("en", "UK", "TEST"), false, true, true);
}</t>
  </si>
  <si>
    <t>/**
 * See what happens when we try to validate with a Locale, Country and
 * variant
 *
 * @throws ValidatorException  If something goes wrong
 */
public void testLocale2() throws ValidatorException {
    // Create bean to run test on.
    NameBean name = new NameBean();
    name.setFirstName("");
    name.setLastName("");
    valueTest(name, new Locale("en", "US", "TEST2"), true, false, true);
}
/**
 * See what happens when we try to validate with a Locale, Country and
 * variant
 *
 * @throws ValidatorException  If something goes wrong
 */
public void testLocale3() throws ValidatorException {
    // Create bean to run test on.
    NameBean name = new NameBean();
    name.setFirstName("");
    name.setLastName("");
    valueTest(name, new Locale("en", "UK"), false, true, true);
}</t>
  </si>
  <si>
    <t>/**
 * See what happens when we try to validate with a Locale, Country and
 * variant
 *
 * @throws ValidatorException  If something goes wrong
 */
public void testLocale2() throws ValidatorException {
    // Create bean to run test on.
    NameBean name = new NameBean();
    name.setFirstName("");
    name.setLastName("");
    valueTest(name, new Locale("en", "US", "TEST2"), true, false, true);
}
/**
 * See if a locale of language=en falls back to default form set.
 *
 * @throws ValidatorException  If something goes wrong
 */
public void testLocale5() throws ValidatorException {
    // Create bean to run test on.
    NameBean name = new NameBean();
    name.setFirstName("");
    name.setLastName("");
    valueTest(name, new Locale("en", ""), false, false, true);
}</t>
  </si>
  <si>
    <t>/**
 * See what happens when we try to validate with a Locale, Country and
 * variant
 *
 * @throws ValidatorException  If something goes wrong
 */
public void testLocale3() throws ValidatorException {
    // Create bean to run test on.
    NameBean name = new NameBean();
    name.setFirstName("");
    name.setLastName("");
    valueTest(name, new Locale("en", "UK"), false, true, true);
}
/**
 * See if a locale of language=en falls back to default form set.
 *
 * @throws ValidatorException  If something goes wrong
 */
public void testLocale5() throws ValidatorException {
    // Create bean to run test on.
    NameBean name = new NameBean();
    name.setFirstName("");
    name.setLastName("");
    valueTest(name, new Locale("en", ""), false, false, true);
}</t>
  </si>
  <si>
    <t>/**
 * See what happens when we try to validate with a Locale, Country and
 * variant
 *
 * @throws ValidatorException  If something goes wrong
 */
public void testLocale3() throws ValidatorException {
    // Create bean to run test on.
    NameBean name = new NameBean();
    name.setFirstName("");
    name.setLastName("");
    valueTest(name, new Locale("en", "UK"), false, true, true);
}
/**
 * See if a locale of en_UK_TEST falls back to en_UK instead of default form
 * set. Bug #16920 states that this isn't happening, even though it is
 * passing this test. see #16920.
 *
 * @throws ValidatorException  If something goes wrong
 */
public void testLocale4() throws ValidatorException {
    // Create bean to run test on.
    NameBean name = new NameBean();
    name.setFirstName("");
    name.setLastName("");
    valueTest(name, new Locale("en", "UK", "TEST"), false, true, true);
}</t>
  </si>
  <si>
    <t>/**
 * See if a locale of en_UK_TEST falls back to en_UK instead of default form
 * set. Bug #16920 states that this isn't happening, even though it is
 * passing this test. see #16920.
 *
 * @throws ValidatorException  If something goes wrong
 */
public void testLocale4() throws ValidatorException {
    // Create bean to run test on.
    NameBean name = new NameBean();
    name.setFirstName("");
    name.setLastName("");
    valueTest(name, new Locale("en", "UK", "TEST"), false, true, true);
}
/**
 * See if a locale of language=en falls back to default form set.
 *
 * @throws ValidatorException  If something goes wrong
 */
public void testLocale5() throws ValidatorException {
    // Create bean to run test on.
    NameBean name = new NameBean();
    name.setFirstName("");
    name.setLastName("");
    valueTest(name, new Locale("en", ""), false, false, true);
}</t>
  </si>
  <si>
    <t>org.apache.commons.validator.MultipleConfigFilesTest</t>
  </si>
  <si>
    <t>testBothBlank</t>
  </si>
  <si>
    <t>/**
 * With nothing provided, we should fail both because both are required.
 */
public void testBothBlank() throws ValidatorException {
    // Create bean to run test on.
    NameBean name = new NameBean();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// throws ValidatorException,
    // but we aren't catching for testing
    // since no validation methods we use
    // throw this
    ValidatorResults results = validator.validate();
    assertNotNull("Results are null.", results);
    ValidatorResult firstNameResult = results.getValidatorResult("firstName");
    ValidatorResult lastNameResult = results.getValidatorResult("lastName");
    assertNotNull(firstNameResult);
    assertTrue(firstNameResult.containsAction(ACTION));
    assertTrue(!firstNameResult.isValid(ACTION));
    assertNotNull(lastNameResult);
    assertTrue(lastNameResult.containsAction(ACTION));
    assertTrue(!lastNameResult.isValid(ACTION));
    assertTrue(!lastNameResult.containsAction("int"));
}
/**
 * If first name is ok and last name is ok and is an int, no errors.
 */
public void testRequiredLastNameLong() throws ValidatorException {
    // Create bean to run test on.
    NameBean name = new NameBean();
    name.setFirstName("Joe");
    name.setLastName("12345678");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assertNotNull(firstNameResult);
    assertTrue(firstNameResult.containsAction(ACTION));
    assertTrue(firstNameResult.isValid(ACTION));
    assertNotNull(lastNameResult);
    assertTrue(lastNameResult.containsAction("int"));
    assertTrue(lastNameResult.isValid("int"));
}</t>
  </si>
  <si>
    <t>[org/apache/commons/validator/NameBean."&lt;init&gt;",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org/apache/commons/validator/ValidatorResult.containsAction, org/apache/commons/validator/ValidatorResult.isValid, org/apache/commons/validator/ValidatorResult.containsAction, org/apache/commons/validator/ValidatorResult.isValid, org/apache/commons/validator/ValidatorResult.containsAction]
[org/apache/commons/validator/NameBean."&lt;init&gt;", org/apache/commons/validator/NameBean.setFirstName, org/apache/commons/validator/NameBean.setLastName,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org/apache/commons/validator/ValidatorResult.containsAction, org/apache/commons/validator/ValidatorResult.isValid, org/apache/commons/validator/ValidatorResult.containsAction, org/apache/commons/validator/ValidatorResult.isValid]</t>
  </si>
  <si>
    <t>testRequiredLastNameLong</t>
  </si>
  <si>
    <t>[ org/apache/commons/validator/NameBean.setLastName,  org/apache/commons/validator/NameBean.setFirstName]</t>
  </si>
  <si>
    <t>/**
 * With nothing provided, we should fail both because both are required.
 */
public void testBothBlank() throws ValidatorException {
    // Create bean to run test on.
    NameBean name = new NameBean();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// throws ValidatorException,
    // but we aren't catching for testing
    // since no validation methods we use
    // throw this
    ValidatorResults results = validator.validate();
    assertNotNull("Results are null.", results);
    ValidatorResult firstNameResult = results.getValidatorResult("firstName");
    ValidatorResult lastNameResult = results.getValidatorResult("lastName");
    assertNotNull(firstNameResult);
    assertTrue(firstNameResult.containsAction(ACTION));
    assertTrue(!firstNameResult.isValid(ACTION));
    assertNotNull(lastNameResult);
    assertTrue(lastNameResult.containsAction(ACTION));
    assertTrue(!lastNameResult.isValid(ACTION));
    assertTrue(!lastNameResult.containsAction("int"));
}
/**
 * If the first name is there, and the last name fails int, we should get one error.
 */
public void testRequiredLastNameShort() throws ValidatorException {
    // Create bean to run test on.
    NameBean name = new NameBean();
    name.setFirstName("Test");
    name.setLastName("Test");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assertNotNull(firstNameResult);
    assertTrue(firstNameResult.containsAction(ACTION));
    assertTrue(firstNameResult.isValid(ACTION));
    assertNotNull(lastNameResult);
    assertTrue(lastNameResult.containsAction("int"));
    assertTrue(!lastNameResult.isValid("int"));
}</t>
  </si>
  <si>
    <t>testRequiredLastNameShort</t>
  </si>
  <si>
    <t>/**
 * With nothing provided, we should fail both because both are required.
 */
public void testBothBlank() throws ValidatorException {
    // Create bean to run test on.
    NameBean name = new NameBean();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// throws ValidatorException,
    // but we aren't catching for testing
    // since no validation methods we use
    // throw this
    ValidatorResults results = validator.validate();
    assertNotNull("Results are null.", results);
    ValidatorResult firstNameResult = results.getValidatorResult("firstName");
    ValidatorResult lastNameResult = results.getValidatorResult("lastName");
    assertNotNull(firstNameResult);
    assertTrue(firstNameResult.containsAction(ACTION));
    assertTrue(!firstNameResult.isValid(ACTION));
    assertNotNull(lastNameResult);
    assertTrue(lastNameResult.containsAction(ACTION));
    assertTrue(!lastNameResult.isValid(ACTION));
    assertTrue(!lastNameResult.containsAction("int"));
}
/**
 * If the first name fails required, and the second test fails int, we should get two errors.
 */
public void testRequiredFirstNameBlankLastNameShort() throws ValidatorException {
    // Create bean to run test on.
    NameBean name = new NameBean();
    name.setFirstName("");
    name.setLastName("Test");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assertNotNull(firstNameResult);
    assertTrue(firstNameResult.containsAction(ACTION));
    assertTrue(!firstNameResult.isValid(ACTION));
    assertNotNull(lastNameResult);
    assertTrue(lastNameResult.containsAction("int"));
    assertTrue(!lastNameResult.isValid("int"));
}</t>
  </si>
  <si>
    <t>testRequiredFirstNameBlankLastNameShort</t>
  </si>
  <si>
    <t>/**
 * If the first name fails required, and the second test fails int, we should get two errors.
 */
public void testRequiredFirstNameBlankLastNameShort() throws ValidatorException {
    // Create bean to run test on.
    NameBean name = new NameBean();
    name.setFirstName("");
    name.setLastName("Test");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assertNotNull(firstNameResult);
    assertTrue(firstNameResult.containsAction(ACTION));
    assertTrue(!firstNameResult.isValid(ACTION));
    assertNotNull(lastNameResult);
    assertTrue(lastNameResult.containsAction("int"));
    assertTrue(!lastNameResult.isValid("int"));
}
/**
 * If the first name is there, and the last name fails int, we should get one error.
 */
public void testRequiredLastNameShort() throws ValidatorException {
    // Create bean to run test on.
    NameBean name = new NameBean();
    name.setFirstName("Test");
    name.setLastName("Test");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assertNotNull(firstNameResult);
    assertTrue(firstNameResult.containsAction(ACTION));
    assertTrue(firstNameResult.isValid(ACTION));
    assertNotNull(lastNameResult);
    assertTrue(lastNameResult.containsAction("int"));
    assertTrue(!lastNameResult.isValid("int"));
}</t>
  </si>
  <si>
    <t>[org/apache/commons/validator/NameBean."&lt;init&gt;", org/apache/commons/validator/NameBean.setFirstName, org/apache/commons/validator/NameBean.setLastName,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org/apache/commons/validator/ValidatorResult.containsAction, org/apache/commons/validator/ValidatorResult.isValid, org/apache/commons/validator/ValidatorResult.containsAction, org/apache/commons/validator/ValidatorResult.isValid]
[org/apache/commons/validator/NameBean."&lt;init&gt;", org/apache/commons/validator/NameBean.setFirstName, org/apache/commons/validator/NameBean.setLastName,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org/apache/commons/validator/ValidatorResult.containsAction, org/apache/commons/validator/ValidatorResult.isValid, org/apache/commons/validator/ValidatorResult.containsAction, org/apache/commons/validator/ValidatorResult.isValid]</t>
  </si>
  <si>
    <t>/**
 * If the first name fails required, and the second test fails int, we should get two errors.
 */
public void testRequiredFirstNameBlankLastNameShort() throws ValidatorException {
    // Create bean to run test on.
    NameBean name = new NameBean();
    name.setFirstName("");
    name.setLastName("Test");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assertNotNull(firstNameResult);
    assertTrue(firstNameResult.containsAction(ACTION));
    assertTrue(!firstNameResult.isValid(ACTION));
    assertNotNull(lastNameResult);
    assertTrue(lastNameResult.containsAction("int"));
    assertTrue(!lastNameResult.isValid("int"));
}
/**
 * If first name is ok and last name is ok and is an int, no errors.
 */
public void testRequiredLastNameLong() throws ValidatorException {
    // Create bean to run test on.
    NameBean name = new NameBean();
    name.setFirstName("Joe");
    name.setLastName("12345678");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assertNotNull(firstNameResult);
    assertTrue(firstNameResult.containsAction(ACTION));
    assertTrue(firstNameResult.isValid(ACTION));
    assertNotNull(lastNameResult);
    assertTrue(lastNameResult.containsAction("int"));
    assertTrue(lastNameResult.isValid("int"));
}</t>
  </si>
  <si>
    <t>/**
 * If the first name is there, and the last name fails int, we should get one error.
 */
public void testRequiredLastNameShort() throws ValidatorException {
    // Create bean to run test on.
    NameBean name = new NameBean();
    name.setFirstName("Test");
    name.setLastName("Test");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assertNotNull(firstNameResult);
    assertTrue(firstNameResult.containsAction(ACTION));
    assertTrue(firstNameResult.isValid(ACTION));
    assertNotNull(lastNameResult);
    assertTrue(lastNameResult.containsAction("int"));
    assertTrue(!lastNameResult.isValid("int"));
}
/**
 * If first name is ok and last name is ok and is an int, no errors.
 */
public void testRequiredLastNameLong() throws ValidatorException {
    // Create bean to run test on.
    NameBean name = new NameBean();
    name.setFirstName("Joe");
    name.setLastName("12345678");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assertNotNull(firstNameResult);
    assertTrue(firstNameResult.containsAction(ACTION));
    assertTrue(firstNameResult.isValid(ACTION));
    assertNotNull(lastNameResult);
    assertTrue(lastNameResult.containsAction("int"));
    assertTrue(lastNameResult.isValid("int"));
}</t>
  </si>
  <si>
    <t>org.apache.commons.validator.RequiredIfTest</t>
  </si>
  <si>
    <t>testRequired</t>
  </si>
  <si>
    <t>/**
 * With nothing provided, we should pass since the fields only fail on
 * null if the other field is non-blank.
 */
public void testRequired() throws ValidatorException {
    // Create bean to run test on.
    NameBean name = new NameBean();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// throws ValidatorException,
    // but we aren't catching for testing
    // since no validation methods we use
    // throw this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
/**
 * Tests the required validation for last name.
 */
public void testRequiredLastName() throws ValidatorException {
    // Create bean to run test on.
    NameBean name = new NameBean();
    name.setFirstName("Joe");
    name.setLastName("Smith");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</t>
  </si>
  <si>
    <t>[org/apache/commons/validator/NameBean."&lt;init&gt;",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
[org/apache/commons/validator/NameBean."&lt;init&gt;", org/apache/commons/validator/NameBean.setFirstName, org/apache/commons/validator/NameBean.setLastName,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</t>
  </si>
  <si>
    <t>testRequiredLastName</t>
  </si>
  <si>
    <t>/**
 * With nothing provided, we should pass since the fields only fail on
 * null if the other field is non-blank.
 */
public void testRequired() throws ValidatorException {
    // Create bean to run test on.
    NameBean name = new NameBean();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// throws ValidatorException,
    // but we aren't catching for testing
    // since no validation methods we use
    // throw this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
/**
 * Tests the required validation for last name.
 */
public void testRequiredFirstName() throws ValidatorException {
    // Create bean to run test on.
    NameBean name = new NameBean();
    name.setFirstName("Test");
    name.setLastName("Test");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</t>
  </si>
  <si>
    <t>testRequiredFirstName</t>
  </si>
  <si>
    <t>/**
 * With nothing provided, we should pass since the fields only fail on
 * null if the other field is non-blank.
 */
public void testRequired() throws ValidatorException {
    // Create bean to run test on.
    NameBean name = new NameBean();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// throws ValidatorException,
    // but we aren't catching for testing
    // since no validation methods we use
    // throw this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
/**
 * Tests the required validation for last name if it is blank.
 */
public void testRequiredLastNameBlank() throws ValidatorException {
    // Create bean to run test on.
    NameBean name = new NameBean();
    name.setFirstName("Joe");
    name.setLastName("");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</t>
  </si>
  <si>
    <t>testRequiredLastNameBlank</t>
  </si>
  <si>
    <t>/**
 * With nothing provided, we should pass since the fields only fail on
 * null if the other field is non-blank.
 */
public void testRequired() throws ValidatorException {
    // Create bean to run test on.
    NameBean name = new NameBean();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// throws ValidatorException,
    // but we aren't catching for testing
    // since no validation methods we use
    // throw this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
/**
 * Tests the required validation for first name if it is blank.
 */
public void testRequiredFirstNameBlank() throws ValidatorException {
    // Create bean to run test on.
    NameBean name = new NameBean();
    name.setFirstName("");
    name.setLastName("Test");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</t>
  </si>
  <si>
    <t>testRequiredFirstNameBlank</t>
  </si>
  <si>
    <t>/**
 * Tests the required validation for first name if it is blank.
 */
public void testRequiredFirstNameBlank() throws ValidatorException {
    // Create bean to run test on.
    NameBean name = new NameBean();
    name.setFirstName("");
    name.setLastName("Test");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
/**
 * Tests the required validation for last name if it is blank.
 */
public void testRequiredLastNameBlank() throws ValidatorException {
    // Create bean to run test on.
    NameBean name = new NameBean();
    name.setFirstName("Joe");
    name.setLastName("");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</t>
  </si>
  <si>
    <t>[org/apache/commons/validator/NameBean."&lt;init&gt;", org/apache/commons/validator/NameBean.setFirstName, org/apache/commons/validator/NameBean.setLastName,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
[org/apache/commons/validator/NameBean."&lt;init&gt;", org/apache/commons/validator/NameBean.setFirstName, org/apache/commons/validator/NameBean.setLastName,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</t>
  </si>
  <si>
    <t>/**
 * Tests the required validation for first name if it is blank.
 */
public void testRequiredFirstNameBlank() throws ValidatorException {
    // Create bean to run test on.
    NameBean name = new NameBean();
    name.setFirstName("");
    name.setLastName("Test");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
/**
 * Tests the required validation for last name.
 */
public void testRequiredFirstName() throws ValidatorException {
    // Create bean to run test on.
    NameBean name = new NameBean();
    name.setFirstName("Test");
    name.setLastName("Test");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</t>
  </si>
  <si>
    <t>/**
 * Tests the required validation for first name if it is blank.
 */
public void testRequiredFirstNameBlank() throws ValidatorException {
    // Create bean to run test on.
    NameBean name = new NameBean();
    name.setFirstName("");
    name.setLastName("Test");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
/**
 * Tests the required validation for last name.
 */
public void testRequiredLastName() throws ValidatorException {
    // Create bean to run test on.
    NameBean name = new NameBean();
    name.setFirstName("Joe");
    name.setLastName("Smith");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</t>
  </si>
  <si>
    <t>/**
 * Tests the required validation for last name.
 */
public void testRequiredFirstName() throws ValidatorException {
    // Create bean to run test on.
    NameBean name = new NameBean();
    name.setFirstName("Test");
    name.setLastName("Test");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
/**
 * Tests the required validation for last name.
 */
public void testRequiredLastName() throws ValidatorException {
    // Create bean to run test on.
    NameBean name = new NameBean();
    name.setFirstName("Joe");
    name.setLastName("Smith");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</t>
  </si>
  <si>
    <t>/**
 * Tests the required validation for last name.
 */
public void testRequiredFirstName() throws ValidatorException {
    // Create bean to run test on.
    NameBean name = new NameBean();
    name.setFirstName("Test");
    name.setLastName("Test");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
/**
 * Tests the required validation for last name if it is blank.
 */
public void testRequiredLastNameBlank() throws ValidatorException {
    // Create bean to run test on.
    NameBean name = new NameBean();
    name.setFirstName("Joe");
    name.setLastName("");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</t>
  </si>
  <si>
    <t>/**
 * Tests the required validation for last name if it is blank.
 */
public void testRequiredLastNameBlank() throws ValidatorException {
    // Create bean to run test on.
    NameBean name = new NameBean();
    name.setFirstName("Joe");
    name.setLastName("");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
/**
 * Tests the required validation for last name.
 */
public void testRequiredLastName() throws ValidatorException {
    // Create bean to run test on.
    NameBean name = new NameBean();
    name.setFirstName("Joe");
    name.setLastName("Smith");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</t>
  </si>
  <si>
    <t>org.apache.commons.validator.RequiredNameTest</t>
  </si>
  <si>
    <t>/**
 * Tests the required validation failure.
 */
public void testRequired() throws ValidatorException {
    // Create bean to run test on.
    NameBean name = new NameBean();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// throws ValidatorException,
    // but we aren't catching for testing
    // since no validation methods we use
    // throw this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
/**
 * Tests the required validation for last name.
 */
public void testRequiredLastName() throws ValidatorException {
    // Create bean to run test on.
    NameBean name = new NameBean();
    name.setLastName("Smith");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</t>
  </si>
  <si>
    <t>[org/apache/commons/validator/NameBean."&lt;init&gt;",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
[org/apache/commons/validator/NameBean."&lt;init&gt;", org/apache/commons/validator/NameBean.setLastName,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</t>
  </si>
  <si>
    <t>[ org/apache/commons/validator/NameBean.setLastName]</t>
  </si>
  <si>
    <t>/**
 * Tests the required validation failure.
 */
public void testRequired() throws ValidatorException {
    // Create bean to run test on.
    NameBean name = new NameBean();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// throws ValidatorException,
    // but we aren't catching for testing
    // since no validation methods we use
    // throw this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
/**
 * Tests the required validation for first name.
 */
public void testRequiredFirstName() throws ValidatorException {
    // Create bean to run test on.
    NameBean name = new NameBean();
    name.setFirstName("Joe");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</t>
  </si>
  <si>
    <t>[org/apache/commons/validator/NameBean."&lt;init&gt;",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
[org/apache/commons/validator/NameBean."&lt;init&gt;", org/apache/commons/validator/NameBean.setFirstName,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</t>
  </si>
  <si>
    <t>[ org/apache/commons/validator/NameBean.setFirstName]</t>
  </si>
  <si>
    <t>/**
 * Tests the required validation failure.
 */
public void testRequired() throws ValidatorException {
    // Create bean to run test on.
    NameBean name = new NameBean();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// throws ValidatorException,
    // but we aren't catching for testing
    // since no validation methods we use
    // throw this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
/**
 * Tests the required validation for last name if it is blank.
 */
public void testRequiredLastNameBlank() throws ValidatorException {
    // Create bean to run test on.
    NameBean name = new NameBean();
    name.setLastName("");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</t>
  </si>
  <si>
    <t>/**
 * Tests the required validation failure.
 */
public void testRequired() throws ValidatorException {
    // Create bean to run test on.
    NameBean name = new NameBean();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// throws ValidatorException,
    // but we aren't catching for testing
    // since no validation methods we use
    // throw this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
/**
 * Tests the required validation for first name if it is blank.
 */
public void testRequiredFirstNameBlank() throws ValidatorException {
    // Create bean to run test on.
    NameBean name = new NameBean();
    name.setFirstName("");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</t>
  </si>
  <si>
    <t>/**
 * Tests the required validation failure.
 */
public void testRequired() throws ValidatorException {
    // Create bean to run test on.
    NameBean name = new NameBean();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// throws ValidatorException,
    // but we aren't catching for testing
    // since no validation methods we use
    // throw this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
/**
 * Tests the required validation for first and last name.
 */
public void testRequiredName() throws ValidatorException {
    // Create bean to run test on.
    NameBean name = new NameBean();
    name.setFirstName("Joe");
    name.setLastName("Smith");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</t>
  </si>
  <si>
    <t>testRequiredName</t>
  </si>
  <si>
    <t>/**
 * Tests the required validation for first name if it is blank.
 */
public void testRequiredFirstNameBlank() throws ValidatorException {
    // Create bean to run test on.
    NameBean name = new NameBean();
    name.setFirstName("");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
/**
 * Tests the required validation for first name.
 */
public void testRequiredFirstName() throws ValidatorException {
    // Create bean to run test on.
    NameBean name = new NameBean();
    name.setFirstName("Joe");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</t>
  </si>
  <si>
    <t>[org/apache/commons/validator/NameBean."&lt;init&gt;", org/apache/commons/validator/NameBean.setFirstName,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
[org/apache/commons/validator/NameBean."&lt;init&gt;", org/apache/commons/validator/NameBean.setFirstName,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</t>
  </si>
  <si>
    <t>/**
 * Tests the required validation for first name if it is blank.
 */
public void testRequiredFirstNameBlank() throws ValidatorException {
    // Create bean to run test on.
    NameBean name = new NameBean();
    name.setFirstName("");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
/**
 * Tests the required validation for last name if it is blank.
 */
public void testRequiredLastNameBlank() throws ValidatorException {
    // Create bean to run test on.
    NameBean name = new NameBean();
    name.setLastName("");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</t>
  </si>
  <si>
    <t>[org/apache/commons/validator/NameBean."&lt;init&gt;", org/apache/commons/validator/NameBean.setFirstName,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
[org/apache/commons/validator/NameBean."&lt;init&gt;", org/apache/commons/validator/NameBean.setLastName,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</t>
  </si>
  <si>
    <t>/**
 * Tests the required validation for first name if it is blank.
 */
public void testRequiredFirstNameBlank() throws ValidatorException {
    // Create bean to run test on.
    NameBean name = new NameBean();
    name.setFirstName("");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
/**
 * Tests the required validation for last name.
 */
public void testRequiredLastName() throws ValidatorException {
    // Create bean to run test on.
    NameBean name = new NameBean();
    name.setLastName("Smith");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</t>
  </si>
  <si>
    <t>/**
 * Tests the required validation for first name if it is blank.
 */
public void testRequiredFirstNameBlank() throws ValidatorException {
    // Create bean to run test on.
    NameBean name = new NameBean();
    name.setFirstName("");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
/**
 * Tests the required validation for first and last name.
 */
public void testRequiredName() throws ValidatorException {
    // Create bean to run test on.
    NameBean name = new NameBean();
    name.setFirstName("Joe");
    name.setLastName("Smith");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</t>
  </si>
  <si>
    <t>[org/apache/commons/validator/NameBean."&lt;init&gt;", org/apache/commons/validator/NameBean.setFirstName,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
[org/apache/commons/validator/NameBean."&lt;init&gt;", org/apache/commons/validator/NameBean.setFirstName, org/apache/commons/validator/NameBean.setLastName,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</t>
  </si>
  <si>
    <t>/**
 * Tests the required validation for first name.
 */
public void testRequiredFirstName() throws ValidatorException {
    // Create bean to run test on.
    NameBean name = new NameBean();
    name.setFirstName("Joe");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
/**
 * Tests the required validation for last name.
 */
public void testRequiredLastName() throws ValidatorException {
    // Create bean to run test on.
    NameBean name = new NameBean();
    name.setLastName("Smith");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</t>
  </si>
  <si>
    <t>/**
 * Tests the required validation for first name.
 */
public void testRequiredFirstName() throws ValidatorException {
    // Create bean to run test on.
    NameBean name = new NameBean();
    name.setFirstName("Joe");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
/**
 * Tests the required validation for last name if it is blank.
 */
public void testRequiredLastNameBlank() throws ValidatorException {
    // Create bean to run test on.
    NameBean name = new NameBean();
    name.setLastName("");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</t>
  </si>
  <si>
    <t>/**
 * Tests the required validation for first name.
 */
public void testRequiredFirstName() throws ValidatorException {
    // Create bean to run test on.
    NameBean name = new NameBean();
    name.setFirstName("Joe");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
/**
 * Tests the required validation for first and last name.
 */
public void testRequiredName() throws ValidatorException {
    // Create bean to run test on.
    NameBean name = new NameBean();
    name.setFirstName("Joe");
    name.setLastName("Smith");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</t>
  </si>
  <si>
    <t>/**
 * Tests the required validation for last name if it is blank.
 */
public void testRequiredLastNameBlank() throws ValidatorException {
    // Create bean to run test on.
    NameBean name = new NameBean();
    name.setLastName("");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
/**
 * Tests the required validation for last name.
 */
public void testRequiredLastName() throws ValidatorException {
    // Create bean to run test on.
    NameBean name = new NameBean();
    name.setLastName("Smith");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</t>
  </si>
  <si>
    <t>[org/apache/commons/validator/NameBean."&lt;init&gt;", org/apache/commons/validator/NameBean.setLastName,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
[org/apache/commons/validator/NameBean."&lt;init&gt;", org/apache/commons/validator/NameBean.setLastName,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</t>
  </si>
  <si>
    <t>/**
 * Tests the required validation for last name if it is blank.
 */
public void testRequiredLastNameBlank() throws ValidatorException {
    // Create bean to run test on.
    NameBean name = new NameBean();
    name.setLastName("");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
/**
 * Tests the required validation for first and last name.
 */
public void testRequiredName() throws ValidatorException {
    // Create bean to run test on.
    NameBean name = new NameBean();
    name.setFirstName("Joe");
    name.setLastName("Smith");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</t>
  </si>
  <si>
    <t>[org/apache/commons/validator/NameBean."&lt;init&gt;", org/apache/commons/validator/NameBean.setLastName,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
[org/apache/commons/validator/NameBean."&lt;init&gt;", org/apache/commons/validator/NameBean.setFirstName, org/apache/commons/validator/NameBean.setLastName,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</t>
  </si>
  <si>
    <t>/**
 * Tests the required validation for last name.
 */
public void testRequiredLastName() throws ValidatorException {
    // Create bean to run test on.
    NameBean name = new NameBean();
    name.setLastName("Smith");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
/**
 * Tests the required validation for first and last name.
 */
public void testRequiredName() throws ValidatorException {
    // Create bean to run test on.
    NameBean name = new NameBean();
    name.setFirstName("Joe");
    name.setLastName("Smith");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</t>
  </si>
  <si>
    <t>/**
 * Tests the e-mail validation.
 */
@Test
public void testEmail() {
    assertTrue(validator.isValid("jsmith@apache.org"));
}
@Test
public void testValidator374() {
    assertTrue(validator.isValid("abc@school.school"));
}</t>
  </si>
  <si>
    <t>[org/apache/commons/validator/routines/EmailValidator.isValid]
[org/apache/commons/validator/routines/EmailValidator.isValid]</t>
  </si>
  <si>
    <t>testValidator374</t>
  </si>
  <si>
    <t>/**
 * Tests the e-mail validation.
 */
@Test
public void testEmail() {
    assertTrue(validator.isValid("jsmith@apache.org"));
}
/**
 * Tests the e-mail validation with a dot at the end of
 * the address.
 */
@Test
public void testEmailWithDotEnd() {
    assertFalse(validator.isValid("andy.noble@data-workshop.com."));
}</t>
  </si>
  <si>
    <t>testEmailWithDotEnd</t>
  </si>
  <si>
    <t>/**
 * Tests the e-mail validation.
 */
@Test
public void testEmail() {
    assertTrue(validator.isValid("jsmith@apache.org"));
}
@Test
public void testVALIDATOR_315() {
    assertFalse(validator.isValid("me@at&amp;t.net"));
    // Make sure TLD is not the cause of the failure
    assertTrue(validator.isValid("me@att.net"));
}</t>
  </si>
  <si>
    <t>[org/apache/commons/validator/routines/EmailValidator.isValid]
[org/apache/commons/validator/routines/EmailValidator.isValid, org/apache/commons/validator/routines/EmailValidator.isValid]</t>
  </si>
  <si>
    <t>[ org/apache/commons/validator/routines/EmailValidator.isValid]</t>
  </si>
  <si>
    <t>/**
 * Tests the e-mail validation.
 */
@Test
public void testEmail() {
    assertTrue(validator.isValid("jsmith@apache.org"));
}
/**
 * Tests the email validation with numeric domains.
 */
@Test
public void testEmailWithNumericAddress() {
    assertTrue(validator.isValid("someone@[216.109.118.76]"));
    assertTrue(validator.isValid("someone@yahoo.com"));
}</t>
  </si>
  <si>
    <t>/**
 * Tests the e-mail validation.
 */
@Test
public void testEmail() {
    assertTrue(validator.isValid("jsmith@apache.org"));
}
@Test
public void testVALIDATOR_278() {
    // hostname starts with dash/hyphen
    assertFalse(validator.isValid("someone@-test.com"));
    // hostname ends with dash/hyphen
    assertFalse(validator.isValid("someone@test-.com"));
}</t>
  </si>
  <si>
    <t>/**
 * Tests the e-mail validation.
 */
@Test
public void testEmail() {
    assertTrue(validator.isValid("jsmith@apache.org"));
}
/**
 * Tests the email validation with commas.
 */
@Test
public void testEmailWithCommas() {
    assertFalse(validator.isValid("joeblow@apa,che.org"));
    assertFalse(validator.isValid("joeblow@apache.o,rg"));
    assertFalse(validator.isValid("joeblow@apache,org"));
}</t>
  </si>
  <si>
    <t>[org/apache/commons/validator/routines/EmailValidator.isValid]
[org/apache/commons/validator/routines/EmailValidator.isValid, org/apache/commons/validator/routines/EmailValidator.isValid, org/apache/commons/validator/routines/EmailValidator.isValid]</t>
  </si>
  <si>
    <t>/**
 * Tests the e-mail validation.
 */
@Test
public void testEmail() {
    assertTrue(validator.isValid("jsmith@apache.org"));
}
/**
 * VALIDATOR-296 - A / or a ! is valid in the user part,
 *  but not in the domain part
 */
@Test
public void testEmailWithSlashes() {
    assertTrue("/ and ! valid in username", validator.isValid("joe!/blow@apache.org"));
    assertFalse("/ not valid in domain", validator.isValid("joe@ap/ache.org"));
    assertFalse("! not valid in domain", validator.isValid("joe@apac!he.org"));
}</t>
  </si>
  <si>
    <t>/**
 * Tests the e-mail validation.
 */
@Test
public void testEmail() {
    assertTrue(validator.isValid("jsmith@apache.org"));
}
/**
 * &lt;p&gt;Tests the e-mail validation with a dash in
 * the address.&lt;/p&gt;
 */
@Test
public void testEmailWithDash() {
    assertTrue(validator.isValid("andy.noble@data-workshop.com"));
    assertFalse(validator.isValid("andy-noble@data-workshop.-com"));
    assertFalse(validator.isValid("andy-noble@data-workshop.c-om"));
    assertFalse(validator.isValid("andy-noble@data-workshop.co-m"));
}</t>
  </si>
  <si>
    <t>[org/apache/commons/validator/routines/EmailValidator.isValid]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org/apache/commons/validator/routines/EmailValidator.isValid]</t>
  </si>
  <si>
    <t>testEmailWithDash</t>
  </si>
  <si>
    <t>/**
 * Tests the e-mail validation.
 */
@Test
public void testEmail() {
    assertTrue(validator.isValid("jsmith@apache.org"));
}
@Test
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</si>
  <si>
    <t>[org/apache/commons/validator/routines/EmailValidator.isValid]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</si>
  <si>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Tests the e-mail validation.
 */
@Test
public void testEmail() {
    assertTrue(validator.isValid("jsmith@apache.org"));
}
@Test
public void testValidator365() {
    assertFalse(validator.isValid("Loremipsumdolorsitametconsecteturadipiscingelit.Nullavitaeligulamattisrhoncusnuncegestasmattisleo." + "Donecnonsapieninmagnatristiquedictumaacturpis.Fusceorciduifacilisisutsapieneuconsequatpharetralectus." + "Quisqueenimestpulvinarutquamvitaeportamattisex.Nullamquismaurisplaceratconvallisjustoquisportamauris." + "Innullalacusconvalliseufringillautvenenatissitametdiam.Maecenasluctusligulascelerisquepulvinarfeugiat." + "Sedmolestienullaaliquetorciluctusidpharetranislfinibus.Suspendissemalesuadatinciduntduisitametportaarcusollicitudinnec." + "Donecetmassamagna.Curabitururnadiampretiumveldignissimporttitorfringillaeuneque." + "Duisantetelluspharetraidtinciduntinterdummolestiesitametfelis.Utquisquamsitametantesagittisdapibusacnonodio." + "Namrutrummolestiediamidmattis.Cumsociisnatoquepenatibusetmagnisdisparturientmontesnasceturridiculusmus." + "Morbiposueresedmetusacconsectetur.Etiamquisipsumvitaejustotempusmaximus.Sedultriciesplaceratvolutpat." + "Integerlacuslectusmaximusacornarequissagittissitametjusto." + "Cumsociisnatoquepenatibusetmagnisdisparturientmontesnasceturridiculusmus.Maecenasindictumpurussedrutrumex.Nullafacilisi." + "Integerfinibusfinibusmietpharetranislfaucibusvel.Maecenasegetdolorlacinialobortisjustovelullamcorpersem." + "Vivamusaliquetpurusidvariusornaresapienrisusrutrumnisitinciduntmollissemnequeidmetus." + "Etiamquiseleifendpurus.Nuncfelisnuncscelerisqueiddignissimnecfinibusalibero." + "Nuncsemperenimnequesitamethendreritpurusfacilisisac.Maurisdapibussemperfelisdignissimgravida." + "Aeneanultricesblanditnequealiquamfinibusodioscelerisqueac.Aliquamnecmassaeumaurisfaucibusfringilla." + "Etiamconsequatligulanisisitametaliquamnibhtemporquis.Nuncinterdumdignissimnullaatsodalesarcusagittiseu." + "Proinpharetrametusneclacuspulvinarsedvolutpatliberoornare.Sedligulanislpulvinarnonlectuseublanditfacilisisante." + "Sedmollisnislalacusauctorsuscipit.Inhachabitasseplateadictumst.Phasellussitametvelittemporvenenatisfeliseuegestasrisus." + "Aliquameteratsitametnibhcommodofinibus.Morbiefficiturodiovelpulvinariaculis." + "Aeneantemporipsummassaaconsecteturturpisfaucibusultrices.Praesentsodalesmaurisquisportafermentum." + "Etiamnisinislvenenatisvelauctorutullamcorperinjusto.Proinvelligulaerat.Phasellusvestibulumgravidamassanonfeugiat." + "Maecenaspharetraeuismodmetusegetefficitur.Suspendisseamet@gmail.com"));
}</t>
  </si>
  <si>
    <t>testValidator365</t>
  </si>
  <si>
    <t>/**
 * Tests the e-mail validation.
 */
@Test
public void testEmail() {
    assertTrue(validator.isValid("jsmith@apache.org"));
}
/**
 * Tests the e-mail validation with an RCS-noncompliant character in
 * the address.
 */
@Test
public void testEmailWithBogusCharacter() {
    assertFalse(validator.isValid("andy.noble@\u008fdata-workshop.com"));
    // The ' character is valid in an email username.
    assertTrue(validator.isValid("andy.o'reilly@data-workshop.com"));
    // But not in the domain name.
    assertFalse(validator.isValid("andy@o'reilly.data-workshop.com"));
    // The + character is valid in an email username.
    assertTrue(validator.isValid("foo+bar@i.am.not.in.us.example.com"));
    // But not in the domain name
    assertFalse(validator.isValid("foo+bar@example+3.com"));
    // Domains with only special characters aren't allowed (VALIDATOR-286)
    assertFalse(validator.isValid("test@%*.com"));
    assertFalse(validator.isValid("test@^&amp;#.com"));
}</t>
  </si>
  <si>
    <t>[org/apache/commons/validator/routines/EmailValidator.isValid]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</si>
  <si>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testEmailWithBogusCharacter</t>
  </si>
  <si>
    <t>/**
 * Tests the e-mail validation.
 */
@Test
public void testEmail() {
    assertTrue(validator.isValid("jsmith@apache.org"));
}
/**
 * Tests the e-mail validation.
 */
@Test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</t>
  </si>
  <si>
    <t>[org/apache/commons/validator/routines/EmailValidator.isValid]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</si>
  <si>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Tests the e-mail validation.
 */
@Test
public void testEmail() {
    assertTrue(validator.isValid("jsmith@apache.org"));
}
/**
 * Tests the email validation with spaces.
 */
@Test
public void testEmailWithSpaces() {
    assertFalse(validator.isValid("joeblow @apache.org"));
    assertFalse(validator.isValid("joeblow@ apache.org"));
    assertFalse(validator.isValid(" joeblow@apache.org"));
    assertFalse(validator.isValid("joeblow@apache.org "));
    assertFalse(validator.isValid("joe blow@apache.org "));
    assertFalse(validator.isValid("joeblow@apa che.org "));
    assertTrue(validator.isValid("\"joeblow \"@apache.org"));
    assertTrue(validator.isValid("\" joeblow\"@apache.org"));
    assertTrue(validator.isValid("\" joe blow \"@apache.org"));
}</t>
  </si>
  <si>
    <t>[org/apache/commons/validator/routines/EmailValidator.isValid]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</si>
  <si>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Tests the e-mail validation.
 */
@Test
public void testEmail() {
    assertTrue(validator.isValid("jsmith@apache.org"));
}
/**
 * Write this test according to parts of RFC, as opposed to the type of character
 * that is being tested.
 */
@Test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assertTrue(validator.isValid("\"joe@\"@apache.org"));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    // escaped quote character valid in quoted string
    assertTrue(validator.isValid("\"john\\\"doe\"@apache.org"));
    assertTrue(validator.isValid("john56789.john56789.john56789.john56789.john56789.john56789.john@example.com"));
    assertFalse(validator.isValid("john56789.john56789.john56789.john56789.john56789.john56789.john5@example.com"));
    assertTrue(validator.isValid("\\&gt;escape\\\\special\\^characters\\&lt;@example.com"));
    assertTrue(validator.isValid("Abc\\@def@example.com"));
    assertFalse(validator.isValid("Abc@def@example.com"));
    assertTrue(validator.isValid("space\\ monkey@example.com"));
}</t>
  </si>
  <si>
    <t>[org/apache/commons/validator/routines/EmailValidator.isValid]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</si>
  <si>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Tests the email validation with numeric domains.
 */
@Test
public void testEmailWithNumericAddress() {
    assertTrue(validator.isValid("someone@[216.109.118.76]"));
    assertTrue(validator.isValid("someone@yahoo.com"));
}
@Test
public void testVALIDATOR_315() {
    assertFalse(validator.isValid("me@at&amp;t.net"));
    // Make sure TLD is not the cause of the failure
    assertTrue(validator.isValid("me@att.net"));
}</t>
  </si>
  <si>
    <t>/**
 * Tests the email validation with numeric domains.
 */
@Test
public void testEmailWithNumericAddress() {
    assertTrue(validator.isValid("someone@[216.109.118.76]"));
    assertTrue(validator.isValid("someone@yahoo.com"));
}
@Test
public void testVALIDATOR_278() {
    // hostname starts with dash/hyphen
    assertFalse(validator.isValid("someone@-test.com"));
    // hostname ends with dash/hyphen
    assertFalse(validator.isValid("someone@test-.com"));
}</t>
  </si>
  <si>
    <t>/**
 * Tests the email validation with numeric domains.
 */
@Test
public void testEmailWithNumericAddress() {
    assertTrue(validator.isValid("someone@[216.109.118.76]"));
    assertTrue(validator.isValid("someone@yahoo.com"));
}
/**
 * Tests the email validation with commas.
 */
@Test
public void testEmailWithCommas() {
    assertFalse(validator.isValid("joeblow@apa,che.org"));
    assertFalse(validator.isValid("joeblow@apache.o,rg"));
    assertFalse(validator.isValid("joeblow@apache,org"));
}</t>
  </si>
  <si>
    <t>[org/apache/commons/validator/routines/EmailValidator.isValid,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org/apache/commons/validator/routines/EmailValidator.isValid]</t>
  </si>
  <si>
    <t>/**
 * Tests the email validation with numeric domains.
 */
@Test
public void testEmailWithNumericAddress() {
    assertTrue(validator.isValid("someone@[216.109.118.76]"));
    assertTrue(validator.isValid("someone@yahoo.com"));
}
/**
 * VALIDATOR-296 - A / or a ! is valid in the user part,
 *  but not in the domain part
 */
@Test
public void testEmailWithSlashes() {
    assertTrue("/ and ! valid in username", validator.isValid("joe!/blow@apache.org"));
    assertFalse("/ not valid in domain", validator.isValid("joe@ap/ache.org"));
    assertFalse("! not valid in domain", validator.isValid("joe@apac!he.org"));
}</t>
  </si>
  <si>
    <t>/**
 * Tests the email validation with numeric domains.
 */
@Test
public void testEmailWithNumericAddress() {
    assertTrue(validator.isValid("someone@[216.109.118.76]"));
    assertTrue(validator.isValid("someone@yahoo.com"));
}
/**
 * Tests the e-mail validation with a dot at the end of
 * the address.
 */
@Test
public void testEmailWithDotEnd() {
    assertFalse(validator.isValid("andy.noble@data-workshop.com."));
}</t>
  </si>
  <si>
    <t>[org/apache/commons/validator/routines/EmailValidator.isValid, org/apache/commons/validator/routines/EmailValidator.isValid]
[org/apache/commons/validator/routines/EmailValidator.isValid]</t>
  </si>
  <si>
    <t>/**
 * Tests the email validation with numeric domains.
 */
@Test
public void testEmailWithNumericAddress() {
    assertTrue(validator.isValid("someone@[216.109.118.76]"));
    assertTrue(validator.isValid("someone@yahoo.com"));
}
/**
 * &lt;p&gt;Tests the e-mail validation with a dash in
 * the address.&lt;/p&gt;
 */
@Test
public void testEmailWithDash() {
    assertTrue(validator.isValid("andy.noble@data-workshop.com"));
    assertFalse(validator.isValid("andy-noble@data-workshop.-com"));
    assertFalse(validator.isValid("andy-noble@data-workshop.c-om"));
    assertFalse(validator.isValid("andy-noble@data-workshop.co-m"));
}</t>
  </si>
  <si>
    <t>[org/apache/commons/validator/routines/EmailValidator.isValid,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</si>
  <si>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Tests the email validation with numeric domains.
 */
@Test
public void testEmailWithNumericAddress() {
    assertTrue(validator.isValid("someone@[216.109.118.76]"));
    assertTrue(validator.isValid("someone@yahoo.com"));
}
@Test
public void testValidator374() {
    assertTrue(validator.isValid("abc@school.school"));
}</t>
  </si>
  <si>
    <t>/**
 * Tests the email validation with numeric domains.
 */
@Test
public void testEmailWithNumericAddress() {
    assertTrue(validator.isValid("someone@[216.109.118.76]"));
    assertTrue(validator.isValid("someone@yahoo.com"));
}
@Test
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</si>
  <si>
    <t>[org/apache/commons/validator/routines/EmailValidator.isValid,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</si>
  <si>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Tests the email validation with numeric domains.
 */
@Test
public void testEmailWithNumericAddress() {
    assertTrue(validator.isValid("someone@[216.109.118.76]"));
    assertTrue(validator.isValid("someone@yahoo.com"));
}
/**
 * Tests the e-mail validation with an RCS-noncompliant character in
 * the address.
 */
@Test
public void testEmailWithBogusCharacter() {
    assertFalse(validator.isValid("andy.noble@\u008fdata-workshop.com"));
    // The ' character is valid in an email username.
    assertTrue(validator.isValid("andy.o'reilly@data-workshop.com"));
    // But not in the domain name.
    assertFalse(validator.isValid("andy@o'reilly.data-workshop.com"));
    // The + character is valid in an email username.
    assertTrue(validator.isValid("foo+bar@i.am.not.in.us.example.com"));
    // But not in the domain name
    assertFalse(validator.isValid("foo+bar@example+3.com"));
    // Domains with only special characters aren't allowed (VALIDATOR-286)
    assertFalse(validator.isValid("test@%*.com"));
    assertFalse(validator.isValid("test@^&amp;#.com"));
}</t>
  </si>
  <si>
    <t>[org/apache/commons/validator/routines/EmailValidator.isValid,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</si>
  <si>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Tests the email validation with numeric domains.
 */
@Test
public void testEmailWithNumericAddress() {
    assertTrue(validator.isValid("someone@[216.109.118.76]"));
    assertTrue(validator.isValid("someone@yahoo.com"));
}
/**
 * Tests the e-mail validation.
 */
@Test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</t>
  </si>
  <si>
    <t>[org/apache/commons/validator/routines/EmailValidator.isValid,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</si>
  <si>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Tests the email validation with numeric domains.
 */
@Test
public void testEmailWithNumericAddress() {
    assertTrue(validator.isValid("someone@[216.109.118.76]"));
    assertTrue(validator.isValid("someone@yahoo.com"));
}
/**
 * Tests the email validation with spaces.
 */
@Test
public void testEmailWithSpaces() {
    assertFalse(validator.isValid("joeblow @apache.org"));
    assertFalse(validator.isValid("joeblow@ apache.org"));
    assertFalse(validator.isValid(" joeblow@apache.org"));
    assertFalse(validator.isValid("joeblow@apache.org "));
    assertFalse(validator.isValid("joe blow@apache.org "));
    assertFalse(validator.isValid("joeblow@apa che.org "));
    assertTrue(validator.isValid("\"joeblow \"@apache.org"));
    assertTrue(validator.isValid("\" joeblow\"@apache.org"));
    assertTrue(validator.isValid("\" joe blow \"@apache.org"));
}</t>
  </si>
  <si>
    <t>[org/apache/commons/validator/routines/EmailValidator.isValid,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</si>
  <si>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Tests the email validation with numeric domains.
 */
@Test
public void testEmailWithNumericAddress() {
    assertTrue(validator.isValid("someone@[216.109.118.76]"));
    assertTrue(validator.isValid("someone@yahoo.com"));
}
@Test
public void testValidator365() {
    assertFalse(validator.isValid("Loremipsumdolorsitametconsecteturadipiscingelit.Nullavitaeligulamattisrhoncusnuncegestasmattisleo." + "Donecnonsapieninmagnatristiquedictumaacturpis.Fusceorciduifacilisisutsapieneuconsequatpharetralectus." + "Quisqueenimestpulvinarutquamvitaeportamattisex.Nullamquismaurisplaceratconvallisjustoquisportamauris." + "Innullalacusconvalliseufringillautvenenatissitametdiam.Maecenasluctusligulascelerisquepulvinarfeugiat." + "Sedmolestienullaaliquetorciluctusidpharetranislfinibus.Suspendissemalesuadatinciduntduisitametportaarcusollicitudinnec." + "Donecetmassamagna.Curabitururnadiampretiumveldignissimporttitorfringillaeuneque." + "Duisantetelluspharetraidtinciduntinterdummolestiesitametfelis.Utquisquamsitametantesagittisdapibusacnonodio." + "Namrutrummolestiediamidmattis.Cumsociisnatoquepenatibusetmagnisdisparturientmontesnasceturridiculusmus." + "Morbiposueresedmetusacconsectetur.Etiamquisipsumvitaejustotempusmaximus.Sedultriciesplaceratvolutpat." + "Integerlacuslectusmaximusacornarequissagittissitametjusto." + "Cumsociisnatoquepenatibusetmagnisdisparturientmontesnasceturridiculusmus.Maecenasindictumpurussedrutrumex.Nullafacilisi." + "Integerfinibusfinibusmietpharetranislfaucibusvel.Maecenasegetdolorlacinialobortisjustovelullamcorpersem." + "Vivamusaliquetpurusidvariusornaresapienrisusrutrumnisitinciduntmollissemnequeidmetus." + "Etiamquiseleifendpurus.Nuncfelisnuncscelerisqueiddignissimnecfinibusalibero." + "Nuncsemperenimnequesitamethendreritpurusfacilisisac.Maurisdapibussemperfelisdignissimgravida." + "Aeneanultricesblanditnequealiquamfinibusodioscelerisqueac.Aliquamnecmassaeumaurisfaucibusfringilla." + "Etiamconsequatligulanisisitametaliquamnibhtemporquis.Nuncinterdumdignissimnullaatsodalesarcusagittiseu." + "Proinpharetrametusneclacuspulvinarsedvolutpatliberoornare.Sedligulanislpulvinarnonlectuseublanditfacilisisante." + "Sedmollisnislalacusauctorsuscipit.Inhachabitasseplateadictumst.Phasellussitametvelittemporvenenatisfeliseuegestasrisus." + "Aliquameteratsitametnibhcommodofinibus.Morbiefficiturodiovelpulvinariaculis." + "Aeneantemporipsummassaaconsecteturturpisfaucibusultrices.Praesentsodalesmaurisquisportafermentum." + "Etiamnisinislvenenatisvelauctorutullamcorperinjusto.Proinvelligulaerat.Phasellusvestibulumgravidamassanonfeugiat." + "Maecenaspharetraeuismodmetusegetefficitur.Suspendisseamet@gmail.com"));
}</t>
  </si>
  <si>
    <t>/**
 * Tests the email validation with numeric domains.
 */
@Test
public void testEmailWithNumericAddress() {
    assertTrue(validator.isValid("someone@[216.109.118.76]"));
    assertTrue(validator.isValid("someone@yahoo.com"));
}
/**
 * Write this test according to parts of RFC, as opposed to the type of character
 * that is being tested.
 */
@Test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assertTrue(validator.isValid("\"joe@\"@apache.org"));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    // escaped quote character valid in quoted string
    assertTrue(validator.isValid("\"john\\\"doe\"@apache.org"));
    assertTrue(validator.isValid("john56789.john56789.john56789.john56789.john56789.john56789.john@example.com"));
    assertFalse(validator.isValid("john56789.john56789.john56789.john56789.john56789.john56789.john5@example.com"));
    assertTrue(validator.isValid("\\&gt;escape\\\\special\\^characters\\&lt;@example.com"));
    assertTrue(validator.isValid("Abc\\@def@example.com"));
    assertFalse(validator.isValid("Abc@def@example.com"));
    assertTrue(validator.isValid("space\\ monkey@example.com"));
}</t>
  </si>
  <si>
    <t>[org/apache/commons/validator/routines/EmailValidator.isValid,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</si>
  <si>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Tests the e-mail validation.
 */
@Test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
/**
 * Tests the email validation with spaces.
 */
@Test
public void testEmailWithSpaces() {
    assertFalse(validator.isValid("joeblow @apache.org"));
    assertFalse(validator.isValid("joeblow@ apache.org"));
    assertFalse(validator.isValid(" joeblow@apache.org"));
    assertFalse(validator.isValid("joeblow@apache.org "));
    assertFalse(validator.isValid("joe blow@apache.org "));
    assertFalse(validator.isValid("joeblow@apa che.org "));
    assertTrue(validator.isValid("\"joeblow \"@apache.org"));
    assertTrue(validator.isValid("\" joeblow\"@apache.org"));
    assertTrue(validator.isValid("\" joe blow \"@apache.org"));
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</si>
  <si>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</si>
  <si>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Tests the e-mail validation.
 */
@Test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
/**
 * Tests the e-mail validation with an RCS-noncompliant character in
 * the address.
 */
@Test
public void testEmailWithBogusCharacter() {
    assertFalse(validator.isValid("andy.noble@\u008fdata-workshop.com"));
    // The ' character is valid in an email username.
    assertTrue(validator.isValid("andy.o'reilly@data-workshop.com"));
    // But not in the domain name.
    assertFalse(validator.isValid("andy@o'reilly.data-workshop.com"));
    // The + character is valid in an email username.
    assertTrue(validator.isValid("foo+bar@i.am.not.in.us.example.com"));
    // But not in the domain name
    assertFalse(validator.isValid("foo+bar@example+3.com"));
    // Domains with only special characters aren't allowed (VALIDATOR-286)
    assertFalse(validator.isValid("test@%*.com"));
    assertFalse(validator.isValid("test@^&amp;#.com"));
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</si>
  <si>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</si>
  <si>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Tests the e-mail validation.
 */
@Test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
@Test
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</si>
  <si>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</si>
  <si>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Tests the e-mail validation.
 */
@Test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
/**
 * &lt;p&gt;Tests the e-mail validation with a dash in
 * the address.&lt;/p&gt;
 */
@Test
public void testEmailWithDash() {
    assertTrue(validator.isValid("andy.noble@data-workshop.com"));
    assertFalse(validator.isValid("andy-noble@data-workshop.-com"));
    assertFalse(validator.isValid("andy-noble@data-workshop.c-om"));
    assertFalse(validator.isValid("andy-noble@data-workshop.co-m"));
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</si>
  <si>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</si>
  <si>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Tests the e-mail validation.
 */
@Test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
/**
 * VALIDATOR-296 - A / or a ! is valid in the user part,
 *  but not in the domain part
 */
@Test
public void testEmailWithSlashes() {
    assertTrue("/ and ! valid in username", validator.isValid("joe!/blow@apache.org"));
    assertFalse("/ not valid in domain", validator.isValid("joe@ap/ache.org"));
    assertFalse("! not valid in domain", validator.isValid("joe@apac!he.org"));
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</si>
  <si>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org/apache/commons/validator/routines/EmailValidator.isValid]</t>
  </si>
  <si>
    <t>/**
 * Tests the e-mail validation.
 */
@Test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
/**
 * Tests the email validation with commas.
 */
@Test
public void testEmailWithCommas() {
    assertFalse(validator.isValid("joeblow@apa,che.org"));
    assertFalse(validator.isValid("joeblow@apache.o,rg"));
    assertFalse(validator.isValid("joeblow@apache,org"));
}</t>
  </si>
  <si>
    <t>/**
 * Tests the e-mail validation.
 */
@Test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
@Test
public void testVALIDATOR_278() {
    // hostname starts with dash/hyphen
    assertFalse(validator.isValid("someone@-test.com"));
    // hostname ends with dash/hyphen
    assertFalse(validator.isValid("someone@test-.com"));
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</si>
  <si>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org/apache/commons/validator/routines/EmailValidator.isValid]</t>
  </si>
  <si>
    <t>/**
 * Tests the e-mail validation.
 */
@Test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
@Test
public void testVALIDATOR_315() {
    assertFalse(validator.isValid("me@at&amp;t.net"));
    // Make sure TLD is not the cause of the failure
    assertTrue(validator.isValid("me@att.net"));
}</t>
  </si>
  <si>
    <t>/**
 * Tests the e-mail validation.
 */
@Test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
@Test
public void testValidator365() {
    assertFalse(validator.isValid("Loremipsumdolorsitametconsecteturadipiscingelit.Nullavitaeligulamattisrhoncusnuncegestasmattisleo." + "Donecnonsapieninmagnatristiquedictumaacturpis.Fusceorciduifacilisisutsapieneuconsequatpharetralectus." + "Quisqueenimestpulvinarutquamvitaeportamattisex.Nullamquismaurisplaceratconvallisjustoquisportamauris." + "Innullalacusconvalliseufringillautvenenatissitametdiam.Maecenasluctusligulascelerisquepulvinarfeugiat." + "Sedmolestienullaaliquetorciluctusidpharetranislfinibus.Suspendissemalesuadatinciduntduisitametportaarcusollicitudinnec." + "Donecetmassamagna.Curabitururnadiampretiumveldignissimporttitorfringillaeuneque." + "Duisantetelluspharetraidtinciduntinterdummolestiesitametfelis.Utquisquamsitametantesagittisdapibusacnonodio." + "Namrutrummolestiediamidmattis.Cumsociisnatoquepenatibusetmagnisdisparturientmontesnasceturridiculusmus." + "Morbiposueresedmetusacconsectetur.Etiamquisipsumvitaejustotempusmaximus.Sedultriciesplaceratvolutpat." + "Integerlacuslectusmaximusacornarequissagittissitametjusto." + "Cumsociisnatoquepenatibusetmagnisdisparturientmontesnasceturridiculusmus.Maecenasindictumpurussedrutrumex.Nullafacilisi." + "Integerfinibusfinibusmietpharetranislfaucibusvel.Maecenasegetdolorlacinialobortisjustovelullamcorpersem." + "Vivamusaliquetpurusidvariusornaresapienrisusrutrumnisitinciduntmollissemnequeidmetus." + "Etiamquiseleifendpurus.Nuncfelisnuncscelerisqueiddignissimnecfinibusalibero." + "Nuncsemperenimnequesitamethendreritpurusfacilisisac.Maurisdapibussemperfelisdignissimgravida." + "Aeneanultricesblanditnequealiquamfinibusodioscelerisqueac.Aliquamnecmassaeumaurisfaucibusfringilla." + "Etiamconsequatligulanisisitametaliquamnibhtemporquis.Nuncinterdumdignissimnullaatsodalesarcusagittiseu." + "Proinpharetrametusneclacuspulvinarsedvolutpatliberoornare.Sedligulanislpulvinarnonlectuseublanditfacilisisante." + "Sedmollisnislalacusauctorsuscipit.Inhachabitasseplateadictumst.Phasellussitametvelittemporvenenatisfeliseuegestasrisus." + "Aliquameteratsitametnibhcommodofinibus.Morbiefficiturodiovelpulvinariaculis." + "Aeneantemporipsummassaaconsecteturturpisfaucibusultrices.Praesentsodalesmaurisquisportafermentum." + "Etiamnisinislvenenatisvelauctorutullamcorperinjusto.Proinvelligulaerat.Phasellusvestibulumgravidamassanonfeugiat." + "Maecenaspharetraeuismodmetusegetefficitur.Suspendisseamet@gmail.com"));
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</si>
  <si>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[org/apache/commons/validator/routines/EmailValidator.isValid]</t>
  </si>
  <si>
    <t>/**
 * Tests the e-mail validation.
 */
@Test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
/**
 * Tests the e-mail validation with a dot at the end of
 * the address.
 */
@Test
public void testEmailWithDotEnd() {
    assertFalse(validator.isValid("andy.noble@data-workshop.com."));
}</t>
  </si>
  <si>
    <t>/**
 * Tests the e-mail validation.
 */
@Test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
@Test
public void testValidator374() {
    assertTrue(validator.isValid("abc@school.school"));
}</t>
  </si>
  <si>
    <t>/**
 * Tests the e-mail validation.
 */
@Test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
/**
 * Write this test according to parts of RFC, as opposed to the type of character
 * that is being tested.
 */
@Test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assertTrue(validator.isValid("\"joe@\"@apache.org"));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    // escaped quote character valid in quoted string
    assertTrue(validator.isValid("\"john\\\"doe\"@apache.org"));
    assertTrue(validator.isValid("john56789.john56789.john56789.john56789.john56789.john56789.john@example.com"));
    assertFalse(validator.isValid("john56789.john56789.john56789.john56789.john56789.john56789.john5@example.com"));
    assertTrue(validator.isValid("\\&gt;escape\\\\special\\^characters\\&lt;@example.com"));
    assertTrue(validator.isValid("Abc\\@def@example.com"));
    assertFalse(validator.isValid("Abc@def@example.com"));
    assertTrue(validator.isValid("space\\ monkey@example.com"));
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</si>
  <si>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</si>
  <si>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&lt;p&gt;Tests the e-mail validation with a dash in
 * the address.&lt;/p&gt;
 */
@Test
public void testEmailWithDash() {
    assertTrue(validator.isValid("andy.noble@data-workshop.com"));
    assertFalse(validator.isValid("andy-noble@data-workshop.-com"));
    assertFalse(validator.isValid("andy-noble@data-workshop.c-om"));
    assertFalse(validator.isValid("andy-noble@data-workshop.co-m"));
}
/**
 * Tests the email validation with commas.
 */
@Test
public void testEmailWithCommas() {
    assertFalse(validator.isValid("joeblow@apa,che.org"));
    assertFalse(validator.isValid("joeblow@apache.o,rg"));
    assertFalse(validator.isValid("joeblow@apache,org"));
}</t>
  </si>
  <si>
    <t>[org/apache/commons/validator/routines/EmailValidator.isValid,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org/apache/commons/validator/routines/EmailValidator.isValid]</t>
  </si>
  <si>
    <t>/**
 * &lt;p&gt;Tests the e-mail validation with a dash in
 * the address.&lt;/p&gt;
 */
@Test
public void testEmailWithDash() {
    assertTrue(validator.isValid("andy.noble@data-workshop.com"));
    assertFalse(validator.isValid("andy-noble@data-workshop.-com"));
    assertFalse(validator.isValid("andy-noble@data-workshop.c-om"));
    assertFalse(validator.isValid("andy-noble@data-workshop.co-m"));
}
@Test
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</si>
  <si>
    <t>[org/apache/commons/validator/routines/EmailValidator.isValid,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</si>
  <si>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&lt;p&gt;Tests the e-mail validation with a dash in
 * the address.&lt;/p&gt;
 */
@Test
public void testEmailWithDash() {
    assertTrue(validator.isValid("andy.noble@data-workshop.com"));
    assertFalse(validator.isValid("andy-noble@data-workshop.-com"));
    assertFalse(validator.isValid("andy-noble@data-workshop.c-om"));
    assertFalse(validator.isValid("andy-noble@data-workshop.co-m"));
}
/**
 * VALIDATOR-296 - A / or a ! is valid in the user part,
 *  but not in the domain part
 */
@Test
public void testEmailWithSlashes() {
    assertTrue("/ and ! valid in username", validator.isValid("joe!/blow@apache.org"));
    assertFalse("/ not valid in domain", validator.isValid("joe@ap/ache.org"));
    assertFalse("! not valid in domain", validator.isValid("joe@apac!he.org"));
}</t>
  </si>
  <si>
    <t>/**
 * &lt;p&gt;Tests the e-mail validation with a dash in
 * the address.&lt;/p&gt;
 */
@Test
public void testEmailWithDash() {
    assertTrue(validator.isValid("andy.noble@data-workshop.com"));
    assertFalse(validator.isValid("andy-noble@data-workshop.-com"));
    assertFalse(validator.isValid("andy-noble@data-workshop.c-om"));
    assertFalse(validator.isValid("andy-noble@data-workshop.co-m"));
}
/**
 * Tests the e-mail validation with an RCS-noncompliant character in
 * the address.
 */
@Test
public void testEmailWithBogusCharacter() {
    assertFalse(validator.isValid("andy.noble@\u008fdata-workshop.com"));
    // The ' character is valid in an email username.
    assertTrue(validator.isValid("andy.o'reilly@data-workshop.com"));
    // But not in the domain name.
    assertFalse(validator.isValid("andy@o'reilly.data-workshop.com"));
    // The + character is valid in an email username.
    assertTrue(validator.isValid("foo+bar@i.am.not.in.us.example.com"));
    // But not in the domain name
    assertFalse(validator.isValid("foo+bar@example+3.com"));
    // Domains with only special characters aren't allowed (VALIDATOR-286)
    assertFalse(validator.isValid("test@%*.com"));
    assertFalse(validator.isValid("test@^&amp;#.com"));
}</t>
  </si>
  <si>
    <t>[org/apache/commons/validator/routines/EmailValidator.isValid,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</si>
  <si>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&lt;p&gt;Tests the e-mail validation with a dash in
 * the address.&lt;/p&gt;
 */
@Test
public void testEmailWithDash() {
    assertTrue(validator.isValid("andy.noble@data-workshop.com"));
    assertFalse(validator.isValid("andy-noble@data-workshop.-com"));
    assertFalse(validator.isValid("andy-noble@data-workshop.c-om"));
    assertFalse(validator.isValid("andy-noble@data-workshop.co-m"));
}
@Test
public void testVALIDATOR_278() {
    // hostname starts with dash/hyphen
    assertFalse(validator.isValid("someone@-test.com"));
    // hostname ends with dash/hyphen
    assertFalse(validator.isValid("someone@test-.com"));
}</t>
  </si>
  <si>
    <t>[org/apache/commons/validator/routines/EmailValidator.isValid,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org/apache/commons/validator/routines/EmailValidator.isValid]</t>
  </si>
  <si>
    <t>/**
 * &lt;p&gt;Tests the e-mail validation with a dash in
 * the address.&lt;/p&gt;
 */
@Test
public void testEmailWithDash() {
    assertTrue(validator.isValid("andy.noble@data-workshop.com"));
    assertFalse(validator.isValid("andy-noble@data-workshop.-com"));
    assertFalse(validator.isValid("andy-noble@data-workshop.c-om"));
    assertFalse(validator.isValid("andy-noble@data-workshop.co-m"));
}
@Test
public void testVALIDATOR_315() {
    assertFalse(validator.isValid("me@at&amp;t.net"));
    // Make sure TLD is not the cause of the failure
    assertTrue(validator.isValid("me@att.net"));
}</t>
  </si>
  <si>
    <t>/**
 * &lt;p&gt;Tests the e-mail validation with a dash in
 * the address.&lt;/p&gt;
 */
@Test
public void testEmailWithDash() {
    assertTrue(validator.isValid("andy.noble@data-workshop.com"));
    assertFalse(validator.isValid("andy-noble@data-workshop.-com"));
    assertFalse(validator.isValid("andy-noble@data-workshop.c-om"));
    assertFalse(validator.isValid("andy-noble@data-workshop.co-m"));
}
/**
 * Tests the email validation with spaces.
 */
@Test
public void testEmailWithSpaces() {
    assertFalse(validator.isValid("joeblow @apache.org"));
    assertFalse(validator.isValid("joeblow@ apache.org"));
    assertFalse(validator.isValid(" joeblow@apache.org"));
    assertFalse(validator.isValid("joeblow@apache.org "));
    assertFalse(validator.isValid("joe blow@apache.org "));
    assertFalse(validator.isValid("joeblow@apa che.org "));
    assertTrue(validator.isValid("\"joeblow \"@apache.org"));
    assertTrue(validator.isValid("\" joeblow\"@apache.org"));
    assertTrue(validator.isValid("\" joe blow \"@apache.org"));
}</t>
  </si>
  <si>
    <t>[org/apache/commons/validator/routines/EmailValidator.isValid,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</si>
  <si>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&lt;p&gt;Tests the e-mail validation with a dash in
 * the address.&lt;/p&gt;
 */
@Test
public void testEmailWithDash() {
    assertTrue(validator.isValid("andy.noble@data-workshop.com"));
    assertFalse(validator.isValid("andy-noble@data-workshop.-com"));
    assertFalse(validator.isValid("andy-noble@data-workshop.c-om"));
    assertFalse(validator.isValid("andy-noble@data-workshop.co-m"));
}
/**
 * Tests the e-mail validation with a dot at the end of
 * the address.
 */
@Test
public void testEmailWithDotEnd() {
    assertFalse(validator.isValid("andy.noble@data-workshop.com."));
}</t>
  </si>
  <si>
    <t>[org/apache/commons/validator/routines/EmailValidator.isValid,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[org/apache/commons/validator/routines/EmailValidator.isValid]</t>
  </si>
  <si>
    <t>/**
 * &lt;p&gt;Tests the e-mail validation with a dash in
 * the address.&lt;/p&gt;
 */
@Test
public void testEmailWithDash() {
    assertTrue(validator.isValid("andy.noble@data-workshop.com"));
    assertFalse(validator.isValid("andy-noble@data-workshop.-com"));
    assertFalse(validator.isValid("andy-noble@data-workshop.c-om"));
    assertFalse(validator.isValid("andy-noble@data-workshop.co-m"));
}
@Test
public void testValidator374() {
    assertTrue(validator.isValid("abc@school.school"));
}</t>
  </si>
  <si>
    <t>/**
 * &lt;p&gt;Tests the e-mail validation with a dash in
 * the address.&lt;/p&gt;
 */
@Test
public void testEmailWithDash() {
    assertTrue(validator.isValid("andy.noble@data-workshop.com"));
    assertFalse(validator.isValid("andy-noble@data-workshop.-com"));
    assertFalse(validator.isValid("andy-noble@data-workshop.c-om"));
    assertFalse(validator.isValid("andy-noble@data-workshop.co-m"));
}
@Test
public void testValidator365() {
    assertFalse(validator.isValid("Loremipsumdolorsitametconsecteturadipiscingelit.Nullavitaeligulamattisrhoncusnuncegestasmattisleo." + "Donecnonsapieninmagnatristiquedictumaacturpis.Fusceorciduifacilisisutsapieneuconsequatpharetralectus." + "Quisqueenimestpulvinarutquamvitaeportamattisex.Nullamquismaurisplaceratconvallisjustoquisportamauris." + "Innullalacusconvalliseufringillautvenenatissitametdiam.Maecenasluctusligulascelerisquepulvinarfeugiat." + "Sedmolestienullaaliquetorciluctusidpharetranislfinibus.Suspendissemalesuadatinciduntduisitametportaarcusollicitudinnec." + "Donecetmassamagna.Curabitururnadiampretiumveldignissimporttitorfringillaeuneque." + "Duisantetelluspharetraidtinciduntinterdummolestiesitametfelis.Utquisquamsitametantesagittisdapibusacnonodio." + "Namrutrummolestiediamidmattis.Cumsociisnatoquepenatibusetmagnisdisparturientmontesnasceturridiculusmus." + "Morbiposueresedmetusacconsectetur.Etiamquisipsumvitaejustotempusmaximus.Sedultriciesplaceratvolutpat." + "Integerlacuslectusmaximusacornarequissagittissitametjusto." + "Cumsociisnatoquepenatibusetmagnisdisparturientmontesnasceturridiculusmus.Maecenasindictumpurussedrutrumex.Nullafacilisi." + "Integerfinibusfinibusmietpharetranislfaucibusvel.Maecenasegetdolorlacinialobortisjustovelullamcorpersem." + "Vivamusaliquetpurusidvariusornaresapienrisusrutrumnisitinciduntmollissemnequeidmetus." + "Etiamquiseleifendpurus.Nuncfelisnuncscelerisqueiddignissimnecfinibusalibero." + "Nuncsemperenimnequesitamethendreritpurusfacilisisac.Maurisdapibussemperfelisdignissimgravida." + "Aeneanultricesblanditnequealiquamfinibusodioscelerisqueac.Aliquamnecmassaeumaurisfaucibusfringilla." + "Etiamconsequatligulanisisitametaliquamnibhtemporquis.Nuncinterdumdignissimnullaatsodalesarcusagittiseu." + "Proinpharetrametusneclacuspulvinarsedvolutpatliberoornare.Sedligulanislpulvinarnonlectuseublanditfacilisisante." + "Sedmollisnislalacusauctorsuscipit.Inhachabitasseplateadictumst.Phasellussitametvelittemporvenenatisfeliseuegestasrisus." + "Aliquameteratsitametnibhcommodofinibus.Morbiefficiturodiovelpulvinariaculis." + "Aeneantemporipsummassaaconsecteturturpisfaucibusultrices.Praesentsodalesmaurisquisportafermentum." + "Etiamnisinislvenenatisvelauctorutullamcorperinjusto.Proinvelligulaerat.Phasellusvestibulumgravidamassanonfeugiat." + "Maecenaspharetraeuismodmetusegetefficitur.Suspendisseamet@gmail.com"));
}</t>
  </si>
  <si>
    <t>/**
 * &lt;p&gt;Tests the e-mail validation with a dash in
 * the address.&lt;/p&gt;
 */
@Test
public void testEmailWithDash() {
    assertTrue(validator.isValid("andy.noble@data-workshop.com"));
    assertFalse(validator.isValid("andy-noble@data-workshop.-com"));
    assertFalse(validator.isValid("andy-noble@data-workshop.c-om"));
    assertFalse(validator.isValid("andy-noble@data-workshop.co-m"));
}
/**
 * Write this test according to parts of RFC, as opposed to the type of character
 * that is being tested.
 */
@Test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assertTrue(validator.isValid("\"joe@\"@apache.org"));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    // escaped quote character valid in quoted string
    assertTrue(validator.isValid("\"john\\\"doe\"@apache.org"));
    assertTrue(validator.isValid("john56789.john56789.john56789.john56789.john56789.john56789.john@example.com"));
    assertFalse(validator.isValid("john56789.john56789.john56789.john56789.john56789.john56789.john5@example.com"));
    assertTrue(validator.isValid("\\&gt;escape\\\\special\\^characters\\&lt;@example.com"));
    assertTrue(validator.isValid("Abc\\@def@example.com"));
    assertFalse(validator.isValid("Abc@def@example.com"));
    assertTrue(validator.isValid("space\\ monkey@example.com"));
}</t>
  </si>
  <si>
    <t>[org/apache/commons/validator/routines/EmailValidator.isValid,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</si>
  <si>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Tests the e-mail validation with a dot at the end of
 * the address.
 */
@Test
public void testEmailWithDotEnd() {
    assertFalse(validator.isValid("andy.noble@data-workshop.com."));
}
@Test
public void testValidator374() {
    assertTrue(validator.isValid("abc@school.school"));
}</t>
  </si>
  <si>
    <t>/**
 * Tests the e-mail validation with a dot at the end of
 * the address.
 */
@Test
public void testEmailWithDotEnd() {
    assertFalse(validator.isValid("andy.noble@data-workshop.com."));
}
@Test
public void testVALIDATOR_278() {
    // hostname starts with dash/hyphen
    assertFalse(validator.isValid("someone@-test.com"));
    // hostname ends with dash/hyphen
    assertFalse(validator.isValid("someone@test-.com"));
}</t>
  </si>
  <si>
    <t>/**
 * Tests the e-mail validation with a dot at the end of
 * the address.
 */
@Test
public void testEmailWithDotEnd() {
    assertFalse(validator.isValid("andy.noble@data-workshop.com."));
}
@Test
public void testVALIDATOR_315() {
    assertFalse(validator.isValid("me@at&amp;t.net"));
    // Make sure TLD is not the cause of the failure
    assertTrue(validator.isValid("me@att.net"));
}</t>
  </si>
  <si>
    <t>/**
 * Tests the e-mail validation with a dot at the end of
 * the address.
 */
@Test
public void testEmailWithDotEnd() {
    assertFalse(validator.isValid("andy.noble@data-workshop.com."));
}
/**
 * Tests the email validation with commas.
 */
@Test
public void testEmailWithCommas() {
    assertFalse(validator.isValid("joeblow@apa,che.org"));
    assertFalse(validator.isValid("joeblow@apache.o,rg"));
    assertFalse(validator.isValid("joeblow@apache,org"));
}</t>
  </si>
  <si>
    <t>/**
 * Tests the e-mail validation with a dot at the end of
 * the address.
 */
@Test
public void testEmailWithDotEnd() {
    assertFalse(validator.isValid("andy.noble@data-workshop.com."));
}
/**
 * VALIDATOR-296 - A / or a ! is valid in the user part,
 *  but not in the domain part
 */
@Test
public void testEmailWithSlashes() {
    assertTrue("/ and ! valid in username", validator.isValid("joe!/blow@apache.org"));
    assertFalse("/ not valid in domain", validator.isValid("joe@ap/ache.org"));
    assertFalse("! not valid in domain", validator.isValid("joe@apac!he.org"));
}</t>
  </si>
  <si>
    <t>/**
 * Tests the e-mail validation with a dot at the end of
 * the address.
 */
@Test
public void testEmailWithDotEnd() {
    assertFalse(validator.isValid("andy.noble@data-workshop.com."));
}
@Test
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</si>
  <si>
    <t>/**
 * Tests the e-mail validation with a dot at the end of
 * the address.
 */
@Test
public void testEmailWithDotEnd() {
    assertFalse(validator.isValid("andy.noble@data-workshop.com."));
}
@Test
public void testValidator365() {
    assertFalse(validator.isValid("Loremipsumdolorsitametconsecteturadipiscingelit.Nullavitaeligulamattisrhoncusnuncegestasmattisleo." + "Donecnonsapieninmagnatristiquedictumaacturpis.Fusceorciduifacilisisutsapieneuconsequatpharetralectus." + "Quisqueenimestpulvinarutquamvitaeportamattisex.Nullamquismaurisplaceratconvallisjustoquisportamauris." + "Innullalacusconvalliseufringillautvenenatissitametdiam.Maecenasluctusligulascelerisquepulvinarfeugiat." + "Sedmolestienullaaliquetorciluctusidpharetranislfinibus.Suspendissemalesuadatinciduntduisitametportaarcusollicitudinnec." + "Donecetmassamagna.Curabitururnadiampretiumveldignissimporttitorfringillaeuneque." + "Duisantetelluspharetraidtinciduntinterdummolestiesitametfelis.Utquisquamsitametantesagittisdapibusacnonodio." + "Namrutrummolestiediamidmattis.Cumsociisnatoquepenatibusetmagnisdisparturientmontesnasceturridiculusmus." + "Morbiposueresedmetusacconsectetur.Etiamquisipsumvitaejustotempusmaximus.Sedultriciesplaceratvolutpat." + "Integerlacuslectusmaximusacornarequissagittissitametjusto." + "Cumsociisnatoquepenatibusetmagnisdisparturientmontesnasceturridiculusmus.Maecenasindictumpurussedrutrumex.Nullafacilisi." + "Integerfinibusfinibusmietpharetranislfaucibusvel.Maecenasegetdolorlacinialobortisjustovelullamcorpersem." + "Vivamusaliquetpurusidvariusornaresapienrisusrutrumnisitinciduntmollissemnequeidmetus." + "Etiamquiseleifendpurus.Nuncfelisnuncscelerisqueiddignissimnecfinibusalibero." + "Nuncsemperenimnequesitamethendreritpurusfacilisisac.Maurisdapibussemperfelisdignissimgravida." + "Aeneanultricesblanditnequealiquamfinibusodioscelerisqueac.Aliquamnecmassaeumaurisfaucibusfringilla." + "Etiamconsequatligulanisisitametaliquamnibhtemporquis.Nuncinterdumdignissimnullaatsodalesarcusagittiseu." + "Proinpharetrametusneclacuspulvinarsedvolutpatliberoornare.Sedligulanislpulvinarnonlectuseublanditfacilisisante." + "Sedmollisnislalacusauctorsuscipit.Inhachabitasseplateadictumst.Phasellussitametvelittemporvenenatisfeliseuegestasrisus." + "Aliquameteratsitametnibhcommodofinibus.Morbiefficiturodiovelpulvinariaculis." + "Aeneantemporipsummassaaconsecteturturpisfaucibusultrices.Praesentsodalesmaurisquisportafermentum." + "Etiamnisinislvenenatisvelauctorutullamcorperinjusto.Proinvelligulaerat.Phasellusvestibulumgravidamassanonfeugiat." + "Maecenaspharetraeuismodmetusegetefficitur.Suspendisseamet@gmail.com"));
}</t>
  </si>
  <si>
    <t>/**
 * Tests the e-mail validation with a dot at the end of
 * the address.
 */
@Test
public void testEmailWithDotEnd() {
    assertFalse(validator.isValid("andy.noble@data-workshop.com."));
}
/**
 * Tests the e-mail validation with an RCS-noncompliant character in
 * the address.
 */
@Test
public void testEmailWithBogusCharacter() {
    assertFalse(validator.isValid("andy.noble@\u008fdata-workshop.com"));
    // The ' character is valid in an email username.
    assertTrue(validator.isValid("andy.o'reilly@data-workshop.com"));
    // But not in the domain name.
    assertFalse(validator.isValid("andy@o'reilly.data-workshop.com"));
    // The + character is valid in an email username.
    assertTrue(validator.isValid("foo+bar@i.am.not.in.us.example.com"));
    // But not in the domain name
    assertFalse(validator.isValid("foo+bar@example+3.com"));
    // Domains with only special characters aren't allowed (VALIDATOR-286)
    assertFalse(validator.isValid("test@%*.com"));
    assertFalse(validator.isValid("test@^&amp;#.com"));
}</t>
  </si>
  <si>
    <t>/**
 * Tests the e-mail validation with a dot at the end of
 * the address.
 */
@Test
public void testEmailWithDotEnd() {
    assertFalse(validator.isValid("andy.noble@data-workshop.com."));
}
/**
 * Tests the email validation with spaces.
 */
@Test
public void testEmailWithSpaces() {
    assertFalse(validator.isValid("joeblow @apache.org"));
    assertFalse(validator.isValid("joeblow@ apache.org"));
    assertFalse(validator.isValid(" joeblow@apache.org"));
    assertFalse(validator.isValid("joeblow@apache.org "));
    assertFalse(validator.isValid("joe blow@apache.org "));
    assertFalse(validator.isValid("joeblow@apa che.org "));
    assertTrue(validator.isValid("\"joeblow \"@apache.org"));
    assertTrue(validator.isValid("\" joeblow\"@apache.org"));
    assertTrue(validator.isValid("\" joe blow \"@apache.org"));
}</t>
  </si>
  <si>
    <t>/**
 * Tests the e-mail validation with a dot at the end of
 * the address.
 */
@Test
public void testEmailWithDotEnd() {
    assertFalse(validator.isValid("andy.noble@data-workshop.com."));
}
/**
 * Write this test according to parts of RFC, as opposed to the type of character
 * that is being tested.
 */
@Test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assertTrue(validator.isValid("\"joe@\"@apache.org"));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    // escaped quote character valid in quoted string
    assertTrue(validator.isValid("\"john\\\"doe\"@apache.org"));
    assertTrue(validator.isValid("john56789.john56789.john56789.john56789.john56789.john56789.john@example.com"));
    assertFalse(validator.isValid("john56789.john56789.john56789.john56789.john56789.john56789.john5@example.com"));
    assertTrue(validator.isValid("\\&gt;escape\\\\special\\^characters\\&lt;@example.com"));
    assertTrue(validator.isValid("Abc\\@def@example.com"));
    assertFalse(validator.isValid("Abc@def@example.com"));
    assertTrue(validator.isValid("space\\ monkey@example.com"));
}</t>
  </si>
  <si>
    <t>/**
 * Tests the e-mail validation with an RCS-noncompliant character in
 * the address.
 */
@Test
public void testEmailWithBogusCharacter() {
    assertFalse(validator.isValid("andy.noble@\u008fdata-workshop.com"));
    // The ' character is valid in an email username.
    assertTrue(validator.isValid("andy.o'reilly@data-workshop.com"));
    // But not in the domain name.
    assertFalse(validator.isValid("andy@o'reilly.data-workshop.com"));
    // The + character is valid in an email username.
    assertTrue(validator.isValid("foo+bar@i.am.not.in.us.example.com"));
    // But not in the domain name
    assertFalse(validator.isValid("foo+bar@example+3.com"));
    // Domains with only special characters aren't allowed (VALIDATOR-286)
    assertFalse(validator.isValid("test@%*.com"));
    assertFalse(validator.isValid("test@^&amp;#.com"));
}
/**
 * Tests the email validation with spaces.
 */
@Test
public void testEmailWithSpaces() {
    assertFalse(validator.isValid("joeblow @apache.org"));
    assertFalse(validator.isValid("joeblow@ apache.org"));
    assertFalse(validator.isValid(" joeblow@apache.org"));
    assertFalse(validator.isValid("joeblow@apache.org "));
    assertFalse(validator.isValid("joe blow@apache.org "));
    assertFalse(validator.isValid("joeblow@apa che.org "));
    assertTrue(validator.isValid("\"joeblow \"@apache.org"));
    assertTrue(validator.isValid("\" joeblow\"@apache.org"));
    assertTrue(validator.isValid("\" joe blow \"@apache.org"));
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</si>
  <si>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</si>
  <si>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Tests the e-mail validation with an RCS-noncompliant character in
 * the address.
 */
@Test
public void testEmailWithBogusCharacter() {
    assertFalse(validator.isValid("andy.noble@\u008fdata-workshop.com"));
    // The ' character is valid in an email username.
    assertTrue(validator.isValid("andy.o'reilly@data-workshop.com"));
    // But not in the domain name.
    assertFalse(validator.isValid("andy@o'reilly.data-workshop.com"));
    // The + character is valid in an email username.
    assertTrue(validator.isValid("foo+bar@i.am.not.in.us.example.com"));
    // But not in the domain name
    assertFalse(validator.isValid("foo+bar@example+3.com"));
    // Domains with only special characters aren't allowed (VALIDATOR-286)
    assertFalse(validator.isValid("test@%*.com"));
    assertFalse(validator.isValid("test@^&amp;#.com"));
}
@Test
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</si>
  <si>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</si>
  <si>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Tests the e-mail validation with an RCS-noncompliant character in
 * the address.
 */
@Test
public void testEmailWithBogusCharacter() {
    assertFalse(validator.isValid("andy.noble@\u008fdata-workshop.com"));
    // The ' character is valid in an email username.
    assertTrue(validator.isValid("andy.o'reilly@data-workshop.com"));
    // But not in the domain name.
    assertFalse(validator.isValid("andy@o'reilly.data-workshop.com"));
    // The + character is valid in an email username.
    assertTrue(validator.isValid("foo+bar@i.am.not.in.us.example.com"));
    // But not in the domain name
    assertFalse(validator.isValid("foo+bar@example+3.com"));
    // Domains with only special characters aren't allowed (VALIDATOR-286)
    assertFalse(validator.isValid("test@%*.com"));
    assertFalse(validator.isValid("test@^&amp;#.com"));
}
/**
 * VALIDATOR-296 - A / or a ! is valid in the user part,
 *  but not in the domain part
 */
@Test
public void testEmailWithSlashes() {
    assertTrue("/ and ! valid in username", validator.isValid("joe!/blow@apache.org"));
    assertFalse("/ not valid in domain", validator.isValid("joe@ap/ache.org"));
    assertFalse("! not valid in domain", validator.isValid("joe@apac!he.org"));
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</si>
  <si>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org/apache/commons/validator/routines/EmailValidator.isValid]</t>
  </si>
  <si>
    <t>/**
 * Tests the e-mail validation with an RCS-noncompliant character in
 * the address.
 */
@Test
public void testEmailWithBogusCharacter() {
    assertFalse(validator.isValid("andy.noble@\u008fdata-workshop.com"));
    // The ' character is valid in an email username.
    assertTrue(validator.isValid("andy.o'reilly@data-workshop.com"));
    // But not in the domain name.
    assertFalse(validator.isValid("andy@o'reilly.data-workshop.com"));
    // The + character is valid in an email username.
    assertTrue(validator.isValid("foo+bar@i.am.not.in.us.example.com"));
    // But not in the domain name
    assertFalse(validator.isValid("foo+bar@example+3.com"));
    // Domains with only special characters aren't allowed (VALIDATOR-286)
    assertFalse(validator.isValid("test@%*.com"));
    assertFalse(validator.isValid("test@^&amp;#.com"));
}
/**
 * Tests the email validation with commas.
 */
@Test
public void testEmailWithCommas() {
    assertFalse(validator.isValid("joeblow@apa,che.org"));
    assertFalse(validator.isValid("joeblow@apache.o,rg"));
    assertFalse(validator.isValid("joeblow@apache,org"));
}</t>
  </si>
  <si>
    <t>/**
 * Tests the e-mail validation with an RCS-noncompliant character in
 * the address.
 */
@Test
public void testEmailWithBogusCharacter() {
    assertFalse(validator.isValid("andy.noble@\u008fdata-workshop.com"));
    // The ' character is valid in an email username.
    assertTrue(validator.isValid("andy.o'reilly@data-workshop.com"));
    // But not in the domain name.
    assertFalse(validator.isValid("andy@o'reilly.data-workshop.com"));
    // The + character is valid in an email username.
    assertTrue(validator.isValid("foo+bar@i.am.not.in.us.example.com"));
    // But not in the domain name
    assertFalse(validator.isValid("foo+bar@example+3.com"));
    // Domains with only special characters aren't allowed (VALIDATOR-286)
    assertFalse(validator.isValid("test@%*.com"));
    assertFalse(validator.isValid("test@^&amp;#.com"));
}
@Test
public void testVALIDATOR_278() {
    // hostname starts with dash/hyphen
    assertFalse(validator.isValid("someone@-test.com"));
    // hostname ends with dash/hyphen
    assertFalse(validator.isValid("someone@test-.com"));
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</si>
  <si>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org/apache/commons/validator/routines/EmailValidator.isValid]</t>
  </si>
  <si>
    <t>/**
 * Tests the e-mail validation with an RCS-noncompliant character in
 * the address.
 */
@Test
public void testEmailWithBogusCharacter() {
    assertFalse(validator.isValid("andy.noble@\u008fdata-workshop.com"));
    // The ' character is valid in an email username.
    assertTrue(validator.isValid("andy.o'reilly@data-workshop.com"));
    // But not in the domain name.
    assertFalse(validator.isValid("andy@o'reilly.data-workshop.com"));
    // The + character is valid in an email username.
    assertTrue(validator.isValid("foo+bar@i.am.not.in.us.example.com"));
    // But not in the domain name
    assertFalse(validator.isValid("foo+bar@example+3.com"));
    // Domains with only special characters aren't allowed (VALIDATOR-286)
    assertFalse(validator.isValid("test@%*.com"));
    assertFalse(validator.isValid("test@^&amp;#.com"));
}
@Test
public void testVALIDATOR_315() {
    assertFalse(validator.isValid("me@at&amp;t.net"));
    // Make sure TLD is not the cause of the failure
    assertTrue(validator.isValid("me@att.net"));
}</t>
  </si>
  <si>
    <t>/**
 * Tests the e-mail validation with an RCS-noncompliant character in
 * the address.
 */
@Test
public void testEmailWithBogusCharacter() {
    assertFalse(validator.isValid("andy.noble@\u008fdata-workshop.com"));
    // The ' character is valid in an email username.
    assertTrue(validator.isValid("andy.o'reilly@data-workshop.com"));
    // But not in the domain name.
    assertFalse(validator.isValid("andy@o'reilly.data-workshop.com"));
    // The + character is valid in an email username.
    assertTrue(validator.isValid("foo+bar@i.am.not.in.us.example.com"));
    // But not in the domain name
    assertFalse(validator.isValid("foo+bar@example+3.com"));
    // Domains with only special characters aren't allowed (VALIDATOR-286)
    assertFalse(validator.isValid("test@%*.com"));
    assertFalse(validator.isValid("test@^&amp;#.com"));
}
@Test
public void testValidator365() {
    assertFalse(validator.isValid("Loremipsumdolorsitametconsecteturadipiscingelit.Nullavitaeligulamattisrhoncusnuncegestasmattisleo." + "Donecnonsapieninmagnatristiquedictumaacturpis.Fusceorciduifacilisisutsapieneuconsequatpharetralectus." + "Quisqueenimestpulvinarutquamvitaeportamattisex.Nullamquismaurisplaceratconvallisjustoquisportamauris." + "Innullalacusconvalliseufringillautvenenatissitametdiam.Maecenasluctusligulascelerisquepulvinarfeugiat." + "Sedmolestienullaaliquetorciluctusidpharetranislfinibus.Suspendissemalesuadatinciduntduisitametportaarcusollicitudinnec." + "Donecetmassamagna.Curabitururnadiampretiumveldignissimporttitorfringillaeuneque." + "Duisantetelluspharetraidtinciduntinterdummolestiesitametfelis.Utquisquamsitametantesagittisdapibusacnonodio." + "Namrutrummolestiediamidmattis.Cumsociisnatoquepenatibusetmagnisdisparturientmontesnasceturridiculusmus." + "Morbiposueresedmetusacconsectetur.Etiamquisipsumvitaejustotempusmaximus.Sedultriciesplaceratvolutpat." + "Integerlacuslectusmaximusacornarequissagittissitametjusto." + "Cumsociisnatoquepenatibusetmagnisdisparturientmontesnasceturridiculusmus.Maecenasindictumpurussedrutrumex.Nullafacilisi." + "Integerfinibusfinibusmietpharetranislfaucibusvel.Maecenasegetdolorlacinialobortisjustovelullamcorpersem." + "Vivamusaliquetpurusidvariusornaresapienrisusrutrumnisitinciduntmollissemnequeidmetus." + "Etiamquiseleifendpurus.Nuncfelisnuncscelerisqueiddignissimnecfinibusalibero." + "Nuncsemperenimnequesitamethendreritpurusfacilisisac.Maurisdapibussemperfelisdignissimgravida." + "Aeneanultricesblanditnequealiquamfinibusodioscelerisqueac.Aliquamnecmassaeumaurisfaucibusfringilla." + "Etiamconsequatligulanisisitametaliquamnibhtemporquis.Nuncinterdumdignissimnullaatsodalesarcusagittiseu." + "Proinpharetrametusneclacuspulvinarsedvolutpatliberoornare.Sedligulanislpulvinarnonlectuseublanditfacilisisante." + "Sedmollisnislalacusauctorsuscipit.Inhachabitasseplateadictumst.Phasellussitametvelittemporvenenatisfeliseuegestasrisus." + "Aliquameteratsitametnibhcommodofinibus.Morbiefficiturodiovelpulvinariaculis." + "Aeneantemporipsummassaaconsecteturturpisfaucibusultrices.Praesentsodalesmaurisquisportafermentum." + "Etiamnisinislvenenatisvelauctorutullamcorperinjusto.Proinvelligulaerat.Phasellusvestibulumgravidamassanonfeugiat." + "Maecenaspharetraeuismodmetusegetefficitur.Suspendisseamet@gmail.com"));
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</si>
  <si>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[org/apache/commons/validator/routines/EmailValidator.isValid]</t>
  </si>
  <si>
    <t>/**
 * Tests the e-mail validation with an RCS-noncompliant character in
 * the address.
 */
@Test
public void testEmailWithBogusCharacter() {
    assertFalse(validator.isValid("andy.noble@\u008fdata-workshop.com"));
    // The ' character is valid in an email username.
    assertTrue(validator.isValid("andy.o'reilly@data-workshop.com"));
    // But not in the domain name.
    assertFalse(validator.isValid("andy@o'reilly.data-workshop.com"));
    // The + character is valid in an email username.
    assertTrue(validator.isValid("foo+bar@i.am.not.in.us.example.com"));
    // But not in the domain name
    assertFalse(validator.isValid("foo+bar@example+3.com"));
    // Domains with only special characters aren't allowed (VALIDATOR-286)
    assertFalse(validator.isValid("test@%*.com"));
    assertFalse(validator.isValid("test@^&amp;#.com"));
}
@Test
public void testValidator374() {
    assertTrue(validator.isValid("abc@school.school"));
}</t>
  </si>
  <si>
    <t>/**
 * Tests the e-mail validation with an RCS-noncompliant character in
 * the address.
 */
@Test
public void testEmailWithBogusCharacter() {
    assertFalse(validator.isValid("andy.noble@\u008fdata-workshop.com"));
    // The ' character is valid in an email username.
    assertTrue(validator.isValid("andy.o'reilly@data-workshop.com"));
    // But not in the domain name.
    assertFalse(validator.isValid("andy@o'reilly.data-workshop.com"));
    // The + character is valid in an email username.
    assertTrue(validator.isValid("foo+bar@i.am.not.in.us.example.com"));
    // But not in the domain name
    assertFalse(validator.isValid("foo+bar@example+3.com"));
    // Domains with only special characters aren't allowed (VALIDATOR-286)
    assertFalse(validator.isValid("test@%*.com"));
    assertFalse(validator.isValid("test@^&amp;#.com"));
}
/**
 * Write this test according to parts of RFC, as opposed to the type of character
 * that is being tested.
 */
@Test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assertTrue(validator.isValid("\"joe@\"@apache.org"));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    // escaped quote character valid in quoted string
    assertTrue(validator.isValid("\"john\\\"doe\"@apache.org"));
    assertTrue(validator.isValid("john56789.john56789.john56789.john56789.john56789.john56789.john@example.com"));
    assertFalse(validator.isValid("john56789.john56789.john56789.john56789.john56789.john56789.john5@example.com"));
    assertTrue(validator.isValid("\\&gt;escape\\\\special\\^characters\\&lt;@example.com"));
    assertTrue(validator.isValid("Abc\\@def@example.com"));
    assertFalse(validator.isValid("Abc@def@example.com"));
    assertTrue(validator.isValid("space\\ monkey@example.com"));
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</si>
  <si>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</si>
  <si>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@Test
public void testVALIDATOR_315() {
    assertFalse(validator.isValid("me@at&amp;t.net"));
    // Make sure TLD is not the cause of the failure
    assertTrue(validator.isValid("me@att.net"));
}
@Test
public void testVALIDATOR_278() {
    // hostname starts with dash/hyphen
    assertFalse(validator.isValid("someone@-test.com"));
    // hostname ends with dash/hyphen
    assertFalse(validator.isValid("someone@test-.com"));
}</t>
  </si>
  <si>
    <t>@Test
public void testVALIDATOR_315() {
    assertFalse(validator.isValid("me@at&amp;t.net"));
    // Make sure TLD is not the cause of the failure
    assertTrue(validator.isValid("me@att.net"));
}
/**
 * Tests the email validation with commas.
 */
@Test
public void testEmailWithCommas() {
    assertFalse(validator.isValid("joeblow@apa,che.org"));
    assertFalse(validator.isValid("joeblow@apache.o,rg"));
    assertFalse(validator.isValid("joeblow@apache,org"));
}</t>
  </si>
  <si>
    <t>@Test
public void testVALIDATOR_315() {
    assertFalse(validator.isValid("me@at&amp;t.net"));
    // Make sure TLD is not the cause of the failure
    assertTrue(validator.isValid("me@att.net"));
}
@Test
public void testValidator374() {
    assertTrue(validator.isValid("abc@school.school"));
}</t>
  </si>
  <si>
    <t>@Test
public void testVALIDATOR_315() {
    assertFalse(validator.isValid("me@at&amp;t.net"));
    // Make sure TLD is not the cause of the failure
    assertTrue(validator.isValid("me@att.net"));
}
/**
 * VALIDATOR-296 - A / or a ! is valid in the user part,
 *  but not in the domain part
 */
@Test
public void testEmailWithSlashes() {
    assertTrue("/ and ! valid in username", validator.isValid("joe!/blow@apache.org"));
    assertFalse("/ not valid in domain", validator.isValid("joe@ap/ache.org"));
    assertFalse("! not valid in domain", validator.isValid("joe@apac!he.org"));
}</t>
  </si>
  <si>
    <t>@Test
public void testVALIDATOR_315() {
    assertFalse(validator.isValid("me@at&amp;t.net"));
    // Make sure TLD is not the cause of the failure
    assertTrue(validator.isValid("me@att.net"));
}
@Test
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</si>
  <si>
    <t>@Test
public void testVALIDATOR_315() {
    assertFalse(validator.isValid("me@at&amp;t.net"));
    // Make sure TLD is not the cause of the failure
    assertTrue(validator.isValid("me@att.net"));
}
@Test
public void testValidator365() {
    assertFalse(validator.isValid("Loremipsumdolorsitametconsecteturadipiscingelit.Nullavitaeligulamattisrhoncusnuncegestasmattisleo." + "Donecnonsapieninmagnatristiquedictumaacturpis.Fusceorciduifacilisisutsapieneuconsequatpharetralectus." + "Quisqueenimestpulvinarutquamvitaeportamattisex.Nullamquismaurisplaceratconvallisjustoquisportamauris." + "Innullalacusconvalliseufringillautvenenatissitametdiam.Maecenasluctusligulascelerisquepulvinarfeugiat." + "Sedmolestienullaaliquetorciluctusidpharetranislfinibus.Suspendissemalesuadatinciduntduisitametportaarcusollicitudinnec." + "Donecetmassamagna.Curabitururnadiampretiumveldignissimporttitorfringillaeuneque." + "Duisantetelluspharetraidtinciduntinterdummolestiesitametfelis.Utquisquamsitametantesagittisdapibusacnonodio." + "Namrutrummolestiediamidmattis.Cumsociisnatoquepenatibusetmagnisdisparturientmontesnasceturridiculusmus." + "Morbiposueresedmetusacconsectetur.Etiamquisipsumvitaejustotempusmaximus.Sedultriciesplaceratvolutpat." + "Integerlacuslectusmaximusacornarequissagittissitametjusto." + "Cumsociisnatoquepenatibusetmagnisdisparturientmontesnasceturridiculusmus.Maecenasindictumpurussedrutrumex.Nullafacilisi." + "Integerfinibusfinibusmietpharetranislfaucibusvel.Maecenasegetdolorlacinialobortisjustovelullamcorpersem." + "Vivamusaliquetpurusidvariusornaresapienrisusrutrumnisitinciduntmollissemnequeidmetus." + "Etiamquiseleifendpurus.Nuncfelisnuncscelerisqueiddignissimnecfinibusalibero." + "Nuncsemperenimnequesitamethendreritpurusfacilisisac.Maurisdapibussemperfelisdignissimgravida." + "Aeneanultricesblanditnequealiquamfinibusodioscelerisqueac.Aliquamnecmassaeumaurisfaucibusfringilla." + "Etiamconsequatligulanisisitametaliquamnibhtemporquis.Nuncinterdumdignissimnullaatsodalesarcusagittiseu." + "Proinpharetrametusneclacuspulvinarsedvolutpatliberoornare.Sedligulanislpulvinarnonlectuseublanditfacilisisante." + "Sedmollisnislalacusauctorsuscipit.Inhachabitasseplateadictumst.Phasellussitametvelittemporvenenatisfeliseuegestasrisus." + "Aliquameteratsitametnibhcommodofinibus.Morbiefficiturodiovelpulvinariaculis." + "Aeneantemporipsummassaaconsecteturturpisfaucibusultrices.Praesentsodalesmaurisquisportafermentum." + "Etiamnisinislvenenatisvelauctorutullamcorperinjusto.Proinvelligulaerat.Phasellusvestibulumgravidamassanonfeugiat." + "Maecenaspharetraeuismodmetusegetefficitur.Suspendisseamet@gmail.com"));
}</t>
  </si>
  <si>
    <t>@Test
public void testVALIDATOR_315() {
    assertFalse(validator.isValid("me@at&amp;t.net"));
    // Make sure TLD is not the cause of the failure
    assertTrue(validator.isValid("me@att.net"));
}
/**
 * Tests the email validation with spaces.
 */
@Test
public void testEmailWithSpaces() {
    assertFalse(validator.isValid("joeblow @apache.org"));
    assertFalse(validator.isValid("joeblow@ apache.org"));
    assertFalse(validator.isValid(" joeblow@apache.org"));
    assertFalse(validator.isValid("joeblow@apache.org "));
    assertFalse(validator.isValid("joe blow@apache.org "));
    assertFalse(validator.isValid("joeblow@apa che.org "));
    assertTrue(validator.isValid("\"joeblow \"@apache.org"));
    assertTrue(validator.isValid("\" joeblow\"@apache.org"));
    assertTrue(validator.isValid("\" joe blow \"@apache.org"));
}</t>
  </si>
  <si>
    <t>@Test
public void testVALIDATOR_315() {
    assertFalse(validator.isValid("me@at&amp;t.net"));
    // Make sure TLD is not the cause of the failure
    assertTrue(validator.isValid("me@att.net"));
}
/**
 * Write this test according to parts of RFC, as opposed to the type of character
 * that is being tested.
 */
@Test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assertTrue(validator.isValid("\"joe@\"@apache.org"));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    // escaped quote character valid in quoted string
    assertTrue(validator.isValid("\"john\\\"doe\"@apache.org"));
    assertTrue(validator.isValid("john56789.john56789.john56789.john56789.john56789.john56789.john@example.com"));
    assertFalse(validator.isValid("john56789.john56789.john56789.john56789.john56789.john56789.john5@example.com"));
    assertTrue(validator.isValid("\\&gt;escape\\\\special\\^characters\\&lt;@example.com"));
    assertTrue(validator.isValid("Abc\\@def@example.com"));
    assertFalse(validator.isValid("Abc@def@example.com"));
    assertTrue(validator.isValid("space\\ monkey@example.com"));
}</t>
  </si>
  <si>
    <t>@Test
public void testVALIDATOR_278() {
    // hostname starts with dash/hyphen
    assertFalse(validator.isValid("someone@-test.com"));
    // hostname ends with dash/hyphen
    assertFalse(validator.isValid("someone@test-.com"));
}
/**
 * Tests the email validation with commas.
 */
@Test
public void testEmailWithCommas() {
    assertFalse(validator.isValid("joeblow@apa,che.org"));
    assertFalse(validator.isValid("joeblow@apache.o,rg"));
    assertFalse(validator.isValid("joeblow@apache,org"));
}</t>
  </si>
  <si>
    <t>@Test
public void testVALIDATOR_278() {
    // hostname starts with dash/hyphen
    assertFalse(validator.isValid("someone@-test.com"));
    // hostname ends with dash/hyphen
    assertFalse(validator.isValid("someone@test-.com"));
}
/**
 * VALIDATOR-296 - A / or a ! is valid in the user part,
 *  but not in the domain part
 */
@Test
public void testEmailWithSlashes() {
    assertTrue("/ and ! valid in username", validator.isValid("joe!/blow@apache.org"));
    assertFalse("/ not valid in domain", validator.isValid("joe@ap/ache.org"));
    assertFalse("! not valid in domain", validator.isValid("joe@apac!he.org"));
}</t>
  </si>
  <si>
    <t>@Test
public void testVALIDATOR_278() {
    // hostname starts with dash/hyphen
    assertFalse(validator.isValid("someone@-test.com"));
    // hostname ends with dash/hyphen
    assertFalse(validator.isValid("someone@test-.com"));
}
@Test
public void testValidator374() {
    assertTrue(validator.isValid("abc@school.school"));
}</t>
  </si>
  <si>
    <t>@Test
public void testVALIDATOR_278() {
    // hostname starts with dash/hyphen
    assertFalse(validator.isValid("someone@-test.com"));
    // hostname ends with dash/hyphen
    assertFalse(validator.isValid("someone@test-.com"));
}
@Test
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</si>
  <si>
    <t>@Test
public void testVALIDATOR_278() {
    // hostname starts with dash/hyphen
    assertFalse(validator.isValid("someone@-test.com"));
    // hostname ends with dash/hyphen
    assertFalse(validator.isValid("someone@test-.com"));
}
@Test
public void testValidator365() {
    assertFalse(validator.isValid("Loremipsumdolorsitametconsecteturadipiscingelit.Nullavitaeligulamattisrhoncusnuncegestasmattisleo." + "Donecnonsapieninmagnatristiquedictumaacturpis.Fusceorciduifacilisisutsapieneuconsequatpharetralectus." + "Quisqueenimestpulvinarutquamvitaeportamattisex.Nullamquismaurisplaceratconvallisjustoquisportamauris." + "Innullalacusconvalliseufringillautvenenatissitametdiam.Maecenasluctusligulascelerisquepulvinarfeugiat." + "Sedmolestienullaaliquetorciluctusidpharetranislfinibus.Suspendissemalesuadatinciduntduisitametportaarcusollicitudinnec." + "Donecetmassamagna.Curabitururnadiampretiumveldignissimporttitorfringillaeuneque." + "Duisantetelluspharetraidtinciduntinterdummolestiesitametfelis.Utquisquamsitametantesagittisdapibusacnonodio." + "Namrutrummolestiediamidmattis.Cumsociisnatoquepenatibusetmagnisdisparturientmontesnasceturridiculusmus." + "Morbiposueresedmetusacconsectetur.Etiamquisipsumvitaejustotempusmaximus.Sedultriciesplaceratvolutpat." + "Integerlacuslectusmaximusacornarequissagittissitametjusto." + "Cumsociisnatoquepenatibusetmagnisdisparturientmontesnasceturridiculusmus.Maecenasindictumpurussedrutrumex.Nullafacilisi." + "Integerfinibusfinibusmietpharetranislfaucibusvel.Maecenasegetdolorlacinialobortisjustovelullamcorpersem." + "Vivamusaliquetpurusidvariusornaresapienrisusrutrumnisitinciduntmollissemnequeidmetus." + "Etiamquiseleifendpurus.Nuncfelisnuncscelerisqueiddignissimnecfinibusalibero." + "Nuncsemperenimnequesitamethendreritpurusfacilisisac.Maurisdapibussemperfelisdignissimgravida." + "Aeneanultricesblanditnequealiquamfinibusodioscelerisqueac.Aliquamnecmassaeumaurisfaucibusfringilla." + "Etiamconsequatligulanisisitametaliquamnibhtemporquis.Nuncinterdumdignissimnullaatsodalesarcusagittiseu." + "Proinpharetrametusneclacuspulvinarsedvolutpatliberoornare.Sedligulanislpulvinarnonlectuseublanditfacilisisante." + "Sedmollisnislalacusauctorsuscipit.Inhachabitasseplateadictumst.Phasellussitametvelittemporvenenatisfeliseuegestasrisus." + "Aliquameteratsitametnibhcommodofinibus.Morbiefficiturodiovelpulvinariaculis." + "Aeneantemporipsummassaaconsecteturturpisfaucibusultrices.Praesentsodalesmaurisquisportafermentum." + "Etiamnisinislvenenatisvelauctorutullamcorperinjusto.Proinvelligulaerat.Phasellusvestibulumgravidamassanonfeugiat." + "Maecenaspharetraeuismodmetusegetefficitur.Suspendisseamet@gmail.com"));
}</t>
  </si>
  <si>
    <t>@Test
public void testVALIDATOR_278() {
    // hostname starts with dash/hyphen
    assertFalse(validator.isValid("someone@-test.com"));
    // hostname ends with dash/hyphen
    assertFalse(validator.isValid("someone@test-.com"));
}
/**
 * Tests the email validation with spaces.
 */
@Test
public void testEmailWithSpaces() {
    assertFalse(validator.isValid("joeblow @apache.org"));
    assertFalse(validator.isValid("joeblow@ apache.org"));
    assertFalse(validator.isValid(" joeblow@apache.org"));
    assertFalse(validator.isValid("joeblow@apache.org "));
    assertFalse(validator.isValid("joe blow@apache.org "));
    assertFalse(validator.isValid("joeblow@apa che.org "));
    assertTrue(validator.isValid("\"joeblow \"@apache.org"));
    assertTrue(validator.isValid("\" joeblow\"@apache.org"));
    assertTrue(validator.isValid("\" joe blow \"@apache.org"));
}</t>
  </si>
  <si>
    <t>@Test
public void testVALIDATOR_278() {
    // hostname starts with dash/hyphen
    assertFalse(validator.isValid("someone@-test.com"));
    // hostname ends with dash/hyphen
    assertFalse(validator.isValid("someone@test-.com"));
}
/**
 * Write this test according to parts of RFC, as opposed to the type of character
 * that is being tested.
 */
@Test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assertTrue(validator.isValid("\"joe@\"@apache.org"));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    // escaped quote character valid in quoted string
    assertTrue(validator.isValid("\"john\\\"doe\"@apache.org"));
    assertTrue(validator.isValid("john56789.john56789.john56789.john56789.john56789.john56789.john@example.com"));
    assertFalse(validator.isValid("john56789.john56789.john56789.john56789.john56789.john56789.john5@example.com"));
    assertTrue(validator.isValid("\\&gt;escape\\\\special\\^characters\\&lt;@example.com"));
    assertTrue(validator.isValid("Abc\\@def@example.com"));
    assertFalse(validator.isValid("Abc@def@example.com"));
    assertTrue(validator.isValid("space\\ monkey@example.com"));
}</t>
  </si>
  <si>
    <t>/**
 * Tests the email validation with commas.
 */
@Test
public void testEmailWithCommas() {
    assertFalse(validator.isValid("joeblow@apa,che.org"));
    assertFalse(validator.isValid("joeblow@apache.o,rg"));
    assertFalse(validator.isValid("joeblow@apache,org"));
}
/**
 * VALIDATOR-296 - A / or a ! is valid in the user part,
 *  but not in the domain part
 */
@Test
public void testEmailWithSlashes() {
    assertTrue("/ and ! valid in username", validator.isValid("joe!/blow@apache.org"));
    assertFalse("/ not valid in domain", validator.isValid("joe@ap/ache.org"));
    assertFalse("! not valid in domain", validator.isValid("joe@apac!he.org"));
}</t>
  </si>
  <si>
    <t>/**
 * Tests the email validation with commas.
 */
@Test
public void testEmailWithCommas() {
    assertFalse(validator.isValid("joeblow@apa,che.org"));
    assertFalse(validator.isValid("joeblow@apache.o,rg"));
    assertFalse(validator.isValid("joeblow@apache,org"));
}
@Test
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</si>
  <si>
    <t>[org/apache/commons/validator/routines/EmailValidator.isValid,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</si>
  <si>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Tests the email validation with commas.
 */
@Test
public void testEmailWithCommas() {
    assertFalse(validator.isValid("joeblow@apa,che.org"));
    assertFalse(validator.isValid("joeblow@apache.o,rg"));
    assertFalse(validator.isValid("joeblow@apache,org"));
}
@Test
public void testValidator374() {
    assertTrue(validator.isValid("abc@school.school"));
}</t>
  </si>
  <si>
    <t>[org/apache/commons/validator/routines/EmailValidator.isValid, org/apache/commons/validator/routines/EmailValidator.isValid, org/apache/commons/validator/routines/EmailValidator.isValid]
[org/apache/commons/validator/routines/EmailValidator.isValid]</t>
  </si>
  <si>
    <t>/**
 * Tests the email validation with commas.
 */
@Test
public void testEmailWithCommas() {
    assertFalse(validator.isValid("joeblow@apa,che.org"));
    assertFalse(validator.isValid("joeblow@apache.o,rg"));
    assertFalse(validator.isValid("joeblow@apache,org"));
}
/**
 * Tests the email validation with spaces.
 */
@Test
public void testEmailWithSpaces() {
    assertFalse(validator.isValid("joeblow @apache.org"));
    assertFalse(validator.isValid("joeblow@ apache.org"));
    assertFalse(validator.isValid(" joeblow@apache.org"));
    assertFalse(validator.isValid("joeblow@apache.org "));
    assertFalse(validator.isValid("joe blow@apache.org "));
    assertFalse(validator.isValid("joeblow@apa che.org "));
    assertTrue(validator.isValid("\"joeblow \"@apache.org"));
    assertTrue(validator.isValid("\" joeblow\"@apache.org"));
    assertTrue(validator.isValid("\" joe blow \"@apache.org"));
}</t>
  </si>
  <si>
    <t>[org/apache/commons/validator/routines/EmailValidator.isValid,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</si>
  <si>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Tests the email validation with commas.
 */
@Test
public void testEmailWithCommas() {
    assertFalse(validator.isValid("joeblow@apa,che.org"));
    assertFalse(validator.isValid("joeblow@apache.o,rg"));
    assertFalse(validator.isValid("joeblow@apache,org"));
}
@Test
public void testValidator365() {
    assertFalse(validator.isValid("Loremipsumdolorsitametconsecteturadipiscingelit.Nullavitaeligulamattisrhoncusnuncegestasmattisleo." + "Donecnonsapieninmagnatristiquedictumaacturpis.Fusceorciduifacilisisutsapieneuconsequatpharetralectus." + "Quisqueenimestpulvinarutquamvitaeportamattisex.Nullamquismaurisplaceratconvallisjustoquisportamauris." + "Innullalacusconvalliseufringillautvenenatissitametdiam.Maecenasluctusligulascelerisquepulvinarfeugiat." + "Sedmolestienullaaliquetorciluctusidpharetranislfinibus.Suspendissemalesuadatinciduntduisitametportaarcusollicitudinnec." + "Donecetmassamagna.Curabitururnadiampretiumveldignissimporttitorfringillaeuneque." + "Duisantetelluspharetraidtinciduntinterdummolestiesitametfelis.Utquisquamsitametantesagittisdapibusacnonodio." + "Namrutrummolestiediamidmattis.Cumsociisnatoquepenatibusetmagnisdisparturientmontesnasceturridiculusmus." + "Morbiposueresedmetusacconsectetur.Etiamquisipsumvitaejustotempusmaximus.Sedultriciesplaceratvolutpat." + "Integerlacuslectusmaximusacornarequissagittissitametjusto." + "Cumsociisnatoquepenatibusetmagnisdisparturientmontesnasceturridiculusmus.Maecenasindictumpurussedrutrumex.Nullafacilisi." + "Integerfinibusfinibusmietpharetranislfaucibusvel.Maecenasegetdolorlacinialobortisjustovelullamcorpersem." + "Vivamusaliquetpurusidvariusornaresapienrisusrutrumnisitinciduntmollissemnequeidmetus." + "Etiamquiseleifendpurus.Nuncfelisnuncscelerisqueiddignissimnecfinibusalibero." + "Nuncsemperenimnequesitamethendreritpurusfacilisisac.Maurisdapibussemperfelisdignissimgravida." + "Aeneanultricesblanditnequealiquamfinibusodioscelerisqueac.Aliquamnecmassaeumaurisfaucibusfringilla." + "Etiamconsequatligulanisisitametaliquamnibhtemporquis.Nuncinterdumdignissimnullaatsodalesarcusagittiseu." + "Proinpharetrametusneclacuspulvinarsedvolutpatliberoornare.Sedligulanislpulvinarnonlectuseublanditfacilisisante." + "Sedmollisnislalacusauctorsuscipit.Inhachabitasseplateadictumst.Phasellussitametvelittemporvenenatisfeliseuegestasrisus." + "Aliquameteratsitametnibhcommodofinibus.Morbiefficiturodiovelpulvinariaculis." + "Aeneantemporipsummassaaconsecteturturpisfaucibusultrices.Praesentsodalesmaurisquisportafermentum." + "Etiamnisinislvenenatisvelauctorutullamcorperinjusto.Proinvelligulaerat.Phasellusvestibulumgravidamassanonfeugiat." + "Maecenaspharetraeuismodmetusegetefficitur.Suspendisseamet@gmail.com"));
}</t>
  </si>
  <si>
    <t>/**
 * Tests the email validation with commas.
 */
@Test
public void testEmailWithCommas() {
    assertFalse(validator.isValid("joeblow@apa,che.org"));
    assertFalse(validator.isValid("joeblow@apache.o,rg"));
    assertFalse(validator.isValid("joeblow@apache,org"));
}
/**
 * Write this test according to parts of RFC, as opposed to the type of character
 * that is being tested.
 */
@Test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assertTrue(validator.isValid("\"joe@\"@apache.org"));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    // escaped quote character valid in quoted string
    assertTrue(validator.isValid("\"john\\\"doe\"@apache.org"));
    assertTrue(validator.isValid("john56789.john56789.john56789.john56789.john56789.john56789.john@example.com"));
    assertFalse(validator.isValid("john56789.john56789.john56789.john56789.john56789.john56789.john5@example.com"));
    assertTrue(validator.isValid("\\&gt;escape\\\\special\\^characters\\&lt;@example.com"));
    assertTrue(validator.isValid("Abc\\@def@example.com"));
    assertFalse(validator.isValid("Abc@def@example.com"));
    assertTrue(validator.isValid("space\\ monkey@example.com"));
}</t>
  </si>
  <si>
    <t>[org/apache/commons/validator/routines/EmailValidator.isValid,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</si>
  <si>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Tests the email validation with spaces.
 */
@Test
public void testEmailWithSpaces() {
    assertFalse(validator.isValid("joeblow @apache.org"));
    assertFalse(validator.isValid("joeblow@ apache.org"));
    assertFalse(validator.isValid(" joeblow@apache.org"));
    assertFalse(validator.isValid("joeblow@apache.org "));
    assertFalse(validator.isValid("joe blow@apache.org "));
    assertFalse(validator.isValid("joeblow@apa che.org "));
    assertTrue(validator.isValid("\"joeblow \"@apache.org"));
    assertTrue(validator.isValid("\" joeblow\"@apache.org"));
    assertTrue(validator.isValid("\" joe blow \"@apache.org"));
}
@Test
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</si>
  <si>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</si>
  <si>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Tests the email validation with spaces.
 */
@Test
public void testEmailWithSpaces() {
    assertFalse(validator.isValid("joeblow @apache.org"));
    assertFalse(validator.isValid("joeblow@ apache.org"));
    assertFalse(validator.isValid(" joeblow@apache.org"));
    assertFalse(validator.isValid("joeblow@apache.org "));
    assertFalse(validator.isValid("joe blow@apache.org "));
    assertFalse(validator.isValid("joeblow@apa che.org "));
    assertTrue(validator.isValid("\"joeblow \"@apache.org"));
    assertTrue(validator.isValid("\" joeblow\"@apache.org"));
    assertTrue(validator.isValid("\" joe blow \"@apache.org"));
}
/**
 * VALIDATOR-296 - A / or a ! is valid in the user part,
 *  but not in the domain part
 */
@Test
public void testEmailWithSlashes() {
    assertTrue("/ and ! valid in username", validator.isValid("joe!/blow@apache.org"));
    assertFalse("/ not valid in domain", validator.isValid("joe@ap/ache.org"));
    assertFalse("! not valid in domain", validator.isValid("joe@apac!he.org"));
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</si>
  <si>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org/apache/commons/validator/routines/EmailValidator.isValid]</t>
  </si>
  <si>
    <t>/**
 * Tests the email validation with spaces.
 */
@Test
public void testEmailWithSpaces() {
    assertFalse(validator.isValid("joeblow @apache.org"));
    assertFalse(validator.isValid("joeblow@ apache.org"));
    assertFalse(validator.isValid(" joeblow@apache.org"));
    assertFalse(validator.isValid("joeblow@apache.org "));
    assertFalse(validator.isValid("joe blow@apache.org "));
    assertFalse(validator.isValid("joeblow@apa che.org "));
    assertTrue(validator.isValid("\"joeblow \"@apache.org"));
    assertTrue(validator.isValid("\" joeblow\"@apache.org"));
    assertTrue(validator.isValid("\" joe blow \"@apache.org"));
}
@Test
public void testValidator365() {
    assertFalse(validator.isValid("Loremipsumdolorsitametconsecteturadipiscingelit.Nullavitaeligulamattisrhoncusnuncegestasmattisleo." + "Donecnonsapieninmagnatristiquedictumaacturpis.Fusceorciduifacilisisutsapieneuconsequatpharetralectus." + "Quisqueenimestpulvinarutquamvitaeportamattisex.Nullamquismaurisplaceratconvallisjustoquisportamauris." + "Innullalacusconvalliseufringillautvenenatissitametdiam.Maecenasluctusligulascelerisquepulvinarfeugiat." + "Sedmolestienullaaliquetorciluctusidpharetranislfinibus.Suspendissemalesuadatinciduntduisitametportaarcusollicitudinnec." + "Donecetmassamagna.Curabitururnadiampretiumveldignissimporttitorfringillaeuneque." + "Duisantetelluspharetraidtinciduntinterdummolestiesitametfelis.Utquisquamsitametantesagittisdapibusacnonodio." + "Namrutrummolestiediamidmattis.Cumsociisnatoquepenatibusetmagnisdisparturientmontesnasceturridiculusmus." + "Morbiposueresedmetusacconsectetur.Etiamquisipsumvitaejustotempusmaximus.Sedultriciesplaceratvolutpat." + "Integerlacuslectusmaximusacornarequissagittissitametjusto." + "Cumsociisnatoquepenatibusetmagnisdisparturientmontesnasceturridiculusmus.Maecenasindictumpurussedrutrumex.Nullafacilisi." + "Integerfinibusfinibusmietpharetranislfaucibusvel.Maecenasegetdolorlacinialobortisjustovelullamcorpersem." + "Vivamusaliquetpurusidvariusornaresapienrisusrutrumnisitinciduntmollissemnequeidmetus." + "Etiamquiseleifendpurus.Nuncfelisnuncscelerisqueiddignissimnecfinibusalibero." + "Nuncsemperenimnequesitamethendreritpurusfacilisisac.Maurisdapibussemperfelisdignissimgravida." + "Aeneanultricesblanditnequealiquamfinibusodioscelerisqueac.Aliquamnecmassaeumaurisfaucibusfringilla." + "Etiamconsequatligulanisisitametaliquamnibhtemporquis.Nuncinterdumdignissimnullaatsodalesarcusagittiseu." + "Proinpharetrametusneclacuspulvinarsedvolutpatliberoornare.Sedligulanislpulvinarnonlectuseublanditfacilisisante." + "Sedmollisnislalacusauctorsuscipit.Inhachabitasseplateadictumst.Phasellussitametvelittemporvenenatisfeliseuegestasrisus." + "Aliquameteratsitametnibhcommodofinibus.Morbiefficiturodiovelpulvinariaculis." + "Aeneantemporipsummassaaconsecteturturpisfaucibusultrices.Praesentsodalesmaurisquisportafermentum." + "Etiamnisinislvenenatisvelauctorutullamcorperinjusto.Proinvelligulaerat.Phasellusvestibulumgravidamassanonfeugiat." + "Maecenaspharetraeuismodmetusegetefficitur.Suspendisseamet@gmail.com"));
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</si>
  <si>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[org/apache/commons/validator/routines/EmailValidator.isValid]</t>
  </si>
  <si>
    <t>/**
 * Tests the email validation with spaces.
 */
@Test
public void testEmailWithSpaces() {
    assertFalse(validator.isValid("joeblow @apache.org"));
    assertFalse(validator.isValid("joeblow@ apache.org"));
    assertFalse(validator.isValid(" joeblow@apache.org"));
    assertFalse(validator.isValid("joeblow@apache.org "));
    assertFalse(validator.isValid("joe blow@apache.org "));
    assertFalse(validator.isValid("joeblow@apa che.org "));
    assertTrue(validator.isValid("\"joeblow \"@apache.org"));
    assertTrue(validator.isValid("\" joeblow\"@apache.org"));
    assertTrue(validator.isValid("\" joe blow \"@apache.org"));
}
@Test
public void testValidator374() {
    assertTrue(validator.isValid("abc@school.school"));
}</t>
  </si>
  <si>
    <t>/**
 * Tests the email validation with spaces.
 */
@Test
public void testEmailWithSpaces() {
    assertFalse(validator.isValid("joeblow @apache.org"));
    assertFalse(validator.isValid("joeblow@ apache.org"));
    assertFalse(validator.isValid(" joeblow@apache.org"));
    assertFalse(validator.isValid("joeblow@apache.org "));
    assertFalse(validator.isValid("joe blow@apache.org "));
    assertFalse(validator.isValid("joeblow@apa che.org "));
    assertTrue(validator.isValid("\"joeblow \"@apache.org"));
    assertTrue(validator.isValid("\" joeblow\"@apache.org"));
    assertTrue(validator.isValid("\" joe blow \"@apache.org"));
}
/**
 * Write this test according to parts of RFC, as opposed to the type of character
 * that is being tested.
 */
@Test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assertTrue(validator.isValid("\"joe@\"@apache.org"));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    // escaped quote character valid in quoted string
    assertTrue(validator.isValid("\"john\\\"doe\"@apache.org"));
    assertTrue(validator.isValid("john56789.john56789.john56789.john56789.john56789.john56789.john@example.com"));
    assertFalse(validator.isValid("john56789.john56789.john56789.john56789.john56789.john56789.john5@example.com"));
    assertTrue(validator.isValid("\\&gt;escape\\\\special\\^characters\\&lt;@example.com"));
    assertTrue(validator.isValid("Abc\\@def@example.com"));
    assertFalse(validator.isValid("Abc@def@example.com"));
    assertTrue(validator.isValid("space\\ monkey@example.com"));
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</si>
  <si>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</si>
  <si>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Test that @localhost and @localhost.localdomain
 *  addresses are declared as valid when requested.
 */
@Test
public void testEmailLocalhost() {
    // Check the default is not to allow
    EmailValidator noLocal = EmailValidator.getInstance(false);
    EmailValidator allowLocal = EmailValidator.getInstance(true);
    assertEquals(validator, noLocal);
    // Depends on the validator
    assertTrue("@localhost.localdomain should be accepted but wasn't", allowLocal.isValid("joe@localhost.localdomain"));
    assertTrue("@localhost should be accepted but wasn't", allowLocal.isValid("joe@localhost"));
    assertFalse("@localhost.localdomain should be accepted but wasn't", noLocal.isValid("joe@localhost.localdomain"));
    assertFalse("@localhost should be accepted but wasn't", noLocal.isValid("joe@localhost"));
}
@Test
public void testValidator359() {
    EmailValidator val = EmailValidator.getInstance(false, true);
    assertFalse(val.isValid("test@.com"));
}</t>
  </si>
  <si>
    <t>[ org/apache/commons/validator/routines/EmailValidator.getInstance]</t>
  </si>
  <si>
    <t>/**
 * Test that @localhost and @localhost.localdomain
 *  addresses are declared as valid when requested.
 */
@Test
public void testEmailLocalhost() {
    // Check the default is not to allow
    EmailValidator noLocal = EmailValidator.getInstance(false);
    EmailValidator allowLocal = EmailValidator.getInstance(true);
    assertEquals(validator, noLocal);
    // Depends on the validator
    assertTrue("@localhost.localdomain should be accepted but wasn't", allowLocal.isValid("joe@localhost.localdomain"));
    assertTrue("@localhost should be accepted but wasn't", allowLocal.isValid("joe@localhost"));
    assertFalse("@localhost.localdomain should be accepted but wasn't", noLocal.isValid("joe@localhost.localdomain"));
    assertFalse("@localhost should be accepted but wasn't", noLocal.isValid("joe@localhost"));
}
/**
 * Tests the e-mail validation with a user at a TLD
 *
 * http://tools.ietf.org/html/rfc5321#section-2.3.5
 * (In the case of a top-level domain used by itself in an
 * email address, a single string is used without any dots)
 */
@Test
public void testEmailAtTLD() {
    EmailValidator val = EmailValidator.getInstance(false, true);
    assertTrue(val.isValid("test@com"));
}</t>
  </si>
  <si>
    <t>/**
 * VALIDATOR-296 - A / or a ! is valid in the user part,
 *  but not in the domain part
 */
@Test
public void testEmailWithSlashes() {
    assertTrue("/ and ! valid in username", validator.isValid("joe!/blow@apache.org"));
    assertFalse("/ not valid in domain", validator.isValid("joe@ap/ache.org"));
    assertFalse("! not valid in domain", validator.isValid("joe@apac!he.org"));
}
@Test
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</si>
  <si>
    <t>/**
 * VALIDATOR-296 - A / or a ! is valid in the user part,
 *  but not in the domain part
 */
@Test
public void testEmailWithSlashes() {
    assertTrue("/ and ! valid in username", validator.isValid("joe!/blow@apache.org"));
    assertFalse("/ not valid in domain", validator.isValid("joe@ap/ache.org"));
    assertFalse("! not valid in domain", validator.isValid("joe@apac!he.org"));
}
@Test
public void testValidator374() {
    assertTrue(validator.isValid("abc@school.school"));
}</t>
  </si>
  <si>
    <t>/**
 * VALIDATOR-296 - A / or a ! is valid in the user part,
 *  but not in the domain part
 */
@Test
public void testEmailWithSlashes() {
    assertTrue("/ and ! valid in username", validator.isValid("joe!/blow@apache.org"));
    assertFalse("/ not valid in domain", validator.isValid("joe@ap/ache.org"));
    assertFalse("! not valid in domain", validator.isValid("joe@apac!he.org"));
}
@Test
public void testValidator365() {
    assertFalse(validator.isValid("Loremipsumdolorsitametconsecteturadipiscingelit.Nullavitaeligulamattisrhoncusnuncegestasmattisleo." + "Donecnonsapieninmagnatristiquedictumaacturpis.Fusceorciduifacilisisutsapieneuconsequatpharetralectus." + "Quisqueenimestpulvinarutquamvitaeportamattisex.Nullamquismaurisplaceratconvallisjustoquisportamauris." + "Innullalacusconvalliseufringillautvenenatissitametdiam.Maecenasluctusligulascelerisquepulvinarfeugiat." + "Sedmolestienullaaliquetorciluctusidpharetranislfinibus.Suspendissemalesuadatinciduntduisitametportaarcusollicitudinnec." + "Donecetmassamagna.Curabitururnadiampretiumveldignissimporttitorfringillaeuneque." + "Duisantetelluspharetraidtinciduntinterdummolestiesitametfelis.Utquisquamsitametantesagittisdapibusacnonodio." + "Namrutrummolestiediamidmattis.Cumsociisnatoquepenatibusetmagnisdisparturientmontesnasceturridiculusmus." + "Morbiposueresedmetusacconsectetur.Etiamquisipsumvitaejustotempusmaximus.Sedultriciesplaceratvolutpat." + "Integerlacuslectusmaximusacornarequissagittissitametjusto." + "Cumsociisnatoquepenatibusetmagnisdisparturientmontesnasceturridiculusmus.Maecenasindictumpurussedrutrumex.Nullafacilisi." + "Integerfinibusfinibusmietpharetranislfaucibusvel.Maecenasegetdolorlacinialobortisjustovelullamcorpersem." + "Vivamusaliquetpurusidvariusornaresapienrisusrutrumnisitinciduntmollissemnequeidmetus." + "Etiamquiseleifendpurus.Nuncfelisnuncscelerisqueiddignissimnecfinibusalibero." + "Nuncsemperenimnequesitamethendreritpurusfacilisisac.Maurisdapibussemperfelisdignissimgravida." + "Aeneanultricesblanditnequealiquamfinibusodioscelerisqueac.Aliquamnecmassaeumaurisfaucibusfringilla." + "Etiamconsequatligulanisisitametaliquamnibhtemporquis.Nuncinterdumdignissimnullaatsodalesarcusagittiseu." + "Proinpharetrametusneclacuspulvinarsedvolutpatliberoornare.Sedligulanislpulvinarnonlectuseublanditfacilisisante." + "Sedmollisnislalacusauctorsuscipit.Inhachabitasseplateadictumst.Phasellussitametvelittemporvenenatisfeliseuegestasrisus." + "Aliquameteratsitametnibhcommodofinibus.Morbiefficiturodiovelpulvinariaculis." + "Aeneantemporipsummassaaconsecteturturpisfaucibusultrices.Praesentsodalesmaurisquisportafermentum." + "Etiamnisinislvenenatisvelauctorutullamcorperinjusto.Proinvelligulaerat.Phasellusvestibulumgravidamassanonfeugiat." + "Maecenaspharetraeuismodmetusegetefficitur.Suspendisseamet@gmail.com"));
}</t>
  </si>
  <si>
    <t>/**
 * VALIDATOR-296 - A / or a ! is valid in the user part,
 *  but not in the domain part
 */
@Test
public void testEmailWithSlashes() {
    assertTrue("/ and ! valid in username", validator.isValid("joe!/blow@apache.org"));
    assertFalse("/ not valid in domain", validator.isValid("joe@ap/ache.org"));
    assertFalse("! not valid in domain", validator.isValid("joe@apac!he.org"));
}
/**
 * Write this test according to parts of RFC, as opposed to the type of character
 * that is being tested.
 */
@Test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assertTrue(validator.isValid("\"joe@\"@apache.org"));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    // escaped quote character valid in quoted string
    assertTrue(validator.isValid("\"john\\\"doe\"@apache.org"));
    assertTrue(validator.isValid("john56789.john56789.john56789.john56789.john56789.john56789.john@example.com"));
    assertFalse(validator.isValid("john56789.john56789.john56789.john56789.john56789.john56789.john5@example.com"));
    assertTrue(validator.isValid("\\&gt;escape\\\\special\\^characters\\&lt;@example.com"));
    assertTrue(validator.isValid("Abc\\@def@example.com"));
    assertFalse(validator.isValid("Abc@def@example.com"));
    assertTrue(validator.isValid("space\\ monkey@example.com"));
}</t>
  </si>
  <si>
    <t>/**
 * Write this test according to parts of RFC, as opposed to the type of character
 * that is being tested.
 */
@Test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assertTrue(validator.isValid("\"joe@\"@apache.org"));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    // escaped quote character valid in quoted string
    assertTrue(validator.isValid("\"john\\\"doe\"@apache.org"));
    assertTrue(validator.isValid("john56789.john56789.john56789.john56789.john56789.john56789.john@example.com"));
    assertFalse(validator.isValid("john56789.john56789.john56789.john56789.john56789.john56789.john5@example.com"));
    assertTrue(validator.isValid("\\&gt;escape\\\\special\\^characters\\&lt;@example.com"));
    assertTrue(validator.isValid("Abc\\@def@example.com"));
    assertFalse(validator.isValid("Abc@def@example.com"));
    assertTrue(validator.isValid("space\\ monkey@example.com"));
}
@Test
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</si>
  <si>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</si>
  <si>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Write this test according to parts of RFC, as opposed to the type of character
 * that is being tested.
 */
@Test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assertTrue(validator.isValid("\"joe@\"@apache.org"));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    // escaped quote character valid in quoted string
    assertTrue(validator.isValid("\"john\\\"doe\"@apache.org"));
    assertTrue(validator.isValid("john56789.john56789.john56789.john56789.john56789.john56789.john@example.com"));
    assertFalse(validator.isValid("john56789.john56789.john56789.john56789.john56789.john56789.john5@example.com"));
    assertTrue(validator.isValid("\\&gt;escape\\\\special\\^characters\\&lt;@example.com"));
    assertTrue(validator.isValid("Abc\\@def@example.com"));
    assertFalse(validator.isValid("Abc@def@example.com"));
    assertTrue(validator.isValid("space\\ monkey@example.com"));
}
@Test
public void testValidator365() {
    assertFalse(validator.isValid("Loremipsumdolorsitametconsecteturadipiscingelit.Nullavitaeligulamattisrhoncusnuncegestasmattisleo." + "Donecnonsapieninmagnatristiquedictumaacturpis.Fusceorciduifacilisisutsapieneuconsequatpharetralectus." + "Quisqueenimestpulvinarutquamvitaeportamattisex.Nullamquismaurisplaceratconvallisjustoquisportamauris." + "Innullalacusconvalliseufringillautvenenatissitametdiam.Maecenasluctusligulascelerisquepulvinarfeugiat." + "Sedmolestienullaaliquetorciluctusidpharetranislfinibus.Suspendissemalesuadatinciduntduisitametportaarcusollicitudinnec." + "Donecetmassamagna.Curabitururnadiampretiumveldignissimporttitorfringillaeuneque." + "Duisantetelluspharetraidtinciduntinterdummolestiesitametfelis.Utquisquamsitametantesagittisdapibusacnonodio." + "Namrutrummolestiediamidmattis.Cumsociisnatoquepenatibusetmagnisdisparturientmontesnasceturridiculusmus." + "Morbiposueresedmetusacconsectetur.Etiamquisipsumvitaejustotempusmaximus.Sedultriciesplaceratvolutpat." + "Integerlacuslectusmaximusacornarequissagittissitametjusto." + "Cumsociisnatoquepenatibusetmagnisdisparturientmontesnasceturridiculusmus.Maecenasindictumpurussedrutrumex.Nullafacilisi." + "Integerfinibusfinibusmietpharetranislfaucibusvel.Maecenasegetdolorlacinialobortisjustovelullamcorpersem." + "Vivamusaliquetpurusidvariusornaresapienrisusrutrumnisitinciduntmollissemnequeidmetus." + "Etiamquiseleifendpurus.Nuncfelisnuncscelerisqueiddignissimnecfinibusalibero." + "Nuncsemperenimnequesitamethendreritpurusfacilisisac.Maurisdapibussemperfelisdignissimgravida." + "Aeneanultricesblanditnequealiquamfinibusodioscelerisqueac.Aliquamnecmassaeumaurisfaucibusfringilla." + "Etiamconsequatligulanisisitametaliquamnibhtemporquis.Nuncinterdumdignissimnullaatsodalesarcusagittiseu." + "Proinpharetrametusneclacuspulvinarsedvolutpatliberoornare.Sedligulanislpulvinarnonlectuseublanditfacilisisante." + "Sedmollisnislalacusauctorsuscipit.Inhachabitasseplateadictumst.Phasellussitametvelittemporvenenatisfeliseuegestasrisus." + "Aliquameteratsitametnibhcommodofinibus.Morbiefficiturodiovelpulvinariaculis." + "Aeneantemporipsummassaaconsecteturturpisfaucibusultrices.Praesentsodalesmaurisquisportafermentum." + "Etiamnisinislvenenatisvelauctorutullamcorperinjusto.Proinvelligulaerat.Phasellusvestibulumgravidamassanonfeugiat." + "Maecenaspharetraeuismodmetusegetefficitur.Suspendisseamet@gmail.com"));
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</si>
  <si>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[org/apache/commons/validator/routines/EmailValidator.isValid]</t>
  </si>
  <si>
    <t>/**
 * Write this test according to parts of RFC, as opposed to the type of character
 * that is being tested.
 */
@Test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assertTrue(validator.isValid("\"joe@\"@apache.org"));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    // escaped quote character valid in quoted string
    assertTrue(validator.isValid("\"john\\\"doe\"@apache.org"));
    assertTrue(validator.isValid("john56789.john56789.john56789.john56789.john56789.john56789.john@example.com"));
    assertFalse(validator.isValid("john56789.john56789.john56789.john56789.john56789.john56789.john5@example.com"));
    assertTrue(validator.isValid("\\&gt;escape\\\\special\\^characters\\&lt;@example.com"));
    assertTrue(validator.isValid("Abc\\@def@example.com"));
    assertFalse(validator.isValid("Abc@def@example.com"));
    assertTrue(validator.isValid("space\\ monkey@example.com"));
}
@Test
public void testValidator374() {
    assertTrue(validator.isValid("abc@school.school"));
}</t>
  </si>
  <si>
    <t>@Test
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
@Test
public void testValidator365() {
    assertFalse(validator.isValid("Loremipsumdolorsitametconsecteturadipiscingelit.Nullavitaeligulamattisrhoncusnuncegestasmattisleo." + "Donecnonsapieninmagnatristiquedictumaacturpis.Fusceorciduifacilisisutsapieneuconsequatpharetralectus." + "Quisqueenimestpulvinarutquamvitaeportamattisex.Nullamquismaurisplaceratconvallisjustoquisportamauris." + "Innullalacusconvalliseufringillautvenenatissitametdiam.Maecenasluctusligulascelerisquepulvinarfeugiat." + "Sedmolestienullaaliquetorciluctusidpharetranislfinibus.Suspendissemalesuadatinciduntduisitametportaarcusollicitudinnec." + "Donecetmassamagna.Curabitururnadiampretiumveldignissimporttitorfringillaeuneque." + "Duisantetelluspharetraidtinciduntinterdummolestiesitametfelis.Utquisquamsitametantesagittisdapibusacnonodio." + "Namrutrummolestiediamidmattis.Cumsociisnatoquepenatibusetmagnisdisparturientmontesnasceturridiculusmus." + "Morbiposueresedmetusacconsectetur.Etiamquisipsumvitaejustotempusmaximus.Sedultriciesplaceratvolutpat." + "Integerlacuslectusmaximusacornarequissagittissitametjusto." + "Cumsociisnatoquepenatibusetmagnisdisparturientmontesnasceturridiculusmus.Maecenasindictumpurussedrutrumex.Nullafacilisi." + "Integerfinibusfinibusmietpharetranislfaucibusvel.Maecenasegetdolorlacinialobortisjustovelullamcorpersem." + "Vivamusaliquetpurusidvariusornaresapienrisusrutrumnisitinciduntmollissemnequeidmetus." + "Etiamquiseleifendpurus.Nuncfelisnuncscelerisqueiddignissimnecfinibusalibero." + "Nuncsemperenimnequesitamethendreritpurusfacilisisac.Maurisdapibussemperfelisdignissimgravida." + "Aeneanultricesblanditnequealiquamfinibusodioscelerisqueac.Aliquamnecmassaeumaurisfaucibusfringilla." + "Etiamconsequatligulanisisitametaliquamnibhtemporquis.Nuncinterdumdignissimnullaatsodalesarcusagittiseu." + "Proinpharetrametusneclacuspulvinarsedvolutpatliberoornare.Sedligulanislpulvinarnonlectuseublanditfacilisisante." + "Sedmollisnislalacusauctorsuscipit.Inhachabitasseplateadictumst.Phasellussitametvelittemporvenenatisfeliseuegestasrisus." + "Aliquameteratsitametnibhcommodofinibus.Morbiefficiturodiovelpulvinariaculis." + "Aeneantemporipsummassaaconsecteturturpisfaucibusultrices.Praesentsodalesmaurisquisportafermentum." + "Etiamnisinislvenenatisvelauctorutullamcorperinjusto.Proinvelligulaerat.Phasellusvestibulumgravidamassanonfeugiat." + "Maecenaspharetraeuismodmetusegetefficitur.Suspendisseamet@gmail.com"));
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</si>
  <si>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[org/apache/commons/validator/routines/EmailValidator.isValid]</t>
  </si>
  <si>
    <t>@Test
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
@Test
public void testValidator374() {
    assertTrue(validator.isValid("abc@school.school"));
}</t>
  </si>
  <si>
    <t>@Test
public void testValidator365() {
    assertFalse(validator.isValid("Loremipsumdolorsitametconsecteturadipiscingelit.Nullavitaeligulamattisrhoncusnuncegestasmattisleo." + "Donecnonsapieninmagnatristiquedictumaacturpis.Fusceorciduifacilisisutsapieneuconsequatpharetralectus." + "Quisqueenimestpulvinarutquamvitaeportamattisex.Nullamquismaurisplaceratconvallisjustoquisportamauris." + "Innullalacusconvalliseufringillautvenenatissitametdiam.Maecenasluctusligulascelerisquepulvinarfeugiat." + "Sedmolestienullaaliquetorciluctusidpharetranislfinibus.Suspendissemalesuadatinciduntduisitametportaarcusollicitudinnec." + "Donecetmassamagna.Curabitururnadiampretiumveldignissimporttitorfringillaeuneque." + "Duisantetelluspharetraidtinciduntinterdummolestiesitametfelis.Utquisquamsitametantesagittisdapibusacnonodio." + "Namrutrummolestiediamidmattis.Cumsociisnatoquepenatibusetmagnisdisparturientmontesnasceturridiculusmus." + "Morbiposueresedmetusacconsectetur.Etiamquisipsumvitaejustotempusmaximus.Sedultriciesplaceratvolutpat." + "Integerlacuslectusmaximusacornarequissagittissitametjusto." + "Cumsociisnatoquepenatibusetmagnisdisparturientmontesnasceturridiculusmus.Maecenasindictumpurussedrutrumex.Nullafacilisi." + "Integerfinibusfinibusmietpharetranislfaucibusvel.Maecenasegetdolorlacinialobortisjustovelullamcorpersem." + "Vivamusaliquetpurusidvariusornaresapienrisusrutrumnisitinciduntmollissemnequeidmetus." + "Etiamquiseleifendpurus.Nuncfelisnuncscelerisqueiddignissimnecfinibusalibero." + "Nuncsemperenimnequesitamethendreritpurusfacilisisac.Maurisdapibussemperfelisdignissimgravida." + "Aeneanultricesblanditnequealiquamfinibusodioscelerisqueac.Aliquamnecmassaeumaurisfaucibusfringilla." + "Etiamconsequatligulanisisitametaliquamnibhtemporquis.Nuncinterdumdignissimnullaatsodalesarcusagittiseu." + "Proinpharetrametusneclacuspulvinarsedvolutpatliberoornare.Sedligulanislpulvinarnonlectuseublanditfacilisisante." + "Sedmollisnislalacusauctorsuscipit.Inhachabitasseplateadictumst.Phasellussitametvelittemporvenenatisfeliseuegestasrisus." + "Aliquameteratsitametnibhcommodofinibus.Morbiefficiturodiovelpulvinariaculis." + "Aeneantemporipsummassaaconsecteturturpisfaucibusultrices.Praesentsodalesmaurisquisportafermentum." + "Etiamnisinislvenenatisvelauctorutullamcorperinjusto.Proinvelligulaerat.Phasellusvestibulumgravidamassanonfeugiat." + "Maecenaspharetraeuismodmetusegetefficitur.Suspendisseamet@gmail.com"));
}
@Test
public void testValidator374() {
    assertTrue(validator.isValid("abc@school.school"));
}</t>
  </si>
  <si>
    <t>/**
 * Tests the e-mail validation with a user at a TLD
 *
 * http://tools.ietf.org/html/rfc5321#section-2.3.5
 * (In the case of a top-level domain used by itself in an
 * email address, a single string is used without any dots)
 */
@Test
public void testEmailAtTLD() {
    EmailValidator val = EmailValidator.getInstance(false, true);
    assertTrue(val.isValid("test@com"));
}
@Test
public void testValidator359() {
    EmailValidator val = EmailValidator.getInstance(false, true);
    assertFalse(val.isValid("test@.com"));
}</t>
  </si>
  <si>
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
// RFC2396: domainlabel   = alphanum | alphanum *( alphanum | "-" ) alphanum
public void testRFC2396domainlabel() {
    // use fixed valid TLD
    assertTrue("a.ch should validate", validator.isValid("a.ch"));
    assertTrue("9.ch should validate", validator.isValid("9.ch"));
    assertTrue("az.ch should validate", validator.isValid("az.ch"));
    assertTrue("09.ch should validate", validator.isValid("09.ch"));
    assertTrue("9-1.ch should validate", validator.isValid("9-1.ch"));
    assertFalse("91-.ch should not validate", validator.isValid("91-.ch"));
    assertFalse("-.ch should not validate", validator.isValid("-.ch"));
}</t>
  </si>
  <si>
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
public void testInvalidDomains() {
    assertFalse("bare TLD .org shouldn't validate", validator.isValid(".org"));
    assertFalse("domain name with spaces shouldn't validate", validator.isValid(" apache.org "));
    assertFalse("domain name containing spaces shouldn't validate", validator.isValid("apa che.org"));
    assertFalse("domain name starting with dash shouldn't validate", validator.isValid("-testdomain.name"));
    assertFalse("domain name ending with dash shouldn't validate", validator.isValid("testdomain-.name"));
    assertFalse("domain name starting with multiple dashes shouldn't validate", validator.isValid("---c.com"));
    assertFalse("domain name ending with multiple dashes shouldn't validate", validator.isValid("c--.com"));
    assertFalse("domain name with invalid TLD shouldn't validate", validator.isValid("apache.rog"));
    assertFalse("URL shouldn't validate", validator.isValid("http://www.apache.org"));
    assertFalse("Empty string shouldn't validate as domain name", validator.isValid(" "));
    assertFalse("Null shouldn't validate as domain name", validator.isValid(null));
}</t>
  </si>
  <si>
    <t>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</t>
  </si>
  <si>
    <t>testInvalidDomains</t>
  </si>
  <si>
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
public void testValidator297() {
    // This uses a valid TLD
    assertTrue("xn--d1abbgf6aiiy.xn--p1ai should validate", validator.isValid("xn--d1abbgf6aiiy.xn--p1ai"));
}</t>
  </si>
  <si>
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
public void testIDN() {
    assertTrue("b\u00fccher.ch in IDN should validate", validator.isValid("www.xn--bcher-kva.ch"));
}</t>
  </si>
  <si>
    <t>public void testInvalidDomains() {
    assertFalse("bare TLD .org shouldn't validate", validator.isValid(".org"));
    assertFalse("domain name with spaces shouldn't validate", validator.isValid(" apache.org "));
    assertFalse("domain name containing spaces shouldn't validate", validator.isValid("apa che.org"));
    assertFalse("domain name starting with dash shouldn't validate", validator.isValid("-testdomain.name"));
    assertFalse("domain name ending with dash shouldn't validate", validator.isValid("testdomain-.name"));
    assertFalse("domain name starting with multiple dashes shouldn't validate", validator.isValid("---c.com"));
    assertFalse("domain name ending with multiple dashes shouldn't validate", validator.isValid("c--.com"));
    assertFalse("domain name with invalid TLD shouldn't validate", validator.isValid("apache.rog"));
    assertFalse("URL shouldn't validate", validator.isValid("http://www.apache.org"));
    assertFalse("Empty string shouldn't validate as domain name", validator.isValid(" "));
    assertFalse("Null shouldn't validate as domain name", validator.isValid(null));
}
// RFC2396: domainlabel   = alphanum | alphanum *( alphanum | "-" ) alphanum
public void testRFC2396domainlabel() {
    // use fixed valid TLD
    assertTrue("a.ch should validate", validator.isValid("a.ch"));
    assertTrue("9.ch should validate", validator.isValid("9.ch"));
    assertTrue("az.ch should validate", validator.isValid("az.ch"));
    assertTrue("09.ch should validate", validator.isValid("09.ch"));
    assertTrue("9-1.ch should validate", validator.isValid("9-1.ch"));
    assertFalse("91-.ch should not validate", validator.isValid("91-.ch"));
    assertFalse("-.ch should not validate", validator.isValid("-.ch"));
}</t>
  </si>
  <si>
    <t>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</t>
  </si>
  <si>
    <t>public void testInvalidDomains() {
    assertFalse("bare TLD .org shouldn't validate", validator.isValid(".org"));
    assertFalse("domain name with spaces shouldn't validate", validator.isValid(" apache.org "));
    assertFalse("domain name containing spaces shouldn't validate", validator.isValid("apa che.org"));
    assertFalse("domain name starting with dash shouldn't validate", validator.isValid("-testdomain.name"));
    assertFalse("domain name ending with dash shouldn't validate", validator.isValid("testdomain-.name"));
    assertFalse("domain name starting with multiple dashes shouldn't validate", validator.isValid("---c.com"));
    assertFalse("domain name ending with multiple dashes shouldn't validate", validator.isValid("c--.com"));
    assertFalse("domain name with invalid TLD shouldn't validate", validator.isValid("apache.rog"));
    assertFalse("URL shouldn't validate", validator.isValid("http://www.apache.org"));
    assertFalse("Empty string shouldn't validate as domain name", validator.isValid(" "));
    assertFalse("Null shouldn't validate as domain name", validator.isValid(null));
}
public void testValidator297() {
    // This uses a valid TLD
    assertTrue("xn--d1abbgf6aiiy.xn--p1ai should validate", validator.isValid("xn--d1abbgf6aiiy.xn--p1ai"));
}</t>
  </si>
  <si>
    <t>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[org/apache/commons/validator/routines/DomainValidator.isValid]</t>
  </si>
  <si>
    <t>public void testInvalidDomains() {
    assertFalse("bare TLD .org shouldn't validate", validator.isValid(".org"));
    assertFalse("domain name with spaces shouldn't validate", validator.isValid(" apache.org "));
    assertFalse("domain name containing spaces shouldn't validate", validator.isValid("apa che.org"));
    assertFalse("domain name starting with dash shouldn't validate", validator.isValid("-testdomain.name"));
    assertFalse("domain name ending with dash shouldn't validate", validator.isValid("testdomain-.name"));
    assertFalse("domain name starting with multiple dashes shouldn't validate", validator.isValid("---c.com"));
    assertFalse("domain name ending with multiple dashes shouldn't validate", validator.isValid("c--.com"));
    assertFalse("domain name with invalid TLD shouldn't validate", validator.isValid("apache.rog"));
    assertFalse("URL shouldn't validate", validator.isValid("http://www.apache.org"));
    assertFalse("Empty string shouldn't validate as domain name", validator.isValid(" "));
    assertFalse("Null shouldn't validate as domain name", validator.isValid(null));
}
public void testIDN() {
    assertTrue("b\u00fccher.ch in IDN should validate", validator.isValid("www.xn--bcher-kva.ch"));
}</t>
  </si>
  <si>
    <t>public void testIDN() {
    assertTrue("b\u00fccher.ch in IDN should validate", validator.isValid("www.xn--bcher-kva.ch"));
}
// RFC2396: domainlabel   = alphanum | alphanum *( alphanum | "-" ) alphanum
public void testRFC2396domainlabel() {
    // use fixed valid TLD
    assertTrue("a.ch should validate", validator.isValid("a.ch"));
    assertTrue("9.ch should validate", validator.isValid("9.ch"));
    assertTrue("az.ch should validate", validator.isValid("az.ch"));
    assertTrue("09.ch should validate", validator.isValid("09.ch"));
    assertTrue("9-1.ch should validate", validator.isValid("9-1.ch"));
    assertFalse("91-.ch should not validate", validator.isValid("91-.ch"));
    assertFalse("-.ch should not validate", validator.isValid("-.ch"));
}</t>
  </si>
  <si>
    <t>[org/apache/commons/validator/routines/DomainValidator.isValid]
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</t>
  </si>
  <si>
    <t>// RFC2396: domainlabel   = alphanum | alphanum *( alphanum | "-" ) alphanum
public void testRFC2396domainlabel() {
    // use fixed valid TLD
    assertTrue("a.ch should validate", validator.isValid("a.ch"));
    assertTrue("9.ch should validate", validator.isValid("9.ch"));
    assertTrue("az.ch should validate", validator.isValid("az.ch"));
    assertTrue("09.ch should validate", validator.isValid("09.ch"));
    assertTrue("9-1.ch should validate", validator.isValid("9-1.ch"));
    assertFalse("91-.ch should not validate", validator.isValid("91-.ch"));
    assertFalse("-.ch should not validate", validator.isValid("-.ch"));
}
public void testValidator297() {
    // This uses a valid TLD
    assertTrue("xn--d1abbgf6aiiy.xn--p1ai should validate", validator.isValid("xn--d1abbgf6aiiy.xn--p1ai"));
}</t>
  </si>
  <si>
    <t>// RFC2396 toplabel = alpha | alpha *( alphanum | "-" ) alphanum
public void testRFC2396toplabel() {
    // These tests use non-existent TLDs so currently need to use a package protected method
    assertTrue("a.c (alpha) should validate", validator.isValidDomainSyntax("a.c"));
    assertTrue("a.cc (alpha alpha) should validate", validator.isValidDomainSyntax("a.cc"));
    assertTrue("a.c9 (alpha alphanum) should validate", validator.isValidDomainSyntax("a.c9"));
    assertTrue("a.c-9 (alpha - alphanum) should validate", validator.isValidDomainSyntax("a.c-9"));
    assertTrue("a.c-z (alpha - alpha) should validate", validator.isValidDomainSyntax("a.c-z"));
    assertFalse("a.9c (alphanum alpha) should fail", validator.isValidDomainSyntax("a.9c"));
    assertFalse("a.c- (alpha -) should fail", validator.isValidDomainSyntax("a.c-"));
    assertFalse("a.- (-) should fail", validator.isValidDomainSyntax("a.-"));
    assertFalse("a.-9 (- alphanum) should fail", validator.isValidDomainSyntax("a.-9"));
}
public void testDomainNoDots() {
    // rfc1123
    assertTrue("a (alpha) should validate", validator.isValidDomainSyntax("a"));
    assertTrue("9 (alphanum) should validate", validator.isValidDomainSyntax("9"));
    assertTrue("c-z (alpha - alpha) should validate", validator.isValidDomainSyntax("c-z"));
    assertFalse("c- (alpha -) should fail", validator.isValidDomainSyntax("c-"));
    assertFalse("-c (- alpha) should fail", validator.isValidDomainSyntax("-c"));
    assertFalse("- (-) should fail", validator.isValidDomainSyntax("-"));
}</t>
  </si>
  <si>
    <t>[org/apache/commons/validator/routines/DomainValidator.isValidDomainSyntax,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org/apache/commons/validator/routines/DomainValidator.isValidDomainSyntax]
[org/apache/commons/validator/routines/DomainValidator.isValidDomainSyntax,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org/apache/commons/validator/routines/DomainValidator.isValidDomainSyntax]</t>
  </si>
  <si>
    <t>@Test
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testValidator204() {
    String[] schemes = { "http", "https" };
    UrlValidator urlValidator = new UrlValidator(schemes);
    assertTrue(urlValidator.isValid("http://tech.yahoo.com/rc/desktops/102;_ylt=Ao8yevQHlZ4On0O3ZJGXLEQFLZA5"));
}</t>
  </si>
  <si>
    <t>@Test
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testValidator391OK() {
    String[] schemes = { "file" };
    UrlValidator urlValidator = new UrlValidator(schemes);
    assertTrue(urlValidator.isValid("file:///C:/path/to/dir/"));
}</t>
  </si>
  <si>
    <t>@Test
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testValidator391FAILS() {
    String[] schemes = { "file" };
    UrlValidator urlValidator = new UrlValidator(schemes);
    assertTrue(urlValidator.isValid("file:/C:/path/to/dir/"));
}</t>
  </si>
  <si>
    <t>@Test
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testValidator464() {
    String[] schemes = { "file" };
    UrlValidator urlValidator = new UrlValidator(schemes);
    String fileNAK = "file://bad ^ domain.com/label/test";
    assertFalse(fileNAK, urlValidator.isValid(fileNAK));
}</t>
  </si>
  <si>
    <t>@Test
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testValidator342() {
    UrlValidator urlValidator = new UrlValidator();
    assertTrue(urlValidator.isValid("http://example.rocks/"));
    assertTrue(urlValidator.isValid("http://example.rocks"));
}</t>
  </si>
  <si>
    <t>@Test
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testValidator218() {
    UrlValidator validator = new UrlValidator(UrlValidator.ALLOW_2_SLASHES);
    assertTrue("parentheses should be valid in URLs", validator.isValid("http://somewhere.com/pathxyz/file(1).html"));
}</t>
  </si>
  <si>
    <t>@Test
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@Test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</si>
  <si>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@Test
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testValidator452() {
    UrlValidator urlValidator = new UrlValidator();
    assertTrue(urlValidator.isValid("http://[::FFFF:129.144.52.38]:80/index.html"));
}</t>
  </si>
  <si>
    <t>@Test
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</si>
  <si>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testValidator382() {
    UrlValidator validator = new UrlValidator();
    assertTrue(validator.isValid("ftp://username:password@example.com:8042/over/there/index.dtb?type=animal&amp;name=narwhal#nose"));
}</t>
  </si>
  <si>
    <t>@Test
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testValidator361() {
    UrlValidator validator = new UrlValidator();
    assertTrue(validator.isValid("http://hello.tokyo/"));
}</t>
  </si>
  <si>
    <t>@Test
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</si>
  <si>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</si>
  <si>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</si>
  <si>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org/apache/commons/validator/routines/UrlValidator.isValid]</t>
  </si>
  <si>
    <t>@Test
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</si>
  <si>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@Test
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</si>
  <si>
    <t>@Test
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</si>
  <si>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@Test
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</si>
  <si>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@Test
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</si>
  <si>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@Test
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</t>
  </si>
  <si>
    <t>@Test
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</si>
  <si>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@Test
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</t>
  </si>
  <si>
    <t>@Test
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</si>
  <si>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@Test
public void testValidator204() {
    String[] schemes = { "http", "https" };
    UrlValidator urlValidator = new UrlValidator(schemes);
    assertTrue(urlValidator.isValid("http://tech.yahoo.com/rc/desktops/102;_ylt=Ao8yevQHlZ4On0O3ZJGXLEQFLZA5"));
}
@Test
public void testValidator391OK() {
    String[] schemes = { "file" };
    UrlValidator urlValidator = new UrlValidator(schemes);
    assertTrue(urlValidator.isValid("file:///C:/path/to/dir/"));
}</t>
  </si>
  <si>
    <t>@Test
public void testValidator204() {
    String[] schemes = { "http", "https" };
    UrlValidator urlValidator = new UrlValidator(schemes);
    assertTrue(urlValidator.isValid("http://tech.yahoo.com/rc/desktops/102;_ylt=Ao8yevQHlZ4On0O3ZJGXLEQFLZA5"));
}
@Test
public void testValidator391FAILS() {
    String[] schemes = { "file" };
    UrlValidator urlValidator = new UrlValidator(schemes);
    assertTrue(urlValidator.isValid("file:/C:/path/to/dir/"));
}</t>
  </si>
  <si>
    <t>@Test
public void testValidator204() {
    String[] schemes = { "http", "https" };
    UrlValidator urlValidator = new UrlValidator(schemes);
    assertTrue(urlValidator.isValid("http://tech.yahoo.com/rc/desktops/102;_ylt=Ao8yevQHlZ4On0O3ZJGXLEQFLZA5"));
}
@Test
public void testValidator464() {
    String[] schemes = { "file" };
    UrlValidator urlValidator = new UrlValidator(schemes);
    String fileNAK = "file://bad ^ domain.com/label/test";
    assertFalse(fileNAK, urlValidator.isValid(fileNAK));
}</t>
  </si>
  <si>
    <t>@Test
public void testValidator204() {
    String[] schemes = { "http", "https" };
    UrlValidator urlValidator = new UrlValidator(schemes);
    assertTrue(urlValidator.isValid("http://tech.yahoo.com/rc/desktops/102;_ylt=Ao8yevQHlZ4On0O3ZJGXLEQFLZA5"));
}
@Test
public void testValidator452() {
    UrlValidator urlValidator = new UrlValidator();
    assertTrue(urlValidator.isValid("http://[::FFFF:129.144.52.38]:80/index.html"));
}</t>
  </si>
  <si>
    <t>@Test
public void testValidator204() {
    String[] schemes = { "http", "https" };
    UrlValidator urlValidator = new UrlValidator(schemes);
    assertTrue(urlValidator.isValid("http://tech.yahoo.com/rc/desktops/102;_ylt=Ao8yevQHlZ4On0O3ZJGXLEQFLZA5"));
}
@Test
public void testValidator382() {
    UrlValidator validator = new UrlValidator();
    assertTrue(validator.isValid("ftp://username:password@example.com:8042/over/there/index.dtb?type=animal&amp;name=narwhal#nose"));
}</t>
  </si>
  <si>
    <t>@Test
public void testValidator204() {
    String[] schemes = { "http", "https" };
    UrlValidator urlValidator = new UrlValidator(schemes);
    assertTrue(urlValidator.isValid("http://tech.yahoo.com/rc/desktops/102;_ylt=Ao8yevQHlZ4On0O3ZJGXLEQFLZA5"));
}
@Test
public void testValidator361() {
    UrlValidator validator = new UrlValidator();
    assertTrue(validator.isValid("http://hello.tokyo/"));
}</t>
  </si>
  <si>
    <t>@Test
public void testValidator204() {
    String[] schemes = { "http", "https" };
    UrlValidator urlValidator = new UrlValidator(schemes);
    assertTrue(urlValidator.isValid("http://tech.yahoo.com/rc/desktops/102;_ylt=Ao8yevQHlZ4On0O3ZJGXLEQFLZA5"));
}
@Test
public void testValidator342() {
    UrlValidator urlValidator = new UrlValidator();
    assertTrue(urlValidator.isValid("http://example.rocks/"));
    assertTrue(urlValidator.isValid("http://example.rocks"));
}</t>
  </si>
  <si>
    <t>@Test
public void testValidator204() {
    String[] schemes = { "http", "https" };
    UrlValidator urlValidator = new UrlValidator(schemes);
    assertTrue(urlValidator.isValid("http://tech.yahoo.com/rc/desktops/102;_ylt=Ao8yevQHlZ4On0O3ZJGXLEQFLZA5"));
}
@Test
public void testValidator218() {
    UrlValidator validator = new UrlValidator(UrlValidator.ALLOW_2_SLASHES);
    assertTrue("parentheses should be valid in URLs", validator.isValid("http://somewhere.com/pathxyz/file(1).html"));
}</t>
  </si>
  <si>
    <t>@Test
public void testValidator204() {
    String[] schemes = { "http", "https" };
    UrlValidator urlValidator = new UrlValidator(schemes);
    assertTrue(urlValidator.isValid("http://tech.yahoo.com/rc/desktops/102;_ylt=Ao8yevQHlZ4On0O3ZJGXLEQFLZA5"));
}
@Test
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</si>
  <si>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testValidator204() {
    String[] schemes = { "http", "https" };
    UrlValidator urlValidator = new UrlValidator(schemes);
    assertTrue(urlValidator.isValid("http://tech.yahoo.com/rc/desktops/102;_ylt=Ao8yevQHlZ4On0O3ZJGXLEQFLZA5"));
}
@Test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</si>
  <si>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@Test
public void testValidator204() {
    String[] schemes = { "http", "https" };
    UrlValidator urlValidator = new UrlValidator(schemes);
    assertTrue(urlValidator.isValid("http://tech.yahoo.com/rc/desktops/102;_ylt=Ao8yevQHlZ4On0O3ZJGXLEQFLZA5"));
}
@Test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</si>
  <si>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testValidator204() {
    String[] schemes = { "http", "https" };
    UrlValidator urlValidator = new UrlValidator(schemes);
    assertTrue(urlValidator.isValid("http://tech.yahoo.com/rc/desktops/102;_ylt=Ao8yevQHlZ4On0O3ZJGXLEQFLZA5"));
}
@Test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</si>
  <si>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testValidator204() {
    String[] schemes = { "http", "https" };
    UrlValidator urlValidator = new UrlValidator(schemes);
    assertTrue(urlValidator.isValid("http://tech.yahoo.com/rc/desktops/102;_ylt=Ao8yevQHlZ4On0O3ZJGXLEQFLZA5"));
}
@Test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</si>
  <si>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@Test
public void testValidator204() {
    String[] schemes = { "http", "https" };
    UrlValidator urlValidator = new UrlValidator(schemes);
    assertTrue(urlValidator.isValid("http://tech.yahoo.com/rc/desktops/102;_ylt=Ao8yevQHlZ4On0O3ZJGXLEQFLZA5"));
}
@Test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</si>
  <si>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@Test
public void testValidator204() {
    String[] schemes = { "http", "https" };
    UrlValidator urlValidator = new UrlValidator(schemes);
    assertTrue(urlValidator.isValid("http://tech.yahoo.com/rc/desktops/102;_ylt=Ao8yevQHlZ4On0O3ZJGXLEQFLZA5"));
}
@Test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</si>
  <si>
    <t>@Test
public void testValidator204() {
    String[] schemes = { "http", "https" };
    UrlValidator urlValidator = new UrlValidator(schemes);
    assertTrue(urlValidator.isValid("http://tech.yahoo.com/rc/desktops/102;_ylt=Ao8yevQHlZ4On0O3ZJGXLEQFLZA5"));
}
@Test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</si>
  <si>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@Test
public void testValidator204() {
    String[] schemes = { "http", "https" };
    UrlValidator urlValidator = new UrlValidator(schemes);
    assertTrue(urlValidator.isValid("http://tech.yahoo.com/rc/desktops/102;_ylt=Ao8yevQHlZ4On0O3ZJGXLEQFLZA5"));
}
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</si>
  <si>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@Test
public void testValidator204() {
    String[] schemes = { "http", "https" };
    UrlValidator urlValidator = new UrlValidator(schemes);
    assertTrue(urlValidator.isValid("http://tech.yahoo.com/rc/desktops/102;_ylt=Ao8yevQHlZ4On0O3ZJGXLEQFLZA5"));
}
@Test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</si>
  <si>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@Test
public void testValidator204() {
    String[] schemes = { "http", "https" };
    UrlValidator urlValidator = new UrlValidator(schemes);
    assertTrue(urlValidator.isValid("http://tech.yahoo.com/rc/desktops/102;_ylt=Ao8yevQHlZ4On0O3ZJGXLEQFLZA5"));
}
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</t>
  </si>
  <si>
    <t>@Test
public void testValidator204() {
    String[] schemes = { "http", "https" };
    UrlValidator urlValidator = new UrlValidator(schemes);
    assertTrue(urlValidator.isValid("http://tech.yahoo.com/rc/desktops/102;_ylt=Ao8yevQHlZ4On0O3ZJGXLEQFLZA5"));
}
@Test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</si>
  <si>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@Test
public void testValidator204() {
    String[] schemes = { "http", "https" };
    UrlValidator urlValidator = new UrlValidator(schemes);
    assertTrue(urlValidator.isValid("http://tech.yahoo.com/rc/desktops/102;_ylt=Ao8yevQHlZ4On0O3ZJGXLEQFLZA5"));
}
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</t>
  </si>
  <si>
    <t>@Test
public void testValidator204() {
    String[] schemes = { "http", "https" };
    UrlValidator urlValidator = new UrlValidator(schemes);
    assertTrue(urlValidator.isValid("http://tech.yahoo.com/rc/desktops/102;_ylt=Ao8yevQHlZ4On0O3ZJGXLEQFLZA5"));
}
@Test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</si>
  <si>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@Test
public void testValidator218() {
    UrlValidator validator = new UrlValidator(UrlValidator.ALLOW_2_SLASHES);
    assertTrue("parentheses should be valid in URLs", validator.isValid("http://somewhere.com/pathxyz/file(1).html"));
}
@Test
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</si>
  <si>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testValidator218() {
    UrlValidator validator = new UrlValidator(UrlValidator.ALLOW_2_SLASHES);
    assertTrue("parentheses should be valid in URLs", validator.isValid("http://somewhere.com/pathxyz/file(1).html"));
}
@Test
public void testValidator382() {
    UrlValidator validator = new UrlValidator();
    assertTrue(validator.isValid("ftp://username:password@example.com:8042/over/there/index.dtb?type=animal&amp;name=narwhal#nose"));
}</t>
  </si>
  <si>
    <t>@Test
public void testValidator218() {
    UrlValidator validator = new UrlValidator(UrlValidator.ALLOW_2_SLASHES);
    assertTrue("parentheses should be valid in URLs", validator.isValid("http://somewhere.com/pathxyz/file(1).html"));
}
@Test
public void testValidator361() {
    UrlValidator validator = new UrlValidator();
    assertTrue(validator.isValid("http://hello.tokyo/"));
}</t>
  </si>
  <si>
    <t>@Test
public void testValidator218() {
    UrlValidator validator = new UrlValidator(UrlValidator.ALLOW_2_SLASHES);
    assertTrue("parentheses should be valid in URLs", validator.isValid("http://somewhere.com/pathxyz/file(1).html"));
}
@Test
public void testValidator342() {
    UrlValidator urlValidator = new UrlValidator();
    assertTrue(urlValidator.isValid("http://example.rocks/"));
    assertTrue(urlValidator.isValid("http://example.rocks"));
}</t>
  </si>
  <si>
    <t>@Test
public void testValidator218() {
    UrlValidator validator = new UrlValidator(UrlValidator.ALLOW_2_SLASHES);
    assertTrue("parentheses should be valid in URLs", validator.isValid("http://somewhere.com/pathxyz/file(1).html"));
}
@Test
public void testValidator452() {
    UrlValidator urlValidator = new UrlValidator();
    assertTrue(urlValidator.isValid("http://[::FFFF:129.144.52.38]:80/index.html"));
}</t>
  </si>
  <si>
    <t>@Test
public void testValidator218() {
    UrlValidator validator = new UrlValidator(UrlValidator.ALLOW_2_SLASHES);
    assertTrue("parentheses should be valid in URLs", validator.isValid("http://somewhere.com/pathxyz/file(1).html"));
}
@Test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</si>
  <si>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testValidator218() {
    UrlValidator validator = new UrlValidator(UrlValidator.ALLOW_2_SLASHES);
    assertTrue("parentheses should be valid in URLs", validator.isValid("http://somewhere.com/pathxyz/file(1).html"));
}
@Test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</si>
  <si>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testValidator218() {
    UrlValidator validator = new UrlValidator(UrlValidator.ALLOW_2_SLASHES);
    assertTrue("parentheses should be valid in URLs", validator.isValid("http://somewhere.com/pathxyz/file(1).html"));
}
@Test
public void testValidator391OK() {
    String[] schemes = { "file" };
    UrlValidator urlValidator = new UrlValidator(schemes);
    assertTrue(urlValidator.isValid("file:///C:/path/to/dir/"));
}</t>
  </si>
  <si>
    <t>@Test
public void testValidator218() {
    UrlValidator validator = new UrlValidator(UrlValidator.ALLOW_2_SLASHES);
    assertTrue("parentheses should be valid in URLs", validator.isValid("http://somewhere.com/pathxyz/file(1).html"));
}
@Test
public void testValidator391FAILS() {
    String[] schemes = { "file" };
    UrlValidator urlValidator = new UrlValidator(schemes);
    assertTrue(urlValidator.isValid("file:/C:/path/to/dir/"));
}</t>
  </si>
  <si>
    <t>@Test
public void testValidator218() {
    UrlValidator validator = new UrlValidator(UrlValidator.ALLOW_2_SLASHES);
    assertTrue("parentheses should be valid in URLs", validator.isValid("http://somewhere.com/pathxyz/file(1).html"));
}
@Test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</si>
  <si>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@Test
public void testValidator218() {
    UrlValidator validator = new UrlValidator(UrlValidator.ALLOW_2_SLASHES);
    assertTrue("parentheses should be valid in URLs", validator.isValid("http://somewhere.com/pathxyz/file(1).html"));
}
@Test
public void testValidator464() {
    String[] schemes = { "file" };
    UrlValidator urlValidator = new UrlValidator(schemes);
    String fileNAK = "file://bad ^ domain.com/label/test";
    assertFalse(fileNAK, urlValidator.isValid(fileNAK));
}</t>
  </si>
  <si>
    <t>@Test
public void testValidator218() {
    UrlValidator validator = new UrlValidator(UrlValidator.ALLOW_2_SLASHES);
    assertTrue("parentheses should be valid in URLs", validator.isValid("http://somewhere.com/pathxyz/file(1).html"));
}
@Test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</si>
  <si>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@Test
public void testValidator218() {
    UrlValidator validator = new UrlValidator(UrlValidator.ALLOW_2_SLASHES);
    assertTrue("parentheses should be valid in URLs", validator.isValid("http://somewhere.com/pathxyz/file(1).html"));
}
@Test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</si>
  <si>
    <t>@Test
public void testValidator218() {
    UrlValidator validator = new UrlValidator(UrlValidator.ALLOW_2_SLASHES);
    assertTrue("parentheses should be valid in URLs", validator.isValid("http://somewhere.com/pathxyz/file(1).html"));
}
@Test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</si>
  <si>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@Test
public void testValidator218() {
    UrlValidator validator = new UrlValidator(UrlValidator.ALLOW_2_SLASHES);
    assertTrue("parentheses should be valid in URLs", validator.isValid("http://somewhere.com/pathxyz/file(1).html"));
}
@Test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</si>
  <si>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@Test
public void testValidator218() {
    UrlValidator validator = new UrlValidator(UrlValidator.ALLOW_2_SLASHES);
    assertTrue("parentheses should be valid in URLs", validator.isValid("http://somewhere.com/pathxyz/file(1).html"));
}
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</si>
  <si>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@Test
public void testValidator218() {
    UrlValidator validator = new UrlValidator(UrlValidator.ALLOW_2_SLASHES);
    assertTrue("parentheses should be valid in URLs", validator.isValid("http://somewhere.com/pathxyz/file(1).html"));
}
@Test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</si>
  <si>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@Test
public void testValidator218() {
    UrlValidator validator = new UrlValidator(UrlValidator.ALLOW_2_SLASHES);
    assertTrue("parentheses should be valid in URLs", validator.isValid("http://somewhere.com/pathxyz/file(1).html"));
}
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</t>
  </si>
  <si>
    <t>@Test
public void testValidator218() {
    UrlValidator validator = new UrlValidator(UrlValidator.ALLOW_2_SLASHES);
    assertTrue("parentheses should be valid in URLs", validator.isValid("http://somewhere.com/pathxyz/file(1).html"));
}
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</t>
  </si>
  <si>
    <t>@Test
public void testValidator218() {
    UrlValidator validator = new UrlValidator(UrlValidator.ALLOW_2_SLASHES);
    assertTrue("parentheses should be valid in URLs", validator.isValid("http://somewhere.com/pathxyz/file(1).html"));
}
@Test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</si>
  <si>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@Test
public void testValidator218() {
    UrlValidator validator = new UrlValidator(UrlValidator.ALLOW_2_SLASHES);
    assertTrue("parentheses should be valid in URLs", validator.isValid("http://somewhere.com/pathxyz/file(1).html"));
}
@Test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</si>
  <si>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</si>
  <si>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</si>
  <si>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</si>
  <si>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</si>
  <si>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</si>
  <si>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</si>
  <si>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</si>
  <si>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</si>
  <si>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org/apache/commons/validator/routines/UrlValidator.isValid]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</si>
  <si>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</si>
  <si>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</si>
  <si>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org/apache/commons/validator/routines/UrlValidator."&lt;init&gt;", org/apache/commons/validator/routines/UrlValidator.isValid]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</si>
  <si>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</si>
  <si>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</si>
  <si>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</si>
  <si>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testValidator342() {
    UrlValidator urlValidator = new UrlValidator();
    assertTrue(urlValidator.isValid("http://example.rocks/"));
    assertTrue(urlValidator.isValid("http://example.rocks"));
}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</si>
  <si>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testValidator464() {
    String[] schemes = { "file" };
    UrlValidator urlValidator = new UrlValidator(schemes);
    String fileNAK = "file://bad ^ domain.com/label/test";
    assertFalse(fileNAK, urlValidator.isValid(fileNAK));
}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</si>
  <si>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testValidator391OK() {
    String[] schemes = { "file" };
    UrlValidator urlValidator = new UrlValidator(schemes);
    assertTrue(urlValidator.isValid("file:///C:/path/to/dir/"));
}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</si>
  <si>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testValidator391FAILS() {
    String[] schemes = { "file" };
    UrlValidator urlValidator = new UrlValidator(schemes);
    assertTrue(urlValidator.isValid("file:/C:/path/to/dir/"));
}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</si>
  <si>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testValidator452() {
    UrlValidator urlValidator = new UrlValidator();
    assertTrue(urlValidator.isValid("http://[::FFFF:129.144.52.38]:80/index.html"));
}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</si>
  <si>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testValidator382() {
    UrlValidator validator = new UrlValidator();
    assertTrue(validator.isValid("ftp://username:password@example.com:8042/over/there/index.dtb?type=animal&amp;name=narwhal#nose"));
}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</si>
  <si>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testValidator361() {
    UrlValidator validator = new UrlValidator();
    assertTrue(validator.isValid("http://hello.tokyo/"));
}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</si>
  <si>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</si>
  <si>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</si>
  <si>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</si>
  <si>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</si>
  <si>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</si>
  <si>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</si>
  <si>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</si>
  <si>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</si>
  <si>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org/apache/commons/validator/routines/UrlValidator.isValid]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</si>
  <si>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</si>
  <si>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org/apache/commons/validator/routines/UrlValidator."&lt;init&gt;", org/apache/commons/validator/routines/UrlValidator.isValid]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</si>
  <si>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</si>
  <si>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</si>
  <si>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testValidator342() {
    UrlValidator urlValidator = new UrlValidator();
    assertTrue(urlValidator.isValid("http://example.rocks/"));
    assertTrue(urlValidator.isValid("http://example.rocks"));
}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</si>
  <si>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testValidator464() {
    String[] schemes = { "file" };
    UrlValidator urlValidator = new UrlValidator(schemes);
    String fileNAK = "file://bad ^ domain.com/label/test";
    assertFalse(fileNAK, urlValidator.isValid(fileNAK));
}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</si>
  <si>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</si>
  <si>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testValidator391OK() {
    String[] schemes = { "file" };
    UrlValidator urlValidator = new UrlValidator(schemes);
    assertTrue(urlValidator.isValid("file:///C:/path/to/dir/"));
}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</si>
  <si>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testValidator391FAILS() {
    String[] schemes = { "file" };
    UrlValidator urlValidator = new UrlValidator(schemes);
    assertTrue(urlValidator.isValid("file:/C:/path/to/dir/"));
}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</si>
  <si>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testValidator452() {
    UrlValidator urlValidator = new UrlValidator();
    assertTrue(urlValidator.isValid("http://[::FFFF:129.144.52.38]:80/index.html"));
}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</si>
  <si>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testValidator382() {
    UrlValidator validator = new UrlValidator();
    assertTrue(validator.isValid("ftp://username:password@example.com:8042/over/there/index.dtb?type=animal&amp;name=narwhal#nose"));
}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</si>
  <si>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testValidator361() {
    UrlValidator validator = new UrlValidator();
    assertTrue(validator.isValid("http://hello.tokyo/"));
}</t>
  </si>
  <si>
    <t>@Test
public void testValidator391OK() {
    String[] schemes = { "file" };
    UrlValidator urlValidator = new UrlValidator(schemes);
    assertTrue(urlValidator.isValid("file:///C:/path/to/dir/"));
}
@Test
public void testValidator391FAILS() {
    String[] schemes = { "file" };
    UrlValidator urlValidator = new UrlValidator(schemes);
    assertTrue(urlValidator.isValid("file:/C:/path/to/dir/"));
}</t>
  </si>
  <si>
    <t>@Test
public void testValidator391OK() {
    String[] schemes = { "file" };
    UrlValidator urlValidator = new UrlValidator(schemes);
    assertTrue(urlValidator.isValid("file:///C:/path/to/dir/"));
}
@Test
public void testValidator464() {
    String[] schemes = { "file" };
    UrlValidator urlValidator = new UrlValidator(schemes);
    String fileNAK = "file://bad ^ domain.com/label/test";
    assertFalse(fileNAK, urlValidator.isValid(fileNAK));
}</t>
  </si>
  <si>
    <t>@Test
public void testValidator391OK() {
    String[] schemes = { "file" };
    UrlValidator urlValidator = new UrlValidator(schemes);
    assertTrue(urlValidator.isValid("file:///C:/path/to/dir/"));
}
@Test
public void testValidator452() {
    UrlValidator urlValidator = new UrlValidator();
    assertTrue(urlValidator.isValid("http://[::FFFF:129.144.52.38]:80/index.html"));
}</t>
  </si>
  <si>
    <t>@Test
public void testValidator391OK() {
    String[] schemes = { "file" };
    UrlValidator urlValidator = new UrlValidator(schemes);
    assertTrue(urlValidator.isValid("file:///C:/path/to/dir/"));
}
@Test
public void testValidator361() {
    UrlValidator validator = new UrlValidator();
    assertTrue(validator.isValid("http://hello.tokyo/"));
}</t>
  </si>
  <si>
    <t>@Test
public void testValidator391OK() {
    String[] schemes = { "file" };
    UrlValidator urlValidator = new UrlValidator(schemes);
    assertTrue(urlValidator.isValid("file:///C:/path/to/dir/"));
}
@Test
public void testValidator382() {
    UrlValidator validator = new UrlValidator();
    assertTrue(validator.isValid("ftp://username:password@example.com:8042/over/there/index.dtb?type=animal&amp;name=narwhal#nose"));
}</t>
  </si>
  <si>
    <t>@Test
public void testValidator391OK() {
    String[] schemes = { "file" };
    UrlValidator urlValidator = new UrlValidator(schemes);
    assertTrue(urlValidator.isValid("file:///C:/path/to/dir/"));
}
@Test
public void testValidator342() {
    UrlValidator urlValidator = new UrlValidator();
    assertTrue(urlValidator.isValid("http://example.rocks/"));
    assertTrue(urlValidator.isValid("http://example.rocks"));
}</t>
  </si>
  <si>
    <t>@Test
public void testValidator391OK() {
    String[] schemes = { "file" };
    UrlValidator urlValidator = new UrlValidator(schemes);
    assertTrue(urlValidator.isValid("file:///C:/path/to/dir/"));
}
@Test
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</si>
  <si>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testValidator391OK() {
    String[] schemes = { "file" };
    UrlValidator urlValidator = new UrlValidator(schemes);
    assertTrue(urlValidator.isValid("file:///C:/path/to/dir/"));
}
@Test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</si>
  <si>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testValidator391OK() {
    String[] schemes = { "file" };
    UrlValidator urlValidator = new UrlValidator(schemes);
    assertTrue(urlValidator.isValid("file:///C:/path/to/dir/"));
}
@Test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</si>
  <si>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testValidator391OK() {
    String[] schemes = { "file" };
    UrlValidator urlValidator = new UrlValidator(schemes);
    assertTrue(urlValidator.isValid("file:///C:/path/to/dir/"));
}
@Test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</si>
  <si>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@Test
public void testValidator391OK() {
    String[] schemes = { "file" };
    UrlValidator urlValidator = new UrlValidator(schemes);
    assertTrue(urlValidator.isValid("file:///C:/path/to/dir/"));
}
@Test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</si>
  <si>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@Test
public void testValidator391OK() {
    String[] schemes = { "file" };
    UrlValidator urlValidator = new UrlValidator(schemes);
    assertTrue(urlValidator.isValid("file:///C:/path/to/dir/"));
}
@Test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</si>
  <si>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@Test
public void testValidator391OK() {
    String[] schemes = { "file" };
    UrlValidator urlValidator = new UrlValidator(schemes);
    assertTrue(urlValidator.isValid("file:///C:/path/to/dir/"));
}
@Test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</si>
  <si>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@Test
public void testValidator391OK() {
    String[] schemes = { "file" };
    UrlValidator urlValidator = new UrlValidator(schemes);
    assertTrue(urlValidator.isValid("file:///C:/path/to/dir/"));
}
@Test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</si>
  <si>
    <t>@Test
public void testValidator391OK() {
    String[] schemes = { "file" };
    UrlValidator urlValidator = new UrlValidator(schemes);
    assertTrue(urlValidator.isValid("file:///C:/path/to/dir/"));
}
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</si>
  <si>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@Test
public void testValidator391OK() {
    String[] schemes = { "file" };
    UrlValidator urlValidator = new UrlValidator(schemes);
    assertTrue(urlValidator.isValid("file:///C:/path/to/dir/"));
}
@Test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</si>
  <si>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@Test
public void testValidator391OK() {
    String[] schemes = { "file" };
    UrlValidator urlValidator = new UrlValidator(schemes);
    assertTrue(urlValidator.isValid("file:///C:/path/to/dir/"));
}
@Test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</si>
  <si>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@Test
public void testValidator391OK() {
    String[] schemes = { "file" };
    UrlValidator urlValidator = new UrlValidator(schemes);
    assertTrue(urlValidator.isValid("file:///C:/path/to/dir/"));
}
@Test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</si>
  <si>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@Test
public void testValidator391FAILS() {
    String[] schemes = { "file" };
    UrlValidator urlValidator = new UrlValidator(schemes);
    assertTrue(urlValidator.isValid("file:/C:/path/to/dir/"));
}
@Test
public void testValidator464() {
    String[] schemes = { "file" };
    UrlValidator urlValidator = new UrlValidator(schemes);
    String fileNAK = "file://bad ^ domain.com/label/test";
    assertFalse(fileNAK, urlValidator.isValid(fileNAK));
}</t>
  </si>
  <si>
    <t>@Test
public void testValidator391FAILS() {
    String[] schemes = { "file" };
    UrlValidator urlValidator = new UrlValidator(schemes);
    assertTrue(urlValidator.isValid("file:/C:/path/to/dir/"));
}
@Test
public void testValidator452() {
    UrlValidator urlValidator = new UrlValidator();
    assertTrue(urlValidator.isValid("http://[::FFFF:129.144.52.38]:80/index.html"));
}</t>
  </si>
  <si>
    <t>@Test
public void testValidator391FAILS() {
    String[] schemes = { "file" };
    UrlValidator urlValidator = new UrlValidator(schemes);
    assertTrue(urlValidator.isValid("file:/C:/path/to/dir/"));
}
@Test
public void testValidator361() {
    UrlValidator validator = new UrlValidator();
    assertTrue(validator.isValid("http://hello.tokyo/"));
}</t>
  </si>
  <si>
    <t>@Test
public void testValidator391FAILS() {
    String[] schemes = { "file" };
    UrlValidator urlValidator = new UrlValidator(schemes);
    assertTrue(urlValidator.isValid("file:/C:/path/to/dir/"));
}
@Test
public void testValidator382() {
    UrlValidator validator = new UrlValidator();
    assertTrue(validator.isValid("ftp://username:password@example.com:8042/over/there/index.dtb?type=animal&amp;name=narwhal#nose"));
}</t>
  </si>
  <si>
    <t>@Test
public void testValidator391FAILS() {
    String[] schemes = { "file" };
    UrlValidator urlValidator = new UrlValidator(schemes);
    assertTrue(urlValidator.isValid("file:/C:/path/to/dir/"));
}
@Test
public void testValidator342() {
    UrlValidator urlValidator = new UrlValidator();
    assertTrue(urlValidator.isValid("http://example.rocks/"));
    assertTrue(urlValidator.isValid("http://example.rocks"));
}</t>
  </si>
  <si>
    <t>@Test
public void testValidator391FAILS() {
    String[] schemes = { "file" };
    UrlValidator urlValidator = new UrlValidator(schemes);
    assertTrue(urlValidator.isValid("file:/C:/path/to/dir/"));
}
@Test
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</si>
  <si>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testValidator391FAILS() {
    String[] schemes = { "file" };
    UrlValidator urlValidator = new UrlValidator(schemes);
    assertTrue(urlValidator.isValid("file:/C:/path/to/dir/"));
}
@Test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</si>
  <si>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testValidator391FAILS() {
    String[] schemes = { "file" };
    UrlValidator urlValidator = new UrlValidator(schemes);
    assertTrue(urlValidator.isValid("file:/C:/path/to/dir/"));
}
@Test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</si>
  <si>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testValidator391FAILS() {
    String[] schemes = { "file" };
    UrlValidator urlValidator = new UrlValidator(schemes);
    assertTrue(urlValidator.isValid("file:/C:/path/to/dir/"));
}
@Test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</si>
  <si>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@Test
public void testValidator391FAILS() {
    String[] schemes = { "file" };
    UrlValidator urlValidator = new UrlValidator(schemes);
    assertTrue(urlValidator.isValid("file:/C:/path/to/dir/"));
}
@Test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</si>
  <si>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@Test
public void testValidator391FAILS() {
    String[] schemes = { "file" };
    UrlValidator urlValidator = new UrlValidator(schemes);
    assertTrue(urlValidator.isValid("file:/C:/path/to/dir/"));
}
@Test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</si>
  <si>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@Test
public void testValidator391FAILS() {
    String[] schemes = { "file" };
    UrlValidator urlValidator = new UrlValidator(schemes);
    assertTrue(urlValidator.isValid("file:/C:/path/to/dir/"));
}
@Test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</si>
  <si>
    <t>@Test
public void testValidator391FAILS() {
    String[] schemes = { "file" };
    UrlValidator urlValidator = new UrlValidator(schemes);
    assertTrue(urlValidator.isValid("file:/C:/path/to/dir/"));
}
@Test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</si>
  <si>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@Test
public void testValidator391FAILS() {
    String[] schemes = { "file" };
    UrlValidator urlValidator = new UrlValidator(schemes);
    assertTrue(urlValidator.isValid("file:/C:/path/to/dir/"));
}
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</si>
  <si>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@Test
public void testValidator391FAILS() {
    String[] schemes = { "file" };
    UrlValidator urlValidator = new UrlValidator(schemes);
    assertTrue(urlValidator.isValid("file:/C:/path/to/dir/"));
}
@Test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</si>
  <si>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@Test
public void testValidator391FAILS() {
    String[] schemes = { "file" };
    UrlValidator urlValidator = new UrlValidator(schemes);
    assertTrue(urlValidator.isValid("file:/C:/path/to/dir/"));
}
@Test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</si>
  <si>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@Test
public void testValidator391FAILS() {
    String[] schemes = { "file" };
    UrlValidator urlValidator = new UrlValidator(schemes);
    assertTrue(urlValidator.isValid("file:/C:/path/to/dir/"));
}
@Test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</si>
  <si>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@Test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</si>
  <si>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@Test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</si>
  <si>
    <t>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@Test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</si>
  <si>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@Test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</si>
  <si>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@Test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</si>
  <si>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org/apache/commons/validator/routines/UrlValidator.isValid]</t>
  </si>
  <si>
    <t>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@Test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</si>
  <si>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@Test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</si>
  <si>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@Test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</si>
  <si>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@Test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</si>
  <si>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org/apache/commons/validator/routines/UrlValidator."&lt;init&gt;", org/apache/commons/validator/routines/UrlValidator.isValid]</t>
  </si>
  <si>
    <t>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@Test
public void testValidator342() {
    UrlValidator urlValidator = new UrlValidator();
    assertTrue(urlValidator.isValid("http://example.rocks/"));
    assertTrue(urlValidator.isValid("http://example.rocks"));
}</t>
  </si>
  <si>
    <t>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@Test
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</si>
  <si>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@Test
public void testValidator464() {
    String[] schemes = { "file" };
    UrlValidator urlValidator = new UrlValidator(schemes);
    String fileNAK = "file://bad ^ domain.com/label/test";
    assertFalse(fileNAK, urlValidator.isValid(fileNAK));
}</t>
  </si>
  <si>
    <t>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@Test
public void testValidator452() {
    UrlValidator urlValidator = new UrlValidator();
    assertTrue(urlValidator.isValid("http://[::FFFF:129.144.52.38]:80/index.html"));
}</t>
  </si>
  <si>
    <t>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@Test
public void testValidator382() {
    UrlValidator validator = new UrlValidator();
    assertTrue(validator.isValid("ftp://username:password@example.com:8042/over/there/index.dtb?type=animal&amp;name=narwhal#nose"));
}</t>
  </si>
  <si>
    <t>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@Test
public void testValidator361() {
    UrlValidator validator = new UrlValidator();
    assertTrue(validator.isValid("http://hello.tokyo/"));
}</t>
  </si>
  <si>
    <t>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@Test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</si>
  <si>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@Test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@Test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</si>
  <si>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@Test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@Test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</si>
  <si>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@Test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@Test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</si>
  <si>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org/apache/commons/validator/routines/UrlValidator.isValid]</t>
  </si>
  <si>
    <t>@Test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@Test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</si>
  <si>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@Test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</si>
  <si>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@Test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</si>
  <si>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@Test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@Test
public void testValidator342() {
    UrlValidator urlValidator = new UrlValidator();
    assertTrue(urlValidator.isValid("http://example.rocks/"));
    assertTrue(urlValidator.isValid("http://example.rocks"));
}</t>
  </si>
  <si>
    <t>@Test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@Test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</si>
  <si>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org/apache/commons/validator/routines/UrlValidator."&lt;init&gt;", org/apache/commons/validator/routines/UrlValidator.isValid]</t>
  </si>
  <si>
    <t>@Test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@Test
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</si>
  <si>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@Test
public void testValidator464() {
    String[] schemes = { "file" };
    UrlValidator urlValidator = new UrlValidator(schemes);
    String fileNAK = "file://bad ^ domain.com/label/test";
    assertFalse(fileNAK, urlValidator.isValid(fileNAK));
}</t>
  </si>
  <si>
    <t>@Test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@Test
public void testValidator452() {
    UrlValidator urlValidator = new UrlValidator();
    assertTrue(urlValidator.isValid("http://[::FFFF:129.144.52.38]:80/index.html"));
}</t>
  </si>
  <si>
    <t>@Test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@Test
public void testValidator382() {
    UrlValidator validator = new UrlValidator();
    assertTrue(validator.isValid("ftp://username:password@example.com:8042/over/there/index.dtb?type=animal&amp;name=narwhal#nose"));
}</t>
  </si>
  <si>
    <t>@Test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@Test
public void testValidator361() {
    UrlValidator validator = new UrlValidator();
    assertTrue(validator.isValid("http://hello.tokyo/"));
}</t>
  </si>
  <si>
    <t>@Test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@Test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</si>
  <si>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@Test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@Test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</si>
  <si>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@Test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@Test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</si>
  <si>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@Test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@Test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</si>
  <si>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@Test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@Test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</si>
  <si>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@Test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</si>
  <si>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@Test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</si>
  <si>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@Test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@Test
public void testValidator342() {
    UrlValidator urlValidator = new UrlValidator();
    assertTrue(urlValidator.isValid("http://example.rocks/"));
    assertTrue(urlValidator.isValid("http://example.rocks"));
}</t>
  </si>
  <si>
    <t>@Test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@Test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</si>
  <si>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@Test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@Test
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</si>
  <si>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@Test
public void testValidator464() {
    String[] schemes = { "file" };
    UrlValidator urlValidator = new UrlValidator(schemes);
    String fileNAK = "file://bad ^ domain.com/label/test";
    assertFalse(fileNAK, urlValidator.isValid(fileNAK));
}</t>
  </si>
  <si>
    <t>@Test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@Test
public void testValidator452() {
    UrlValidator urlValidator = new UrlValidator();
    assertTrue(urlValidator.isValid("http://[::FFFF:129.144.52.38]:80/index.html"));
}</t>
  </si>
  <si>
    <t>@Test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@Test
public void testValidator382() {
    UrlValidator validator = new UrlValidator();
    assertTrue(validator.isValid("ftp://username:password@example.com:8042/over/there/index.dtb?type=animal&amp;name=narwhal#nose"));
}</t>
  </si>
  <si>
    <t>@Test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@Test
public void testValidator361() {
    UrlValidator validator = new UrlValidator();
    assertTrue(validator.isValid("http://hello.tokyo/"));
}</t>
  </si>
  <si>
    <t>@Test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@Test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</si>
  <si>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@Test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@Test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</si>
  <si>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@Test
public void testValidator342() {
    UrlValidator urlValidator = new UrlValidator();
    assertTrue(urlValidator.isValid("http://example.rocks/"));
    assertTrue(urlValidator.isValid("http://example.rocks"));
}
@Test
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</si>
  <si>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testValidator342() {
    UrlValidator urlValidator = new UrlValidator();
    assertTrue(urlValidator.isValid("http://example.rocks/"));
    assertTrue(urlValidator.isValid("http://example.rocks"));
}
@Test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</si>
  <si>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testValidator342() {
    UrlValidator urlValidator = new UrlValidator();
    assertTrue(urlValidator.isValid("http://example.rocks/"));
    assertTrue(urlValidator.isValid("http://example.rocks"));
}
@Test
public void testValidator452() {
    UrlValidator urlValidator = new UrlValidator();
    assertTrue(urlValidator.isValid("http://[::FFFF:129.144.52.38]:80/index.html"));
}</t>
  </si>
  <si>
    <t>@Test
public void testValidator342() {
    UrlValidator urlValidator = new UrlValidator();
    assertTrue(urlValidator.isValid("http://example.rocks/"));
    assertTrue(urlValidator.isValid("http://example.rocks"));
}
@Test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</si>
  <si>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testValidator342() {
    UrlValidator urlValidator = new UrlValidator();
    assertTrue(urlValidator.isValid("http://example.rocks/"));
    assertTrue(urlValidator.isValid("http://example.rocks"));
}
@Test
public void testValidator382() {
    UrlValidator validator = new UrlValidator();
    assertTrue(validator.isValid("ftp://username:password@example.com:8042/over/there/index.dtb?type=animal&amp;name=narwhal#nose"));
}</t>
  </si>
  <si>
    <t>@Test
public void testValidator342() {
    UrlValidator urlValidator = new UrlValidator();
    assertTrue(urlValidator.isValid("http://example.rocks/"));
    assertTrue(urlValidator.isValid("http://example.rocks"));
}
@Test
public void testValidator361() {
    UrlValidator validator = new UrlValidator();
    assertTrue(validator.isValid("http://hello.tokyo/"));
}</t>
  </si>
  <si>
    <t>@Test
public void testValidator342() {
    UrlValidator urlValidator = new UrlValidator();
    assertTrue(urlValidator.isValid("http://example.rocks/"));
    assertTrue(urlValidator.isValid("http://example.rocks"));
}
@Test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</si>
  <si>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[org/apache/commons/validator/routines/UrlValidator."&lt;init&gt;",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org/apache/commons/validator/routines/UrlValidator.isValid]</t>
  </si>
  <si>
    <t>@Test
public void testValidator342() {
    UrlValidator urlValidator = new UrlValidator();
    assertTrue(urlValidator.isValid("http://example.rocks/"));
    assertTrue(urlValidator.isValid("http://example.rocks"));
}
@Test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</si>
  <si>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@Test
public void testValidator342() {
    UrlValidator urlValidator = new UrlValidator();
    assertTrue(urlValidator.isValid("http://example.rocks/"));
    assertTrue(urlValidator.isValid("http://example.rocks"));
}
@Test
public void testValidator464() {
    String[] schemes = { "file" };
    UrlValidator urlValidator = new UrlValidator(schemes);
    String fileNAK = "file://bad ^ domain.com/label/test";
    assertFalse(fileNAK, urlValidator.isValid(fileNAK));
}</t>
  </si>
  <si>
    <t>@Test
public void testValidator342() {
    UrlValidator urlValidator = new UrlValidator();
    assertTrue(urlValidator.isValid("http://example.rocks/"));
    assertTrue(urlValidator.isValid("http://example.rocks"));
}
@Test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</si>
  <si>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@Test
public void testValidator342() {
    UrlValidator urlValidator = new UrlValidator();
    assertTrue(urlValidator.isValid("http://example.rocks/"));
    assertTrue(urlValidator.isValid("http://example.rocks"));
}
@Test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</si>
  <si>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@Test
public void testValidator342() {
    UrlValidator urlValidator = new UrlValidator();
    assertTrue(urlValidator.isValid("http://example.rocks/"));
    assertTrue(urlValidator.isValid("http://example.rocks"));
}
@Test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</si>
  <si>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@Test
public void testValidator342() {
    UrlValidator urlValidator = new UrlValidator();
    assertTrue(urlValidator.isValid("http://example.rocks/"));
    assertTrue(urlValidator.isValid("http://example.rocks"));
}
@Test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</si>
  <si>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@Test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
@Test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</si>
  <si>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@Test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
@Test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</si>
  <si>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
@Test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</si>
  <si>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
@Test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</si>
  <si>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@Test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
@Test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</si>
  <si>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@Test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
@Test
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</si>
  <si>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
@Test
public void testValidator464() {
    String[] schemes = { "file" };
    UrlValidator urlValidator = new UrlValidator(schemes);
    String fileNAK = "file://bad ^ domain.com/label/test";
    assertFalse(fileNAK, urlValidator.isValid(fileNAK));
}</t>
  </si>
  <si>
    <t>@Test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
@Test
public void testValidator452() {
    UrlValidator urlValidator = new UrlValidator();
    assertTrue(urlValidator.isValid("http://[::FFFF:129.144.52.38]:80/index.html"));
}</t>
  </si>
  <si>
    <t>@Test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
@Test
public void testValidator361() {
    UrlValidator validator = new UrlValidator();
    assertTrue(validator.isValid("http://hello.tokyo/"));
}</t>
  </si>
  <si>
    <t>@Test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
@Test
public void testValidator382() {
    UrlValidator validator = new UrlValidator();
    assertTrue(validator.isValid("ftp://username:password@example.com:8042/over/there/index.dtb?type=animal&amp;name=narwhal#nose"));
}</t>
  </si>
  <si>
    <t>@Test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
@Test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</si>
  <si>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@Test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
@Test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</si>
  <si>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@Test
public void testValidator464() {
    String[] schemes = { "file" };
    UrlValidator urlValidator = new UrlValidator(schemes);
    String fileNAK = "file://bad ^ domain.com/label/test";
    assertFalse(fileNAK, urlValidator.isValid(fileNAK));
}
@Test
public void testValidator452() {
    UrlValidator urlValidator = new UrlValidator();
    assertTrue(urlValidator.isValid("http://[::FFFF:129.144.52.38]:80/index.html"));
}</t>
  </si>
  <si>
    <t>@Test
public void testValidator464() {
    String[] schemes = { "file" };
    UrlValidator urlValidator = new UrlValidator(schemes);
    String fileNAK = "file://bad ^ domain.com/label/test";
    assertFalse(fileNAK, urlValidator.isValid(fileNAK));
}
@Test
public void testValidator361() {
    UrlValidator validator = new UrlValidator();
    assertTrue(validator.isValid("http://hello.tokyo/"));
}</t>
  </si>
  <si>
    <t>@Test
public void testValidator464() {
    String[] schemes = { "file" };
    UrlValidator urlValidator = new UrlValidator(schemes);
    String fileNAK = "file://bad ^ domain.com/label/test";
    assertFalse(fileNAK, urlValidator.isValid(fileNAK));
}
@Test
public void testValidator382() {
    UrlValidator validator = new UrlValidator();
    assertTrue(validator.isValid("ftp://username:password@example.com:8042/over/there/index.dtb?type=animal&amp;name=narwhal#nose"));
}</t>
  </si>
  <si>
    <t>@Test
public void testValidator464() {
    String[] schemes = { "file" };
    UrlValidator urlValidator = new UrlValidator(schemes);
    String fileNAK = "file://bad ^ domain.com/label/test";
    assertFalse(fileNAK, urlValidator.isValid(fileNAK));
}
@Test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</si>
  <si>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@Test
public void testValidator464() {
    String[] schemes = { "file" };
    UrlValidator urlValidator = new UrlValidator(schemes);
    String fileNAK = "file://bad ^ domain.com/label/test";
    assertFalse(fileNAK, urlValidator.isValid(fileNAK));
}
@Test
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</si>
  <si>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testValidator464() {
    String[] schemes = { "file" };
    UrlValidator urlValidator = new UrlValidator(schemes);
    String fileNAK = "file://bad ^ domain.com/label/test";
    assertFalse(fileNAK, urlValidator.isValid(fileNAK));
}
@Test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</si>
  <si>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@Test
public void testValidator464() {
    String[] schemes = { "file" };
    UrlValidator urlValidator = new UrlValidator(schemes);
    String fileNAK = "file://bad ^ domain.com/label/test";
    assertFalse(fileNAK, urlValidator.isValid(fileNAK));
}
@Test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</si>
  <si>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testValidator464() {
    String[] schemes = { "file" };
    UrlValidator urlValidator = new UrlValidator(schemes);
    String fileNAK = "file://bad ^ domain.com/label/test";
    assertFalse(fileNAK, urlValidator.isValid(fileNAK));
}
@Test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</si>
  <si>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testValidator464() {
    String[] schemes = { "file" };
    UrlValidator urlValidator = new UrlValidator(schemes);
    String fileNAK = "file://bad ^ domain.com/label/test";
    assertFalse(fileNAK, urlValidator.isValid(fileNAK));
}
@Test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</si>
  <si>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@Test
public void testValidator464() {
    String[] schemes = { "file" };
    UrlValidator urlValidator = new UrlValidator(schemes);
    String fileNAK = "file://bad ^ domain.com/label/test";
    assertFalse(fileNAK, urlValidator.isValid(fileNAK));
}
@Test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</si>
  <si>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@Test
public void testValidator464() {
    String[] schemes = { "file" };
    UrlValidator urlValidator = new UrlValidator(schemes);
    String fileNAK = "file://bad ^ domain.com/label/test";
    assertFalse(fileNAK, urlValidator.isValid(fileNAK));
}
@Test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</si>
  <si>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@Test
public void testValidator452() {
    UrlValidator urlValidator = new UrlValidator();
    assertTrue(urlValidator.isValid("http://[::FFFF:129.144.52.38]:80/index.html"));
}
@Test
public void testValidator382() {
    UrlValidator validator = new UrlValidator();
    assertTrue(validator.isValid("ftp://username:password@example.com:8042/over/there/index.dtb?type=animal&amp;name=narwhal#nose"));
}</t>
  </si>
  <si>
    <t>@Test
public void testValidator452() {
    UrlValidator urlValidator = new UrlValidator();
    assertTrue(urlValidator.isValid("http://[::FFFF:129.144.52.38]:80/index.html"));
}
@Test
public void testValidator361() {
    UrlValidator validator = new UrlValidator();
    assertTrue(validator.isValid("http://hello.tokyo/"));
}</t>
  </si>
  <si>
    <t>@Test
public void testValidator452() {
    UrlValidator urlValidator = new UrlValidator();
    assertTrue(urlValidator.isValid("http://[::FFFF:129.144.52.38]:80/index.html"));
}
@Test
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</si>
  <si>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testValidator452() {
    UrlValidator urlValidator = new UrlValidator();
    assertTrue(urlValidator.isValid("http://[::FFFF:129.144.52.38]:80/index.html"));
}
@Test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</si>
  <si>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testValidator452() {
    UrlValidator urlValidator = new UrlValidator();
    assertTrue(urlValidator.isValid("http://[::FFFF:129.144.52.38]:80/index.html"));
}
@Test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</si>
  <si>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testValidator452() {
    UrlValidator urlValidator = new UrlValidator();
    assertTrue(urlValidator.isValid("http://[::FFFF:129.144.52.38]:80/index.html"));
}
@Test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</si>
  <si>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@Test
public void testValidator452() {
    UrlValidator urlValidator = new UrlValidator();
    assertTrue(urlValidator.isValid("http://[::FFFF:129.144.52.38]:80/index.html"));
}
@Test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</si>
  <si>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@Test
public void testValidator452() {
    UrlValidator urlValidator = new UrlValidator();
    assertTrue(urlValidator.isValid("http://[::FFFF:129.144.52.38]:80/index.html"));
}
@Test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</si>
  <si>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@Test
public void testValidator452() {
    UrlValidator urlValidator = new UrlValidator();
    assertTrue(urlValidator.isValid("http://[::FFFF:129.144.52.38]:80/index.html"));
}
@Test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</si>
  <si>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@Test
public void testValidator452() {
    UrlValidator urlValidator = new UrlValidator();
    assertTrue(urlValidator.isValid("http://[::FFFF:129.144.52.38]:80/index.html"));
}
@Test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</si>
  <si>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@Test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
@Test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</si>
  <si>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@Test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
@Test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</si>
  <si>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@Test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
@Test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</si>
  <si>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org/apache/commons/validator/routines/UrlValidator.isValid]</t>
  </si>
  <si>
    <t>@Test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
@Test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</si>
  <si>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org/apache/commons/validator/routines/UrlValidator."&lt;init&gt;", org/apache/commons/validator/routines/UrlValidator.isValid]</t>
  </si>
  <si>
    <t>@Test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
@Test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</si>
  <si>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
@Test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</si>
  <si>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
@Test
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</si>
  <si>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org/apache/commons/validator/routines/UrlValidator.isValid]</t>
  </si>
  <si>
    <t>@Test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
@Test
public void testValidator382() {
    UrlValidator validator = new UrlValidator();
    assertTrue(validator.isValid("ftp://username:password@example.com:8042/over/there/index.dtb?type=animal&amp;name=narwhal#nose"));
}</t>
  </si>
  <si>
    <t>@Test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
@Test
public void testValidator361() {
    UrlValidator validator = new UrlValidator();
    assertTrue(validator.isValid("http://hello.tokyo/"));
}</t>
  </si>
  <si>
    <t>@Test
public void testValidator361() {
    UrlValidator validator = new UrlValidator();
    assertTrue(validator.isValid("http://hello.tokyo/"));
}
@Test
public void testValidator382() {
    UrlValidator validator = new UrlValidator();
    assertTrue(validator.isValid("ftp://username:password@example.com:8042/over/there/index.dtb?type=animal&amp;name=narwhal#nose"));
}</t>
  </si>
  <si>
    <t>@Test
public void testValidator361() {
    UrlValidator validator = new UrlValidator();
    assertTrue(validator.isValid("http://hello.tokyo/"));
}
@Test
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</si>
  <si>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testValidator361() {
    UrlValidator validator = new UrlValidator();
    assertTrue(validator.isValid("http://hello.tokyo/"));
}
@Test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</si>
  <si>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testValidator361() {
    UrlValidator validator = new UrlValidator();
    assertTrue(validator.isValid("http://hello.tokyo/"));
}
@Test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</si>
  <si>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testValidator361() {
    UrlValidator validator = new UrlValidator();
    assertTrue(validator.isValid("http://hello.tokyo/"));
}
@Test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</si>
  <si>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@Test
public void testValidator361() {
    UrlValidator validator = new UrlValidator();
    assertTrue(validator.isValid("http://hello.tokyo/"));
}
@Test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</si>
  <si>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@Test
public void testValidator361() {
    UrlValidator validator = new UrlValidator();
    assertTrue(validator.isValid("http://hello.tokyo/"));
}
@Test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</si>
  <si>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@Test
public void testValidator361() {
    UrlValidator validator = new UrlValidator();
    assertTrue(validator.isValid("http://hello.tokyo/"));
}
@Test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</si>
  <si>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@Test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
@Test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</si>
  <si>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@Test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
@Test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</si>
  <si>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org/apache/commons/validator/routines/UrlValidator.isValid]</t>
  </si>
  <si>
    <t>@Test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
@Test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</si>
  <si>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org/apache/commons/validator/routines/UrlValidator."&lt;init&gt;", org/apache/commons/validator/routines/UrlValidator.isValid]</t>
  </si>
  <si>
    <t>@Test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
@Test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</si>
  <si>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
@Test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</si>
  <si>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
@Test
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</si>
  <si>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org/apache/commons/validator/routines/UrlValidator.isValid]</t>
  </si>
  <si>
    <t>@Test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
@Test
public void testValidator382() {
    UrlValidator validator = new UrlValidator();
    assertTrue(validator.isValid("ftp://username:password@example.com:8042/over/there/index.dtb?type=animal&amp;name=narwhal#nose"));
}</t>
  </si>
  <si>
    <t>@Test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
@Test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</si>
  <si>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org/apache/commons/validator/routines/UrlValidator.isValid]</t>
  </si>
  <si>
    <t>@Test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
@Test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</si>
  <si>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
@Test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</si>
  <si>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
@Test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</si>
  <si>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org/apache/commons/validator/routines/UrlValidator."&lt;init&gt;", org/apache/commons/validator/routines/UrlValidator.isValid]</t>
  </si>
  <si>
    <t>@Test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
@Test
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</si>
  <si>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org/apache/commons/validator/routines/UrlValidator.isValid]</t>
  </si>
  <si>
    <t>@Test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
@Test
public void testValidator382() {
    UrlValidator validator = new UrlValidator();
    assertTrue(validator.isValid("ftp://username:password@example.com:8042/over/there/index.dtb?type=animal&amp;name=narwhal#nose"));
}</t>
  </si>
  <si>
    <t>@Test
public void testValidator382() {
    UrlValidator validator = new UrlValidator();
    assertTrue(validator.isValid("ftp://username:password@example.com:8042/over/there/index.dtb?type=animal&amp;name=narwhal#nose"));
}
@Test
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</si>
  <si>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testValidator382() {
    UrlValidator validator = new UrlValidator();
    assertTrue(validator.isValid("ftp://username:password@example.com:8042/over/there/index.dtb?type=animal&amp;name=narwhal#nose"));
}
@Test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</si>
  <si>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testValidator382() {
    UrlValidator validator = new UrlValidator();
    assertTrue(validator.isValid("ftp://username:password@example.com:8042/over/there/index.dtb?type=animal&amp;name=narwhal#nose"));
}
@Test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</si>
  <si>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testValidator382() {
    UrlValidator validator = new UrlValidator();
    assertTrue(validator.isValid("ftp://username:password@example.com:8042/over/there/index.dtb?type=animal&amp;name=narwhal#nose"));
}
@Test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</si>
  <si>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@Test
public void testValidator382() {
    UrlValidator validator = new UrlValidator();
    assertTrue(validator.isValid("ftp://username:password@example.com:8042/over/there/index.dtb?type=animal&amp;name=narwhal#nose"));
}
@Test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</si>
  <si>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@Test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
@Test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</si>
  <si>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
@Test
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</si>
  <si>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[org/apache/commons/validator/routines/UrlValidator."&lt;init&gt;",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org/apache/commons/validator/routines/UrlValidator.isValid]</t>
  </si>
  <si>
    <t>@Test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
@Test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</si>
  <si>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[org/apache/commons/validator/routines/UrlValidator."&lt;init&gt;",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org/apache/commons/validator/routines/UrlValidator.isValid]</t>
  </si>
  <si>
    <t>@Test
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
@Test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</si>
  <si>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[org/apache/commons/validator/routines/UrlValidator."&lt;init&gt;",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org/apache/commons/validator/routines/UrlValidator."&lt;init&gt;", org/apache/commons/validator/routines/UrlValidator.isValid]</t>
  </si>
  <si>
    <t>@Test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
@Test
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</si>
  <si>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
@Test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</si>
  <si>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@Test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
@Test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</si>
  <si>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@Test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
@Test
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</si>
  <si>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org/apache/commons/validator/routines/UrlValidator.isValid]</t>
  </si>
  <si>
    <t>@Test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
@Test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</si>
  <si>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org/apache/commons/validator/routines/UrlValidator."&lt;init&gt;", org/apache/commons/validator/routines/UrlValidator.isValid]</t>
  </si>
  <si>
    <t>@Test
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
@Test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</si>
  <si>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/**
 * Tests the e-mail validation.
 */
public void testEmail() throws ValidatorException {
    // Create bean to run test on.
    ValueBean info = new ValueBean();
    info.setValue("jsmith@apache.org");
    valueTest(info, true);
}
/**
 * Tests the e-mail validation with a dot at the end of
 * the address.
 */
public void testEmailWithDotEnd() throws ValidatorException {
    // Create bean to run test on.
    ValueBean info = new ValueBean();
    info.setValue("andy.noble@data-workshop.com.");
    valueTest(info, false);
}</t>
  </si>
  <si>
    <t>/**
 * Tests the e-mail validation.
 */
public void testEmail() throws ValidatorException {
    // Create bean to run test on.
    ValueBean info = new ValueBean();
    info.setValue("jsmith@apache.org");
    valueTest(info, true);
}
/**
 * Test that @localhost and @localhost.localdomain
 *  addresses aren't declared valid by default
 */
public void testEmailLocalhost() throws ValidatorException {
    ValueBean info = new ValueBean();
    info.setValue("joe@localhost");
    valueTest(info, false);
    info.setValue("joe@localhost.localdomain");
    valueTest(info, false);
}</t>
  </si>
  <si>
    <t>[org/apache/commons/validator/ValueBean."&lt;init&gt;", org/apache/commons/validator/ValueBean.setValue, .valueTest]
[org/apache/commons/validator/ValueBean."&lt;init&gt;", org/apache/commons/validator/ValueBean.setValue, .valueTest, org/apache/commons/validator/ValueBean.setValue, .valueTest]</t>
  </si>
  <si>
    <t>/**
 * Tests the e-mail validation.
 */
public void testEmail() throws ValidatorException {
    // Create bean to run test on.
    ValueBean info = new ValueBean();
    info.setValue("jsmith@apache.org");
    valueTest(info, true);
}
/**
 * Tests the email validation with numeric domains.
 */
public void testEmailWithNumericAddress() throws ValidatorException {
    ValueBean info = new ValueBean();
    info.setValue("someone@[216.109.118.76]");
    valueTest(info, true);
    info.setValue("someone@yahoo.com");
    valueTest(info, true);
}</t>
  </si>
  <si>
    <t>/**
 * Tests the e-mail validation.
 */
public void testEmail() throws ValidatorException {
    // Create bean to run test on.
    ValueBean info = new ValueBean();
    info.setValue("jsmith@apache.org");
    valueTest(info, true);
}
/**
 * Tests the email validation with commas.
 */
public void testEmailWithCommas() throws ValidatorException {
    ValueBean info = new ValueBean();
    info.setValue("joeblow@apa,che.org");
    valueTest(info, false);
    info.setValue("joeblow@apache.o,rg");
    valueTest(info, false);
    info.setValue("joeblow@apache,org");
    valueTest(info, false);
}</t>
  </si>
  <si>
    <t>[org/apache/commons/validator/ValueBean."&lt;init&gt;", org/apache/commons/validator/ValueBean.setValue, .valueTest]
[org/apache/commons/validator/ValueBean."&lt;init&gt;", org/apache/commons/validator/ValueBean.setValue, .valueTest, org/apache/commons/validator/ValueBean.setValue, .valueTest, org/apache/commons/validator/ValueBean.setValue, .valueTest]</t>
  </si>
  <si>
    <t>/**
 * Tests the e-mail validation.
 */
public void testEmail() throws ValidatorException {
    // Create bean to run test on.
    ValueBean info = new ValueBean();
    info.setValue("jsmith@apache.org");
    valueTest(info, true);
}
/**
 * &lt;p&gt;Tests the e-mail validation with a dash in
 * the address.&lt;/p&gt;
 */
public void testEmailWithDash() throws ValidatorException {
    // Create bean to run test on.
    ValueBean info = new ValueBean();
    info.setValue("andy.noble@data-workshop.com");
    valueTest(info, true);
    info.setValue("andy-noble@data-workshop.-com");
    valueTest(info, false);
    info.setValue("andy-noble@data-workshop.c-om");
    valueTest(info, false);
    info.setValue("andy-noble@data-workshop.co-m");
    valueTest(info, false);
}</t>
  </si>
  <si>
    <t>[org/apache/commons/validator/ValueBean."&lt;init&gt;", org/apache/commons/validator/ValueBean.setValue, .valueTest]
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.valueTest]</t>
  </si>
  <si>
    <t>/**
 * Tests the e-mail validation.
 */
public void testEmail() throws ValidatorException {
    // Create bean to run test on.
    ValueBean info = new ValueBean();
    info.setValue("jsmith@apache.org");
    valueTest(info, true);
}
/**
 * Tests the e-mail validation with an RCS-noncompliant character in
 * the address.
 */
public void testEmailWithBogusCharacter() throws ValidatorException {
    // Create bean to run test on.
    ValueBean info = new ValueBean();
    info.setValue("andy.noble@\u008fdata-workshop.com");
    valueTest(info, false);
    // The ' character is valid in an email username.
    info.setValue("andy.o'reilly@data-workshop.com");
    valueTest(info, true);
    // But not in the domain name.
    info.setValue("andy@o'reilly.data-workshop.com");
    valueTest(info, false);
    info.setValue("foo+bar@i.am.not.in.us.example.com");
    valueTest(info, true);
}</t>
  </si>
  <si>
    <t>/**
 * Tests the e-mail validation.
 */
public void testEmail() throws ValidatorException {
    // Create bean to run test on.
    ValueBean info = new ValueBean();
    info.setValue("jsmith@apache.org");
    valueTest(info, true);
}
/**
 * Tests the email validation with spaces.
 */
public void testEmailWithSpaces() throws ValidatorException {
    ValueBean info = new ValueBean();
    info.setValue("joeblow @apache.org");
    valueTest(info, false);
    info.setValue("joeblow@ apache.org");
    valueTest(info, false);
    info.setValue(" joeblow@apache.org");
    valueTest(info, false);
    info.setValue("joeblow@apache.org ");
    valueTest(info, false);
    info.setValue("joe blow@apache.org ");
    valueTest(info, false);
    info.setValue("joeblow@apa che.org ");
    valueTest(info, false);
    info.setValue("\"joe blow\"@apache.org");
    valueTest(info, true);
}</t>
  </si>
  <si>
    <t>[org/apache/commons/validator/ValueBean."&lt;init&gt;", org/apache/commons/validator/ValueBean.setValue, .valueTest]
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.valueTest]</t>
  </si>
  <si>
    <t>/**
 * Tests the e-mail validation.
 */
public void testEmail() throws ValidatorException {
    // Create bean to run test on.
    ValueBean info = new ValueBean();
    info.setValue("jsmith@apache.org");
    valueTest(info, true);
}
/**
 * Tests the e-mail validation.
 */
public void testEmailExtension() throws ValidatorException {
    // Create bean to run test on.
    ValueBean info = new ValueBean();
    info.setValue("jsmith@apache.org");
    valueTest(info, true);
    info.setValue("jsmith@apache.com");
    valueTest(info, true);
    info.setValue("jsmith@apache.net");
    valueTest(info, true);
    info.setValue("jsmith@apache.info");
    valueTest(info, true);
    info.setValue("jsmith@apache.");
    valueTest(info, false);
    info.setValue("jsmith@apache.c");
    valueTest(info, false);
    info.setValue("someone@yahoo.museum");
    valueTest(info, true);
    info.setValue("someone@yahoo.mu-seum");
    valueTest(info, false);
}</t>
  </si>
  <si>
    <t>[org/apache/commons/validator/ValueBean."&lt;init&gt;", org/apache/commons/validator/ValueBean.setValue, .valueTest]
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.valueTest]</t>
  </si>
  <si>
    <t>/**
 * Tests the email validation with numeric domains.
 */
public void testEmailWithNumericAddress() throws ValidatorException {
    ValueBean info = new ValueBean();
    info.setValue("someone@[216.109.118.76]");
    valueTest(info, true);
    info.setValue("someone@yahoo.com");
    valueTest(info, true);
}
/**
 * Tests the email validation with commas.
 */
public void testEmailWithCommas() throws ValidatorException {
    ValueBean info = new ValueBean();
    info.setValue("joeblow@apa,che.org");
    valueTest(info, false);
    info.setValue("joeblow@apache.o,rg");
    valueTest(info, false);
    info.setValue("joeblow@apache,org");
    valueTest(info, false);
}</t>
  </si>
  <si>
    <t>[org/apache/commons/validator/ValueBean."&lt;init&gt;", org/apache/commons/validator/ValueBean.setValue, .valueTest, org/apache/commons/validator/ValueBean.setValue, .valueTest]
[org/apache/commons/validator/ValueBean."&lt;init&gt;", org/apache/commons/validator/ValueBean.setValue, .valueTest, org/apache/commons/validator/ValueBean.setValue, .valueTest, org/apache/commons/validator/ValueBean.setValue, .valueTest]</t>
  </si>
  <si>
    <t>/**
 * Tests the email validation with numeric domains.
 */
public void testEmailWithNumericAddress() throws ValidatorException {
    ValueBean info = new ValueBean();
    info.setValue("someone@[216.109.118.76]");
    valueTest(info, true);
    info.setValue("someone@yahoo.com");
    valueTest(info, true);
}
/**
 * Tests the e-mail validation with a dot at the end of
 * the address.
 */
public void testEmailWithDotEnd() throws ValidatorException {
    // Create bean to run test on.
    ValueBean info = new ValueBean();
    info.setValue("andy.noble@data-workshop.com.");
    valueTest(info, false);
}</t>
  </si>
  <si>
    <t>/**
 * Tests the email validation with numeric domains.
 */
public void testEmailWithNumericAddress() throws ValidatorException {
    ValueBean info = new ValueBean();
    info.setValue("someone@[216.109.118.76]");
    valueTest(info, true);
    info.setValue("someone@yahoo.com");
    valueTest(info, true);
}
/**
 * Tests the e-mail validation with an RCS-noncompliant character in
 * the address.
 */
public void testEmailWithBogusCharacter() throws ValidatorException {
    // Create bean to run test on.
    ValueBean info = new ValueBean();
    info.setValue("andy.noble@\u008fdata-workshop.com");
    valueTest(info, false);
    // The ' character is valid in an email username.
    info.setValue("andy.o'reilly@data-workshop.com");
    valueTest(info, true);
    // But not in the domain name.
    info.setValue("andy@o'reilly.data-workshop.com");
    valueTest(info, false);
    info.setValue("foo+bar@i.am.not.in.us.example.com");
    valueTest(info, true);
}</t>
  </si>
  <si>
    <t>[org/apache/commons/validator/ValueBean."&lt;init&gt;", org/apache/commons/validator/ValueBean.setValue, .valueTest, org/apache/commons/validator/ValueBean.setValue, .valueTest]
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.valueTest]</t>
  </si>
  <si>
    <t>/**
 * Tests the email validation with numeric domains.
 */
public void testEmailWithNumericAddress() throws ValidatorException {
    ValueBean info = new ValueBean();
    info.setValue("someone@[216.109.118.76]");
    valueTest(info, true);
    info.setValue("someone@yahoo.com");
    valueTest(info, true);
}
/**
 * &lt;p&gt;Tests the e-mail validation with a dash in
 * the address.&lt;/p&gt;
 */
public void testEmailWithDash() throws ValidatorException {
    // Create bean to run test on.
    ValueBean info = new ValueBean();
    info.setValue("andy.noble@data-workshop.com");
    valueTest(info, true);
    info.setValue("andy-noble@data-workshop.-com");
    valueTest(info, false);
    info.setValue("andy-noble@data-workshop.c-om");
    valueTest(info, false);
    info.setValue("andy-noble@data-workshop.co-m");
    valueTest(info, false);
}</t>
  </si>
  <si>
    <t>/**
 * Tests the email validation with numeric domains.
 */
public void testEmailWithNumericAddress() throws ValidatorException {
    ValueBean info = new ValueBean();
    info.setValue("someone@[216.109.118.76]");
    valueTest(info, true);
    info.setValue("someone@yahoo.com");
    valueTest(info, true);
}
/**
 * Tests the email validation with spaces.
 */
public void testEmailWithSpaces() throws ValidatorException {
    ValueBean info = new ValueBean();
    info.setValue("joeblow @apache.org");
    valueTest(info, false);
    info.setValue("joeblow@ apache.org");
    valueTest(info, false);
    info.setValue(" joeblow@apache.org");
    valueTest(info, false);
    info.setValue("joeblow@apache.org ");
    valueTest(info, false);
    info.setValue("joe blow@apache.org ");
    valueTest(info, false);
    info.setValue("joeblow@apa che.org ");
    valueTest(info, false);
    info.setValue("\"joe blow\"@apache.org");
    valueTest(info, true);
}</t>
  </si>
  <si>
    <t>[org/apache/commons/validator/ValueBean."&lt;init&gt;", org/apache/commons/validator/ValueBean.setValue, .valueTest, org/apache/commons/validator/ValueBean.setValue, .valueTest]
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.valueTest]</t>
  </si>
  <si>
    <t>/**
 * Tests the email validation with numeric domains.
 */
public void testEmailWithNumericAddress() throws ValidatorException {
    ValueBean info = new ValueBean();
    info.setValue("someone@[216.109.118.76]");
    valueTest(info, true);
    info.setValue("someone@yahoo.com");
    valueTest(info, true);
}
/**
 * Tests the e-mail validation.
 */
public void testEmailExtension() throws ValidatorException {
    // Create bean to run test on.
    ValueBean info = new ValueBean();
    info.setValue("jsmith@apache.org");
    valueTest(info, true);
    info.setValue("jsmith@apache.com");
    valueTest(info, true);
    info.setValue("jsmith@apache.net");
    valueTest(info, true);
    info.setValue("jsmith@apache.info");
    valueTest(info, true);
    info.setValue("jsmith@apache.");
    valueTest(info, false);
    info.setValue("jsmith@apache.c");
    valueTest(info, false);
    info.setValue("someone@yahoo.museum");
    valueTest(info, true);
    info.setValue("someone@yahoo.mu-seum");
    valueTest(info, false);
}</t>
  </si>
  <si>
    <t>[org/apache/commons/validator/ValueBean."&lt;init&gt;", org/apache/commons/validator/ValueBean.setValue, .valueTest, org/apache/commons/validator/ValueBean.setValue, .valueTest]
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.valueTest]</t>
  </si>
  <si>
    <t>/**
 * Tests the e-mail validation.
 */
public void testEmailExtension() throws ValidatorException {
    // Create bean to run test on.
    ValueBean info = new ValueBean();
    info.setValue("jsmith@apache.org");
    valueTest(info, true);
    info.setValue("jsmith@apache.com");
    valueTest(info, true);
    info.setValue("jsmith@apache.net");
    valueTest(info, true);
    info.setValue("jsmith@apache.info");
    valueTest(info, true);
    info.setValue("jsmith@apache.");
    valueTest(info, false);
    info.setValue("jsmith@apache.c");
    valueTest(info, false);
    info.setValue("someone@yahoo.museum");
    valueTest(info, true);
    info.setValue("someone@yahoo.mu-seum");
    valueTest(info, false);
}
/**
 * Tests the email validation with spaces.
 */
public void testEmailWithSpaces() throws ValidatorException {
    ValueBean info = new ValueBean();
    info.setValue("joeblow @apache.org");
    valueTest(info, false);
    info.setValue("joeblow@ apache.org");
    valueTest(info, false);
    info.setValue(" joeblow@apache.org");
    valueTest(info, false);
    info.setValue("joeblow@apache.org ");
    valueTest(info, false);
    info.setValue("joe blow@apache.org ");
    valueTest(info, false);
    info.setValue("joeblow@apa che.org ");
    valueTest(info, false);
    info.setValue("\"joe blow\"@apache.org");
    valueTest(info, true);
}</t>
  </si>
  <si>
    <t>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.valueTest]
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.valueTest]</t>
  </si>
  <si>
    <t>/**
 * Tests the e-mail validation.
 */
public void testEmailExtension() throws ValidatorException {
    // Create bean to run test on.
    ValueBean info = new ValueBean();
    info.setValue("jsmith@apache.org");
    valueTest(info, true);
    info.setValue("jsmith@apache.com");
    valueTest(info, true);
    info.setValue("jsmith@apache.net");
    valueTest(info, true);
    info.setValue("jsmith@apache.info");
    valueTest(info, true);
    info.setValue("jsmith@apache.");
    valueTest(info, false);
    info.setValue("jsmith@apache.c");
    valueTest(info, false);
    info.setValue("someone@yahoo.museum");
    valueTest(info, true);
    info.setValue("someone@yahoo.mu-seum");
    valueTest(info, false);
}
/**
 * &lt;p&gt;Tests the e-mail validation with a dash in
 * the address.&lt;/p&gt;
 */
public void testEmailWithDash() throws ValidatorException {
    // Create bean to run test on.
    ValueBean info = new ValueBean();
    info.setValue("andy.noble@data-workshop.com");
    valueTest(info, true);
    info.setValue("andy-noble@data-workshop.-com");
    valueTest(info, false);
    info.setValue("andy-noble@data-workshop.c-om");
    valueTest(info, false);
    info.setValue("andy-noble@data-workshop.co-m");
    valueTest(info, false);
}</t>
  </si>
  <si>
    <t>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.valueTest]
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.valueTest]</t>
  </si>
  <si>
    <t>/**
 * Tests the e-mail validation.
 */
public void testEmailExtension() throws ValidatorException {
    // Create bean to run test on.
    ValueBean info = new ValueBean();
    info.setValue("jsmith@apache.org");
    valueTest(info, true);
    info.setValue("jsmith@apache.com");
    valueTest(info, true);
    info.setValue("jsmith@apache.net");
    valueTest(info, true);
    info.setValue("jsmith@apache.info");
    valueTest(info, true);
    info.setValue("jsmith@apache.");
    valueTest(info, false);
    info.setValue("jsmith@apache.c");
    valueTest(info, false);
    info.setValue("someone@yahoo.museum");
    valueTest(info, true);
    info.setValue("someone@yahoo.mu-seum");
    valueTest(info, false);
}
/**
 * Tests the e-mail validation with an RCS-noncompliant character in
 * the address.
 */
public void testEmailWithBogusCharacter() throws ValidatorException {
    // Create bean to run test on.
    ValueBean info = new ValueBean();
    info.setValue("andy.noble@\u008fdata-workshop.com");
    valueTest(info, false);
    // The ' character is valid in an email username.
    info.setValue("andy.o'reilly@data-workshop.com");
    valueTest(info, true);
    // But not in the domain name.
    info.setValue("andy@o'reilly.data-workshop.com");
    valueTest(info, false);
    info.setValue("foo+bar@i.am.not.in.us.example.com");
    valueTest(info, true);
}</t>
  </si>
  <si>
    <t>/**
 * Tests the e-mail validation.
 */
public void testEmailExtension() throws ValidatorException {
    // Create bean to run test on.
    ValueBean info = new ValueBean();
    info.setValue("jsmith@apache.org");
    valueTest(info, true);
    info.setValue("jsmith@apache.com");
    valueTest(info, true);
    info.setValue("jsmith@apache.net");
    valueTest(info, true);
    info.setValue("jsmith@apache.info");
    valueTest(info, true);
    info.setValue("jsmith@apache.");
    valueTest(info, false);
    info.setValue("jsmith@apache.c");
    valueTest(info, false);
    info.setValue("someone@yahoo.museum");
    valueTest(info, true);
    info.setValue("someone@yahoo.mu-seum");
    valueTest(info, false);
}
/**
 * Tests the email validation with commas.
 */
public void testEmailWithCommas() throws ValidatorException {
    ValueBean info = new ValueBean();
    info.setValue("joeblow@apa,che.org");
    valueTest(info, false);
    info.setValue("joeblow@apache.o,rg");
    valueTest(info, false);
    info.setValue("joeblow@apache,org");
    valueTest(info, false);
}</t>
  </si>
  <si>
    <t>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.valueTest]
[org/apache/commons/validator/ValueBean."&lt;init&gt;", org/apache/commons/validator/ValueBean.setValue, .valueTest, org/apache/commons/validator/ValueBean.setValue, .valueTest, org/apache/commons/validator/ValueBean.setValue, .valueTest]</t>
  </si>
  <si>
    <t>/**
 * Tests the e-mail validation.
 */
public void testEmailExtension() throws ValidatorException {
    // Create bean to run test on.
    ValueBean info = new ValueBean();
    info.setValue("jsmith@apache.org");
    valueTest(info, true);
    info.setValue("jsmith@apache.com");
    valueTest(info, true);
    info.setValue("jsmith@apache.net");
    valueTest(info, true);
    info.setValue("jsmith@apache.info");
    valueTest(info, true);
    info.setValue("jsmith@apache.");
    valueTest(info, false);
    info.setValue("jsmith@apache.c");
    valueTest(info, false);
    info.setValue("someone@yahoo.museum");
    valueTest(info, true);
    info.setValue("someone@yahoo.mu-seum");
    valueTest(info, false);
}
/**
 * Test that @localhost and @localhost.localdomain
 *  addresses aren't declared valid by default
 */
public void testEmailLocalhost() throws ValidatorException {
    ValueBean info = new ValueBean();
    info.setValue("joe@localhost");
    valueTest(info, false);
    info.setValue("joe@localhost.localdomain");
    valueTest(info, false);
}</t>
  </si>
  <si>
    <t>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.valueTest]
[org/apache/commons/validator/ValueBean."&lt;init&gt;", org/apache/commons/validator/ValueBean.setValue, .valueTest, org/apache/commons/validator/ValueBean.setValue, .valueTest]</t>
  </si>
  <si>
    <t>/**
 * Tests the e-mail validation.
 */
public void testEmailExtension() throws ValidatorException {
    // Create bean to run test on.
    ValueBean info = new ValueBean();
    info.setValue("jsmith@apache.org");
    valueTest(info, true);
    info.setValue("jsmith@apache.com");
    valueTest(info, true);
    info.setValue("jsmith@apache.net");
    valueTest(info, true);
    info.setValue("jsmith@apache.info");
    valueTest(info, true);
    info.setValue("jsmith@apache.");
    valueTest(info, false);
    info.setValue("jsmith@apache.c");
    valueTest(info, false);
    info.setValue("someone@yahoo.museum");
    valueTest(info, true);
    info.setValue("someone@yahoo.mu-seum");
    valueTest(info, false);
}
/**
 * Tests the e-mail validation with a dot at the end of
 * the address.
 */
public void testEmailWithDotEnd() throws ValidatorException {
    // Create bean to run test on.
    ValueBean info = new ValueBean();
    info.setValue("andy.noble@data-workshop.com.");
    valueTest(info, false);
}</t>
  </si>
  <si>
    <t>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.valueTest]
[org/apache/commons/validator/ValueBean."&lt;init&gt;", org/apache/commons/validator/ValueBean.setValue, .valueTest]</t>
  </si>
  <si>
    <t>/**
 * &lt;p&gt;Tests the e-mail validation with a dash in
 * the address.&lt;/p&gt;
 */
public void testEmailWithDash() throws ValidatorException {
    // Create bean to run test on.
    ValueBean info = new ValueBean();
    info.setValue("andy.noble@data-workshop.com");
    valueTest(info, true);
    info.setValue("andy-noble@data-workshop.-com");
    valueTest(info, false);
    info.setValue("andy-noble@data-workshop.c-om");
    valueTest(info, false);
    info.setValue("andy-noble@data-workshop.co-m");
    valueTest(info, false);
}
/**
 * Tests the e-mail validation with an RCS-noncompliant character in
 * the address.
 */
public void testEmailWithBogusCharacter() throws ValidatorException {
    // Create bean to run test on.
    ValueBean info = new ValueBean();
    info.setValue("andy.noble@\u008fdata-workshop.com");
    valueTest(info, false);
    // The ' character is valid in an email username.
    info.setValue("andy.o'reilly@data-workshop.com");
    valueTest(info, true);
    // But not in the domain name.
    info.setValue("andy@o'reilly.data-workshop.com");
    valueTest(info, false);
    info.setValue("foo+bar@i.am.not.in.us.example.com");
    valueTest(info, true);
}</t>
  </si>
  <si>
    <t>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.valueTest]
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.valueTest]</t>
  </si>
  <si>
    <t>/**
 * &lt;p&gt;Tests the e-mail validation with a dash in
 * the address.&lt;/p&gt;
 */
public void testEmailWithDash() throws ValidatorException {
    // Create bean to run test on.
    ValueBean info = new ValueBean();
    info.setValue("andy.noble@data-workshop.com");
    valueTest(info, true);
    info.setValue("andy-noble@data-workshop.-com");
    valueTest(info, false);
    info.setValue("andy-noble@data-workshop.c-om");
    valueTest(info, false);
    info.setValue("andy-noble@data-workshop.co-m");
    valueTest(info, false);
}
/**
 * Tests the email validation with commas.
 */
public void testEmailWithCommas() throws ValidatorException {
    ValueBean info = new ValueBean();
    info.setValue("joeblow@apa,che.org");
    valueTest(info, false);
    info.setValue("joeblow@apache.o,rg");
    valueTest(info, false);
    info.setValue("joeblow@apache,org");
    valueTest(info, false);
}</t>
  </si>
  <si>
    <t>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.valueTest]
[org/apache/commons/validator/ValueBean."&lt;init&gt;", org/apache/commons/validator/ValueBean.setValue, .valueTest, org/apache/commons/validator/ValueBean.setValue, .valueTest, org/apache/commons/validator/ValueBean.setValue, .valueTest]</t>
  </si>
  <si>
    <t>/**
 * &lt;p&gt;Tests the e-mail validation with a dash in
 * the address.&lt;/p&gt;
 */
public void testEmailWithDash() throws ValidatorException {
    // Create bean to run test on.
    ValueBean info = new ValueBean();
    info.setValue("andy.noble@data-workshop.com");
    valueTest(info, true);
    info.setValue("andy-noble@data-workshop.-com");
    valueTest(info, false);
    info.setValue("andy-noble@data-workshop.c-om");
    valueTest(info, false);
    info.setValue("andy-noble@data-workshop.co-m");
    valueTest(info, false);
}
/**
 * Tests the email validation with spaces.
 */
public void testEmailWithSpaces() throws ValidatorException {
    ValueBean info = new ValueBean();
    info.setValue("joeblow @apache.org");
    valueTest(info, false);
    info.setValue("joeblow@ apache.org");
    valueTest(info, false);
    info.setValue(" joeblow@apache.org");
    valueTest(info, false);
    info.setValue("joeblow@apache.org ");
    valueTest(info, false);
    info.setValue("joe blow@apache.org ");
    valueTest(info, false);
    info.setValue("joeblow@apa che.org ");
    valueTest(info, false);
    info.setValue("\"joe blow\"@apache.org");
    valueTest(info, true);
}</t>
  </si>
  <si>
    <t>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.valueTest]
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.valueTest]</t>
  </si>
  <si>
    <t>/**
 * &lt;p&gt;Tests the e-mail validation with a dash in
 * the address.&lt;/p&gt;
 */
public void testEmailWithDash() throws ValidatorException {
    // Create bean to run test on.
    ValueBean info = new ValueBean();
    info.setValue("andy.noble@data-workshop.com");
    valueTest(info, true);
    info.setValue("andy-noble@data-workshop.-com");
    valueTest(info, false);
    info.setValue("andy-noble@data-workshop.c-om");
    valueTest(info, false);
    info.setValue("andy-noble@data-workshop.co-m");
    valueTest(info, false);
}
/**
 * Test that @localhost and @localhost.localdomain
 *  addresses aren't declared valid by default
 */
public void testEmailLocalhost() throws ValidatorException {
    ValueBean info = new ValueBean();
    info.setValue("joe@localhost");
    valueTest(info, false);
    info.setValue("joe@localhost.localdomain");
    valueTest(info, false);
}</t>
  </si>
  <si>
    <t>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.valueTest]
[org/apache/commons/validator/ValueBean."&lt;init&gt;", org/apache/commons/validator/ValueBean.setValue, .valueTest, org/apache/commons/validator/ValueBean.setValue, .valueTest]</t>
  </si>
  <si>
    <t>/**
 * &lt;p&gt;Tests the e-mail validation with a dash in
 * the address.&lt;/p&gt;
 */
public void testEmailWithDash() throws ValidatorException {
    // Create bean to run test on.
    ValueBean info = new ValueBean();
    info.setValue("andy.noble@data-workshop.com");
    valueTest(info, true);
    info.setValue("andy-noble@data-workshop.-com");
    valueTest(info, false);
    info.setValue("andy-noble@data-workshop.c-om");
    valueTest(info, false);
    info.setValue("andy-noble@data-workshop.co-m");
    valueTest(info, false);
}
/**
 * Tests the e-mail validation with a dot at the end of
 * the address.
 */
public void testEmailWithDotEnd() throws ValidatorException {
    // Create bean to run test on.
    ValueBean info = new ValueBean();
    info.setValue("andy.noble@data-workshop.com.");
    valueTest(info, false);
}</t>
  </si>
  <si>
    <t>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.valueTest]
[org/apache/commons/validator/ValueBean."&lt;init&gt;", org/apache/commons/validator/ValueBean.setValue, .valueTest]</t>
  </si>
  <si>
    <t>/**
 * Tests the e-mail validation with a dot at the end of
 * the address.
 */
public void testEmailWithDotEnd() throws ValidatorException {
    // Create bean to run test on.
    ValueBean info = new ValueBean();
    info.setValue("andy.noble@data-workshop.com.");
    valueTest(info, false);
}
/**
 * Test that @localhost and @localhost.localdomain
 *  addresses aren't declared valid by default
 */
public void testEmailLocalhost() throws ValidatorException {
    ValueBean info = new ValueBean();
    info.setValue("joe@localhost");
    valueTest(info, false);
    info.setValue("joe@localhost.localdomain");
    valueTest(info, false);
}</t>
  </si>
  <si>
    <t>/**
 * Tests the e-mail validation with a dot at the end of
 * the address.
 */
public void testEmailWithDotEnd() throws ValidatorException {
    // Create bean to run test on.
    ValueBean info = new ValueBean();
    info.setValue("andy.noble@data-workshop.com.");
    valueTest(info, false);
}
/**
 * Tests the email validation with commas.
 */
public void testEmailWithCommas() throws ValidatorException {
    ValueBean info = new ValueBean();
    info.setValue("joeblow@apa,che.org");
    valueTest(info, false);
    info.setValue("joeblow@apache.o,rg");
    valueTest(info, false);
    info.setValue("joeblow@apache,org");
    valueTest(info, false);
}</t>
  </si>
  <si>
    <t>/**
 * Tests the e-mail validation with a dot at the end of
 * the address.
 */
public void testEmailWithDotEnd() throws ValidatorException {
    // Create bean to run test on.
    ValueBean info = new ValueBean();
    info.setValue("andy.noble@data-workshop.com.");
    valueTest(info, false);
}
/**
 * Tests the e-mail validation with an RCS-noncompliant character in
 * the address.
 */
public void testEmailWithBogusCharacter() throws ValidatorException {
    // Create bean to run test on.
    ValueBean info = new ValueBean();
    info.setValue("andy.noble@\u008fdata-workshop.com");
    valueTest(info, false);
    // The ' character is valid in an email username.
    info.setValue("andy.o'reilly@data-workshop.com");
    valueTest(info, true);
    // But not in the domain name.
    info.setValue("andy@o'reilly.data-workshop.com");
    valueTest(info, false);
    info.setValue("foo+bar@i.am.not.in.us.example.com");
    valueTest(info, true);
}</t>
  </si>
  <si>
    <t>/**
 * Tests the e-mail validation with a dot at the end of
 * the address.
 */
public void testEmailWithDotEnd() throws ValidatorException {
    // Create bean to run test on.
    ValueBean info = new ValueBean();
    info.setValue("andy.noble@data-workshop.com.");
    valueTest(info, false);
}
/**
 * Tests the email validation with spaces.
 */
public void testEmailWithSpaces() throws ValidatorException {
    ValueBean info = new ValueBean();
    info.setValue("joeblow @apache.org");
    valueTest(info, false);
    info.setValue("joeblow@ apache.org");
    valueTest(info, false);
    info.setValue(" joeblow@apache.org");
    valueTest(info, false);
    info.setValue("joeblow@apache.org ");
    valueTest(info, false);
    info.setValue("joe blow@apache.org ");
    valueTest(info, false);
    info.setValue("joeblow@apa che.org ");
    valueTest(info, false);
    info.setValue("\"joe blow\"@apache.org");
    valueTest(info, true);
}</t>
  </si>
  <si>
    <t>/**
 * Tests the e-mail validation with an RCS-noncompliant character in
 * the address.
 */
public void testEmailWithBogusCharacter() throws ValidatorException {
    // Create bean to run test on.
    ValueBean info = new ValueBean();
    info.setValue("andy.noble@\u008fdata-workshop.com");
    valueTest(info, false);
    // The ' character is valid in an email username.
    info.setValue("andy.o'reilly@data-workshop.com");
    valueTest(info, true);
    // But not in the domain name.
    info.setValue("andy@o'reilly.data-workshop.com");
    valueTest(info, false);
    info.setValue("foo+bar@i.am.not.in.us.example.com");
    valueTest(info, true);
}
/**
 * Tests the email validation with commas.
 */
public void testEmailWithCommas() throws ValidatorException {
    ValueBean info = new ValueBean();
    info.setValue("joeblow@apa,che.org");
    valueTest(info, false);
    info.setValue("joeblow@apache.o,rg");
    valueTest(info, false);
    info.setValue("joeblow@apache,org");
    valueTest(info, false);
}</t>
  </si>
  <si>
    <t>/**
 * Tests the e-mail validation with an RCS-noncompliant character in
 * the address.
 */
public void testEmailWithBogusCharacter() throws ValidatorException {
    // Create bean to run test on.
    ValueBean info = new ValueBean();
    info.setValue("andy.noble@\u008fdata-workshop.com");
    valueTest(info, false);
    // The ' character is valid in an email username.
    info.setValue("andy.o'reilly@data-workshop.com");
    valueTest(info, true);
    // But not in the domain name.
    info.setValue("andy@o'reilly.data-workshop.com");
    valueTest(info, false);
    info.setValue("foo+bar@i.am.not.in.us.example.com");
    valueTest(info, true);
}
/**
 * Tests the email validation with spaces.
 */
public void testEmailWithSpaces() throws ValidatorException {
    ValueBean info = new ValueBean();
    info.setValue("joeblow @apache.org");
    valueTest(info, false);
    info.setValue("joeblow@ apache.org");
    valueTest(info, false);
    info.setValue(" joeblow@apache.org");
    valueTest(info, false);
    info.setValue("joeblow@apache.org ");
    valueTest(info, false);
    info.setValue("joe blow@apache.org ");
    valueTest(info, false);
    info.setValue("joeblow@apa che.org ");
    valueTest(info, false);
    info.setValue("\"joe blow\"@apache.org");
    valueTest(info, true);
}</t>
  </si>
  <si>
    <t>/**
 * Tests the e-mail validation with an RCS-noncompliant character in
 * the address.
 */
public void testEmailWithBogusCharacter() throws ValidatorException {
    // Create bean to run test on.
    ValueBean info = new ValueBean();
    info.setValue("andy.noble@\u008fdata-workshop.com");
    valueTest(info, false);
    // The ' character is valid in an email username.
    info.setValue("andy.o'reilly@data-workshop.com");
    valueTest(info, true);
    // But not in the domain name.
    info.setValue("andy@o'reilly.data-workshop.com");
    valueTest(info, false);
    info.setValue("foo+bar@i.am.not.in.us.example.com");
    valueTest(info, true);
}
/**
 * Test that @localhost and @localhost.localdomain
 *  addresses aren't declared valid by default
 */
public void testEmailLocalhost() throws ValidatorException {
    ValueBean info = new ValueBean();
    info.setValue("joe@localhost");
    valueTest(info, false);
    info.setValue("joe@localhost.localdomain");
    valueTest(info, false);
}</t>
  </si>
  <si>
    <t>/**
 * Tests the email validation with commas.
 */
public void testEmailWithCommas() throws ValidatorException {
    ValueBean info = new ValueBean();
    info.setValue("joeblow@apa,che.org");
    valueTest(info, false);
    info.setValue("joeblow@apache.o,rg");
    valueTest(info, false);
    info.setValue("joeblow@apache,org");
    valueTest(info, false);
}
/**
 * Test that @localhost and @localhost.localdomain
 *  addresses aren't declared valid by default
 */
public void testEmailLocalhost() throws ValidatorException {
    ValueBean info = new ValueBean();
    info.setValue("joe@localhost");
    valueTest(info, false);
    info.setValue("joe@localhost.localdomain");
    valueTest(info, false);
}</t>
  </si>
  <si>
    <t>[org/apache/commons/validator/ValueBean."&lt;init&gt;", org/apache/commons/validator/ValueBean.setValue, .valueTest, org/apache/commons/validator/ValueBean.setValue, .valueTest, org/apache/commons/validator/ValueBean.setValue, .valueTest]
[org/apache/commons/validator/ValueBean."&lt;init&gt;", org/apache/commons/validator/ValueBean.setValue, .valueTest, org/apache/commons/validator/ValueBean.setValue, .valueTest]</t>
  </si>
  <si>
    <t>/**
 * Tests the email validation with commas.
 */
public void testEmailWithCommas() throws ValidatorException {
    ValueBean info = new ValueBean();
    info.setValue("joeblow@apa,che.org");
    valueTest(info, false);
    info.setValue("joeblow@apache.o,rg");
    valueTest(info, false);
    info.setValue("joeblow@apache,org");
    valueTest(info, false);
}
/**
 * Tests the email validation with spaces.
 */
public void testEmailWithSpaces() throws ValidatorException {
    ValueBean info = new ValueBean();
    info.setValue("joeblow @apache.org");
    valueTest(info, false);
    info.setValue("joeblow@ apache.org");
    valueTest(info, false);
    info.setValue(" joeblow@apache.org");
    valueTest(info, false);
    info.setValue("joeblow@apache.org ");
    valueTest(info, false);
    info.setValue("joe blow@apache.org ");
    valueTest(info, false);
    info.setValue("joeblow@apa che.org ");
    valueTest(info, false);
    info.setValue("\"joe blow\"@apache.org");
    valueTest(info, true);
}</t>
  </si>
  <si>
    <t>[org/apache/commons/validator/ValueBean."&lt;init&gt;", org/apache/commons/validator/ValueBean.setValue, .valueTest, org/apache/commons/validator/ValueBean.setValue, .valueTest, org/apache/commons/validator/ValueBean.setValue, .valueTest]
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.valueTest]</t>
  </si>
  <si>
    <t>/**
 * Tests the email validation with spaces.
 */
public void testEmailWithSpaces() throws ValidatorException {
    ValueBean info = new ValueBean();
    info.setValue("joeblow @apache.org");
    valueTest(info, false);
    info.setValue("joeblow@ apache.org");
    valueTest(info, false);
    info.setValue(" joeblow@apache.org");
    valueTest(info, false);
    info.setValue("joeblow@apache.org ");
    valueTest(info, false);
    info.setValue("joe blow@apache.org ");
    valueTest(info, false);
    info.setValue("joeblow@apa che.org ");
    valueTest(info, false);
    info.setValue("\"joe blow\"@apache.org");
    valueTest(info, true);
}
/**
 * Test that @localhost and @localhost.localdomain
 *  addresses aren't declared valid by default
 */
public void testEmailLocalhost() throws ValidatorException {
    ValueBean info = new ValueBean();
    info.setValue("joe@localhost");
    valueTest(info, false);
    info.setValue("joe@localhost.localdomain");
    valueTest(info, false);
}</t>
  </si>
  <si>
    <t>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.valueTest]
[org/apache/commons/validator/ValueBean."&lt;init&gt;", org/apache/commons/validator/ValueBean.setValue, .valueTest, org/apache/commons/validator/ValueBean.setValue, .valueTest]</t>
  </si>
  <si>
    <t>org.apache.commons.validator.UrlTest</t>
  </si>
  <si>
    <t>public void testValidator202() {
    String[] schemes = { "http", "https" };
    UrlValidator urlValidator = new UrlValidator(schemes, UrlValidator.NO_FRAGMENTS);
    urlValidator.isValid("http://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");
}
public void testValidator204() {
    String[] schemes = { "http", "https" };
    UrlValidator urlValidator = new UrlValidator(schemes);
    assertTrue(urlValidator.isValid("http://tech.yahoo.com/rc/desktops/102;_ylt=Ao8yevQHlZ4On0O3ZJGXLEQFLZA5"));
}</t>
  </si>
  <si>
    <t>[org/apache/commons/validator/UrlValidator."&lt;init&gt;", org/apache/commons/validator/UrlValidator.isValid]
[org/apache/commons/validator/UrlValidator."&lt;init&gt;", org/apache/commons/validator/UrlValidator.isValid]</t>
  </si>
  <si>
    <t>/**
 * Tests the double validation.
 */
public void testDoubleMin() throws ValidatorException {
    // Create bean to run test on.
    ValueBean info = new ValueBean();
    info.setValue(Double.toString(Double.MIN_VALUE));
    valueTest(info, true);
}
/**
 * Tests the double validation.
 */
public void testDoubleMax() throws ValidatorException {
    // Create bean to run test on.
    ValueBean info = new ValueBean();
    info.setValue(Double.toString(Double.MAX_VALUE));
    valueTest(info, true);
}</t>
  </si>
  <si>
    <t>[org/apache/commons/validator/ValueBean."&lt;init&gt;", java/lang/Double.toString, org/apache/commons/validator/ValueBean.setValue, .valueTest]
[org/apache/commons/validator/ValueBean."&lt;init&gt;", java/lang/Double.toString, org/apache/commons/validator/ValueBean.setValue, .valueTest]</t>
  </si>
  <si>
    <t>org.apache.commons.validator.routines.TimeValidatorTest</t>
  </si>
  <si>
    <t>testPatternValid</t>
  </si>
  <si>
    <t>/**
 * Test Valid Dates with "pattern" validation
 */
public void testPatternValid() {
    for (int i = 0; i &lt; patternValid.length; i++) {
        String text = i + " value=[" + patternValid[i] + "] failed ";
        Calendar calendar = validator.validate(patternValid[i], "HH-mm-ss");
        assertNotNull("validateObj() " + text, calendar);
        Date date = calendar.getTime();
        assertTrue("isValid() " + text, validator.isValid(patternValid[i], "HH-mm-ss"));
        assertEquals("compare " + text, patternExpect[i], date);
    }
}
/**
 * Test Valid Dates with "locale" validation
 */
public void testLocaleValid() {
    for (int i = 0; i &lt; localeValid.length; i++) {
        String text = i + " value=[" + localeValid[i] + "] failed ";
        Calendar calendar = validator.validate(localeValid[i], Locale.UK);
        assertNotNull("validate() " + text, calendar);
        Date date = calendar.getTime();
        assertTrue("isValid() " + text, validator.isValid(localeValid[i], Locale.UK));
        assertEquals("compare " + text, localeExpect[i], date);
    }
}</t>
  </si>
  <si>
    <t>[java/lang/StringBuilder."&lt;init&gt;", java/lang/StringBuilder.append, java/lang/StringBuilder.append, java/lang/StringBuilder.append, java/lang/StringBuilder.append, java/lang/StringBuilder.toString, org/apache/commons/validator/routines/TimeValidator.validate, java/lang/StringBuilder."&lt;init&gt;", java/lang/StringBuilder.append, java/lang/StringBuilder.append, java/lang/StringBuilder.toString, java/util/Calendar.getTime, java/lang/StringBuilder."&lt;init&gt;", java/lang/StringBuilder.append, java/lang/StringBuilder.append, java/lang/StringBuilder.toString, org/apache/commons/validator/routines/TimeValidator.isValid, java/lang/StringBuilder."&lt;init&gt;", java/lang/StringBuilder.append, java/lang/StringBuilder.append, java/lang/StringBuilder.toString]
[java/lang/StringBuilder."&lt;init&gt;", java/lang/StringBuilder.append, java/lang/StringBuilder.append, java/lang/StringBuilder.append, java/lang/StringBuilder.append, java/lang/StringBuilder.toString, org/apache/commons/validator/routines/TimeValidator.validate, java/lang/StringBuilder."&lt;init&gt;", java/lang/StringBuilder.append, java/lang/StringBuilder.append, java/lang/StringBuilder.toString, java/util/Calendar.getTime, java/lang/StringBuilder."&lt;init&gt;", java/lang/StringBuilder.append, java/lang/StringBuilder.append, java/lang/StringBuilder.toString, org/apache/commons/validator/routines/TimeValidator.isValid, java/lang/StringBuilder."&lt;init&gt;", java/lang/StringBuilder.append, java/lang/StringBuilder.append, java/lang/StringBuilder.toString]</t>
  </si>
  <si>
    <t>testLocaleValid</t>
  </si>
  <si>
    <t>/**
 * Test Valid Dates with "pattern" validation
 */
public void testPatternValid() {
    for (int i = 0; i &lt; patternValid.length; i++) {
        String text = i + " value=[" + patternValid[i] + "] failed ";
        Calendar calendar = validator.validate(patternValid[i], "HH-mm-ss");
        assertNotNull("validateObj() " + text, calendar);
        Date date = calendar.getTime();
        assertTrue("isValid() " + text, validator.isValid(patternValid[i], "HH-mm-ss"));
        assertEquals("compare " + text, patternExpect[i], date);
    }
}
/**
 * Test Invalid Dates with "pattern" validation
 */
public void testPatternInvalid() {
    for (int i = 0; i &lt; patternInvalid.length; i++) {
        String text = i + " value=[" + patternInvalid[i] + "] passed ";
        Object date = validator.validate(patternInvalid[i], "HH-mm-ss");
        assertNull("validate() " + text + date, date);
        assertFalse("isValid() " + text, validator.isValid(patternInvalid[i], "HH-mm-ss"));
    }
}</t>
  </si>
  <si>
    <t>[java/lang/StringBuilder."&lt;init&gt;", java/lang/StringBuilder.append, java/lang/StringBuilder.append, java/lang/StringBuilder.append, java/lang/StringBuilder.append, java/lang/StringBuilder.toString, org/apache/commons/validator/routines/TimeValidator.validate, java/lang/StringBuilder."&lt;init&gt;", java/lang/StringBuilder.append, java/lang/StringBuilder.append, java/lang/StringBuilder.toString, java/util/Calendar.getTime, java/lang/StringBuilder."&lt;init&gt;", java/lang/StringBuilder.append, java/lang/StringBuilder.append, java/lang/StringBuilder.toString, org/apache/commons/validator/routines/TimeValidator.isValid, java/lang/StringBuilder."&lt;init&gt;", java/lang/StringBuilder.append, java/lang/StringBuilder.append, java/lang/StringBuilder.toString]
[java/lang/StringBuilder."&lt;init&gt;", java/lang/StringBuilder.append, java/lang/StringBuilder.append, java/lang/StringBuilder.append, java/lang/StringBuilder.append, java/lang/StringBuilder.toString, org/apache/commons/validator/routines/TimeValidator.validate, java/lang/StringBuilder."&lt;init&gt;", java/lang/StringBuilder.append, java/lang/StringBuilder.append, java/lang/StringBuilder.append, java/lang/StringBuilder.toString, java/lang/StringBuilder."&lt;init&gt;", java/lang/StringBuilder.append, java/lang/StringBuilder.append, java/lang/StringBuilder.toString, org/apache/commons/validator/routines/TimeValidator.isValid]</t>
  </si>
  <si>
    <t>testPatternInvalid</t>
  </si>
  <si>
    <t>[ java/util/Calendar.getTime]</t>
  </si>
  <si>
    <t>/**
 * Test Valid Dates with "pattern" validation
 */
public void testPatternValid() {
    for (int i = 0; i &lt; patternValid.length; i++) {
        String text = i + " value=[" + patternValid[i] + "] failed ";
        Calendar calendar = validator.validate(patternValid[i], "HH-mm-ss");
        assertNotNull("validateObj() " + text, calendar);
        Date date = calendar.getTime();
        assertTrue("isValid() " + text, validator.isValid(patternValid[i], "HH-mm-ss"));
        assertEquals("compare " + text, patternExpect[i], date);
    }
}
/**
 * Test Invalid Dates with "locale" validation
 */
public void testLocaleInvalid() {
    for (int i = 0; i &lt; localeInvalid.length; i++) {
        String text = i + " value=[" + localeInvalid[i] + "] passed ";
        Object date = validator.validate(localeInvalid[i], Locale.US);
        assertNull("validate() " + text + date, date);
        assertFalse("isValid() " + text, validator.isValid(localeInvalid[i], Locale.UK));
    }
}</t>
  </si>
  <si>
    <t>testLocaleInvalid</t>
  </si>
  <si>
    <t>/**
 * Test Invalid Dates with "pattern" validation
 */
public void testPatternInvalid() {
    for (int i = 0; i &lt; patternInvalid.length; i++) {
        String text = i + " value=[" + patternInvalid[i] + "] passed ";
        Object date = validator.validate(patternInvalid[i], "HH-mm-ss");
        assertNull("validate() " + text + date, date);
        assertFalse("isValid() " + text, validator.isValid(patternInvalid[i], "HH-mm-ss"));
    }
}
/**
 * Test Invalid Dates with "locale" validation
 */
public void testLocaleInvalid() {
    for (int i = 0; i &lt; localeInvalid.length; i++) {
        String text = i + " value=[" + localeInvalid[i] + "] passed ";
        Object date = validator.validate(localeInvalid[i], Locale.US);
        assertNull("validate() " + text + date, date);
        assertFalse("isValid() " + text, validator.isValid(localeInvalid[i], Locale.UK));
    }
}</t>
  </si>
  <si>
    <t>[java/lang/StringBuilder."&lt;init&gt;", java/lang/StringBuilder.append, java/lang/StringBuilder.append, java/lang/StringBuilder.append, java/lang/StringBuilder.append, java/lang/StringBuilder.toString, org/apache/commons/validator/routines/TimeValidator.validate, java/lang/StringBuilder."&lt;init&gt;", java/lang/StringBuilder.append, java/lang/StringBuilder.append, java/lang/StringBuilder.append, java/lang/StringBuilder.toString, java/lang/StringBuilder."&lt;init&gt;", java/lang/StringBuilder.append, java/lang/StringBuilder.append, java/lang/StringBuilder.toString, org/apache/commons/validator/routines/TimeValidator.isValid]
[java/lang/StringBuilder."&lt;init&gt;", java/lang/StringBuilder.append, java/lang/StringBuilder.append, java/lang/StringBuilder.append, java/lang/StringBuilder.append, java/lang/StringBuilder.toString, org/apache/commons/validator/routines/TimeValidator.validate, java/lang/StringBuilder."&lt;init&gt;", java/lang/StringBuilder.append, java/lang/StringBuilder.append, java/lang/StringBuilder.append, java/lang/StringBuilder.toString, java/lang/StringBuilder."&lt;init&gt;", java/lang/StringBuilder.append, java/lang/StringBuilder.append, java/lang/StringBuilder.toString, org/apache/commons/validator/routines/TimeValidator.isValid]</t>
  </si>
  <si>
    <t>/**
 * Test Invalid Dates with "pattern" validation
 */
public void testPatternInvalid() {
    for (int i = 0; i &lt; patternInvalid.length; i++) {
        String text = i + " value=[" + patternInvalid[i] + "] passed ";
        Object date = validator.validate(patternInvalid[i], "HH-mm-ss");
        assertNull("validate() " + text + date, date);
        assertFalse("isValid() " + text, validator.isValid(patternInvalid[i], "HH-mm-ss"));
    }
}
/**
 * Test Valid Dates with "locale" validation
 */
public void testLocaleValid() {
    for (int i = 0; i &lt; localeValid.length; i++) {
        String text = i + " value=[" + localeValid[i] + "] failed ";
        Calendar calendar = validator.validate(localeValid[i], Locale.UK);
        assertNotNull("validate() " + text, calendar);
        Date date = calendar.getTime();
        assertTrue("isValid() " + text, validator.isValid(localeValid[i], Locale.UK));
        assertEquals("compare " + text, localeExpect[i], date);
    }
}</t>
  </si>
  <si>
    <t>[java/lang/StringBuilder."&lt;init&gt;", java/lang/StringBuilder.append, java/lang/StringBuilder.append, java/lang/StringBuilder.append, java/lang/StringBuilder.append, java/lang/StringBuilder.toString, org/apache/commons/validator/routines/TimeValidator.validate, java/lang/StringBuilder."&lt;init&gt;", java/lang/StringBuilder.append, java/lang/StringBuilder.append, java/lang/StringBuilder.append, java/lang/StringBuilder.toString, java/lang/StringBuilder."&lt;init&gt;", java/lang/StringBuilder.append, java/lang/StringBuilder.append, java/lang/StringBuilder.toString, org/apache/commons/validator/routines/TimeValidator.isValid]
[java/lang/StringBuilder."&lt;init&gt;", java/lang/StringBuilder.append, java/lang/StringBuilder.append, java/lang/StringBuilder.append, java/lang/StringBuilder.append, java/lang/StringBuilder.toString, org/apache/commons/validator/routines/TimeValidator.validate, java/lang/StringBuilder."&lt;init&gt;", java/lang/StringBuilder.append, java/lang/StringBuilder.append, java/lang/StringBuilder.toString, java/util/Calendar.getTime, java/lang/StringBuilder."&lt;init&gt;", java/lang/StringBuilder.append, java/lang/StringBuilder.append, java/lang/StringBuilder.toString, org/apache/commons/validator/routines/TimeValidator.isValid, java/lang/StringBuilder."&lt;init&gt;", java/lang/StringBuilder.append, java/lang/StringBuilder.append, java/lang/StringBuilder.toString]</t>
  </si>
  <si>
    <t>/**
 * Test Valid Dates with "locale" validation
 */
public void testLocaleValid() {
    for (int i = 0; i &lt; localeValid.length; i++) {
        String text = i + " value=[" + localeValid[i] + "] failed ";
        Calendar calendar = validator.validate(localeValid[i], Locale.UK);
        assertNotNull("validate() " + text, calendar);
        Date date = calendar.getTime();
        assertTrue("isValid() " + text, validator.isValid(localeValid[i], Locale.UK));
        assertEquals("compare " + text, localeExpect[i], date);
    }
}
/**
 * Test Invalid Dates with "locale" validation
 */
public void testLocaleInvalid() {
    for (int i = 0; i &lt; localeInvalid.length; i++) {
        String text = i + " value=[" + localeInvalid[i] + "] passed ";
        Object date = validator.validate(localeInvalid[i], Locale.US);
        assertNull("validate() " + text + date, date);
        assertFalse("isValid() " + text, validator.isValid(localeInvalid[i], Locale.UK));
    }
}</t>
  </si>
  <si>
    <t>org.apache.commons.validator.ExtensionTest</t>
  </si>
  <si>
    <t>/**
 * Tests the required validation failure.
 */
public void testRequired() throws ValidatorException {
    // Create bean to run test on.
    NameBean name = new NameBean();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// throws ValidatorException,
    // but we aren't catching for testing
    // since no validation methods we use
    // throw this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
/**
 * Tests the required validation for first and last name.
 */
public void testRequiredName() throws ValidatorException {
    // Create bean to run test on.
    NameBean name = new NameBean();
    name.setFirstName("Joe");
    name.setLastName("Smith");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</t>
  </si>
  <si>
    <t>/**
 * Tests the required validation for first name if it is blank.
 */
public void testRequiredFirstNameBlank() throws ValidatorException {
    // Create bean to run test on.
    NameBean name = new NameBean();
    name.setFirstName("");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
/**
 * Tests the required validation for first and last name.
 */
public void testRequiredName() throws ValidatorException {
    // Create bean to run test on.
    NameBean name = new NameBean();
    name.setFirstName("Joe");
    name.setLastName("Smith");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</t>
  </si>
  <si>
    <t>/**
 * Tests the required validation for first name.
 */
public void testRequiredFirstName() throws ValidatorException {
    // Create bean to run test on.
    NameBean name = new NameBean();
    name.setFirstName("Joe");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
/**
 * Tests the required validation for first and last name.
 */
public void testRequiredName() throws ValidatorException {
    // Create bean to run test on.
    NameBean name = new NameBean();
    name.setFirstName("Joe");
    name.setLastName("Smith");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</t>
  </si>
  <si>
    <t>/**
 * Tests the required validation for last name if it is blank.
 */
public void testRequiredLastNameBlank() throws ValidatorException {
    // Create bean to run test on.
    NameBean name = new NameBean();
    name.setLastName("");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
/**
 * Tests the required validation for first and last name.
 */
public void testRequiredName() throws ValidatorException {
    // Create bean to run test on.
    NameBean name = new NameBean();
    name.setFirstName("Joe");
    name.setLastName("Smith");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</t>
  </si>
  <si>
    <t>/**
 * Tests the required validation for last name.
 */
public void testRequiredLastName() throws ValidatorException {
    // Create bean to run test on.
    NameBean name = new NameBean();
    name.setLastName("Smith");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
/**
 * Tests the required validation for first and last name.
 */
public void testRequiredName() throws ValidatorException {
    // Create bean to run test on.
    NameBean name = new NameBean();
    name.setFirstName("Joe");
    name.setLastName("Smith");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</t>
  </si>
  <si>
    <t>/**
 * Tests the long validation.
 */
public void testLong() throws ValidatorException {
    // Create bean to run test on.
    ValueBean info = new ValueBean();
    info.setValue("0");
    valueTest(info, true);
}
/**
 * Tests the long validation.
 */
public void testLongMax() throws ValidatorException {
    // Create bean to run test on.
    ValueBean info = new ValueBean();
    info.setValue(Long.toString(Long.MAX_VALUE));
    valueTest(info, true);
}</t>
  </si>
  <si>
    <t>[org/apache/commons/validator/ValueBean."&lt;init&gt;", org/apache/commons/validator/ValueBean.setValue, .valueTest]
[org/apache/commons/validator/ValueBean."&lt;init&gt;", java/lang/Long.toString, org/apache/commons/validator/ValueBean.setValue, .valueTest]</t>
  </si>
  <si>
    <t>[ java/lang/Long.toString]</t>
  </si>
  <si>
    <t>/**
 * Tests the long validation.
 */
public void testLong() throws ValidatorException {
    // Create bean to run test on.
    ValueBean info = new ValueBean();
    info.setValue("0");
    valueTest(info, true);
}
/**
 * Tests the long validation.
 */
public void testLongMin() throws ValidatorException {
    // Create bean to run test on.
    ValueBean info = new ValueBean();
    info.setValue(Long.toString(Long.MIN_VALUE));
    valueTest(info, true);
}</t>
  </si>
  <si>
    <t>/**
 * Tests the long validation.
 */
public void testLongMin() throws ValidatorException {
    // Create bean to run test on.
    ValueBean info = new ValueBean();
    info.setValue(Long.toString(Long.MIN_VALUE));
    valueTest(info, true);
}
/**
 * Tests the long validation.
 */
public void testLongMax() throws ValidatorException {
    // Create bean to run test on.
    ValueBean info = new ValueBean();
    info.setValue(Long.toString(Long.MAX_VALUE));
    valueTest(info, true);
}</t>
  </si>
  <si>
    <t>[org/apache/commons/validator/ValueBean."&lt;init&gt;", java/lang/Long.toString, org/apache/commons/validator/ValueBean.setValue, .valueTest]
[org/apache/commons/validator/ValueBean."&lt;init&gt;", java/lang/Long.toString, org/apache/commons/validator/ValueBean.setValue, .valueTest]</t>
  </si>
  <si>
    <t>/**
 * Tests the long validation.
 */
public void testLongMin() throws ValidatorException {
    // Create bean to run test on.
    ValueBean info = new ValueBean();
    info.setValue(Long.toString(Long.MIN_VALUE));
    valueTest(info, true);
}
/**
 * Tests the long validation failure.
 */
public void testLongBeyondMin() throws ValidatorException {
    // Create bean to run test on.
    ValueBean info = new ValueBean();
    info.setValue(Long.MIN_VALUE + "1");
    valueTest(info, false);
}</t>
  </si>
  <si>
    <t>[org/apache/commons/validator/ValueBean."&lt;init&gt;", java/lang/Long.toString, org/apache/commons/validator/ValueBean.setValue, .valueTest]
[org/apache/commons/validator/ValueBean."&lt;init&gt;", org/apache/commons/validator/ValueBean.setValue, .valueTest]</t>
  </si>
  <si>
    <t>/**
 * Tests the long validation.
 */
public void testLongMin() throws ValidatorException {
    // Create bean to run test on.
    ValueBean info = new ValueBean();
    info.setValue(Long.toString(Long.MIN_VALUE));
    valueTest(info, true);
}
/**
 * Tests the long validation failure.
 */
public void testLongBeyondMax() throws ValidatorException {
    // Create bean to run test on.
    ValueBean info = new ValueBean();
    info.setValue(Long.MAX_VALUE + "1");
    valueTest(info, false);
}</t>
  </si>
  <si>
    <t>/**
 * Tests the long validation.
 */
public void testLongMax() throws ValidatorException {
    // Create bean to run test on.
    ValueBean info = new ValueBean();
    info.setValue(Long.toString(Long.MAX_VALUE));
    valueTest(info, true);
}
/**
 * Tests the long validation failure.
 */
public void testLongBeyondMax() throws ValidatorException {
    // Create bean to run test on.
    ValueBean info = new ValueBean();
    info.setValue(Long.MAX_VALUE + "1");
    valueTest(info, false);
}</t>
  </si>
  <si>
    <t>/**
 * Tests the long validation.
 */
public void testLongMax() throws ValidatorException {
    // Create bean to run test on.
    ValueBean info = new ValueBean();
    info.setValue(Long.toString(Long.MAX_VALUE));
    valueTest(info, true);
}
/**
 * Tests the long validation failure.
 */
public void testLongBeyondMin() throws ValidatorException {
    // Create bean to run test on.
    ValueBean info = new ValueBean();
    info.setValue(Long.MIN_VALUE + "1");
    valueTest(info, false);
}</t>
  </si>
  <si>
    <t>testFloat</t>
  </si>
  <si>
    <t>/**
 * Tests the float validation.
 */
public void testFloat() throws ValidatorException {
    // Create bean to run test on.
    ValueBean info = new ValueBean();
    info.setValue("0");
    valueTest(info, true);
}
/**
 * Tests the float validation.
 */
public void testFloatMax() throws ValidatorException {
    // Create bean to run test on.
    ValueBean info = new ValueBean();
    info.setValue(Float.toString(Float.MAX_VALUE));
    valueTest(info, true);
}</t>
  </si>
  <si>
    <t>[org/apache/commons/validator/ValueBean."&lt;init&gt;", org/apache/commons/validator/ValueBean.setValue, .valueTest]
[org/apache/commons/validator/ValueBean."&lt;init&gt;", java/lang/Float.toString, org/apache/commons/validator/ValueBean.setValue, .valueTest]</t>
  </si>
  <si>
    <t>[ java/lang/Float.toString]</t>
  </si>
  <si>
    <t>/**
 * Tests the float validation.
 */
public void testFloat() throws ValidatorException {
    // Create bean to run test on.
    ValueBean info = new ValueBean();
    info.setValue("0");
    valueTest(info, true);
}
/**
 * Tests the float validation.
 */
public void testFloatMin() throws ValidatorException {
    // Create bean to run test on.
    ValueBean info = new ValueBean();
    info.setValue(Float.toString(Float.MIN_VALUE));
    valueTest(info, true);
}</t>
  </si>
  <si>
    <t>/**
 * Tests the float validation.
 */
public void testFloatMin() throws ValidatorException {
    // Create bean to run test on.
    ValueBean info = new ValueBean();
    info.setValue(Float.toString(Float.MIN_VALUE));
    valueTest(info, true);
}
/**
 * Tests the float validation.
 */
public void testFloatMax() throws ValidatorException {
    // Create bean to run test on.
    ValueBean info = new ValueBean();
    info.setValue(Float.toString(Float.MAX_VALUE));
    valueTest(info, true);
}</t>
  </si>
  <si>
    <t>[org/apache/commons/validator/ValueBean."&lt;init&gt;", java/lang/Float.toString, org/apache/commons/validator/ValueBean.setValue, .valueTest]
[org/apache/commons/validator/ValueBean."&lt;init&gt;", java/lang/Float.toString, org/apache/commons/validator/ValueBean.setValue, .valueTest]</t>
  </si>
  <si>
    <t>org.apache.commons.validator.RetrieveFormTest</t>
  </si>
  <si>
    <t>testDefaultForm</t>
  </si>
  <si>
    <t>/**
 * Test a form defined only in the "default" formset.
 */
public void testDefaultForm() {
    String formKey = FORM_PREFIX + "default";
    // *** US locale ***
    checkForm(Locale.US, formKey, "default");
    // *** French locale ***
    checkForm(Locale.FRENCH, formKey, "default");
    // *** France locale ***
    checkForm(Locale.FRANCE, formKey, "default");
    // *** Candian (English) locale ***
    checkForm(Locale.CANADA, formKey, "default");
    // *** Candian French locale ***
    checkForm(Locale.CANADA_FRENCH, formKey, "default");
    // *** Candian French Variant locale ***
    checkForm(CANADA_FRENCH_XXX, formKey, "default");
}
/**
 * Test a form defined in the "default" formset and formsets
 * where just the "language" is specified.
 */
public void testLanguageForm() {
    String formKey = FORM_PREFIX + "language";
    // *** US locale ***
    checkForm(Locale.US, formKey, "default");
    // *** French locale ***
    checkForm(Locale.FRENCH, formKey, "fr");
    // *** France locale ***
    checkForm(Locale.FRANCE, formKey, "fr");
    // *** Candian (English) locale ***
    checkForm(Locale.CANADA, formKey, "default");
    // *** Candian French locale ***
    checkForm(Locale.CANADA_FRENCH, formKey, "fr");
    // *** Candian French Variant locale ***
    checkForm(CANADA_FRENCH_XXX, formKey, "fr");
}</t>
  </si>
  <si>
    <t>[.checkForm, .checkForm, .checkForm, .checkForm, .checkForm, .checkForm]
[.checkForm, .checkForm, .checkForm, .checkForm, .checkForm, .checkForm]</t>
  </si>
  <si>
    <t>testLanguageForm</t>
  </si>
  <si>
    <t>/**
 * Test a form defined only in the "default" formset.
 */
public void testDefaultForm() {
    String formKey = FORM_PREFIX + "default";
    // *** US locale ***
    checkForm(Locale.US, formKey, "default");
    // *** French locale ***
    checkForm(Locale.FRENCH, formKey, "default");
    // *** France locale ***
    checkForm(Locale.FRANCE, formKey, "default");
    // *** Candian (English) locale ***
    checkForm(Locale.CANADA, formKey, "default");
    // *** Candian French locale ***
    checkForm(Locale.CANADA_FRENCH, formKey, "default");
    // *** Candian French Variant locale ***
    checkForm(CANADA_FRENCH_XXX, formKey, "default");
}
/**
 * Test a form defined in the "default" formset, formsets
 * where just the "language" is specified and formset where
 * the language and country are specified.
 */
public void testLanguageCountryForm() {
    String formKey = FORM_PREFIX + "language_country";
    // *** US locale ***
    checkForm(Locale.US, formKey, "default");
    // *** French locale ***
    checkForm(Locale.FRENCH, formKey, "fr");
    // *** France locale ***
    checkForm(Locale.FRANCE, formKey, "fr_FR");
    // *** Candian (English) locale ***
    checkForm(Locale.CANADA, formKey, "default");
    // *** Candian French locale ***
    checkForm(Locale.CANADA_FRENCH, formKey, "fr_CA");
    // *** Candian French Variant locale ***
    checkForm(CANADA_FRENCH_XXX, formKey, "fr_CA");
}</t>
  </si>
  <si>
    <t>testLanguageCountryForm</t>
  </si>
  <si>
    <t>/**
 * Test a form defined only in the "default" formset.
 */
public void testDefaultForm() {
    String formKey = FORM_PREFIX + "default";
    // *** US locale ***
    checkForm(Locale.US, formKey, "default");
    // *** French locale ***
    checkForm(Locale.FRENCH, formKey, "default");
    // *** France locale ***
    checkForm(Locale.FRANCE, formKey, "default");
    // *** Candian (English) locale ***
    checkForm(Locale.CANADA, formKey, "default");
    // *** Candian French locale ***
    checkForm(Locale.CANADA_FRENCH, formKey, "default");
    // *** Candian French Variant locale ***
    checkForm(CANADA_FRENCH_XXX, formKey, "default");
}
/**
 * Test a form defined in all the formsets
 */
public void testLanguageCountryVariantForm() {
    String formKey = FORM_PREFIX + "language_country_variant";
    // *** US locale ***
    checkForm(Locale.US, formKey, "default");
    // *** French locale ***
    checkForm(Locale.FRENCH, formKey, "fr");
    // *** France locale ***
    checkForm(Locale.FRANCE, formKey, "fr_FR");
    // *** Candian (English) locale ***
    checkForm(Locale.CANADA, formKey, "default");
    // *** Candian French locale ***
    checkForm(Locale.CANADA_FRENCH, formKey, "fr_CA");
    // *** Candian French Variant locale ***
    checkForm(CANADA_FRENCH_XXX, formKey, "fr_CA_XXX");
}</t>
  </si>
  <si>
    <t>testLanguageCountryVariantForm</t>
  </si>
  <si>
    <t>/**
 * Test a form defined in the "default" formset and formsets
 * where just the "language" is specified.
 */
public void testLanguageForm() {
    String formKey = FORM_PREFIX + "language";
    // *** US locale ***
    checkForm(Locale.US, formKey, "default");
    // *** French locale ***
    checkForm(Locale.FRENCH, formKey, "fr");
    // *** France locale ***
    checkForm(Locale.FRANCE, formKey, "fr");
    // *** Candian (English) locale ***
    checkForm(Locale.CANADA, formKey, "default");
    // *** Candian French locale ***
    checkForm(Locale.CANADA_FRENCH, formKey, "fr");
    // *** Candian French Variant locale ***
    checkForm(CANADA_FRENCH_XXX, formKey, "fr");
}
/**
 * Test a form defined in the "default" formset, formsets
 * where just the "language" is specified and formset where
 * the language and country are specified.
 */
public void testLanguageCountryForm() {
    String formKey = FORM_PREFIX + "language_country";
    // *** US locale ***
    checkForm(Locale.US, formKey, "default");
    // *** French locale ***
    checkForm(Locale.FRENCH, formKey, "fr");
    // *** France locale ***
    checkForm(Locale.FRANCE, formKey, "fr_FR");
    // *** Candian (English) locale ***
    checkForm(Locale.CANADA, formKey, "default");
    // *** Candian French locale ***
    checkForm(Locale.CANADA_FRENCH, formKey, "fr_CA");
    // *** Candian French Variant locale ***
    checkForm(CANADA_FRENCH_XXX, formKey, "fr_CA");
}</t>
  </si>
  <si>
    <t>/**
 * Test a form defined in the "default" formset and formsets
 * where just the "language" is specified.
 */
public void testLanguageForm() {
    String formKey = FORM_PREFIX + "language";
    // *** US locale ***
    checkForm(Locale.US, formKey, "default");
    // *** French locale ***
    checkForm(Locale.FRENCH, formKey, "fr");
    // *** France locale ***
    checkForm(Locale.FRANCE, formKey, "fr");
    // *** Candian (English) locale ***
    checkForm(Locale.CANADA, formKey, "default");
    // *** Candian French locale ***
    checkForm(Locale.CANADA_FRENCH, formKey, "fr");
    // *** Candian French Variant locale ***
    checkForm(CANADA_FRENCH_XXX, formKey, "fr");
}
/**
 * Test a form defined in all the formsets
 */
public void testLanguageCountryVariantForm() {
    String formKey = FORM_PREFIX + "language_country_variant";
    // *** US locale ***
    checkForm(Locale.US, formKey, "default");
    // *** French locale ***
    checkForm(Locale.FRENCH, formKey, "fr");
    // *** France locale ***
    checkForm(Locale.FRANCE, formKey, "fr_FR");
    // *** Candian (English) locale ***
    checkForm(Locale.CANADA, formKey, "default");
    // *** Candian French locale ***
    checkForm(Locale.CANADA_FRENCH, formKey, "fr_CA");
    // *** Candian French Variant locale ***
    checkForm(CANADA_FRENCH_XXX, formKey, "fr_CA_XXX");
}</t>
  </si>
  <si>
    <t>/**
 * Test a form defined in the "default" formset, formsets
 * where just the "language" is specified and formset where
 * the language and country are specified.
 */
public void testLanguageCountryForm() {
    String formKey = FORM_PREFIX + "language_country";
    // *** US locale ***
    checkForm(Locale.US, formKey, "default");
    // *** French locale ***
    checkForm(Locale.FRENCH, formKey, "fr");
    // *** France locale ***
    checkForm(Locale.FRANCE, formKey, "fr_FR");
    // *** Candian (English) locale ***
    checkForm(Locale.CANADA, formKey, "default");
    // *** Candian French locale ***
    checkForm(Locale.CANADA_FRENCH, formKey, "fr_CA");
    // *** Candian French Variant locale ***
    checkForm(CANADA_FRENCH_XXX, formKey, "fr_CA");
}
/**
 * Test a form defined in all the formsets
 */
public void testLanguageCountryVariantForm() {
    String formKey = FORM_PREFIX + "language_country_variant";
    // *** US locale ***
    checkForm(Locale.US, formKey, "default");
    // *** French locale ***
    checkForm(Locale.FRENCH, formKey, "fr");
    // *** France locale ***
    checkForm(Locale.FRANCE, formKey, "fr_FR");
    // *** Candian (English) locale ***
    checkForm(Locale.CANADA, formKey, "default");
    // *** Candian French locale ***
    checkForm(Locale.CANADA_FRENCH, formKey, "fr_CA");
    // *** Candian French Variant locale ***
    checkForm(CANADA_FRENCH_XXX, formKey, "fr_CA_XXX");
}</t>
  </si>
  <si>
    <t>org.apache.commons.validator.MultipleTest</t>
  </si>
  <si>
    <t>/**
 * With nothing provided, we should fail both because both are required.
 */
public void testBothBlank() throws ValidatorException {
    // Create bean to run test on.
    NameBean name = new NameBean();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// throws ValidatorException,
    // but we aren't catching for testing
    // since no validation methods we use
    // throw this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    assertTrue("Last Name ValidatorResults should not contain the 'int' action.", !lastNameResult.containsAction("int"));
}
/**
 * If first name is ok and last name is ok and is an int, no errors.
 */
public void testRequiredLastNameLong() throws ValidatorException {
    // Create bean to run test on.
    NameBean name = new NameBean();
    name.setFirstName("Joe");
    name.setLastName("12345678");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assertNotNull("Last Name ValidatorResult should not be null.", lastNameResult);
    assertTrue("Last Name ValidatorResult should contain the 'int' action.", lastNameResult.containsAction("int"));
    assertTrue("Last Name ValidatorResult for the 'int' action should have passed.", lastNameResult.isValid("int"));
}</t>
  </si>
  <si>
    <t>[org/apache/commons/validator/NameBean."&lt;init&gt;",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org/apache/commons/validator/ValidatorResult.containsAction]
[org/apache/commons/validator/NameBean."&lt;init&gt;", org/apache/commons/validator/NameBean.setFirstName, org/apache/commons/validator/NameBean.setLastName,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org/apache/commons/validator/ValidatorResult.containsAction, org/apache/commons/validator/ValidatorResult.isValid]</t>
  </si>
  <si>
    <t>/**
 * With nothing provided, we should fail both because both are required.
 */
public void testBothBlank() throws ValidatorException {
    // Create bean to run test on.
    NameBean name = new NameBean();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// throws ValidatorException,
    // but we aren't catching for testing
    // since no validation methods we use
    // throw this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    assertTrue("Last Name ValidatorResults should not contain the 'int' action.", !lastNameResult.containsAction("int"));
}
/**
 * If the first name is there, and the last name fails int, we should get one error.
 */
public void testRequiredLastNameShort() throws ValidatorException {
    // Create bean to run test on.
    NameBean name = new NameBean();
    name.setFirstName("Test");
    name.setLastName("Test");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assertNotNull("Last Name ValidatorResult should not be null.", lastNameResult);
    assertTrue("Last Name ValidatorResult should contain the 'int' action.", lastNameResult.containsAction("int"));
    assertTrue("Last Name ValidatorResult for the 'int' action should have failed.", !lastNameResult.isValid("int"));
}</t>
  </si>
  <si>
    <t>/**
 * With nothing provided, we should fail both because both are required.
 */
public void testBothBlank() throws ValidatorException {
    // Create bean to run test on.
    NameBean name = new NameBean();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// throws ValidatorException,
    // but we aren't catching for testing
    // since no validation methods we use
    // throw this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    assertTrue("Last Name ValidatorResults should not contain the 'int' action.", !lastNameResult.containsAction("int"));
}
/**
 * If the first name fails required, and the second test fails int, we should get two errors.
 */
public void testRequiredFirstNameBlankLastNameShort() throws ValidatorException {
    // Create bean to run test on.
    NameBean name = new NameBean();
    name.setFirstName("");
    name.setLastName("Test");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assertNotNull("Last Name ValidatorResult should not be null.", lastNameResult);
    assertTrue("Last Name ValidatorResult should contain the 'int' action.", lastNameResult.containsAction("int"));
    assertTrue("Last Name ValidatorResult for the 'int' action should have failed.", !lastNameResult.isValid("int"));
}</t>
  </si>
  <si>
    <t>/**
 * If the first name fails required, and the second test fails int, we should get two errors.
 */
public void testRequiredFirstNameBlankLastNameShort() throws ValidatorException {
    // Create bean to run test on.
    NameBean name = new NameBean();
    name.setFirstName("");
    name.setLastName("Test");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assertNotNull("Last Name ValidatorResult should not be null.", lastNameResult);
    assertTrue("Last Name ValidatorResult should contain the 'int' action.", lastNameResult.containsAction("int"));
    assertTrue("Last Name ValidatorResult for the 'int' action should have failed.", !lastNameResult.isValid("int"));
}
/**
 * If the first name is there, and the last name fails int, we should get one error.
 */
public void testRequiredLastNameShort() throws ValidatorException {
    // Create bean to run test on.
    NameBean name = new NameBean();
    name.setFirstName("Test");
    name.setLastName("Test");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assertNotNull("Last Name ValidatorResult should not be null.", lastNameResult);
    assertTrue("Last Name ValidatorResult should contain the 'int' action.", lastNameResult.containsAction("int"));
    assertTrue("Last Name ValidatorResult for the 'int' action should have failed.", !lastNameResult.isValid("int"));
}</t>
  </si>
  <si>
    <t>[org/apache/commons/validator/NameBean."&lt;init&gt;", org/apache/commons/validator/NameBean.setFirstName, org/apache/commons/validator/NameBean.setLastName,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org/apache/commons/validator/ValidatorResult.containsAction, org/apache/commons/validator/ValidatorResult.isValid]
[org/apache/commons/validator/NameBean."&lt;init&gt;", org/apache/commons/validator/NameBean.setFirstName, org/apache/commons/validator/NameBean.setLastName,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org/apache/commons/validator/ValidatorResult.containsAction, org/apache/commons/validator/ValidatorResult.isValid]</t>
  </si>
  <si>
    <t>/**
 * If the first name fails required, and the second test fails int, we should get two errors.
 */
public void testRequiredFirstNameBlankLastNameShort() throws ValidatorException {
    // Create bean to run test on.
    NameBean name = new NameBean();
    name.setFirstName("");
    name.setLastName("Test");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assertNotNull("Last Name ValidatorResult should not be null.", lastNameResult);
    assertTrue("Last Name ValidatorResult should contain the 'int' action.", lastNameResult.containsAction("int"));
    assertTrue("Last Name ValidatorResult for the 'int' action should have failed.", !lastNameResult.isValid("int"));
}
/**
 * If first name is ok and last name is ok and is an int, no errors.
 */
public void testRequiredLastNameLong() throws ValidatorException {
    // Create bean to run test on.
    NameBean name = new NameBean();
    name.setFirstName("Joe");
    name.setLastName("12345678");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assertNotNull("Last Name ValidatorResult should not be null.", lastNameResult);
    assertTrue("Last Name ValidatorResult should contain the 'int' action.", lastNameResult.containsAction("int"));
    assertTrue("Last Name ValidatorResult for the 'int' action should have passed.", lastNameResult.isValid("int"));
}</t>
  </si>
  <si>
    <t>/**
 * If the first name is there, and the last name fails int, we should get one error.
 */
public void testRequiredLastNameShort() throws ValidatorException {
    // Create bean to run test on.
    NameBean name = new NameBean();
    name.setFirstName("Test");
    name.setLastName("Test");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assertNotNull("Last Name ValidatorResult should not be null.", lastNameResult);
    assertTrue("Last Name ValidatorResult should contain the 'int' action.", lastNameResult.containsAction("int"));
    assertTrue("Last Name ValidatorResult for the 'int' action should have failed.", !lastNameResult.isValid("int"));
}
/**
 * If first name is ok and last name is ok and is an int, no errors.
 */
public void testRequiredLastNameLong() throws ValidatorException {
    // Create bean to run test on.
    NameBean name = new NameBean();
    name.setFirstName("Joe");
    name.setLastName("12345678");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assertNotNull("Last Name ValidatorResult should not be null.", lastNameResult);
    assertTrue("Last Name ValidatorResult should contain the 'int' action.", lastNameResult.containsAction("int"));
    assertTrue("Last Name ValidatorResult for the 'int' action should have passed.", lastNameResult.isValid("int"));
}</t>
  </si>
  <si>
    <t>testFailingFirstDependentValidator</t>
  </si>
  <si>
    <t>/**
 * If middle name is not there, then the required dependent test should fail.
 * No other tests should run
 *
 * @throws ValidatorException
 */
public void testFailingFirstDependentValidator() throws ValidatorException {
    // Create bean to run test on.
    NameBean name = new NameBean();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middleNameResult = results.getValidatorResult("middleName");
    assertNotNull("Middle Name ValidatorResult should not be null.", middleNameResult);
    assertTrue("Middle Name ValidatorResult should contain the 'required' action.", middleNameResult.containsAction("required"));
    assertTrue("Middle Name ValidatorResult for the 'required' action should have failed", !middleNameResult.isValid("required"));
    assertTrue("Middle Name ValidatorResult should not contain the 'int' action.", !middleNameResult.containsAction("int"));
    assertTrue("Middle Name ValidatorResult should not contain the 'positive' action.", !middleNameResult.containsAction("positive"));
}
/**
 * If middle name is there but not int, then the required dependent test
 * should pass, but the int dependent test should fail. No other tests should
 * run.
 *
 * @throws ValidatorException
 */
public void testFailingNextDependentValidator() throws ValidatorException {
    // Create bean to run test on.
    NameBean name = new NameBean();
    name.setMiddleName("TEST");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middleNameResult = results.getValidatorResult("middleName");
    assertNotNull("Middle Name ValidatorResult should not be null.", middleNameResult);
    assertTrue("Middle Name ValidatorResult should contain the 'required' action.", middleNameResult.containsAction("required"));
    assertTrue("Middle Name ValidatorResult for the 'required' action should have passed", middleNameResult.isValid("required"));
    assertTrue("Middle Name ValidatorResult should contain the 'int' action.", middleNameResult.containsAction("int"));
    assertTrue("Middle Name ValidatorResult for the 'int' action should have failed", !middleNameResult.isValid("int"));
    assertTrue("Middle Name ValidatorResult should not contain the 'positive' action.", !middleNameResult.containsAction("positive"));
}</t>
  </si>
  <si>
    <t>[org/apache/commons/validator/NameBean."&lt;init&gt;", org/apache/commons/validator/Validator."&lt;init&gt;", org/apache/commons/validator/Validator.setParameter, org/apache/commons/validator/Validator.validate, org/apache/commons/validator/ValidatorResults.getValidatorResult, org/apache/commons/validator/ValidatorResult.containsAction, org/apache/commons/validator/ValidatorResult.isValid, org/apache/commons/validator/ValidatorResult.containsAction, org/apache/commons/validator/ValidatorResult.containsAction]
[org/apache/commons/validator/NameBean."&lt;init&gt;", org/apache/commons/validator/NameBean.setMiddleName, org/apache/commons/validator/Validator."&lt;init&gt;", org/apache/commons/validator/Validator.setParameter, org/apache/commons/validator/Validator.validate, org/apache/commons/validator/ValidatorResults.getValidatorResult, org/apache/commons/validator/ValidatorResult.containsAction, org/apache/commons/validator/ValidatorResult.isValid, org/apache/commons/validator/ValidatorResult.containsAction, org/apache/commons/validator/ValidatorResult.isValid, org/apache/commons/validator/ValidatorResult.containsAction]</t>
  </si>
  <si>
    <t>testFailingNextDependentValidator</t>
  </si>
  <si>
    <t>[ org/apache/commons/validator/NameBean.setMiddleName]</t>
  </si>
  <si>
    <t>/**
 * If middle name is not there, then the required dependent test should fail.
 * No other tests should run
 *
 * @throws ValidatorException
 */
public void testFailingFirstDependentValidator() throws ValidatorException {
    // Create bean to run test on.
    NameBean name = new NameBean();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middleNameResult = results.getValidatorResult("middleName");
    assertNotNull("Middle Name ValidatorResult should not be null.", middleNameResult);
    assertTrue("Middle Name ValidatorResult should contain the 'required' action.", middleNameResult.containsAction("required"));
    assertTrue("Middle Name ValidatorResult for the 'required' action should have failed", !middleNameResult.isValid("required"));
    assertTrue("Middle Name ValidatorResult should not contain the 'int' action.", !middleNameResult.containsAction("int"));
    assertTrue("Middle Name ValidatorResult should not contain the 'positive' action.", !middleNameResult.containsAction("positive"));
}
/**
 * If middle name is there and a negative int, then the required and int
 * dependent tests should pass, but the positive test should fail.
 *
 * @throws ValidatorException
 */
public void testPassingDependentsFailingMain() throws ValidatorException {
    // Create bean to run test on.
    NameBean name = new NameBean();
    name.setMiddleName("-2534");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middleNameResult = results.getValidatorResult("middleName");
    assertNotNull("Middle Name ValidatorResult should not be null.", middleNameResult);
    assertTrue("Middle Name ValidatorResult should contain the 'required' action.", middleNameResult.containsAction("required"));
    assertTrue("Middle Name ValidatorResult for the 'required' action should have passed", middleNameResult.isValid("required"));
    assertTrue("Middle Name ValidatorResult should contain the 'int' action.", middleNameResult.containsAction("int"));
    assertTrue("Middle Name ValidatorResult for the 'int' action should have passed", middleNameResult.isValid("int"));
    assertTrue("Middle Name ValidatorResult should contain the 'positive' action.", middleNameResult.containsAction("positive"));
    assertTrue("Middle Name ValidatorResult for the 'positive' action should have failed", !middleNameResult.isValid("positive"));
}</t>
  </si>
  <si>
    <t>[org/apache/commons/validator/NameBean."&lt;init&gt;", org/apache/commons/validator/Validator."&lt;init&gt;", org/apache/commons/validator/Validator.setParameter, org/apache/commons/validator/Validator.validate, org/apache/commons/validator/ValidatorResults.getValidatorResult, org/apache/commons/validator/ValidatorResult.containsAction, org/apache/commons/validator/ValidatorResult.isValid, org/apache/commons/validator/ValidatorResult.containsAction, org/apache/commons/validator/ValidatorResult.containsAction]
[org/apache/commons/validator/NameBean."&lt;init&gt;", org/apache/commons/validator/NameBean.setMiddleName, org/apache/commons/validator/Validator."&lt;init&gt;", org/apache/commons/validator/Validator.setParameter, org/apache/commons/validator/Validator.validate, org/apache/commons/validator/ValidatorResults.getValidatorResult, org/apache/commons/validator/ValidatorResult.containsAction, org/apache/commons/validator/ValidatorResult.isValid, org/apache/commons/validator/ValidatorResult.containsAction, org/apache/commons/validator/ValidatorResult.isValid, org/apache/commons/validator/ValidatorResult.containsAction, org/apache/commons/validator/ValidatorResult.isValid]</t>
  </si>
  <si>
    <t>testPassingDependentsFailingMain</t>
  </si>
  <si>
    <t>/**
 * If middle name is not there, then the required dependent test should fail.
 * No other tests should run
 *
 * @throws ValidatorException
 */
public void testFailingFirstDependentValidator() throws ValidatorException {
    // Create bean to run test on.
    NameBean name = new NameBean();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middleNameResult = results.getValidatorResult("middleName");
    assertNotNull("Middle Name ValidatorResult should not be null.", middleNameResult);
    assertTrue("Middle Name ValidatorResult should contain the 'required' action.", middleNameResult.containsAction("required"));
    assertTrue("Middle Name ValidatorResult for the 'required' action should have failed", !middleNameResult.isValid("required"));
    assertTrue("Middle Name ValidatorResult should not contain the 'int' action.", !middleNameResult.containsAction("int"));
    assertTrue("Middle Name ValidatorResult should not contain the 'positive' action.", !middleNameResult.containsAction("positive"));
}
/**
 * If middle name is there and a positve int, then the required and int
 * dependent tests should pass, and the positive test should pass.
 *
 * @throws ValidatorException
 */
public void testPassingDependentsPassingMain() throws ValidatorException {
    // Create bean to run test on.
    NameBean name = new NameBean();
    name.setMiddleName("2534");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middleNameResult = results.getValidatorResult("middleName");
    assertNotNull("Middle Name ValidatorResult should not be null.", middleNameResult);
    assertTrue("Middle Name ValidatorResult should contain the 'required' action.", middleNameResult.containsAction("required"));
    assertTrue("Middle Name ValidatorResult for the 'required' action should have passed", middleNameResult.isValid("required"));
    assertTrue("Middle Name ValidatorResult should contain the 'int' action.", middleNameResult.containsAction("int"));
    assertTrue("Middle Name ValidatorResult for the 'int' action should have passed", middleNameResult.isValid("int"));
    assertTrue("Middle Name ValidatorResult should contain the 'positive' action.", middleNameResult.containsAction("positive"));
    assertTrue("Middle Name ValidatorResult for the 'positive' action should have passed", middleNameResult.isValid("positive"));
}</t>
  </si>
  <si>
    <t>testPassingDependentsPassingMain</t>
  </si>
  <si>
    <t>/**
 * If middle name is there but not int, then the required dependent test
 * should pass, but the int dependent test should fail. No other tests should
 * run.
 *
 * @throws ValidatorException
 */
public void testFailingNextDependentValidator() throws ValidatorException {
    // Create bean to run test on.
    NameBean name = new NameBean();
    name.setMiddleName("TEST");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middleNameResult = results.getValidatorResult("middleName");
    assertNotNull("Middle Name ValidatorResult should not be null.", middleNameResult);
    assertTrue("Middle Name ValidatorResult should contain the 'required' action.", middleNameResult.containsAction("required"));
    assertTrue("Middle Name ValidatorResult for the 'required' action should have passed", middleNameResult.isValid("required"));
    assertTrue("Middle Name ValidatorResult should contain the 'int' action.", middleNameResult.containsAction("int"));
    assertTrue("Middle Name ValidatorResult for the 'int' action should have failed", !middleNameResult.isValid("int"));
    assertTrue("Middle Name ValidatorResult should not contain the 'positive' action.", !middleNameResult.containsAction("positive"));
}
/**
 * If middle name is there and a negative int, then the required and int
 * dependent tests should pass, but the positive test should fail.
 *
 * @throws ValidatorException
 */
public void testPassingDependentsFailingMain() throws ValidatorException {
    // Create bean to run test on.
    NameBean name = new NameBean();
    name.setMiddleName("-2534");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middleNameResult = results.getValidatorResult("middleName");
    assertNotNull("Middle Name ValidatorResult should not be null.", middleNameResult);
    assertTrue("Middle Name ValidatorResult should contain the 'required' action.", middleNameResult.containsAction("required"));
    assertTrue("Middle Name ValidatorResult for the 'required' action should have passed", middleNameResult.isValid("required"));
    assertTrue("Middle Name ValidatorResult should contain the 'int' action.", middleNameResult.containsAction("int"));
    assertTrue("Middle Name ValidatorResult for the 'int' action should have passed", middleNameResult.isValid("int"));
    assertTrue("Middle Name ValidatorResult should contain the 'positive' action.", middleNameResult.containsAction("positive"));
    assertTrue("Middle Name ValidatorResult for the 'positive' action should have failed", !middleNameResult.isValid("positive"));
}</t>
  </si>
  <si>
    <t>[org/apache/commons/validator/NameBean."&lt;init&gt;", org/apache/commons/validator/NameBean.setMiddleName, org/apache/commons/validator/Validator."&lt;init&gt;", org/apache/commons/validator/Validator.setParameter, org/apache/commons/validator/Validator.validate, org/apache/commons/validator/ValidatorResults.getValidatorResult, org/apache/commons/validator/ValidatorResult.containsAction, org/apache/commons/validator/ValidatorResult.isValid, org/apache/commons/validator/ValidatorResult.containsAction, org/apache/commons/validator/ValidatorResult.isValid, org/apache/commons/validator/ValidatorResult.containsAction]
[org/apache/commons/validator/NameBean."&lt;init&gt;", org/apache/commons/validator/NameBean.setMiddleName, org/apache/commons/validator/Validator."&lt;init&gt;", org/apache/commons/validator/Validator.setParameter, org/apache/commons/validator/Validator.validate, org/apache/commons/validator/ValidatorResults.getValidatorResult, org/apache/commons/validator/ValidatorResult.containsAction, org/apache/commons/validator/ValidatorResult.isValid, org/apache/commons/validator/ValidatorResult.containsAction, org/apache/commons/validator/ValidatorResult.isValid, org/apache/commons/validator/ValidatorResult.containsAction, org/apache/commons/validator/ValidatorResult.isValid]</t>
  </si>
  <si>
    <t>/**
 * If middle name is there but not int, then the required dependent test
 * should pass, but the int dependent test should fail. No other tests should
 * run.
 *
 * @throws ValidatorException
 */
public void testFailingNextDependentValidator() throws ValidatorException {
    // Create bean to run test on.
    NameBean name = new NameBean();
    name.setMiddleName("TEST");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middleNameResult = results.getValidatorResult("middleName");
    assertNotNull("Middle Name ValidatorResult should not be null.", middleNameResult);
    assertTrue("Middle Name ValidatorResult should contain the 'required' action.", middleNameResult.containsAction("required"));
    assertTrue("Middle Name ValidatorResult for the 'required' action should have passed", middleNameResult.isValid("required"));
    assertTrue("Middle Name ValidatorResult should contain the 'int' action.", middleNameResult.containsAction("int"));
    assertTrue("Middle Name ValidatorResult for the 'int' action should have failed", !middleNameResult.isValid("int"));
    assertTrue("Middle Name ValidatorResult should not contain the 'positive' action.", !middleNameResult.containsAction("positive"));
}
/**
 * If middle name is there and a positve int, then the required and int
 * dependent tests should pass, and the positive test should pass.
 *
 * @throws ValidatorException
 */
public void testPassingDependentsPassingMain() throws ValidatorException {
    // Create bean to run test on.
    NameBean name = new NameBean();
    name.setMiddleName("2534");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middleNameResult = results.getValidatorResult("middleName");
    assertNotNull("Middle Name ValidatorResult should not be null.", middleNameResult);
    assertTrue("Middle Name ValidatorResult should contain the 'required' action.", middleNameResult.containsAction("required"));
    assertTrue("Middle Name ValidatorResult for the 'required' action should have passed", middleNameResult.isValid("required"));
    assertTrue("Middle Name ValidatorResult should contain the 'int' action.", middleNameResult.containsAction("int"));
    assertTrue("Middle Name ValidatorResult for the 'int' action should have passed", middleNameResult.isValid("int"));
    assertTrue("Middle Name ValidatorResult should contain the 'positive' action.", middleNameResult.containsAction("positive"));
    assertTrue("Middle Name ValidatorResult for the 'positive' action should have passed", middleNameResult.isValid("positive"));
}</t>
  </si>
  <si>
    <t>/**
 * If middle name is there and a negative int, then the required and int
 * dependent tests should pass, but the positive test should fail.
 *
 * @throws ValidatorException
 */
public void testPassingDependentsFailingMain() throws ValidatorException {
    // Create bean to run test on.
    NameBean name = new NameBean();
    name.setMiddleName("-2534");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middleNameResult = results.getValidatorResult("middleName");
    assertNotNull("Middle Name ValidatorResult should not be null.", middleNameResult);
    assertTrue("Middle Name ValidatorResult should contain the 'required' action.", middleNameResult.containsAction("required"));
    assertTrue("Middle Name ValidatorResult for the 'required' action should have passed", middleNameResult.isValid("required"));
    assertTrue("Middle Name ValidatorResult should contain the 'int' action.", middleNameResult.containsAction("int"));
    assertTrue("Middle Name ValidatorResult for the 'int' action should have passed", middleNameResult.isValid("int"));
    assertTrue("Middle Name ValidatorResult should contain the 'positive' action.", middleNameResult.containsAction("positive"));
    assertTrue("Middle Name ValidatorResult for the 'positive' action should have failed", !middleNameResult.isValid("positive"));
}
/**
 * If middle name is there and a positve int, then the required and int
 * dependent tests should pass, and the positive test should pass.
 *
 * @throws ValidatorException
 */
public void testPassingDependentsPassingMain() throws ValidatorException {
    // Create bean to run test on.
    NameBean name = new NameBean();
    name.setMiddleName("2534");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middleNameResult = results.getValidatorResult("middleName");
    assertNotNull("Middle Name ValidatorResult should not be null.", middleNameResult);
    assertTrue("Middle Name ValidatorResult should contain the 'required' action.", middleNameResult.containsAction("required"));
    assertTrue("Middle Name ValidatorResult for the 'required' action should have passed", middleNameResult.isValid("required"));
    assertTrue("Middle Name ValidatorResult should contain the 'int' action.", middleNameResult.containsAction("int"));
    assertTrue("Middle Name ValidatorResult for the 'int' action should have passed", middleNameResult.isValid("int"));
    assertTrue("Middle Name ValidatorResult should contain the 'positive' action.", middleNameResult.containsAction("positive"));
    assertTrue("Middle Name ValidatorResult for the 'positive' action should have passed", middleNameResult.isValid("positive"));
}</t>
  </si>
  <si>
    <t>[org/apache/commons/validator/NameBean."&lt;init&gt;", org/apache/commons/validator/NameBean.setMiddleName, org/apache/commons/validator/Validator."&lt;init&gt;", org/apache/commons/validator/Validator.setParameter, org/apache/commons/validator/Validator.validate, org/apache/commons/validator/ValidatorResults.getValidatorResult, org/apache/commons/validator/ValidatorResult.containsAction, org/apache/commons/validator/ValidatorResult.isValid, org/apache/commons/validator/ValidatorResult.containsAction, org/apache/commons/validator/ValidatorResult.isValid, org/apache/commons/validator/ValidatorResult.containsAction, org/apache/commons/validator/ValidatorResult.isValid]
[org/apache/commons/validator/NameBean."&lt;init&gt;", org/apache/commons/validator/NameBean.setMiddleName, org/apache/commons/validator/Validator."&lt;init&gt;", org/apache/commons/validator/Validator.setParameter, org/apache/commons/validator/Validator.validate, org/apache/commons/validator/ValidatorResults.getValidatorResult, org/apache/commons/validator/ValidatorResult.containsAction, org/apache/commons/validator/ValidatorResult.isValid, org/apache/commons/validator/ValidatorResult.containsAction, org/apache/commons/validator/ValidatorResult.isValid, org/apache/commons/validator/ValidatorResult.containsAction, org/apache/commons/validator/ValidatorResult.isValid]</t>
  </si>
  <si>
    <t>e1d8c8bc657afa474a00c2c00eb4f69a461d1c48</t>
  </si>
  <si>
    <t>@Test
public void testValidator202() {
    final String[] schemes = { "http", "https" };
    final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testValidator204() {
    final String[] schemes = { "http", "https" };
    final UrlValidator urlValidator = new UrlValidator(schemes);
    assertTrue(urlValidator.isValid("http://tech.yahoo.com/rc/desktops/102;_ylt=Ao8yevQHlZ4On0O3ZJGXLEQFLZA5"));
}</t>
  </si>
  <si>
    <t>@Test
public void testValidator202() {
    final String[] schemes = { "http", "https" };
    final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testValidator391OK() {
    final String[] schemes = { "file" };
    final UrlValidator urlValidator = new UrlValidator(schemes);
    assertTrue(urlValidator.isValid("file:///C:/path/to/dir/"));
}</t>
  </si>
  <si>
    <t>@Test
public void testValidator202() {
    final String[] schemes = { "http", "https" };
    final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testValidator391FAILS() {
    final String[] schemes = { "file" };
    final UrlValidator urlValidator = new UrlValidator(schemes);
    assertTrue(urlValidator.isValid("file:/C:/path/to/dir/"));
}</t>
  </si>
  <si>
    <t>@Test
public void testValidator202() {
    final String[] schemes = { "http", "https" };
    final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testValidator464() {
    final String[] schemes = { "file" };
    final UrlValidator urlValidator = new UrlValidator(schemes);
    final String fileNAK = "file://bad ^ domain.com/label/test";
    assertFalse(fileNAK, urlValidator.isValid(fileNAK));
}</t>
  </si>
  <si>
    <t>@Test
public void testValidator202() {
    final String[] schemes = { "http", "https" };
    final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testValidator342() {
    final UrlValidator urlValidator = new UrlValidator();
    assertTrue(urlValidator.isValid("http://example.rocks/"));
    assertTrue(urlValidator.isValid("http://example.rocks"));
}</t>
  </si>
  <si>
    <t>@Test
public void testValidator202() {
    final String[] schemes = { "http", "https" };
    final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testValidator218() {
    final UrlValidator validator = new UrlValidator(UrlValidator.ALLOW_2_SLASHES);
    assertTrue("parentheses should be valid in URLs", validator.isValid("http://somewhere.com/pathxyz/file(1).html"));
}</t>
  </si>
  <si>
    <t>@Test
public void testValidator202() {
    final String[] schemes = { "http", "https" };
    final UrlValidator urlValidator = new UrlValidator(schemes, UrlValidator.NO_FRAGMENTS);
    assertTrue(urlValidator.isValid("http://l.l.l.l.l.l.l.l.l.l.l.l.l.l.l.l.l.l.l.l.l.l.l.l.l.l.l.l.l.l.l.l.l.l.l.l.l.l.l.l.l.l.l.l.l.l.l.l.l.l.l.l.l.l.l.l.l.l.l.org"));
}
@Test
public void testFragments() {
    final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</si>
  <si>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@Test
public void testValidator202() {
    final String[] schemes = { "http", "https" };
    final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testValidator452() {
    final UrlValidator urlValidator = new UrlValidator();
    assertTrue(urlValidator.isValid("http://[::FFFF:129.144.52.38]:80/index.html"));
}</t>
  </si>
  <si>
    <t>@Test
public void testValidator202() {
    final String[] schemes = { "http", "https" };
    final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testValidator283() {
    final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</si>
  <si>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testValidator202() {
    final String[] schemes = { "http", "https" };
    final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testValidator382() {
    final UrlValidator validator = new UrlValidator();
    assertTrue(validator.isValid("ftp://username:password@example.com:8042/over/there/index.dtb?type=animal&amp;name=narwhal#nose"));
}</t>
  </si>
  <si>
    <t>@Test
public void testValidator202() {
    final String[] schemes = { "http", "https" };
    final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testValidator361() {
    final UrlValidator validator = new UrlValidator();
    assertTrue(validator.isValid("http://hello.tokyo/"));
}</t>
  </si>
  <si>
    <t>@Test
public void testValidator202() {
    final String[] schemes = { "http", "https" };
    final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testValidator420() {
    final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</si>
  <si>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testValidator202() {
    final String[] schemes = { "http", "https" };
    final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testValidator380() {
    final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</si>
  <si>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testValidator202() {
    final String[] schemes = { "http", "https" };
    final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testValidator411() {
    final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</si>
  <si>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@Test
public void testValidator202() {
    final String[] schemes = { "http", "https" };
    final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testValidator339() {
    final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</si>
  <si>
    <t>@Test
public void testValidator202() {
    final String[] schemes = { "http", "https" };
    final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testValidator467() {
    final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</si>
  <si>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@Test
public void testValidator202() {
    final String[] schemes = { "http", "https" };
    final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testValidator339IDN() {
    final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</si>
  <si>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@Test
public void testValidator202() {
    final String[] schemes = { "http", "https" };
    final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</si>
  <si>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@Test
public void testValidator202() {
    final String[] schemes = { "http", "https" };
    final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testValidator353() {
    // userinfo
    final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</si>
  <si>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@Test
public void testValidator202() {
    final String[] schemes = { "http", "https" };
    final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</t>
  </si>
  <si>
    <t>@Test
public void testValidator202() {
    final String[] schemes = { "http", "https" };
    final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testValidator363() {
    final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</si>
  <si>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@Test
public void testValidator202() {
    final String[] schemes = { "http", "https" };
    final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</t>
  </si>
  <si>
    <t>@Test
public void testValidator202() {
    final String[] schemes = { "http", "https" };
    final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testValidator290() {
    final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</si>
  <si>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@Test
public void testValidator204() {
    final String[] schemes = { "http", "https" };
    final UrlValidator urlValidator = new UrlValidator(schemes);
    assertTrue(urlValidator.isValid("http://tech.yahoo.com/rc/desktops/102;_ylt=Ao8yevQHlZ4On0O3ZJGXLEQFLZA5"));
}
@Test
public void testValidator391OK() {
    final String[] schemes = { "file" };
    final UrlValidator urlValidator = new UrlValidator(schemes);
    assertTrue(urlValidator.isValid("file:///C:/path/to/dir/"));
}</t>
  </si>
  <si>
    <t>@Test
public void testValidator204() {
    final String[] schemes = { "http", "https" };
    final UrlValidator urlValidator = new UrlValidator(schemes);
    assertTrue(urlValidator.isValid("http://tech.yahoo.com/rc/desktops/102;_ylt=Ao8yevQHlZ4On0O3ZJGXLEQFLZA5"));
}
@Test
public void testValidator391FAILS() {
    final String[] schemes = { "file" };
    final UrlValidator urlValidator = new UrlValidator(schemes);
    assertTrue(urlValidator.isValid("file:/C:/path/to/dir/"));
}</t>
  </si>
  <si>
    <t>@Test
public void testValidator204() {
    final String[] schemes = { "http", "https" };
    final UrlValidator urlValidator = new UrlValidator(schemes);
    assertTrue(urlValidator.isValid("http://tech.yahoo.com/rc/desktops/102;_ylt=Ao8yevQHlZ4On0O3ZJGXLEQFLZA5"));
}
@Test
public void testValidator464() {
    final String[] schemes = { "file" };
    final UrlValidator urlValidator = new UrlValidator(schemes);
    final String fileNAK = "file://bad ^ domain.com/label/test";
    assertFalse(fileNAK, urlValidator.isValid(fileNAK));
}</t>
  </si>
  <si>
    <t>@Test
public void testValidator204() {
    final String[] schemes = { "http", "https" };
    final UrlValidator urlValidator = new UrlValidator(schemes);
    assertTrue(urlValidator.isValid("http://tech.yahoo.com/rc/desktops/102;_ylt=Ao8yevQHlZ4On0O3ZJGXLEQFLZA5"));
}
@Test
public void testValidator452() {
    final UrlValidator urlValidator = new UrlValidator();
    assertTrue(urlValidator.isValid("http://[::FFFF:129.144.52.38]:80/index.html"));
}</t>
  </si>
  <si>
    <t>@Test
public void testValidator204() {
    final String[] schemes = { "http", "https" };
    final UrlValidator urlValidator = new UrlValidator(schemes);
    assertTrue(urlValidator.isValid("http://tech.yahoo.com/rc/desktops/102;_ylt=Ao8yevQHlZ4On0O3ZJGXLEQFLZA5"));
}
@Test
public void testValidator382() {
    final UrlValidator validator = new UrlValidator();
    assertTrue(validator.isValid("ftp://username:password@example.com:8042/over/there/index.dtb?type=animal&amp;name=narwhal#nose"));
}</t>
  </si>
  <si>
    <t>@Test
public void testValidator204() {
    final String[] schemes = { "http", "https" };
    final UrlValidator urlValidator = new UrlValidator(schemes);
    assertTrue(urlValidator.isValid("http://tech.yahoo.com/rc/desktops/102;_ylt=Ao8yevQHlZ4On0O3ZJGXLEQFLZA5"));
}
@Test
public void testValidator361() {
    final UrlValidator validator = new UrlValidator();
    assertTrue(validator.isValid("http://hello.tokyo/"));
}</t>
  </si>
  <si>
    <t>@Test
public void testValidator204() {
    final String[] schemes = { "http", "https" };
    final UrlValidator urlValidator = new UrlValidator(schemes);
    assertTrue(urlValidator.isValid("http://tech.yahoo.com/rc/desktops/102;_ylt=Ao8yevQHlZ4On0O3ZJGXLEQFLZA5"));
}
@Test
public void testValidator342() {
    final UrlValidator urlValidator = new UrlValidator();
    assertTrue(urlValidator.isValid("http://example.rocks/"));
    assertTrue(urlValidator.isValid("http://example.rocks"));
}</t>
  </si>
  <si>
    <t>@Test
public void testValidator204() {
    final String[] schemes = { "http", "https" };
    final UrlValidator urlValidator = new UrlValidator(schemes);
    assertTrue(urlValidator.isValid("http://tech.yahoo.com/rc/desktops/102;_ylt=Ao8yevQHlZ4On0O3ZJGXLEQFLZA5"));
}
@Test
public void testValidator218() {
    final UrlValidator validator = new UrlValidator(UrlValidator.ALLOW_2_SLASHES);
    assertTrue("parentheses should be valid in URLs", validator.isValid("http://somewhere.com/pathxyz/file(1).html"));
}</t>
  </si>
  <si>
    <t>@Test
public void testValidator204() {
    final String[] schemes = { "http", "https" };
    final UrlValidator urlValidator = new UrlValidator(schemes);
    assertTrue(urlValidator.isValid("http://tech.yahoo.com/rc/desktops/102;_ylt=Ao8yevQHlZ4On0O3ZJGXLEQFLZA5"));
}
@Test
public void testValidator283() {
    final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</si>
  <si>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testValidator204() {
    final String[] schemes = { "http", "https" };
    final UrlValidator urlValidator = new UrlValidator(schemes);
    assertTrue(urlValidator.isValid("http://tech.yahoo.com/rc/desktops/102;_ylt=Ao8yevQHlZ4On0O3ZJGXLEQFLZA5"));
}
@Test
public void testFragments() {
    final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</si>
  <si>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@Test
public void testValidator204() {
    final String[] schemes = { "http", "https" };
    final UrlValidator urlValidator = new UrlValidator(schemes);
    assertTrue(urlValidator.isValid("http://tech.yahoo.com/rc/desktops/102;_ylt=Ao8yevQHlZ4On0O3ZJGXLEQFLZA5"));
}
@Test
public void testValidator420() {
    final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</si>
  <si>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testValidator204() {
    final String[] schemes = { "http", "https" };
    final UrlValidator urlValidator = new UrlValidator(schemes);
    assertTrue(urlValidator.isValid("http://tech.yahoo.com/rc/desktops/102;_ylt=Ao8yevQHlZ4On0O3ZJGXLEQFLZA5"));
}
@Test
public void testValidator380() {
    final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</si>
  <si>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testValidator204() {
    final String[] schemes = { "http", "https" };
    final UrlValidator urlValidator = new UrlValidator(schemes);
    assertTrue(urlValidator.isValid("http://tech.yahoo.com/rc/desktops/102;_ylt=Ao8yevQHlZ4On0O3ZJGXLEQFLZA5"));
}
@Test
public void testValidator467() {
    final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</si>
  <si>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@Test
public void testValidator204() {
    final String[] schemes = { "http", "https" };
    final UrlValidator urlValidator = new UrlValidator(schemes);
    assertTrue(urlValidator.isValid("http://tech.yahoo.com/rc/desktops/102;_ylt=Ao8yevQHlZ4On0O3ZJGXLEQFLZA5"));
}
@Test
public void testValidator411() {
    final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</si>
  <si>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@Test
public void testValidator204() {
    final String[] schemes = { "http", "https" };
    final UrlValidator urlValidator = new UrlValidator(schemes);
    assertTrue(urlValidator.isValid("http://tech.yahoo.com/rc/desktops/102;_ylt=Ao8yevQHlZ4On0O3ZJGXLEQFLZA5"));
}
@Test
public void testValidator339() {
    final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</si>
  <si>
    <t>@Test
public void testValidator204() {
    final String[] schemes = { "http", "https" };
    final UrlValidator urlValidator = new UrlValidator(schemes);
    assertTrue(urlValidator.isValid("http://tech.yahoo.com/rc/desktops/102;_ylt=Ao8yevQHlZ4On0O3ZJGXLEQFLZA5"));
}
@Test
public void testValidator339IDN() {
    final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</si>
  <si>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@Test
public void testValidator204() {
    final String[] schemes = { "http", "https" };
    final UrlValidator urlValidator = new UrlValidator(schemes);
    assertTrue(urlValidator.isValid("http://tech.yahoo.com/rc/desktops/102;_ylt=Ao8yevQHlZ4On0O3ZJGXLEQFLZA5"));
}
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</si>
  <si>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@Test
public void testValidator204() {
    final String[] schemes = { "http", "https" };
    final UrlValidator urlValidator = new UrlValidator(schemes);
    assertTrue(urlValidator.isValid("http://tech.yahoo.com/rc/desktops/102;_ylt=Ao8yevQHlZ4On0O3ZJGXLEQFLZA5"));
}
@Test
public void testValidator353() {
    // userinfo
    final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</si>
  <si>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@Test
public void testValidator204() {
    final String[] schemes = { "http", "https" };
    final UrlValidator urlValidator = new UrlValidator(schemes);
    assertTrue(urlValidator.isValid("http://tech.yahoo.com/rc/desktops/102;_ylt=Ao8yevQHlZ4On0O3ZJGXLEQFLZA5"));
}
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</t>
  </si>
  <si>
    <t>@Test
public void testValidator204() {
    final String[] schemes = { "http", "https" };
    final UrlValidator urlValidator = new UrlValidator(schemes);
    assertTrue(urlValidator.isValid("http://tech.yahoo.com/rc/desktops/102;_ylt=Ao8yevQHlZ4On0O3ZJGXLEQFLZA5"));
}
@Test
public void testValidator363() {
    final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</si>
  <si>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@Test
public void testValidator204() {
    final String[] schemes = { "http", "https" };
    final UrlValidator urlValidator = new UrlValidator(schemes);
    assertTrue(urlValidator.isValid("http://tech.yahoo.com/rc/desktops/102;_ylt=Ao8yevQHlZ4On0O3ZJGXLEQFLZA5"));
}
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</t>
  </si>
  <si>
    <t>@Test
public void testValidator204() {
    final String[] schemes = { "http", "https" };
    final UrlValidator urlValidator = new UrlValidator(schemes);
    assertTrue(urlValidator.isValid("http://tech.yahoo.com/rc/desktops/102;_ylt=Ao8yevQHlZ4On0O3ZJGXLEQFLZA5"));
}
@Test
public void testValidator290() {
    final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</si>
  <si>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@Test
public void testValidator218() {
    final UrlValidator validator = new UrlValidator(UrlValidator.ALLOW_2_SLASHES);
    assertTrue("parentheses should be valid in URLs", validator.isValid("http://somewhere.com/pathxyz/file(1).html"));
}
@Test
public void testValidator283() {
    final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</si>
  <si>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testValidator218() {
    final UrlValidator validator = new UrlValidator(UrlValidator.ALLOW_2_SLASHES);
    assertTrue("parentheses should be valid in URLs", validator.isValid("http://somewhere.com/pathxyz/file(1).html"));
}
@Test
public void testValidator382() {
    final UrlValidator validator = new UrlValidator();
    assertTrue(validator.isValid("ftp://username:password@example.com:8042/over/there/index.dtb?type=animal&amp;name=narwhal#nose"));
}</t>
  </si>
  <si>
    <t>@Test
public void testValidator218() {
    final UrlValidator validator = new UrlValidator(UrlValidator.ALLOW_2_SLASHES);
    assertTrue("parentheses should be valid in URLs", validator.isValid("http://somewhere.com/pathxyz/file(1).html"));
}
@Test
public void testValidator361() {
    final UrlValidator validator = new UrlValidator();
    assertTrue(validator.isValid("http://hello.tokyo/"));
}</t>
  </si>
  <si>
    <t>@Test
public void testValidator218() {
    final UrlValidator validator = new UrlValidator(UrlValidator.ALLOW_2_SLASHES);
    assertTrue("parentheses should be valid in URLs", validator.isValid("http://somewhere.com/pathxyz/file(1).html"));
}
@Test
public void testValidator342() {
    final UrlValidator urlValidator = new UrlValidator();
    assertTrue(urlValidator.isValid("http://example.rocks/"));
    assertTrue(urlValidator.isValid("http://example.rocks"));
}</t>
  </si>
  <si>
    <t>@Test
public void testValidator218() {
    final UrlValidator validator = new UrlValidator(UrlValidator.ALLOW_2_SLASHES);
    assertTrue("parentheses should be valid in URLs", validator.isValid("http://somewhere.com/pathxyz/file(1).html"));
}
@Test
public void testValidator452() {
    final UrlValidator urlValidator = new UrlValidator();
    assertTrue(urlValidator.isValid("http://[::FFFF:129.144.52.38]:80/index.html"));
}</t>
  </si>
  <si>
    <t>@Test
public void testValidator218() {
    final UrlValidator validator = new UrlValidator(UrlValidator.ALLOW_2_SLASHES);
    assertTrue("parentheses should be valid in URLs", validator.isValid("http://somewhere.com/pathxyz/file(1).html"));
}
@Test
public void testValidator420() {
    final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</si>
  <si>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testValidator218() {
    final UrlValidator validator = new UrlValidator(UrlValidator.ALLOW_2_SLASHES);
    assertTrue("parentheses should be valid in URLs", validator.isValid("http://somewhere.com/pathxyz/file(1).html"));
}
@Test
public void testValidator380() {
    final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</si>
  <si>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testValidator218() {
    final UrlValidator validator = new UrlValidator(UrlValidator.ALLOW_2_SLASHES);
    assertTrue("parentheses should be valid in URLs", validator.isValid("http://somewhere.com/pathxyz/file(1).html"));
}
@Test
public void testValidator391OK() {
    final String[] schemes = { "file" };
    final UrlValidator urlValidator = new UrlValidator(schemes);
    assertTrue(urlValidator.isValid("file:///C:/path/to/dir/"));
}</t>
  </si>
  <si>
    <t>@Test
public void testValidator218() {
    final UrlValidator validator = new UrlValidator(UrlValidator.ALLOW_2_SLASHES);
    assertTrue("parentheses should be valid in URLs", validator.isValid("http://somewhere.com/pathxyz/file(1).html"));
}
@Test
public void testValidator391FAILS() {
    final String[] schemes = { "file" };
    final UrlValidator urlValidator = new UrlValidator(schemes);
    assertTrue(urlValidator.isValid("file:/C:/path/to/dir/"));
}</t>
  </si>
  <si>
    <t>@Test
public void testValidator218() {
    final UrlValidator validator = new UrlValidator(UrlValidator.ALLOW_2_SLASHES);
    assertTrue("parentheses should be valid in URLs", validator.isValid("http://somewhere.com/pathxyz/file(1).html"));
}
@Test
public void testValidator467() {
    final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</si>
  <si>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@Test
public void testValidator218() {
    final UrlValidator validator = new UrlValidator(UrlValidator.ALLOW_2_SLASHES);
    assertTrue("parentheses should be valid in URLs", validator.isValid("http://somewhere.com/pathxyz/file(1).html"));
}
@Test
public void testValidator464() {
    final String[] schemes = { "file" };
    final UrlValidator urlValidator = new UrlValidator(schemes);
    final String fileNAK = "file://bad ^ domain.com/label/test";
    assertFalse(fileNAK, urlValidator.isValid(fileNAK));
}</t>
  </si>
  <si>
    <t>@Test
public void testValidator218() {
    final UrlValidator validator = new UrlValidator(UrlValidator.ALLOW_2_SLASHES);
    assertTrue("parentheses should be valid in URLs", validator.isValid("http://somewhere.com/pathxyz/file(1).html"));
}
@Test
public void testValidator411() {
    final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</si>
  <si>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@Test
public void testValidator218() {
    final UrlValidator validator = new UrlValidator(UrlValidator.ALLOW_2_SLASHES);
    assertTrue("parentheses should be valid in URLs", validator.isValid("http://somewhere.com/pathxyz/file(1).html"));
}
@Test
public void testValidator339() {
    final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</si>
  <si>
    <t>@Test
public void testValidator218() {
    final UrlValidator validator = new UrlValidator(UrlValidator.ALLOW_2_SLASHES);
    assertTrue("parentheses should be valid in URLs", validator.isValid("http://somewhere.com/pathxyz/file(1).html"));
}
@Test
public void testValidator339IDN() {
    final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</si>
  <si>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@Test
public void testValidator218() {
    final UrlValidator validator = new UrlValidator(UrlValidator.ALLOW_2_SLASHES);
    assertTrue("parentheses should be valid in URLs", validator.isValid("http://somewhere.com/pathxyz/file(1).html"));
}
@Test
public void testFragments() {
    final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</si>
  <si>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@Test
public void testValidator218() {
    final UrlValidator validator = new UrlValidator(UrlValidator.ALLOW_2_SLASHES);
    assertTrue("parentheses should be valid in URLs", validator.isValid("http://somewhere.com/pathxyz/file(1).html"));
}
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</si>
  <si>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@Test
public void testValidator218() {
    final UrlValidator validator = new UrlValidator(UrlValidator.ALLOW_2_SLASHES);
    assertTrue("parentheses should be valid in URLs", validator.isValid("http://somewhere.com/pathxyz/file(1).html"));
}
@Test
public void testValidator353() {
    // userinfo
    final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</si>
  <si>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@Test
public void testValidator218() {
    final UrlValidator validator = new UrlValidator(UrlValidator.ALLOW_2_SLASHES);
    assertTrue("parentheses should be valid in URLs", validator.isValid("http://somewhere.com/pathxyz/file(1).html"));
}
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</t>
  </si>
  <si>
    <t>@Test
public void testValidator218() {
    final UrlValidator validator = new UrlValidator(UrlValidator.ALLOW_2_SLASHES);
    assertTrue("parentheses should be valid in URLs", validator.isValid("http://somewhere.com/pathxyz/file(1).html"));
}
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</t>
  </si>
  <si>
    <t>@Test
public void testValidator218() {
    final UrlValidator validator = new UrlValidator(UrlValidator.ALLOW_2_SLASHES);
    assertTrue("parentheses should be valid in URLs", validator.isValid("http://somewhere.com/pathxyz/file(1).html"));
}
@Test
public void testValidator363() {
    final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</si>
  <si>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@Test
public void testValidator218() {
    final UrlValidator validator = new UrlValidator(UrlValidator.ALLOW_2_SLASHES);
    assertTrue("parentheses should be valid in URLs", validator.isValid("http://somewhere.com/pathxyz/file(1).html"));
}
@Test
public void testValidator290() {
    final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</si>
  <si>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testValidator353() {
    // userinfo
    final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</si>
  <si>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testValidator363() {
    final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</si>
  <si>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testValidator339() {
    final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</si>
  <si>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testValidator411() {
    final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</si>
  <si>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testValidator339IDN() {
    final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</si>
  <si>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testValidator467() {
    final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</si>
  <si>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testValidator290() {
    final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</si>
  <si>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testFragments() {
    final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</si>
  <si>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testValidator420() {
    final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</si>
  <si>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testValidator380() {
    final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</si>
  <si>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testValidator283() {
    final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</si>
  <si>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testValidator342() {
    final UrlValidator urlValidator = new UrlValidator();
    assertTrue(urlValidator.isValid("http://example.rocks/"));
    assertTrue(urlValidator.isValid("http://example.rocks"));
}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</si>
  <si>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testValidator464() {
    final String[] schemes = { "file" };
    final UrlValidator urlValidator = new UrlValidator(schemes);
    final String fileNAK = "file://bad ^ domain.com/label/test";
    assertFalse(fileNAK, urlValidator.isValid(fileNAK));
}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</si>
  <si>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testValidator391OK() {
    final String[] schemes = { "file" };
    final UrlValidator urlValidator = new UrlValidator(schemes);
    assertTrue(urlValidator.isValid("file:///C:/path/to/dir/"));
}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</si>
  <si>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testValidator391FAILS() {
    final String[] schemes = { "file" };
    final UrlValidator urlValidator = new UrlValidator(schemes);
    assertTrue(urlValidator.isValid("file:/C:/path/to/dir/"));
}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</si>
  <si>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testValidator452() {
    final UrlValidator urlValidator = new UrlValidator();
    assertTrue(urlValidator.isValid("http://[::FFFF:129.144.52.38]:80/index.html"));
}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</si>
  <si>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testValidator382() {
    final UrlValidator validator = new UrlValidator();
    assertTrue(validator.isValid("ftp://username:password@example.com:8042/over/there/index.dtb?type=animal&amp;name=narwhal#nose"));
}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</si>
  <si>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testValidator361() {
    final UrlValidator validator = new UrlValidator();
    assertTrue(validator.isValid("http://hello.tokyo/"));
}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</si>
  <si>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testValidator363() {
    final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</si>
  <si>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testValidator290() {
    final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</si>
  <si>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testValidator353() {
    // userinfo
    final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</si>
  <si>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testValidator411() {
    final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</si>
  <si>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testValidator339() {
    final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</si>
  <si>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testValidator339IDN() {
    final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</si>
  <si>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testValidator467() {
    final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</si>
  <si>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testFragments() {
    final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</si>
  <si>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testValidator420() {
    final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</si>
  <si>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testValidator380() {
    final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</si>
  <si>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testValidator342() {
    final UrlValidator urlValidator = new UrlValidator();
    assertTrue(urlValidator.isValid("http://example.rocks/"));
    assertTrue(urlValidator.isValid("http://example.rocks"));
}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</si>
  <si>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testValidator464() {
    final String[] schemes = { "file" };
    final UrlValidator urlValidator = new UrlValidator(schemes);
    final String fileNAK = "file://bad ^ domain.com/label/test";
    assertFalse(fileNAK, urlValidator.isValid(fileNAK));
}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</si>
  <si>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testValidator283() {
    final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</si>
  <si>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testValidator391OK() {
    final String[] schemes = { "file" };
    final UrlValidator urlValidator = new UrlValidator(schemes);
    assertTrue(urlValidator.isValid("file:///C:/path/to/dir/"));
}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</si>
  <si>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testValidator391FAILS() {
    final String[] schemes = { "file" };
    final UrlValidator urlValidator = new UrlValidator(schemes);
    assertTrue(urlValidator.isValid("file:/C:/path/to/dir/"));
}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</si>
  <si>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testValidator452() {
    final UrlValidator urlValidator = new UrlValidator();
    assertTrue(urlValidator.isValid("http://[::FFFF:129.144.52.38]:80/index.html"));
}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</si>
  <si>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testValidator382() {
    final UrlValidator validator = new UrlValidator();
    assertTrue(validator.isValid("ftp://username:password@example.com:8042/over/there/index.dtb?type=animal&amp;name=narwhal#nose"));
}</t>
  </si>
  <si>
    <t>@Test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Only allow forward slashes
    assertFalse(// Only allow forward slashes
    "file:///c:\\ should not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@Test
public void testValidator361() {
    final UrlValidator validator = new UrlValidator();
    assertTrue(validator.isValid("http://hello.tokyo/"));
}</t>
  </si>
  <si>
    <t>@Test
public void testValidator391OK() {
    final String[] schemes = { "file" };
    final UrlValidator urlValidator = new UrlValidator(schemes);
    assertTrue(urlValidator.isValid("file:///C:/path/to/dir/"));
}
@Test
public void testValidator391FAILS() {
    final String[] schemes = { "file" };
    final UrlValidator urlValidator = new UrlValidator(schemes);
    assertTrue(urlValidator.isValid("file:/C:/path/to/dir/"));
}</t>
  </si>
  <si>
    <t>@Test
public void testValidator391OK() {
    final String[] schemes = { "file" };
    final UrlValidator urlValidator = new UrlValidator(schemes);
    assertTrue(urlValidator.isValid("file:///C:/path/to/dir/"));
}
@Test
public void testValidator464() {
    final String[] schemes = { "file" };
    final UrlValidator urlValidator = new UrlValidator(schemes);
    final String fileNAK = "file://bad ^ domain.com/label/test";
    assertFalse(fileNAK, urlValidator.isValid(fileNAK));
}</t>
  </si>
  <si>
    <t>@Test
public void testValidator391OK() {
    final String[] schemes = { "file" };
    final UrlValidator urlValidator = new UrlValidator(schemes);
    assertTrue(urlValidator.isValid("file:///C:/path/to/dir/"));
}
@Test
public void testValidator452() {
    final UrlValidator urlValidator = new UrlValidator();
    assertTrue(urlValidator.isValid("http://[::FFFF:129.144.52.38]:80/index.html"));
}</t>
  </si>
  <si>
    <t>@Test
public void testValidator391OK() {
    final String[] schemes = { "file" };
    final UrlValidator urlValidator = new UrlValidator(schemes);
    assertTrue(urlValidator.isValid("file:///C:/path/to/dir/"));
}
@Test
public void testValidator361() {
    final UrlValidator validator = new UrlValidator();
    assertTrue(validator.isValid("http://hello.tokyo/"));
}</t>
  </si>
  <si>
    <t>@Test
public void testValidator391OK() {
    final String[] schemes = { "file" };
    final UrlValidator urlValidator = new UrlValidator(schemes);
    assertTrue(urlValidator.isValid("file:///C:/path/to/dir/"));
}
@Test
public void testValidator382() {
    final UrlValidator validator = new UrlValidator();
    assertTrue(validator.isValid("ftp://username:password@example.com:8042/over/there/index.dtb?type=animal&amp;name=narwhal#nose"));
}</t>
  </si>
  <si>
    <t>@Test
public void testValidator391OK() {
    final String[] schemes = { "file" };
    final UrlValidator urlValidator = new UrlValidator(schemes);
    assertTrue(urlValidator.isValid("file:///C:/path/to/dir/"));
}
@Test
public void testValidator342() {
    final UrlValidator urlValidator = new UrlValidator();
    assertTrue(urlValidator.isValid("http://example.rocks/"));
    assertTrue(urlValidator.isValid("http://example.rocks"));
}</t>
  </si>
  <si>
    <t>@Test
public void testValidator391OK() {
    final String[] schemes = { "file" };
    final UrlValidator urlValidator = new UrlValidator(schemes);
    assertTrue(urlValidator.isValid("file:///C:/path/to/dir/"));
}
@Test
public void testValidator283() {
    final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</si>
  <si>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testValidator391OK() {
    final String[] schemes = { "file" };
    final UrlValidator urlValidator = new UrlValidator(schemes);
    assertTrue(urlValidator.isValid("file:///C:/path/to/dir/"));
}
@Test
public void testFragments() {
    final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</si>
  <si>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@Test
public void testValidator391OK() {
    final String[] schemes = { "file" };
    final UrlValidator urlValidator = new UrlValidator(schemes);
    assertTrue(urlValidator.isValid("file:///C:/path/to/dir/"));
}
@Test
public void testValidator380() {
    final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</si>
  <si>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testValidator391OK() {
    final String[] schemes = { "file" };
    final UrlValidator urlValidator = new UrlValidator(schemes);
    assertTrue(urlValidator.isValid("file:///C:/path/to/dir/"));
}
@Test
public void testValidator420() {
    final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</si>
  <si>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testValidator391OK() {
    final String[] schemes = { "file" };
    final UrlValidator urlValidator = new UrlValidator(schemes);
    assertTrue(urlValidator.isValid("file:///C:/path/to/dir/"));
}
@Test
public void testValidator467() {
    final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</si>
  <si>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@Test
public void testValidator391OK() {
    final String[] schemes = { "file" };
    final UrlValidator urlValidator = new UrlValidator(schemes);
    assertTrue(urlValidator.isValid("file:///C:/path/to/dir/"));
}
@Test
public void testValidator339IDN() {
    final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</si>
  <si>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@Test
public void testValidator391OK() {
    final String[] schemes = { "file" };
    final UrlValidator urlValidator = new UrlValidator(schemes);
    assertTrue(urlValidator.isValid("file:///C:/path/to/dir/"));
}
@Test
public void testValidator411() {
    final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</si>
  <si>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@Test
public void testValidator391OK() {
    final String[] schemes = { "file" };
    final UrlValidator urlValidator = new UrlValidator(schemes);
    assertTrue(urlValidator.isValid("file:///C:/path/to/dir/"));
}
@Test
public void testValidator339() {
    final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</si>
  <si>
    <t>@Test
public void testValidator391OK() {
    final String[] schemes = { "file" };
    final UrlValidator urlValidator = new UrlValidator(schemes);
    assertTrue(urlValidator.isValid("file:///C:/path/to/dir/"));
}
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</si>
  <si>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@Test
public void testValidator391OK() {
    final String[] schemes = { "file" };
    final UrlValidator urlValidator = new UrlValidator(schemes);
    assertTrue(urlValidator.isValid("file:///C:/path/to/dir/"));
}
@Test
public void testValidator353() {
    // userinfo
    final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</si>
  <si>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@Test
public void testValidator391OK() {
    final String[] schemes = { "file" };
    final UrlValidator urlValidator = new UrlValidator(schemes);
    assertTrue(urlValidator.isValid("file:///C:/path/to/dir/"));
}
@Test
public void testValidator363() {
    final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</si>
  <si>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@Test
public void testValidator391OK() {
    final String[] schemes = { "file" };
    final UrlValidator urlValidator = new UrlValidator(schemes);
    assertTrue(urlValidator.isValid("file:///C:/path/to/dir/"));
}
@Test
public void testValidator290() {
    final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</si>
  <si>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@Test
public void testValidator391FAILS() {
    final String[] schemes = { "file" };
    final UrlValidator urlValidator = new UrlValidator(schemes);
    assertTrue(urlValidator.isValid("file:/C:/path/to/dir/"));
}
@Test
public void testValidator464() {
    final String[] schemes = { "file" };
    final UrlValidator urlValidator = new UrlValidator(schemes);
    final String fileNAK = "file://bad ^ domain.com/label/test";
    assertFalse(fileNAK, urlValidator.isValid(fileNAK));
}</t>
  </si>
  <si>
    <t>@Test
public void testValidator391FAILS() {
    final String[] schemes = { "file" };
    final UrlValidator urlValidator = new UrlValidator(schemes);
    assertTrue(urlValidator.isValid("file:/C:/path/to/dir/"));
}
@Test
public void testValidator452() {
    final UrlValidator urlValidator = new UrlValidator();
    assertTrue(urlValidator.isValid("http://[::FFFF:129.144.52.38]:80/index.html"));
}</t>
  </si>
  <si>
    <t>@Test
public void testValidator391FAILS() {
    final String[] schemes = { "file" };
    final UrlValidator urlValidator = new UrlValidator(schemes);
    assertTrue(urlValidator.isValid("file:/C:/path/to/dir/"));
}
@Test
public void testValidator361() {
    final UrlValidator validator = new UrlValidator();
    assertTrue(validator.isValid("http://hello.tokyo/"));
}</t>
  </si>
  <si>
    <t>@Test
public void testValidator391FAILS() {
    final String[] schemes = { "file" };
    final UrlValidator urlValidator = new UrlValidator(schemes);
    assertTrue(urlValidator.isValid("file:/C:/path/to/dir/"));
}
@Test
public void testValidator382() {
    final UrlValidator validator = new UrlValidator();
    assertTrue(validator.isValid("ftp://username:password@example.com:8042/over/there/index.dtb?type=animal&amp;name=narwhal#nose"));
}</t>
  </si>
  <si>
    <t>@Test
public void testValidator391FAILS() {
    final String[] schemes = { "file" };
    final UrlValidator urlValidator = new UrlValidator(schemes);
    assertTrue(urlValidator.isValid("file:/C:/path/to/dir/"));
}
@Test
public void testValidator342() {
    final UrlValidator urlValidator = new UrlValidator();
    assertTrue(urlValidator.isValid("http://example.rocks/"));
    assertTrue(urlValidator.isValid("http://example.rocks"));
}</t>
  </si>
  <si>
    <t>@Test
public void testValidator391FAILS() {
    final String[] schemes = { "file" };
    final UrlValidator urlValidator = new UrlValidator(schemes);
    assertTrue(urlValidator.isValid("file:/C:/path/to/dir/"));
}
@Test
public void testValidator283() {
    final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</si>
  <si>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testValidator391FAILS() {
    final String[] schemes = { "file" };
    final UrlValidator urlValidator = new UrlValidator(schemes);
    assertTrue(urlValidator.isValid("file:/C:/path/to/dir/"));
}
@Test
public void testFragments() {
    final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</si>
  <si>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@Test
public void testValidator391FAILS() {
    final String[] schemes = { "file" };
    final UrlValidator urlValidator = new UrlValidator(schemes);
    assertTrue(urlValidator.isValid("file:/C:/path/to/dir/"));
}
@Test
public void testValidator380() {
    final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</si>
  <si>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testValidator391FAILS() {
    final String[] schemes = { "file" };
    final UrlValidator urlValidator = new UrlValidator(schemes);
    assertTrue(urlValidator.isValid("file:/C:/path/to/dir/"));
}
@Test
public void testValidator420() {
    final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</si>
  <si>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testValidator391FAILS() {
    final String[] schemes = { "file" };
    final UrlValidator urlValidator = new UrlValidator(schemes);
    assertTrue(urlValidator.isValid("file:/C:/path/to/dir/"));
}
@Test
public void testValidator467() {
    final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</si>
  <si>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@Test
public void testValidator391FAILS() {
    final String[] schemes = { "file" };
    final UrlValidator urlValidator = new UrlValidator(schemes);
    assertTrue(urlValidator.isValid("file:/C:/path/to/dir/"));
}
@Test
public void testValidator339IDN() {
    final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</si>
  <si>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@Test
public void testValidator391FAILS() {
    final String[] schemes = { "file" };
    final UrlValidator urlValidator = new UrlValidator(schemes);
    assertTrue(urlValidator.isValid("file:/C:/path/to/dir/"));
}
@Test
public void testValidator411() {
    final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</si>
  <si>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@Test
public void testValidator391FAILS() {
    final String[] schemes = { "file" };
    final UrlValidator urlValidator = new UrlValidator(schemes);
    assertTrue(urlValidator.isValid("file:/C:/path/to/dir/"));
}
@Test
public void testValidator339() {
    final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</si>
  <si>
    <t>@Test
public void testValidator391FAILS() {
    final String[] schemes = { "file" };
    final UrlValidator urlValidator = new UrlValidator(schemes);
    assertTrue(urlValidator.isValid("file:/C:/path/to/dir/"));
}
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</si>
  <si>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@Test
public void testValidator391FAILS() {
    final String[] schemes = { "file" };
    final UrlValidator urlValidator = new UrlValidator(schemes);
    assertTrue(urlValidator.isValid("file:/C:/path/to/dir/"));
}
@Test
public void testValidator353() {
    // userinfo
    final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</si>
  <si>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@Test
public void testValidator391FAILS() {
    final String[] schemes = { "file" };
    final UrlValidator urlValidator = new UrlValidator(schemes);
    assertTrue(urlValidator.isValid("file:/C:/path/to/dir/"));
}
@Test
public void testValidator363() {
    final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</si>
  <si>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@Test
public void testValidator391FAILS() {
    final String[] schemes = { "file" };
    final UrlValidator urlValidator = new UrlValidator(schemes);
    assertTrue(urlValidator.isValid("file:/C:/path/to/dir/"));
}
@Test
public void testValidator290() {
    final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</si>
  <si>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@Test
public void testValidator411() {
    final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</si>
  <si>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@Test
public void testValidator339() {
    final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</si>
  <si>
    <t>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@Test
public void testValidator339IDN() {
    final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</si>
  <si>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@Test
public void testValidator353() {
    // userinfo
    final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</si>
  <si>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@Test
public void testValidator467() {
    final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</si>
  <si>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@Test
public void testValidator363() {
    final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</si>
  <si>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@Test
public void testValidator380() {
    final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</si>
  <si>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@Test
public void testValidator420() {
    final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</si>
  <si>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@Test
public void testFragments() {
    final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</si>
  <si>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@Test
public void testValidator342() {
    final UrlValidator urlValidator = new UrlValidator();
    assertTrue(urlValidator.isValid("http://example.rocks/"));
    assertTrue(urlValidator.isValid("http://example.rocks"));
}</t>
  </si>
  <si>
    <t>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@Test
public void testValidator283() {
    final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</si>
  <si>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@Test
public void testValidator464() {
    final String[] schemes = { "file" };
    final UrlValidator urlValidator = new UrlValidator(schemes);
    final String fileNAK = "file://bad ^ domain.com/label/test";
    assertFalse(fileNAK, urlValidator.isValid(fileNAK));
}</t>
  </si>
  <si>
    <t>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@Test
public void testValidator452() {
    final UrlValidator urlValidator = new UrlValidator();
    assertTrue(urlValidator.isValid("http://[::FFFF:129.144.52.38]:80/index.html"));
}</t>
  </si>
  <si>
    <t>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@Test
public void testValidator382() {
    final UrlValidator validator = new UrlValidator();
    assertTrue(validator.isValid("ftp://username:password@example.com:8042/over/there/index.dtb?type=animal&amp;name=narwhal#nose"));
}</t>
  </si>
  <si>
    <t>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@Test
public void testValidator361() {
    final UrlValidator validator = new UrlValidator();
    assertTrue(validator.isValid("http://hello.tokyo/"));
}</t>
  </si>
  <si>
    <t>@Test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@Test
public void testValidator290() {
    final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</si>
  <si>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@Test
public void testValidator339() {
    final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@Test
public void testValidator339IDN() {
    final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</si>
  <si>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@Test
public void testValidator339() {
    final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@Test
public void testValidator411() {
    final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</si>
  <si>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@Test
public void testValidator339() {
    final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@Test
public void testValidator467() {
    final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</si>
  <si>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@Test
public void testValidator339() {
    final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@Test
public void testValidator380() {
    final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</si>
  <si>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testValidator339() {
    final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@Test
public void testValidator420() {
    final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</si>
  <si>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testValidator339() {
    final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@Test
public void testValidator353() {
    // userinfo
    final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</si>
  <si>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@Test
public void testValidator339() {
    final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@Test
public void testValidator342() {
    final UrlValidator urlValidator = new UrlValidator();
    assertTrue(urlValidator.isValid("http://example.rocks/"));
    assertTrue(urlValidator.isValid("http://example.rocks"));
}</t>
  </si>
  <si>
    <t>@Test
public void testValidator339() {
    final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@Test
public void testFragments() {
    final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</si>
  <si>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@Test
public void testValidator339() {
    final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@Test
public void testValidator283() {
    final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</si>
  <si>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testValidator339() {
    final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@Test
public void testValidator464() {
    final String[] schemes = { "file" };
    final UrlValidator urlValidator = new UrlValidator(schemes);
    final String fileNAK = "file://bad ^ domain.com/label/test";
    assertFalse(fileNAK, urlValidator.isValid(fileNAK));
}</t>
  </si>
  <si>
    <t>@Test
public void testValidator339() {
    final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@Test
public void testValidator452() {
    final UrlValidator urlValidator = new UrlValidator();
    assertTrue(urlValidator.isValid("http://[::FFFF:129.144.52.38]:80/index.html"));
}</t>
  </si>
  <si>
    <t>@Test
public void testValidator339() {
    final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@Test
public void testValidator382() {
    final UrlValidator validator = new UrlValidator();
    assertTrue(validator.isValid("ftp://username:password@example.com:8042/over/there/index.dtb?type=animal&amp;name=narwhal#nose"));
}</t>
  </si>
  <si>
    <t>@Test
public void testValidator339() {
    final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@Test
public void testValidator361() {
    final UrlValidator validator = new UrlValidator();
    assertTrue(validator.isValid("http://hello.tokyo/"));
}</t>
  </si>
  <si>
    <t>@Test
public void testValidator339() {
    final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@Test
public void testValidator363() {
    final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</si>
  <si>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@Test
public void testValidator339() {
    final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@Test
public void testValidator290() {
    final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</si>
  <si>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@Test
public void testValidator339IDN() {
    final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@Test
public void testValidator411() {
    final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</si>
  <si>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@Test
public void testValidator339IDN() {
    final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@Test
public void testValidator467() {
    final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</si>
  <si>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@Test
public void testValidator339IDN() {
    final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@Test
public void testValidator380() {
    final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</si>
  <si>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testValidator339IDN() {
    final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@Test
public void testValidator420() {
    final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</si>
  <si>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testValidator339IDN() {
    final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@Test
public void testValidator353() {
    // userinfo
    final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</si>
  <si>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@Test
public void testValidator339IDN() {
    final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@Test
public void testValidator342() {
    final UrlValidator urlValidator = new UrlValidator();
    assertTrue(urlValidator.isValid("http://example.rocks/"));
    assertTrue(urlValidator.isValid("http://example.rocks"));
}</t>
  </si>
  <si>
    <t>@Test
public void testValidator339IDN() {
    final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@Test
public void testFragments() {
    final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</si>
  <si>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@Test
public void testValidator339IDN() {
    final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@Test
public void testValidator283() {
    final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</si>
  <si>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testValidator339IDN() {
    final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@Test
public void testValidator464() {
    final String[] schemes = { "file" };
    final UrlValidator urlValidator = new UrlValidator(schemes);
    final String fileNAK = "file://bad ^ domain.com/label/test";
    assertFalse(fileNAK, urlValidator.isValid(fileNAK));
}</t>
  </si>
  <si>
    <t>@Test
public void testValidator339IDN() {
    final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@Test
public void testValidator452() {
    final UrlValidator urlValidator = new UrlValidator();
    assertTrue(urlValidator.isValid("http://[::FFFF:129.144.52.38]:80/index.html"));
}</t>
  </si>
  <si>
    <t>@Test
public void testValidator339IDN() {
    final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@Test
public void testValidator382() {
    final UrlValidator validator = new UrlValidator();
    assertTrue(validator.isValid("ftp://username:password@example.com:8042/over/there/index.dtb?type=animal&amp;name=narwhal#nose"));
}</t>
  </si>
  <si>
    <t>@Test
public void testValidator339IDN() {
    final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@Test
public void testValidator361() {
    final UrlValidator validator = new UrlValidator();
    assertTrue(validator.isValid("http://hello.tokyo/"));
}</t>
  </si>
  <si>
    <t>@Test
public void testValidator339IDN() {
    final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@Test
public void testValidator363() {
    final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</si>
  <si>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@Test
public void testValidator339IDN() {
    final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@Test
public void testValidator290() {
    final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</si>
  <si>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@Test
public void testValidator342() {
    final UrlValidator urlValidator = new UrlValidator();
    assertTrue(urlValidator.isValid("http://example.rocks/"));
    assertTrue(urlValidator.isValid("http://example.rocks"));
}
@Test
public void testValidator283() {
    final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</si>
  <si>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testValidator342() {
    final UrlValidator urlValidator = new UrlValidator();
    assertTrue(urlValidator.isValid("http://example.rocks/"));
    assertTrue(urlValidator.isValid("http://example.rocks"));
}
@Test
public void testValidator380() {
    final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</si>
  <si>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testValidator342() {
    final UrlValidator urlValidator = new UrlValidator();
    assertTrue(urlValidator.isValid("http://example.rocks/"));
    assertTrue(urlValidator.isValid("http://example.rocks"));
}
@Test
public void testValidator452() {
    final UrlValidator urlValidator = new UrlValidator();
    assertTrue(urlValidator.isValid("http://[::FFFF:129.144.52.38]:80/index.html"));
}</t>
  </si>
  <si>
    <t>@Test
public void testValidator342() {
    final UrlValidator urlValidator = new UrlValidator();
    assertTrue(urlValidator.isValid("http://example.rocks/"));
    assertTrue(urlValidator.isValid("http://example.rocks"));
}
@Test
public void testValidator420() {
    final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</si>
  <si>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testValidator342() {
    final UrlValidator urlValidator = new UrlValidator();
    assertTrue(urlValidator.isValid("http://example.rocks/"));
    assertTrue(urlValidator.isValid("http://example.rocks"));
}
@Test
public void testValidator382() {
    final UrlValidator validator = new UrlValidator();
    assertTrue(validator.isValid("ftp://username:password@example.com:8042/over/there/index.dtb?type=animal&amp;name=narwhal#nose"));
}</t>
  </si>
  <si>
    <t>@Test
public void testValidator342() {
    final UrlValidator urlValidator = new UrlValidator();
    assertTrue(urlValidator.isValid("http://example.rocks/"));
    assertTrue(urlValidator.isValid("http://example.rocks"));
}
@Test
public void testValidator361() {
    final UrlValidator validator = new UrlValidator();
    assertTrue(validator.isValid("http://hello.tokyo/"));
}</t>
  </si>
  <si>
    <t>@Test
public void testValidator342() {
    final UrlValidator urlValidator = new UrlValidator();
    assertTrue(urlValidator.isValid("http://example.rocks/"));
    assertTrue(urlValidator.isValid("http://example.rocks"));
}
@Test
public void testValidator467() {
    final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</si>
  <si>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@Test
public void testValidator342() {
    final UrlValidator urlValidator = new UrlValidator();
    assertTrue(urlValidator.isValid("http://example.rocks/"));
    assertTrue(urlValidator.isValid("http://example.rocks"));
}
@Test
public void testValidator411() {
    final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</si>
  <si>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@Test
public void testValidator342() {
    final UrlValidator urlValidator = new UrlValidator();
    assertTrue(urlValidator.isValid("http://example.rocks/"));
    assertTrue(urlValidator.isValid("http://example.rocks"));
}
@Test
public void testValidator464() {
    final String[] schemes = { "file" };
    final UrlValidator urlValidator = new UrlValidator(schemes);
    final String fileNAK = "file://bad ^ domain.com/label/test";
    assertFalse(fileNAK, urlValidator.isValid(fileNAK));
}</t>
  </si>
  <si>
    <t>@Test
public void testValidator342() {
    final UrlValidator urlValidator = new UrlValidator();
    assertTrue(urlValidator.isValid("http://example.rocks/"));
    assertTrue(urlValidator.isValid("http://example.rocks"));
}
@Test
public void testFragments() {
    final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</si>
  <si>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@Test
public void testValidator342() {
    final UrlValidator urlValidator = new UrlValidator();
    assertTrue(urlValidator.isValid("http://example.rocks/"));
    assertTrue(urlValidator.isValid("http://example.rocks"));
}
@Test
public void testValidator353() {
    // userinfo
    final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</si>
  <si>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@Test
public void testValidator342() {
    final UrlValidator urlValidator = new UrlValidator();
    assertTrue(urlValidator.isValid("http://example.rocks/"));
    assertTrue(urlValidator.isValid("http://example.rocks"));
}
@Test
public void testValidator363() {
    final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</si>
  <si>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@Test
public void testValidator342() {
    final UrlValidator urlValidator = new UrlValidator();
    assertTrue(urlValidator.isValid("http://example.rocks/"));
    assertTrue(urlValidator.isValid("http://example.rocks"));
}
@Test
public void testValidator290() {
    final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</si>
  <si>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@Test
public void testValidator411() {
    final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
@Test
public void testValidator467() {
    final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</si>
  <si>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@Test
public void testValidator411() {
    final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
@Test
public void testValidator380() {
    final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</si>
  <si>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testValidator411() {
    final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
@Test
public void testValidator420() {
    final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</si>
  <si>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testValidator411() {
    final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
@Test
public void testValidator353() {
    // userinfo
    final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</si>
  <si>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@Test
public void testValidator411() {
    final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
@Test
public void testFragments() {
    final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</si>
  <si>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@Test
public void testValidator411() {
    final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
@Test
public void testValidator283() {
    final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</si>
  <si>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testValidator411() {
    final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
@Test
public void testValidator464() {
    final String[] schemes = { "file" };
    final UrlValidator urlValidator = new UrlValidator(schemes);
    final String fileNAK = "file://bad ^ domain.com/label/test";
    assertFalse(fileNAK, urlValidator.isValid(fileNAK));
}</t>
  </si>
  <si>
    <t>@Test
public void testValidator411() {
    final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
@Test
public void testValidator452() {
    final UrlValidator urlValidator = new UrlValidator();
    assertTrue(urlValidator.isValid("http://[::FFFF:129.144.52.38]:80/index.html"));
}</t>
  </si>
  <si>
    <t>@Test
public void testValidator411() {
    final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
@Test
public void testValidator361() {
    final UrlValidator validator = new UrlValidator();
    assertTrue(validator.isValid("http://hello.tokyo/"));
}</t>
  </si>
  <si>
    <t>@Test
public void testValidator411() {
    final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
@Test
public void testValidator382() {
    final UrlValidator validator = new UrlValidator();
    assertTrue(validator.isValid("ftp://username:password@example.com:8042/over/there/index.dtb?type=animal&amp;name=narwhal#nose"));
}</t>
  </si>
  <si>
    <t>@Test
public void testValidator411() {
    final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
@Test
public void testValidator363() {
    final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</si>
  <si>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@Test
public void testValidator411() {
    final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
@Test
public void testValidator290() {
    final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</si>
  <si>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@Test
public void testValidator464() {
    final String[] schemes = { "file" };
    final UrlValidator urlValidator = new UrlValidator(schemes);
    final String fileNAK = "file://bad ^ domain.com/label/test";
    assertFalse(fileNAK, urlValidator.isValid(fileNAK));
}
@Test
public void testValidator452() {
    final UrlValidator urlValidator = new UrlValidator();
    assertTrue(urlValidator.isValid("http://[::FFFF:129.144.52.38]:80/index.html"));
}</t>
  </si>
  <si>
    <t>@Test
public void testValidator464() {
    final String[] schemes = { "file" };
    final UrlValidator urlValidator = new UrlValidator(schemes);
    final String fileNAK = "file://bad ^ domain.com/label/test";
    assertFalse(fileNAK, urlValidator.isValid(fileNAK));
}
@Test
public void testFragments() {
    final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</si>
  <si>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@Test
public void testValidator464() {
    final String[] schemes = { "file" };
    final UrlValidator urlValidator = new UrlValidator(schemes);
    final String fileNAK = "file://bad ^ domain.com/label/test";
    assertFalse(fileNAK, urlValidator.isValid(fileNAK));
}
@Test
public void testValidator283() {
    final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</si>
  <si>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testValidator464() {
    final String[] schemes = { "file" };
    final UrlValidator urlValidator = new UrlValidator(schemes);
    final String fileNAK = "file://bad ^ domain.com/label/test";
    assertFalse(fileNAK, urlValidator.isValid(fileNAK));
}
@Test
public void testValidator361() {
    final UrlValidator validator = new UrlValidator();
    assertTrue(validator.isValid("http://hello.tokyo/"));
}</t>
  </si>
  <si>
    <t>@Test
public void testValidator464() {
    final String[] schemes = { "file" };
    final UrlValidator urlValidator = new UrlValidator(schemes);
    final String fileNAK = "file://bad ^ domain.com/label/test";
    assertFalse(fileNAK, urlValidator.isValid(fileNAK));
}
@Test
public void testValidator382() {
    final UrlValidator validator = new UrlValidator();
    assertTrue(validator.isValid("ftp://username:password@example.com:8042/over/there/index.dtb?type=animal&amp;name=narwhal#nose"));
}</t>
  </si>
  <si>
    <t>@Test
public void testValidator464() {
    final String[] schemes = { "file" };
    final UrlValidator urlValidator = new UrlValidator(schemes);
    final String fileNAK = "file://bad ^ domain.com/label/test";
    assertFalse(fileNAK, urlValidator.isValid(fileNAK));
}
@Test
public void testValidator380() {
    final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</si>
  <si>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testValidator464() {
    final String[] schemes = { "file" };
    final UrlValidator urlValidator = new UrlValidator(schemes);
    final String fileNAK = "file://bad ^ domain.com/label/test";
    assertFalse(fileNAK, urlValidator.isValid(fileNAK));
}
@Test
public void testValidator420() {
    final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</si>
  <si>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testValidator464() {
    final String[] schemes = { "file" };
    final UrlValidator urlValidator = new UrlValidator(schemes);
    final String fileNAK = "file://bad ^ domain.com/label/test";
    assertFalse(fileNAK, urlValidator.isValid(fileNAK));
}
@Test
public void testValidator467() {
    final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</si>
  <si>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@Test
public void testValidator464() {
    final String[] schemes = { "file" };
    final UrlValidator urlValidator = new UrlValidator(schemes);
    final String fileNAK = "file://bad ^ domain.com/label/test";
    assertFalse(fileNAK, urlValidator.isValid(fileNAK));
}
@Test
public void testValidator353() {
    // userinfo
    final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</si>
  <si>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@Test
public void testValidator464() {
    final String[] schemes = { "file" };
    final UrlValidator urlValidator = new UrlValidator(schemes);
    final String fileNAK = "file://bad ^ domain.com/label/test";
    assertFalse(fileNAK, urlValidator.isValid(fileNAK));
}
@Test
public void testValidator363() {
    final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</si>
  <si>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@Test
public void testValidator464() {
    final String[] schemes = { "file" };
    final UrlValidator urlValidator = new UrlValidator(schemes);
    final String fileNAK = "file://bad ^ domain.com/label/test";
    assertFalse(fileNAK, urlValidator.isValid(fileNAK));
}
@Test
public void testValidator290() {
    final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</si>
  <si>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@Test
public void testValidator452() {
    final UrlValidator urlValidator = new UrlValidator();
    assertTrue(urlValidator.isValid("http://[::FFFF:129.144.52.38]:80/index.html"));
}
@Test
public void testValidator382() {
    final UrlValidator validator = new UrlValidator();
    assertTrue(validator.isValid("ftp://username:password@example.com:8042/over/there/index.dtb?type=animal&amp;name=narwhal#nose"));
}</t>
  </si>
  <si>
    <t>@Test
public void testValidator452() {
    final UrlValidator urlValidator = new UrlValidator();
    assertTrue(urlValidator.isValid("http://[::FFFF:129.144.52.38]:80/index.html"));
}
@Test
public void testValidator361() {
    final UrlValidator validator = new UrlValidator();
    assertTrue(validator.isValid("http://hello.tokyo/"));
}</t>
  </si>
  <si>
    <t>@Test
public void testValidator452() {
    final UrlValidator urlValidator = new UrlValidator();
    assertTrue(urlValidator.isValid("http://[::FFFF:129.144.52.38]:80/index.html"));
}
@Test
public void testValidator283() {
    final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</si>
  <si>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testValidator452() {
    final UrlValidator urlValidator = new UrlValidator();
    assertTrue(urlValidator.isValid("http://[::FFFF:129.144.52.38]:80/index.html"));
}
@Test
public void testValidator380() {
    final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</si>
  <si>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testValidator452() {
    final UrlValidator urlValidator = new UrlValidator();
    assertTrue(urlValidator.isValid("http://[::FFFF:129.144.52.38]:80/index.html"));
}
@Test
public void testValidator420() {
    final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</si>
  <si>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testValidator452() {
    final UrlValidator urlValidator = new UrlValidator();
    assertTrue(urlValidator.isValid("http://[::FFFF:129.144.52.38]:80/index.html"));
}
@Test
public void testValidator467() {
    final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</si>
  <si>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@Test
public void testValidator452() {
    final UrlValidator urlValidator = new UrlValidator();
    assertTrue(urlValidator.isValid("http://[::FFFF:129.144.52.38]:80/index.html"));
}
@Test
public void testFragments() {
    final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</si>
  <si>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@Test
public void testValidator452() {
    final UrlValidator urlValidator = new UrlValidator();
    assertTrue(urlValidator.isValid("http://[::FFFF:129.144.52.38]:80/index.html"));
}
@Test
public void testValidator353() {
    // userinfo
    final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</si>
  <si>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@Test
public void testValidator452() {
    final UrlValidator urlValidator = new UrlValidator();
    assertTrue(urlValidator.isValid("http://[::FFFF:129.144.52.38]:80/index.html"));
}
@Test
public void testValidator363() {
    final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</si>
  <si>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@Test
public void testValidator452() {
    final UrlValidator urlValidator = new UrlValidator();
    assertTrue(urlValidator.isValid("http://[::FFFF:129.144.52.38]:80/index.html"));
}
@Test
public void testValidator290() {
    final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</si>
  <si>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@Test
public void testValidator473_2() {
    // reject null DomainValidator with mismatched allowLocal
    final List&lt;DomainValidator.Item&gt; items = new ArrayList&lt;&gt;();
    final IllegalArgumentException thrown = assertThrows(IllegalArgumentException.class, () -&gt; new UrlValidator(new String[] {}, null, 0L, DomainValidator.getInstance(true, items)));
    assertThat(thrown.getMessage(), is(equalTo("DomainValidator disagrees with ALLOW_LOCAL_URLS setting")));
}
@Test
public void testValidator473_3() {
    // reject null DomainValidator with mismatched allowLocal
    final List&lt;DomainValidator.Item&gt; items = new ArrayList&lt;&gt;();
    final IllegalArgumentException thrown = assertThrows(IllegalArgumentException.class, () -&gt; new UrlValidator(new String[] {}, null, UrlValidator.ALLOW_LOCAL_URLS, DomainValidator.getInstance(false, items)));
    assertThat(thrown.getMessage(), is(equalTo("DomainValidator disagrees with ALLOW_LOCAL_URLS setting")));
}</t>
  </si>
  <si>
    <t>[java/util/ArrayList."&lt;init&gt;", java/lang/IllegalArgumentException.getMessage, org/hamcrest/core/IsEqual.equalTo, org/hamcrest/core/Is.is]
[java/util/ArrayList."&lt;init&gt;", java/lang/IllegalArgumentException.getMessage, org/hamcrest/core/IsEqual.equalTo, org/hamcrest/core/Is.is]</t>
  </si>
  <si>
    <t>@Test
public void testValidator290() {
    final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
@Test
public void testValidator363() {
    final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</si>
  <si>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@Test
public void testValidator290() {
    final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
@Test
public void testValidator353() {
    // userinfo
    final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</si>
  <si>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@Test
public void testValidator290() {
    final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
@Test
public void testValidator467() {
    final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</si>
  <si>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@Test
public void testValidator290() {
    final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
@Test
public void testFragments() {
    final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</si>
  <si>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@Test
public void testValidator290() {
    final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
@Test
public void testValidator380() {
    final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</si>
  <si>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testValidator290() {
    final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
@Test
public void testValidator420() {
    final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</si>
  <si>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testValidator290() {
    final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
@Test
public void testValidator283() {
    final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</si>
  <si>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testValidator290() {
    final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
@Test
public void testValidator382() {
    final UrlValidator validator = new UrlValidator();
    assertTrue(validator.isValid("ftp://username:password@example.com:8042/over/there/index.dtb?type=animal&amp;name=narwhal#nose"));
}</t>
  </si>
  <si>
    <t>@Test
public void testValidator290() {
    final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
@Test
public void testValidator361() {
    final UrlValidator validator = new UrlValidator();
    assertTrue(validator.isValid("http://hello.tokyo/"));
}</t>
  </si>
  <si>
    <t>@Test
public void testValidator361() {
    final UrlValidator validator = new UrlValidator();
    assertTrue(validator.isValid("http://hello.tokyo/"));
}
@Test
public void testValidator382() {
    final UrlValidator validator = new UrlValidator();
    assertTrue(validator.isValid("ftp://username:password@example.com:8042/over/there/index.dtb?type=animal&amp;name=narwhal#nose"));
}</t>
  </si>
  <si>
    <t>@Test
public void testValidator361() {
    final UrlValidator validator = new UrlValidator();
    assertTrue(validator.isValid("http://hello.tokyo/"));
}
@Test
public void testValidator283() {
    final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</si>
  <si>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testValidator361() {
    final UrlValidator validator = new UrlValidator();
    assertTrue(validator.isValid("http://hello.tokyo/"));
}
@Test
public void testValidator380() {
    final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</si>
  <si>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testValidator361() {
    final UrlValidator validator = new UrlValidator();
    assertTrue(validator.isValid("http://hello.tokyo/"));
}
@Test
public void testValidator420() {
    final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</si>
  <si>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testValidator361() {
    final UrlValidator validator = new UrlValidator();
    assertTrue(validator.isValid("http://hello.tokyo/"));
}
@Test
public void testValidator467() {
    final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</si>
  <si>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@Test
public void testValidator361() {
    final UrlValidator validator = new UrlValidator();
    assertTrue(validator.isValid("http://hello.tokyo/"));
}
@Test
public void testFragments() {
    final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</si>
  <si>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@Test
public void testValidator361() {
    final UrlValidator validator = new UrlValidator();
    assertTrue(validator.isValid("http://hello.tokyo/"));
}
@Test
public void testValidator353() {
    // userinfo
    final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</si>
  <si>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@Test
public void testValidator361() {
    final UrlValidator validator = new UrlValidator();
    assertTrue(validator.isValid("http://hello.tokyo/"));
}
@Test
public void testValidator363() {
    final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</t>
  </si>
  <si>
    <t>@Test
public void testValidator363() {
    final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
@Test
public void testValidator353() {
    // userinfo
    final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</si>
  <si>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@Test
public void testValidator363() {
    final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
@Test
public void testValidator467() {
    final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</si>
  <si>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@Test
public void testValidator363() {
    final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
@Test
public void testFragments() {
    final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</si>
  <si>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@Test
public void testValidator363() {
    final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
@Test
public void testValidator380() {
    final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</si>
  <si>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testValidator363() {
    final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
@Test
public void testValidator420() {
    final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</si>
  <si>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testValidator363() {
    final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
@Test
public void testValidator283() {
    final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</si>
  <si>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testValidator363() {
    final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    assertFalse(urlValidator.isValid("http://www.example.org/.."));
    assertFalse(urlValidator.isValid("http://www.example.org/../"));
    assertFalse(urlValidator.isValid("http://www.example.org/./.."));
    assertFalse(urlValidator.isValid("http://www.example.org/././.."));
    assertTrue(urlValidator.isValid("http://www.example.org/..."));
    assertTrue(urlValidator.isValid("http://www.example.org/.../"));
    assertTrue(urlValidator.isValid("http://www.example.org/.../.."));
}
@Test
public void testValidator382() {
    final UrlValidator validator = new UrlValidator();
    assertTrue(validator.isValid("ftp://username:password@example.com:8042/over/there/index.dtb?type=animal&amp;name=narwhal#nose"));
}</t>
  </si>
  <si>
    <t>@Test
public void testValidator353() {
    // userinfo
    final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
@Test
public void testValidator467() {
    final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</si>
  <si>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@Test
public void testValidator353() {
    // userinfo
    final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
@Test
public void testValidator380() {
    final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</si>
  <si>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testValidator353() {
    // userinfo
    final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
@Test
public void testValidator420() {
    final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</si>
  <si>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testValidator353() {
    // userinfo
    final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
@Test
public void testFragments() {
    final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</si>
  <si>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@Test
public void testValidator353() {
    // userinfo
    final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
@Test
public void testValidator283() {
    final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</si>
  <si>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testValidator353() {
    // userinfo
    final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assertTrue(validator.isValid("http://user@www.apache.org:80/path"));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
@Test
public void testValidator382() {
    final UrlValidator validator = new UrlValidator();
    assertTrue(validator.isValid("ftp://username:password@example.com:8042/over/there/index.dtb?type=animal&amp;name=narwhal#nose"));
}</t>
  </si>
  <si>
    <t>@Test
public void testValidator382() {
    final UrlValidator validator = new UrlValidator();
    assertTrue(validator.isValid("ftp://username:password@example.com:8042/over/there/index.dtb?type=animal&amp;name=narwhal#nose"));
}
@Test
public void testValidator283() {
    final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</si>
  <si>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testValidator382() {
    final UrlValidator validator = new UrlValidator();
    assertTrue(validator.isValid("ftp://username:password@example.com:8042/over/there/index.dtb?type=animal&amp;name=narwhal#nose"));
}
@Test
public void testValidator380() {
    final UrlValidator validator = new UrlValidator();
    assertTrue(validator.isValid("http://www.apache.org:80/path"));
    assertTrue(validator.isValid("http://www.apache.org:8/path"));
    assertTrue(validator.isValid("http://www.apache.org:/path"));
}</t>
  </si>
  <si>
    <t>@Test
public void testValidator382() {
    final UrlValidator validator = new UrlValidator();
    assertTrue(validator.isValid("ftp://username:password@example.com:8042/over/there/index.dtb?type=animal&amp;name=narwhal#nose"));
}
@Test
public void testValidator420() {
    final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</si>
  <si>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testValidator382() {
    final UrlValidator validator = new UrlValidator();
    assertTrue(validator.isValid("ftp://username:password@example.com:8042/over/there/index.dtb?type=animal&amp;name=narwhal#nose"));
}
@Test
public void testValidator467() {
    final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</si>
  <si>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@Test
public void testValidator382() {
    final UrlValidator validator = new UrlValidator();
    assertTrue(validator.isValid("ftp://username:password@example.com:8042/over/there/index.dtb?type=animal&amp;name=narwhal#nose"));
}
@Test
public void testFragments() {
    final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</si>
  <si>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@Test
public void testValidator380() {
    final UrlValidator validator = new UrlValidator();
    assertTrue(validator.isValid("http://www.apache.org:80/path"));
    assertTrue(validator.isValid("http://www.apache.org:8/path"));
    assertTrue(validator.isValid("http://www.apache.org:/path"));
}
@Test
public void testValidator420() {
    final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</si>
  <si>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@Test
public void testValidator380() {
    final UrlValidator validator = new UrlValidator();
    assertTrue(validator.isValid("http://www.apache.org:80/path"));
    assertTrue(validator.isValid("http://www.apache.org:8/path"));
    assertTrue(validator.isValid("http://www.apache.org:/path"));
}
@Test
public void testValidator283() {
    final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</si>
  <si>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testValidator380() {
    final UrlValidator validator = new UrlValidator();
    assertTrue(validator.isValid("http://www.apache.org:80/path"));
    assertTrue(validator.isValid("http://www.apache.org:8/path"));
    assertTrue(validator.isValid("http://www.apache.org:/path"));
}
@Test
public void testValidator467() {
    final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</si>
  <si>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@Test
public void testValidator380() {
    final UrlValidator validator = new UrlValidator();
    assertTrue(validator.isValid("http://www.apache.org:80/path"));
    assertTrue(validator.isValid("http://www.apache.org:8/path"));
    assertTrue(validator.isValid("http://www.apache.org:/path"));
}
@Test
public void testFragments() {
    final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</si>
  <si>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@Test
public void testValidator420() {
    final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
@Test
public void testValidator283() {
    final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</si>
  <si>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testValidator420() {
    final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
@Test
public void testValidator467() {
    final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</si>
  <si>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@Test
public void testValidator420() {
    final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
@Test
public void testFragments() {
    final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</si>
  <si>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@Test
public void testValidator467() {
    final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
@Test
public void testValidator283() {
    final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</si>
  <si>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@Test
public void testValidator467() {
    final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
@Test
public void testFragments() {
    final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</si>
  <si>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@Test
public void testValidator283() {
    final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
@Test
public void testFragments() {
    final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</si>
  <si>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8ba14f105a54057162d63bdac98d5332a31d0580</t>
  </si>
  <si>
    <t>@Test
public void testInValid() {
    for (final String f : invalidIBANFormat) {
        assertFalse(f, VALIDATOR.isValid(f));
    }
}
@Test
public void testNull() {
    assertFalse("isValid(null)", VALIDATOR.isValid(null));
}</t>
  </si>
  <si>
    <t>@Test
public void testSetDefaultValidator1() {
    final IllegalStateException thrown = assertThrows(IllegalStateException.class, () -&gt; VALIDATOR.setValidator("GB", 15, "GB"));
    assertThat(thrown.getMessage(), is(equalTo("The singleton validator cannot be modified")));
}
@Test
public void testSetDefaultValidator2() {
    final IllegalStateException thrown = assertThrows(IllegalStateException.class, () -&gt; VALIDATOR.setValidator("GB", -1, "GB"));
    assertThat(thrown.getMessage(), is(equalTo("The singleton validator cannot be modified")));
}</t>
  </si>
  <si>
    <t>[java/lang/IllegalStateException.getMessage, org/hamcrest/core/IsEqual.equalTo, org/hamcrest/core/Is.is]
[java/lang/IllegalStateException.getMessage, org/hamcrest/core/IsEqual.equalTo, org/hamcrest/core/Is.is]</t>
  </si>
  <si>
    <t>@Test
public void testSetValidatorLC() {
    final IBANValidator validator = new IBANValidator();
    final IllegalArgumentException thrown = assertThrows(IllegalArgumentException.class, () -&gt; validator.setValidator("gb", 15, "GB"));
    assertThat(thrown.getMessage(), is(equalTo("Invalid country Code; must be exactly 2 upper-case characters")));
}
@Test
public void testSetValidatorLen7() {
    final IBANValidator validator = new IBANValidator();
    final IllegalArgumentException thrown = assertThrows(IllegalArgumentException.class, () -&gt; validator.setValidator("GB", 7, "GB"));
    assertThat(thrown.getMessage(), is(equalTo("Invalid length parameter, must be in range 8 to 34 inclusive: 7")));
}</t>
  </si>
  <si>
    <t>[org/apache/commons/validator/routines/IBANValidator."&lt;init&gt;", java/lang/IllegalArgumentException.getMessage, org/hamcrest/core/IsEqual.equalTo, org/hamcrest/core/Is.is]
[org/apache/commons/validator/routines/IBANValidator."&lt;init&gt;", java/lang/IllegalArgumentException.getMessage, org/hamcrest/core/IsEqual.equalTo, org/hamcrest/core/Is.is]</t>
  </si>
  <si>
    <t>@Test
public void testSetValidatorLC() {
    final IBANValidator validator = new IBANValidator();
    final IllegalArgumentException thrown = assertThrows(IllegalArgumentException.class, () -&gt; validator.setValidator("gb", 15, "GB"));
    assertThat(thrown.getMessage(), is(equalTo("Invalid country Code; must be exactly 2 upper-case characters")));
}
@Test
public void testSetValidatorLen35() {
    final IBANValidator validator = new IBANValidator();
    final IllegalArgumentException thrown = assertThrows(IllegalArgumentException.class, () -&gt; validator.setValidator("GB", 35, "GB"));
    assertThat(thrown.getMessage(), is(equalTo("Invalid length parameter, must be in range 8 to 34 inclusive: 35")));
}</t>
  </si>
  <si>
    <t>@Test
public void testSetValidatorLen7() {
    final IBANValidator validator = new IBANValidator();
    final IllegalArgumentException thrown = assertThrows(IllegalArgumentException.class, () -&gt; validator.setValidator("GB", 7, "GB"));
    assertThat(thrown.getMessage(), is(equalTo("Invalid length parameter, must be in range 8 to 34 inclusive: 7")));
}
@Test
public void testSetValidatorLen35() {
    final IBANValidator validator = new IBANValidator();
    final IllegalArgumentException thrown = assertThrows(IllegalArgumentException.class, () -&gt; validator.setValidator("GB", 35, "GB"));
    assertThat(thrown.getMessage(), is(equalTo("Invalid length parameter, must be in range 8 to 34 inclusive: 35")));
}</t>
  </si>
  <si>
    <t>e46bd350c56d20b194ed216c5f1686156474f05c</t>
  </si>
  <si>
    <t>/**
 * Test that @localhost and @localhost.localdomain
 *  addresses are declared as valid when requested.
 */
@Test
public void testEmailLocalhost() {
    // Check the default is not to allow
    final EmailValidator noLocal = EmailValidator.getInstance(false);
    final EmailValidator allowLocal = EmailValidator.getInstance(true);
    assertEquals(validator, noLocal);
    // Depends on the validator
    assertTrue("@localhost.localdomain should be accepted but wasn't", allowLocal.isValid("joe@localhost.localdomain"));
    assertTrue("@localhost should be accepted but wasn't", allowLocal.isValid("joe@localhost"));
    assertFalse("@localhost.localdomain should be accepted but wasn't", noLocal.isValid("joe@localhost.localdomain"));
    assertFalse("@localhost should be accepted but wasn't", noLocal.isValid("joe@localhost"));
}
@Test
public void testValidator359() {
    final EmailValidator val = EmailValidator.getInstance(false, true);
    assertFalse(val.isValid("test@.com"));
}</t>
  </si>
  <si>
    <t>/**
 * Test that @localhost and @localhost.localdomain
 *  addresses are declared as valid when requested.
 */
@Test
public void testEmailLocalhost() {
    // Check the default is not to allow
    final EmailValidator noLocal = EmailValidator.getInstance(false);
    final EmailValidator allowLocal = EmailValidator.getInstance(true);
    assertEquals(validator, noLocal);
    // Depends on the validator
    assertTrue("@localhost.localdomain should be accepted but wasn't", allowLocal.isValid("joe@localhost.localdomain"));
    assertTrue("@localhost should be accepted but wasn't", allowLocal.isValid("joe@localhost"));
    assertFalse("@localhost.localdomain should be accepted but wasn't", noLocal.isValid("joe@localhost.localdomain"));
    assertFalse("@localhost should be accepted but wasn't", noLocal.isValid("joe@localhost"));
}
/**
 * Tests the e-mail validation with a user at a TLD
 *
 * http://tools.ietf.org/html/rfc5321#section-2.3.5
 * (In the case of a top-level domain used by itself in an
 * email address, a single string is used without any dots)
 */
@Test
public void testEmailAtTLD() {
    final EmailValidator val = EmailValidator.getInstance(false, true);
    assertTrue(val.isValid("test@com"));
}</t>
  </si>
  <si>
    <t>/**
 * Tests the e-mail validation with a user at a TLD
 *
 * http://tools.ietf.org/html/rfc5321#section-2.3.5
 * (In the case of a top-level domain used by itself in an
 * email address, a single string is used without any dots)
 */
@Test
public void testEmailAtTLD() {
    final EmailValidator val = EmailValidator.getInstance(false, true);
    assertTrue(val.isValid("test@com"));
}
@Test
public void testValidator359() {
    final EmailValidator val = EmailValidator.getInstance(false, true);
    assertFalse(val.isValid("test@.com"));
}</t>
  </si>
  <si>
    <t>@Test
public void testValidator473_2() {
    // reject null DomainValidator with mismatched allowLocal
    final List&lt;DomainValidator.Item&gt; items = new ArrayList&lt;&gt;();
    final IllegalArgumentException thrown = assertThrows(IllegalArgumentException.class, () -&gt; new EmailValidator(false, false, DomainValidator.getInstance(true, items)));
    assertThat(thrown.getMessage(), is(equalTo("DomainValidator must agree with allowLocal setting")));
}
@Test
public void testValidator473_3() {
    // reject null DomainValidator with mismatched allowLocal
    final List&lt;DomainValidator.Item&gt; items = new ArrayList&lt;&gt;();
    final IllegalArgumentException thrown = assertThrows(IllegalArgumentException.class, () -&gt; new EmailValidator(true, false, DomainValidator.getInstance(false, items)));
    assertThat(thrown.getMessage(), is(equalTo("DomainValidator must agree with allowLocal setting")));
}</t>
  </si>
  <si>
    <t>eda1f35a9eafa80e89cb9098e78c2509d75420df</t>
  </si>
  <si>
    <t>@Test
public void testUpdateBaseArrayCC() {
    final IllegalArgumentException thrown = assertThrows(IllegalArgumentException.class, () -&gt; DomainValidator.updateTLDOverride(ArrayType.COUNTRY_CODE_RO, new String[] { "com" }));
    assertThat(thrown.getMessage(), is(equalTo("Cannot update the table: COUNTRY_CODE_RO")));
}
@Test
public void testUpdateBaseArrayLocal() {
    final IllegalArgumentException thrown = assertThrows(IllegalArgumentException.class, () -&gt; DomainValidator.updateTLDOverride(ArrayType.LOCAL_RO, new String[] { "com" }));
    assertThat(thrown.getMessage(), is(equalTo("Cannot update the table: LOCAL_RO")));
}</t>
  </si>
  <si>
    <t>[java/lang/IllegalArgumentException.getMessage, org/hamcrest/core/IsEqual.equalTo, org/hamcrest/core/Is.is]
[java/lang/IllegalArgumentException.getMessage, org/hamcrest/core/IsEqual.equalTo, org/hamcrest/core/Is.is]</t>
  </si>
  <si>
    <t>@Test
public void testUpdateBaseArrayCC() {
    final IllegalArgumentException thrown = assertThrows(IllegalArgumentException.class, () -&gt; DomainValidator.updateTLDOverride(ArrayType.COUNTRY_CODE_RO, new String[] { "com" }));
    assertThat(thrown.getMessage(), is(equalTo("Cannot update the table: COUNTRY_CODE_RO")));
}
@Test
public void testUpdateBaseArrayInfra() {
    final IllegalArgumentException thrown = assertThrows(IllegalArgumentException.class, () -&gt; DomainValidator.updateTLDOverride(ArrayType.INFRASTRUCTURE_RO, new String[] { "com" }));
    assertThat(thrown.getMessage(), is(equalTo("Cannot update the table: INFRASTRUCTURE_RO")));
}</t>
  </si>
  <si>
    <t>@Test
public void testUpdateBaseArrayCC() {
    final IllegalArgumentException thrown = assertThrows(IllegalArgumentException.class, () -&gt; DomainValidator.updateTLDOverride(ArrayType.COUNTRY_CODE_RO, new String[] { "com" }));
    assertThat(thrown.getMessage(), is(equalTo("Cannot update the table: COUNTRY_CODE_RO")));
}
@Test
public void testUpdateBaseArrayGeneric() {
    final IllegalArgumentException thrown = assertThrows(IllegalArgumentException.class, () -&gt; DomainValidator.updateTLDOverride(ArrayType.GENERIC_RO, new String[] { "com" }));
    assertThat(thrown.getMessage(), is(equalTo("Cannot update the table: GENERIC_RO")));
}</t>
  </si>
  <si>
    <t>@Test
public void testUpdateBaseArrayGeneric() {
    final IllegalArgumentException thrown = assertThrows(IllegalArgumentException.class, () -&gt; DomainValidator.updateTLDOverride(ArrayType.GENERIC_RO, new String[] { "com" }));
    assertThat(thrown.getMessage(), is(equalTo("Cannot update the table: GENERIC_RO")));
}
@Test
public void testUpdateBaseArrayLocal() {
    final IllegalArgumentException thrown = assertThrows(IllegalArgumentException.class, () -&gt; DomainValidator.updateTLDOverride(ArrayType.LOCAL_RO, new String[] { "com" }));
    assertThat(thrown.getMessage(), is(equalTo("Cannot update the table: LOCAL_RO")));
}</t>
  </si>
  <si>
    <t>@Test
public void testUpdateBaseArrayGeneric() {
    final IllegalArgumentException thrown = assertThrows(IllegalArgumentException.class, () -&gt; DomainValidator.updateTLDOverride(ArrayType.GENERIC_RO, new String[] { "com" }));
    assertThat(thrown.getMessage(), is(equalTo("Cannot update the table: GENERIC_RO")));
}
@Test
public void testUpdateBaseArrayInfra() {
    final IllegalArgumentException thrown = assertThrows(IllegalArgumentException.class, () -&gt; DomainValidator.updateTLDOverride(ArrayType.INFRASTRUCTURE_RO, new String[] { "com" }));
    assertThat(thrown.getMessage(), is(equalTo("Cannot update the table: INFRASTRUCTURE_RO")));
}</t>
  </si>
  <si>
    <t>@Test
public void testUpdateBaseArrayInfra() {
    final IllegalArgumentException thrown = assertThrows(IllegalArgumentException.class, () -&gt; DomainValidator.updateTLDOverride(ArrayType.INFRASTRUCTURE_RO, new String[] { "com" }));
    assertThat(thrown.getMessage(), is(equalTo("Cannot update the table: INFRASTRUCTURE_RO")));
}
@Test
public void testUpdateBaseArrayLocal() {
    final IllegalArgumentException thrown = assertThrows(IllegalArgumentException.class, () -&gt; DomainValidator.updateTLDOverride(ArrayType.LOCAL_RO, new String[] { "com" }));
    assertThat(thrown.getMessage(), is(equalTo("Cannot update the table: LOCAL_RO")));
}</t>
  </si>
  <si>
    <t>@Test
public void testUpdateCountryCode1a() {
    final DomainValidator validator = DomainValidator.getInstance();
    // cannot be valid
    assertFalse(validator.isValidCountryCodeTld("com"));
}
@Test
public void testUpdateCountryCode3a() {
    // show ch is valid
    final DomainValidator validator = DomainValidator.getInstance();
    assertTrue(validator.isValidCountryCodeTld("ch"));
}</t>
  </si>
  <si>
    <t>@Test
public void testUpdateCountryCode1b() {
    DomainValidator.updateTLDOverride(ArrayType.COUNTRY_CODE_PLUS, new String[] { "com" });
    final DomainValidator validator = DomainValidator.getInstance();
    // it is now!
    assertTrue(validator.isValidCountryCodeTld("com"));
}
@Test
public void testUpdateCountryCode3b() {
    // show ch can be made invalid
    DomainValidator.updateTLDOverride(ArrayType.COUNTRY_CODE_MINUS, new String[] { "ch" });
    final DomainValidator validator = DomainValidator.getInstance();
    assertFalse(validator.isValidCountryCodeTld("ch"));
}</t>
  </si>
  <si>
    <t>@Test
public void testUpdateCountryCode1b() {
    DomainValidator.updateTLDOverride(ArrayType.COUNTRY_CODE_PLUS, new String[] { "com" });
    final DomainValidator validator = DomainValidator.getInstance();
    // it is now!
    assertTrue(validator.isValidCountryCodeTld("com"));
}
@Test
public void testUpdateCountryCode3c() {
    // show ch can be made valid again by replacing the CC array
    DomainValidator.updateTLDOverride(ArrayType.COUNTRY_CODE_MINUS, new String[] { "ch" });
    DomainValidator.updateTLDOverride(ArrayType.COUNTRY_CODE_MINUS, new String[] { "xx" });
    final DomainValidator validator = DomainValidator.getInstance();
    assertTrue(validator.isValidCountryCodeTld("ch"));
}</t>
  </si>
  <si>
    <t>@Test
public void testUpdateCountryCode1b() {
    DomainValidator.updateTLDOverride(ArrayType.COUNTRY_CODE_PLUS, new String[] { "com" });
    final DomainValidator validator = DomainValidator.getInstance();
    // it is now!
    assertTrue(validator.isValidCountryCodeTld("com"));
}
@Test
public void testUpdateCountryCode2() {
    DomainValidator.updateTLDOverride(ArrayType.COUNTRY_CODE_PLUS, new String[] { "com" });
    DomainValidator.updateTLDOverride(ArrayType.COUNTRY_CODE_MINUS, new String[] { "com" });
    final DomainValidator validator = DomainValidator.getInstance();
    // show that minus overrides the rest
    assertFalse(validator.isValidCountryCodeTld("com"));
}</t>
  </si>
  <si>
    <t>@Test
public void testUpdateCountryCode2() {
    DomainValidator.updateTLDOverride(ArrayType.COUNTRY_CODE_PLUS, new String[] { "com" });
    DomainValidator.updateTLDOverride(ArrayType.COUNTRY_CODE_MINUS, new String[] { "com" });
    final DomainValidator validator = DomainValidator.getInstance();
    // show that minus overrides the rest
    assertFalse(validator.isValidCountryCodeTld("com"));
}
@Test
public void testUpdateCountryCode3c() {
    // show ch can be made valid again by replacing the CC array
    DomainValidator.updateTLDOverride(ArrayType.COUNTRY_CODE_MINUS, new String[] { "ch" });
    DomainValidator.updateTLDOverride(ArrayType.COUNTRY_CODE_MINUS, new String[] { "xx" });
    final DomainValidator validator = DomainValidator.getInstance();
    assertTrue(validator.isValidCountryCodeTld("ch"));
}</t>
  </si>
  <si>
    <t>@Test
public void testUpdateCountryCode2() {
    DomainValidator.updateTLDOverride(ArrayType.COUNTRY_CODE_PLUS, new String[] { "com" });
    DomainValidator.updateTLDOverride(ArrayType.COUNTRY_CODE_MINUS, new String[] { "com" });
    final DomainValidator validator = DomainValidator.getInstance();
    // show that minus overrides the rest
    assertFalse(validator.isValidCountryCodeTld("com"));
}
@Test
public void testUpdateCountryCode3b() {
    // show ch can be made invalid
    DomainValidator.updateTLDOverride(ArrayType.COUNTRY_CODE_MINUS, new String[] { "ch" });
    final DomainValidator validator = DomainValidator.getInstance();
    assertFalse(validator.isValidCountryCodeTld("ch"));
}</t>
  </si>
  <si>
    <t>@Test
public void testUpdateCountryCode3b() {
    // show ch can be made invalid
    DomainValidator.updateTLDOverride(ArrayType.COUNTRY_CODE_MINUS, new String[] { "ch" });
    final DomainValidator validator = DomainValidator.getInstance();
    assertFalse(validator.isValidCountryCodeTld("ch"));
}
@Test
public void testUpdateCountryCode3c() {
    // show ch can be made valid again by replacing the CC array
    DomainValidator.updateTLDOverride(ArrayType.COUNTRY_CODE_MINUS, new String[] { "ch" });
    DomainValidator.updateTLDOverride(ArrayType.COUNTRY_CODE_MINUS, new String[] { "xx" });
    final DomainValidator validator = DomainValidator.getInstance();
    assertTrue(validator.isValidCountryCodeTld("ch"));
}</t>
  </si>
  <si>
    <t>@Test
public void testUpdateGeneric2() {
    DomainValidator.updateTLDOverride(ArrayType.GENERIC_PLUS, new String[] { "ch" });
    final DomainValidator validator = DomainValidator.getInstance();
    // it is now!
    assertTrue(validator.isValidGenericTld("ch"));
}
@Test
public void testUpdateGeneric3() {
    DomainValidator.updateTLDOverride(ArrayType.GENERIC_PLUS, new String[] { "ch" });
    DomainValidator.updateTLDOverride(ArrayType.GENERIC_MINUS, new String[] { "ch" });
    final DomainValidator validator = DomainValidator.getInstance();
    // show that minus overrides the rest
    assertFalse(validator.isValidGenericTld("ch"));
    assertTrue(validator.isValidGenericTld("com"));
}</t>
  </si>
  <si>
    <t>@Test
public void testUpdateGeneric2() {
    DomainValidator.updateTLDOverride(ArrayType.GENERIC_PLUS, new String[] { "ch" });
    final DomainValidator validator = DomainValidator.getInstance();
    // it is now!
    assertTrue(validator.isValidGenericTld("ch"));
}
@Test
public void testUpdateGeneric4() {
    DomainValidator.updateTLDOverride(ArrayType.GENERIC_PLUS, new String[] { "ch" });
    DomainValidator.updateTLDOverride(ArrayType.GENERIC_MINUS, new String[] { "ch" });
    DomainValidator.updateTLDOverride(ArrayType.GENERIC_MINUS, new String[] { "com" });
    final DomainValidator validator = DomainValidator.getInstance();
    assertFalse(validator.isValidGenericTld("com"));
}</t>
  </si>
  <si>
    <t>@Test
public void testUpdateGeneric2() {
    DomainValidator.updateTLDOverride(ArrayType.GENERIC_PLUS, new String[] { "ch" });
    final DomainValidator validator = DomainValidator.getInstance();
    // it is now!
    assertTrue(validator.isValidGenericTld("ch"));
}
@Test
public void testUpdateGeneric5() {
    DomainValidator.updateTLDOverride(ArrayType.GENERIC_PLUS, new String[] { "ch" });
    DomainValidator.updateTLDOverride(ArrayType.GENERIC_MINUS, new String[] { "ch" });
    DomainValidator.updateTLDOverride(ArrayType.GENERIC_MINUS, new String[] { "com" });
    // change the minus list
    DomainValidator.updateTLDOverride(ArrayType.GENERIC_MINUS, new String[] { "xx" });
    final DomainValidator validator = DomainValidator.getInstance();
    assertTrue(validator.isValidGenericTld("com"));
}</t>
  </si>
  <si>
    <t>@Test
public void testUpdateGeneric3() {
    DomainValidator.updateTLDOverride(ArrayType.GENERIC_PLUS, new String[] { "ch" });
    DomainValidator.updateTLDOverride(ArrayType.GENERIC_MINUS, new String[] { "ch" });
    final DomainValidator validator = DomainValidator.getInstance();
    // show that minus overrides the rest
    assertFalse(validator.isValidGenericTld("ch"));
    assertTrue(validator.isValidGenericTld("com"));
}
@Test
public void testUpdateGeneric4() {
    DomainValidator.updateTLDOverride(ArrayType.GENERIC_PLUS, new String[] { "ch" });
    DomainValidator.updateTLDOverride(ArrayType.GENERIC_MINUS, new String[] { "ch" });
    DomainValidator.updateTLDOverride(ArrayType.GENERIC_MINUS, new String[] { "com" });
    final DomainValidator validator = DomainValidator.getInstance();
    assertFalse(validator.isValidGenericTld("com"));
}</t>
  </si>
  <si>
    <t>@Test
public void testUpdateGeneric3() {
    DomainValidator.updateTLDOverride(ArrayType.GENERIC_PLUS, new String[] { "ch" });
    DomainValidator.updateTLDOverride(ArrayType.GENERIC_MINUS, new String[] { "ch" });
    final DomainValidator validator = DomainValidator.getInstance();
    // show that minus overrides the rest
    assertFalse(validator.isValidGenericTld("ch"));
    assertTrue(validator.isValidGenericTld("com"));
}
@Test
public void testUpdateGeneric5() {
    DomainValidator.updateTLDOverride(ArrayType.GENERIC_PLUS, new String[] { "ch" });
    DomainValidator.updateTLDOverride(ArrayType.GENERIC_MINUS, new String[] { "ch" });
    DomainValidator.updateTLDOverride(ArrayType.GENERIC_MINUS, new String[] { "com" });
    // change the minus list
    DomainValidator.updateTLDOverride(ArrayType.GENERIC_MINUS, new String[] { "xx" });
    final DomainValidator validator = DomainValidator.getInstance();
    assertTrue(validator.isValidGenericTld("com"));
}</t>
  </si>
  <si>
    <t>@Test
public void testUpdateGeneric4() {
    DomainValidator.updateTLDOverride(ArrayType.GENERIC_PLUS, new String[] { "ch" });
    DomainValidator.updateTLDOverride(ArrayType.GENERIC_MINUS, new String[] { "ch" });
    DomainValidator.updateTLDOverride(ArrayType.GENERIC_MINUS, new String[] { "com" });
    final DomainValidator validator = DomainValidator.getInstance();
    assertFalse(validator.isValidGenericTld("com"));
}
@Test
public void testUpdateGeneric5() {
    DomainValidator.updateTLDOverride(ArrayType.GENERIC_PLUS, new String[] { "ch" });
    DomainValidator.updateTLDOverride(ArrayType.GENERIC_MINUS, new String[] { "ch" });
    DomainValidator.updateTLDOverride(ArrayType.GENERIC_MINUS, new String[] { "com" });
    // change the minus list
    DomainValidator.updateTLDOverride(ArrayType.GENERIC_MINUS, new String[] { "xx" });
    final DomainValidator validator = DomainValidator.getInstance();
    assertTrue(validator.isValidGenericTld("com"));
}</t>
  </si>
  <si>
    <t>@Test
public void testVALIDATOR_412a() {
    final DomainValidator validator = DomainValidator.getInstance();
    assertFalse(validator.isValidGenericTld("local"));
    assertFalse(validator.isValid("abc.local"));
    assertFalse(validator.isValidGenericTld("pvt"));
    assertFalse(validator.isValid("abc.pvt"));
}
@Test
public void testVALIDATOR_412c() {
    final DomainValidator validator = DomainValidator.getInstance(true);
    assertFalse(validator.isValidLocalTld("local"));
    assertFalse(validator.isValid("abc.local"));
    assertFalse(validator.isValidLocalTld("pvt"));
    assertFalse(validator.isValid("abc.pvt"));
}</t>
  </si>
  <si>
    <t>[ org/apache/commons/validator/routines/DomainValidator.isValidLocalTld,  org/apache/commons/validator/routines/DomainValidator.isValidGenericTld]</t>
  </si>
  <si>
    <t>9aeb4661a9391148aa439a12ca71fedb4015c466</t>
  </si>
  <si>
    <t>/**
 * Test isValid() for valid values.
 */
public void testIsValidTrue() {
    if (log.isDebugEnabled()) {
        log.debug("testIsValidTrue() for " + routine.getClass().getName());
    }
    // test valid values
    for (int i = 0; i &lt; valid.length; i++) {
        if (log.isDebugEnabled()) {
            log.debug("   " + i + " Testing Valid Code=[" + valid[i] + "]");
        }
        assertTrue("valid[" + i + "]: " + valid[i], routine.isValid(valid[i]));
    }
}
/**
 * Test isValid() for invalid values.
 */
public void testIsValidFalse() {
    if (log.isDebugEnabled()) {
        log.debug("testIsValidFalse() for " + routine.getClass().getName());
    }
    // test invalid code values
    for (int i = 0; i &lt; invalid.length; i++) {
        if (log.isDebugEnabled()) {
            log.debug("   " + i + " Testing Invalid Code=[" + invalid[i] + "]");
        }
        assertFalse("invalid[" + i + "]: " + invalid[i], routine.isValid(invalid[i]));
    }
    // test invalid check digit values
    final String[] invalidCheckDigits = createInvalidCodes(valid);
    for (int i = 0; i &lt; invalidCheckDigits.length; i++) {
        if (log.isDebugEnabled()) {
            log.debug("   " + i + " Testing Invalid Check Digit, Code=[" + invalidCheckDigits[i] + "]");
        }
        assertFalse("invalid check digit[" + i + "]: " + invalidCheckDigits[i], routine.isValid(invalidCheckDigits[i]));
    }
}</t>
  </si>
  <si>
    <t>/**
 * Test missing code
 */
public void testMissingCode() {
    // isValid() null
    assertFalse("isValid() Null", routine.isValid(null));
    // isValid() zero length
    assertFalse("isValid() Zero Length", routine.isValid(""));
    // isValid() length 1
    // Don't use 0, because that passes for Verhoef (not sure why yet)
    assertFalse("isValid() Length 1", routine.isValid("9"));
    // calculate() null
    try {
        routine.calculate(null);
        fail("calculate() Null - expected exception");
    } catch (final Exception e) {
        assertEquals("calculate() Null", missingMessage, e.getMessage());
    }
    // calculate() zero length
    try {
        routine.calculate("");
        fail("calculate() Zero Length - expected exception");
    } catch (final Exception e) {
        assertEquals("calculate() Zero Length", missingMessage, e.getMessage());
    }
}
/**
 * Test zero sum
 */
public void testZeroSum() {
    assertFalse("isValid() Zero Sum", routine.isValid(zeroSum));
    try {
        routine.calculate(zeroSum);
        fail("Zero Sum - expected exception");
    } catch (final Exception e) {
        assertEquals("isValid() Zero Sum", "Invalid code, sum is zero", e.getMessage());
    }
}</t>
  </si>
  <si>
    <t>31afb45e43f543b47e801d9d367b9b2efe2ed4af</t>
  </si>
  <si>
    <t>2d0efc4f091640f90b2cbbc8a0af73ad3184b679</t>
  </si>
  <si>
    <t>@Test
public void testInvalidFalse() {
    for (final String f : invalidFormat) {
        assertFalse(VALIDATOR_FALSE.isValid(f), f);
    }
}
@Test
public void testIsValidFalse() {
    for (final String f : validFormat) {
        assertTrue(VALIDATOR_FALSE.isValid(f), f);
    }
}</t>
  </si>
  <si>
    <t>@Test
public void testInvalidFalse() {
    for (final String f : invalidFormat) {
        assertFalse(VALIDATOR_FALSE.isValid(f), f);
    }
}
@Test
public void testInvalidTrue() {
    for (final String f : invalidFormat) {
        assertFalse(VALIDATOR_TRUE.isValid(f), f);
    }
    for (final String f : invalidFormatTrue) {
        assertFalse(VALIDATOR_TRUE.isValid(f), f);
    }
}</t>
  </si>
  <si>
    <t>@Test
public void testInvalidTrue() {
    for (final String f : invalidFormat) {
        assertFalse(VALIDATOR_TRUE.isValid(f), f);
    }
    for (final String f : invalidFormatTrue) {
        assertFalse(VALIDATOR_TRUE.isValid(f), f);
    }
}
@Test
public void testIsValidFalse() {
    for (final String f : validFormat) {
        assertTrue(VALIDATOR_FALSE.isValid(f), f);
    }
}</t>
  </si>
  <si>
    <t>@Test
public void testIsValidFalse() {
    for (final String f : validFormat) {
        assertTrue(VALIDATOR_FALSE.isValid(f), f);
    }
}
@Test
public void testIsValidTrue() {
    for (final String f : validFormat) {
        assertTrue(VALIDATOR_TRUE.isValid(f), f);
    }
}</t>
  </si>
  <si>
    <t>testValidator336InvalidCheckDigits</t>
  </si>
  <si>
    <t>@Test
public void testValidator336InvalidCheckDigits() {
    for (final String invalidCheckDigit : INVALID_CHECK_DIGITS) {
        assertFalse(routine.isValid(invalidCheckDigit), () -&gt; "Should fail: " + invalidCheckDigit);
    }
}
@Test
public void testValidator336ValidCheckDigits() {
    for (final String validCheckDigit : VALID_CHECK_DIGITS) {
        assertTrue(routine.isValid(validCheckDigit), () -&gt; "Should fail: " + validCheckDigit);
    }
}</t>
  </si>
  <si>
    <t>[org/apache/commons/validator/routines/checkdigit/CheckDigit.isValid]
[org/apache/commons/validator/routines/checkdigit/CheckDigit.isValid]</t>
  </si>
  <si>
    <t>testValidator336ValidCheckDigits</t>
  </si>
  <si>
    <t>@Test
public void testValidator335() {
    assertTrue(validator.isValid("2001:0438:FFFE:0000:0000:0000:0000:0A35"), "2001:0438:FFFE:0000:0000:0000:0000:0A35 should be valid");
}
/**
 * Inet6Address may also contain a scope id
 */
@Test
public void testValidator445() {
    final String[] valid = { "2001:0000:1234:0000:0000:C1C0:ABCD:0876", "2001:0000:1234:0000:0000:C1C0:ABCD:0876/123", "2001:0000:1234:0000:0000:C1C0:ABCD:0876/0", "2001:0000:1234:0000:0000:C1C0:ABCD:0876%0", "2001:0000:1234:0000:0000:C1C0:ABCD:0876%abcdefgh" };
    final String[] invalid = { // too big
    "2001:0000:1234:0000:0000:C1C0:ABCD:0876/129", // sign not allowed
    "2001:0000:1234:0000:0000:C1C0:ABCD:0876/-0", // sign not allowed
    "2001:0000:1234:0000:0000:C1C0:ABCD:0876/+0", // non-digit
    "2001:0000:1234:0000:0000:C1C0:ABCD:0876/10O", // /bits before %node-id
    "2001:0000:1234:0000:0000:C1C0:ABCD:0876/0%0", // space in node id
    "2001:0000:1234:0000:0000:C1C0:ABCD:0876%abc defgh", // '%' in node id
    "2001:0000:1234:0000:0000:C1C0:ABCD:0876%abc%defgh" };
    for (final String item : valid) {
        assertTrue(validator.isValid(item), () -&gt; String.format("%s should be valid", item));
    }
    for (final String item : invalid) {
        assertFalse(validator.isValid(item), () -&gt; String.format("%s should be invalid", item));
    }
}</t>
  </si>
  <si>
    <t>[org/apache/commons/validator/routines/InetAddressValidator.isValid]
[org/apache/commons/validator/routines/InetAddressValidator.isValid, org/apache/commons/validator/routines/InetAddressValidator.isValid]</t>
  </si>
  <si>
    <t>[[testValidator335, testValidator419, testValidator445]]</t>
  </si>
  <si>
    <t>[ org/apache/commons/validator/routines/InetAddressValidator.isValid]</t>
  </si>
  <si>
    <t>@Test
public void testValidator335() {
    assertTrue(validator.isValid("2001:0438:FFFE:0000:0000:0000:0000:0A35"), "2001:0438:FFFE:0000:0000:0000:0000:0A35 should be valid");
}
@Test
public void testValidator419() {
    String addr;
    addr = "0:0:0:0:0:0:13.1.68.3";
    assertTrue(validator.isValid(addr));
    addr = "0:0:0:0:0:FFFF:129.144.52.38";
    assertTrue(validator.isValid(addr), addr);
    addr = "::13.1.68.3";
    assertTrue(validator.isValid(addr), addr);
    addr = "::FFFF:129.144.52.38";
    assertTrue(validator.isValid(addr), addr);
    addr = "::ffff:192.168.1.1:192.168.1.1";
    assertFalse(validator.isValid(addr), addr);
    addr = "::192.168.1.1:192.168.1.1";
    assertFalse(validator.isValid(addr), addr);
}</t>
  </si>
  <si>
    <t>[org/apache/commons/validator/routines/InetAddressValidator.isValid]
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</t>
  </si>
  <si>
    <t>@Test
public void testValidator419() {
    String addr;
    addr = "0:0:0:0:0:0:13.1.68.3";
    assertTrue(validator.isValid(addr));
    addr = "0:0:0:0:0:FFFF:129.144.52.38";
    assertTrue(validator.isValid(addr), addr);
    addr = "::13.1.68.3";
    assertTrue(validator.isValid(addr), addr);
    addr = "::FFFF:129.144.52.38";
    assertTrue(validator.isValid(addr), addr);
    addr = "::ffff:192.168.1.1:192.168.1.1";
    assertFalse(validator.isValid(addr), addr);
    addr = "::192.168.1.1:192.168.1.1";
    assertFalse(validator.isValid(addr), addr);
}
/**
 * Inet6Address may also contain a scope id
 */
@Test
public void testValidator445() {
    final String[] valid = { "2001:0000:1234:0000:0000:C1C0:ABCD:0876", "2001:0000:1234:0000:0000:C1C0:ABCD:0876/123", "2001:0000:1234:0000:0000:C1C0:ABCD:0876/0", "2001:0000:1234:0000:0000:C1C0:ABCD:0876%0", "2001:0000:1234:0000:0000:C1C0:ABCD:0876%abcdefgh" };
    final String[] invalid = { // too big
    "2001:0000:1234:0000:0000:C1C0:ABCD:0876/129", // sign not allowed
    "2001:0000:1234:0000:0000:C1C0:ABCD:0876/-0", // sign not allowed
    "2001:0000:1234:0000:0000:C1C0:ABCD:0876/+0", // non-digit
    "2001:0000:1234:0000:0000:C1C0:ABCD:0876/10O", // /bits before %node-id
    "2001:0000:1234:0000:0000:C1C0:ABCD:0876/0%0", // space in node id
    "2001:0000:1234:0000:0000:C1C0:ABCD:0876%abc defgh", // '%' in node id
    "2001:0000:1234:0000:0000:C1C0:ABCD:0876%abc%defgh" };
    for (final String item : valid) {
        assertTrue(validator.isValid(item), () -&gt; String.format("%s should be valid", item));
    }
    for (final String item : invalid) {
        assertFalse(validator.isValid(item), () -&gt; String.format("%s should be invalid", item));
    }
}</t>
  </si>
  <si>
    <t>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
[org/apache/commons/validator/routines/InetAddressValidator.isValid, org/apache/commons/validator/routines/InetAddressValidator.isValid]</t>
  </si>
  <si>
    <t>@Test
public void testValidator294Part1() {
    CodeValidator validator = new CodeValidator((String) null, 0, -1, (CheckDigit) null);
    assertNull(validator.validate(null), "Null");
    validator = new CodeValidator((String) null, -1, 0, (CheckDigit) null);
    assertNull(validator.validate(null), "Null");
}
@Test
public void testValidator294Part2() {
    final CodeValidator validator = new CodeValidator((String) null, -1, 0, (CheckDigit) null);
    assertNull(validator.validate(null), "Null");
}</t>
  </si>
  <si>
    <t>[[testValidator294Part1, testValidator294Part2]]</t>
  </si>
  <si>
    <t>bdcbd8dce2e85d940547e4e50806676ccfbd3e91</t>
  </si>
  <si>
    <t>testValidator412a</t>
  </si>
  <si>
    <t>@Test
public void testValidator412a() {
    final DomainValidator validator = DomainValidator.getInstance();
    assertFalse(validator.isValidGenericTld("local"));
    assertFalse(validator.isValid("abc.local"));
    assertFalse(validator.isValidGenericTld("pvt"));
    assertFalse(validator.isValid("abc.pvt"));
}
@Test
public void testValidator412c() {
    final DomainValidator validator = DomainValidator.getInstance(true);
    assertFalse(validator.isValidLocalTld("local"));
    assertFalse(validator.isValid("abc.local"));
    assertFalse(validator.isValidLocalTld("pvt"));
    assertFalse(validator.isValid("abc.pvt"));
}</t>
  </si>
  <si>
    <t>testValidator412c</t>
  </si>
  <si>
    <t>[[testValidator412a, testValidator412b, testValidator412c, testValidator412d]]</t>
  </si>
  <si>
    <t>@Test
public void testValidator278() {
    // hostname starts with dash/hyphen
    assertFalse(validator.isValid("someone@-test.com"));
    // hostname ends with dash/hyphen
    assertFalse(validator.isValid("someone@test-.com"));
}
@Test
public void testValidator315() {
    assertFalse(validator.isValid("me@at&amp;t.net"));
    // Make sure TLD is not the cause of the failure
    assertTrue(validator.isValid("me@att.net"));
}</t>
  </si>
  <si>
    <t>[[testValidator278, testValidator315], [testValidator473Part1, testValidator473Part2, testValidator473Part3, testValidator473Part4]]</t>
  </si>
  <si>
    <t>testValidator473Part2</t>
  </si>
  <si>
    <t>@Test
public void testValidator473Part2() {
    // reject null DomainValidator with mismatched allowLocal
    final List&lt;DomainValidator.Item&gt; items = new ArrayList&lt;&gt;();
    final IllegalArgumentException thrown = assertThrows(IllegalArgumentException.class, () -&gt; new EmailValidator(false, false, DomainValidator.getInstance(true, items)));
    assertThat(thrown.getMessage(), is(equalTo("DomainValidator must agree with allowLocal setting")));
}
@Test
public void testValidator473Part3() {
    // reject null DomainValidator with mismatched allowLocal
    final List&lt;DomainValidator.Item&gt; items = new ArrayList&lt;&gt;();
    final IllegalArgumentException thrown = assertThrows(IllegalArgumentException.class, () -&gt; new EmailValidator(true, false, DomainValidator.getInstance(false, items)));
    assertThat(thrown.getMessage(), is(equalTo("DomainValidator must agree with allowLocal setting")));
}</t>
  </si>
  <si>
    <t>testValidator473Part3</t>
  </si>
  <si>
    <t>testCountryCodeTldsSortedAndLowerCase</t>
  </si>
  <si>
    <t>// Check array is sorted and is lower-case
@Test
public void testCountryCodeTldsSortedAndLowerCase() throws Exception {
    final boolean sorted = isSortedLowerCase("COUNTRY_CODE_TLDS");
    assertTrue(sorted);
}
// Check array is sorted and is lower-case
@Test
public void testGenericTldsSortedAndLowerCase() throws Exception {
    final boolean sorted = isSortedLowerCase("GENERIC_TLDS");
    assertTrue(sorted);
}</t>
  </si>
  <si>
    <t>testGenericTldsSortedAndLowerCase</t>
  </si>
  <si>
    <t>[[testCountryCodeTldsSortedAndLowerCase, testGenericTldsSortedAndLowerCase, testInfrastructureTldsSortedAndLowerCase, tesLocalTldsSortedAndLowerCase]]</t>
  </si>
  <si>
    <t>// Check array is sorted and is lower-case
@Test
public void testCountryCodeTldsSortedAndLowerCase() throws Exception {
    final boolean sorted = isSortedLowerCase("COUNTRY_CODE_TLDS");
    assertTrue(sorted);
}
// Check array is sorted and is lower-case
@Test
public void testInfrastructureTldsSortedAndLowerCase() throws Exception {
    final boolean sorted = isSortedLowerCase("INFRASTRUCTURE_TLDS");
    assertTrue(sorted);
}</t>
  </si>
  <si>
    <t>testInfrastructureTldsSortedAndLowerCase</t>
  </si>
  <si>
    <t>// Check array is sorted and is lower-case
@Test
public void testCountryCodeTldsSortedAndLowerCase() throws Exception {
    final boolean sorted = isSortedLowerCase("COUNTRY_CODE_TLDS");
    assertTrue(sorted);
}
// Check array is sorted and is lower-case
@Test
public void tesLocalTldsSortedAndLowerCase() throws Exception {
    final boolean sorted = isSortedLowerCase("LOCAL_TLDS");
    assertTrue(sorted);
}</t>
  </si>
  <si>
    <t>tesLocalTldsSortedAndLowerCase</t>
  </si>
  <si>
    <t>// Check array is sorted and is lower-case
@Test
public void testGenericTldsSortedAndLowerCase() throws Exception {
    final boolean sorted = isSortedLowerCase("GENERIC_TLDS");
    assertTrue(sorted);
}
// Check array is sorted and is lower-case
@Test
public void tesLocalTldsSortedAndLowerCase() throws Exception {
    final boolean sorted = isSortedLowerCase("LOCAL_TLDS");
    assertTrue(sorted);
}</t>
  </si>
  <si>
    <t>// Check array is sorted and is lower-case
@Test
public void testGenericTldsSortedAndLowerCase() throws Exception {
    final boolean sorted = isSortedLowerCase("GENERIC_TLDS");
    assertTrue(sorted);
}
// Check array is sorted and is lower-case
@Test
public void testInfrastructureTldsSortedAndLowerCase() throws Exception {
    final boolean sorted = isSortedLowerCase("INFRASTRUCTURE_TLDS");
    assertTrue(sorted);
}</t>
  </si>
  <si>
    <t>// Check array is sorted and is lower-case
@Test
public void testInfrastructureTldsSortedAndLowerCase() throws Exception {
    final boolean sorted = isSortedLowerCase("INFRASTRUCTURE_TLDS");
    assertTrue(sorted);
}
// Check array is sorted and is lower-case
@Test
public void tesLocalTldsSortedAndLowerCase() throws Exception {
    final boolean sorted = isSortedLowerCase("LOCAL_TLDS");
    assertTrue(sorted);
}</t>
  </si>
  <si>
    <t>@Test
public void testValidator473Part2() {
    // reject null DomainValidator with mismatched allowLocal
    final List&lt;DomainValidator.Item&gt; items = new ArrayList&lt;&gt;();
    final IllegalArgumentException thrown = assertThrows(IllegalArgumentException.class, () -&gt; new UrlValidator(new String[] {}, null, 0L, DomainValidator.getInstance(true, items)));
    assertThat(thrown.getMessage(), is(equalTo("DomainValidator disagrees with ALLOW_LOCAL_URLS setting")));
}
@Test
public void testValidator473Part3() {
    // reject null DomainValidator with mismatched allowLocal
    final List&lt;DomainValidator.Item&gt; items = new ArrayList&lt;&gt;();
    final IllegalArgumentException thrown = assertThrows(IllegalArgumentException.class, () -&gt; new UrlValidator(new String[] {}, null, UrlValidator.ALLOW_LOCAL_URLS, DomainValidator.getInstance(false, items)));
    assertThat(thrown.getMessage(), is(equalTo("DomainValidator disagrees with ALLOW_LOCAL_URLS setting")));
}</t>
  </si>
  <si>
    <t>[[testValidator473Part1, testValidator473Part2, testValidator473Part3]]</t>
  </si>
  <si>
    <t>/**
 * Write this test based on perl Mail::RFC822::Address which takes its example email address directly from RFC822
 *
 * @throws ValidatorException
 *
 *                            FIXME This test fails so disable it with a leading _ for 1.1.4 release. The real solution is to fix the email parsing.
 */
@Ignore
public void testEmailFromPerl() throws ValidatorException {
    final ValueBean info = new ValueBean();
    for (final ResultPair element : testEmailFromPerl) {
        info.setValue(element.item);
        valueTest(info, element.valid);
    }
}
/**
 * Write this test according to parts of RFC, as opposed to the type of character that is being tested.
 *
 * &lt;p&gt;
 * &lt;b&gt;FIXME&lt;/b&gt;: This test fails so disable it with a leading _ for 1.1.4 release. The real solution is to fix the email parsing.
 *
 * @throws ValidatorException
 */
@Ignore
public void testEmailUserName() throws ValidatorException {
    final ValueBean info = new ValueBean();
    info.setValue("joe1blow@apache.org");
    valueTest(info, true);
    info.setValue("joe$blow@apache.org");
    valueTest(info, true);
    info.setValue("joe-@apache.org");
    valueTest(info, true);
    info.setValue("joe_@apache.org");
    valueTest(info, true);
    // UnQuoted Special characters are invalid
    info.setValue("joe.@apache.org");
    valueTest(info, false);
    info.setValue("joe+@apache.org");
    valueTest(info, false);
    info.setValue("joe!@apache.org");
    valueTest(info, false);
    info.setValue("joe*@apache.org");
    valueTest(info, false);
    info.setValue("joe'@apache.org");
    valueTest(info, false);
    info.setValue("joe(@apache.org");
    valueTest(info, false);
    info.setValue("joe)@apache.org");
    valueTest(info, false);
    info.setValue("joe,@apache.org");
    valueTest(info, false);
    info.setValue("joe%45@apache.org");
    valueTest(info, false);
    info.setValue("joe;@apache.org");
    valueTest(info, false);
    info.setValue("joe?@apache.org");
    valueTest(info, false);
    info.setValue("joe&amp;@apache.org");
    valueTest(info, false);
    info.setValue("joe=@apache.org");
    valueTest(info, false);
    // Quoted Special characters are valid
    info.setValue("\"joe.\"@apache.org");
    valueTest(info, true);
    info.setValue("\"joe+\"@apache.org");
    valueTest(info, true);
    info.setValue("\"joe!\"@apache.org");
    valueTest(info, true);
    info.setValue("\"joe*\"@apache.org");
    valueTest(info, true);
    info.setValue("\"joe'\"@apache.org");
    valueTest(info, true);
    info.setValue("\"joe(\"@apache.org");
    valueTest(info, true);
    info.setValue("\"joe)\"@apache.org");
    valueTest(info, true);
    info.setValue("\"joe,\"@apache.org");
    valueTest(info, true);
    info.setValue("\"joe%45\"@apache.org");
    valueTest(info, true);
    info.setValue("\"joe;\"@apache.org");
    valueTest(info, true);
    info.setValue("\"joe?\"@apache.org");
    valueTest(info, true);
    info.setValue("\"joe&amp;\"@apache.org");
    valueTest(info, true);
    info.setValue("\"joe=\"@apache.org");
    valueTest(info, true);
}</t>
  </si>
  <si>
    <t>[org/apache/commons/validator/ValueBean."&lt;init&gt;", org/apache/commons/validator/ValueBean.setValue, .valueTest]
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.valueTest]</t>
  </si>
  <si>
    <t>[[testEmailFromPerl, testEmailUserName]]</t>
  </si>
  <si>
    <t>testIsOnIsFalseWhenNotAllFlagsInArgumentAreOn</t>
  </si>
  <si>
    <t>@Test
public void testIsOnIsFalseWhenNotAllFlagsInArgumentAreOn() {
    final Flags first = new Flags(1);
    final long firstAndSecond = 3;
    assertFalse(first.isOn(firstAndSecond));
}
@Test
public void testIsOnIsTrueWhenHighOrderBitIsSetAndQueried() {
    final Flags allOn = new Flags(~0);
    final long highOrderBit = 0x8000000000000000L;
    assertTrue(allOn.isOn(highOrderBit));
}</t>
  </si>
  <si>
    <t>testIsOnIsTrueWhenHighOrderBitIsSetAndQueried</t>
  </si>
  <si>
    <t>[[testIsOnIsFalseWhenNotAllFlagsInArgumentAreOn, testIsOnIsTrueWhenHighOrderBitIsSetAndQueried]]</t>
  </si>
  <si>
    <t>12584c893126e5b02af1171aabc2c411cd179379</t>
  </si>
  <si>
    <t>/**
 * Test isValid() for invalid values.
 */
@Test
public void testIsValidFalse() {
    if (log.isDebugEnabled()) {
        log.debug("testIsValidFalse() for " + routine.getClass().getName());
    }
    // test invalid code values
    for (int i = 0; i &lt; invalid.length; i++) {
        if (log.isDebugEnabled()) {
            log.debug("   " + i + " Testing Invalid Code=[" + invalid[i] + "]");
        }
        assertFalse(routine.isValid(invalid[i]), "invalid[" + i + "]: " + invalid[i]);
    }
    // test invalid check digit values
    final String[] invalidCheckDigits = createInvalidCodes(valid);
    for (int i = 0; i &lt; invalidCheckDigits.length; i++) {
        if (log.isDebugEnabled()) {
            log.debug("   " + i + " Testing Invalid Check Digit, Code=[" + invalidCheckDigits[i] + "]");
        }
        assertFalse(routine.isValid(invalidCheckDigits[i]), "invalid check digit[" + i + "]: " + invalidCheckDigits[i]);
    }
}
/**
 * Test isValid() for valid values.
 */
@Test
public void testIsValidTrue() {
    if (log.isDebugEnabled()) {
        log.debug("testIsValidTrue() for " + routine.getClass().getName());
    }
    // test valid values
    for (int i = 0; i &lt; valid.length; i++) {
        if (log.isDebugEnabled()) {
            log.debug("   " + i + " Testing Valid Code=[" + valid[i] + "]");
        }
        assertTrue(routine.isValid(valid[i]), "valid[" + i + "]: " + valid[i]);
    }
}</t>
  </si>
  <si>
    <t>[org/apache/commons/logging/Log.isDebugEnabled, java/lang/StringBuilder."&lt;init&gt;", java/lang/StringBuilder.append, java/lang/Object.getClass, java/lang/Class.getName, java/lang/StringBuilder.append, java/lang/StringBuilder.toString, org/apache/commons/logging/Log.debug, org/apache/commons/logging/Log.isDebugEnabled, java/lang/StringBuilder."&lt;init&gt;", java/lang/StringBuilder.append, java/lang/StringBuilder.append, java/lang/StringBuilder.append, java/lang/StringBuilder.append, java/lang/StringBuilder.append, java/lang/StringBuilder.toString, org/apache/commons/logging/Log.debug, org/apache/commons/validator/routines/checkdigit/CheckDigit.isValid, java/lang/StringBuilder."&lt;init&gt;", java/lang/StringBuilder.append, java/lang/StringBuilder.append, java/lang/StringBuilder.append, java/lang/StringBuilder.append, java/lang/StringBuilder.toString, .createInvalidCodes, org/apache/commons/logging/Log.isDebugEnabled, java/lang/StringBuilder."&lt;init&gt;", java/lang/StringBuilder.append, java/lang/StringBuilder.append, java/lang/StringBuilder.append, java/lang/StringBuilder.append, java/lang/StringBuilder.append, java/lang/StringBuilder.toString, org/apache/commons/logging/Log.debug, org/apache/commons/validator/routines/checkdigit/CheckDigit.isValid, java/lang/StringBuilder."&lt;init&gt;", java/lang/StringBuilder.append, java/lang/StringBuilder.append, java/lang/StringBuilder.append, java/lang/StringBuilder.append, java/lang/StringBuilder.toString]
[org/apache/commons/logging/Log.isDebugEnabled, java/lang/StringBuilder."&lt;init&gt;", java/lang/StringBuilder.append, java/lang/Object.getClass, java/lang/Class.getName, java/lang/StringBuilder.append, java/lang/StringBuilder.toString, org/apache/commons/logging/Log.debug, org/apache/commons/logging/Log.isDebugEnabled, java/lang/StringBuilder."&lt;init&gt;", java/lang/StringBuilder.append, java/lang/StringBuilder.append, java/lang/StringBuilder.append, java/lang/StringBuilder.append, java/lang/StringBuilder.append, java/lang/StringBuilder.toString, org/apache/commons/logging/Log.debug, org/apache/commons/validator/routines/checkdigit/CheckDigit.isValid, java/lang/StringBuilder."&lt;init&gt;", java/lang/StringBuilder.append, java/lang/StringBuilder.append, java/lang/StringBuilder.append, java/lang/StringBuilder.append, java/lang/StringBuilder.toString]</t>
  </si>
  <si>
    <t>/**
 * Test missing code
 */
@Test
public void testMissingCode() {
    // isValid() null
    assertFalse(routine.isValid(null), "isValid() Null");
    // isValid() zero length
    assertFalse(routine.isValid(""), "isValid() Zero Length");
    // isValid() length 1
    // Don't use 0, because that passes for Verhoef (not sure why yet)
    assertFalse(routine.isValid("9"), "isValid() Length 1");
    // calculate() null
    try {
        routine.calculate(null);
        fail("calculate() Null - expected exception");
    } catch (final Exception e) {
        assertEquals(missingMessage, e.getMessage(), "calculate() Null");
    }
    // calculate() zero length
    try {
        routine.calculate("");
        fail("calculate() Zero Length - expected exception");
    } catch (final Exception e) {
        assertEquals(missingMessage, e.getMessage(), "calculate() Zero Length");
    }
}
/**
 * Test zero sum
 */
@Test
public void testZeroSum() {
    assertFalse(routine.isValid(zeroSum), "isValid() Zero Sum");
    try {
        routine.calculate(zeroSum);
        fail("Zero Sum - expected exception");
    } catch (final Exception e) {
        assertEquals("Invalid code, sum is zero", e.getMessage(), "isValid() Zero Sum");
    }
}</t>
  </si>
  <si>
    <t>org.apache.commons.validator.routines.RegexValidatorTest</t>
  </si>
  <si>
    <t>2f044f864cd4312015c39bf74616f584ee4e89df</t>
  </si>
  <si>
    <t>testMultipleInsensitive</t>
  </si>
  <si>
    <t>/**
 * Test with multiple regular expressions (case in-sensitive).
 */
@Test
public void testMultipleInsensitive() {
    // Set up In-sensitive Validators
    final RegexValidator multiple = new RegexValidator(MULTIPLE_REGEX, false);
    final RegexValidator single1 = new RegexValidator(REGEX_1, false);
    final RegexValidator single2 = new RegexValidator(REGEX_2, false);
    final RegexValidator single3 = new RegexValidator(REGEX_3, false);
    // Set up test values
    String value = "AAC FDE 321";
    final String expect = "AACFDE321";
    final String[] array = { "AAC", "FDE", "321" };
    // isValid()
    assertTrue(multiple.isValid(value), "isValid() Multiple");
    assertFalse(single1.isValid(value), "isValid() 1st");
    assertTrue(single2.isValid(value), "isValid() 2nd");
    assertFalse(single3.isValid(value), "isValid() 3rd");
    // validate()
    assertEquals(expect, multiple.validate(value), "validate() Multiple");
    assertNull(single1.validate(value), "validate() 1st");
    assertEquals(expect, single2.validate(value), "validate() 2nd");
    assertNull(single3.validate(value), "validate() 3rd");
    // match()
    checkArray("match() Multiple", array, multiple.match(value));
    checkArray("match() 1st", null, single1.match(value));
    checkArray("match() 2nd", array, single2.match(value));
    checkArray("match() 3rd", null, single3.match(value));
    // All invalid
    value = "AAC*FDE*321";
    assertFalse(multiple.isValid(value), "isValid() Invalid");
    assertNull(multiple.validate(value), "validate() Invalid");
    assertNull(multiple.match(value), "match() Multiple");
}
/**
 * Test with multiple regular expressions (case sensitive).
 */
@Test
public void testMultipleSensitive() {
    // Set up Sensitive Validators
    final RegexValidator multiple = new RegexValidator(MULTIPLE_REGEX);
    final RegexValidator single1 = new RegexValidator(REGEX_1);
    final RegexValidator single2 = new RegexValidator(REGEX_2);
    final RegexValidator single3 = new RegexValidator(REGEX_3);
    // Set up test values
    String value = "aac FDE 321";
    final String expect = "aacFDE321";
    final String[] array = { "aac", "FDE", "321" };
    // isValid()
    assertTrue(multiple.isValid(value), "Sensitive isValid() Multiple");
    assertFalse(single1.isValid(value), "Sensitive isValid() 1st");
    assertTrue(single2.isValid(value), "Sensitive isValid() 2nd");
    assertFalse(single3.isValid(value), "Sensitive isValid() 3rd");
    // validate()
    assertEquals(expect, multiple.validate(value), "Sensitive validate() Multiple");
    assertNull(single1.validate(value), "Sensitive validate() 1st");
    assertEquals(expect, single2.validate(value), "Sensitive validate() 2nd");
    assertNull(single3.validate(value), "Sensitive validate() 3rd");
    // match()
    checkArray("Sensitive match() Multiple", array, multiple.match(value));
    checkArray("Sensitive match() 1st", null, single1.match(value));
    checkArray("Sensitive match() 2nd", array, single2.match(value));
    checkArray("Sensitive match() 3rd", null, single3.match(value));
    // All invalid
    value = "AAC*FDE*321";
    assertFalse(multiple.isValid(value), "isValid() Invalid");
    assertNull(multiple.validate(value), "validate() Invalid");
    assertNull(multiple.match(value), "match() Multiple");
}</t>
  </si>
  <si>
    <t>[org/apache/commons/validator/routines/RegexValidator."&lt;init&gt;", org/apache/commons/validator/routines/RegexValidator."&lt;init&gt;", org/apache/commons/validator/routines/RegexValidator."&lt;init&gt;", org/apache/commons/validator/routines/RegexValidator."&lt;init&gt;", org/apache/commons/validator/routines/RegexValidator.isValid, org/apache/commons/validator/routines/RegexValidator.isValid, org/apache/commons/validator/routines/RegexValidator.isValid, org/apache/commons/validator/routines/RegexValidator.isValid, org/apache/commons/validator/routines/RegexValidator.validate, org/apache/commons/validator/routines/RegexValidator.validate, org/apache/commons/validator/routines/RegexValidator.validate, org/apache/commons/validator/routines/RegexValidator.validate, org/apache/commons/validator/routines/RegexValidator.match, .checkArray, org/apache/commons/validator/routines/RegexValidator.match, .checkArray, org/apache/commons/validator/routines/RegexValidator.match, .checkArray, org/apache/commons/validator/routines/RegexValidator.match, .checkArray, org/apache/commons/validator/routines/RegexValidator.isValid, org/apache/commons/validator/routines/RegexValidator.validate, org/apache/commons/validator/routines/RegexValidator.match]
[org/apache/commons/validator/routines/RegexValidator."&lt;init&gt;", org/apache/commons/validator/routines/RegexValidator."&lt;init&gt;", org/apache/commons/validator/routines/RegexValidator."&lt;init&gt;", org/apache/commons/validator/routines/RegexValidator."&lt;init&gt;", org/apache/commons/validator/routines/RegexValidator.isValid, org/apache/commons/validator/routines/RegexValidator.isValid, org/apache/commons/validator/routines/RegexValidator.isValid, org/apache/commons/validator/routines/RegexValidator.isValid, org/apache/commons/validator/routines/RegexValidator.validate, org/apache/commons/validator/routines/RegexValidator.validate, org/apache/commons/validator/routines/RegexValidator.validate, org/apache/commons/validator/routines/RegexValidator.validate, org/apache/commons/validator/routines/RegexValidator.match, .checkArray, org/apache/commons/validator/routines/RegexValidator.match, .checkArray, org/apache/commons/validator/routines/RegexValidator.match, .checkArray, org/apache/commons/validator/routines/RegexValidator.match, .checkArray, org/apache/commons/validator/routines/RegexValidator.isValid, org/apache/commons/validator/routines/RegexValidator.validate, org/apache/commons/validator/routines/RegexValidator.match]</t>
  </si>
  <si>
    <t>testMultipleSensitive</t>
  </si>
  <si>
    <t>/**
 * Test with multiple regular expressions (case in-sensitive).
 */
@Test
public void testMultipleInsensitive() {
    // Set up In-sensitive Validators
    final RegexValidator multiple = new RegexValidator(MULTIPLE_REGEX, false);
    final RegexValidator single1 = new RegexValidator(REGEX_1, false);
    final RegexValidator single2 = new RegexValidator(REGEX_2, false);
    final RegexValidator single3 = new RegexValidator(REGEX_3, false);
    // Set up test values
    String value = "AAC FDE 321";
    final String expect = "AACFDE321";
    final String[] array = { "AAC", "FDE", "321" };
    // isValid()
    assertTrue(multiple.isValid(value), "isValid() Multiple");
    assertFalse(single1.isValid(value), "isValid() 1st");
    assertTrue(single2.isValid(value), "isValid() 2nd");
    assertFalse(single3.isValid(value), "isValid() 3rd");
    // validate()
    assertEquals(expect, multiple.validate(value), "validate() Multiple");
    assertNull(single1.validate(value), "validate() 1st");
    assertEquals(expect, single2.validate(value), "validate() 2nd");
    assertNull(single3.validate(value), "validate() 3rd");
    // match()
    checkArray("match() Multiple", array, multiple.match(value));
    checkArray("match() 1st", null, single1.match(value));
    checkArray("match() 2nd", array, single2.match(value));
    checkArray("match() 3rd", null, single3.match(value));
    // All invalid
    value = "AAC*FDE*321";
    assertFalse(multiple.isValid(value), "isValid() Invalid");
    assertNull(multiple.validate(value), "validate() Invalid");
    assertNull(multiple.match(value), "match() Multiple");
}
/**
 * Test instance methods with single regular expression.
 */
@Test
public void testSingle() {
    final RegexValidator sensitive = new RegexValidator(REGEX);
    final RegexValidator insensitive = new RegexValidator(REGEX, false);
    // isValid()
    assertTrue(sensitive.isValid("ac-DE-1"), "Sensitive isValid() valid");
    assertFalse(sensitive.isValid("AB-de-1"), "Sensitive isValid() invalid");
    assertTrue(insensitive.isValid("AB-de-1"), "Insensitive isValid() valid");
    assertFalse(insensitive.isValid("ABd-de-1"), "Insensitive isValid() invalid");
    // validate()
    assertEquals(sensitive.validate("ac-DE-1"), "acDE1", "Sensitive validate() valid");
    assertNull(sensitive.validate("AB-de-1"), "Sensitive validate() invalid");
    assertEquals(insensitive.validate("AB-de-1"), "ABde1", "Insensitive validate() valid");
    assertNull(insensitive.validate("ABd-de-1"), "Insensitive validate() invalid");
    // match()
    checkArray("Sensitive match() valid", new String[] { "ac", "DE", "1" }, sensitive.match("ac-DE-1"));
    checkArray("Sensitive match() invalid", null, sensitive.match("AB-de-1"));
    checkArray("Insensitive match() valid", new String[] { "AB", "de", "1" }, insensitive.match("AB-de-1"));
    checkArray("Insensitive match() invalid", null, insensitive.match("ABd-de-1"));
    assertEquals(new RegexValidator("^([A-Z]*)$").validate("ABC"), "ABC", "validate one");
    checkArray("match one", new String[] { "ABC" }, new RegexValidator("^([A-Z]*)$").match("ABC"));
}</t>
  </si>
  <si>
    <t>[org/apache/commons/validator/routines/RegexValidator."&lt;init&gt;", org/apache/commons/validator/routines/RegexValidator."&lt;init&gt;", org/apache/commons/validator/routines/RegexValidator."&lt;init&gt;", org/apache/commons/validator/routines/RegexValidator."&lt;init&gt;", org/apache/commons/validator/routines/RegexValidator.isValid, org/apache/commons/validator/routines/RegexValidator.isValid, org/apache/commons/validator/routines/RegexValidator.isValid, org/apache/commons/validator/routines/RegexValidator.isValid, org/apache/commons/validator/routines/RegexValidator.validate, org/apache/commons/validator/routines/RegexValidator.validate, org/apache/commons/validator/routines/RegexValidator.validate, org/apache/commons/validator/routines/RegexValidator.validate, org/apache/commons/validator/routines/RegexValidator.match, .checkArray, org/apache/commons/validator/routines/RegexValidator.match, .checkArray, org/apache/commons/validator/routines/RegexValidator.match, .checkArray, org/apache/commons/validator/routines/RegexValidator.match, .checkArray, org/apache/commons/validator/routines/RegexValidator.isValid, org/apache/commons/validator/routines/RegexValidator.validate, org/apache/commons/validator/routines/RegexValidator.match]
[org/apache/commons/validator/routines/RegexValidator."&lt;init&gt;", org/apache/commons/validator/routines/RegexValidator."&lt;init&gt;", org/apache/commons/validator/routines/RegexValidator.isValid, org/apache/commons/validator/routines/RegexValidator.isValid, org/apache/commons/validator/routines/RegexValidator.isValid, org/apache/commons/validator/routines/RegexValidator.isValid, org/apache/commons/validator/routines/RegexValidator.validate, org/apache/commons/validator/routines/RegexValidator.validate, org/apache/commons/validator/routines/RegexValidator.validate, org/apache/commons/validator/routines/RegexValidator.validate, org/apache/commons/validator/routines/RegexValidator.match, .checkArray, org/apache/commons/validator/routines/RegexValidator.match, .checkArray, org/apache/commons/validator/routines/RegexValidator.match, .checkArray, org/apache/commons/validator/routines/RegexValidator.match, .checkArray, org/apache/commons/validator/routines/RegexValidator."&lt;init&gt;", org/apache/commons/validator/routines/RegexValidator.validate, org/apache/commons/validator/routines/RegexValidator."&lt;init&gt;", org/apache/commons/validator/routines/RegexValidator.match, .checkArray]</t>
  </si>
  <si>
    <t>testSingle</t>
  </si>
  <si>
    <t>/**
 * Test with multiple regular expressions (case in-sensitive).
 */
@Test
public void testMultipleInsensitive() {
    // Set up In-sensitive Validators
    final RegexValidator multiple = new RegexValidator(MULTIPLE_REGEX, false);
    final RegexValidator single1 = new RegexValidator(REGEX_1, false);
    final RegexValidator single2 = new RegexValidator(REGEX_2, false);
    final RegexValidator single3 = new RegexValidator(REGEX_3, false);
    // Set up test values
    String value = "AAC FDE 321";
    final String expect = "AACFDE321";
    final String[] array = { "AAC", "FDE", "321" };
    // isValid()
    assertTrue(multiple.isValid(value), "isValid() Multiple");
    assertFalse(single1.isValid(value), "isValid() 1st");
    assertTrue(single2.isValid(value), "isValid() 2nd");
    assertFalse(single3.isValid(value), "isValid() 3rd");
    // validate()
    assertEquals(expect, multiple.validate(value), "validate() Multiple");
    assertNull(single1.validate(value), "validate() 1st");
    assertEquals(expect, single2.validate(value), "validate() 2nd");
    assertNull(single3.validate(value), "validate() 3rd");
    // match()
    checkArray("match() Multiple", array, multiple.match(value));
    checkArray("match() 1st", null, single1.match(value));
    checkArray("match() 2nd", array, single2.match(value));
    checkArray("match() 3rd", null, single3.match(value));
    // All invalid
    value = "AAC*FDE*321";
    assertFalse(multiple.isValid(value), "isValid() Invalid");
    assertNull(multiple.validate(value), "validate() Invalid");
    assertNull(multiple.match(value), "match() Multiple");
}
/**
 * Test Null value
 */
@Test
public void testNullValue() {
    final RegexValidator validator = new RegexValidator(REGEX);
    assertFalse(validator.isValid(null), "Instance isValid()");
    assertNull(validator.validate(null), "Instance validate()");
    assertNull(validator.match(null), "Instance match()");
}</t>
  </si>
  <si>
    <t>[org/apache/commons/validator/routines/RegexValidator."&lt;init&gt;", org/apache/commons/validator/routines/RegexValidator."&lt;init&gt;", org/apache/commons/validator/routines/RegexValidator."&lt;init&gt;", org/apache/commons/validator/routines/RegexValidator."&lt;init&gt;", org/apache/commons/validator/routines/RegexValidator.isValid, org/apache/commons/validator/routines/RegexValidator.isValid, org/apache/commons/validator/routines/RegexValidator.isValid, org/apache/commons/validator/routines/RegexValidator.isValid, org/apache/commons/validator/routines/RegexValidator.validate, org/apache/commons/validator/routines/RegexValidator.validate, org/apache/commons/validator/routines/RegexValidator.validate, org/apache/commons/validator/routines/RegexValidator.validate, org/apache/commons/validator/routines/RegexValidator.match, .checkArray, org/apache/commons/validator/routines/RegexValidator.match, .checkArray, org/apache/commons/validator/routines/RegexValidator.match, .checkArray, org/apache/commons/validator/routines/RegexValidator.match, .checkArray, org/apache/commons/validator/routines/RegexValidator.isValid, org/apache/commons/validator/routines/RegexValidator.validate, org/apache/commons/validator/routines/RegexValidator.match]
[org/apache/commons/validator/routines/RegexValidator."&lt;init&gt;", org/apache/commons/validator/routines/RegexValidator.isValid, org/apache/commons/validator/routines/RegexValidator.validate, org/apache/commons/validator/routines/RegexValidator.match]</t>
  </si>
  <si>
    <t>testNullValue</t>
  </si>
  <si>
    <t>[ org/apache/commons/validator/routines/RegexValidator."&lt;init&gt;",  .checkArray]</t>
  </si>
  <si>
    <t>/**
 * Test with multiple regular expressions (case sensitive).
 */
@Test
public void testMultipleSensitive() {
    // Set up Sensitive Validators
    final RegexValidator multiple = new RegexValidator(MULTIPLE_REGEX);
    final RegexValidator single1 = new RegexValidator(REGEX_1);
    final RegexValidator single2 = new RegexValidator(REGEX_2);
    final RegexValidator single3 = new RegexValidator(REGEX_3);
    // Set up test values
    String value = "aac FDE 321";
    final String expect = "aacFDE321";
    final String[] array = { "aac", "FDE", "321" };
    // isValid()
    assertTrue(multiple.isValid(value), "Sensitive isValid() Multiple");
    assertFalse(single1.isValid(value), "Sensitive isValid() 1st");
    assertTrue(single2.isValid(value), "Sensitive isValid() 2nd");
    assertFalse(single3.isValid(value), "Sensitive isValid() 3rd");
    // validate()
    assertEquals(expect, multiple.validate(value), "Sensitive validate() Multiple");
    assertNull(single1.validate(value), "Sensitive validate() 1st");
    assertEquals(expect, single2.validate(value), "Sensitive validate() 2nd");
    assertNull(single3.validate(value), "Sensitive validate() 3rd");
    // match()
    checkArray("Sensitive match() Multiple", array, multiple.match(value));
    checkArray("Sensitive match() 1st", null, single1.match(value));
    checkArray("Sensitive match() 2nd", array, single2.match(value));
    checkArray("Sensitive match() 3rd", null, single3.match(value));
    // All invalid
    value = "AAC*FDE*321";
    assertFalse(multiple.isValid(value), "isValid() Invalid");
    assertNull(multiple.validate(value), "validate() Invalid");
    assertNull(multiple.match(value), "match() Multiple");
}
/**
 * Test instance methods with single regular expression.
 */
@Test
public void testSingle() {
    final RegexValidator sensitive = new RegexValidator(REGEX);
    final RegexValidator insensitive = new RegexValidator(REGEX, false);
    // isValid()
    assertTrue(sensitive.isValid("ac-DE-1"), "Sensitive isValid() valid");
    assertFalse(sensitive.isValid("AB-de-1"), "Sensitive isValid() invalid");
    assertTrue(insensitive.isValid("AB-de-1"), "Insensitive isValid() valid");
    assertFalse(insensitive.isValid("ABd-de-1"), "Insensitive isValid() invalid");
    // validate()
    assertEquals(sensitive.validate("ac-DE-1"), "acDE1", "Sensitive validate() valid");
    assertNull(sensitive.validate("AB-de-1"), "Sensitive validate() invalid");
    assertEquals(insensitive.validate("AB-de-1"), "ABde1", "Insensitive validate() valid");
    assertNull(insensitive.validate("ABd-de-1"), "Insensitive validate() invalid");
    // match()
    checkArray("Sensitive match() valid", new String[] { "ac", "DE", "1" }, sensitive.match("ac-DE-1"));
    checkArray("Sensitive match() invalid", null, sensitive.match("AB-de-1"));
    checkArray("Insensitive match() valid", new String[] { "AB", "de", "1" }, insensitive.match("AB-de-1"));
    checkArray("Insensitive match() invalid", null, insensitive.match("ABd-de-1"));
    assertEquals(new RegexValidator("^([A-Z]*)$").validate("ABC"), "ABC", "validate one");
    checkArray("match one", new String[] { "ABC" }, new RegexValidator("^([A-Z]*)$").match("ABC"));
}</t>
  </si>
  <si>
    <t>/**
 * Test with multiple regular expressions (case sensitive).
 */
@Test
public void testMultipleSensitive() {
    // Set up Sensitive Validators
    final RegexValidator multiple = new RegexValidator(MULTIPLE_REGEX);
    final RegexValidator single1 = new RegexValidator(REGEX_1);
    final RegexValidator single2 = new RegexValidator(REGEX_2);
    final RegexValidator single3 = new RegexValidator(REGEX_3);
    // Set up test values
    String value = "aac FDE 321";
    final String expect = "aacFDE321";
    final String[] array = { "aac", "FDE", "321" };
    // isValid()
    assertTrue(multiple.isValid(value), "Sensitive isValid() Multiple");
    assertFalse(single1.isValid(value), "Sensitive isValid() 1st");
    assertTrue(single2.isValid(value), "Sensitive isValid() 2nd");
    assertFalse(single3.isValid(value), "Sensitive isValid() 3rd");
    // validate()
    assertEquals(expect, multiple.validate(value), "Sensitive validate() Multiple");
    assertNull(single1.validate(value), "Sensitive validate() 1st");
    assertEquals(expect, single2.validate(value), "Sensitive validate() 2nd");
    assertNull(single3.validate(value), "Sensitive validate() 3rd");
    // match()
    checkArray("Sensitive match() Multiple", array, multiple.match(value));
    checkArray("Sensitive match() 1st", null, single1.match(value));
    checkArray("Sensitive match() 2nd", array, single2.match(value));
    checkArray("Sensitive match() 3rd", null, single3.match(value));
    // All invalid
    value = "AAC*FDE*321";
    assertFalse(multiple.isValid(value), "isValid() Invalid");
    assertNull(multiple.validate(value), "validate() Invalid");
    assertNull(multiple.match(value), "match() Multiple");
}
/**
 * Test Null value
 */
@Test
public void testNullValue() {
    final RegexValidator validator = new RegexValidator(REGEX);
    assertFalse(validator.isValid(null), "Instance isValid()");
    assertNull(validator.validate(null), "Instance validate()");
    assertNull(validator.match(null), "Instance match()");
}</t>
  </si>
  <si>
    <t>/**
 * Test Null value
 */
@Test
public void testNullValue() {
    final RegexValidator validator = new RegexValidator(REGEX);
    assertFalse(validator.isValid(null), "Instance isValid()");
    assertNull(validator.validate(null), "Instance validate()");
    assertNull(validator.match(null), "Instance match()");
}
/**
 * Test instance methods with single regular expression.
 */
@Test
public void testSingle() {
    final RegexValidator sensitive = new RegexValidator(REGEX);
    final RegexValidator insensitive = new RegexValidator(REGEX, false);
    // isValid()
    assertTrue(sensitive.isValid("ac-DE-1"), "Sensitive isValid() valid");
    assertFalse(sensitive.isValid("AB-de-1"), "Sensitive isValid() invalid");
    assertTrue(insensitive.isValid("AB-de-1"), "Insensitive isValid() valid");
    assertFalse(insensitive.isValid("ABd-de-1"), "Insensitive isValid() invalid");
    // validate()
    assertEquals(sensitive.validate("ac-DE-1"), "acDE1", "Sensitive validate() valid");
    assertNull(sensitive.validate("AB-de-1"), "Sensitive validate() invalid");
    assertEquals(insensitive.validate("AB-de-1"), "ABde1", "Insensitive validate() valid");
    assertNull(insensitive.validate("ABd-de-1"), "Insensitive validate() invalid");
    // match()
    checkArray("Sensitive match() valid", new String[] { "ac", "DE", "1" }, sensitive.match("ac-DE-1"));
    checkArray("Sensitive match() invalid", null, sensitive.match("AB-de-1"));
    checkArray("Insensitive match() valid", new String[] { "AB", "de", "1" }, insensitive.match("AB-de-1"));
    checkArray("Insensitive match() invalid", null, insensitive.match("ABd-de-1"));
    assertEquals(new RegexValidator("^([A-Z]*)$").validate("ABC"), "ABC", "validate one");
    checkArray("match one", new String[] { "ABC" }, new RegexValidator("^([A-Z]*)$").match("ABC"));
}</t>
  </si>
  <si>
    <t>[org/apache/commons/validator/routines/RegexValidator."&lt;init&gt;", org/apache/commons/validator/routines/RegexValidator.isValid, org/apache/commons/validator/routines/RegexValidator.validate, org/apache/commons/validator/routines/RegexValidator.match]
[org/apache/commons/validator/routines/RegexValidator."&lt;init&gt;", org/apache/commons/validator/routines/RegexValidator."&lt;init&gt;", org/apache/commons/validator/routines/RegexValidator.isValid, org/apache/commons/validator/routines/RegexValidator.isValid, org/apache/commons/validator/routines/RegexValidator.isValid, org/apache/commons/validator/routines/RegexValidator.isValid, org/apache/commons/validator/routines/RegexValidator.validate, org/apache/commons/validator/routines/RegexValidator.validate, org/apache/commons/validator/routines/RegexValidator.validate, org/apache/commons/validator/routines/RegexValidator.validate, org/apache/commons/validator/routines/RegexValidator.match, .checkArray, org/apache/commons/validator/routines/RegexValidator.match, .checkArray, org/apache/commons/validator/routines/RegexValidator.match, .checkArray, org/apache/commons/validator/routines/RegexValidator.match, .checkArray, org/apache/commons/validator/routines/RegexValidator."&lt;init&gt;", org/apache/commons/validator/routines/RegexValidator.validate, org/apache/commons/validator/routines/RegexValidator."&lt;init&gt;", org/apache/commons/validator/routines/RegexValidator.match, .checkArray]</t>
  </si>
  <si>
    <t>/**
 * Test Invalid Dates with "locale" validation
 */
@Test
public void testLocaleInvalid() {
    for (int i = 0; i &lt; localeInvalid.length; i++) {
        final String text = i + " value=[" + localeInvalid[i] + "] passed ";
        final Object date = validator.validate(localeInvalid[i], Locale.US);
        assertNull(date, () -&gt; "validate() " + text + date);
        assertFalse(validator.isValid(localeInvalid[i], Locale.UK), () -&gt; "isValid() " + text);
    }
}
/**
 * Test Invalid Dates with "pattern" validation
 */
@Test
public void testPatternInvalid() {
    for (int i = 0; i &lt; patternInvalid.length; i++) {
        final String text = i + " value=[" + patternInvalid[i] + "] passed ";
        final Object date = validator.validate(patternInvalid[i], "HH-mm-ss");
        assertNull(date, () -&gt; "validate() " + text + date);
        assertFalse(validator.isValid(patternInvalid[i], "HH-mm-ss"), () -&gt; "isValid() " + text);
    }
}</t>
  </si>
  <si>
    <t>[java/lang/StringBuilder."&lt;init&gt;", java/lang/StringBuilder.append, java/lang/StringBuilder.append, java/lang/StringBuilder.append, java/lang/StringBuilder.append, java/lang/StringBuilder.toString, org/apache/commons/validator/routines/TimeValidator.validate, org/apache/commons/validator/routines/TimeValidator.isValid]
[java/lang/StringBuilder."&lt;init&gt;", java/lang/StringBuilder.append, java/lang/StringBuilder.append, java/lang/StringBuilder.append, java/lang/StringBuilder.append, java/lang/StringBuilder.toString, org/apache/commons/validator/routines/TimeValidator.validate, org/apache/commons/validator/routines/TimeValidator.isValid]</t>
  </si>
  <si>
    <t>/**
 * Test Invalid Dates with "locale" validation
 */
@Test
public void testLocaleInvalid() {
    for (int i = 0; i &lt; localeInvalid.length; i++) {
        final String text = i + " value=[" + localeInvalid[i] + "] passed ";
        final Object date = validator.validate(localeInvalid[i], Locale.US);
        assertNull(date, () -&gt; "validate() " + text + date);
        assertFalse(validator.isValid(localeInvalid[i], Locale.UK), () -&gt; "isValid() " + text);
    }
}
/**
 * Test Valid Dates with "locale" validation
 */
@Test
public void testLocaleValid() {
    for (int i = 0; i &lt; localeValid.length; i++) {
        final String text = i + " value=[" + localeValid[i] + "] failed ";
        final Calendar calendar = validator.validate(localeValid[i], Locale.UK);
        assertNotNull(calendar, () -&gt; "validate() " + text);
        final Date date = calendar.getTime();
        assertTrue(validator.isValid(localeValid[i], Locale.UK), () -&gt; "isValid() " + text);
        assertEquals(localeExpect[i], date, () -&gt; "compare " + text);
    }
}</t>
  </si>
  <si>
    <t>[java/lang/StringBuilder."&lt;init&gt;", java/lang/StringBuilder.append, java/lang/StringBuilder.append, java/lang/StringBuilder.append, java/lang/StringBuilder.append, java/lang/StringBuilder.toString, org/apache/commons/validator/routines/TimeValidator.validate, org/apache/commons/validator/routines/TimeValidator.isValid]
[java/lang/StringBuilder."&lt;init&gt;", java/lang/StringBuilder.append, java/lang/StringBuilder.append, java/lang/StringBuilder.append, java/lang/StringBuilder.append, java/lang/StringBuilder.toString, org/apache/commons/validator/routines/TimeValidator.validate, java/util/Calendar.getTime, org/apache/commons/validator/routines/TimeValidator.isValid]</t>
  </si>
  <si>
    <t>/**
 * Test Invalid Dates with "locale" validation
 */
@Test
public void testLocaleInvalid() {
    for (int i = 0; i &lt; localeInvalid.length; i++) {
        final String text = i + " value=[" + localeInvalid[i] + "] passed ";
        final Object date = validator.validate(localeInvalid[i], Locale.US);
        assertNull(date, () -&gt; "validate() " + text + date);
        assertFalse(validator.isValid(localeInvalid[i], Locale.UK), () -&gt; "isValid() " + text);
    }
}
/**
 * Test Valid Dates with "pattern" validation
 */
@Test
public void testPatternValid() {
    for (int i = 0; i &lt; patternValid.length; i++) {
        final String text = i + " value=[" + patternValid[i] + "] failed ";
        final Calendar calendar = validator.validate(patternValid[i], "HH-mm-ss");
        assertNotNull(calendar, () -&gt; "validateObj() " + text);
        final Date date = calendar.getTime();
        assertTrue(validator.isValid(patternValid[i], "HH-mm-ss"), () -&gt; "isValid() " + text);
        assertEquals(patternExpect[i], date, () -&gt; "compare " + text);
    }
}</t>
  </si>
  <si>
    <t>/**
 * Test Valid Dates with "locale" validation
 */
@Test
public void testLocaleValid() {
    for (int i = 0; i &lt; localeValid.length; i++) {
        final String text = i + " value=[" + localeValid[i] + "] failed ";
        final Calendar calendar = validator.validate(localeValid[i], Locale.UK);
        assertNotNull(calendar, () -&gt; "validate() " + text);
        final Date date = calendar.getTime();
        assertTrue(validator.isValid(localeValid[i], Locale.UK), () -&gt; "isValid() " + text);
        assertEquals(localeExpect[i], date, () -&gt; "compare " + text);
    }
}
/**
 * Test Valid Dates with "pattern" validation
 */
@Test
public void testPatternValid() {
    for (int i = 0; i &lt; patternValid.length; i++) {
        final String text = i + " value=[" + patternValid[i] + "] failed ";
        final Calendar calendar = validator.validate(patternValid[i], "HH-mm-ss");
        assertNotNull(calendar, () -&gt; "validateObj() " + text);
        final Date date = calendar.getTime();
        assertTrue(validator.isValid(patternValid[i], "HH-mm-ss"), () -&gt; "isValid() " + text);
        assertEquals(patternExpect[i], date, () -&gt; "compare " + text);
    }
}</t>
  </si>
  <si>
    <t>[java/lang/StringBuilder."&lt;init&gt;", java/lang/StringBuilder.append, java/lang/StringBuilder.append, java/lang/StringBuilder.append, java/lang/StringBuilder.append, java/lang/StringBuilder.toString, org/apache/commons/validator/routines/TimeValidator.validate, java/util/Calendar.getTime, org/apache/commons/validator/routines/TimeValidator.isValid]
[java/lang/StringBuilder."&lt;init&gt;", java/lang/StringBuilder.append, java/lang/StringBuilder.append, java/lang/StringBuilder.append, java/lang/StringBuilder.append, java/lang/StringBuilder.toString, org/apache/commons/validator/routines/TimeValidator.validate, java/util/Calendar.getTime, org/apache/commons/validator/routines/TimeValidator.isValid]</t>
  </si>
  <si>
    <t>/**
 * Test Valid Dates with "locale" validation
 */
@Test
public void testLocaleValid() {
    for (int i = 0; i &lt; localeValid.length; i++) {
        final String text = i + " value=[" + localeValid[i] + "] failed ";
        final Calendar calendar = validator.validate(localeValid[i], Locale.UK);
        assertNotNull(calendar, () -&gt; "validate() " + text);
        final Date date = calendar.getTime();
        assertTrue(validator.isValid(localeValid[i], Locale.UK), () -&gt; "isValid() " + text);
        assertEquals(localeExpect[i], date, () -&gt; "compare " + text);
    }
}
/**
 * Test Invalid Dates with "pattern" validation
 */
@Test
public void testPatternInvalid() {
    for (int i = 0; i &lt; patternInvalid.length; i++) {
        final String text = i + " value=[" + patternInvalid[i] + "] passed ";
        final Object date = validator.validate(patternInvalid[i], "HH-mm-ss");
        assertNull(date, () -&gt; "validate() " + text + date);
        assertFalse(validator.isValid(patternInvalid[i], "HH-mm-ss"), () -&gt; "isValid() " + text);
    }
}</t>
  </si>
  <si>
    <t>[java/lang/StringBuilder."&lt;init&gt;", java/lang/StringBuilder.append, java/lang/StringBuilder.append, java/lang/StringBuilder.append, java/lang/StringBuilder.append, java/lang/StringBuilder.toString, org/apache/commons/validator/routines/TimeValidator.validate, java/util/Calendar.getTime, org/apache/commons/validator/routines/TimeValidator.isValid]
[java/lang/StringBuilder."&lt;init&gt;", java/lang/StringBuilder.append, java/lang/StringBuilder.append, java/lang/StringBuilder.append, java/lang/StringBuilder.append, java/lang/StringBuilder.toString, org/apache/commons/validator/routines/TimeValidator.validate, org/apache/commons/validator/routines/TimeValidator.isValid]</t>
  </si>
  <si>
    <t>/**
 * Test Invalid Dates with "pattern" validation
 */
@Test
public void testPatternInvalid() {
    for (int i = 0; i &lt; patternInvalid.length; i++) {
        final String text = i + " value=[" + patternInvalid[i] + "] passed ";
        final Object date = validator.validate(patternInvalid[i], "HH-mm-ss");
        assertNull(date, () -&gt; "validate() " + text + date);
        assertFalse(validator.isValid(patternInvalid[i], "HH-mm-ss"), () -&gt; "isValid() " + text);
    }
}
/**
 * Test Valid Dates with "pattern" validation
 */
@Test
public void testPatternValid() {
    for (int i = 0; i &lt; patternValid.length; i++) {
        final String text = i + " value=[" + patternValid[i] + "] failed ";
        final Calendar calendar = validator.validate(patternValid[i], "HH-mm-ss");
        assertNotNull(calendar, () -&gt; "validateObj() " + text);
        final Date date = calendar.getTime();
        assertTrue(validator.isValid(patternValid[i], "HH-mm-ss"), () -&gt; "isValid() " + text);
        assertEquals(patternExpect[i], date, () -&gt; "compare " + text);
    }
}</t>
  </si>
  <si>
    <t>154f67acfd345a51333a6cce63942dc4089430c4</t>
  </si>
  <si>
    <t>@Test
public void testSetDefaultValidator1() {
    final IllegalStateException thrown = assertThrows(IllegalStateException.class, () -&gt; VALIDATOR.setValidator("GB", 15, "GB"));
    assertEquals("The singleton validator cannot be modified", thrown.getMessage());
}
@Test
public void testSetDefaultValidator2() {
    final IllegalStateException thrown = assertThrows(IllegalStateException.class, () -&gt; VALIDATOR.setValidator("GB", -1, "GB"));
    assertEquals("The singleton validator cannot be modified", thrown.getMessage());
}</t>
  </si>
  <si>
    <t>[java/lang/IllegalStateException.getMessage]
[java/lang/IllegalStateException.getMessage]</t>
  </si>
  <si>
    <t>@Test
public void testSetValidatorLC() {
    final IBANValidator validator = new IBANValidator();
    final IllegalArgumentException thrown = assertThrows(IllegalArgumentException.class, () -&gt; validator.setValidator("gb", 15, "GB"));
    assertEquals("Invalid country Code; must be exactly 2 upper-case characters", thrown.getMessage());
}
@Test
public void testSetValidatorLen7() {
    final IBANValidator validator = new IBANValidator();
    final IllegalArgumentException thrown = assertThrows(IllegalArgumentException.class, () -&gt; validator.setValidator("GB", 7, "GB"));
    assertEquals("Invalid length parameter, must be in range 8 to 34 inclusive: 7", thrown.getMessage());
}</t>
  </si>
  <si>
    <t>[org/apache/commons/validator/routines/IBANValidator."&lt;init&gt;", java/lang/IllegalArgumentException.getMessage]
[org/apache/commons/validator/routines/IBANValidator."&lt;init&gt;", java/lang/IllegalArgumentException.getMessage]</t>
  </si>
  <si>
    <t>@Test
public void testSetValidatorLC() {
    final IBANValidator validator = new IBANValidator();
    final IllegalArgumentException thrown = assertThrows(IllegalArgumentException.class, () -&gt; validator.setValidator("gb", 15, "GB"));
    assertEquals("Invalid country Code; must be exactly 2 upper-case characters", thrown.getMessage());
}
@Test
public void testSetValidatorLen35() {
    final IBANValidator validator = new IBANValidator();
    final IllegalArgumentException thrown = assertThrows(IllegalArgumentException.class, () -&gt; validator.setValidator("GB", 35, "GB"));
    assertEquals("Invalid length parameter, must be in range 8 to 34 inclusive: 35", thrown.getMessage());
}</t>
  </si>
  <si>
    <t>@Test
public void testSetValidatorLen35() {
    final IBANValidator validator = new IBANValidator();
    final IllegalArgumentException thrown = assertThrows(IllegalArgumentException.class, () -&gt; validator.setValidator("GB", 35, "GB"));
    assertEquals("Invalid length parameter, must be in range 8 to 34 inclusive: 35", thrown.getMessage());
}
@Test
public void testSetValidatorLen7() {
    final IBANValidator validator = new IBANValidator();
    final IllegalArgumentException thrown = assertThrows(IllegalArgumentException.class, () -&gt; validator.setValidator("GB", 7, "GB"));
    assertEquals("Invalid length parameter, must be in range 8 to 34 inclusive: 7", thrown.getMessage());
}</t>
  </si>
  <si>
    <t>02f543d8c828b2956df76961339ff37c476c70c2</t>
  </si>
  <si>
    <t>6958a1731794f8c268c712da8f4e7c89de239fc4</t>
  </si>
  <si>
    <t>a952e2fbe2b2226c72083f74cf66562a3118225f</t>
  </si>
  <si>
    <t>count</t>
  </si>
  <si>
    <t>same code block remove</t>
  </si>
  <si>
    <t>var name</t>
  </si>
  <si>
    <t>test data</t>
  </si>
  <si>
    <t>constructor</t>
  </si>
  <si>
    <t>method</t>
  </si>
  <si>
    <t>assertion</t>
  </si>
  <si>
    <t>no var</t>
  </si>
  <si>
    <t>no literal value</t>
  </si>
  <si>
    <t>no cons</t>
  </si>
  <si>
    <t>new method add</t>
  </si>
  <si>
    <t>overload</t>
  </si>
  <si>
    <t>replace</t>
  </si>
  <si>
    <t>new attribute add</t>
  </si>
  <si>
    <t>same</t>
  </si>
  <si>
    <t>add</t>
  </si>
  <si>
    <t>same assertion added</t>
  </si>
  <si>
    <t>replace cons</t>
  </si>
  <si>
    <t>remove</t>
  </si>
  <si>
    <t>no assertion change</t>
  </si>
  <si>
    <t>common add</t>
  </si>
  <si>
    <t>common dele</t>
  </si>
  <si>
    <t>combination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</si>
</sst>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color theme="1"/>
      <name val="Calibri"/>
      <scheme val="minor"/>
    </font>
    <font>
      <b/>
      <sz val="11.0"/>
      <color theme="1"/>
      <name val="Arial"/>
    </font>
    <font>
      <color theme="1"/>
      <name val="Calibri"/>
      <scheme val="minor"/>
    </font>
    <font>
      <sz val="11.0"/>
      <color rgb="FF000000"/>
      <name val="&quot;Aptos Narrow&quot;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2" numFmtId="0" xfId="0" applyAlignment="1" applyFont="1">
      <alignment shrinkToFit="0" vertical="bottom" wrapText="1"/>
    </xf>
    <xf borderId="0" fillId="2" fontId="2" numFmtId="0" xfId="0" applyAlignment="1" applyFont="1">
      <alignment readingOrder="0" shrinkToFit="0" vertical="bottom" wrapText="1"/>
    </xf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3" fontId="3" numFmtId="0" xfId="0" applyFont="1"/>
    <xf borderId="0" fillId="2" fontId="3" numFmtId="0" xfId="0" applyFont="1"/>
    <xf borderId="0" fillId="5" fontId="3" numFmtId="0" xfId="0" applyAlignment="1" applyFill="1" applyFont="1">
      <alignment readingOrder="0"/>
    </xf>
    <xf borderId="0" fillId="5" fontId="3" numFmtId="0" xfId="0" applyFont="1"/>
    <xf borderId="0" fillId="5" fontId="3" numFmtId="0" xfId="0" applyAlignment="1" applyFont="1">
      <alignment readingOrder="0" shrinkToFit="0" wrapText="1"/>
    </xf>
    <xf borderId="0" fillId="6" fontId="3" numFmtId="0" xfId="0" applyAlignment="1" applyFill="1" applyFont="1">
      <alignment readingOrder="0"/>
    </xf>
    <xf borderId="0" fillId="6" fontId="3" numFmtId="0" xfId="0" applyFont="1"/>
    <xf borderId="0" fillId="6" fontId="3" numFmtId="0" xfId="0" applyAlignment="1" applyFont="1">
      <alignment readingOrder="0" shrinkToFit="0" wrapText="1"/>
    </xf>
    <xf borderId="0" fillId="7" fontId="3" numFmtId="0" xfId="0" applyAlignment="1" applyFill="1" applyFont="1">
      <alignment readingOrder="0"/>
    </xf>
    <xf borderId="0" fillId="7" fontId="3" numFmtId="0" xfId="0" applyFont="1"/>
    <xf borderId="0" fillId="8" fontId="3" numFmtId="0" xfId="0" applyAlignment="1" applyFill="1" applyFont="1">
      <alignment readingOrder="0"/>
    </xf>
    <xf borderId="0" fillId="8" fontId="3" numFmtId="0" xfId="0" applyFont="1"/>
    <xf borderId="0" fillId="8" fontId="3" numFmtId="0" xfId="0" applyAlignment="1" applyFont="1">
      <alignment shrinkToFit="0" wrapText="1"/>
    </xf>
    <xf borderId="0" fillId="9" fontId="3" numFmtId="0" xfId="0" applyAlignment="1" applyFill="1" applyFont="1">
      <alignment readingOrder="0"/>
    </xf>
    <xf borderId="0" fillId="9" fontId="4" numFmtId="0" xfId="0" applyAlignment="1" applyFont="1">
      <alignment readingOrder="0" shrinkToFit="0" vertical="bottom" wrapText="0"/>
    </xf>
    <xf borderId="0" fillId="9" fontId="4" numFmtId="0" xfId="0" applyAlignment="1" applyFont="1">
      <alignment horizontal="right" readingOrder="0" shrinkToFit="0" vertical="bottom" wrapText="0"/>
    </xf>
    <xf borderId="0" fillId="9" fontId="4" numFmtId="0" xfId="0" applyAlignment="1" applyFont="1">
      <alignment shrinkToFit="0" vertical="bottom" wrapText="0"/>
    </xf>
    <xf borderId="0" fillId="9" fontId="4" numFmtId="0" xfId="0" applyAlignment="1" applyFont="1">
      <alignment horizontal="center" readingOrder="0" shrinkToFit="0" vertical="bottom" wrapText="0"/>
    </xf>
    <xf borderId="0" fillId="9" fontId="3" numFmtId="0" xfId="0" applyFont="1"/>
    <xf borderId="0" fillId="9" fontId="3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10" fontId="3" numFmtId="0" xfId="0" applyAlignment="1" applyFill="1" applyFont="1">
      <alignment readingOrder="0"/>
    </xf>
    <xf borderId="0" fillId="10" fontId="3" numFmtId="0" xfId="0" applyFont="1"/>
    <xf borderId="0" fillId="10" fontId="3" numFmtId="0" xfId="0" applyAlignment="1" applyFont="1">
      <alignment readingOrder="0" shrinkToFit="0" wrapText="1"/>
    </xf>
    <xf borderId="0" fillId="7" fontId="3" numFmtId="0" xfId="0" applyAlignment="1" applyFont="1">
      <alignment readingOrder="0" shrinkToFit="0" wrapText="1"/>
    </xf>
    <xf borderId="0" fillId="11" fontId="3" numFmtId="0" xfId="0" applyAlignment="1" applyFill="1" applyFont="1">
      <alignment readingOrder="0"/>
    </xf>
    <xf borderId="0" fillId="11" fontId="3" numFmtId="0" xfId="0" applyFont="1"/>
    <xf borderId="0" fillId="11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8.71"/>
    <col customWidth="1" min="6" max="6" width="27.86"/>
    <col customWidth="1" min="7" max="7" width="8.71"/>
    <col customWidth="1" min="8" max="8" width="12.0"/>
    <col customWidth="1" min="9" max="11" width="8.71"/>
    <col customWidth="1" min="12" max="12" width="32.29"/>
    <col customWidth="1" min="13" max="13" width="8.71"/>
    <col customWidth="1" hidden="1" min="14" max="14" width="8.71"/>
    <col customWidth="1" min="15" max="15" width="8.71"/>
    <col customWidth="1" hidden="1" min="16" max="16" width="8.71"/>
    <col customWidth="1" min="17" max="41" width="8.71"/>
    <col customWidth="1" min="42" max="42" width="12.86"/>
    <col customWidth="1" min="43" max="45" width="8.71"/>
  </cols>
  <sheetData>
    <row r="1" ht="15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/>
      <c r="AS1" s="3" t="s">
        <v>43</v>
      </c>
    </row>
    <row r="2" ht="15.0" customHeight="1">
      <c r="A2" s="5">
        <v>1.0</v>
      </c>
      <c r="B2" s="6" t="s">
        <v>44</v>
      </c>
      <c r="C2" s="7" t="s">
        <v>45</v>
      </c>
      <c r="D2" s="7" t="s">
        <v>46</v>
      </c>
      <c r="E2" s="7" t="s">
        <v>47</v>
      </c>
      <c r="F2" s="7" t="s">
        <v>48</v>
      </c>
      <c r="G2" s="7" t="s">
        <v>49</v>
      </c>
      <c r="H2" s="8" t="s">
        <v>50</v>
      </c>
      <c r="I2" s="7" t="s">
        <v>51</v>
      </c>
      <c r="J2" s="7" t="s">
        <v>52</v>
      </c>
      <c r="K2" s="7" t="s">
        <v>53</v>
      </c>
      <c r="L2" s="7" t="s">
        <v>54</v>
      </c>
      <c r="M2" s="7">
        <v>1.0</v>
      </c>
      <c r="N2" s="5" t="s">
        <v>55</v>
      </c>
      <c r="O2" s="7">
        <v>0.8350409836065574</v>
      </c>
      <c r="P2" s="7" t="s">
        <v>56</v>
      </c>
      <c r="Q2" s="7">
        <v>6.0</v>
      </c>
      <c r="R2" s="7">
        <v>9.0</v>
      </c>
      <c r="S2" s="7" t="s">
        <v>57</v>
      </c>
      <c r="T2" s="7">
        <v>0.0</v>
      </c>
      <c r="U2" s="7" t="s">
        <v>57</v>
      </c>
      <c r="V2" s="7">
        <v>0.0</v>
      </c>
      <c r="W2" s="7">
        <v>0.0</v>
      </c>
      <c r="X2" s="7">
        <v>1.0</v>
      </c>
      <c r="Y2" s="7" t="s">
        <v>58</v>
      </c>
      <c r="Z2" s="7">
        <v>0.0</v>
      </c>
      <c r="AA2" s="7" t="s">
        <v>57</v>
      </c>
      <c r="AB2" s="7" t="s">
        <v>59</v>
      </c>
      <c r="AC2" s="7" t="s">
        <v>60</v>
      </c>
      <c r="AD2" s="7" t="s">
        <v>61</v>
      </c>
      <c r="AE2" s="7" t="b">
        <v>1</v>
      </c>
      <c r="AF2" s="5" t="s">
        <v>62</v>
      </c>
      <c r="AG2" s="5" t="s">
        <v>62</v>
      </c>
      <c r="AH2" s="5">
        <v>0.25</v>
      </c>
      <c r="AI2" s="5">
        <v>0.52</v>
      </c>
      <c r="AJ2" s="5" t="s">
        <v>63</v>
      </c>
      <c r="AK2" s="5" t="s">
        <v>64</v>
      </c>
      <c r="AL2" s="5" t="s">
        <v>65</v>
      </c>
      <c r="AM2" s="5" t="s">
        <v>66</v>
      </c>
      <c r="AN2" s="5" t="s">
        <v>67</v>
      </c>
      <c r="AO2" s="5" t="s">
        <v>68</v>
      </c>
      <c r="AP2" s="5" t="s">
        <v>69</v>
      </c>
      <c r="AQ2" s="5" t="s">
        <v>56</v>
      </c>
      <c r="AR2" s="5"/>
      <c r="AS2" s="5" t="s">
        <v>70</v>
      </c>
    </row>
    <row r="3" ht="15.0" customHeight="1">
      <c r="A3" s="9">
        <v>2.0</v>
      </c>
      <c r="B3" s="6" t="s">
        <v>44</v>
      </c>
      <c r="C3" s="10" t="s">
        <v>45</v>
      </c>
      <c r="D3" s="10" t="s">
        <v>71</v>
      </c>
      <c r="E3" s="10" t="s">
        <v>72</v>
      </c>
      <c r="F3" s="10" t="s">
        <v>73</v>
      </c>
      <c r="G3" s="10" t="s">
        <v>74</v>
      </c>
      <c r="H3" s="10" t="s">
        <v>75</v>
      </c>
      <c r="I3" s="10" t="s">
        <v>76</v>
      </c>
      <c r="J3" s="10" t="s">
        <v>77</v>
      </c>
      <c r="K3" s="10" t="s">
        <v>78</v>
      </c>
      <c r="L3" s="10" t="s">
        <v>79</v>
      </c>
      <c r="M3" s="10">
        <v>1.0</v>
      </c>
      <c r="N3" s="10">
        <v>0.16666666666666666</v>
      </c>
      <c r="O3" s="10">
        <v>0.21011673151750973</v>
      </c>
      <c r="P3" s="10" t="s">
        <v>56</v>
      </c>
      <c r="Q3" s="10">
        <v>2.0</v>
      </c>
      <c r="R3" s="10">
        <v>10.0</v>
      </c>
      <c r="S3" s="10" t="s">
        <v>57</v>
      </c>
      <c r="T3" s="10">
        <v>0.0</v>
      </c>
      <c r="U3" s="10" t="s">
        <v>57</v>
      </c>
      <c r="V3" s="10">
        <v>0.0</v>
      </c>
      <c r="W3" s="10">
        <v>0.0</v>
      </c>
      <c r="X3" s="10">
        <v>0.0</v>
      </c>
      <c r="Y3" s="10" t="s">
        <v>57</v>
      </c>
      <c r="Z3" s="10">
        <v>1.0</v>
      </c>
      <c r="AA3" s="10" t="s">
        <v>58</v>
      </c>
      <c r="AB3" s="10" t="s">
        <v>80</v>
      </c>
      <c r="AC3" s="10" t="s">
        <v>81</v>
      </c>
      <c r="AD3" s="10" t="s">
        <v>61</v>
      </c>
      <c r="AE3" s="10" t="b">
        <v>1</v>
      </c>
      <c r="AF3" s="9" t="s">
        <v>82</v>
      </c>
      <c r="AG3" s="9" t="s">
        <v>83</v>
      </c>
      <c r="AH3" s="9">
        <v>0.0</v>
      </c>
      <c r="AI3" s="9">
        <v>0.14</v>
      </c>
      <c r="AJ3" s="9" t="s">
        <v>63</v>
      </c>
      <c r="AK3" s="9" t="s">
        <v>64</v>
      </c>
      <c r="AL3" s="9" t="s">
        <v>65</v>
      </c>
      <c r="AM3" s="9" t="s">
        <v>84</v>
      </c>
      <c r="AN3" s="9" t="s">
        <v>67</v>
      </c>
      <c r="AO3" s="9" t="s">
        <v>85</v>
      </c>
      <c r="AP3" s="9" t="s">
        <v>69</v>
      </c>
      <c r="AQ3" s="9" t="s">
        <v>56</v>
      </c>
      <c r="AR3" s="9"/>
      <c r="AS3" s="11" t="s">
        <v>86</v>
      </c>
    </row>
    <row r="4" ht="15.0" customHeight="1">
      <c r="A4" s="12">
        <v>3.0</v>
      </c>
      <c r="B4" s="6" t="s">
        <v>87</v>
      </c>
      <c r="C4" s="13" t="s">
        <v>88</v>
      </c>
      <c r="D4" s="13" t="s">
        <v>89</v>
      </c>
      <c r="E4" s="13" t="s">
        <v>90</v>
      </c>
      <c r="F4" s="13" t="s">
        <v>91</v>
      </c>
      <c r="G4" s="13" t="s">
        <v>92</v>
      </c>
      <c r="H4" s="8" t="s">
        <v>93</v>
      </c>
      <c r="I4" s="13" t="s">
        <v>94</v>
      </c>
      <c r="J4" s="13" t="s">
        <v>95</v>
      </c>
      <c r="K4" s="13" t="s">
        <v>96</v>
      </c>
      <c r="L4" s="13" t="s">
        <v>97</v>
      </c>
      <c r="M4" s="13">
        <v>1.0</v>
      </c>
      <c r="N4" s="13">
        <v>0.4</v>
      </c>
      <c r="O4" s="13">
        <v>0.310126582278481</v>
      </c>
      <c r="P4" s="13" t="s">
        <v>56</v>
      </c>
      <c r="Q4" s="13">
        <v>0.0</v>
      </c>
      <c r="R4" s="13">
        <v>5.0</v>
      </c>
      <c r="S4" s="13" t="s">
        <v>57</v>
      </c>
      <c r="T4" s="13">
        <v>0.0</v>
      </c>
      <c r="U4" s="13" t="s">
        <v>57</v>
      </c>
      <c r="V4" s="13">
        <v>0.0</v>
      </c>
      <c r="W4" s="13">
        <v>0.0</v>
      </c>
      <c r="X4" s="13">
        <v>1.0</v>
      </c>
      <c r="Y4" s="13" t="s">
        <v>98</v>
      </c>
      <c r="Z4" s="13">
        <v>1.0</v>
      </c>
      <c r="AA4" s="13" t="s">
        <v>99</v>
      </c>
      <c r="AB4" s="13" t="s">
        <v>100</v>
      </c>
      <c r="AC4" s="13" t="s">
        <v>101</v>
      </c>
      <c r="AD4" s="13" t="s">
        <v>102</v>
      </c>
      <c r="AE4" s="13" t="b">
        <v>1</v>
      </c>
      <c r="AF4" s="12" t="s">
        <v>83</v>
      </c>
      <c r="AG4" s="12" t="s">
        <v>82</v>
      </c>
      <c r="AH4" s="12">
        <v>0.25</v>
      </c>
      <c r="AI4" s="12"/>
      <c r="AJ4" s="12" t="s">
        <v>103</v>
      </c>
      <c r="AK4" s="12" t="s">
        <v>104</v>
      </c>
      <c r="AL4" s="12" t="s">
        <v>65</v>
      </c>
      <c r="AM4" s="12" t="s">
        <v>84</v>
      </c>
      <c r="AN4" s="12" t="s">
        <v>67</v>
      </c>
      <c r="AO4" s="12" t="s">
        <v>105</v>
      </c>
      <c r="AP4" s="12" t="s">
        <v>69</v>
      </c>
      <c r="AQ4" s="12" t="s">
        <v>106</v>
      </c>
      <c r="AR4" s="12"/>
      <c r="AS4" s="14" t="s">
        <v>107</v>
      </c>
    </row>
    <row r="5" ht="15.0" customHeight="1">
      <c r="A5" s="12">
        <v>4.0</v>
      </c>
      <c r="B5" s="6" t="s">
        <v>87</v>
      </c>
      <c r="C5" s="13" t="s">
        <v>88</v>
      </c>
      <c r="D5" s="13" t="s">
        <v>89</v>
      </c>
      <c r="E5" s="13" t="s">
        <v>90</v>
      </c>
      <c r="F5" s="13" t="s">
        <v>91</v>
      </c>
      <c r="G5" s="13" t="s">
        <v>92</v>
      </c>
      <c r="H5" s="8" t="s">
        <v>108</v>
      </c>
      <c r="I5" s="13" t="s">
        <v>109</v>
      </c>
      <c r="J5" s="13" t="s">
        <v>110</v>
      </c>
      <c r="K5" s="13" t="s">
        <v>111</v>
      </c>
      <c r="L5" s="13" t="s">
        <v>112</v>
      </c>
      <c r="M5" s="13">
        <v>1.0</v>
      </c>
      <c r="N5" s="13">
        <v>0.6</v>
      </c>
      <c r="O5" s="13">
        <v>0.5158227848101266</v>
      </c>
      <c r="P5" s="13" t="s">
        <v>56</v>
      </c>
      <c r="Q5" s="13">
        <v>0.0</v>
      </c>
      <c r="R5" s="13">
        <v>5.0</v>
      </c>
      <c r="S5" s="13" t="s">
        <v>57</v>
      </c>
      <c r="T5" s="13">
        <v>0.0</v>
      </c>
      <c r="U5" s="13" t="s">
        <v>57</v>
      </c>
      <c r="V5" s="13">
        <v>0.0</v>
      </c>
      <c r="W5" s="13">
        <v>0.0</v>
      </c>
      <c r="X5" s="13">
        <v>0.0</v>
      </c>
      <c r="Y5" s="13" t="s">
        <v>57</v>
      </c>
      <c r="Z5" s="13">
        <v>1.0</v>
      </c>
      <c r="AA5" s="13" t="s">
        <v>99</v>
      </c>
      <c r="AB5" s="13" t="s">
        <v>80</v>
      </c>
      <c r="AC5" s="13" t="s">
        <v>101</v>
      </c>
      <c r="AD5" s="13" t="s">
        <v>102</v>
      </c>
      <c r="AE5" s="13" t="b">
        <v>1</v>
      </c>
      <c r="AF5" s="12" t="s">
        <v>83</v>
      </c>
      <c r="AG5" s="12" t="s">
        <v>82</v>
      </c>
      <c r="AH5" s="12">
        <v>0.25</v>
      </c>
      <c r="AI5" s="12"/>
      <c r="AJ5" s="12" t="s">
        <v>103</v>
      </c>
      <c r="AK5" s="12" t="s">
        <v>113</v>
      </c>
      <c r="AL5" s="12" t="s">
        <v>65</v>
      </c>
      <c r="AM5" s="12" t="s">
        <v>84</v>
      </c>
      <c r="AN5" s="12" t="s">
        <v>67</v>
      </c>
      <c r="AO5" s="12" t="s">
        <v>105</v>
      </c>
      <c r="AP5" s="12" t="s">
        <v>69</v>
      </c>
      <c r="AQ5" s="12" t="s">
        <v>56</v>
      </c>
      <c r="AR5" s="12"/>
      <c r="AS5" s="12" t="s">
        <v>70</v>
      </c>
    </row>
    <row r="6" ht="15.0" customHeight="1">
      <c r="A6" s="12">
        <v>5.0</v>
      </c>
      <c r="B6" s="6" t="s">
        <v>87</v>
      </c>
      <c r="C6" s="13" t="s">
        <v>114</v>
      </c>
      <c r="D6" s="13" t="s">
        <v>115</v>
      </c>
      <c r="E6" s="13" t="s">
        <v>116</v>
      </c>
      <c r="F6" s="13" t="s">
        <v>117</v>
      </c>
      <c r="G6" s="13" t="s">
        <v>118</v>
      </c>
      <c r="H6" s="8" t="s">
        <v>119</v>
      </c>
      <c r="I6" s="13" t="s">
        <v>120</v>
      </c>
      <c r="J6" s="13" t="s">
        <v>121</v>
      </c>
      <c r="K6" s="13" t="s">
        <v>122</v>
      </c>
      <c r="L6" s="13" t="s">
        <v>123</v>
      </c>
      <c r="M6" s="13">
        <v>1.0</v>
      </c>
      <c r="N6" s="13">
        <v>0.0</v>
      </c>
      <c r="O6" s="13">
        <v>0.08290155440414508</v>
      </c>
      <c r="P6" s="13" t="s">
        <v>56</v>
      </c>
      <c r="Q6" s="13">
        <v>7.0</v>
      </c>
      <c r="R6" s="13">
        <v>9.0</v>
      </c>
      <c r="S6" s="13" t="s">
        <v>57</v>
      </c>
      <c r="T6" s="13">
        <v>0.0</v>
      </c>
      <c r="U6" s="13" t="s">
        <v>57</v>
      </c>
      <c r="V6" s="13">
        <v>0.0</v>
      </c>
      <c r="W6" s="13">
        <v>0.0</v>
      </c>
      <c r="X6" s="13">
        <v>0.0</v>
      </c>
      <c r="Y6" s="13" t="s">
        <v>57</v>
      </c>
      <c r="Z6" s="13">
        <v>0.0</v>
      </c>
      <c r="AA6" s="13" t="s">
        <v>57</v>
      </c>
      <c r="AB6" s="13" t="s">
        <v>124</v>
      </c>
      <c r="AC6" s="13" t="s">
        <v>125</v>
      </c>
      <c r="AD6" s="13" t="s">
        <v>102</v>
      </c>
      <c r="AE6" s="13" t="b">
        <v>1</v>
      </c>
      <c r="AF6" s="12" t="s">
        <v>126</v>
      </c>
      <c r="AG6" s="12" t="s">
        <v>82</v>
      </c>
      <c r="AH6" s="12">
        <v>0.33</v>
      </c>
      <c r="AI6" s="12"/>
      <c r="AJ6" s="12" t="s">
        <v>103</v>
      </c>
      <c r="AK6" s="12" t="s">
        <v>64</v>
      </c>
      <c r="AL6" s="12" t="s">
        <v>127</v>
      </c>
      <c r="AM6" s="12" t="s">
        <v>128</v>
      </c>
      <c r="AN6" s="12" t="s">
        <v>67</v>
      </c>
      <c r="AO6" s="12" t="s">
        <v>105</v>
      </c>
      <c r="AP6" s="12" t="s">
        <v>129</v>
      </c>
      <c r="AQ6" s="12" t="s">
        <v>56</v>
      </c>
      <c r="AR6" s="12"/>
      <c r="AS6" s="14" t="s">
        <v>130</v>
      </c>
    </row>
    <row r="7" ht="15.0" customHeight="1">
      <c r="A7" s="12">
        <v>6.0</v>
      </c>
      <c r="B7" s="6" t="s">
        <v>87</v>
      </c>
      <c r="C7" s="13" t="s">
        <v>131</v>
      </c>
      <c r="D7" s="13" t="s">
        <v>132</v>
      </c>
      <c r="E7" s="13" t="s">
        <v>133</v>
      </c>
      <c r="F7" s="13" t="s">
        <v>134</v>
      </c>
      <c r="G7" s="13" t="s">
        <v>135</v>
      </c>
      <c r="H7" s="8" t="s">
        <v>136</v>
      </c>
      <c r="I7" s="13" t="s">
        <v>137</v>
      </c>
      <c r="J7" s="13" t="s">
        <v>138</v>
      </c>
      <c r="K7" s="13" t="s">
        <v>139</v>
      </c>
      <c r="L7" s="13" t="s">
        <v>140</v>
      </c>
      <c r="M7" s="13">
        <v>1.0</v>
      </c>
      <c r="N7" s="13">
        <v>0.8181818181818182</v>
      </c>
      <c r="O7" s="13">
        <v>0.7101167315175098</v>
      </c>
      <c r="P7" s="13" t="s">
        <v>56</v>
      </c>
      <c r="Q7" s="13">
        <v>2.0</v>
      </c>
      <c r="R7" s="13">
        <v>6.0</v>
      </c>
      <c r="S7" s="13" t="s">
        <v>57</v>
      </c>
      <c r="T7" s="13">
        <v>0.0</v>
      </c>
      <c r="U7" s="13" t="s">
        <v>57</v>
      </c>
      <c r="V7" s="13">
        <v>0.0</v>
      </c>
      <c r="W7" s="13">
        <v>0.0</v>
      </c>
      <c r="X7" s="13">
        <v>2.0</v>
      </c>
      <c r="Y7" s="13" t="s">
        <v>141</v>
      </c>
      <c r="Z7" s="13">
        <v>0.0</v>
      </c>
      <c r="AA7" s="13" t="s">
        <v>57</v>
      </c>
      <c r="AB7" s="13" t="s">
        <v>59</v>
      </c>
      <c r="AC7" s="13" t="s">
        <v>142</v>
      </c>
      <c r="AD7" s="13" t="s">
        <v>102</v>
      </c>
      <c r="AE7" s="13" t="b">
        <v>1</v>
      </c>
      <c r="AF7" s="12" t="s">
        <v>82</v>
      </c>
      <c r="AG7" s="12" t="s">
        <v>62</v>
      </c>
      <c r="AH7" s="12">
        <v>1.0</v>
      </c>
      <c r="AI7" s="12"/>
      <c r="AJ7" s="12" t="s">
        <v>64</v>
      </c>
      <c r="AK7" s="12" t="s">
        <v>64</v>
      </c>
      <c r="AL7" s="12" t="s">
        <v>143</v>
      </c>
      <c r="AM7" s="12" t="s">
        <v>66</v>
      </c>
      <c r="AN7" s="12" t="s">
        <v>67</v>
      </c>
      <c r="AO7" s="12" t="s">
        <v>105</v>
      </c>
      <c r="AP7" s="12" t="s">
        <v>69</v>
      </c>
      <c r="AQ7" s="12" t="s">
        <v>56</v>
      </c>
      <c r="AR7" s="12"/>
      <c r="AS7" s="14" t="s">
        <v>130</v>
      </c>
    </row>
    <row r="8" ht="15.0" customHeight="1">
      <c r="A8" s="9">
        <v>7.0</v>
      </c>
      <c r="B8" s="6" t="s">
        <v>44</v>
      </c>
      <c r="C8" s="10" t="s">
        <v>131</v>
      </c>
      <c r="D8" s="10" t="s">
        <v>144</v>
      </c>
      <c r="E8" s="10" t="s">
        <v>132</v>
      </c>
      <c r="F8" s="10" t="s">
        <v>140</v>
      </c>
      <c r="G8" s="10" t="s">
        <v>139</v>
      </c>
      <c r="H8" s="10" t="s">
        <v>145</v>
      </c>
      <c r="I8" s="10" t="s">
        <v>146</v>
      </c>
      <c r="J8" s="10" t="s">
        <v>147</v>
      </c>
      <c r="K8" s="10" t="s">
        <v>148</v>
      </c>
      <c r="L8" s="10" t="s">
        <v>149</v>
      </c>
      <c r="M8" s="10">
        <v>1.0</v>
      </c>
      <c r="N8" s="10">
        <v>0.3125</v>
      </c>
      <c r="O8" s="10">
        <v>0.37383177570093457</v>
      </c>
      <c r="P8" s="10" t="s">
        <v>56</v>
      </c>
      <c r="Q8" s="10">
        <v>0.0</v>
      </c>
      <c r="R8" s="10">
        <v>8.0</v>
      </c>
      <c r="S8" s="10" t="s">
        <v>57</v>
      </c>
      <c r="T8" s="10">
        <v>0.0</v>
      </c>
      <c r="U8" s="10" t="s">
        <v>57</v>
      </c>
      <c r="V8" s="10">
        <v>0.0</v>
      </c>
      <c r="W8" s="10">
        <v>0.0</v>
      </c>
      <c r="X8" s="10">
        <v>1.0</v>
      </c>
      <c r="Y8" s="10" t="s">
        <v>150</v>
      </c>
      <c r="Z8" s="10">
        <v>0.0</v>
      </c>
      <c r="AA8" s="10" t="s">
        <v>57</v>
      </c>
      <c r="AB8" s="10" t="s">
        <v>59</v>
      </c>
      <c r="AC8" s="10" t="s">
        <v>151</v>
      </c>
      <c r="AD8" s="10" t="s">
        <v>102</v>
      </c>
      <c r="AE8" s="10" t="b">
        <v>1</v>
      </c>
      <c r="AF8" s="9" t="s">
        <v>82</v>
      </c>
      <c r="AG8" s="9" t="s">
        <v>152</v>
      </c>
      <c r="AH8" s="9">
        <v>1.0</v>
      </c>
      <c r="AI8" s="9">
        <v>1.0</v>
      </c>
      <c r="AJ8" s="9" t="s">
        <v>103</v>
      </c>
      <c r="AK8" s="9" t="s">
        <v>64</v>
      </c>
      <c r="AL8" s="9" t="s">
        <v>143</v>
      </c>
      <c r="AM8" s="9" t="s">
        <v>66</v>
      </c>
      <c r="AN8" s="9" t="s">
        <v>67</v>
      </c>
      <c r="AO8" s="9" t="s">
        <v>68</v>
      </c>
      <c r="AP8" s="9" t="s">
        <v>69</v>
      </c>
      <c r="AQ8" s="9" t="s">
        <v>56</v>
      </c>
      <c r="AR8" s="9"/>
      <c r="AS8" s="10"/>
    </row>
    <row r="9" ht="15.0" customHeight="1">
      <c r="A9" s="12">
        <v>8.0</v>
      </c>
      <c r="B9" s="6" t="s">
        <v>87</v>
      </c>
      <c r="C9" s="13" t="s">
        <v>153</v>
      </c>
      <c r="D9" s="13" t="s">
        <v>154</v>
      </c>
      <c r="E9" s="13" t="s">
        <v>155</v>
      </c>
      <c r="F9" s="13" t="s">
        <v>156</v>
      </c>
      <c r="G9" s="13" t="s">
        <v>157</v>
      </c>
      <c r="H9" s="8" t="s">
        <v>158</v>
      </c>
      <c r="I9" s="13" t="s">
        <v>159</v>
      </c>
      <c r="J9" s="13" t="s">
        <v>160</v>
      </c>
      <c r="K9" s="13" t="s">
        <v>161</v>
      </c>
      <c r="L9" s="13" t="s">
        <v>162</v>
      </c>
      <c r="M9" s="13">
        <v>1.0</v>
      </c>
      <c r="N9" s="13">
        <v>0.8888888888888888</v>
      </c>
      <c r="O9" s="13">
        <v>0.8411910669975186</v>
      </c>
      <c r="P9" s="13" t="s">
        <v>56</v>
      </c>
      <c r="Q9" s="13">
        <v>3.0</v>
      </c>
      <c r="R9" s="13">
        <v>4.0</v>
      </c>
      <c r="S9" s="13" t="s">
        <v>57</v>
      </c>
      <c r="T9" s="13">
        <v>0.0</v>
      </c>
      <c r="U9" s="13" t="s">
        <v>57</v>
      </c>
      <c r="V9" s="13">
        <v>0.0</v>
      </c>
      <c r="W9" s="13">
        <v>0.0</v>
      </c>
      <c r="X9" s="13">
        <v>0.0</v>
      </c>
      <c r="Y9" s="13" t="s">
        <v>57</v>
      </c>
      <c r="Z9" s="13">
        <v>1.0</v>
      </c>
      <c r="AA9" s="13" t="s">
        <v>163</v>
      </c>
      <c r="AB9" s="13" t="s">
        <v>80</v>
      </c>
      <c r="AC9" s="13" t="s">
        <v>164</v>
      </c>
      <c r="AD9" s="13" t="s">
        <v>102</v>
      </c>
      <c r="AE9" s="13" t="b">
        <v>1</v>
      </c>
      <c r="AF9" s="12" t="s">
        <v>82</v>
      </c>
      <c r="AG9" s="12" t="s">
        <v>82</v>
      </c>
      <c r="AH9" s="12">
        <v>0.25</v>
      </c>
      <c r="AI9" s="12"/>
      <c r="AJ9" s="12" t="s">
        <v>63</v>
      </c>
      <c r="AK9" s="12" t="s">
        <v>64</v>
      </c>
      <c r="AL9" s="12" t="s">
        <v>65</v>
      </c>
      <c r="AM9" s="12" t="s">
        <v>84</v>
      </c>
      <c r="AN9" s="12" t="s">
        <v>67</v>
      </c>
      <c r="AO9" s="12" t="s">
        <v>105</v>
      </c>
      <c r="AP9" s="12" t="s">
        <v>69</v>
      </c>
      <c r="AQ9" s="12" t="s">
        <v>56</v>
      </c>
      <c r="AR9" s="12"/>
      <c r="AS9" s="13"/>
    </row>
    <row r="10" ht="15.0" customHeight="1">
      <c r="A10" s="12">
        <v>9.0</v>
      </c>
      <c r="B10" s="6" t="s">
        <v>87</v>
      </c>
      <c r="C10" s="13" t="s">
        <v>45</v>
      </c>
      <c r="D10" s="13" t="s">
        <v>165</v>
      </c>
      <c r="E10" s="13" t="s">
        <v>166</v>
      </c>
      <c r="F10" s="13" t="s">
        <v>167</v>
      </c>
      <c r="G10" s="13" t="s">
        <v>168</v>
      </c>
      <c r="H10" s="8" t="s">
        <v>169</v>
      </c>
      <c r="I10" s="13" t="s">
        <v>170</v>
      </c>
      <c r="J10" s="13" t="s">
        <v>171</v>
      </c>
      <c r="K10" s="13" t="s">
        <v>172</v>
      </c>
      <c r="L10" s="13" t="s">
        <v>173</v>
      </c>
      <c r="M10" s="13">
        <v>1.0</v>
      </c>
      <c r="N10" s="13">
        <v>0.0</v>
      </c>
      <c r="O10" s="13">
        <v>0.15337423312883436</v>
      </c>
      <c r="P10" s="13" t="s">
        <v>56</v>
      </c>
      <c r="Q10" s="13">
        <v>3.0</v>
      </c>
      <c r="R10" s="13">
        <v>12.0</v>
      </c>
      <c r="S10" s="13" t="s">
        <v>57</v>
      </c>
      <c r="T10" s="13">
        <v>0.0</v>
      </c>
      <c r="U10" s="13" t="s">
        <v>57</v>
      </c>
      <c r="V10" s="13">
        <v>0.0</v>
      </c>
      <c r="W10" s="13">
        <v>0.0</v>
      </c>
      <c r="X10" s="13">
        <v>0.0</v>
      </c>
      <c r="Y10" s="13" t="s">
        <v>57</v>
      </c>
      <c r="Z10" s="13">
        <v>0.0</v>
      </c>
      <c r="AA10" s="13" t="s">
        <v>57</v>
      </c>
      <c r="AB10" s="13" t="s">
        <v>124</v>
      </c>
      <c r="AC10" s="13" t="s">
        <v>174</v>
      </c>
      <c r="AD10" s="13" t="s">
        <v>102</v>
      </c>
      <c r="AE10" s="13" t="b">
        <v>1</v>
      </c>
      <c r="AF10" s="12" t="s">
        <v>126</v>
      </c>
      <c r="AG10" s="12" t="s">
        <v>82</v>
      </c>
      <c r="AH10" s="12">
        <v>0.6</v>
      </c>
      <c r="AI10" s="12"/>
      <c r="AJ10" s="12" t="s">
        <v>63</v>
      </c>
      <c r="AK10" s="12" t="s">
        <v>113</v>
      </c>
      <c r="AL10" s="12" t="s">
        <v>65</v>
      </c>
      <c r="AM10" s="12" t="s">
        <v>128</v>
      </c>
      <c r="AN10" s="12" t="s">
        <v>67</v>
      </c>
      <c r="AO10" s="12" t="s">
        <v>105</v>
      </c>
      <c r="AP10" s="12" t="s">
        <v>69</v>
      </c>
      <c r="AQ10" s="12" t="s">
        <v>56</v>
      </c>
      <c r="AR10" s="12"/>
      <c r="AS10" s="13"/>
    </row>
    <row r="11" ht="15.0" customHeight="1">
      <c r="A11" s="12">
        <v>10.0</v>
      </c>
      <c r="B11" s="6" t="s">
        <v>87</v>
      </c>
      <c r="C11" s="13" t="s">
        <v>114</v>
      </c>
      <c r="D11" s="13" t="s">
        <v>175</v>
      </c>
      <c r="E11" s="13" t="s">
        <v>115</v>
      </c>
      <c r="F11" s="13" t="s">
        <v>176</v>
      </c>
      <c r="G11" s="13" t="s">
        <v>177</v>
      </c>
      <c r="H11" s="8" t="s">
        <v>178</v>
      </c>
      <c r="I11" s="13" t="s">
        <v>179</v>
      </c>
      <c r="J11" s="13" t="s">
        <v>180</v>
      </c>
      <c r="K11" s="13" t="s">
        <v>181</v>
      </c>
      <c r="L11" s="13" t="s">
        <v>182</v>
      </c>
      <c r="M11" s="13">
        <v>1.0</v>
      </c>
      <c r="N11" s="13">
        <v>0.0</v>
      </c>
      <c r="O11" s="13">
        <v>0.03676470588235294</v>
      </c>
      <c r="P11" s="13" t="s">
        <v>56</v>
      </c>
      <c r="Q11" s="13">
        <v>8.0</v>
      </c>
      <c r="R11" s="13">
        <v>10.0</v>
      </c>
      <c r="S11" s="13" t="s">
        <v>57</v>
      </c>
      <c r="T11" s="13">
        <v>0.0</v>
      </c>
      <c r="U11" s="13" t="s">
        <v>57</v>
      </c>
      <c r="V11" s="13">
        <v>0.0</v>
      </c>
      <c r="W11" s="13">
        <v>0.0</v>
      </c>
      <c r="X11" s="13">
        <v>0.0</v>
      </c>
      <c r="Y11" s="13" t="s">
        <v>57</v>
      </c>
      <c r="Z11" s="13">
        <v>0.0</v>
      </c>
      <c r="AA11" s="13" t="s">
        <v>57</v>
      </c>
      <c r="AB11" s="13" t="s">
        <v>124</v>
      </c>
      <c r="AC11" s="13" t="s">
        <v>183</v>
      </c>
      <c r="AD11" s="13" t="s">
        <v>102</v>
      </c>
      <c r="AE11" s="13" t="b">
        <v>1</v>
      </c>
      <c r="AF11" s="12" t="s">
        <v>184</v>
      </c>
      <c r="AG11" s="12" t="s">
        <v>185</v>
      </c>
      <c r="AH11" s="12">
        <v>0.5</v>
      </c>
      <c r="AI11" s="12"/>
      <c r="AJ11" s="12" t="s">
        <v>103</v>
      </c>
      <c r="AK11" s="12" t="s">
        <v>64</v>
      </c>
      <c r="AL11" s="12" t="s">
        <v>127</v>
      </c>
      <c r="AM11" s="12" t="s">
        <v>128</v>
      </c>
      <c r="AN11" s="12" t="s">
        <v>67</v>
      </c>
      <c r="AO11" s="12" t="s">
        <v>105</v>
      </c>
      <c r="AP11" s="12" t="s">
        <v>186</v>
      </c>
      <c r="AQ11" s="12" t="s">
        <v>56</v>
      </c>
      <c r="AR11" s="12"/>
      <c r="AS11" s="13"/>
    </row>
    <row r="12" ht="15.0" customHeight="1">
      <c r="A12" s="5">
        <v>11.0</v>
      </c>
      <c r="B12" s="6" t="s">
        <v>44</v>
      </c>
      <c r="C12" s="7" t="s">
        <v>187</v>
      </c>
      <c r="D12" s="7" t="s">
        <v>188</v>
      </c>
      <c r="E12" s="7" t="s">
        <v>189</v>
      </c>
      <c r="F12" s="7" t="s">
        <v>190</v>
      </c>
      <c r="G12" s="7" t="s">
        <v>191</v>
      </c>
      <c r="H12" s="7" t="s">
        <v>192</v>
      </c>
      <c r="I12" s="7" t="s">
        <v>193</v>
      </c>
      <c r="J12" s="7" t="s">
        <v>194</v>
      </c>
      <c r="K12" s="7" t="s">
        <v>195</v>
      </c>
      <c r="L12" s="7" t="s">
        <v>196</v>
      </c>
      <c r="M12" s="7">
        <v>1.0</v>
      </c>
      <c r="N12" s="7">
        <v>0.5</v>
      </c>
      <c r="O12" s="7">
        <v>0.48</v>
      </c>
      <c r="P12" s="7" t="s">
        <v>56</v>
      </c>
      <c r="Q12" s="7">
        <v>1.0</v>
      </c>
      <c r="R12" s="7">
        <v>5.0</v>
      </c>
      <c r="S12" s="7" t="s">
        <v>57</v>
      </c>
      <c r="T12" s="7">
        <v>0.0</v>
      </c>
      <c r="U12" s="7" t="s">
        <v>57</v>
      </c>
      <c r="V12" s="7">
        <v>0.0</v>
      </c>
      <c r="W12" s="7">
        <v>0.0</v>
      </c>
      <c r="X12" s="7">
        <v>0.0</v>
      </c>
      <c r="Y12" s="7" t="s">
        <v>57</v>
      </c>
      <c r="Z12" s="7">
        <v>1.0</v>
      </c>
      <c r="AA12" s="7" t="s">
        <v>197</v>
      </c>
      <c r="AB12" s="7" t="s">
        <v>80</v>
      </c>
      <c r="AC12" s="7" t="s">
        <v>198</v>
      </c>
      <c r="AD12" s="7" t="s">
        <v>102</v>
      </c>
      <c r="AE12" s="7" t="b">
        <v>1</v>
      </c>
      <c r="AF12" s="5" t="s">
        <v>82</v>
      </c>
      <c r="AG12" s="5" t="s">
        <v>82</v>
      </c>
      <c r="AH12" s="5">
        <v>0.0</v>
      </c>
      <c r="AI12" s="5">
        <v>0.12</v>
      </c>
      <c r="AJ12" s="5" t="s">
        <v>63</v>
      </c>
      <c r="AK12" s="5" t="s">
        <v>64</v>
      </c>
      <c r="AL12" s="5" t="s">
        <v>65</v>
      </c>
      <c r="AM12" s="5" t="s">
        <v>84</v>
      </c>
      <c r="AN12" s="5" t="s">
        <v>67</v>
      </c>
      <c r="AO12" s="5" t="s">
        <v>85</v>
      </c>
      <c r="AP12" s="5" t="s">
        <v>69</v>
      </c>
      <c r="AQ12" s="5" t="s">
        <v>56</v>
      </c>
      <c r="AR12" s="5"/>
      <c r="AS12" s="7"/>
    </row>
    <row r="13" ht="15.0" customHeight="1">
      <c r="A13" s="9">
        <v>12.0</v>
      </c>
      <c r="B13" s="6" t="s">
        <v>44</v>
      </c>
      <c r="C13" s="10" t="s">
        <v>45</v>
      </c>
      <c r="D13" s="10" t="s">
        <v>199</v>
      </c>
      <c r="E13" s="10" t="s">
        <v>165</v>
      </c>
      <c r="F13" s="10" t="s">
        <v>117</v>
      </c>
      <c r="G13" s="10" t="s">
        <v>200</v>
      </c>
      <c r="H13" s="10" t="s">
        <v>201</v>
      </c>
      <c r="I13" s="10" t="s">
        <v>202</v>
      </c>
      <c r="J13" s="10" t="s">
        <v>203</v>
      </c>
      <c r="K13" s="10" t="s">
        <v>204</v>
      </c>
      <c r="L13" s="10" t="s">
        <v>205</v>
      </c>
      <c r="M13" s="10">
        <v>1.0</v>
      </c>
      <c r="N13" s="10">
        <v>0.0</v>
      </c>
      <c r="O13" s="10">
        <v>0.23076923076923078</v>
      </c>
      <c r="P13" s="10" t="s">
        <v>56</v>
      </c>
      <c r="Q13" s="10">
        <v>4.0</v>
      </c>
      <c r="R13" s="10">
        <v>13.0</v>
      </c>
      <c r="S13" s="10" t="s">
        <v>57</v>
      </c>
      <c r="T13" s="10">
        <v>0.0</v>
      </c>
      <c r="U13" s="10" t="s">
        <v>57</v>
      </c>
      <c r="V13" s="10">
        <v>0.0</v>
      </c>
      <c r="W13" s="10">
        <v>0.0</v>
      </c>
      <c r="X13" s="10">
        <v>0.0</v>
      </c>
      <c r="Y13" s="10" t="s">
        <v>57</v>
      </c>
      <c r="Z13" s="10">
        <v>0.0</v>
      </c>
      <c r="AA13" s="10" t="s">
        <v>57</v>
      </c>
      <c r="AB13" s="10" t="s">
        <v>124</v>
      </c>
      <c r="AC13" s="10" t="s">
        <v>206</v>
      </c>
      <c r="AD13" s="10" t="s">
        <v>102</v>
      </c>
      <c r="AE13" s="10" t="b">
        <v>1</v>
      </c>
      <c r="AF13" s="9" t="s">
        <v>82</v>
      </c>
      <c r="AG13" s="9" t="s">
        <v>152</v>
      </c>
      <c r="AH13" s="9">
        <v>1.0</v>
      </c>
      <c r="AI13" s="9">
        <v>1.0</v>
      </c>
      <c r="AJ13" s="9" t="s">
        <v>63</v>
      </c>
      <c r="AK13" s="9" t="s">
        <v>64</v>
      </c>
      <c r="AL13" s="9" t="s">
        <v>143</v>
      </c>
      <c r="AM13" s="9" t="s">
        <v>66</v>
      </c>
      <c r="AN13" s="9" t="s">
        <v>67</v>
      </c>
      <c r="AO13" s="9" t="s">
        <v>68</v>
      </c>
      <c r="AP13" s="9" t="s">
        <v>69</v>
      </c>
      <c r="AQ13" s="9" t="s">
        <v>56</v>
      </c>
      <c r="AR13" s="9"/>
      <c r="AS13" s="10"/>
    </row>
    <row r="14" ht="15.0" customHeight="1">
      <c r="A14" s="12">
        <v>13.0</v>
      </c>
      <c r="B14" s="6" t="s">
        <v>87</v>
      </c>
      <c r="C14" s="13" t="s">
        <v>131</v>
      </c>
      <c r="D14" s="13" t="s">
        <v>207</v>
      </c>
      <c r="E14" s="13" t="s">
        <v>208</v>
      </c>
      <c r="F14" s="13" t="s">
        <v>140</v>
      </c>
      <c r="G14" s="13" t="s">
        <v>139</v>
      </c>
      <c r="H14" s="8" t="s">
        <v>209</v>
      </c>
      <c r="I14" s="13" t="s">
        <v>210</v>
      </c>
      <c r="J14" s="13" t="s">
        <v>211</v>
      </c>
      <c r="K14" s="13" t="s">
        <v>212</v>
      </c>
      <c r="L14" s="13" t="s">
        <v>213</v>
      </c>
      <c r="M14" s="13">
        <v>1.0</v>
      </c>
      <c r="N14" s="13">
        <v>0.2727272727272727</v>
      </c>
      <c r="O14" s="13">
        <v>0.3949416342412451</v>
      </c>
      <c r="P14" s="13" t="s">
        <v>56</v>
      </c>
      <c r="Q14" s="13">
        <v>1.0</v>
      </c>
      <c r="R14" s="13">
        <v>8.0</v>
      </c>
      <c r="S14" s="13" t="s">
        <v>57</v>
      </c>
      <c r="T14" s="13">
        <v>0.0</v>
      </c>
      <c r="U14" s="13" t="s">
        <v>57</v>
      </c>
      <c r="V14" s="13">
        <v>0.0</v>
      </c>
      <c r="W14" s="13">
        <v>0.0</v>
      </c>
      <c r="X14" s="13">
        <v>0.0</v>
      </c>
      <c r="Y14" s="13" t="s">
        <v>57</v>
      </c>
      <c r="Z14" s="13">
        <v>1.0</v>
      </c>
      <c r="AA14" s="13" t="s">
        <v>150</v>
      </c>
      <c r="AB14" s="13" t="s">
        <v>80</v>
      </c>
      <c r="AC14" s="13" t="s">
        <v>214</v>
      </c>
      <c r="AD14" s="13" t="s">
        <v>102</v>
      </c>
      <c r="AE14" s="13" t="b">
        <v>1</v>
      </c>
      <c r="AF14" s="12" t="s">
        <v>82</v>
      </c>
      <c r="AG14" s="12" t="s">
        <v>83</v>
      </c>
      <c r="AH14" s="12">
        <v>1.0</v>
      </c>
      <c r="AI14" s="12"/>
      <c r="AJ14" s="12" t="s">
        <v>113</v>
      </c>
      <c r="AK14" s="12" t="s">
        <v>64</v>
      </c>
      <c r="AL14" s="12" t="s">
        <v>143</v>
      </c>
      <c r="AM14" s="12" t="s">
        <v>84</v>
      </c>
      <c r="AN14" s="12" t="s">
        <v>67</v>
      </c>
      <c r="AO14" s="12" t="s">
        <v>105</v>
      </c>
      <c r="AP14" s="12" t="s">
        <v>69</v>
      </c>
      <c r="AQ14" s="12" t="s">
        <v>56</v>
      </c>
      <c r="AR14" s="12"/>
      <c r="AS14" s="13"/>
    </row>
    <row r="15" ht="15.0" customHeight="1">
      <c r="A15" s="12">
        <v>14.0</v>
      </c>
      <c r="B15" s="6" t="s">
        <v>87</v>
      </c>
      <c r="C15" s="13" t="s">
        <v>153</v>
      </c>
      <c r="D15" s="13" t="s">
        <v>215</v>
      </c>
      <c r="E15" s="13" t="s">
        <v>216</v>
      </c>
      <c r="F15" s="13" t="s">
        <v>156</v>
      </c>
      <c r="G15" s="13" t="s">
        <v>157</v>
      </c>
      <c r="H15" s="8" t="s">
        <v>217</v>
      </c>
      <c r="I15" s="13" t="s">
        <v>218</v>
      </c>
      <c r="J15" s="13" t="s">
        <v>219</v>
      </c>
      <c r="K15" s="13" t="s">
        <v>220</v>
      </c>
      <c r="L15" s="13" t="s">
        <v>221</v>
      </c>
      <c r="M15" s="13">
        <v>1.0</v>
      </c>
      <c r="N15" s="13">
        <v>0.2222222222222222</v>
      </c>
      <c r="O15" s="13">
        <v>0.23325062034739455</v>
      </c>
      <c r="P15" s="13" t="s">
        <v>56</v>
      </c>
      <c r="Q15" s="13">
        <v>4.0</v>
      </c>
      <c r="R15" s="13">
        <v>9.0</v>
      </c>
      <c r="S15" s="13" t="s">
        <v>57</v>
      </c>
      <c r="T15" s="13">
        <v>0.0</v>
      </c>
      <c r="U15" s="13" t="s">
        <v>57</v>
      </c>
      <c r="V15" s="13">
        <v>0.0</v>
      </c>
      <c r="W15" s="13">
        <v>0.0</v>
      </c>
      <c r="X15" s="13">
        <v>0.0</v>
      </c>
      <c r="Y15" s="13" t="s">
        <v>57</v>
      </c>
      <c r="Z15" s="13">
        <v>1.0</v>
      </c>
      <c r="AA15" s="13" t="s">
        <v>163</v>
      </c>
      <c r="AB15" s="13" t="s">
        <v>80</v>
      </c>
      <c r="AC15" s="13" t="s">
        <v>222</v>
      </c>
      <c r="AD15" s="13" t="s">
        <v>102</v>
      </c>
      <c r="AE15" s="13" t="b">
        <v>1</v>
      </c>
      <c r="AF15" s="12" t="s">
        <v>62</v>
      </c>
      <c r="AG15" s="12" t="s">
        <v>82</v>
      </c>
      <c r="AH15" s="12">
        <v>0.17</v>
      </c>
      <c r="AI15" s="12"/>
      <c r="AJ15" s="12" t="s">
        <v>63</v>
      </c>
      <c r="AK15" s="12" t="s">
        <v>64</v>
      </c>
      <c r="AL15" s="12" t="s">
        <v>65</v>
      </c>
      <c r="AM15" s="12" t="s">
        <v>84</v>
      </c>
      <c r="AN15" s="12" t="s">
        <v>67</v>
      </c>
      <c r="AO15" s="12" t="s">
        <v>105</v>
      </c>
      <c r="AP15" s="12" t="s">
        <v>69</v>
      </c>
      <c r="AQ15" s="12" t="s">
        <v>56</v>
      </c>
      <c r="AR15" s="12"/>
      <c r="AS15" s="13"/>
    </row>
    <row r="16" ht="15.0" customHeight="1">
      <c r="A16" s="12">
        <v>15.0</v>
      </c>
      <c r="B16" s="6" t="s">
        <v>87</v>
      </c>
      <c r="C16" s="13" t="s">
        <v>153</v>
      </c>
      <c r="D16" s="13" t="s">
        <v>215</v>
      </c>
      <c r="E16" s="13" t="s">
        <v>216</v>
      </c>
      <c r="F16" s="13" t="s">
        <v>162</v>
      </c>
      <c r="G16" s="13" t="s">
        <v>223</v>
      </c>
      <c r="H16" s="8" t="s">
        <v>224</v>
      </c>
      <c r="I16" s="13" t="s">
        <v>225</v>
      </c>
      <c r="J16" s="13" t="s">
        <v>226</v>
      </c>
      <c r="K16" s="13" t="s">
        <v>227</v>
      </c>
      <c r="L16" s="13" t="s">
        <v>228</v>
      </c>
      <c r="M16" s="13">
        <v>1.0</v>
      </c>
      <c r="N16" s="13">
        <v>0.0</v>
      </c>
      <c r="O16" s="13">
        <v>0.16</v>
      </c>
      <c r="P16" s="13" t="s">
        <v>56</v>
      </c>
      <c r="Q16" s="13">
        <v>0.0</v>
      </c>
      <c r="R16" s="13">
        <v>9.0</v>
      </c>
      <c r="S16" s="13" t="s">
        <v>57</v>
      </c>
      <c r="T16" s="13">
        <v>0.0</v>
      </c>
      <c r="U16" s="13" t="s">
        <v>57</v>
      </c>
      <c r="V16" s="13">
        <v>0.0</v>
      </c>
      <c r="W16" s="13">
        <v>0.0</v>
      </c>
      <c r="X16" s="13">
        <v>0.0</v>
      </c>
      <c r="Y16" s="13" t="s">
        <v>57</v>
      </c>
      <c r="Z16" s="13">
        <v>0.0</v>
      </c>
      <c r="AA16" s="13" t="s">
        <v>57</v>
      </c>
      <c r="AB16" s="13" t="s">
        <v>124</v>
      </c>
      <c r="AC16" s="13" t="s">
        <v>222</v>
      </c>
      <c r="AD16" s="13" t="s">
        <v>102</v>
      </c>
      <c r="AE16" s="13" t="b">
        <v>1</v>
      </c>
      <c r="AF16" s="12" t="s">
        <v>82</v>
      </c>
      <c r="AG16" s="12" t="s">
        <v>62</v>
      </c>
      <c r="AH16" s="12">
        <v>0.33</v>
      </c>
      <c r="AI16" s="12"/>
      <c r="AJ16" s="12" t="s">
        <v>63</v>
      </c>
      <c r="AK16" s="12" t="s">
        <v>64</v>
      </c>
      <c r="AL16" s="12" t="s">
        <v>65</v>
      </c>
      <c r="AM16" s="12" t="s">
        <v>128</v>
      </c>
      <c r="AN16" s="12" t="s">
        <v>67</v>
      </c>
      <c r="AO16" s="12" t="s">
        <v>105</v>
      </c>
      <c r="AP16" s="12" t="s">
        <v>69</v>
      </c>
      <c r="AQ16" s="12" t="s">
        <v>56</v>
      </c>
      <c r="AR16" s="12"/>
      <c r="AS16" s="13"/>
    </row>
    <row r="17" ht="15.0" customHeight="1">
      <c r="A17" s="12">
        <v>16.0</v>
      </c>
      <c r="B17" s="6" t="s">
        <v>87</v>
      </c>
      <c r="C17" s="13" t="s">
        <v>45</v>
      </c>
      <c r="D17" s="13" t="s">
        <v>229</v>
      </c>
      <c r="E17" s="13" t="s">
        <v>230</v>
      </c>
      <c r="F17" s="13" t="s">
        <v>205</v>
      </c>
      <c r="G17" s="13" t="s">
        <v>204</v>
      </c>
      <c r="H17" s="8" t="s">
        <v>231</v>
      </c>
      <c r="I17" s="13" t="s">
        <v>232</v>
      </c>
      <c r="J17" s="13" t="s">
        <v>203</v>
      </c>
      <c r="K17" s="13" t="s">
        <v>233</v>
      </c>
      <c r="L17" s="13" t="s">
        <v>234</v>
      </c>
      <c r="M17" s="13">
        <v>1.0</v>
      </c>
      <c r="N17" s="13">
        <v>0.0</v>
      </c>
      <c r="O17" s="13">
        <v>0.06422018348623854</v>
      </c>
      <c r="P17" s="13" t="s">
        <v>56</v>
      </c>
      <c r="Q17" s="13">
        <v>0.0</v>
      </c>
      <c r="R17" s="13">
        <v>14.0</v>
      </c>
      <c r="S17" s="13" t="s">
        <v>57</v>
      </c>
      <c r="T17" s="13">
        <v>0.0</v>
      </c>
      <c r="U17" s="13" t="s">
        <v>57</v>
      </c>
      <c r="V17" s="13">
        <v>0.0</v>
      </c>
      <c r="W17" s="13">
        <v>0.0</v>
      </c>
      <c r="X17" s="13">
        <v>0.0</v>
      </c>
      <c r="Y17" s="13" t="s">
        <v>57</v>
      </c>
      <c r="Z17" s="13">
        <v>0.0</v>
      </c>
      <c r="AA17" s="13" t="s">
        <v>57</v>
      </c>
      <c r="AB17" s="13" t="s">
        <v>124</v>
      </c>
      <c r="AC17" s="13" t="s">
        <v>235</v>
      </c>
      <c r="AD17" s="13" t="s">
        <v>102</v>
      </c>
      <c r="AE17" s="13" t="b">
        <v>1</v>
      </c>
      <c r="AF17" s="12" t="s">
        <v>82</v>
      </c>
      <c r="AG17" s="12" t="s">
        <v>126</v>
      </c>
      <c r="AH17" s="12">
        <v>1.0</v>
      </c>
      <c r="AI17" s="12"/>
      <c r="AJ17" s="12" t="s">
        <v>63</v>
      </c>
      <c r="AK17" s="12" t="s">
        <v>64</v>
      </c>
      <c r="AL17" s="12" t="s">
        <v>65</v>
      </c>
      <c r="AM17" s="12" t="s">
        <v>128</v>
      </c>
      <c r="AN17" s="12" t="s">
        <v>67</v>
      </c>
      <c r="AO17" s="12" t="s">
        <v>105</v>
      </c>
      <c r="AP17" s="12" t="s">
        <v>69</v>
      </c>
      <c r="AQ17" s="12" t="s">
        <v>56</v>
      </c>
      <c r="AR17" s="12"/>
      <c r="AS17" s="13"/>
    </row>
    <row r="18" ht="15.0" customHeight="1">
      <c r="A18" s="9">
        <v>17.0</v>
      </c>
      <c r="B18" s="6" t="s">
        <v>44</v>
      </c>
      <c r="C18" s="10" t="s">
        <v>131</v>
      </c>
      <c r="D18" s="10" t="s">
        <v>236</v>
      </c>
      <c r="E18" s="10" t="s">
        <v>230</v>
      </c>
      <c r="F18" s="10" t="s">
        <v>149</v>
      </c>
      <c r="G18" s="10" t="s">
        <v>148</v>
      </c>
      <c r="H18" s="10" t="s">
        <v>237</v>
      </c>
      <c r="I18" s="10" t="s">
        <v>238</v>
      </c>
      <c r="J18" s="10" t="s">
        <v>239</v>
      </c>
      <c r="K18" s="10" t="s">
        <v>240</v>
      </c>
      <c r="L18" s="10" t="s">
        <v>241</v>
      </c>
      <c r="M18" s="10">
        <v>1.0</v>
      </c>
      <c r="N18" s="10">
        <v>0.5454545454545454</v>
      </c>
      <c r="O18" s="10">
        <v>0.45816409423233145</v>
      </c>
      <c r="P18" s="10" t="s">
        <v>56</v>
      </c>
      <c r="Q18" s="10">
        <v>2.0</v>
      </c>
      <c r="R18" s="10">
        <v>10.0</v>
      </c>
      <c r="S18" s="10" t="s">
        <v>57</v>
      </c>
      <c r="T18" s="10">
        <v>0.0</v>
      </c>
      <c r="U18" s="10" t="s">
        <v>57</v>
      </c>
      <c r="V18" s="10">
        <v>0.0</v>
      </c>
      <c r="W18" s="10">
        <v>0.0</v>
      </c>
      <c r="X18" s="10">
        <v>1.0</v>
      </c>
      <c r="Y18" s="10" t="s">
        <v>150</v>
      </c>
      <c r="Z18" s="10">
        <v>1.0</v>
      </c>
      <c r="AA18" s="10" t="s">
        <v>242</v>
      </c>
      <c r="AB18" s="10" t="s">
        <v>100</v>
      </c>
      <c r="AC18" s="10" t="s">
        <v>243</v>
      </c>
      <c r="AD18" s="10" t="s">
        <v>102</v>
      </c>
      <c r="AE18" s="10" t="b">
        <v>1</v>
      </c>
      <c r="AF18" s="9" t="s">
        <v>82</v>
      </c>
      <c r="AG18" s="9" t="s">
        <v>152</v>
      </c>
      <c r="AH18" s="9">
        <v>1.0</v>
      </c>
      <c r="AI18" s="9">
        <v>1.0</v>
      </c>
      <c r="AJ18" s="9" t="s">
        <v>103</v>
      </c>
      <c r="AK18" s="9" t="s">
        <v>64</v>
      </c>
      <c r="AL18" s="9" t="s">
        <v>127</v>
      </c>
      <c r="AM18" s="9" t="s">
        <v>244</v>
      </c>
      <c r="AN18" s="9" t="s">
        <v>67</v>
      </c>
      <c r="AO18" s="9" t="s">
        <v>68</v>
      </c>
      <c r="AP18" s="9" t="s">
        <v>69</v>
      </c>
      <c r="AQ18" s="9" t="s">
        <v>245</v>
      </c>
      <c r="AR18" s="9"/>
      <c r="AS18" s="10"/>
    </row>
    <row r="19" ht="15.0" customHeight="1">
      <c r="A19" s="12">
        <v>18.0</v>
      </c>
      <c r="B19" s="6" t="s">
        <v>87</v>
      </c>
      <c r="C19" s="13" t="s">
        <v>131</v>
      </c>
      <c r="D19" s="13" t="s">
        <v>246</v>
      </c>
      <c r="E19" s="13" t="s">
        <v>247</v>
      </c>
      <c r="F19" s="13" t="s">
        <v>213</v>
      </c>
      <c r="G19" s="13" t="s">
        <v>212</v>
      </c>
      <c r="H19" s="8" t="s">
        <v>248</v>
      </c>
      <c r="I19" s="13" t="s">
        <v>249</v>
      </c>
      <c r="J19" s="13" t="s">
        <v>250</v>
      </c>
      <c r="K19" s="13" t="s">
        <v>251</v>
      </c>
      <c r="L19" s="13" t="s">
        <v>252</v>
      </c>
      <c r="M19" s="13">
        <v>1.0</v>
      </c>
      <c r="N19" s="13">
        <v>0.25</v>
      </c>
      <c r="O19" s="13">
        <v>0.2845744680851064</v>
      </c>
      <c r="P19" s="13" t="s">
        <v>56</v>
      </c>
      <c r="Q19" s="13">
        <v>0.0</v>
      </c>
      <c r="R19" s="13">
        <v>11.0</v>
      </c>
      <c r="S19" s="13" t="s">
        <v>57</v>
      </c>
      <c r="T19" s="13">
        <v>0.0</v>
      </c>
      <c r="U19" s="13" t="s">
        <v>57</v>
      </c>
      <c r="V19" s="13">
        <v>0.0</v>
      </c>
      <c r="W19" s="13">
        <v>0.0</v>
      </c>
      <c r="X19" s="13">
        <v>0.0</v>
      </c>
      <c r="Y19" s="13" t="s">
        <v>57</v>
      </c>
      <c r="Z19" s="13">
        <v>2.0</v>
      </c>
      <c r="AA19" s="13" t="s">
        <v>141</v>
      </c>
      <c r="AB19" s="13" t="s">
        <v>80</v>
      </c>
      <c r="AC19" s="13" t="s">
        <v>253</v>
      </c>
      <c r="AD19" s="13" t="s">
        <v>102</v>
      </c>
      <c r="AE19" s="13" t="b">
        <v>1</v>
      </c>
      <c r="AF19" s="12" t="s">
        <v>82</v>
      </c>
      <c r="AG19" s="12" t="s">
        <v>62</v>
      </c>
      <c r="AH19" s="12">
        <v>1.0</v>
      </c>
      <c r="AI19" s="12"/>
      <c r="AJ19" s="12" t="s">
        <v>103</v>
      </c>
      <c r="AK19" s="12" t="s">
        <v>64</v>
      </c>
      <c r="AL19" s="12" t="s">
        <v>127</v>
      </c>
      <c r="AM19" s="12" t="s">
        <v>84</v>
      </c>
      <c r="AN19" s="12" t="s">
        <v>67</v>
      </c>
      <c r="AO19" s="12" t="s">
        <v>105</v>
      </c>
      <c r="AP19" s="12" t="s">
        <v>69</v>
      </c>
      <c r="AQ19" s="12" t="s">
        <v>56</v>
      </c>
      <c r="AR19" s="12"/>
      <c r="AS19" s="13"/>
    </row>
    <row r="20" ht="15.0" customHeight="1">
      <c r="A20" s="15">
        <v>19.0</v>
      </c>
      <c r="B20" s="6" t="s">
        <v>87</v>
      </c>
      <c r="C20" s="16" t="s">
        <v>131</v>
      </c>
      <c r="D20" s="16" t="s">
        <v>254</v>
      </c>
      <c r="E20" s="16" t="s">
        <v>255</v>
      </c>
      <c r="F20" s="16" t="s">
        <v>256</v>
      </c>
      <c r="G20" s="16" t="s">
        <v>257</v>
      </c>
      <c r="H20" s="8" t="s">
        <v>258</v>
      </c>
      <c r="I20" s="16" t="s">
        <v>259</v>
      </c>
      <c r="J20" s="16" t="s">
        <v>260</v>
      </c>
      <c r="K20" s="16" t="s">
        <v>261</v>
      </c>
      <c r="L20" s="16" t="s">
        <v>262</v>
      </c>
      <c r="M20" s="16">
        <v>1.0</v>
      </c>
      <c r="N20" s="16">
        <v>0.3333333333333333</v>
      </c>
      <c r="O20" s="16">
        <v>0.2625</v>
      </c>
      <c r="P20" s="16" t="s">
        <v>56</v>
      </c>
      <c r="Q20" s="16">
        <v>6.0</v>
      </c>
      <c r="R20" s="16">
        <v>13.0</v>
      </c>
      <c r="S20" s="16" t="s">
        <v>57</v>
      </c>
      <c r="T20" s="16">
        <v>0.0</v>
      </c>
      <c r="U20" s="16" t="s">
        <v>57</v>
      </c>
      <c r="V20" s="16">
        <v>0.0</v>
      </c>
      <c r="W20" s="16">
        <v>0.0</v>
      </c>
      <c r="X20" s="16">
        <v>1.0</v>
      </c>
      <c r="Y20" s="16" t="s">
        <v>150</v>
      </c>
      <c r="Z20" s="16">
        <v>0.0</v>
      </c>
      <c r="AA20" s="16" t="s">
        <v>57</v>
      </c>
      <c r="AB20" s="16" t="s">
        <v>59</v>
      </c>
      <c r="AC20" s="16" t="s">
        <v>263</v>
      </c>
      <c r="AD20" s="16" t="s">
        <v>102</v>
      </c>
      <c r="AE20" s="16" t="b">
        <v>1</v>
      </c>
      <c r="AF20" s="15" t="s">
        <v>82</v>
      </c>
      <c r="AG20" s="15" t="s">
        <v>82</v>
      </c>
      <c r="AH20" s="15">
        <v>1.0</v>
      </c>
      <c r="AI20" s="15"/>
      <c r="AJ20" s="15" t="s">
        <v>113</v>
      </c>
      <c r="AK20" s="15" t="s">
        <v>64</v>
      </c>
      <c r="AL20" s="15" t="s">
        <v>143</v>
      </c>
      <c r="AM20" s="15" t="s">
        <v>66</v>
      </c>
      <c r="AN20" s="15" t="s">
        <v>67</v>
      </c>
      <c r="AO20" s="15" t="s">
        <v>264</v>
      </c>
      <c r="AP20" s="15" t="s">
        <v>69</v>
      </c>
      <c r="AQ20" s="15" t="s">
        <v>56</v>
      </c>
      <c r="AR20" s="15"/>
      <c r="AS20" s="16"/>
    </row>
    <row r="21" ht="15.0" customHeight="1">
      <c r="A21" s="12">
        <v>20.0</v>
      </c>
      <c r="B21" s="6" t="s">
        <v>87</v>
      </c>
      <c r="C21" s="13" t="s">
        <v>131</v>
      </c>
      <c r="D21" s="13" t="s">
        <v>265</v>
      </c>
      <c r="E21" s="13" t="s">
        <v>254</v>
      </c>
      <c r="F21" s="13" t="s">
        <v>252</v>
      </c>
      <c r="G21" s="13" t="s">
        <v>251</v>
      </c>
      <c r="H21" s="8" t="s">
        <v>266</v>
      </c>
      <c r="I21" s="13" t="s">
        <v>267</v>
      </c>
      <c r="J21" s="13" t="s">
        <v>268</v>
      </c>
      <c r="K21" s="13" t="s">
        <v>269</v>
      </c>
      <c r="L21" s="13" t="s">
        <v>270</v>
      </c>
      <c r="M21" s="13">
        <v>1.0</v>
      </c>
      <c r="N21" s="13">
        <v>0.0</v>
      </c>
      <c r="O21" s="13">
        <v>0.01060070671378092</v>
      </c>
      <c r="P21" s="13" t="s">
        <v>56</v>
      </c>
      <c r="Q21" s="13">
        <v>0.0</v>
      </c>
      <c r="R21" s="13">
        <v>14.0</v>
      </c>
      <c r="S21" s="13" t="s">
        <v>57</v>
      </c>
      <c r="T21" s="13">
        <v>0.0</v>
      </c>
      <c r="U21" s="13" t="s">
        <v>57</v>
      </c>
      <c r="V21" s="13">
        <v>0.0</v>
      </c>
      <c r="W21" s="13">
        <v>0.0</v>
      </c>
      <c r="X21" s="13">
        <v>0.0</v>
      </c>
      <c r="Y21" s="13" t="s">
        <v>57</v>
      </c>
      <c r="Z21" s="13">
        <v>0.0</v>
      </c>
      <c r="AA21" s="13" t="s">
        <v>57</v>
      </c>
      <c r="AB21" s="13" t="s">
        <v>124</v>
      </c>
      <c r="AC21" s="13" t="s">
        <v>271</v>
      </c>
      <c r="AD21" s="13" t="s">
        <v>102</v>
      </c>
      <c r="AE21" s="13" t="b">
        <v>1</v>
      </c>
      <c r="AF21" s="12" t="s">
        <v>82</v>
      </c>
      <c r="AG21" s="12" t="s">
        <v>184</v>
      </c>
      <c r="AH21" s="12">
        <v>0.67</v>
      </c>
      <c r="AI21" s="12"/>
      <c r="AJ21" s="12" t="s">
        <v>103</v>
      </c>
      <c r="AK21" s="12" t="s">
        <v>113</v>
      </c>
      <c r="AL21" s="12" t="s">
        <v>127</v>
      </c>
      <c r="AM21" s="12" t="s">
        <v>128</v>
      </c>
      <c r="AN21" s="12" t="s">
        <v>67</v>
      </c>
      <c r="AO21" s="12" t="s">
        <v>105</v>
      </c>
      <c r="AP21" s="12" t="s">
        <v>69</v>
      </c>
      <c r="AQ21" s="12" t="s">
        <v>56</v>
      </c>
      <c r="AR21" s="12"/>
      <c r="AS21" s="13"/>
    </row>
    <row r="22" ht="15.75" customHeight="1">
      <c r="A22" s="5">
        <v>21.0</v>
      </c>
      <c r="B22" s="6" t="s">
        <v>44</v>
      </c>
      <c r="C22" s="7" t="s">
        <v>131</v>
      </c>
      <c r="D22" s="7" t="s">
        <v>272</v>
      </c>
      <c r="E22" s="7" t="s">
        <v>273</v>
      </c>
      <c r="F22" s="7" t="s">
        <v>256</v>
      </c>
      <c r="G22" s="7" t="s">
        <v>257</v>
      </c>
      <c r="H22" s="7" t="s">
        <v>274</v>
      </c>
      <c r="I22" s="7" t="s">
        <v>275</v>
      </c>
      <c r="J22" s="7" t="s">
        <v>276</v>
      </c>
      <c r="K22" s="7" t="s">
        <v>277</v>
      </c>
      <c r="L22" s="7" t="s">
        <v>278</v>
      </c>
      <c r="M22" s="7">
        <v>1.0</v>
      </c>
      <c r="N22" s="7">
        <v>0.0</v>
      </c>
      <c r="O22" s="7">
        <v>0.24324324324324326</v>
      </c>
      <c r="P22" s="7" t="s">
        <v>56</v>
      </c>
      <c r="Q22" s="7">
        <v>10.0</v>
      </c>
      <c r="R22" s="7">
        <v>15.0</v>
      </c>
      <c r="S22" s="7" t="s">
        <v>57</v>
      </c>
      <c r="T22" s="7">
        <v>0.0</v>
      </c>
      <c r="U22" s="7" t="s">
        <v>57</v>
      </c>
      <c r="V22" s="7">
        <v>0.0</v>
      </c>
      <c r="W22" s="7">
        <v>0.0</v>
      </c>
      <c r="X22" s="7">
        <v>0.0</v>
      </c>
      <c r="Y22" s="7" t="s">
        <v>57</v>
      </c>
      <c r="Z22" s="7">
        <v>0.0</v>
      </c>
      <c r="AA22" s="7" t="s">
        <v>57</v>
      </c>
      <c r="AB22" s="7" t="s">
        <v>124</v>
      </c>
      <c r="AC22" s="7" t="s">
        <v>279</v>
      </c>
      <c r="AD22" s="7" t="s">
        <v>102</v>
      </c>
      <c r="AE22" s="7" t="b">
        <v>1</v>
      </c>
      <c r="AF22" s="5" t="s">
        <v>82</v>
      </c>
      <c r="AG22" s="5" t="s">
        <v>152</v>
      </c>
      <c r="AH22" s="5">
        <v>1.0</v>
      </c>
      <c r="AI22" s="5">
        <v>1.0</v>
      </c>
      <c r="AJ22" s="5" t="s">
        <v>103</v>
      </c>
      <c r="AK22" s="5" t="s">
        <v>64</v>
      </c>
      <c r="AL22" s="5" t="s">
        <v>143</v>
      </c>
      <c r="AM22" s="5" t="s">
        <v>128</v>
      </c>
      <c r="AN22" s="5" t="s">
        <v>67</v>
      </c>
      <c r="AO22" s="5" t="s">
        <v>280</v>
      </c>
      <c r="AP22" s="5" t="s">
        <v>69</v>
      </c>
      <c r="AQ22" s="5" t="s">
        <v>56</v>
      </c>
      <c r="AR22" s="5"/>
      <c r="AS22" s="7"/>
    </row>
    <row r="23" ht="15.0" customHeight="1">
      <c r="A23" s="9">
        <v>22.0</v>
      </c>
      <c r="B23" s="6" t="s">
        <v>44</v>
      </c>
      <c r="C23" s="10" t="s">
        <v>131</v>
      </c>
      <c r="D23" s="10" t="s">
        <v>281</v>
      </c>
      <c r="E23" s="10" t="s">
        <v>282</v>
      </c>
      <c r="F23" s="10" t="s">
        <v>213</v>
      </c>
      <c r="G23" s="10" t="s">
        <v>212</v>
      </c>
      <c r="H23" s="10" t="s">
        <v>283</v>
      </c>
      <c r="I23" s="10" t="s">
        <v>284</v>
      </c>
      <c r="J23" s="10" t="s">
        <v>285</v>
      </c>
      <c r="K23" s="10" t="s">
        <v>286</v>
      </c>
      <c r="L23" s="10" t="s">
        <v>287</v>
      </c>
      <c r="M23" s="10">
        <v>1.0</v>
      </c>
      <c r="N23" s="10">
        <v>0.2222222222222222</v>
      </c>
      <c r="O23" s="10">
        <v>0.26063829787234044</v>
      </c>
      <c r="P23" s="10" t="s">
        <v>56</v>
      </c>
      <c r="Q23" s="10">
        <v>7.0</v>
      </c>
      <c r="R23" s="10">
        <v>17.0</v>
      </c>
      <c r="S23" s="10" t="s">
        <v>57</v>
      </c>
      <c r="T23" s="10">
        <v>0.0</v>
      </c>
      <c r="U23" s="10" t="s">
        <v>57</v>
      </c>
      <c r="V23" s="10">
        <v>0.0</v>
      </c>
      <c r="W23" s="10">
        <v>0.0</v>
      </c>
      <c r="X23" s="10">
        <v>1.0</v>
      </c>
      <c r="Y23" s="10" t="s">
        <v>150</v>
      </c>
      <c r="Z23" s="10">
        <v>1.0</v>
      </c>
      <c r="AA23" s="10" t="s">
        <v>242</v>
      </c>
      <c r="AB23" s="10" t="s">
        <v>100</v>
      </c>
      <c r="AC23" s="10" t="s">
        <v>288</v>
      </c>
      <c r="AD23" s="10" t="s">
        <v>289</v>
      </c>
      <c r="AE23" s="10" t="b">
        <v>1</v>
      </c>
      <c r="AF23" s="9" t="s">
        <v>82</v>
      </c>
      <c r="AG23" s="9" t="s">
        <v>152</v>
      </c>
      <c r="AH23" s="9">
        <v>1.0</v>
      </c>
      <c r="AI23" s="9">
        <v>1.0</v>
      </c>
      <c r="AJ23" s="9" t="s">
        <v>113</v>
      </c>
      <c r="AK23" s="9" t="s">
        <v>64</v>
      </c>
      <c r="AL23" s="9" t="s">
        <v>127</v>
      </c>
      <c r="AM23" s="9" t="s">
        <v>66</v>
      </c>
      <c r="AN23" s="9" t="s">
        <v>67</v>
      </c>
      <c r="AO23" s="9" t="s">
        <v>68</v>
      </c>
      <c r="AP23" s="9" t="s">
        <v>69</v>
      </c>
      <c r="AQ23" s="9" t="s">
        <v>245</v>
      </c>
      <c r="AR23" s="9"/>
      <c r="AS23" s="10"/>
    </row>
    <row r="24" ht="15.0" customHeight="1">
      <c r="A24" s="12">
        <v>23.0</v>
      </c>
      <c r="B24" s="6" t="s">
        <v>87</v>
      </c>
      <c r="C24" s="13" t="s">
        <v>131</v>
      </c>
      <c r="D24" s="13" t="s">
        <v>290</v>
      </c>
      <c r="E24" s="13" t="s">
        <v>281</v>
      </c>
      <c r="F24" s="13" t="s">
        <v>262</v>
      </c>
      <c r="G24" s="13" t="s">
        <v>261</v>
      </c>
      <c r="H24" s="8" t="s">
        <v>291</v>
      </c>
      <c r="I24" s="13" t="s">
        <v>292</v>
      </c>
      <c r="J24" s="13" t="s">
        <v>293</v>
      </c>
      <c r="K24" s="13" t="s">
        <v>294</v>
      </c>
      <c r="L24" s="13" t="s">
        <v>295</v>
      </c>
      <c r="M24" s="13">
        <v>1.0</v>
      </c>
      <c r="N24" s="13">
        <v>0.0</v>
      </c>
      <c r="O24" s="13">
        <v>0.0875</v>
      </c>
      <c r="P24" s="13" t="s">
        <v>56</v>
      </c>
      <c r="Q24" s="13">
        <v>5.0</v>
      </c>
      <c r="R24" s="13">
        <v>18.0</v>
      </c>
      <c r="S24" s="13" t="s">
        <v>57</v>
      </c>
      <c r="T24" s="13">
        <v>0.0</v>
      </c>
      <c r="U24" s="13" t="s">
        <v>57</v>
      </c>
      <c r="V24" s="13">
        <v>0.0</v>
      </c>
      <c r="W24" s="13">
        <v>0.0</v>
      </c>
      <c r="X24" s="13">
        <v>0.0</v>
      </c>
      <c r="Y24" s="13" t="s">
        <v>57</v>
      </c>
      <c r="Z24" s="13">
        <v>0.0</v>
      </c>
      <c r="AA24" s="13" t="s">
        <v>57</v>
      </c>
      <c r="AB24" s="13" t="s">
        <v>124</v>
      </c>
      <c r="AC24" s="13" t="s">
        <v>296</v>
      </c>
      <c r="AD24" s="13" t="s">
        <v>289</v>
      </c>
      <c r="AE24" s="13" t="b">
        <v>1</v>
      </c>
      <c r="AF24" s="12" t="s">
        <v>82</v>
      </c>
      <c r="AG24" s="12" t="s">
        <v>62</v>
      </c>
      <c r="AH24" s="12">
        <v>1.0</v>
      </c>
      <c r="AI24" s="12"/>
      <c r="AJ24" s="12" t="s">
        <v>113</v>
      </c>
      <c r="AK24" s="12" t="s">
        <v>64</v>
      </c>
      <c r="AL24" s="12" t="s">
        <v>127</v>
      </c>
      <c r="AM24" s="12" t="s">
        <v>128</v>
      </c>
      <c r="AN24" s="12" t="s">
        <v>67</v>
      </c>
      <c r="AO24" s="12" t="s">
        <v>105</v>
      </c>
      <c r="AP24" s="12" t="s">
        <v>69</v>
      </c>
      <c r="AQ24" s="12" t="s">
        <v>56</v>
      </c>
      <c r="AR24" s="12"/>
      <c r="AS24" s="13"/>
    </row>
    <row r="25" ht="15.0" customHeight="1">
      <c r="A25" s="12">
        <v>24.0</v>
      </c>
      <c r="B25" s="6" t="s">
        <v>87</v>
      </c>
      <c r="C25" s="13" t="s">
        <v>131</v>
      </c>
      <c r="D25" s="13" t="s">
        <v>297</v>
      </c>
      <c r="E25" s="13" t="s">
        <v>298</v>
      </c>
      <c r="F25" s="13" t="s">
        <v>287</v>
      </c>
      <c r="G25" s="13" t="s">
        <v>286</v>
      </c>
      <c r="H25" s="8" t="s">
        <v>299</v>
      </c>
      <c r="I25" s="13" t="s">
        <v>300</v>
      </c>
      <c r="J25" s="13" t="s">
        <v>301</v>
      </c>
      <c r="K25" s="13" t="s">
        <v>302</v>
      </c>
      <c r="L25" s="13" t="s">
        <v>303</v>
      </c>
      <c r="M25" s="13">
        <v>1.0</v>
      </c>
      <c r="N25" s="13">
        <v>0.1</v>
      </c>
      <c r="O25" s="13">
        <v>0.1935483870967742</v>
      </c>
      <c r="P25" s="13" t="s">
        <v>56</v>
      </c>
      <c r="Q25" s="13">
        <v>1.0</v>
      </c>
      <c r="R25" s="13">
        <v>19.0</v>
      </c>
      <c r="S25" s="13" t="s">
        <v>57</v>
      </c>
      <c r="T25" s="13">
        <v>0.0</v>
      </c>
      <c r="U25" s="13" t="s">
        <v>57</v>
      </c>
      <c r="V25" s="13">
        <v>0.0</v>
      </c>
      <c r="W25" s="13">
        <v>0.0</v>
      </c>
      <c r="X25" s="13">
        <v>1.0</v>
      </c>
      <c r="Y25" s="13" t="s">
        <v>150</v>
      </c>
      <c r="Z25" s="13">
        <v>0.0</v>
      </c>
      <c r="AA25" s="13" t="s">
        <v>57</v>
      </c>
      <c r="AB25" s="13" t="s">
        <v>59</v>
      </c>
      <c r="AC25" s="13" t="s">
        <v>304</v>
      </c>
      <c r="AD25" s="13" t="s">
        <v>289</v>
      </c>
      <c r="AE25" s="13" t="b">
        <v>1</v>
      </c>
      <c r="AF25" s="12" t="s">
        <v>82</v>
      </c>
      <c r="AG25" s="12" t="s">
        <v>83</v>
      </c>
      <c r="AH25" s="12">
        <v>1.0</v>
      </c>
      <c r="AI25" s="12"/>
      <c r="AJ25" s="12" t="s">
        <v>113</v>
      </c>
      <c r="AK25" s="12" t="s">
        <v>64</v>
      </c>
      <c r="AL25" s="12" t="s">
        <v>127</v>
      </c>
      <c r="AM25" s="12" t="s">
        <v>66</v>
      </c>
      <c r="AN25" s="12" t="s">
        <v>67</v>
      </c>
      <c r="AO25" s="12" t="s">
        <v>264</v>
      </c>
      <c r="AP25" s="12" t="s">
        <v>69</v>
      </c>
      <c r="AQ25" s="12" t="s">
        <v>56</v>
      </c>
      <c r="AR25" s="12"/>
      <c r="AS25" s="13"/>
    </row>
    <row r="26" ht="15.0" customHeight="1">
      <c r="A26" s="12">
        <v>25.0</v>
      </c>
      <c r="B26" s="6" t="s">
        <v>87</v>
      </c>
      <c r="C26" s="13" t="s">
        <v>131</v>
      </c>
      <c r="D26" s="13" t="s">
        <v>305</v>
      </c>
      <c r="E26" s="13" t="s">
        <v>306</v>
      </c>
      <c r="F26" s="13" t="s">
        <v>278</v>
      </c>
      <c r="G26" s="13" t="s">
        <v>277</v>
      </c>
      <c r="H26" s="8" t="s">
        <v>307</v>
      </c>
      <c r="I26" s="13" t="s">
        <v>308</v>
      </c>
      <c r="J26" s="13" t="s">
        <v>276</v>
      </c>
      <c r="K26" s="13" t="s">
        <v>309</v>
      </c>
      <c r="L26" s="13" t="s">
        <v>310</v>
      </c>
      <c r="M26" s="13">
        <v>1.0</v>
      </c>
      <c r="N26" s="13">
        <v>0.0</v>
      </c>
      <c r="O26" s="13">
        <v>0.017391304347826087</v>
      </c>
      <c r="P26" s="13" t="s">
        <v>56</v>
      </c>
      <c r="Q26" s="13">
        <v>3.0</v>
      </c>
      <c r="R26" s="13">
        <v>20.0</v>
      </c>
      <c r="S26" s="13" t="s">
        <v>57</v>
      </c>
      <c r="T26" s="13">
        <v>0.0</v>
      </c>
      <c r="U26" s="13" t="s">
        <v>57</v>
      </c>
      <c r="V26" s="13">
        <v>0.0</v>
      </c>
      <c r="W26" s="13">
        <v>0.0</v>
      </c>
      <c r="X26" s="13">
        <v>0.0</v>
      </c>
      <c r="Y26" s="13" t="s">
        <v>57</v>
      </c>
      <c r="Z26" s="13">
        <v>0.0</v>
      </c>
      <c r="AA26" s="13" t="s">
        <v>57</v>
      </c>
      <c r="AB26" s="13" t="s">
        <v>124</v>
      </c>
      <c r="AC26" s="13" t="s">
        <v>311</v>
      </c>
      <c r="AD26" s="13" t="s">
        <v>289</v>
      </c>
      <c r="AE26" s="13" t="b">
        <v>1</v>
      </c>
      <c r="AF26" s="12" t="s">
        <v>82</v>
      </c>
      <c r="AG26" s="12" t="s">
        <v>82</v>
      </c>
      <c r="AH26" s="12">
        <v>1.0</v>
      </c>
      <c r="AI26" s="12"/>
      <c r="AJ26" s="12" t="s">
        <v>103</v>
      </c>
      <c r="AK26" s="12" t="s">
        <v>64</v>
      </c>
      <c r="AL26" s="12" t="s">
        <v>127</v>
      </c>
      <c r="AM26" s="12" t="s">
        <v>128</v>
      </c>
      <c r="AN26" s="12" t="s">
        <v>67</v>
      </c>
      <c r="AO26" s="12" t="s">
        <v>105</v>
      </c>
      <c r="AP26" s="12" t="s">
        <v>69</v>
      </c>
      <c r="AQ26" s="12" t="s">
        <v>56</v>
      </c>
      <c r="AR26" s="12"/>
      <c r="AS26" s="13"/>
    </row>
    <row r="27" ht="15.0" customHeight="1">
      <c r="A27" s="17">
        <v>26.0</v>
      </c>
      <c r="B27" s="6" t="s">
        <v>87</v>
      </c>
      <c r="C27" s="18" t="s">
        <v>45</v>
      </c>
      <c r="D27" s="18" t="s">
        <v>312</v>
      </c>
      <c r="E27" s="18" t="s">
        <v>313</v>
      </c>
      <c r="F27" s="18" t="s">
        <v>123</v>
      </c>
      <c r="G27" s="18" t="s">
        <v>314</v>
      </c>
      <c r="H27" s="8" t="s">
        <v>315</v>
      </c>
      <c r="I27" s="18" t="s">
        <v>316</v>
      </c>
      <c r="J27" s="18" t="s">
        <v>317</v>
      </c>
      <c r="K27" s="18" t="s">
        <v>318</v>
      </c>
      <c r="L27" s="18" t="s">
        <v>182</v>
      </c>
      <c r="M27" s="18">
        <v>1.0</v>
      </c>
      <c r="N27" s="18">
        <v>0.6666666666666666</v>
      </c>
      <c r="O27" s="18">
        <v>0.6722689075630253</v>
      </c>
      <c r="P27" s="18" t="s">
        <v>56</v>
      </c>
      <c r="Q27" s="18">
        <v>4.0</v>
      </c>
      <c r="R27" s="18">
        <v>18.0</v>
      </c>
      <c r="S27" s="18" t="s">
        <v>57</v>
      </c>
      <c r="T27" s="18">
        <v>0.0</v>
      </c>
      <c r="U27" s="18" t="s">
        <v>57</v>
      </c>
      <c r="V27" s="18">
        <v>0.0</v>
      </c>
      <c r="W27" s="18">
        <v>0.0</v>
      </c>
      <c r="X27" s="18">
        <v>0.0</v>
      </c>
      <c r="Y27" s="18" t="s">
        <v>57</v>
      </c>
      <c r="Z27" s="18">
        <v>2.0</v>
      </c>
      <c r="AA27" s="18" t="s">
        <v>319</v>
      </c>
      <c r="AB27" s="18" t="s">
        <v>80</v>
      </c>
      <c r="AC27" s="18" t="s">
        <v>320</v>
      </c>
      <c r="AD27" s="18" t="s">
        <v>289</v>
      </c>
      <c r="AE27" s="18" t="b">
        <v>1</v>
      </c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9"/>
      <c r="AQ27" s="18"/>
      <c r="AR27" s="18"/>
      <c r="AS27" s="18"/>
    </row>
    <row r="28" ht="15.0" customHeight="1">
      <c r="A28" s="9">
        <v>27.0</v>
      </c>
      <c r="B28" s="6" t="s">
        <v>44</v>
      </c>
      <c r="C28" s="10" t="s">
        <v>45</v>
      </c>
      <c r="D28" s="10" t="s">
        <v>312</v>
      </c>
      <c r="E28" s="10" t="s">
        <v>313</v>
      </c>
      <c r="F28" s="10" t="s">
        <v>123</v>
      </c>
      <c r="G28" s="10" t="s">
        <v>314</v>
      </c>
      <c r="H28" s="10" t="s">
        <v>321</v>
      </c>
      <c r="I28" s="10" t="s">
        <v>322</v>
      </c>
      <c r="J28" s="10" t="s">
        <v>317</v>
      </c>
      <c r="K28" s="10" t="s">
        <v>323</v>
      </c>
      <c r="L28" s="10" t="s">
        <v>324</v>
      </c>
      <c r="M28" s="10">
        <v>1.0</v>
      </c>
      <c r="N28" s="10">
        <v>0.6666666666666666</v>
      </c>
      <c r="O28" s="10">
        <v>0.6666666666666666</v>
      </c>
      <c r="P28" s="10" t="s">
        <v>56</v>
      </c>
      <c r="Q28" s="10">
        <v>4.0</v>
      </c>
      <c r="R28" s="10">
        <v>18.0</v>
      </c>
      <c r="S28" s="10" t="s">
        <v>57</v>
      </c>
      <c r="T28" s="10">
        <v>0.0</v>
      </c>
      <c r="U28" s="10" t="s">
        <v>57</v>
      </c>
      <c r="V28" s="10">
        <v>0.0</v>
      </c>
      <c r="W28" s="10">
        <v>0.0</v>
      </c>
      <c r="X28" s="10">
        <v>0.0</v>
      </c>
      <c r="Y28" s="10" t="s">
        <v>57</v>
      </c>
      <c r="Z28" s="10">
        <v>2.0</v>
      </c>
      <c r="AA28" s="10" t="s">
        <v>319</v>
      </c>
      <c r="AB28" s="10" t="s">
        <v>80</v>
      </c>
      <c r="AC28" s="10" t="s">
        <v>320</v>
      </c>
      <c r="AD28" s="10" t="s">
        <v>289</v>
      </c>
      <c r="AE28" s="10" t="b">
        <v>1</v>
      </c>
      <c r="AF28" s="9" t="s">
        <v>82</v>
      </c>
      <c r="AG28" s="9" t="s">
        <v>83</v>
      </c>
      <c r="AH28" s="9">
        <v>0.0</v>
      </c>
      <c r="AI28" s="9">
        <v>0.01</v>
      </c>
      <c r="AJ28" s="9" t="s">
        <v>64</v>
      </c>
      <c r="AK28" s="9" t="s">
        <v>64</v>
      </c>
      <c r="AL28" s="9" t="s">
        <v>65</v>
      </c>
      <c r="AM28" s="9" t="s">
        <v>325</v>
      </c>
      <c r="AN28" s="9" t="s">
        <v>326</v>
      </c>
      <c r="AO28" s="9" t="s">
        <v>85</v>
      </c>
      <c r="AP28" s="9" t="s">
        <v>69</v>
      </c>
      <c r="AQ28" s="9" t="s">
        <v>56</v>
      </c>
      <c r="AR28" s="10"/>
      <c r="AS28" s="10"/>
    </row>
    <row r="29" ht="15.0" customHeight="1">
      <c r="A29" s="12">
        <v>28.0</v>
      </c>
      <c r="B29" s="6" t="s">
        <v>87</v>
      </c>
      <c r="C29" s="13" t="s">
        <v>131</v>
      </c>
      <c r="D29" s="13" t="s">
        <v>327</v>
      </c>
      <c r="E29" s="13" t="s">
        <v>328</v>
      </c>
      <c r="F29" s="13" t="s">
        <v>329</v>
      </c>
      <c r="G29" s="13" t="s">
        <v>330</v>
      </c>
      <c r="H29" s="8" t="s">
        <v>331</v>
      </c>
      <c r="I29" s="13" t="s">
        <v>332</v>
      </c>
      <c r="J29" s="13" t="s">
        <v>276</v>
      </c>
      <c r="K29" s="13" t="s">
        <v>333</v>
      </c>
      <c r="L29" s="13" t="s">
        <v>334</v>
      </c>
      <c r="M29" s="13">
        <v>1.0</v>
      </c>
      <c r="N29" s="13">
        <v>0.0</v>
      </c>
      <c r="O29" s="13">
        <v>0.13664596273291926</v>
      </c>
      <c r="P29" s="13" t="s">
        <v>56</v>
      </c>
      <c r="Q29" s="13">
        <v>5.0</v>
      </c>
      <c r="R29" s="13">
        <v>21.0</v>
      </c>
      <c r="S29" s="13" t="s">
        <v>57</v>
      </c>
      <c r="T29" s="13">
        <v>0.0</v>
      </c>
      <c r="U29" s="13" t="s">
        <v>57</v>
      </c>
      <c r="V29" s="13">
        <v>0.0</v>
      </c>
      <c r="W29" s="13">
        <v>0.0</v>
      </c>
      <c r="X29" s="13">
        <v>0.0</v>
      </c>
      <c r="Y29" s="13" t="s">
        <v>57</v>
      </c>
      <c r="Z29" s="13">
        <v>0.0</v>
      </c>
      <c r="AA29" s="13" t="s">
        <v>57</v>
      </c>
      <c r="AB29" s="13" t="s">
        <v>124</v>
      </c>
      <c r="AC29" s="13" t="s">
        <v>335</v>
      </c>
      <c r="AD29" s="13" t="s">
        <v>289</v>
      </c>
      <c r="AE29" s="13" t="b">
        <v>1</v>
      </c>
      <c r="AF29" s="12" t="s">
        <v>82</v>
      </c>
      <c r="AG29" s="12" t="s">
        <v>82</v>
      </c>
      <c r="AH29" s="12">
        <v>0.67</v>
      </c>
      <c r="AI29" s="12"/>
      <c r="AJ29" s="12" t="s">
        <v>103</v>
      </c>
      <c r="AK29" s="12" t="s">
        <v>64</v>
      </c>
      <c r="AL29" s="12" t="s">
        <v>127</v>
      </c>
      <c r="AM29" s="12" t="s">
        <v>128</v>
      </c>
      <c r="AN29" s="12" t="s">
        <v>67</v>
      </c>
      <c r="AO29" s="12" t="s">
        <v>105</v>
      </c>
      <c r="AP29" s="12" t="s">
        <v>69</v>
      </c>
      <c r="AQ29" s="12" t="s">
        <v>56</v>
      </c>
      <c r="AR29" s="12"/>
      <c r="AS29" s="13"/>
    </row>
    <row r="30" ht="15.0" customHeight="1">
      <c r="A30" s="12">
        <v>29.0</v>
      </c>
      <c r="B30" s="6" t="s">
        <v>87</v>
      </c>
      <c r="C30" s="13" t="s">
        <v>131</v>
      </c>
      <c r="D30" s="13" t="s">
        <v>327</v>
      </c>
      <c r="E30" s="13" t="s">
        <v>328</v>
      </c>
      <c r="F30" s="13" t="s">
        <v>329</v>
      </c>
      <c r="G30" s="13" t="s">
        <v>330</v>
      </c>
      <c r="H30" s="8" t="s">
        <v>336</v>
      </c>
      <c r="I30" s="13" t="s">
        <v>337</v>
      </c>
      <c r="J30" s="13" t="s">
        <v>276</v>
      </c>
      <c r="K30" s="13" t="s">
        <v>338</v>
      </c>
      <c r="L30" s="13" t="s">
        <v>339</v>
      </c>
      <c r="M30" s="13">
        <v>1.0</v>
      </c>
      <c r="N30" s="13">
        <v>0.0</v>
      </c>
      <c r="O30" s="13">
        <v>0.15527950310559005</v>
      </c>
      <c r="P30" s="13" t="s">
        <v>56</v>
      </c>
      <c r="Q30" s="13">
        <v>5.0</v>
      </c>
      <c r="R30" s="13">
        <v>21.0</v>
      </c>
      <c r="S30" s="13" t="s">
        <v>57</v>
      </c>
      <c r="T30" s="13">
        <v>0.0</v>
      </c>
      <c r="U30" s="13" t="s">
        <v>57</v>
      </c>
      <c r="V30" s="13">
        <v>0.0</v>
      </c>
      <c r="W30" s="13">
        <v>0.0</v>
      </c>
      <c r="X30" s="13">
        <v>0.0</v>
      </c>
      <c r="Y30" s="13" t="s">
        <v>57</v>
      </c>
      <c r="Z30" s="13">
        <v>0.0</v>
      </c>
      <c r="AA30" s="13" t="s">
        <v>57</v>
      </c>
      <c r="AB30" s="13" t="s">
        <v>124</v>
      </c>
      <c r="AC30" s="13" t="s">
        <v>335</v>
      </c>
      <c r="AD30" s="13" t="s">
        <v>289</v>
      </c>
      <c r="AE30" s="13" t="b">
        <v>1</v>
      </c>
      <c r="AF30" s="12" t="s">
        <v>82</v>
      </c>
      <c r="AG30" s="12" t="s">
        <v>82</v>
      </c>
      <c r="AH30" s="12">
        <v>0.67</v>
      </c>
      <c r="AI30" s="12"/>
      <c r="AJ30" s="12" t="s">
        <v>103</v>
      </c>
      <c r="AK30" s="12" t="s">
        <v>64</v>
      </c>
      <c r="AL30" s="12" t="s">
        <v>127</v>
      </c>
      <c r="AM30" s="12" t="s">
        <v>128</v>
      </c>
      <c r="AN30" s="12" t="s">
        <v>67</v>
      </c>
      <c r="AO30" s="12" t="s">
        <v>105</v>
      </c>
      <c r="AP30" s="12" t="s">
        <v>69</v>
      </c>
      <c r="AQ30" s="13"/>
      <c r="AR30" s="13"/>
      <c r="AS30" s="13"/>
    </row>
    <row r="31" ht="15.0" customHeight="1">
      <c r="A31" s="12">
        <v>30.0</v>
      </c>
      <c r="B31" s="6" t="s">
        <v>87</v>
      </c>
      <c r="C31" s="13" t="s">
        <v>131</v>
      </c>
      <c r="D31" s="13" t="s">
        <v>340</v>
      </c>
      <c r="E31" s="13" t="s">
        <v>341</v>
      </c>
      <c r="F31" s="13" t="s">
        <v>252</v>
      </c>
      <c r="G31" s="13" t="s">
        <v>251</v>
      </c>
      <c r="H31" s="8" t="s">
        <v>342</v>
      </c>
      <c r="I31" s="13" t="s">
        <v>343</v>
      </c>
      <c r="J31" s="13" t="s">
        <v>268</v>
      </c>
      <c r="K31" s="13" t="s">
        <v>344</v>
      </c>
      <c r="L31" s="13" t="s">
        <v>345</v>
      </c>
      <c r="M31" s="13">
        <v>1.0</v>
      </c>
      <c r="N31" s="13">
        <v>0.0</v>
      </c>
      <c r="O31" s="13">
        <v>0.025</v>
      </c>
      <c r="P31" s="13" t="s">
        <v>56</v>
      </c>
      <c r="Q31" s="13">
        <v>2.0</v>
      </c>
      <c r="R31" s="13">
        <v>23.0</v>
      </c>
      <c r="S31" s="13" t="s">
        <v>57</v>
      </c>
      <c r="T31" s="13">
        <v>0.0</v>
      </c>
      <c r="U31" s="13" t="s">
        <v>57</v>
      </c>
      <c r="V31" s="13">
        <v>0.0</v>
      </c>
      <c r="W31" s="13">
        <v>0.0</v>
      </c>
      <c r="X31" s="13">
        <v>0.0</v>
      </c>
      <c r="Y31" s="13" t="s">
        <v>57</v>
      </c>
      <c r="Z31" s="13">
        <v>0.0</v>
      </c>
      <c r="AA31" s="13" t="s">
        <v>57</v>
      </c>
      <c r="AB31" s="13" t="s">
        <v>124</v>
      </c>
      <c r="AC31" s="13" t="s">
        <v>346</v>
      </c>
      <c r="AD31" s="13" t="s">
        <v>347</v>
      </c>
      <c r="AE31" s="13" t="b">
        <v>1</v>
      </c>
      <c r="AF31" s="12" t="s">
        <v>82</v>
      </c>
      <c r="AG31" s="12" t="s">
        <v>82</v>
      </c>
      <c r="AH31" s="12">
        <v>1.0</v>
      </c>
      <c r="AI31" s="12"/>
      <c r="AJ31" s="12" t="s">
        <v>103</v>
      </c>
      <c r="AK31" s="12" t="s">
        <v>64</v>
      </c>
      <c r="AL31" s="12" t="s">
        <v>127</v>
      </c>
      <c r="AM31" s="12" t="s">
        <v>128</v>
      </c>
      <c r="AN31" s="12" t="s">
        <v>67</v>
      </c>
      <c r="AO31" s="12" t="s">
        <v>105</v>
      </c>
      <c r="AP31" s="12" t="s">
        <v>69</v>
      </c>
      <c r="AQ31" s="12" t="s">
        <v>56</v>
      </c>
      <c r="AR31" s="12"/>
      <c r="AS31" s="13"/>
    </row>
    <row r="32" ht="15.0" customHeight="1">
      <c r="A32" s="5">
        <v>31.0</v>
      </c>
      <c r="B32" s="6" t="s">
        <v>44</v>
      </c>
      <c r="C32" s="7" t="s">
        <v>187</v>
      </c>
      <c r="D32" s="7" t="s">
        <v>348</v>
      </c>
      <c r="E32" s="7" t="s">
        <v>328</v>
      </c>
      <c r="F32" s="7" t="s">
        <v>349</v>
      </c>
      <c r="G32" s="7" t="s">
        <v>350</v>
      </c>
      <c r="H32" s="7" t="s">
        <v>351</v>
      </c>
      <c r="I32" s="7" t="s">
        <v>352</v>
      </c>
      <c r="J32" s="7" t="s">
        <v>353</v>
      </c>
      <c r="K32" s="7" t="s">
        <v>354</v>
      </c>
      <c r="L32" s="7" t="s">
        <v>355</v>
      </c>
      <c r="M32" s="7">
        <v>1.0</v>
      </c>
      <c r="N32" s="7">
        <v>0.4</v>
      </c>
      <c r="O32" s="7">
        <v>0.49452954048140046</v>
      </c>
      <c r="P32" s="7" t="s">
        <v>56</v>
      </c>
      <c r="Q32" s="7">
        <v>0.0</v>
      </c>
      <c r="R32" s="7">
        <v>4.0</v>
      </c>
      <c r="S32" s="7" t="s">
        <v>57</v>
      </c>
      <c r="T32" s="7">
        <v>0.0</v>
      </c>
      <c r="U32" s="7" t="s">
        <v>57</v>
      </c>
      <c r="V32" s="7">
        <v>0.0</v>
      </c>
      <c r="W32" s="7">
        <v>0.0</v>
      </c>
      <c r="X32" s="7">
        <v>0.0</v>
      </c>
      <c r="Y32" s="7" t="s">
        <v>57</v>
      </c>
      <c r="Z32" s="7">
        <v>1.0</v>
      </c>
      <c r="AA32" s="7" t="s">
        <v>197</v>
      </c>
      <c r="AB32" s="7" t="s">
        <v>80</v>
      </c>
      <c r="AC32" s="7" t="s">
        <v>356</v>
      </c>
      <c r="AD32" s="7" t="s">
        <v>347</v>
      </c>
      <c r="AE32" s="7" t="b">
        <v>1</v>
      </c>
      <c r="AF32" s="5" t="s">
        <v>82</v>
      </c>
      <c r="AG32" s="5" t="s">
        <v>82</v>
      </c>
      <c r="AH32" s="5">
        <v>0.0</v>
      </c>
      <c r="AI32" s="5">
        <v>0.1</v>
      </c>
      <c r="AJ32" s="5" t="s">
        <v>63</v>
      </c>
      <c r="AK32" s="5" t="s">
        <v>64</v>
      </c>
      <c r="AL32" s="5" t="s">
        <v>65</v>
      </c>
      <c r="AM32" s="5" t="s">
        <v>84</v>
      </c>
      <c r="AN32" s="5" t="s">
        <v>67</v>
      </c>
      <c r="AO32" s="5" t="s">
        <v>85</v>
      </c>
      <c r="AP32" s="5" t="s">
        <v>69</v>
      </c>
      <c r="AQ32" s="5" t="s">
        <v>56</v>
      </c>
      <c r="AR32" s="5"/>
      <c r="AS32" s="7"/>
    </row>
    <row r="33" ht="15.0" customHeight="1">
      <c r="A33" s="9">
        <v>32.0</v>
      </c>
      <c r="B33" s="6" t="s">
        <v>44</v>
      </c>
      <c r="C33" s="10" t="s">
        <v>131</v>
      </c>
      <c r="D33" s="10" t="s">
        <v>357</v>
      </c>
      <c r="E33" s="10" t="s">
        <v>358</v>
      </c>
      <c r="F33" s="10" t="s">
        <v>295</v>
      </c>
      <c r="G33" s="10" t="s">
        <v>359</v>
      </c>
      <c r="H33" s="10" t="s">
        <v>360</v>
      </c>
      <c r="I33" s="10" t="s">
        <v>361</v>
      </c>
      <c r="J33" s="10" t="s">
        <v>362</v>
      </c>
      <c r="K33" s="10" t="s">
        <v>363</v>
      </c>
      <c r="L33" s="10" t="s">
        <v>364</v>
      </c>
      <c r="M33" s="10">
        <v>1.0</v>
      </c>
      <c r="N33" s="10">
        <v>0.0</v>
      </c>
      <c r="O33" s="10">
        <v>0.031914893617021274</v>
      </c>
      <c r="P33" s="10" t="s">
        <v>56</v>
      </c>
      <c r="Q33" s="10">
        <v>0.0</v>
      </c>
      <c r="R33" s="10">
        <v>24.0</v>
      </c>
      <c r="S33" s="10" t="s">
        <v>57</v>
      </c>
      <c r="T33" s="10">
        <v>0.0</v>
      </c>
      <c r="U33" s="10" t="s">
        <v>57</v>
      </c>
      <c r="V33" s="10">
        <v>0.0</v>
      </c>
      <c r="W33" s="10">
        <v>0.0</v>
      </c>
      <c r="X33" s="10">
        <v>0.0</v>
      </c>
      <c r="Y33" s="10" t="s">
        <v>57</v>
      </c>
      <c r="Z33" s="10">
        <v>0.0</v>
      </c>
      <c r="AA33" s="10" t="s">
        <v>57</v>
      </c>
      <c r="AB33" s="10" t="s">
        <v>124</v>
      </c>
      <c r="AC33" s="10" t="s">
        <v>365</v>
      </c>
      <c r="AD33" s="10" t="s">
        <v>347</v>
      </c>
      <c r="AE33" s="10" t="b">
        <v>1</v>
      </c>
      <c r="AF33" s="9" t="s">
        <v>82</v>
      </c>
      <c r="AG33" s="9" t="s">
        <v>152</v>
      </c>
      <c r="AH33" s="9">
        <v>1.0</v>
      </c>
      <c r="AI33" s="9">
        <v>1.0</v>
      </c>
      <c r="AJ33" s="9" t="s">
        <v>103</v>
      </c>
      <c r="AK33" s="9" t="s">
        <v>64</v>
      </c>
      <c r="AL33" s="9" t="s">
        <v>127</v>
      </c>
      <c r="AM33" s="9" t="s">
        <v>128</v>
      </c>
      <c r="AN33" s="9" t="s">
        <v>67</v>
      </c>
      <c r="AO33" s="9" t="s">
        <v>280</v>
      </c>
      <c r="AP33" s="9" t="s">
        <v>69</v>
      </c>
      <c r="AQ33" s="9" t="s">
        <v>56</v>
      </c>
      <c r="AR33" s="9"/>
      <c r="AS33" s="10"/>
    </row>
    <row r="34" ht="15.0" customHeight="1">
      <c r="A34" s="12">
        <v>33.0</v>
      </c>
      <c r="B34" s="6" t="s">
        <v>87</v>
      </c>
      <c r="C34" s="13" t="s">
        <v>131</v>
      </c>
      <c r="D34" s="13" t="s">
        <v>366</v>
      </c>
      <c r="E34" s="13" t="s">
        <v>357</v>
      </c>
      <c r="F34" s="13" t="s">
        <v>295</v>
      </c>
      <c r="G34" s="13" t="s">
        <v>359</v>
      </c>
      <c r="H34" s="8" t="s">
        <v>367</v>
      </c>
      <c r="I34" s="13" t="s">
        <v>368</v>
      </c>
      <c r="J34" s="13" t="s">
        <v>362</v>
      </c>
      <c r="K34" s="13" t="s">
        <v>369</v>
      </c>
      <c r="L34" s="13" t="s">
        <v>370</v>
      </c>
      <c r="M34" s="13">
        <v>1.0</v>
      </c>
      <c r="N34" s="13">
        <v>0.0</v>
      </c>
      <c r="O34" s="13">
        <v>0.14418604651162792</v>
      </c>
      <c r="P34" s="13" t="s">
        <v>56</v>
      </c>
      <c r="Q34" s="13">
        <v>1.0</v>
      </c>
      <c r="R34" s="13">
        <v>25.0</v>
      </c>
      <c r="S34" s="13" t="s">
        <v>57</v>
      </c>
      <c r="T34" s="13">
        <v>0.0</v>
      </c>
      <c r="U34" s="13" t="s">
        <v>57</v>
      </c>
      <c r="V34" s="13">
        <v>0.0</v>
      </c>
      <c r="W34" s="13">
        <v>0.0</v>
      </c>
      <c r="X34" s="13">
        <v>0.0</v>
      </c>
      <c r="Y34" s="13" t="s">
        <v>57</v>
      </c>
      <c r="Z34" s="13">
        <v>0.0</v>
      </c>
      <c r="AA34" s="13" t="s">
        <v>57</v>
      </c>
      <c r="AB34" s="13" t="s">
        <v>124</v>
      </c>
      <c r="AC34" s="13" t="s">
        <v>371</v>
      </c>
      <c r="AD34" s="13" t="s">
        <v>372</v>
      </c>
      <c r="AE34" s="13" t="b">
        <v>1</v>
      </c>
      <c r="AF34" s="12" t="s">
        <v>82</v>
      </c>
      <c r="AG34" s="12" t="s">
        <v>82</v>
      </c>
      <c r="AH34" s="12">
        <v>1.0</v>
      </c>
      <c r="AI34" s="12"/>
      <c r="AJ34" s="12" t="s">
        <v>103</v>
      </c>
      <c r="AK34" s="12" t="s">
        <v>64</v>
      </c>
      <c r="AL34" s="12" t="s">
        <v>143</v>
      </c>
      <c r="AM34" s="12" t="s">
        <v>128</v>
      </c>
      <c r="AN34" s="12" t="s">
        <v>67</v>
      </c>
      <c r="AO34" s="12" t="s">
        <v>105</v>
      </c>
      <c r="AP34" s="12" t="s">
        <v>69</v>
      </c>
      <c r="AQ34" s="12" t="s">
        <v>56</v>
      </c>
      <c r="AR34" s="12"/>
      <c r="AS34" s="13"/>
    </row>
    <row r="35" ht="15.0" customHeight="1">
      <c r="A35" s="17">
        <v>34.0</v>
      </c>
      <c r="B35" s="6" t="s">
        <v>87</v>
      </c>
      <c r="C35" s="18" t="s">
        <v>131</v>
      </c>
      <c r="D35" s="18" t="s">
        <v>373</v>
      </c>
      <c r="E35" s="18" t="s">
        <v>366</v>
      </c>
      <c r="F35" s="18" t="s">
        <v>134</v>
      </c>
      <c r="G35" s="18" t="s">
        <v>374</v>
      </c>
      <c r="H35" s="8" t="s">
        <v>375</v>
      </c>
      <c r="I35" s="18" t="s">
        <v>376</v>
      </c>
      <c r="J35" s="18" t="s">
        <v>260</v>
      </c>
      <c r="K35" s="18" t="s">
        <v>377</v>
      </c>
      <c r="L35" s="18" t="s">
        <v>378</v>
      </c>
      <c r="M35" s="18">
        <v>1.0</v>
      </c>
      <c r="N35" s="18">
        <v>0.3333333333333333</v>
      </c>
      <c r="O35" s="18">
        <v>0.4068441064638783</v>
      </c>
      <c r="P35" s="18" t="s">
        <v>56</v>
      </c>
      <c r="Q35" s="18">
        <v>12.0</v>
      </c>
      <c r="R35" s="18">
        <v>25.0</v>
      </c>
      <c r="S35" s="18" t="s">
        <v>57</v>
      </c>
      <c r="T35" s="18">
        <v>0.0</v>
      </c>
      <c r="U35" s="18" t="s">
        <v>57</v>
      </c>
      <c r="V35" s="18">
        <v>0.0</v>
      </c>
      <c r="W35" s="18">
        <v>0.0</v>
      </c>
      <c r="X35" s="18">
        <v>1.0</v>
      </c>
      <c r="Y35" s="18" t="s">
        <v>150</v>
      </c>
      <c r="Z35" s="18">
        <v>0.0</v>
      </c>
      <c r="AA35" s="18" t="s">
        <v>57</v>
      </c>
      <c r="AB35" s="18" t="s">
        <v>59</v>
      </c>
      <c r="AC35" s="18" t="s">
        <v>379</v>
      </c>
      <c r="AD35" s="18" t="s">
        <v>372</v>
      </c>
      <c r="AE35" s="18" t="b">
        <v>1</v>
      </c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9"/>
      <c r="AQ35" s="18"/>
      <c r="AR35" s="18"/>
      <c r="AS35" s="18"/>
    </row>
    <row r="36" ht="15.0" customHeight="1">
      <c r="A36" s="12">
        <v>35.0</v>
      </c>
      <c r="B36" s="6" t="s">
        <v>87</v>
      </c>
      <c r="C36" s="13" t="s">
        <v>131</v>
      </c>
      <c r="D36" s="13" t="s">
        <v>380</v>
      </c>
      <c r="E36" s="13" t="s">
        <v>381</v>
      </c>
      <c r="F36" s="13" t="s">
        <v>310</v>
      </c>
      <c r="G36" s="13" t="s">
        <v>309</v>
      </c>
      <c r="H36" s="8" t="s">
        <v>382</v>
      </c>
      <c r="I36" s="13" t="s">
        <v>383</v>
      </c>
      <c r="J36" s="13" t="s">
        <v>276</v>
      </c>
      <c r="K36" s="13" t="s">
        <v>384</v>
      </c>
      <c r="L36" s="13" t="s">
        <v>385</v>
      </c>
      <c r="M36" s="13">
        <v>1.0</v>
      </c>
      <c r="N36" s="13">
        <v>0.0</v>
      </c>
      <c r="O36" s="13">
        <v>0.08264462809917356</v>
      </c>
      <c r="P36" s="13" t="s">
        <v>56</v>
      </c>
      <c r="Q36" s="13">
        <v>6.0</v>
      </c>
      <c r="R36" s="13">
        <v>27.0</v>
      </c>
      <c r="S36" s="13" t="s">
        <v>57</v>
      </c>
      <c r="T36" s="13">
        <v>0.0</v>
      </c>
      <c r="U36" s="13" t="s">
        <v>57</v>
      </c>
      <c r="V36" s="13">
        <v>0.0</v>
      </c>
      <c r="W36" s="13">
        <v>0.0</v>
      </c>
      <c r="X36" s="13">
        <v>0.0</v>
      </c>
      <c r="Y36" s="13" t="s">
        <v>57</v>
      </c>
      <c r="Z36" s="13">
        <v>0.0</v>
      </c>
      <c r="AA36" s="13" t="s">
        <v>57</v>
      </c>
      <c r="AB36" s="13" t="s">
        <v>124</v>
      </c>
      <c r="AC36" s="13" t="s">
        <v>386</v>
      </c>
      <c r="AD36" s="13" t="s">
        <v>387</v>
      </c>
      <c r="AE36" s="13" t="b">
        <v>1</v>
      </c>
      <c r="AF36" s="12" t="s">
        <v>82</v>
      </c>
      <c r="AG36" s="12" t="s">
        <v>82</v>
      </c>
      <c r="AH36" s="12">
        <v>1.0</v>
      </c>
      <c r="AI36" s="12"/>
      <c r="AJ36" s="12" t="s">
        <v>113</v>
      </c>
      <c r="AK36" s="12" t="s">
        <v>64</v>
      </c>
      <c r="AL36" s="12" t="s">
        <v>127</v>
      </c>
      <c r="AM36" s="12" t="s">
        <v>128</v>
      </c>
      <c r="AN36" s="12" t="s">
        <v>67</v>
      </c>
      <c r="AO36" s="12" t="s">
        <v>105</v>
      </c>
      <c r="AP36" s="12" t="s">
        <v>69</v>
      </c>
      <c r="AQ36" s="12" t="s">
        <v>56</v>
      </c>
      <c r="AR36" s="12"/>
      <c r="AS36" s="13"/>
    </row>
    <row r="37" ht="15.0" customHeight="1">
      <c r="A37" s="17">
        <v>36.0</v>
      </c>
      <c r="B37" s="6" t="s">
        <v>87</v>
      </c>
      <c r="C37" s="18" t="s">
        <v>131</v>
      </c>
      <c r="D37" s="18" t="s">
        <v>388</v>
      </c>
      <c r="E37" s="18" t="s">
        <v>380</v>
      </c>
      <c r="F37" s="18" t="s">
        <v>262</v>
      </c>
      <c r="G37" s="18" t="s">
        <v>261</v>
      </c>
      <c r="H37" s="8" t="s">
        <v>389</v>
      </c>
      <c r="I37" s="18" t="s">
        <v>390</v>
      </c>
      <c r="J37" s="18" t="s">
        <v>293</v>
      </c>
      <c r="K37" s="18" t="s">
        <v>391</v>
      </c>
      <c r="L37" s="18" t="s">
        <v>392</v>
      </c>
      <c r="M37" s="18">
        <v>1.0</v>
      </c>
      <c r="N37" s="18">
        <v>0.0</v>
      </c>
      <c r="O37" s="18">
        <v>0.11875</v>
      </c>
      <c r="P37" s="18" t="s">
        <v>56</v>
      </c>
      <c r="Q37" s="18">
        <v>12.0</v>
      </c>
      <c r="R37" s="18">
        <v>26.0</v>
      </c>
      <c r="S37" s="18" t="s">
        <v>57</v>
      </c>
      <c r="T37" s="18">
        <v>0.0</v>
      </c>
      <c r="U37" s="18" t="s">
        <v>57</v>
      </c>
      <c r="V37" s="18">
        <v>0.0</v>
      </c>
      <c r="W37" s="18">
        <v>0.0</v>
      </c>
      <c r="X37" s="18">
        <v>0.0</v>
      </c>
      <c r="Y37" s="18" t="s">
        <v>57</v>
      </c>
      <c r="Z37" s="18">
        <v>0.0</v>
      </c>
      <c r="AA37" s="18" t="s">
        <v>57</v>
      </c>
      <c r="AB37" s="18" t="s">
        <v>124</v>
      </c>
      <c r="AC37" s="18" t="s">
        <v>393</v>
      </c>
      <c r="AD37" s="18" t="s">
        <v>387</v>
      </c>
      <c r="AE37" s="18" t="b">
        <v>1</v>
      </c>
      <c r="AF37" s="17" t="s">
        <v>82</v>
      </c>
      <c r="AG37" s="17" t="s">
        <v>82</v>
      </c>
      <c r="AH37" s="17">
        <v>1.0</v>
      </c>
      <c r="AI37" s="17"/>
      <c r="AJ37" s="17" t="s">
        <v>113</v>
      </c>
      <c r="AK37" s="17" t="s">
        <v>64</v>
      </c>
      <c r="AL37" s="17" t="s">
        <v>127</v>
      </c>
      <c r="AM37" s="17" t="s">
        <v>128</v>
      </c>
      <c r="AN37" s="17" t="s">
        <v>67</v>
      </c>
      <c r="AO37" s="17" t="s">
        <v>105</v>
      </c>
      <c r="AP37" s="17" t="s">
        <v>69</v>
      </c>
      <c r="AQ37" s="17" t="s">
        <v>56</v>
      </c>
      <c r="AR37" s="17"/>
      <c r="AS37" s="18"/>
    </row>
    <row r="38" ht="15.0" customHeight="1">
      <c r="A38" s="9">
        <v>37.0</v>
      </c>
      <c r="B38" s="6" t="s">
        <v>44</v>
      </c>
      <c r="C38" s="10" t="s">
        <v>131</v>
      </c>
      <c r="D38" s="10" t="s">
        <v>388</v>
      </c>
      <c r="E38" s="10" t="s">
        <v>380</v>
      </c>
      <c r="F38" s="10" t="s">
        <v>134</v>
      </c>
      <c r="G38" s="10" t="s">
        <v>374</v>
      </c>
      <c r="H38" s="10" t="s">
        <v>394</v>
      </c>
      <c r="I38" s="10" t="s">
        <v>395</v>
      </c>
      <c r="J38" s="10" t="s">
        <v>396</v>
      </c>
      <c r="K38" s="10" t="s">
        <v>397</v>
      </c>
      <c r="L38" s="10" t="s">
        <v>398</v>
      </c>
      <c r="M38" s="10">
        <v>1.0</v>
      </c>
      <c r="N38" s="10">
        <v>0.5</v>
      </c>
      <c r="O38" s="10">
        <v>0.34831460674157305</v>
      </c>
      <c r="P38" s="10" t="s">
        <v>56</v>
      </c>
      <c r="Q38" s="10">
        <v>23.0</v>
      </c>
      <c r="R38" s="10">
        <v>26.0</v>
      </c>
      <c r="S38" s="10" t="s">
        <v>57</v>
      </c>
      <c r="T38" s="10">
        <v>0.0</v>
      </c>
      <c r="U38" s="10" t="s">
        <v>57</v>
      </c>
      <c r="V38" s="10">
        <v>0.0</v>
      </c>
      <c r="W38" s="10">
        <v>0.0</v>
      </c>
      <c r="X38" s="10">
        <v>2.0</v>
      </c>
      <c r="Y38" s="10" t="s">
        <v>141</v>
      </c>
      <c r="Z38" s="10">
        <v>0.0</v>
      </c>
      <c r="AA38" s="10" t="s">
        <v>57</v>
      </c>
      <c r="AB38" s="10" t="s">
        <v>59</v>
      </c>
      <c r="AC38" s="10" t="s">
        <v>393</v>
      </c>
      <c r="AD38" s="10" t="s">
        <v>387</v>
      </c>
      <c r="AE38" s="10" t="b">
        <v>1</v>
      </c>
      <c r="AF38" s="9" t="s">
        <v>82</v>
      </c>
      <c r="AG38" s="9" t="s">
        <v>152</v>
      </c>
      <c r="AH38" s="9">
        <v>0.0</v>
      </c>
      <c r="AI38" s="9">
        <v>0.2</v>
      </c>
      <c r="AJ38" s="9" t="s">
        <v>103</v>
      </c>
      <c r="AK38" s="9" t="s">
        <v>399</v>
      </c>
      <c r="AL38" s="9" t="s">
        <v>127</v>
      </c>
      <c r="AM38" s="9" t="s">
        <v>400</v>
      </c>
      <c r="AN38" s="9" t="s">
        <v>67</v>
      </c>
      <c r="AO38" s="9" t="s">
        <v>401</v>
      </c>
      <c r="AP38" s="9" t="s">
        <v>69</v>
      </c>
      <c r="AQ38" s="9" t="s">
        <v>56</v>
      </c>
      <c r="AR38" s="9"/>
      <c r="AS38" s="10"/>
    </row>
    <row r="39" ht="15.0" customHeight="1">
      <c r="A39" s="12">
        <v>38.0</v>
      </c>
      <c r="B39" s="6" t="s">
        <v>87</v>
      </c>
      <c r="C39" s="13" t="s">
        <v>402</v>
      </c>
      <c r="D39" s="13" t="s">
        <v>403</v>
      </c>
      <c r="E39" s="13" t="s">
        <v>404</v>
      </c>
      <c r="F39" s="13" t="s">
        <v>405</v>
      </c>
      <c r="G39" s="13" t="s">
        <v>406</v>
      </c>
      <c r="H39" s="8" t="s">
        <v>407</v>
      </c>
      <c r="I39" s="13" t="s">
        <v>408</v>
      </c>
      <c r="J39" s="13" t="s">
        <v>409</v>
      </c>
      <c r="K39" s="13" t="s">
        <v>410</v>
      </c>
      <c r="L39" s="13" t="s">
        <v>411</v>
      </c>
      <c r="M39" s="13">
        <v>0.5</v>
      </c>
      <c r="N39" s="13">
        <v>0.4</v>
      </c>
      <c r="O39" s="13">
        <v>0.07407407407407407</v>
      </c>
      <c r="P39" s="13" t="s">
        <v>56</v>
      </c>
      <c r="Q39" s="13">
        <v>1.0</v>
      </c>
      <c r="R39" s="13">
        <v>19.0</v>
      </c>
      <c r="S39" s="13" t="s">
        <v>412</v>
      </c>
      <c r="T39" s="13">
        <v>1.0</v>
      </c>
      <c r="U39" s="13" t="s">
        <v>412</v>
      </c>
      <c r="V39" s="13">
        <v>1.0</v>
      </c>
      <c r="W39" s="13">
        <v>1.0</v>
      </c>
      <c r="X39" s="13">
        <v>0.0</v>
      </c>
      <c r="Y39" s="13" t="s">
        <v>57</v>
      </c>
      <c r="Z39" s="13">
        <v>0.0</v>
      </c>
      <c r="AA39" s="13" t="s">
        <v>57</v>
      </c>
      <c r="AB39" s="13" t="s">
        <v>413</v>
      </c>
      <c r="AC39" s="13" t="s">
        <v>414</v>
      </c>
      <c r="AD39" s="13" t="s">
        <v>387</v>
      </c>
      <c r="AE39" s="13" t="b">
        <v>1</v>
      </c>
      <c r="AF39" s="12" t="s">
        <v>82</v>
      </c>
      <c r="AG39" s="12" t="s">
        <v>82</v>
      </c>
      <c r="AH39" s="12">
        <v>0.5</v>
      </c>
      <c r="AI39" s="12"/>
      <c r="AJ39" s="12" t="s">
        <v>103</v>
      </c>
      <c r="AK39" s="12" t="s">
        <v>103</v>
      </c>
      <c r="AL39" s="12" t="s">
        <v>143</v>
      </c>
      <c r="AM39" s="12" t="s">
        <v>415</v>
      </c>
      <c r="AN39" s="12" t="s">
        <v>67</v>
      </c>
      <c r="AO39" s="12" t="s">
        <v>416</v>
      </c>
      <c r="AP39" s="12" t="s">
        <v>69</v>
      </c>
      <c r="AQ39" s="12" t="s">
        <v>56</v>
      </c>
      <c r="AR39" s="12"/>
      <c r="AS39" s="13"/>
    </row>
    <row r="40" ht="15.0" customHeight="1">
      <c r="A40" s="12">
        <v>39.0</v>
      </c>
      <c r="B40" s="6" t="s">
        <v>87</v>
      </c>
      <c r="C40" s="13" t="s">
        <v>187</v>
      </c>
      <c r="D40" s="13" t="s">
        <v>417</v>
      </c>
      <c r="E40" s="13" t="s">
        <v>418</v>
      </c>
      <c r="F40" s="13" t="s">
        <v>190</v>
      </c>
      <c r="G40" s="13" t="s">
        <v>419</v>
      </c>
      <c r="H40" s="8" t="s">
        <v>420</v>
      </c>
      <c r="I40" s="13" t="s">
        <v>421</v>
      </c>
      <c r="J40" s="13" t="s">
        <v>194</v>
      </c>
      <c r="K40" s="13" t="s">
        <v>422</v>
      </c>
      <c r="L40" s="13" t="s">
        <v>423</v>
      </c>
      <c r="M40" s="13">
        <v>1.0</v>
      </c>
      <c r="N40" s="13">
        <v>0.5</v>
      </c>
      <c r="O40" s="13">
        <v>0.4198473282442748</v>
      </c>
      <c r="P40" s="13" t="s">
        <v>56</v>
      </c>
      <c r="Q40" s="13">
        <v>0.0</v>
      </c>
      <c r="R40" s="13">
        <v>5.0</v>
      </c>
      <c r="S40" s="13" t="s">
        <v>57</v>
      </c>
      <c r="T40" s="13">
        <v>0.0</v>
      </c>
      <c r="U40" s="13" t="s">
        <v>57</v>
      </c>
      <c r="V40" s="13">
        <v>0.0</v>
      </c>
      <c r="W40" s="13">
        <v>0.0</v>
      </c>
      <c r="X40" s="13">
        <v>0.0</v>
      </c>
      <c r="Y40" s="13" t="s">
        <v>57</v>
      </c>
      <c r="Z40" s="13">
        <v>1.0</v>
      </c>
      <c r="AA40" s="13" t="s">
        <v>197</v>
      </c>
      <c r="AB40" s="13" t="s">
        <v>80</v>
      </c>
      <c r="AC40" s="13" t="s">
        <v>424</v>
      </c>
      <c r="AD40" s="13" t="s">
        <v>425</v>
      </c>
      <c r="AE40" s="13" t="b">
        <v>1</v>
      </c>
      <c r="AF40" s="12" t="s">
        <v>82</v>
      </c>
      <c r="AG40" s="12" t="s">
        <v>82</v>
      </c>
      <c r="AH40" s="12">
        <v>0.2</v>
      </c>
      <c r="AI40" s="12"/>
      <c r="AJ40" s="12" t="s">
        <v>63</v>
      </c>
      <c r="AK40" s="12" t="s">
        <v>64</v>
      </c>
      <c r="AL40" s="12" t="s">
        <v>65</v>
      </c>
      <c r="AM40" s="12" t="s">
        <v>84</v>
      </c>
      <c r="AN40" s="12" t="s">
        <v>67</v>
      </c>
      <c r="AO40" s="12" t="s">
        <v>105</v>
      </c>
      <c r="AP40" s="12" t="s">
        <v>69</v>
      </c>
      <c r="AQ40" s="12" t="s">
        <v>56</v>
      </c>
      <c r="AR40" s="12"/>
      <c r="AS40" s="13"/>
    </row>
    <row r="41" ht="15.0" customHeight="1">
      <c r="A41" s="12">
        <v>40.0</v>
      </c>
      <c r="B41" s="6" t="s">
        <v>87</v>
      </c>
      <c r="C41" s="13" t="s">
        <v>187</v>
      </c>
      <c r="D41" s="13" t="s">
        <v>417</v>
      </c>
      <c r="E41" s="13" t="s">
        <v>418</v>
      </c>
      <c r="F41" s="13" t="s">
        <v>349</v>
      </c>
      <c r="G41" s="13" t="s">
        <v>426</v>
      </c>
      <c r="H41" s="8" t="s">
        <v>427</v>
      </c>
      <c r="I41" s="13" t="s">
        <v>428</v>
      </c>
      <c r="J41" s="13" t="s">
        <v>353</v>
      </c>
      <c r="K41" s="13" t="s">
        <v>429</v>
      </c>
      <c r="L41" s="13" t="s">
        <v>430</v>
      </c>
      <c r="M41" s="13">
        <v>1.0</v>
      </c>
      <c r="N41" s="13">
        <v>0.4</v>
      </c>
      <c r="O41" s="13">
        <v>0.46220302375809935</v>
      </c>
      <c r="P41" s="13" t="s">
        <v>56</v>
      </c>
      <c r="Q41" s="13">
        <v>3.0</v>
      </c>
      <c r="R41" s="13">
        <v>5.0</v>
      </c>
      <c r="S41" s="13" t="s">
        <v>57</v>
      </c>
      <c r="T41" s="13">
        <v>0.0</v>
      </c>
      <c r="U41" s="13" t="s">
        <v>57</v>
      </c>
      <c r="V41" s="13">
        <v>0.0</v>
      </c>
      <c r="W41" s="13">
        <v>0.0</v>
      </c>
      <c r="X41" s="13">
        <v>0.0</v>
      </c>
      <c r="Y41" s="13" t="s">
        <v>57</v>
      </c>
      <c r="Z41" s="13">
        <v>1.0</v>
      </c>
      <c r="AA41" s="13" t="s">
        <v>197</v>
      </c>
      <c r="AB41" s="13" t="s">
        <v>80</v>
      </c>
      <c r="AC41" s="13" t="s">
        <v>424</v>
      </c>
      <c r="AD41" s="13" t="s">
        <v>425</v>
      </c>
      <c r="AE41" s="13" t="b">
        <v>1</v>
      </c>
      <c r="AF41" s="13" t="s">
        <v>347</v>
      </c>
      <c r="AG41" s="13" t="b">
        <v>1</v>
      </c>
      <c r="AH41" s="12" t="s">
        <v>83</v>
      </c>
      <c r="AI41" s="12"/>
      <c r="AJ41" s="12" t="s">
        <v>82</v>
      </c>
      <c r="AK41" s="12">
        <v>0.17</v>
      </c>
      <c r="AL41" s="12" t="s">
        <v>63</v>
      </c>
      <c r="AM41" s="12" t="s">
        <v>64</v>
      </c>
      <c r="AN41" s="12" t="s">
        <v>65</v>
      </c>
      <c r="AO41" s="12" t="s">
        <v>84</v>
      </c>
      <c r="AP41" s="12" t="s">
        <v>67</v>
      </c>
      <c r="AQ41" s="12" t="s">
        <v>105</v>
      </c>
      <c r="AR41" s="12"/>
      <c r="AS41" s="12" t="s">
        <v>69</v>
      </c>
    </row>
    <row r="42" ht="15.0" customHeight="1">
      <c r="A42" s="5">
        <v>41.0</v>
      </c>
      <c r="B42" s="6" t="s">
        <v>44</v>
      </c>
      <c r="C42" s="7" t="s">
        <v>187</v>
      </c>
      <c r="D42" s="7" t="s">
        <v>417</v>
      </c>
      <c r="E42" s="7" t="s">
        <v>418</v>
      </c>
      <c r="F42" s="7" t="s">
        <v>349</v>
      </c>
      <c r="G42" s="7" t="s">
        <v>426</v>
      </c>
      <c r="H42" s="7" t="s">
        <v>431</v>
      </c>
      <c r="I42" s="7" t="s">
        <v>432</v>
      </c>
      <c r="J42" s="7" t="s">
        <v>433</v>
      </c>
      <c r="K42" s="7" t="s">
        <v>434</v>
      </c>
      <c r="L42" s="7" t="s">
        <v>435</v>
      </c>
      <c r="M42" s="7">
        <v>1.0</v>
      </c>
      <c r="N42" s="7">
        <v>0.8</v>
      </c>
      <c r="O42" s="7">
        <v>0.6393088552915767</v>
      </c>
      <c r="P42" s="7" t="s">
        <v>56</v>
      </c>
      <c r="Q42" s="7">
        <v>3.0</v>
      </c>
      <c r="R42" s="7">
        <v>5.0</v>
      </c>
      <c r="S42" s="7" t="s">
        <v>57</v>
      </c>
      <c r="T42" s="7">
        <v>0.0</v>
      </c>
      <c r="U42" s="7" t="s">
        <v>57</v>
      </c>
      <c r="V42" s="7">
        <v>0.0</v>
      </c>
      <c r="W42" s="7">
        <v>0.0</v>
      </c>
      <c r="X42" s="7">
        <v>0.0</v>
      </c>
      <c r="Y42" s="7" t="s">
        <v>57</v>
      </c>
      <c r="Z42" s="7">
        <v>1.0</v>
      </c>
      <c r="AA42" s="7" t="s">
        <v>197</v>
      </c>
      <c r="AB42" s="7" t="s">
        <v>80</v>
      </c>
      <c r="AC42" s="7" t="s">
        <v>424</v>
      </c>
      <c r="AD42" s="7" t="s">
        <v>425</v>
      </c>
      <c r="AE42" s="7" t="b">
        <v>1</v>
      </c>
      <c r="AF42" s="5" t="s">
        <v>62</v>
      </c>
      <c r="AG42" s="5" t="s">
        <v>62</v>
      </c>
      <c r="AH42" s="5">
        <v>0.0</v>
      </c>
      <c r="AI42" s="5">
        <v>0.1</v>
      </c>
      <c r="AJ42" s="5" t="s">
        <v>63</v>
      </c>
      <c r="AK42" s="5" t="s">
        <v>64</v>
      </c>
      <c r="AL42" s="5" t="s">
        <v>65</v>
      </c>
      <c r="AM42" s="5" t="s">
        <v>84</v>
      </c>
      <c r="AN42" s="5" t="s">
        <v>67</v>
      </c>
      <c r="AO42" s="5" t="s">
        <v>85</v>
      </c>
      <c r="AP42" s="5" t="s">
        <v>69</v>
      </c>
      <c r="AQ42" s="5" t="s">
        <v>56</v>
      </c>
      <c r="AR42" s="5"/>
      <c r="AS42" s="7"/>
    </row>
    <row r="43" ht="15.0" customHeight="1">
      <c r="A43" s="12">
        <v>42.0</v>
      </c>
      <c r="B43" s="6" t="s">
        <v>87</v>
      </c>
      <c r="C43" s="13" t="s">
        <v>88</v>
      </c>
      <c r="D43" s="13" t="s">
        <v>417</v>
      </c>
      <c r="E43" s="13" t="s">
        <v>436</v>
      </c>
      <c r="F43" s="13" t="s">
        <v>91</v>
      </c>
      <c r="G43" s="13" t="s">
        <v>437</v>
      </c>
      <c r="H43" s="8" t="s">
        <v>438</v>
      </c>
      <c r="I43" s="13" t="s">
        <v>439</v>
      </c>
      <c r="J43" s="13" t="s">
        <v>95</v>
      </c>
      <c r="K43" s="13" t="s">
        <v>440</v>
      </c>
      <c r="L43" s="13" t="s">
        <v>441</v>
      </c>
      <c r="M43" s="13">
        <v>1.0</v>
      </c>
      <c r="N43" s="13">
        <v>0.4</v>
      </c>
      <c r="O43" s="13">
        <v>0.32894736842105265</v>
      </c>
      <c r="P43" s="13" t="s">
        <v>56</v>
      </c>
      <c r="Q43" s="13">
        <v>1.0</v>
      </c>
      <c r="R43" s="13">
        <v>4.0</v>
      </c>
      <c r="S43" s="13" t="s">
        <v>57</v>
      </c>
      <c r="T43" s="13">
        <v>0.0</v>
      </c>
      <c r="U43" s="13" t="s">
        <v>57</v>
      </c>
      <c r="V43" s="13">
        <v>0.0</v>
      </c>
      <c r="W43" s="13">
        <v>0.0</v>
      </c>
      <c r="X43" s="13">
        <v>1.0</v>
      </c>
      <c r="Y43" s="13" t="s">
        <v>98</v>
      </c>
      <c r="Z43" s="13">
        <v>1.0</v>
      </c>
      <c r="AA43" s="13" t="s">
        <v>99</v>
      </c>
      <c r="AB43" s="13" t="s">
        <v>100</v>
      </c>
      <c r="AC43" s="13" t="s">
        <v>424</v>
      </c>
      <c r="AD43" s="13" t="s">
        <v>425</v>
      </c>
      <c r="AE43" s="13" t="b">
        <v>1</v>
      </c>
      <c r="AF43" s="12" t="s">
        <v>83</v>
      </c>
      <c r="AG43" s="12" t="s">
        <v>82</v>
      </c>
      <c r="AH43" s="12">
        <v>0.2</v>
      </c>
      <c r="AI43" s="12"/>
      <c r="AJ43" s="12" t="s">
        <v>103</v>
      </c>
      <c r="AK43" s="12" t="s">
        <v>104</v>
      </c>
      <c r="AL43" s="12" t="s">
        <v>127</v>
      </c>
      <c r="AM43" s="12" t="s">
        <v>442</v>
      </c>
      <c r="AN43" s="12" t="s">
        <v>67</v>
      </c>
      <c r="AO43" s="12" t="s">
        <v>105</v>
      </c>
      <c r="AP43" s="12" t="s">
        <v>69</v>
      </c>
      <c r="AQ43" s="12" t="s">
        <v>56</v>
      </c>
      <c r="AR43" s="12"/>
      <c r="AS43" s="13"/>
    </row>
    <row r="44" ht="15.0" customHeight="1">
      <c r="A44" s="12">
        <v>43.0</v>
      </c>
      <c r="B44" s="6" t="s">
        <v>87</v>
      </c>
      <c r="C44" s="13" t="s">
        <v>88</v>
      </c>
      <c r="D44" s="13" t="s">
        <v>417</v>
      </c>
      <c r="E44" s="13" t="s">
        <v>436</v>
      </c>
      <c r="F44" s="13" t="s">
        <v>91</v>
      </c>
      <c r="G44" s="13" t="s">
        <v>437</v>
      </c>
      <c r="H44" s="8" t="s">
        <v>443</v>
      </c>
      <c r="I44" s="13" t="s">
        <v>444</v>
      </c>
      <c r="J44" s="13" t="s">
        <v>110</v>
      </c>
      <c r="K44" s="13" t="s">
        <v>445</v>
      </c>
      <c r="L44" s="13" t="s">
        <v>446</v>
      </c>
      <c r="M44" s="13">
        <v>1.0</v>
      </c>
      <c r="N44" s="13">
        <v>0.6</v>
      </c>
      <c r="O44" s="13">
        <v>0.4901315789473684</v>
      </c>
      <c r="P44" s="13" t="s">
        <v>56</v>
      </c>
      <c r="Q44" s="13">
        <v>1.0</v>
      </c>
      <c r="R44" s="13">
        <v>4.0</v>
      </c>
      <c r="S44" s="13" t="s">
        <v>57</v>
      </c>
      <c r="T44" s="13">
        <v>0.0</v>
      </c>
      <c r="U44" s="13" t="s">
        <v>57</v>
      </c>
      <c r="V44" s="13">
        <v>0.0</v>
      </c>
      <c r="W44" s="13">
        <v>0.0</v>
      </c>
      <c r="X44" s="13">
        <v>0.0</v>
      </c>
      <c r="Y44" s="13" t="s">
        <v>57</v>
      </c>
      <c r="Z44" s="13">
        <v>1.0</v>
      </c>
      <c r="AA44" s="13" t="s">
        <v>99</v>
      </c>
      <c r="AB44" s="13" t="s">
        <v>80</v>
      </c>
      <c r="AC44" s="13" t="s">
        <v>424</v>
      </c>
      <c r="AD44" s="13" t="s">
        <v>425</v>
      </c>
      <c r="AE44" s="13" t="b">
        <v>1</v>
      </c>
      <c r="AF44" s="12" t="s">
        <v>83</v>
      </c>
      <c r="AG44" s="12" t="s">
        <v>82</v>
      </c>
      <c r="AH44" s="12">
        <v>0.2</v>
      </c>
      <c r="AI44" s="12"/>
      <c r="AJ44" s="12" t="s">
        <v>103</v>
      </c>
      <c r="AK44" s="12" t="s">
        <v>113</v>
      </c>
      <c r="AL44" s="12" t="s">
        <v>127</v>
      </c>
      <c r="AM44" s="12" t="s">
        <v>84</v>
      </c>
      <c r="AN44" s="12" t="s">
        <v>67</v>
      </c>
      <c r="AO44" s="12" t="s">
        <v>105</v>
      </c>
      <c r="AP44" s="12" t="s">
        <v>69</v>
      </c>
      <c r="AQ44" s="12" t="s">
        <v>56</v>
      </c>
      <c r="AR44" s="12"/>
      <c r="AS44" s="13"/>
    </row>
    <row r="45" ht="15.0" customHeight="1">
      <c r="A45" s="12">
        <v>44.0</v>
      </c>
      <c r="B45" s="6" t="s">
        <v>87</v>
      </c>
      <c r="C45" s="13" t="s">
        <v>45</v>
      </c>
      <c r="D45" s="13" t="s">
        <v>417</v>
      </c>
      <c r="E45" s="13" t="s">
        <v>447</v>
      </c>
      <c r="F45" s="13" t="s">
        <v>117</v>
      </c>
      <c r="G45" s="13" t="s">
        <v>448</v>
      </c>
      <c r="H45" s="8" t="s">
        <v>449</v>
      </c>
      <c r="I45" s="13" t="s">
        <v>450</v>
      </c>
      <c r="J45" s="13" t="s">
        <v>203</v>
      </c>
      <c r="K45" s="13" t="s">
        <v>451</v>
      </c>
      <c r="L45" s="13" t="s">
        <v>452</v>
      </c>
      <c r="M45" s="13">
        <v>1.0</v>
      </c>
      <c r="N45" s="13">
        <v>0.0</v>
      </c>
      <c r="O45" s="13">
        <v>0.21951219512195122</v>
      </c>
      <c r="P45" s="13" t="s">
        <v>56</v>
      </c>
      <c r="Q45" s="13">
        <v>2.0</v>
      </c>
      <c r="R45" s="13">
        <v>18.0</v>
      </c>
      <c r="S45" s="13" t="s">
        <v>57</v>
      </c>
      <c r="T45" s="13">
        <v>0.0</v>
      </c>
      <c r="U45" s="13" t="s">
        <v>57</v>
      </c>
      <c r="V45" s="13">
        <v>0.0</v>
      </c>
      <c r="W45" s="13">
        <v>0.0</v>
      </c>
      <c r="X45" s="13">
        <v>0.0</v>
      </c>
      <c r="Y45" s="13" t="s">
        <v>57</v>
      </c>
      <c r="Z45" s="13">
        <v>0.0</v>
      </c>
      <c r="AA45" s="13" t="s">
        <v>57</v>
      </c>
      <c r="AB45" s="13" t="s">
        <v>124</v>
      </c>
      <c r="AC45" s="13" t="s">
        <v>424</v>
      </c>
      <c r="AD45" s="13" t="s">
        <v>425</v>
      </c>
      <c r="AE45" s="13" t="b">
        <v>1</v>
      </c>
      <c r="AF45" s="12" t="s">
        <v>83</v>
      </c>
      <c r="AG45" s="12" t="s">
        <v>62</v>
      </c>
      <c r="AH45" s="12">
        <v>0.17</v>
      </c>
      <c r="AI45" s="12"/>
      <c r="AJ45" s="12" t="s">
        <v>63</v>
      </c>
      <c r="AK45" s="12" t="s">
        <v>104</v>
      </c>
      <c r="AL45" s="12" t="s">
        <v>65</v>
      </c>
      <c r="AM45" s="12" t="s">
        <v>128</v>
      </c>
      <c r="AN45" s="12" t="s">
        <v>67</v>
      </c>
      <c r="AO45" s="12" t="s">
        <v>105</v>
      </c>
      <c r="AP45" s="12" t="s">
        <v>69</v>
      </c>
      <c r="AQ45" s="12" t="s">
        <v>56</v>
      </c>
      <c r="AR45" s="12"/>
      <c r="AS45" s="13"/>
    </row>
    <row r="46" ht="15.0" customHeight="1">
      <c r="A46" s="12">
        <v>45.0</v>
      </c>
      <c r="B46" s="6" t="s">
        <v>87</v>
      </c>
      <c r="C46" s="13" t="s">
        <v>45</v>
      </c>
      <c r="D46" s="13" t="s">
        <v>417</v>
      </c>
      <c r="E46" s="13" t="s">
        <v>447</v>
      </c>
      <c r="F46" s="13" t="s">
        <v>117</v>
      </c>
      <c r="G46" s="13" t="s">
        <v>448</v>
      </c>
      <c r="H46" s="8" t="s">
        <v>453</v>
      </c>
      <c r="I46" s="13" t="s">
        <v>454</v>
      </c>
      <c r="J46" s="13" t="s">
        <v>203</v>
      </c>
      <c r="K46" s="13" t="s">
        <v>455</v>
      </c>
      <c r="L46" s="13" t="s">
        <v>456</v>
      </c>
      <c r="M46" s="13">
        <v>1.0</v>
      </c>
      <c r="N46" s="13">
        <v>0.0</v>
      </c>
      <c r="O46" s="13">
        <v>0.18699186991869918</v>
      </c>
      <c r="P46" s="13" t="s">
        <v>56</v>
      </c>
      <c r="Q46" s="13">
        <v>2.0</v>
      </c>
      <c r="R46" s="13">
        <v>18.0</v>
      </c>
      <c r="S46" s="13" t="s">
        <v>57</v>
      </c>
      <c r="T46" s="13">
        <v>0.0</v>
      </c>
      <c r="U46" s="13" t="s">
        <v>57</v>
      </c>
      <c r="V46" s="13">
        <v>0.0</v>
      </c>
      <c r="W46" s="13">
        <v>0.0</v>
      </c>
      <c r="X46" s="13">
        <v>0.0</v>
      </c>
      <c r="Y46" s="13" t="s">
        <v>57</v>
      </c>
      <c r="Z46" s="13">
        <v>0.0</v>
      </c>
      <c r="AA46" s="13" t="s">
        <v>57</v>
      </c>
      <c r="AB46" s="13" t="s">
        <v>124</v>
      </c>
      <c r="AC46" s="13" t="s">
        <v>424</v>
      </c>
      <c r="AD46" s="13" t="s">
        <v>425</v>
      </c>
      <c r="AE46" s="13" t="b">
        <v>1</v>
      </c>
      <c r="AF46" s="12" t="s">
        <v>83</v>
      </c>
      <c r="AG46" s="12" t="s">
        <v>62</v>
      </c>
      <c r="AH46" s="12">
        <v>0.17</v>
      </c>
      <c r="AI46" s="12"/>
      <c r="AJ46" s="12" t="s">
        <v>63</v>
      </c>
      <c r="AK46" s="12" t="s">
        <v>64</v>
      </c>
      <c r="AL46" s="12" t="s">
        <v>65</v>
      </c>
      <c r="AM46" s="12" t="s">
        <v>128</v>
      </c>
      <c r="AN46" s="12" t="s">
        <v>67</v>
      </c>
      <c r="AO46" s="12" t="s">
        <v>105</v>
      </c>
      <c r="AP46" s="12" t="s">
        <v>69</v>
      </c>
      <c r="AQ46" s="12" t="s">
        <v>56</v>
      </c>
      <c r="AR46" s="12"/>
      <c r="AS46" s="13"/>
    </row>
    <row r="47" ht="15.0" customHeight="1">
      <c r="A47" s="12">
        <v>46.0</v>
      </c>
      <c r="B47" s="6" t="s">
        <v>87</v>
      </c>
      <c r="C47" s="13" t="s">
        <v>114</v>
      </c>
      <c r="D47" s="13" t="s">
        <v>417</v>
      </c>
      <c r="E47" s="13" t="s">
        <v>457</v>
      </c>
      <c r="F47" s="13" t="s">
        <v>123</v>
      </c>
      <c r="G47" s="13" t="s">
        <v>458</v>
      </c>
      <c r="H47" s="8" t="s">
        <v>459</v>
      </c>
      <c r="I47" s="13" t="s">
        <v>460</v>
      </c>
      <c r="J47" s="13" t="s">
        <v>461</v>
      </c>
      <c r="K47" s="13" t="s">
        <v>462</v>
      </c>
      <c r="L47" s="13" t="s">
        <v>463</v>
      </c>
      <c r="M47" s="13">
        <v>1.0</v>
      </c>
      <c r="N47" s="13">
        <v>0.4</v>
      </c>
      <c r="O47" s="13">
        <v>0.36444444444444446</v>
      </c>
      <c r="P47" s="13" t="s">
        <v>56</v>
      </c>
      <c r="Q47" s="13">
        <v>3.0</v>
      </c>
      <c r="R47" s="13">
        <v>11.0</v>
      </c>
      <c r="S47" s="13" t="s">
        <v>57</v>
      </c>
      <c r="T47" s="13">
        <v>0.0</v>
      </c>
      <c r="U47" s="13" t="s">
        <v>57</v>
      </c>
      <c r="V47" s="13">
        <v>0.0</v>
      </c>
      <c r="W47" s="13">
        <v>0.0</v>
      </c>
      <c r="X47" s="13">
        <v>0.0</v>
      </c>
      <c r="Y47" s="13" t="s">
        <v>57</v>
      </c>
      <c r="Z47" s="13">
        <v>2.0</v>
      </c>
      <c r="AA47" s="13" t="s">
        <v>464</v>
      </c>
      <c r="AB47" s="13" t="s">
        <v>80</v>
      </c>
      <c r="AC47" s="13" t="s">
        <v>424</v>
      </c>
      <c r="AD47" s="13" t="s">
        <v>425</v>
      </c>
      <c r="AE47" s="13" t="b">
        <v>1</v>
      </c>
      <c r="AF47" s="12" t="s">
        <v>126</v>
      </c>
      <c r="AG47" s="12" t="s">
        <v>82</v>
      </c>
      <c r="AH47" s="12">
        <v>0.4</v>
      </c>
      <c r="AI47" s="12"/>
      <c r="AJ47" s="12" t="s">
        <v>103</v>
      </c>
      <c r="AK47" s="12" t="s">
        <v>64</v>
      </c>
      <c r="AL47" s="12" t="s">
        <v>127</v>
      </c>
      <c r="AM47" s="12" t="s">
        <v>128</v>
      </c>
      <c r="AN47" s="12" t="s">
        <v>67</v>
      </c>
      <c r="AO47" s="12" t="s">
        <v>105</v>
      </c>
      <c r="AP47" s="12" t="s">
        <v>186</v>
      </c>
      <c r="AQ47" s="12" t="s">
        <v>465</v>
      </c>
      <c r="AR47" s="12"/>
      <c r="AS47" s="13"/>
    </row>
    <row r="48" ht="15.0" customHeight="1">
      <c r="A48" s="12">
        <v>47.0</v>
      </c>
      <c r="B48" s="6" t="s">
        <v>87</v>
      </c>
      <c r="C48" s="13" t="s">
        <v>114</v>
      </c>
      <c r="D48" s="13" t="s">
        <v>417</v>
      </c>
      <c r="E48" s="13" t="s">
        <v>457</v>
      </c>
      <c r="F48" s="13" t="s">
        <v>48</v>
      </c>
      <c r="G48" s="13" t="s">
        <v>466</v>
      </c>
      <c r="H48" s="8" t="s">
        <v>467</v>
      </c>
      <c r="I48" s="13" t="s">
        <v>468</v>
      </c>
      <c r="J48" s="13" t="s">
        <v>469</v>
      </c>
      <c r="K48" s="13" t="s">
        <v>470</v>
      </c>
      <c r="L48" s="13" t="s">
        <v>54</v>
      </c>
      <c r="M48" s="13">
        <v>1.0</v>
      </c>
      <c r="N48" s="13">
        <v>0.7213114754098361</v>
      </c>
      <c r="O48" s="13">
        <v>0.6871938418474458</v>
      </c>
      <c r="P48" s="13" t="s">
        <v>56</v>
      </c>
      <c r="Q48" s="13">
        <v>2.0</v>
      </c>
      <c r="R48" s="13">
        <v>11.0</v>
      </c>
      <c r="S48" s="13" t="s">
        <v>57</v>
      </c>
      <c r="T48" s="13">
        <v>0.0</v>
      </c>
      <c r="U48" s="13" t="s">
        <v>57</v>
      </c>
      <c r="V48" s="13">
        <v>0.0</v>
      </c>
      <c r="W48" s="13">
        <v>0.0</v>
      </c>
      <c r="X48" s="13">
        <v>2.0</v>
      </c>
      <c r="Y48" s="13" t="s">
        <v>464</v>
      </c>
      <c r="Z48" s="13">
        <v>0.0</v>
      </c>
      <c r="AA48" s="13" t="s">
        <v>57</v>
      </c>
      <c r="AB48" s="13" t="s">
        <v>59</v>
      </c>
      <c r="AC48" s="13" t="s">
        <v>424</v>
      </c>
      <c r="AD48" s="13" t="s">
        <v>425</v>
      </c>
      <c r="AE48" s="13" t="b">
        <v>1</v>
      </c>
      <c r="AF48" s="12" t="s">
        <v>126</v>
      </c>
      <c r="AG48" s="12" t="s">
        <v>126</v>
      </c>
      <c r="AH48" s="12">
        <v>0.4</v>
      </c>
      <c r="AI48" s="12"/>
      <c r="AJ48" s="12" t="s">
        <v>103</v>
      </c>
      <c r="AK48" s="12" t="s">
        <v>64</v>
      </c>
      <c r="AL48" s="12" t="s">
        <v>127</v>
      </c>
      <c r="AM48" s="12" t="s">
        <v>66</v>
      </c>
      <c r="AN48" s="12" t="s">
        <v>67</v>
      </c>
      <c r="AO48" s="12" t="s">
        <v>105</v>
      </c>
      <c r="AP48" s="12" t="s">
        <v>129</v>
      </c>
      <c r="AQ48" s="12" t="s">
        <v>56</v>
      </c>
      <c r="AR48" s="12"/>
      <c r="AS48" s="13"/>
    </row>
    <row r="49" ht="15.0" customHeight="1">
      <c r="A49" s="12">
        <v>48.0</v>
      </c>
      <c r="B49" s="6" t="s">
        <v>87</v>
      </c>
      <c r="C49" s="13" t="s">
        <v>471</v>
      </c>
      <c r="D49" s="13" t="s">
        <v>417</v>
      </c>
      <c r="E49" s="13" t="s">
        <v>472</v>
      </c>
      <c r="F49" s="13" t="s">
        <v>473</v>
      </c>
      <c r="G49" s="13" t="s">
        <v>474</v>
      </c>
      <c r="H49" s="8" t="s">
        <v>475</v>
      </c>
      <c r="I49" s="13" t="s">
        <v>476</v>
      </c>
      <c r="J49" s="13" t="s">
        <v>477</v>
      </c>
      <c r="K49" s="13" t="s">
        <v>478</v>
      </c>
      <c r="L49" s="13" t="s">
        <v>479</v>
      </c>
      <c r="M49" s="13">
        <v>0.75</v>
      </c>
      <c r="N49" s="13">
        <v>0.14285714285714285</v>
      </c>
      <c r="O49" s="13">
        <v>0.19525065963060687</v>
      </c>
      <c r="P49" s="13" t="s">
        <v>56</v>
      </c>
      <c r="Q49" s="13">
        <v>0.0</v>
      </c>
      <c r="R49" s="13">
        <v>1.0</v>
      </c>
      <c r="S49" s="13" t="s">
        <v>480</v>
      </c>
      <c r="T49" s="13">
        <v>1.0</v>
      </c>
      <c r="U49" s="13" t="s">
        <v>481</v>
      </c>
      <c r="V49" s="13">
        <v>1.0</v>
      </c>
      <c r="W49" s="13">
        <v>1.0</v>
      </c>
      <c r="X49" s="13">
        <v>0.0</v>
      </c>
      <c r="Y49" s="13" t="s">
        <v>57</v>
      </c>
      <c r="Z49" s="13">
        <v>0.0</v>
      </c>
      <c r="AA49" s="13" t="s">
        <v>57</v>
      </c>
      <c r="AB49" s="13" t="s">
        <v>482</v>
      </c>
      <c r="AC49" s="13" t="s">
        <v>424</v>
      </c>
      <c r="AD49" s="13" t="s">
        <v>425</v>
      </c>
      <c r="AE49" s="13" t="b">
        <v>1</v>
      </c>
      <c r="AF49" s="12" t="s">
        <v>126</v>
      </c>
      <c r="AG49" s="12" t="s">
        <v>184</v>
      </c>
      <c r="AH49" s="12">
        <v>0.5</v>
      </c>
      <c r="AI49" s="12"/>
      <c r="AJ49" s="12" t="s">
        <v>103</v>
      </c>
      <c r="AK49" s="12" t="s">
        <v>64</v>
      </c>
      <c r="AL49" s="12" t="s">
        <v>127</v>
      </c>
      <c r="AM49" s="12" t="s">
        <v>128</v>
      </c>
      <c r="AN49" s="12" t="s">
        <v>67</v>
      </c>
      <c r="AO49" s="12" t="s">
        <v>483</v>
      </c>
      <c r="AP49" s="12" t="s">
        <v>129</v>
      </c>
      <c r="AQ49" s="12" t="s">
        <v>484</v>
      </c>
      <c r="AR49" s="12"/>
      <c r="AS49" s="13"/>
    </row>
    <row r="50" ht="15.0" customHeight="1">
      <c r="A50" s="12">
        <v>49.0</v>
      </c>
      <c r="B50" s="6" t="s">
        <v>87</v>
      </c>
      <c r="C50" s="13" t="s">
        <v>153</v>
      </c>
      <c r="D50" s="13" t="s">
        <v>485</v>
      </c>
      <c r="E50" s="13" t="s">
        <v>486</v>
      </c>
      <c r="F50" s="13" t="s">
        <v>228</v>
      </c>
      <c r="G50" s="13" t="s">
        <v>487</v>
      </c>
      <c r="H50" s="8" t="s">
        <v>488</v>
      </c>
      <c r="I50" s="13" t="s">
        <v>489</v>
      </c>
      <c r="J50" s="13" t="s">
        <v>490</v>
      </c>
      <c r="K50" s="13" t="s">
        <v>491</v>
      </c>
      <c r="L50" s="13" t="s">
        <v>492</v>
      </c>
      <c r="M50" s="13">
        <v>1.0</v>
      </c>
      <c r="N50" s="13">
        <v>0.5</v>
      </c>
      <c r="O50" s="13">
        <v>0.48360655737704916</v>
      </c>
      <c r="P50" s="13" t="s">
        <v>56</v>
      </c>
      <c r="Q50" s="13">
        <v>5.0</v>
      </c>
      <c r="R50" s="13">
        <v>18.0</v>
      </c>
      <c r="S50" s="13" t="s">
        <v>57</v>
      </c>
      <c r="T50" s="13">
        <v>0.0</v>
      </c>
      <c r="U50" s="13" t="s">
        <v>57</v>
      </c>
      <c r="V50" s="13">
        <v>0.0</v>
      </c>
      <c r="W50" s="13">
        <v>0.0</v>
      </c>
      <c r="X50" s="13">
        <v>1.0</v>
      </c>
      <c r="Y50" s="13" t="s">
        <v>163</v>
      </c>
      <c r="Z50" s="13">
        <v>0.0</v>
      </c>
      <c r="AA50" s="13" t="s">
        <v>57</v>
      </c>
      <c r="AB50" s="13" t="s">
        <v>59</v>
      </c>
      <c r="AC50" s="13" t="s">
        <v>493</v>
      </c>
      <c r="AD50" s="13" t="s">
        <v>494</v>
      </c>
      <c r="AE50" s="13" t="b">
        <v>1</v>
      </c>
      <c r="AF50" s="12" t="s">
        <v>82</v>
      </c>
      <c r="AG50" s="12" t="s">
        <v>126</v>
      </c>
      <c r="AH50" s="12">
        <v>0.25</v>
      </c>
      <c r="AI50" s="12"/>
      <c r="AJ50" s="12" t="s">
        <v>63</v>
      </c>
      <c r="AK50" s="12" t="s">
        <v>64</v>
      </c>
      <c r="AL50" s="12" t="s">
        <v>65</v>
      </c>
      <c r="AM50" s="12" t="s">
        <v>66</v>
      </c>
      <c r="AN50" s="12" t="s">
        <v>67</v>
      </c>
      <c r="AO50" s="12" t="s">
        <v>105</v>
      </c>
      <c r="AP50" s="12" t="s">
        <v>69</v>
      </c>
      <c r="AQ50" s="12" t="s">
        <v>56</v>
      </c>
      <c r="AR50" s="12"/>
      <c r="AS50" s="13"/>
    </row>
    <row r="51" ht="15.75" customHeight="1">
      <c r="A51" s="20">
        <v>50.0</v>
      </c>
      <c r="B51" s="6" t="s">
        <v>87</v>
      </c>
      <c r="C51" s="21" t="s">
        <v>153</v>
      </c>
      <c r="D51" s="21" t="s">
        <v>495</v>
      </c>
      <c r="E51" s="21" t="s">
        <v>247</v>
      </c>
      <c r="F51" s="21" t="s">
        <v>496</v>
      </c>
      <c r="G51" s="21" t="s">
        <v>497</v>
      </c>
      <c r="H51" s="21" t="s">
        <v>498</v>
      </c>
      <c r="I51" s="21" t="s">
        <v>499</v>
      </c>
      <c r="J51" s="21" t="s">
        <v>500</v>
      </c>
      <c r="K51" s="21" t="s">
        <v>501</v>
      </c>
      <c r="L51" s="21" t="s">
        <v>502</v>
      </c>
      <c r="M51" s="22">
        <v>1.0</v>
      </c>
      <c r="N51" s="21" t="s">
        <v>503</v>
      </c>
      <c r="O51" s="22">
        <v>0.322394</v>
      </c>
      <c r="P51" s="23"/>
      <c r="Q51" s="22">
        <v>0.0</v>
      </c>
      <c r="R51" s="22">
        <v>14.0</v>
      </c>
      <c r="S51" s="21" t="s">
        <v>57</v>
      </c>
      <c r="T51" s="22">
        <v>0.0</v>
      </c>
      <c r="U51" s="21" t="s">
        <v>504</v>
      </c>
      <c r="V51" s="22">
        <v>0.0</v>
      </c>
      <c r="W51" s="21" t="s">
        <v>504</v>
      </c>
      <c r="X51" s="22">
        <v>0.0</v>
      </c>
      <c r="Y51" s="21" t="s">
        <v>504</v>
      </c>
      <c r="Z51" s="22">
        <v>0.0</v>
      </c>
      <c r="AA51" s="21" t="s">
        <v>504</v>
      </c>
      <c r="AB51" s="21" t="s">
        <v>504</v>
      </c>
      <c r="AC51" s="21" t="s">
        <v>505</v>
      </c>
      <c r="AD51" s="21" t="s">
        <v>102</v>
      </c>
      <c r="AE51" s="24" t="b">
        <v>1</v>
      </c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6"/>
      <c r="AQ51" s="25"/>
      <c r="AR51" s="25"/>
      <c r="AS51" s="25"/>
    </row>
    <row r="52" ht="15.75" customHeight="1">
      <c r="A52" s="20">
        <v>51.0</v>
      </c>
      <c r="B52" s="6" t="s">
        <v>87</v>
      </c>
      <c r="C52" s="21" t="s">
        <v>506</v>
      </c>
      <c r="D52" s="21" t="s">
        <v>507</v>
      </c>
      <c r="E52" s="21" t="s">
        <v>508</v>
      </c>
      <c r="F52" s="21" t="s">
        <v>509</v>
      </c>
      <c r="G52" s="21" t="s">
        <v>510</v>
      </c>
      <c r="H52" s="21" t="s">
        <v>511</v>
      </c>
      <c r="I52" s="21" t="s">
        <v>512</v>
      </c>
      <c r="J52" s="21" t="s">
        <v>513</v>
      </c>
      <c r="K52" s="21" t="s">
        <v>514</v>
      </c>
      <c r="L52" s="21" t="s">
        <v>515</v>
      </c>
      <c r="M52" s="22">
        <v>0.923077</v>
      </c>
      <c r="N52" s="21" t="s">
        <v>503</v>
      </c>
      <c r="O52" s="22">
        <v>0.010978</v>
      </c>
      <c r="P52" s="23"/>
      <c r="Q52" s="22">
        <v>0.0</v>
      </c>
      <c r="R52" s="22">
        <v>5.0</v>
      </c>
      <c r="S52" s="21" t="s">
        <v>516</v>
      </c>
      <c r="T52" s="22">
        <v>0.0</v>
      </c>
      <c r="U52" s="21" t="s">
        <v>504</v>
      </c>
      <c r="V52" s="22">
        <v>0.0</v>
      </c>
      <c r="W52" s="21" t="s">
        <v>504</v>
      </c>
      <c r="X52" s="22">
        <v>0.0</v>
      </c>
      <c r="Y52" s="21" t="s">
        <v>504</v>
      </c>
      <c r="Z52" s="22">
        <v>0.0</v>
      </c>
      <c r="AA52" s="21" t="s">
        <v>504</v>
      </c>
      <c r="AB52" s="21" t="s">
        <v>504</v>
      </c>
      <c r="AC52" s="21" t="s">
        <v>517</v>
      </c>
      <c r="AD52" s="21" t="s">
        <v>518</v>
      </c>
      <c r="AE52" s="24" t="b">
        <v>1</v>
      </c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6"/>
      <c r="AQ52" s="25"/>
      <c r="AR52" s="25"/>
      <c r="AS52" s="25"/>
    </row>
    <row r="53" ht="15.75" customHeight="1">
      <c r="H53" s="8"/>
      <c r="AP53" s="27"/>
    </row>
    <row r="54" ht="15.75" customHeight="1">
      <c r="H54" s="8"/>
      <c r="AP54" s="27"/>
    </row>
    <row r="55" ht="15.75" customHeight="1">
      <c r="H55" s="8"/>
      <c r="AP55" s="27"/>
    </row>
    <row r="56" ht="15.75" customHeight="1">
      <c r="H56" s="8"/>
      <c r="AP56" s="27"/>
    </row>
    <row r="57" ht="15.75" customHeight="1">
      <c r="H57" s="8"/>
      <c r="AP57" s="27"/>
    </row>
    <row r="58" ht="15.75" customHeight="1">
      <c r="H58" s="8"/>
      <c r="AP58" s="27"/>
    </row>
    <row r="59" ht="15.75" customHeight="1">
      <c r="H59" s="8"/>
      <c r="AP59" s="27"/>
    </row>
    <row r="60" ht="15.75" customHeight="1">
      <c r="H60" s="8"/>
      <c r="AP60" s="27"/>
    </row>
    <row r="61" ht="15.75" customHeight="1">
      <c r="H61" s="8"/>
      <c r="AP61" s="27"/>
    </row>
    <row r="62" ht="15.75" customHeight="1">
      <c r="H62" s="8"/>
      <c r="AP62" s="27"/>
    </row>
    <row r="63" ht="15.75" customHeight="1">
      <c r="H63" s="8"/>
      <c r="AP63" s="27"/>
    </row>
    <row r="64" ht="15.75" customHeight="1">
      <c r="H64" s="8"/>
      <c r="AP64" s="27"/>
    </row>
    <row r="65" ht="15.75" customHeight="1">
      <c r="H65" s="8"/>
      <c r="AP65" s="27"/>
    </row>
    <row r="66" ht="15.75" customHeight="1">
      <c r="H66" s="8"/>
      <c r="AP66" s="27"/>
    </row>
    <row r="67" ht="15.75" customHeight="1">
      <c r="H67" s="8"/>
      <c r="AP67" s="27"/>
    </row>
    <row r="68" ht="15.75" customHeight="1">
      <c r="H68" s="8"/>
      <c r="AP68" s="27"/>
    </row>
    <row r="69" ht="15.75" customHeight="1">
      <c r="H69" s="8"/>
      <c r="AP69" s="27"/>
    </row>
    <row r="70" ht="15.75" customHeight="1">
      <c r="H70" s="8"/>
      <c r="AP70" s="27"/>
    </row>
    <row r="71" ht="15.75" customHeight="1">
      <c r="H71" s="8"/>
      <c r="AP71" s="27"/>
    </row>
    <row r="72" ht="15.75" customHeight="1">
      <c r="H72" s="8"/>
      <c r="AP72" s="27"/>
    </row>
    <row r="73" ht="15.75" customHeight="1">
      <c r="H73" s="8"/>
      <c r="AP73" s="27"/>
    </row>
    <row r="74" ht="15.75" customHeight="1">
      <c r="H74" s="8"/>
      <c r="AP74" s="27"/>
    </row>
    <row r="75" ht="15.75" customHeight="1">
      <c r="H75" s="8"/>
      <c r="AP75" s="27"/>
    </row>
    <row r="76" ht="15.75" customHeight="1">
      <c r="H76" s="8"/>
      <c r="AP76" s="27"/>
    </row>
    <row r="77" ht="15.75" customHeight="1">
      <c r="H77" s="8"/>
      <c r="AP77" s="27"/>
    </row>
    <row r="78" ht="15.75" customHeight="1">
      <c r="H78" s="8"/>
      <c r="AP78" s="27"/>
    </row>
    <row r="79" ht="15.75" customHeight="1">
      <c r="H79" s="8"/>
      <c r="AP79" s="27"/>
    </row>
    <row r="80" ht="15.75" customHeight="1">
      <c r="H80" s="8"/>
      <c r="AP80" s="27"/>
    </row>
    <row r="81" ht="15.75" customHeight="1">
      <c r="H81" s="8"/>
      <c r="AP81" s="27"/>
    </row>
    <row r="82" ht="15.75" customHeight="1">
      <c r="H82" s="8"/>
      <c r="AP82" s="27"/>
    </row>
    <row r="83" ht="15.75" customHeight="1">
      <c r="H83" s="8"/>
      <c r="AP83" s="27"/>
    </row>
    <row r="84" ht="15.75" customHeight="1">
      <c r="H84" s="8"/>
      <c r="AP84" s="27"/>
    </row>
    <row r="85" ht="15.75" customHeight="1">
      <c r="H85" s="8"/>
      <c r="AP85" s="27"/>
    </row>
    <row r="86" ht="15.75" customHeight="1">
      <c r="H86" s="8"/>
      <c r="AP86" s="27"/>
    </row>
    <row r="87" ht="15.75" customHeight="1">
      <c r="H87" s="8"/>
      <c r="AP87" s="27"/>
    </row>
    <row r="88" ht="15.75" customHeight="1">
      <c r="H88" s="8"/>
      <c r="AP88" s="27"/>
    </row>
    <row r="89" ht="15.75" customHeight="1">
      <c r="H89" s="8"/>
      <c r="AP89" s="27"/>
    </row>
    <row r="90" ht="15.75" customHeight="1">
      <c r="H90" s="8"/>
      <c r="AP90" s="27"/>
    </row>
    <row r="91" ht="15.75" customHeight="1">
      <c r="H91" s="8"/>
      <c r="AP91" s="27"/>
    </row>
    <row r="92" ht="15.75" customHeight="1">
      <c r="H92" s="8"/>
      <c r="AP92" s="27"/>
    </row>
    <row r="93" ht="15.75" customHeight="1">
      <c r="H93" s="8"/>
      <c r="AP93" s="27"/>
    </row>
    <row r="94" ht="15.75" customHeight="1">
      <c r="H94" s="8"/>
      <c r="AP94" s="27"/>
    </row>
    <row r="95" ht="15.75" customHeight="1">
      <c r="H95" s="8"/>
      <c r="AP95" s="27"/>
    </row>
    <row r="96" ht="15.75" customHeight="1">
      <c r="H96" s="8"/>
      <c r="AP96" s="27"/>
    </row>
    <row r="97" ht="15.75" customHeight="1">
      <c r="H97" s="8"/>
      <c r="AP97" s="27"/>
    </row>
    <row r="98" ht="15.75" customHeight="1">
      <c r="H98" s="8"/>
      <c r="AP98" s="27"/>
    </row>
    <row r="99" ht="15.75" customHeight="1">
      <c r="H99" s="8"/>
      <c r="AP99" s="27"/>
    </row>
    <row r="100" ht="15.75" customHeight="1">
      <c r="H100" s="8"/>
      <c r="AP100" s="27"/>
    </row>
    <row r="101" ht="15.75" customHeight="1">
      <c r="H101" s="8"/>
      <c r="AP101" s="27"/>
    </row>
    <row r="102" ht="15.75" customHeight="1">
      <c r="H102" s="8"/>
      <c r="AP102" s="27"/>
    </row>
    <row r="103" ht="15.75" customHeight="1">
      <c r="H103" s="8"/>
      <c r="AP103" s="27"/>
    </row>
    <row r="104" ht="15.75" customHeight="1">
      <c r="H104" s="8"/>
      <c r="AP104" s="27"/>
    </row>
    <row r="105" ht="15.75" customHeight="1">
      <c r="H105" s="8"/>
      <c r="AP105" s="27"/>
    </row>
    <row r="106" ht="15.75" customHeight="1">
      <c r="H106" s="8"/>
      <c r="AP106" s="27"/>
    </row>
    <row r="107" ht="15.75" customHeight="1">
      <c r="H107" s="8"/>
      <c r="AP107" s="27"/>
    </row>
    <row r="108" ht="15.75" customHeight="1">
      <c r="H108" s="8"/>
      <c r="AP108" s="27"/>
    </row>
    <row r="109" ht="15.75" customHeight="1">
      <c r="H109" s="8"/>
      <c r="AP109" s="27"/>
    </row>
    <row r="110" ht="15.75" customHeight="1">
      <c r="H110" s="8"/>
      <c r="AP110" s="27"/>
    </row>
    <row r="111" ht="15.75" customHeight="1">
      <c r="H111" s="8"/>
      <c r="AP111" s="27"/>
    </row>
    <row r="112" ht="15.75" customHeight="1">
      <c r="H112" s="8"/>
      <c r="AP112" s="27"/>
    </row>
    <row r="113" ht="15.75" customHeight="1">
      <c r="H113" s="8"/>
      <c r="AP113" s="27"/>
    </row>
    <row r="114" ht="15.75" customHeight="1">
      <c r="H114" s="8"/>
      <c r="AP114" s="27"/>
    </row>
    <row r="115" ht="15.75" customHeight="1">
      <c r="H115" s="8"/>
      <c r="AP115" s="27"/>
    </row>
    <row r="116" ht="15.75" customHeight="1">
      <c r="H116" s="8"/>
      <c r="AP116" s="27"/>
    </row>
    <row r="117" ht="15.75" customHeight="1">
      <c r="H117" s="8"/>
      <c r="AP117" s="27"/>
    </row>
    <row r="118" ht="15.75" customHeight="1">
      <c r="H118" s="8"/>
      <c r="AP118" s="27"/>
    </row>
    <row r="119" ht="15.75" customHeight="1">
      <c r="H119" s="8"/>
      <c r="AP119" s="27"/>
    </row>
    <row r="120" ht="15.75" customHeight="1">
      <c r="H120" s="8"/>
      <c r="AP120" s="27"/>
    </row>
    <row r="121" ht="15.75" customHeight="1">
      <c r="H121" s="8"/>
      <c r="AP121" s="27"/>
    </row>
    <row r="122" ht="15.75" customHeight="1">
      <c r="H122" s="8"/>
      <c r="AP122" s="27"/>
    </row>
    <row r="123" ht="15.75" customHeight="1">
      <c r="H123" s="8"/>
      <c r="AP123" s="27"/>
    </row>
    <row r="124" ht="15.75" customHeight="1">
      <c r="H124" s="8"/>
      <c r="AP124" s="27"/>
    </row>
    <row r="125" ht="15.75" customHeight="1">
      <c r="H125" s="8"/>
      <c r="AP125" s="27"/>
    </row>
    <row r="126" ht="15.75" customHeight="1">
      <c r="H126" s="8"/>
      <c r="AP126" s="27"/>
    </row>
    <row r="127" ht="15.75" customHeight="1">
      <c r="H127" s="8"/>
      <c r="AP127" s="27"/>
    </row>
    <row r="128" ht="15.75" customHeight="1">
      <c r="H128" s="8"/>
      <c r="AP128" s="27"/>
    </row>
    <row r="129" ht="15.75" customHeight="1">
      <c r="H129" s="8"/>
      <c r="AP129" s="27"/>
    </row>
    <row r="130" ht="15.75" customHeight="1">
      <c r="H130" s="8"/>
      <c r="AP130" s="27"/>
    </row>
    <row r="131" ht="15.75" customHeight="1">
      <c r="H131" s="8"/>
      <c r="AP131" s="27"/>
    </row>
    <row r="132" ht="15.75" customHeight="1">
      <c r="H132" s="8"/>
      <c r="AP132" s="27"/>
    </row>
    <row r="133" ht="15.75" customHeight="1">
      <c r="H133" s="8"/>
      <c r="AP133" s="27"/>
    </row>
    <row r="134" ht="15.75" customHeight="1">
      <c r="H134" s="8"/>
      <c r="AP134" s="27"/>
    </row>
    <row r="135" ht="15.75" customHeight="1">
      <c r="H135" s="8"/>
      <c r="AP135" s="27"/>
    </row>
    <row r="136" ht="15.75" customHeight="1">
      <c r="H136" s="8"/>
      <c r="AP136" s="27"/>
    </row>
    <row r="137" ht="15.75" customHeight="1">
      <c r="H137" s="8"/>
      <c r="AP137" s="27"/>
    </row>
    <row r="138" ht="15.75" customHeight="1">
      <c r="H138" s="8"/>
      <c r="AP138" s="27"/>
    </row>
    <row r="139" ht="15.75" customHeight="1">
      <c r="H139" s="8"/>
      <c r="AP139" s="27"/>
    </row>
    <row r="140" ht="15.75" customHeight="1">
      <c r="H140" s="8"/>
      <c r="AP140" s="27"/>
    </row>
    <row r="141" ht="15.75" customHeight="1">
      <c r="H141" s="8"/>
      <c r="AP141" s="27"/>
    </row>
    <row r="142" ht="15.75" customHeight="1">
      <c r="H142" s="8"/>
      <c r="AP142" s="27"/>
    </row>
    <row r="143" ht="15.75" customHeight="1">
      <c r="H143" s="8"/>
      <c r="AP143" s="27"/>
    </row>
    <row r="144" ht="15.75" customHeight="1">
      <c r="H144" s="8"/>
      <c r="AP144" s="27"/>
    </row>
    <row r="145" ht="15.75" customHeight="1">
      <c r="H145" s="8"/>
      <c r="AP145" s="27"/>
    </row>
    <row r="146" ht="15.75" customHeight="1">
      <c r="H146" s="8"/>
      <c r="AP146" s="27"/>
    </row>
    <row r="147" ht="15.75" customHeight="1">
      <c r="H147" s="8"/>
      <c r="AP147" s="27"/>
    </row>
    <row r="148" ht="15.75" customHeight="1">
      <c r="H148" s="8"/>
      <c r="AP148" s="27"/>
    </row>
    <row r="149" ht="15.75" customHeight="1">
      <c r="H149" s="8"/>
      <c r="AP149" s="27"/>
    </row>
    <row r="150" ht="15.75" customHeight="1">
      <c r="H150" s="8"/>
      <c r="AP150" s="27"/>
    </row>
    <row r="151" ht="15.75" customHeight="1">
      <c r="H151" s="8"/>
      <c r="AP151" s="27"/>
    </row>
    <row r="152" ht="15.75" customHeight="1">
      <c r="H152" s="8"/>
      <c r="AP152" s="27"/>
    </row>
    <row r="153" ht="15.75" customHeight="1">
      <c r="H153" s="8"/>
      <c r="AP153" s="27"/>
    </row>
    <row r="154" ht="15.75" customHeight="1">
      <c r="H154" s="8"/>
      <c r="AP154" s="27"/>
    </row>
    <row r="155" ht="15.75" customHeight="1">
      <c r="H155" s="8"/>
      <c r="AP155" s="27"/>
    </row>
    <row r="156" ht="15.75" customHeight="1">
      <c r="H156" s="8"/>
      <c r="AP156" s="27"/>
    </row>
    <row r="157" ht="15.75" customHeight="1">
      <c r="H157" s="8"/>
      <c r="AP157" s="27"/>
    </row>
    <row r="158" ht="15.75" customHeight="1">
      <c r="H158" s="8"/>
      <c r="AP158" s="27"/>
    </row>
    <row r="159" ht="15.75" customHeight="1">
      <c r="H159" s="8"/>
      <c r="AP159" s="27"/>
    </row>
    <row r="160" ht="15.75" customHeight="1">
      <c r="H160" s="8"/>
      <c r="AP160" s="27"/>
    </row>
    <row r="161" ht="15.75" customHeight="1">
      <c r="H161" s="8"/>
      <c r="AP161" s="27"/>
    </row>
    <row r="162" ht="15.75" customHeight="1">
      <c r="H162" s="8"/>
      <c r="AP162" s="27"/>
    </row>
    <row r="163" ht="15.75" customHeight="1">
      <c r="H163" s="8"/>
      <c r="AP163" s="27"/>
    </row>
    <row r="164" ht="15.75" customHeight="1">
      <c r="H164" s="8"/>
      <c r="AP164" s="27"/>
    </row>
    <row r="165" ht="15.75" customHeight="1">
      <c r="H165" s="8"/>
      <c r="AP165" s="27"/>
    </row>
    <row r="166" ht="15.75" customHeight="1">
      <c r="H166" s="8"/>
      <c r="AP166" s="27"/>
    </row>
    <row r="167" ht="15.75" customHeight="1">
      <c r="H167" s="8"/>
      <c r="AP167" s="27"/>
    </row>
    <row r="168" ht="15.75" customHeight="1">
      <c r="H168" s="8"/>
      <c r="AP168" s="27"/>
    </row>
    <row r="169" ht="15.75" customHeight="1">
      <c r="H169" s="8"/>
      <c r="AP169" s="27"/>
    </row>
    <row r="170" ht="15.75" customHeight="1">
      <c r="H170" s="8"/>
      <c r="AP170" s="27"/>
    </row>
    <row r="171" ht="15.75" customHeight="1">
      <c r="H171" s="8"/>
      <c r="AP171" s="27"/>
    </row>
    <row r="172" ht="15.75" customHeight="1">
      <c r="H172" s="8"/>
      <c r="AP172" s="27"/>
    </row>
    <row r="173" ht="15.75" customHeight="1">
      <c r="H173" s="8"/>
      <c r="AP173" s="27"/>
    </row>
    <row r="174" ht="15.75" customHeight="1">
      <c r="H174" s="8"/>
      <c r="AP174" s="27"/>
    </row>
    <row r="175" ht="15.75" customHeight="1">
      <c r="H175" s="8"/>
      <c r="AP175" s="27"/>
    </row>
    <row r="176" ht="15.75" customHeight="1">
      <c r="H176" s="8"/>
      <c r="AP176" s="27"/>
    </row>
    <row r="177" ht="15.75" customHeight="1">
      <c r="H177" s="8"/>
      <c r="AP177" s="27"/>
    </row>
    <row r="178" ht="15.75" customHeight="1">
      <c r="H178" s="8"/>
      <c r="AP178" s="27"/>
    </row>
    <row r="179" ht="15.75" customHeight="1">
      <c r="H179" s="8"/>
      <c r="AP179" s="27"/>
    </row>
    <row r="180" ht="15.75" customHeight="1">
      <c r="H180" s="8"/>
      <c r="AP180" s="27"/>
    </row>
    <row r="181" ht="15.75" customHeight="1">
      <c r="H181" s="8"/>
      <c r="AP181" s="27"/>
    </row>
    <row r="182" ht="15.75" customHeight="1">
      <c r="H182" s="8"/>
      <c r="AP182" s="27"/>
    </row>
    <row r="183" ht="15.75" customHeight="1">
      <c r="H183" s="8"/>
      <c r="AP183" s="27"/>
    </row>
    <row r="184" ht="15.75" customHeight="1">
      <c r="H184" s="8"/>
      <c r="AP184" s="27"/>
    </row>
    <row r="185" ht="15.75" customHeight="1">
      <c r="H185" s="8"/>
      <c r="AP185" s="27"/>
    </row>
    <row r="186" ht="15.75" customHeight="1">
      <c r="H186" s="8"/>
      <c r="AP186" s="27"/>
    </row>
    <row r="187" ht="15.75" customHeight="1">
      <c r="H187" s="8"/>
      <c r="AP187" s="27"/>
    </row>
    <row r="188" ht="15.75" customHeight="1">
      <c r="H188" s="8"/>
      <c r="AP188" s="27"/>
    </row>
    <row r="189" ht="15.75" customHeight="1">
      <c r="H189" s="8"/>
      <c r="AP189" s="27"/>
    </row>
    <row r="190" ht="15.75" customHeight="1">
      <c r="H190" s="8"/>
      <c r="AP190" s="27"/>
    </row>
    <row r="191" ht="15.75" customHeight="1">
      <c r="H191" s="8"/>
      <c r="AP191" s="27"/>
    </row>
    <row r="192" ht="15.75" customHeight="1">
      <c r="H192" s="8"/>
      <c r="AP192" s="27"/>
    </row>
    <row r="193" ht="15.75" customHeight="1">
      <c r="H193" s="8"/>
      <c r="AP193" s="27"/>
    </row>
    <row r="194" ht="15.75" customHeight="1">
      <c r="H194" s="8"/>
      <c r="AP194" s="27"/>
    </row>
    <row r="195" ht="15.75" customHeight="1">
      <c r="H195" s="8"/>
      <c r="AP195" s="27"/>
    </row>
    <row r="196" ht="15.75" customHeight="1">
      <c r="H196" s="8"/>
      <c r="AP196" s="27"/>
    </row>
    <row r="197" ht="15.75" customHeight="1">
      <c r="H197" s="8"/>
      <c r="AP197" s="27"/>
    </row>
    <row r="198" ht="15.75" customHeight="1">
      <c r="H198" s="8"/>
      <c r="AP198" s="27"/>
    </row>
    <row r="199" ht="15.75" customHeight="1">
      <c r="H199" s="8"/>
      <c r="AP199" s="27"/>
    </row>
    <row r="200" ht="15.75" customHeight="1">
      <c r="H200" s="8"/>
      <c r="AP200" s="27"/>
    </row>
    <row r="201" ht="15.75" customHeight="1">
      <c r="H201" s="8"/>
      <c r="AP201" s="27"/>
    </row>
    <row r="202" ht="15.75" customHeight="1">
      <c r="H202" s="8"/>
      <c r="AP202" s="27"/>
    </row>
    <row r="203" ht="15.75" customHeight="1">
      <c r="H203" s="8"/>
      <c r="AP203" s="27"/>
    </row>
    <row r="204" ht="15.75" customHeight="1">
      <c r="H204" s="8"/>
      <c r="AP204" s="27"/>
    </row>
    <row r="205" ht="15.75" customHeight="1">
      <c r="H205" s="8"/>
      <c r="AP205" s="27"/>
    </row>
    <row r="206" ht="15.75" customHeight="1">
      <c r="H206" s="8"/>
      <c r="AP206" s="27"/>
    </row>
    <row r="207" ht="15.75" customHeight="1">
      <c r="H207" s="8"/>
      <c r="AP207" s="27"/>
    </row>
    <row r="208" ht="15.75" customHeight="1">
      <c r="H208" s="8"/>
      <c r="AP208" s="27"/>
    </row>
    <row r="209" ht="15.75" customHeight="1">
      <c r="H209" s="8"/>
      <c r="AP209" s="27"/>
    </row>
    <row r="210" ht="15.75" customHeight="1">
      <c r="H210" s="8"/>
      <c r="AP210" s="27"/>
    </row>
    <row r="211" ht="15.75" customHeight="1">
      <c r="H211" s="8"/>
      <c r="AP211" s="27"/>
    </row>
    <row r="212" ht="15.75" customHeight="1">
      <c r="H212" s="8"/>
      <c r="AP212" s="27"/>
    </row>
    <row r="213" ht="15.75" customHeight="1">
      <c r="H213" s="8"/>
      <c r="AP213" s="27"/>
    </row>
    <row r="214" ht="15.75" customHeight="1">
      <c r="H214" s="8"/>
      <c r="AP214" s="27"/>
    </row>
    <row r="215" ht="15.75" customHeight="1">
      <c r="H215" s="8"/>
      <c r="AP215" s="27"/>
    </row>
    <row r="216" ht="15.75" customHeight="1">
      <c r="H216" s="8"/>
      <c r="AP216" s="27"/>
    </row>
    <row r="217" ht="15.75" customHeight="1">
      <c r="H217" s="8"/>
      <c r="AP217" s="27"/>
    </row>
    <row r="218" ht="15.75" customHeight="1">
      <c r="H218" s="8"/>
      <c r="AP218" s="27"/>
    </row>
    <row r="219" ht="15.75" customHeight="1">
      <c r="H219" s="8"/>
      <c r="AP219" s="27"/>
    </row>
    <row r="220" ht="15.75" customHeight="1">
      <c r="H220" s="8"/>
      <c r="AP220" s="27"/>
    </row>
    <row r="221" ht="15.75" customHeight="1">
      <c r="H221" s="8"/>
      <c r="AP221" s="27"/>
    </row>
    <row r="222" ht="15.75" customHeight="1">
      <c r="H222" s="8"/>
      <c r="AP222" s="27"/>
    </row>
    <row r="223" ht="15.75" customHeight="1">
      <c r="H223" s="8"/>
      <c r="AP223" s="27"/>
    </row>
    <row r="224" ht="15.75" customHeight="1">
      <c r="H224" s="8"/>
      <c r="AP224" s="27"/>
    </row>
    <row r="225" ht="15.75" customHeight="1">
      <c r="H225" s="8"/>
      <c r="AP225" s="27"/>
    </row>
    <row r="226" ht="15.75" customHeight="1">
      <c r="H226" s="8"/>
      <c r="AP226" s="27"/>
    </row>
    <row r="227" ht="15.75" customHeight="1">
      <c r="H227" s="8"/>
      <c r="AP227" s="27"/>
    </row>
    <row r="228" ht="15.75" customHeight="1">
      <c r="H228" s="8"/>
      <c r="AP228" s="27"/>
    </row>
    <row r="229" ht="15.75" customHeight="1">
      <c r="H229" s="8"/>
      <c r="AP229" s="27"/>
    </row>
    <row r="230" ht="15.75" customHeight="1">
      <c r="H230" s="8"/>
      <c r="AP230" s="27"/>
    </row>
    <row r="231" ht="15.75" customHeight="1">
      <c r="H231" s="8"/>
      <c r="AP231" s="27"/>
    </row>
    <row r="232" ht="15.75" customHeight="1">
      <c r="H232" s="8"/>
      <c r="AP232" s="27"/>
    </row>
    <row r="233" ht="15.75" customHeight="1">
      <c r="H233" s="8"/>
      <c r="AP233" s="27"/>
    </row>
    <row r="234" ht="15.75" customHeight="1">
      <c r="H234" s="8"/>
      <c r="AP234" s="27"/>
    </row>
    <row r="235" ht="15.75" customHeight="1">
      <c r="H235" s="8"/>
      <c r="AP235" s="27"/>
    </row>
    <row r="236" ht="15.75" customHeight="1">
      <c r="H236" s="8"/>
      <c r="AP236" s="27"/>
    </row>
    <row r="237" ht="15.75" customHeight="1">
      <c r="H237" s="8"/>
      <c r="AP237" s="27"/>
    </row>
    <row r="238" ht="15.75" customHeight="1">
      <c r="H238" s="8"/>
      <c r="AP238" s="27"/>
    </row>
    <row r="239" ht="15.75" customHeight="1">
      <c r="H239" s="8"/>
      <c r="AP239" s="27"/>
    </row>
    <row r="240" ht="15.75" customHeight="1">
      <c r="H240" s="8"/>
      <c r="AP240" s="27"/>
    </row>
    <row r="241" ht="15.75" customHeight="1">
      <c r="H241" s="8"/>
      <c r="AP241" s="27"/>
    </row>
    <row r="242" ht="15.75" customHeight="1">
      <c r="H242" s="8"/>
      <c r="AP242" s="27"/>
    </row>
    <row r="243" ht="15.75" customHeight="1">
      <c r="H243" s="8"/>
      <c r="AP243" s="27"/>
    </row>
    <row r="244" ht="15.75" customHeight="1">
      <c r="H244" s="8"/>
      <c r="AP244" s="27"/>
    </row>
    <row r="245" ht="15.75" customHeight="1">
      <c r="H245" s="8"/>
      <c r="AP245" s="27"/>
    </row>
    <row r="246" ht="15.75" customHeight="1">
      <c r="H246" s="8"/>
      <c r="AP246" s="27"/>
    </row>
    <row r="247" ht="15.75" customHeight="1">
      <c r="H247" s="8"/>
      <c r="AP247" s="27"/>
    </row>
    <row r="248" ht="15.75" customHeight="1">
      <c r="H248" s="8"/>
      <c r="AP248" s="27"/>
    </row>
    <row r="249" ht="15.75" customHeight="1">
      <c r="H249" s="8"/>
      <c r="AP249" s="27"/>
    </row>
    <row r="250" ht="15.75" customHeight="1">
      <c r="H250" s="8"/>
      <c r="AP250" s="27"/>
    </row>
    <row r="251" ht="15.75" customHeight="1">
      <c r="H251" s="8"/>
      <c r="AP251" s="27"/>
    </row>
    <row r="252" ht="15.75" customHeight="1">
      <c r="H252" s="8"/>
      <c r="AP252" s="27"/>
    </row>
    <row r="253" ht="15.75" customHeight="1">
      <c r="H253" s="8"/>
      <c r="AP253" s="27"/>
    </row>
    <row r="254" ht="15.75" customHeight="1">
      <c r="H254" s="8"/>
      <c r="AP254" s="27"/>
    </row>
    <row r="255" ht="15.75" customHeight="1">
      <c r="H255" s="8"/>
      <c r="AP255" s="27"/>
    </row>
    <row r="256" ht="15.75" customHeight="1">
      <c r="H256" s="8"/>
      <c r="AP256" s="27"/>
    </row>
    <row r="257" ht="15.75" customHeight="1">
      <c r="H257" s="8"/>
      <c r="AP257" s="27"/>
    </row>
    <row r="258" ht="15.75" customHeight="1">
      <c r="H258" s="8"/>
      <c r="AP258" s="27"/>
    </row>
    <row r="259" ht="15.75" customHeight="1">
      <c r="H259" s="8"/>
      <c r="AP259" s="27"/>
    </row>
    <row r="260" ht="15.75" customHeight="1">
      <c r="H260" s="8"/>
      <c r="AP260" s="27"/>
    </row>
    <row r="261" ht="15.75" customHeight="1">
      <c r="H261" s="8"/>
      <c r="AP261" s="27"/>
    </row>
    <row r="262" ht="15.75" customHeight="1">
      <c r="H262" s="8"/>
      <c r="AP262" s="27"/>
    </row>
    <row r="263" ht="15.75" customHeight="1">
      <c r="H263" s="8"/>
      <c r="AP263" s="27"/>
    </row>
    <row r="264" ht="15.75" customHeight="1">
      <c r="H264" s="8"/>
      <c r="AP264" s="27"/>
    </row>
    <row r="265" ht="15.75" customHeight="1">
      <c r="H265" s="8"/>
      <c r="AP265" s="27"/>
    </row>
    <row r="266" ht="15.75" customHeight="1">
      <c r="H266" s="8"/>
      <c r="AP266" s="27"/>
    </row>
    <row r="267" ht="15.75" customHeight="1">
      <c r="H267" s="8"/>
      <c r="AP267" s="27"/>
    </row>
    <row r="268" ht="15.75" customHeight="1">
      <c r="H268" s="8"/>
      <c r="AP268" s="27"/>
    </row>
    <row r="269" ht="15.75" customHeight="1">
      <c r="H269" s="8"/>
      <c r="AP269" s="27"/>
    </row>
    <row r="270" ht="15.75" customHeight="1">
      <c r="H270" s="8"/>
      <c r="AP270" s="27"/>
    </row>
    <row r="271" ht="15.75" customHeight="1">
      <c r="H271" s="8"/>
      <c r="AP271" s="27"/>
    </row>
    <row r="272" ht="15.75" customHeight="1">
      <c r="H272" s="8"/>
      <c r="AP272" s="27"/>
    </row>
    <row r="273" ht="15.75" customHeight="1">
      <c r="H273" s="8"/>
      <c r="AP273" s="27"/>
    </row>
    <row r="274" ht="15.75" customHeight="1">
      <c r="H274" s="8"/>
      <c r="AP274" s="27"/>
    </row>
    <row r="275" ht="15.75" customHeight="1">
      <c r="H275" s="8"/>
      <c r="AP275" s="27"/>
    </row>
    <row r="276" ht="15.75" customHeight="1">
      <c r="H276" s="8"/>
      <c r="AP276" s="27"/>
    </row>
    <row r="277" ht="15.75" customHeight="1">
      <c r="H277" s="8"/>
      <c r="AP277" s="27"/>
    </row>
    <row r="278" ht="15.75" customHeight="1">
      <c r="H278" s="8"/>
      <c r="AP278" s="27"/>
    </row>
    <row r="279" ht="15.75" customHeight="1">
      <c r="H279" s="8"/>
      <c r="AP279" s="27"/>
    </row>
    <row r="280" ht="15.75" customHeight="1">
      <c r="H280" s="8"/>
      <c r="AP280" s="27"/>
    </row>
    <row r="281" ht="15.75" customHeight="1">
      <c r="H281" s="8"/>
      <c r="AP281" s="27"/>
    </row>
    <row r="282" ht="15.75" customHeight="1">
      <c r="H282" s="8"/>
      <c r="AP282" s="27"/>
    </row>
    <row r="283" ht="15.75" customHeight="1">
      <c r="H283" s="8"/>
      <c r="AP283" s="27"/>
    </row>
    <row r="284" ht="15.75" customHeight="1">
      <c r="H284" s="8"/>
      <c r="AP284" s="27"/>
    </row>
    <row r="285" ht="15.75" customHeight="1">
      <c r="H285" s="8"/>
      <c r="AP285" s="27"/>
    </row>
    <row r="286" ht="15.75" customHeight="1">
      <c r="H286" s="8"/>
      <c r="AP286" s="27"/>
    </row>
    <row r="287" ht="15.75" customHeight="1">
      <c r="H287" s="8"/>
      <c r="AP287" s="27"/>
    </row>
    <row r="288" ht="15.75" customHeight="1">
      <c r="H288" s="8"/>
      <c r="AP288" s="27"/>
    </row>
    <row r="289" ht="15.75" customHeight="1">
      <c r="H289" s="8"/>
      <c r="AP289" s="27"/>
    </row>
    <row r="290" ht="15.75" customHeight="1">
      <c r="H290" s="8"/>
      <c r="AP290" s="27"/>
    </row>
    <row r="291" ht="15.75" customHeight="1">
      <c r="H291" s="8"/>
      <c r="AP291" s="27"/>
    </row>
    <row r="292" ht="15.75" customHeight="1">
      <c r="H292" s="8"/>
      <c r="AP292" s="27"/>
    </row>
    <row r="293" ht="15.75" customHeight="1">
      <c r="H293" s="8"/>
      <c r="AP293" s="27"/>
    </row>
    <row r="294" ht="15.75" customHeight="1">
      <c r="H294" s="8"/>
      <c r="AP294" s="27"/>
    </row>
    <row r="295" ht="15.75" customHeight="1">
      <c r="H295" s="8"/>
      <c r="AP295" s="27"/>
    </row>
    <row r="296" ht="15.75" customHeight="1">
      <c r="H296" s="8"/>
      <c r="AP296" s="27"/>
    </row>
    <row r="297" ht="15.75" customHeight="1">
      <c r="H297" s="8"/>
      <c r="AP297" s="27"/>
    </row>
    <row r="298" ht="15.75" customHeight="1">
      <c r="H298" s="8"/>
      <c r="AP298" s="27"/>
    </row>
    <row r="299" ht="15.75" customHeight="1">
      <c r="H299" s="8"/>
      <c r="AP299" s="27"/>
    </row>
    <row r="300" ht="15.75" customHeight="1">
      <c r="H300" s="8"/>
      <c r="AP300" s="27"/>
    </row>
    <row r="301" ht="15.75" customHeight="1">
      <c r="H301" s="8"/>
      <c r="AP301" s="27"/>
    </row>
    <row r="302" ht="15.75" customHeight="1">
      <c r="H302" s="8"/>
      <c r="AP302" s="27"/>
    </row>
    <row r="303" ht="15.75" customHeight="1">
      <c r="H303" s="8"/>
      <c r="AP303" s="27"/>
    </row>
    <row r="304" ht="15.75" customHeight="1">
      <c r="H304" s="8"/>
      <c r="AP304" s="27"/>
    </row>
    <row r="305" ht="15.75" customHeight="1">
      <c r="H305" s="8"/>
      <c r="AP305" s="27"/>
    </row>
    <row r="306" ht="15.75" customHeight="1">
      <c r="H306" s="8"/>
      <c r="AP306" s="27"/>
    </row>
    <row r="307" ht="15.75" customHeight="1">
      <c r="H307" s="8"/>
      <c r="AP307" s="27"/>
    </row>
    <row r="308" ht="15.75" customHeight="1">
      <c r="H308" s="8"/>
      <c r="AP308" s="27"/>
    </row>
    <row r="309" ht="15.75" customHeight="1">
      <c r="H309" s="8"/>
      <c r="AP309" s="27"/>
    </row>
    <row r="310" ht="15.75" customHeight="1">
      <c r="H310" s="8"/>
      <c r="AP310" s="27"/>
    </row>
    <row r="311" ht="15.75" customHeight="1">
      <c r="H311" s="8"/>
      <c r="AP311" s="27"/>
    </row>
    <row r="312" ht="15.75" customHeight="1">
      <c r="H312" s="8"/>
      <c r="AP312" s="27"/>
    </row>
    <row r="313" ht="15.75" customHeight="1">
      <c r="H313" s="8"/>
      <c r="AP313" s="27"/>
    </row>
    <row r="314" ht="15.75" customHeight="1">
      <c r="H314" s="8"/>
      <c r="AP314" s="27"/>
    </row>
    <row r="315" ht="15.75" customHeight="1">
      <c r="H315" s="8"/>
      <c r="AP315" s="27"/>
    </row>
    <row r="316" ht="15.75" customHeight="1">
      <c r="H316" s="8"/>
      <c r="AP316" s="27"/>
    </row>
    <row r="317" ht="15.75" customHeight="1">
      <c r="H317" s="8"/>
      <c r="AP317" s="27"/>
    </row>
    <row r="318" ht="15.75" customHeight="1">
      <c r="H318" s="8"/>
      <c r="AP318" s="27"/>
    </row>
    <row r="319" ht="15.75" customHeight="1">
      <c r="H319" s="8"/>
      <c r="AP319" s="27"/>
    </row>
    <row r="320" ht="15.75" customHeight="1">
      <c r="H320" s="8"/>
      <c r="AP320" s="27"/>
    </row>
    <row r="321" ht="15.75" customHeight="1">
      <c r="H321" s="8"/>
      <c r="AP321" s="27"/>
    </row>
    <row r="322" ht="15.75" customHeight="1">
      <c r="H322" s="8"/>
      <c r="AP322" s="27"/>
    </row>
    <row r="323" ht="15.75" customHeight="1">
      <c r="H323" s="8"/>
      <c r="AP323" s="27"/>
    </row>
    <row r="324" ht="15.75" customHeight="1">
      <c r="H324" s="8"/>
      <c r="AP324" s="27"/>
    </row>
    <row r="325" ht="15.75" customHeight="1">
      <c r="H325" s="8"/>
      <c r="AP325" s="27"/>
    </row>
    <row r="326" ht="15.75" customHeight="1">
      <c r="H326" s="8"/>
      <c r="AP326" s="27"/>
    </row>
    <row r="327" ht="15.75" customHeight="1">
      <c r="H327" s="8"/>
      <c r="AP327" s="27"/>
    </row>
    <row r="328" ht="15.75" customHeight="1">
      <c r="H328" s="8"/>
      <c r="AP328" s="27"/>
    </row>
    <row r="329" ht="15.75" customHeight="1">
      <c r="H329" s="8"/>
      <c r="AP329" s="27"/>
    </row>
    <row r="330" ht="15.75" customHeight="1">
      <c r="H330" s="8"/>
      <c r="AP330" s="27"/>
    </row>
    <row r="331" ht="15.75" customHeight="1">
      <c r="H331" s="8"/>
      <c r="AP331" s="27"/>
    </row>
    <row r="332" ht="15.75" customHeight="1">
      <c r="H332" s="8"/>
      <c r="AP332" s="27"/>
    </row>
    <row r="333" ht="15.75" customHeight="1">
      <c r="H333" s="8"/>
      <c r="AP333" s="27"/>
    </row>
    <row r="334" ht="15.75" customHeight="1">
      <c r="H334" s="8"/>
      <c r="AP334" s="27"/>
    </row>
    <row r="335" ht="15.75" customHeight="1">
      <c r="H335" s="8"/>
      <c r="AP335" s="27"/>
    </row>
    <row r="336" ht="15.75" customHeight="1">
      <c r="H336" s="8"/>
      <c r="AP336" s="27"/>
    </row>
    <row r="337" ht="15.75" customHeight="1">
      <c r="H337" s="8"/>
      <c r="AP337" s="27"/>
    </row>
    <row r="338" ht="15.75" customHeight="1">
      <c r="H338" s="8"/>
      <c r="AP338" s="27"/>
    </row>
    <row r="339" ht="15.75" customHeight="1">
      <c r="H339" s="8"/>
      <c r="AP339" s="27"/>
    </row>
    <row r="340" ht="15.75" customHeight="1">
      <c r="H340" s="8"/>
      <c r="AP340" s="27"/>
    </row>
    <row r="341" ht="15.75" customHeight="1">
      <c r="H341" s="8"/>
      <c r="AP341" s="27"/>
    </row>
    <row r="342" ht="15.75" customHeight="1">
      <c r="H342" s="8"/>
      <c r="AP342" s="27"/>
    </row>
    <row r="343" ht="15.75" customHeight="1">
      <c r="H343" s="8"/>
      <c r="AP343" s="27"/>
    </row>
    <row r="344" ht="15.75" customHeight="1">
      <c r="H344" s="8"/>
      <c r="AP344" s="27"/>
    </row>
    <row r="345" ht="15.75" customHeight="1">
      <c r="H345" s="8"/>
      <c r="AP345" s="27"/>
    </row>
    <row r="346" ht="15.75" customHeight="1">
      <c r="H346" s="8"/>
      <c r="AP346" s="27"/>
    </row>
    <row r="347" ht="15.75" customHeight="1">
      <c r="H347" s="8"/>
      <c r="AP347" s="27"/>
    </row>
    <row r="348" ht="15.75" customHeight="1">
      <c r="H348" s="8"/>
      <c r="AP348" s="27"/>
    </row>
    <row r="349" ht="15.75" customHeight="1">
      <c r="H349" s="8"/>
      <c r="AP349" s="27"/>
    </row>
    <row r="350" ht="15.75" customHeight="1">
      <c r="H350" s="8"/>
      <c r="AP350" s="27"/>
    </row>
    <row r="351" ht="15.75" customHeight="1">
      <c r="H351" s="8"/>
      <c r="AP351" s="27"/>
    </row>
    <row r="352" ht="15.75" customHeight="1">
      <c r="H352" s="8"/>
      <c r="AP352" s="27"/>
    </row>
    <row r="353" ht="15.75" customHeight="1">
      <c r="H353" s="8"/>
      <c r="AP353" s="27"/>
    </row>
    <row r="354" ht="15.75" customHeight="1">
      <c r="H354" s="8"/>
      <c r="AP354" s="27"/>
    </row>
    <row r="355" ht="15.75" customHeight="1">
      <c r="H355" s="8"/>
      <c r="AP355" s="27"/>
    </row>
    <row r="356" ht="15.75" customHeight="1">
      <c r="H356" s="8"/>
      <c r="AP356" s="27"/>
    </row>
    <row r="357" ht="15.75" customHeight="1">
      <c r="H357" s="8"/>
      <c r="AP357" s="27"/>
    </row>
    <row r="358" ht="15.75" customHeight="1">
      <c r="H358" s="8"/>
      <c r="AP358" s="27"/>
    </row>
    <row r="359" ht="15.75" customHeight="1">
      <c r="H359" s="8"/>
      <c r="AP359" s="27"/>
    </row>
    <row r="360" ht="15.75" customHeight="1">
      <c r="H360" s="8"/>
      <c r="AP360" s="27"/>
    </row>
    <row r="361" ht="15.75" customHeight="1">
      <c r="H361" s="8"/>
      <c r="AP361" s="27"/>
    </row>
    <row r="362" ht="15.75" customHeight="1">
      <c r="H362" s="8"/>
      <c r="AP362" s="27"/>
    </row>
    <row r="363" ht="15.75" customHeight="1">
      <c r="H363" s="8"/>
      <c r="AP363" s="27"/>
    </row>
    <row r="364" ht="15.75" customHeight="1">
      <c r="H364" s="8"/>
      <c r="AP364" s="27"/>
    </row>
    <row r="365" ht="15.75" customHeight="1">
      <c r="H365" s="8"/>
      <c r="AP365" s="27"/>
    </row>
    <row r="366" ht="15.75" customHeight="1">
      <c r="H366" s="8"/>
      <c r="AP366" s="27"/>
    </row>
    <row r="367" ht="15.75" customHeight="1">
      <c r="H367" s="8"/>
      <c r="AP367" s="27"/>
    </row>
    <row r="368" ht="15.75" customHeight="1">
      <c r="H368" s="8"/>
      <c r="AP368" s="27"/>
    </row>
    <row r="369" ht="15.75" customHeight="1">
      <c r="H369" s="8"/>
      <c r="AP369" s="27"/>
    </row>
    <row r="370" ht="15.75" customHeight="1">
      <c r="H370" s="8"/>
      <c r="AP370" s="27"/>
    </row>
    <row r="371" ht="15.75" customHeight="1">
      <c r="H371" s="8"/>
      <c r="AP371" s="27"/>
    </row>
    <row r="372" ht="15.75" customHeight="1">
      <c r="H372" s="8"/>
      <c r="AP372" s="27"/>
    </row>
    <row r="373" ht="15.75" customHeight="1">
      <c r="H373" s="8"/>
      <c r="AP373" s="27"/>
    </row>
    <row r="374" ht="15.75" customHeight="1">
      <c r="H374" s="8"/>
      <c r="AP374" s="27"/>
    </row>
    <row r="375" ht="15.75" customHeight="1">
      <c r="H375" s="8"/>
      <c r="AP375" s="27"/>
    </row>
    <row r="376" ht="15.75" customHeight="1">
      <c r="H376" s="8"/>
      <c r="AP376" s="27"/>
    </row>
    <row r="377" ht="15.75" customHeight="1">
      <c r="H377" s="8"/>
      <c r="AP377" s="27"/>
    </row>
    <row r="378" ht="15.75" customHeight="1">
      <c r="H378" s="8"/>
      <c r="AP378" s="27"/>
    </row>
    <row r="379" ht="15.75" customHeight="1">
      <c r="H379" s="8"/>
      <c r="AP379" s="27"/>
    </row>
    <row r="380" ht="15.75" customHeight="1">
      <c r="H380" s="8"/>
      <c r="AP380" s="27"/>
    </row>
    <row r="381" ht="15.75" customHeight="1">
      <c r="H381" s="8"/>
      <c r="AP381" s="27"/>
    </row>
    <row r="382" ht="15.75" customHeight="1">
      <c r="H382" s="8"/>
      <c r="AP382" s="27"/>
    </row>
    <row r="383" ht="15.75" customHeight="1">
      <c r="H383" s="8"/>
      <c r="AP383" s="27"/>
    </row>
    <row r="384" ht="15.75" customHeight="1">
      <c r="H384" s="8"/>
      <c r="AP384" s="27"/>
    </row>
    <row r="385" ht="15.75" customHeight="1">
      <c r="H385" s="8"/>
      <c r="AP385" s="27"/>
    </row>
    <row r="386" ht="15.75" customHeight="1">
      <c r="H386" s="8"/>
      <c r="AP386" s="27"/>
    </row>
    <row r="387" ht="15.75" customHeight="1">
      <c r="H387" s="8"/>
      <c r="AP387" s="27"/>
    </row>
    <row r="388" ht="15.75" customHeight="1">
      <c r="H388" s="8"/>
      <c r="AP388" s="27"/>
    </row>
    <row r="389" ht="15.75" customHeight="1">
      <c r="H389" s="8"/>
      <c r="AP389" s="27"/>
    </row>
    <row r="390" ht="15.75" customHeight="1">
      <c r="H390" s="8"/>
      <c r="AP390" s="27"/>
    </row>
    <row r="391" ht="15.75" customHeight="1">
      <c r="H391" s="8"/>
      <c r="AP391" s="27"/>
    </row>
    <row r="392" ht="15.75" customHeight="1">
      <c r="H392" s="8"/>
      <c r="AP392" s="27"/>
    </row>
    <row r="393" ht="15.75" customHeight="1">
      <c r="H393" s="8"/>
      <c r="AP393" s="27"/>
    </row>
    <row r="394" ht="15.75" customHeight="1">
      <c r="H394" s="8"/>
      <c r="AP394" s="27"/>
    </row>
    <row r="395" ht="15.75" customHeight="1">
      <c r="H395" s="8"/>
      <c r="AP395" s="27"/>
    </row>
    <row r="396" ht="15.75" customHeight="1">
      <c r="H396" s="8"/>
      <c r="AP396" s="27"/>
    </row>
    <row r="397" ht="15.75" customHeight="1">
      <c r="H397" s="8"/>
      <c r="AP397" s="27"/>
    </row>
    <row r="398" ht="15.75" customHeight="1">
      <c r="H398" s="8"/>
      <c r="AP398" s="27"/>
    </row>
    <row r="399" ht="15.75" customHeight="1">
      <c r="H399" s="8"/>
      <c r="AP399" s="27"/>
    </row>
    <row r="400" ht="15.75" customHeight="1">
      <c r="H400" s="8"/>
      <c r="AP400" s="27"/>
    </row>
    <row r="401" ht="15.75" customHeight="1">
      <c r="H401" s="8"/>
      <c r="AP401" s="27"/>
    </row>
    <row r="402" ht="15.75" customHeight="1">
      <c r="H402" s="8"/>
      <c r="AP402" s="27"/>
    </row>
    <row r="403" ht="15.75" customHeight="1">
      <c r="H403" s="8"/>
      <c r="AP403" s="27"/>
    </row>
    <row r="404" ht="15.75" customHeight="1">
      <c r="H404" s="8"/>
      <c r="AP404" s="27"/>
    </row>
    <row r="405" ht="15.75" customHeight="1">
      <c r="H405" s="8"/>
      <c r="AP405" s="27"/>
    </row>
    <row r="406" ht="15.75" customHeight="1">
      <c r="H406" s="8"/>
      <c r="AP406" s="27"/>
    </row>
    <row r="407" ht="15.75" customHeight="1">
      <c r="H407" s="8"/>
      <c r="AP407" s="27"/>
    </row>
    <row r="408" ht="15.75" customHeight="1">
      <c r="H408" s="8"/>
      <c r="AP408" s="27"/>
    </row>
    <row r="409" ht="15.75" customHeight="1">
      <c r="H409" s="8"/>
      <c r="AP409" s="27"/>
    </row>
    <row r="410" ht="15.75" customHeight="1">
      <c r="H410" s="8"/>
      <c r="AP410" s="27"/>
    </row>
    <row r="411" ht="15.75" customHeight="1">
      <c r="H411" s="8"/>
      <c r="AP411" s="27"/>
    </row>
    <row r="412" ht="15.75" customHeight="1">
      <c r="H412" s="8"/>
      <c r="AP412" s="27"/>
    </row>
    <row r="413" ht="15.75" customHeight="1">
      <c r="H413" s="8"/>
      <c r="AP413" s="27"/>
    </row>
    <row r="414" ht="15.75" customHeight="1">
      <c r="H414" s="8"/>
      <c r="AP414" s="27"/>
    </row>
    <row r="415" ht="15.75" customHeight="1">
      <c r="H415" s="8"/>
      <c r="AP415" s="27"/>
    </row>
    <row r="416" ht="15.75" customHeight="1">
      <c r="H416" s="8"/>
      <c r="AP416" s="27"/>
    </row>
    <row r="417" ht="15.75" customHeight="1">
      <c r="H417" s="8"/>
      <c r="AP417" s="27"/>
    </row>
    <row r="418" ht="15.75" customHeight="1">
      <c r="H418" s="8"/>
      <c r="AP418" s="27"/>
    </row>
    <row r="419" ht="15.75" customHeight="1">
      <c r="H419" s="8"/>
      <c r="AP419" s="27"/>
    </row>
    <row r="420" ht="15.75" customHeight="1">
      <c r="H420" s="8"/>
      <c r="AP420" s="27"/>
    </row>
    <row r="421" ht="15.75" customHeight="1">
      <c r="H421" s="8"/>
      <c r="AP421" s="27"/>
    </row>
    <row r="422" ht="15.75" customHeight="1">
      <c r="H422" s="8"/>
      <c r="AP422" s="27"/>
    </row>
    <row r="423" ht="15.75" customHeight="1">
      <c r="H423" s="8"/>
      <c r="AP423" s="27"/>
    </row>
    <row r="424" ht="15.75" customHeight="1">
      <c r="H424" s="8"/>
      <c r="AP424" s="27"/>
    </row>
    <row r="425" ht="15.75" customHeight="1">
      <c r="H425" s="8"/>
      <c r="AP425" s="27"/>
    </row>
    <row r="426" ht="15.75" customHeight="1">
      <c r="H426" s="8"/>
      <c r="AP426" s="27"/>
    </row>
    <row r="427" ht="15.75" customHeight="1">
      <c r="H427" s="8"/>
      <c r="AP427" s="27"/>
    </row>
    <row r="428" ht="15.75" customHeight="1">
      <c r="H428" s="8"/>
      <c r="AP428" s="27"/>
    </row>
    <row r="429" ht="15.75" customHeight="1">
      <c r="H429" s="8"/>
      <c r="AP429" s="27"/>
    </row>
    <row r="430" ht="15.75" customHeight="1">
      <c r="H430" s="8"/>
      <c r="AP430" s="27"/>
    </row>
    <row r="431" ht="15.75" customHeight="1">
      <c r="H431" s="8"/>
      <c r="AP431" s="27"/>
    </row>
    <row r="432" ht="15.75" customHeight="1">
      <c r="H432" s="8"/>
      <c r="AP432" s="27"/>
    </row>
    <row r="433" ht="15.75" customHeight="1">
      <c r="H433" s="8"/>
      <c r="AP433" s="27"/>
    </row>
    <row r="434" ht="15.75" customHeight="1">
      <c r="H434" s="8"/>
      <c r="AP434" s="27"/>
    </row>
    <row r="435" ht="15.75" customHeight="1">
      <c r="H435" s="8"/>
      <c r="AP435" s="27"/>
    </row>
    <row r="436" ht="15.75" customHeight="1">
      <c r="H436" s="8"/>
      <c r="AP436" s="27"/>
    </row>
    <row r="437" ht="15.75" customHeight="1">
      <c r="H437" s="8"/>
      <c r="AP437" s="27"/>
    </row>
    <row r="438" ht="15.75" customHeight="1">
      <c r="H438" s="8"/>
      <c r="AP438" s="27"/>
    </row>
    <row r="439" ht="15.75" customHeight="1">
      <c r="H439" s="8"/>
      <c r="AP439" s="27"/>
    </row>
    <row r="440" ht="15.75" customHeight="1">
      <c r="H440" s="8"/>
      <c r="AP440" s="27"/>
    </row>
    <row r="441" ht="15.75" customHeight="1">
      <c r="H441" s="8"/>
      <c r="AP441" s="27"/>
    </row>
    <row r="442" ht="15.75" customHeight="1">
      <c r="H442" s="8"/>
      <c r="AP442" s="27"/>
    </row>
    <row r="443" ht="15.75" customHeight="1">
      <c r="H443" s="8"/>
      <c r="AP443" s="27"/>
    </row>
    <row r="444" ht="15.75" customHeight="1">
      <c r="H444" s="8"/>
      <c r="AP444" s="27"/>
    </row>
    <row r="445" ht="15.75" customHeight="1">
      <c r="H445" s="8"/>
      <c r="AP445" s="27"/>
    </row>
    <row r="446" ht="15.75" customHeight="1">
      <c r="H446" s="8"/>
      <c r="AP446" s="27"/>
    </row>
    <row r="447" ht="15.75" customHeight="1">
      <c r="H447" s="8"/>
      <c r="AP447" s="27"/>
    </row>
    <row r="448" ht="15.75" customHeight="1">
      <c r="H448" s="8"/>
      <c r="AP448" s="27"/>
    </row>
    <row r="449" ht="15.75" customHeight="1">
      <c r="H449" s="8"/>
      <c r="AP449" s="27"/>
    </row>
    <row r="450" ht="15.75" customHeight="1">
      <c r="H450" s="8"/>
      <c r="AP450" s="27"/>
    </row>
    <row r="451" ht="15.75" customHeight="1">
      <c r="H451" s="8"/>
      <c r="AP451" s="27"/>
    </row>
    <row r="452" ht="15.75" customHeight="1">
      <c r="H452" s="8"/>
      <c r="AP452" s="27"/>
    </row>
    <row r="453" ht="15.75" customHeight="1">
      <c r="H453" s="8"/>
      <c r="AP453" s="27"/>
    </row>
    <row r="454" ht="15.75" customHeight="1">
      <c r="H454" s="8"/>
      <c r="AP454" s="27"/>
    </row>
    <row r="455" ht="15.75" customHeight="1">
      <c r="H455" s="8"/>
      <c r="AP455" s="27"/>
    </row>
    <row r="456" ht="15.75" customHeight="1">
      <c r="H456" s="8"/>
      <c r="AP456" s="27"/>
    </row>
    <row r="457" ht="15.75" customHeight="1">
      <c r="H457" s="8"/>
      <c r="AP457" s="27"/>
    </row>
    <row r="458" ht="15.75" customHeight="1">
      <c r="H458" s="8"/>
      <c r="AP458" s="27"/>
    </row>
    <row r="459" ht="15.75" customHeight="1">
      <c r="H459" s="8"/>
      <c r="AP459" s="27"/>
    </row>
    <row r="460" ht="15.75" customHeight="1">
      <c r="H460" s="8"/>
      <c r="AP460" s="27"/>
    </row>
    <row r="461" ht="15.75" customHeight="1">
      <c r="H461" s="8"/>
      <c r="AP461" s="27"/>
    </row>
    <row r="462" ht="15.75" customHeight="1">
      <c r="H462" s="8"/>
      <c r="AP462" s="27"/>
    </row>
    <row r="463" ht="15.75" customHeight="1">
      <c r="H463" s="8"/>
      <c r="AP463" s="27"/>
    </row>
    <row r="464" ht="15.75" customHeight="1">
      <c r="H464" s="8"/>
      <c r="AP464" s="27"/>
    </row>
    <row r="465" ht="15.75" customHeight="1">
      <c r="H465" s="8"/>
      <c r="AP465" s="27"/>
    </row>
    <row r="466" ht="15.75" customHeight="1">
      <c r="H466" s="8"/>
      <c r="AP466" s="27"/>
    </row>
    <row r="467" ht="15.75" customHeight="1">
      <c r="H467" s="8"/>
      <c r="AP467" s="27"/>
    </row>
    <row r="468" ht="15.75" customHeight="1">
      <c r="H468" s="8"/>
      <c r="AP468" s="27"/>
    </row>
    <row r="469" ht="15.75" customHeight="1">
      <c r="H469" s="8"/>
      <c r="AP469" s="27"/>
    </row>
    <row r="470" ht="15.75" customHeight="1">
      <c r="H470" s="8"/>
      <c r="AP470" s="27"/>
    </row>
    <row r="471" ht="15.75" customHeight="1">
      <c r="H471" s="8"/>
      <c r="AP471" s="27"/>
    </row>
    <row r="472" ht="15.75" customHeight="1">
      <c r="H472" s="8"/>
      <c r="AP472" s="27"/>
    </row>
    <row r="473" ht="15.75" customHeight="1">
      <c r="H473" s="8"/>
      <c r="AP473" s="27"/>
    </row>
    <row r="474" ht="15.75" customHeight="1">
      <c r="H474" s="8"/>
      <c r="AP474" s="27"/>
    </row>
    <row r="475" ht="15.75" customHeight="1">
      <c r="H475" s="8"/>
      <c r="AP475" s="27"/>
    </row>
    <row r="476" ht="15.75" customHeight="1">
      <c r="H476" s="8"/>
      <c r="AP476" s="27"/>
    </row>
    <row r="477" ht="15.75" customHeight="1">
      <c r="H477" s="8"/>
      <c r="AP477" s="27"/>
    </row>
    <row r="478" ht="15.75" customHeight="1">
      <c r="H478" s="8"/>
      <c r="AP478" s="27"/>
    </row>
    <row r="479" ht="15.75" customHeight="1">
      <c r="H479" s="8"/>
      <c r="AP479" s="27"/>
    </row>
    <row r="480" ht="15.75" customHeight="1">
      <c r="H480" s="8"/>
      <c r="AP480" s="27"/>
    </row>
    <row r="481" ht="15.75" customHeight="1">
      <c r="H481" s="8"/>
      <c r="AP481" s="27"/>
    </row>
    <row r="482" ht="15.75" customHeight="1">
      <c r="H482" s="8"/>
      <c r="AP482" s="27"/>
    </row>
    <row r="483" ht="15.75" customHeight="1">
      <c r="H483" s="8"/>
      <c r="AP483" s="27"/>
    </row>
    <row r="484" ht="15.75" customHeight="1">
      <c r="H484" s="8"/>
      <c r="AP484" s="27"/>
    </row>
    <row r="485" ht="15.75" customHeight="1">
      <c r="H485" s="8"/>
      <c r="AP485" s="27"/>
    </row>
    <row r="486" ht="15.75" customHeight="1">
      <c r="H486" s="8"/>
      <c r="AP486" s="27"/>
    </row>
    <row r="487" ht="15.75" customHeight="1">
      <c r="H487" s="8"/>
      <c r="AP487" s="27"/>
    </row>
    <row r="488" ht="15.75" customHeight="1">
      <c r="H488" s="8"/>
      <c r="AP488" s="27"/>
    </row>
    <row r="489" ht="15.75" customHeight="1">
      <c r="H489" s="8"/>
      <c r="AP489" s="27"/>
    </row>
    <row r="490" ht="15.75" customHeight="1">
      <c r="H490" s="8"/>
      <c r="AP490" s="27"/>
    </row>
    <row r="491" ht="15.75" customHeight="1">
      <c r="H491" s="8"/>
      <c r="AP491" s="27"/>
    </row>
    <row r="492" ht="15.75" customHeight="1">
      <c r="H492" s="8"/>
      <c r="AP492" s="27"/>
    </row>
    <row r="493" ht="15.75" customHeight="1">
      <c r="H493" s="8"/>
      <c r="AP493" s="27"/>
    </row>
    <row r="494" ht="15.75" customHeight="1">
      <c r="H494" s="8"/>
      <c r="AP494" s="27"/>
    </row>
    <row r="495" ht="15.75" customHeight="1">
      <c r="H495" s="8"/>
      <c r="AP495" s="27"/>
    </row>
    <row r="496" ht="15.75" customHeight="1">
      <c r="H496" s="8"/>
      <c r="AP496" s="27"/>
    </row>
    <row r="497" ht="15.75" customHeight="1">
      <c r="H497" s="8"/>
      <c r="AP497" s="27"/>
    </row>
    <row r="498" ht="15.75" customHeight="1">
      <c r="H498" s="8"/>
      <c r="AP498" s="27"/>
    </row>
    <row r="499" ht="15.75" customHeight="1">
      <c r="H499" s="8"/>
      <c r="AP499" s="27"/>
    </row>
    <row r="500" ht="15.75" customHeight="1">
      <c r="H500" s="8"/>
      <c r="AP500" s="27"/>
    </row>
    <row r="501" ht="15.75" customHeight="1">
      <c r="H501" s="8"/>
      <c r="AP501" s="27"/>
    </row>
    <row r="502" ht="15.75" customHeight="1">
      <c r="H502" s="8"/>
      <c r="AP502" s="27"/>
    </row>
    <row r="503" ht="15.75" customHeight="1">
      <c r="H503" s="8"/>
      <c r="AP503" s="27"/>
    </row>
    <row r="504" ht="15.75" customHeight="1">
      <c r="H504" s="8"/>
      <c r="AP504" s="27"/>
    </row>
    <row r="505" ht="15.75" customHeight="1">
      <c r="H505" s="8"/>
      <c r="AP505" s="27"/>
    </row>
    <row r="506" ht="15.75" customHeight="1">
      <c r="H506" s="8"/>
      <c r="AP506" s="27"/>
    </row>
    <row r="507" ht="15.75" customHeight="1">
      <c r="H507" s="8"/>
      <c r="AP507" s="27"/>
    </row>
    <row r="508" ht="15.75" customHeight="1">
      <c r="H508" s="8"/>
      <c r="AP508" s="27"/>
    </row>
    <row r="509" ht="15.75" customHeight="1">
      <c r="H509" s="8"/>
      <c r="AP509" s="27"/>
    </row>
    <row r="510" ht="15.75" customHeight="1">
      <c r="H510" s="8"/>
      <c r="AP510" s="27"/>
    </row>
    <row r="511" ht="15.75" customHeight="1">
      <c r="H511" s="8"/>
      <c r="AP511" s="27"/>
    </row>
    <row r="512" ht="15.75" customHeight="1">
      <c r="H512" s="8"/>
      <c r="AP512" s="27"/>
    </row>
    <row r="513" ht="15.75" customHeight="1">
      <c r="H513" s="8"/>
      <c r="AP513" s="27"/>
    </row>
    <row r="514" ht="15.75" customHeight="1">
      <c r="H514" s="8"/>
      <c r="AP514" s="27"/>
    </row>
    <row r="515" ht="15.75" customHeight="1">
      <c r="H515" s="8"/>
      <c r="AP515" s="27"/>
    </row>
    <row r="516" ht="15.75" customHeight="1">
      <c r="H516" s="8"/>
      <c r="AP516" s="27"/>
    </row>
    <row r="517" ht="15.75" customHeight="1">
      <c r="H517" s="8"/>
      <c r="AP517" s="27"/>
    </row>
    <row r="518" ht="15.75" customHeight="1">
      <c r="H518" s="8"/>
      <c r="AP518" s="27"/>
    </row>
    <row r="519" ht="15.75" customHeight="1">
      <c r="H519" s="8"/>
      <c r="AP519" s="27"/>
    </row>
    <row r="520" ht="15.75" customHeight="1">
      <c r="H520" s="8"/>
      <c r="AP520" s="27"/>
    </row>
    <row r="521" ht="15.75" customHeight="1">
      <c r="H521" s="8"/>
      <c r="AP521" s="27"/>
    </row>
    <row r="522" ht="15.75" customHeight="1">
      <c r="H522" s="8"/>
      <c r="AP522" s="27"/>
    </row>
    <row r="523" ht="15.75" customHeight="1">
      <c r="H523" s="8"/>
      <c r="AP523" s="27"/>
    </row>
    <row r="524" ht="15.75" customHeight="1">
      <c r="H524" s="8"/>
      <c r="AP524" s="27"/>
    </row>
    <row r="525" ht="15.75" customHeight="1">
      <c r="H525" s="8"/>
      <c r="AP525" s="27"/>
    </row>
    <row r="526" ht="15.75" customHeight="1">
      <c r="H526" s="8"/>
      <c r="AP526" s="27"/>
    </row>
    <row r="527" ht="15.75" customHeight="1">
      <c r="H527" s="8"/>
      <c r="AP527" s="27"/>
    </row>
    <row r="528" ht="15.75" customHeight="1">
      <c r="H528" s="8"/>
      <c r="AP528" s="27"/>
    </row>
    <row r="529" ht="15.75" customHeight="1">
      <c r="H529" s="8"/>
      <c r="AP529" s="27"/>
    </row>
    <row r="530" ht="15.75" customHeight="1">
      <c r="H530" s="8"/>
      <c r="AP530" s="27"/>
    </row>
    <row r="531" ht="15.75" customHeight="1">
      <c r="H531" s="8"/>
      <c r="AP531" s="27"/>
    </row>
    <row r="532" ht="15.75" customHeight="1">
      <c r="H532" s="8"/>
      <c r="AP532" s="27"/>
    </row>
    <row r="533" ht="15.75" customHeight="1">
      <c r="H533" s="8"/>
      <c r="AP533" s="27"/>
    </row>
    <row r="534" ht="15.75" customHeight="1">
      <c r="H534" s="8"/>
      <c r="AP534" s="27"/>
    </row>
    <row r="535" ht="15.75" customHeight="1">
      <c r="H535" s="8"/>
      <c r="AP535" s="27"/>
    </row>
    <row r="536" ht="15.75" customHeight="1">
      <c r="H536" s="8"/>
      <c r="AP536" s="27"/>
    </row>
    <row r="537" ht="15.75" customHeight="1">
      <c r="H537" s="8"/>
      <c r="AP537" s="27"/>
    </row>
    <row r="538" ht="15.75" customHeight="1">
      <c r="H538" s="8"/>
      <c r="AP538" s="27"/>
    </row>
    <row r="539" ht="15.75" customHeight="1">
      <c r="H539" s="8"/>
      <c r="AP539" s="27"/>
    </row>
    <row r="540" ht="15.75" customHeight="1">
      <c r="H540" s="8"/>
      <c r="AP540" s="27"/>
    </row>
    <row r="541" ht="15.75" customHeight="1">
      <c r="H541" s="8"/>
      <c r="AP541" s="27"/>
    </row>
    <row r="542" ht="15.75" customHeight="1">
      <c r="H542" s="8"/>
      <c r="AP542" s="27"/>
    </row>
    <row r="543" ht="15.75" customHeight="1">
      <c r="H543" s="8"/>
      <c r="AP543" s="27"/>
    </row>
    <row r="544" ht="15.75" customHeight="1">
      <c r="H544" s="8"/>
      <c r="AP544" s="27"/>
    </row>
    <row r="545" ht="15.75" customHeight="1">
      <c r="H545" s="8"/>
      <c r="AP545" s="27"/>
    </row>
    <row r="546" ht="15.75" customHeight="1">
      <c r="H546" s="8"/>
      <c r="AP546" s="27"/>
    </row>
    <row r="547" ht="15.75" customHeight="1">
      <c r="H547" s="8"/>
      <c r="AP547" s="27"/>
    </row>
    <row r="548" ht="15.75" customHeight="1">
      <c r="H548" s="8"/>
      <c r="AP548" s="27"/>
    </row>
    <row r="549" ht="15.75" customHeight="1">
      <c r="H549" s="8"/>
      <c r="AP549" s="27"/>
    </row>
    <row r="550" ht="15.75" customHeight="1">
      <c r="H550" s="8"/>
      <c r="AP550" s="27"/>
    </row>
    <row r="551" ht="15.75" customHeight="1">
      <c r="H551" s="8"/>
      <c r="AP551" s="27"/>
    </row>
    <row r="552" ht="15.75" customHeight="1">
      <c r="H552" s="8"/>
      <c r="AP552" s="27"/>
    </row>
    <row r="553" ht="15.75" customHeight="1">
      <c r="H553" s="8"/>
      <c r="AP553" s="27"/>
    </row>
    <row r="554" ht="15.75" customHeight="1">
      <c r="H554" s="8"/>
      <c r="AP554" s="27"/>
    </row>
    <row r="555" ht="15.75" customHeight="1">
      <c r="H555" s="8"/>
      <c r="AP555" s="27"/>
    </row>
    <row r="556" ht="15.75" customHeight="1">
      <c r="H556" s="8"/>
      <c r="AP556" s="27"/>
    </row>
    <row r="557" ht="15.75" customHeight="1">
      <c r="H557" s="8"/>
      <c r="AP557" s="27"/>
    </row>
    <row r="558" ht="15.75" customHeight="1">
      <c r="H558" s="8"/>
      <c r="AP558" s="27"/>
    </row>
    <row r="559" ht="15.75" customHeight="1">
      <c r="H559" s="8"/>
      <c r="AP559" s="27"/>
    </row>
    <row r="560" ht="15.75" customHeight="1">
      <c r="H560" s="8"/>
      <c r="AP560" s="27"/>
    </row>
    <row r="561" ht="15.75" customHeight="1">
      <c r="H561" s="8"/>
      <c r="AP561" s="27"/>
    </row>
    <row r="562" ht="15.75" customHeight="1">
      <c r="H562" s="8"/>
      <c r="AP562" s="27"/>
    </row>
    <row r="563" ht="15.75" customHeight="1">
      <c r="H563" s="8"/>
      <c r="AP563" s="27"/>
    </row>
    <row r="564" ht="15.75" customHeight="1">
      <c r="H564" s="8"/>
      <c r="AP564" s="27"/>
    </row>
    <row r="565" ht="15.75" customHeight="1">
      <c r="H565" s="8"/>
      <c r="AP565" s="27"/>
    </row>
    <row r="566" ht="15.75" customHeight="1">
      <c r="H566" s="8"/>
      <c r="AP566" s="27"/>
    </row>
    <row r="567" ht="15.75" customHeight="1">
      <c r="H567" s="8"/>
      <c r="AP567" s="27"/>
    </row>
    <row r="568" ht="15.75" customHeight="1">
      <c r="H568" s="8"/>
      <c r="AP568" s="27"/>
    </row>
    <row r="569" ht="15.75" customHeight="1">
      <c r="H569" s="8"/>
      <c r="AP569" s="27"/>
    </row>
    <row r="570" ht="15.75" customHeight="1">
      <c r="H570" s="8"/>
      <c r="AP570" s="27"/>
    </row>
    <row r="571" ht="15.75" customHeight="1">
      <c r="H571" s="8"/>
      <c r="AP571" s="27"/>
    </row>
    <row r="572" ht="15.75" customHeight="1">
      <c r="H572" s="8"/>
      <c r="AP572" s="27"/>
    </row>
    <row r="573" ht="15.75" customHeight="1">
      <c r="H573" s="8"/>
      <c r="AP573" s="27"/>
    </row>
    <row r="574" ht="15.75" customHeight="1">
      <c r="H574" s="8"/>
      <c r="AP574" s="27"/>
    </row>
    <row r="575" ht="15.75" customHeight="1">
      <c r="H575" s="8"/>
      <c r="AP575" s="27"/>
    </row>
    <row r="576" ht="15.75" customHeight="1">
      <c r="H576" s="8"/>
      <c r="AP576" s="27"/>
    </row>
    <row r="577" ht="15.75" customHeight="1">
      <c r="H577" s="8"/>
      <c r="AP577" s="27"/>
    </row>
    <row r="578" ht="15.75" customHeight="1">
      <c r="H578" s="8"/>
      <c r="AP578" s="27"/>
    </row>
    <row r="579" ht="15.75" customHeight="1">
      <c r="H579" s="8"/>
      <c r="AP579" s="27"/>
    </row>
    <row r="580" ht="15.75" customHeight="1">
      <c r="H580" s="8"/>
      <c r="AP580" s="27"/>
    </row>
    <row r="581" ht="15.75" customHeight="1">
      <c r="H581" s="8"/>
      <c r="AP581" s="27"/>
    </row>
    <row r="582" ht="15.75" customHeight="1">
      <c r="H582" s="8"/>
      <c r="AP582" s="27"/>
    </row>
    <row r="583" ht="15.75" customHeight="1">
      <c r="H583" s="8"/>
      <c r="AP583" s="27"/>
    </row>
    <row r="584" ht="15.75" customHeight="1">
      <c r="H584" s="8"/>
      <c r="AP584" s="27"/>
    </row>
    <row r="585" ht="15.75" customHeight="1">
      <c r="H585" s="8"/>
      <c r="AP585" s="27"/>
    </row>
    <row r="586" ht="15.75" customHeight="1">
      <c r="H586" s="8"/>
      <c r="AP586" s="27"/>
    </row>
    <row r="587" ht="15.75" customHeight="1">
      <c r="H587" s="8"/>
      <c r="AP587" s="27"/>
    </row>
    <row r="588" ht="15.75" customHeight="1">
      <c r="H588" s="8"/>
      <c r="AP588" s="27"/>
    </row>
    <row r="589" ht="15.75" customHeight="1">
      <c r="H589" s="8"/>
      <c r="AP589" s="27"/>
    </row>
    <row r="590" ht="15.75" customHeight="1">
      <c r="H590" s="8"/>
      <c r="AP590" s="27"/>
    </row>
    <row r="591" ht="15.75" customHeight="1">
      <c r="H591" s="8"/>
      <c r="AP591" s="27"/>
    </row>
    <row r="592" ht="15.75" customHeight="1">
      <c r="H592" s="8"/>
      <c r="AP592" s="27"/>
    </row>
    <row r="593" ht="15.75" customHeight="1">
      <c r="H593" s="8"/>
      <c r="AP593" s="27"/>
    </row>
    <row r="594" ht="15.75" customHeight="1">
      <c r="H594" s="8"/>
      <c r="AP594" s="27"/>
    </row>
    <row r="595" ht="15.75" customHeight="1">
      <c r="H595" s="8"/>
      <c r="AP595" s="27"/>
    </row>
    <row r="596" ht="15.75" customHeight="1">
      <c r="H596" s="8"/>
      <c r="AP596" s="27"/>
    </row>
    <row r="597" ht="15.75" customHeight="1">
      <c r="H597" s="8"/>
      <c r="AP597" s="27"/>
    </row>
    <row r="598" ht="15.75" customHeight="1">
      <c r="H598" s="8"/>
      <c r="AP598" s="27"/>
    </row>
    <row r="599" ht="15.75" customHeight="1">
      <c r="H599" s="8"/>
      <c r="AP599" s="27"/>
    </row>
    <row r="600" ht="15.75" customHeight="1">
      <c r="H600" s="8"/>
      <c r="AP600" s="27"/>
    </row>
    <row r="601" ht="15.75" customHeight="1">
      <c r="H601" s="8"/>
      <c r="AP601" s="27"/>
    </row>
    <row r="602" ht="15.75" customHeight="1">
      <c r="H602" s="8"/>
      <c r="AP602" s="27"/>
    </row>
    <row r="603" ht="15.75" customHeight="1">
      <c r="H603" s="8"/>
      <c r="AP603" s="27"/>
    </row>
    <row r="604" ht="15.75" customHeight="1">
      <c r="H604" s="8"/>
      <c r="AP604" s="27"/>
    </row>
    <row r="605" ht="15.75" customHeight="1">
      <c r="H605" s="8"/>
      <c r="AP605" s="27"/>
    </row>
    <row r="606" ht="15.75" customHeight="1">
      <c r="H606" s="8"/>
      <c r="AP606" s="27"/>
    </row>
    <row r="607" ht="15.75" customHeight="1">
      <c r="H607" s="8"/>
      <c r="AP607" s="27"/>
    </row>
    <row r="608" ht="15.75" customHeight="1">
      <c r="H608" s="8"/>
      <c r="AP608" s="27"/>
    </row>
    <row r="609" ht="15.75" customHeight="1">
      <c r="H609" s="8"/>
      <c r="AP609" s="27"/>
    </row>
    <row r="610" ht="15.75" customHeight="1">
      <c r="H610" s="8"/>
      <c r="AP610" s="27"/>
    </row>
    <row r="611" ht="15.75" customHeight="1">
      <c r="H611" s="8"/>
      <c r="AP611" s="27"/>
    </row>
    <row r="612" ht="15.75" customHeight="1">
      <c r="H612" s="8"/>
      <c r="AP612" s="27"/>
    </row>
    <row r="613" ht="15.75" customHeight="1">
      <c r="H613" s="8"/>
      <c r="AP613" s="27"/>
    </row>
    <row r="614" ht="15.75" customHeight="1">
      <c r="H614" s="8"/>
      <c r="AP614" s="27"/>
    </row>
    <row r="615" ht="15.75" customHeight="1">
      <c r="H615" s="8"/>
      <c r="AP615" s="27"/>
    </row>
    <row r="616" ht="15.75" customHeight="1">
      <c r="H616" s="8"/>
      <c r="AP616" s="27"/>
    </row>
    <row r="617" ht="15.75" customHeight="1">
      <c r="H617" s="8"/>
      <c r="AP617" s="27"/>
    </row>
    <row r="618" ht="15.75" customHeight="1">
      <c r="H618" s="8"/>
      <c r="AP618" s="27"/>
    </row>
    <row r="619" ht="15.75" customHeight="1">
      <c r="H619" s="8"/>
      <c r="AP619" s="27"/>
    </row>
    <row r="620" ht="15.75" customHeight="1">
      <c r="H620" s="8"/>
      <c r="AP620" s="27"/>
    </row>
    <row r="621" ht="15.75" customHeight="1">
      <c r="H621" s="8"/>
      <c r="AP621" s="27"/>
    </row>
    <row r="622" ht="15.75" customHeight="1">
      <c r="H622" s="8"/>
      <c r="AP622" s="27"/>
    </row>
    <row r="623" ht="15.75" customHeight="1">
      <c r="H623" s="8"/>
      <c r="AP623" s="27"/>
    </row>
    <row r="624" ht="15.75" customHeight="1">
      <c r="H624" s="8"/>
      <c r="AP624" s="27"/>
    </row>
    <row r="625" ht="15.75" customHeight="1">
      <c r="H625" s="8"/>
      <c r="AP625" s="27"/>
    </row>
    <row r="626" ht="15.75" customHeight="1">
      <c r="H626" s="8"/>
      <c r="AP626" s="27"/>
    </row>
    <row r="627" ht="15.75" customHeight="1">
      <c r="H627" s="8"/>
      <c r="AP627" s="27"/>
    </row>
    <row r="628" ht="15.75" customHeight="1">
      <c r="H628" s="8"/>
      <c r="AP628" s="27"/>
    </row>
    <row r="629" ht="15.75" customHeight="1">
      <c r="H629" s="8"/>
      <c r="AP629" s="27"/>
    </row>
    <row r="630" ht="15.75" customHeight="1">
      <c r="H630" s="8"/>
      <c r="AP630" s="27"/>
    </row>
    <row r="631" ht="15.75" customHeight="1">
      <c r="H631" s="8"/>
      <c r="AP631" s="27"/>
    </row>
    <row r="632" ht="15.75" customHeight="1">
      <c r="H632" s="8"/>
      <c r="AP632" s="27"/>
    </row>
    <row r="633" ht="15.75" customHeight="1">
      <c r="H633" s="8"/>
      <c r="AP633" s="27"/>
    </row>
    <row r="634" ht="15.75" customHeight="1">
      <c r="H634" s="8"/>
      <c r="AP634" s="27"/>
    </row>
    <row r="635" ht="15.75" customHeight="1">
      <c r="H635" s="8"/>
      <c r="AP635" s="27"/>
    </row>
    <row r="636" ht="15.75" customHeight="1">
      <c r="H636" s="8"/>
      <c r="AP636" s="27"/>
    </row>
    <row r="637" ht="15.75" customHeight="1">
      <c r="H637" s="8"/>
      <c r="AP637" s="27"/>
    </row>
    <row r="638" ht="15.75" customHeight="1">
      <c r="H638" s="8"/>
      <c r="AP638" s="27"/>
    </row>
    <row r="639" ht="15.75" customHeight="1">
      <c r="H639" s="8"/>
      <c r="AP639" s="27"/>
    </row>
    <row r="640" ht="15.75" customHeight="1">
      <c r="H640" s="8"/>
      <c r="AP640" s="27"/>
    </row>
    <row r="641" ht="15.75" customHeight="1">
      <c r="H641" s="8"/>
      <c r="AP641" s="27"/>
    </row>
    <row r="642" ht="15.75" customHeight="1">
      <c r="H642" s="8"/>
      <c r="AP642" s="27"/>
    </row>
    <row r="643" ht="15.75" customHeight="1">
      <c r="H643" s="8"/>
      <c r="AP643" s="27"/>
    </row>
    <row r="644" ht="15.75" customHeight="1">
      <c r="H644" s="8"/>
      <c r="AP644" s="27"/>
    </row>
    <row r="645" ht="15.75" customHeight="1">
      <c r="H645" s="8"/>
      <c r="AP645" s="27"/>
    </row>
    <row r="646" ht="15.75" customHeight="1">
      <c r="H646" s="8"/>
      <c r="AP646" s="27"/>
    </row>
    <row r="647" ht="15.75" customHeight="1">
      <c r="H647" s="8"/>
      <c r="AP647" s="27"/>
    </row>
    <row r="648" ht="15.75" customHeight="1">
      <c r="H648" s="8"/>
      <c r="AP648" s="27"/>
    </row>
    <row r="649" ht="15.75" customHeight="1">
      <c r="H649" s="8"/>
      <c r="AP649" s="27"/>
    </row>
    <row r="650" ht="15.75" customHeight="1">
      <c r="H650" s="8"/>
      <c r="AP650" s="27"/>
    </row>
    <row r="651" ht="15.75" customHeight="1">
      <c r="H651" s="8"/>
      <c r="AP651" s="27"/>
    </row>
    <row r="652" ht="15.75" customHeight="1">
      <c r="H652" s="8"/>
      <c r="AP652" s="27"/>
    </row>
    <row r="653" ht="15.75" customHeight="1">
      <c r="H653" s="8"/>
      <c r="AP653" s="27"/>
    </row>
    <row r="654" ht="15.75" customHeight="1">
      <c r="H654" s="8"/>
      <c r="AP654" s="27"/>
    </row>
    <row r="655" ht="15.75" customHeight="1">
      <c r="H655" s="8"/>
      <c r="AP655" s="27"/>
    </row>
    <row r="656" ht="15.75" customHeight="1">
      <c r="H656" s="8"/>
      <c r="AP656" s="27"/>
    </row>
    <row r="657" ht="15.75" customHeight="1">
      <c r="H657" s="8"/>
      <c r="AP657" s="27"/>
    </row>
    <row r="658" ht="15.75" customHeight="1">
      <c r="H658" s="8"/>
      <c r="AP658" s="27"/>
    </row>
    <row r="659" ht="15.75" customHeight="1">
      <c r="H659" s="8"/>
      <c r="AP659" s="27"/>
    </row>
    <row r="660" ht="15.75" customHeight="1">
      <c r="H660" s="8"/>
      <c r="AP660" s="27"/>
    </row>
    <row r="661" ht="15.75" customHeight="1">
      <c r="H661" s="8"/>
      <c r="AP661" s="27"/>
    </row>
    <row r="662" ht="15.75" customHeight="1">
      <c r="H662" s="8"/>
      <c r="AP662" s="27"/>
    </row>
    <row r="663" ht="15.75" customHeight="1">
      <c r="H663" s="8"/>
      <c r="AP663" s="27"/>
    </row>
    <row r="664" ht="15.75" customHeight="1">
      <c r="H664" s="8"/>
      <c r="AP664" s="27"/>
    </row>
    <row r="665" ht="15.75" customHeight="1">
      <c r="H665" s="8"/>
      <c r="AP665" s="27"/>
    </row>
    <row r="666" ht="15.75" customHeight="1">
      <c r="H666" s="8"/>
      <c r="AP666" s="27"/>
    </row>
    <row r="667" ht="15.75" customHeight="1">
      <c r="H667" s="8"/>
      <c r="AP667" s="27"/>
    </row>
    <row r="668" ht="15.75" customHeight="1">
      <c r="H668" s="8"/>
      <c r="AP668" s="27"/>
    </row>
    <row r="669" ht="15.75" customHeight="1">
      <c r="H669" s="8"/>
      <c r="AP669" s="27"/>
    </row>
    <row r="670" ht="15.75" customHeight="1">
      <c r="H670" s="8"/>
      <c r="AP670" s="27"/>
    </row>
    <row r="671" ht="15.75" customHeight="1">
      <c r="H671" s="8"/>
      <c r="AP671" s="27"/>
    </row>
    <row r="672" ht="15.75" customHeight="1">
      <c r="H672" s="8"/>
      <c r="AP672" s="27"/>
    </row>
    <row r="673" ht="15.75" customHeight="1">
      <c r="H673" s="8"/>
      <c r="AP673" s="27"/>
    </row>
    <row r="674" ht="15.75" customHeight="1">
      <c r="H674" s="8"/>
      <c r="AP674" s="27"/>
    </row>
    <row r="675" ht="15.75" customHeight="1">
      <c r="H675" s="8"/>
      <c r="AP675" s="27"/>
    </row>
    <row r="676" ht="15.75" customHeight="1">
      <c r="H676" s="8"/>
      <c r="AP676" s="27"/>
    </row>
    <row r="677" ht="15.75" customHeight="1">
      <c r="H677" s="8"/>
      <c r="AP677" s="27"/>
    </row>
    <row r="678" ht="15.75" customHeight="1">
      <c r="H678" s="8"/>
      <c r="AP678" s="27"/>
    </row>
    <row r="679" ht="15.75" customHeight="1">
      <c r="H679" s="8"/>
      <c r="AP679" s="27"/>
    </row>
    <row r="680" ht="15.75" customHeight="1">
      <c r="H680" s="8"/>
      <c r="AP680" s="27"/>
    </row>
    <row r="681" ht="15.75" customHeight="1">
      <c r="H681" s="8"/>
      <c r="AP681" s="27"/>
    </row>
    <row r="682" ht="15.75" customHeight="1">
      <c r="H682" s="8"/>
      <c r="AP682" s="27"/>
    </row>
    <row r="683" ht="15.75" customHeight="1">
      <c r="H683" s="8"/>
      <c r="AP683" s="27"/>
    </row>
    <row r="684" ht="15.75" customHeight="1">
      <c r="H684" s="8"/>
      <c r="AP684" s="27"/>
    </row>
    <row r="685" ht="15.75" customHeight="1">
      <c r="H685" s="8"/>
      <c r="AP685" s="27"/>
    </row>
    <row r="686" ht="15.75" customHeight="1">
      <c r="H686" s="8"/>
      <c r="AP686" s="27"/>
    </row>
    <row r="687" ht="15.75" customHeight="1">
      <c r="H687" s="8"/>
      <c r="AP687" s="27"/>
    </row>
    <row r="688" ht="15.75" customHeight="1">
      <c r="H688" s="8"/>
      <c r="AP688" s="27"/>
    </row>
    <row r="689" ht="15.75" customHeight="1">
      <c r="H689" s="8"/>
      <c r="AP689" s="27"/>
    </row>
    <row r="690" ht="15.75" customHeight="1">
      <c r="H690" s="8"/>
      <c r="AP690" s="27"/>
    </row>
    <row r="691" ht="15.75" customHeight="1">
      <c r="H691" s="8"/>
      <c r="AP691" s="27"/>
    </row>
    <row r="692" ht="15.75" customHeight="1">
      <c r="H692" s="8"/>
      <c r="AP692" s="27"/>
    </row>
    <row r="693" ht="15.75" customHeight="1">
      <c r="H693" s="8"/>
      <c r="AP693" s="27"/>
    </row>
    <row r="694" ht="15.75" customHeight="1">
      <c r="H694" s="8"/>
      <c r="AP694" s="27"/>
    </row>
    <row r="695" ht="15.75" customHeight="1">
      <c r="H695" s="8"/>
      <c r="AP695" s="27"/>
    </row>
    <row r="696" ht="15.75" customHeight="1">
      <c r="H696" s="8"/>
      <c r="AP696" s="27"/>
    </row>
    <row r="697" ht="15.75" customHeight="1">
      <c r="H697" s="8"/>
      <c r="AP697" s="27"/>
    </row>
    <row r="698" ht="15.75" customHeight="1">
      <c r="H698" s="8"/>
      <c r="AP698" s="27"/>
    </row>
    <row r="699" ht="15.75" customHeight="1">
      <c r="H699" s="8"/>
      <c r="AP699" s="27"/>
    </row>
    <row r="700" ht="15.75" customHeight="1">
      <c r="H700" s="8"/>
      <c r="AP700" s="27"/>
    </row>
    <row r="701" ht="15.75" customHeight="1">
      <c r="H701" s="8"/>
      <c r="AP701" s="27"/>
    </row>
    <row r="702" ht="15.75" customHeight="1">
      <c r="H702" s="8"/>
      <c r="AP702" s="27"/>
    </row>
    <row r="703" ht="15.75" customHeight="1">
      <c r="H703" s="8"/>
      <c r="AP703" s="27"/>
    </row>
    <row r="704" ht="15.75" customHeight="1">
      <c r="H704" s="8"/>
      <c r="AP704" s="27"/>
    </row>
    <row r="705" ht="15.75" customHeight="1">
      <c r="H705" s="8"/>
      <c r="AP705" s="27"/>
    </row>
    <row r="706" ht="15.75" customHeight="1">
      <c r="H706" s="8"/>
      <c r="AP706" s="27"/>
    </row>
    <row r="707" ht="15.75" customHeight="1">
      <c r="H707" s="8"/>
      <c r="AP707" s="27"/>
    </row>
    <row r="708" ht="15.75" customHeight="1">
      <c r="H708" s="8"/>
      <c r="AP708" s="27"/>
    </row>
    <row r="709" ht="15.75" customHeight="1">
      <c r="H709" s="8"/>
      <c r="AP709" s="27"/>
    </row>
    <row r="710" ht="15.75" customHeight="1">
      <c r="H710" s="8"/>
      <c r="AP710" s="27"/>
    </row>
    <row r="711" ht="15.75" customHeight="1">
      <c r="H711" s="8"/>
      <c r="AP711" s="27"/>
    </row>
    <row r="712" ht="15.75" customHeight="1">
      <c r="H712" s="8"/>
      <c r="AP712" s="27"/>
    </row>
    <row r="713" ht="15.75" customHeight="1">
      <c r="H713" s="8"/>
      <c r="AP713" s="27"/>
    </row>
    <row r="714" ht="15.75" customHeight="1">
      <c r="H714" s="8"/>
      <c r="AP714" s="27"/>
    </row>
    <row r="715" ht="15.75" customHeight="1">
      <c r="H715" s="8"/>
      <c r="AP715" s="27"/>
    </row>
    <row r="716" ht="15.75" customHeight="1">
      <c r="H716" s="8"/>
      <c r="AP716" s="27"/>
    </row>
    <row r="717" ht="15.75" customHeight="1">
      <c r="H717" s="8"/>
      <c r="AP717" s="27"/>
    </row>
    <row r="718" ht="15.75" customHeight="1">
      <c r="H718" s="8"/>
      <c r="AP718" s="27"/>
    </row>
    <row r="719" ht="15.75" customHeight="1">
      <c r="H719" s="8"/>
      <c r="AP719" s="27"/>
    </row>
    <row r="720" ht="15.75" customHeight="1">
      <c r="H720" s="8"/>
      <c r="AP720" s="27"/>
    </row>
    <row r="721" ht="15.75" customHeight="1">
      <c r="H721" s="8"/>
      <c r="AP721" s="27"/>
    </row>
    <row r="722" ht="15.75" customHeight="1">
      <c r="H722" s="8"/>
      <c r="AP722" s="27"/>
    </row>
    <row r="723" ht="15.75" customHeight="1">
      <c r="H723" s="8"/>
      <c r="AP723" s="27"/>
    </row>
    <row r="724" ht="15.75" customHeight="1">
      <c r="H724" s="8"/>
      <c r="AP724" s="27"/>
    </row>
    <row r="725" ht="15.75" customHeight="1">
      <c r="H725" s="8"/>
      <c r="AP725" s="27"/>
    </row>
    <row r="726" ht="15.75" customHeight="1">
      <c r="H726" s="8"/>
      <c r="AP726" s="27"/>
    </row>
    <row r="727" ht="15.75" customHeight="1">
      <c r="H727" s="8"/>
      <c r="AP727" s="27"/>
    </row>
    <row r="728" ht="15.75" customHeight="1">
      <c r="H728" s="8"/>
      <c r="AP728" s="27"/>
    </row>
    <row r="729" ht="15.75" customHeight="1">
      <c r="H729" s="8"/>
      <c r="AP729" s="27"/>
    </row>
    <row r="730" ht="15.75" customHeight="1">
      <c r="H730" s="8"/>
      <c r="AP730" s="27"/>
    </row>
    <row r="731" ht="15.75" customHeight="1">
      <c r="H731" s="8"/>
      <c r="AP731" s="27"/>
    </row>
    <row r="732" ht="15.75" customHeight="1">
      <c r="H732" s="8"/>
      <c r="AP732" s="27"/>
    </row>
    <row r="733" ht="15.75" customHeight="1">
      <c r="H733" s="8"/>
      <c r="AP733" s="27"/>
    </row>
    <row r="734" ht="15.75" customHeight="1">
      <c r="H734" s="8"/>
      <c r="AP734" s="27"/>
    </row>
    <row r="735" ht="15.75" customHeight="1">
      <c r="H735" s="8"/>
      <c r="AP735" s="27"/>
    </row>
    <row r="736" ht="15.75" customHeight="1">
      <c r="H736" s="8"/>
      <c r="AP736" s="27"/>
    </row>
    <row r="737" ht="15.75" customHeight="1">
      <c r="H737" s="8"/>
      <c r="AP737" s="27"/>
    </row>
    <row r="738" ht="15.75" customHeight="1">
      <c r="H738" s="8"/>
      <c r="AP738" s="27"/>
    </row>
    <row r="739" ht="15.75" customHeight="1">
      <c r="H739" s="8"/>
      <c r="AP739" s="27"/>
    </row>
    <row r="740" ht="15.75" customHeight="1">
      <c r="H740" s="8"/>
      <c r="AP740" s="27"/>
    </row>
    <row r="741" ht="15.75" customHeight="1">
      <c r="H741" s="8"/>
      <c r="AP741" s="27"/>
    </row>
    <row r="742" ht="15.75" customHeight="1">
      <c r="H742" s="8"/>
      <c r="AP742" s="27"/>
    </row>
    <row r="743" ht="15.75" customHeight="1">
      <c r="H743" s="8"/>
      <c r="AP743" s="27"/>
    </row>
    <row r="744" ht="15.75" customHeight="1">
      <c r="H744" s="8"/>
      <c r="AP744" s="27"/>
    </row>
    <row r="745" ht="15.75" customHeight="1">
      <c r="H745" s="8"/>
      <c r="AP745" s="27"/>
    </row>
    <row r="746" ht="15.75" customHeight="1">
      <c r="H746" s="8"/>
      <c r="AP746" s="27"/>
    </row>
    <row r="747" ht="15.75" customHeight="1">
      <c r="H747" s="8"/>
      <c r="AP747" s="27"/>
    </row>
    <row r="748" ht="15.75" customHeight="1">
      <c r="H748" s="8"/>
      <c r="AP748" s="27"/>
    </row>
    <row r="749" ht="15.75" customHeight="1">
      <c r="H749" s="8"/>
      <c r="AP749" s="27"/>
    </row>
    <row r="750" ht="15.75" customHeight="1">
      <c r="H750" s="8"/>
      <c r="AP750" s="27"/>
    </row>
    <row r="751" ht="15.75" customHeight="1">
      <c r="H751" s="8"/>
      <c r="AP751" s="27"/>
    </row>
    <row r="752" ht="15.75" customHeight="1">
      <c r="H752" s="8"/>
      <c r="AP752" s="27"/>
    </row>
    <row r="753" ht="15.75" customHeight="1">
      <c r="H753" s="8"/>
      <c r="AP753" s="27"/>
    </row>
    <row r="754" ht="15.75" customHeight="1">
      <c r="H754" s="8"/>
      <c r="AP754" s="27"/>
    </row>
    <row r="755" ht="15.75" customHeight="1">
      <c r="H755" s="8"/>
      <c r="AP755" s="27"/>
    </row>
    <row r="756" ht="15.75" customHeight="1">
      <c r="H756" s="8"/>
      <c r="AP756" s="27"/>
    </row>
    <row r="757" ht="15.75" customHeight="1">
      <c r="H757" s="8"/>
      <c r="AP757" s="27"/>
    </row>
    <row r="758" ht="15.75" customHeight="1">
      <c r="H758" s="8"/>
      <c r="AP758" s="27"/>
    </row>
    <row r="759" ht="15.75" customHeight="1">
      <c r="H759" s="8"/>
      <c r="AP759" s="27"/>
    </row>
    <row r="760" ht="15.75" customHeight="1">
      <c r="H760" s="8"/>
      <c r="AP760" s="27"/>
    </row>
    <row r="761" ht="15.75" customHeight="1">
      <c r="H761" s="8"/>
      <c r="AP761" s="27"/>
    </row>
    <row r="762" ht="15.75" customHeight="1">
      <c r="H762" s="8"/>
      <c r="AP762" s="27"/>
    </row>
    <row r="763" ht="15.75" customHeight="1">
      <c r="H763" s="8"/>
      <c r="AP763" s="27"/>
    </row>
    <row r="764" ht="15.75" customHeight="1">
      <c r="H764" s="8"/>
      <c r="AP764" s="27"/>
    </row>
    <row r="765" ht="15.75" customHeight="1">
      <c r="H765" s="8"/>
      <c r="AP765" s="27"/>
    </row>
    <row r="766" ht="15.75" customHeight="1">
      <c r="H766" s="8"/>
      <c r="AP766" s="27"/>
    </row>
    <row r="767" ht="15.75" customHeight="1">
      <c r="H767" s="8"/>
      <c r="AP767" s="27"/>
    </row>
    <row r="768" ht="15.75" customHeight="1">
      <c r="H768" s="8"/>
      <c r="AP768" s="27"/>
    </row>
    <row r="769" ht="15.75" customHeight="1">
      <c r="H769" s="8"/>
      <c r="AP769" s="27"/>
    </row>
    <row r="770" ht="15.75" customHeight="1">
      <c r="H770" s="8"/>
      <c r="AP770" s="27"/>
    </row>
    <row r="771" ht="15.75" customHeight="1">
      <c r="H771" s="8"/>
      <c r="AP771" s="27"/>
    </row>
    <row r="772" ht="15.75" customHeight="1">
      <c r="H772" s="8"/>
      <c r="AP772" s="27"/>
    </row>
    <row r="773" ht="15.75" customHeight="1">
      <c r="H773" s="8"/>
      <c r="AP773" s="27"/>
    </row>
    <row r="774" ht="15.75" customHeight="1">
      <c r="H774" s="8"/>
      <c r="AP774" s="27"/>
    </row>
    <row r="775" ht="15.75" customHeight="1">
      <c r="H775" s="8"/>
      <c r="AP775" s="27"/>
    </row>
    <row r="776" ht="15.75" customHeight="1">
      <c r="H776" s="8"/>
      <c r="AP776" s="27"/>
    </row>
    <row r="777" ht="15.75" customHeight="1">
      <c r="H777" s="8"/>
      <c r="AP777" s="27"/>
    </row>
    <row r="778" ht="15.75" customHeight="1">
      <c r="H778" s="8"/>
      <c r="AP778" s="27"/>
    </row>
    <row r="779" ht="15.75" customHeight="1">
      <c r="H779" s="8"/>
      <c r="AP779" s="27"/>
    </row>
    <row r="780" ht="15.75" customHeight="1">
      <c r="H780" s="8"/>
      <c r="AP780" s="27"/>
    </row>
    <row r="781" ht="15.75" customHeight="1">
      <c r="H781" s="8"/>
      <c r="AP781" s="27"/>
    </row>
    <row r="782" ht="15.75" customHeight="1">
      <c r="H782" s="8"/>
      <c r="AP782" s="27"/>
    </row>
    <row r="783" ht="15.75" customHeight="1">
      <c r="H783" s="8"/>
      <c r="AP783" s="27"/>
    </row>
    <row r="784" ht="15.75" customHeight="1">
      <c r="H784" s="8"/>
      <c r="AP784" s="27"/>
    </row>
    <row r="785" ht="15.75" customHeight="1">
      <c r="H785" s="8"/>
      <c r="AP785" s="27"/>
    </row>
    <row r="786" ht="15.75" customHeight="1">
      <c r="H786" s="8"/>
      <c r="AP786" s="27"/>
    </row>
    <row r="787" ht="15.75" customHeight="1">
      <c r="H787" s="8"/>
      <c r="AP787" s="27"/>
    </row>
    <row r="788" ht="15.75" customHeight="1">
      <c r="H788" s="8"/>
      <c r="AP788" s="27"/>
    </row>
    <row r="789" ht="15.75" customHeight="1">
      <c r="H789" s="8"/>
      <c r="AP789" s="27"/>
    </row>
    <row r="790" ht="15.75" customHeight="1">
      <c r="H790" s="8"/>
      <c r="AP790" s="27"/>
    </row>
    <row r="791" ht="15.75" customHeight="1">
      <c r="H791" s="8"/>
      <c r="AP791" s="27"/>
    </row>
    <row r="792" ht="15.75" customHeight="1">
      <c r="H792" s="8"/>
      <c r="AP792" s="27"/>
    </row>
    <row r="793" ht="15.75" customHeight="1">
      <c r="H793" s="8"/>
      <c r="AP793" s="27"/>
    </row>
    <row r="794" ht="15.75" customHeight="1">
      <c r="H794" s="8"/>
      <c r="AP794" s="27"/>
    </row>
    <row r="795" ht="15.75" customHeight="1">
      <c r="H795" s="8"/>
      <c r="AP795" s="27"/>
    </row>
    <row r="796" ht="15.75" customHeight="1">
      <c r="H796" s="8"/>
      <c r="AP796" s="27"/>
    </row>
    <row r="797" ht="15.75" customHeight="1">
      <c r="H797" s="8"/>
      <c r="AP797" s="27"/>
    </row>
    <row r="798" ht="15.75" customHeight="1">
      <c r="H798" s="8"/>
      <c r="AP798" s="27"/>
    </row>
    <row r="799" ht="15.75" customHeight="1">
      <c r="H799" s="8"/>
      <c r="AP799" s="27"/>
    </row>
    <row r="800" ht="15.75" customHeight="1">
      <c r="H800" s="8"/>
      <c r="AP800" s="27"/>
    </row>
    <row r="801" ht="15.75" customHeight="1">
      <c r="H801" s="8"/>
      <c r="AP801" s="27"/>
    </row>
    <row r="802" ht="15.75" customHeight="1">
      <c r="H802" s="8"/>
      <c r="AP802" s="27"/>
    </row>
    <row r="803" ht="15.75" customHeight="1">
      <c r="H803" s="8"/>
      <c r="AP803" s="27"/>
    </row>
    <row r="804" ht="15.75" customHeight="1">
      <c r="H804" s="8"/>
      <c r="AP804" s="27"/>
    </row>
    <row r="805" ht="15.75" customHeight="1">
      <c r="H805" s="8"/>
      <c r="AP805" s="27"/>
    </row>
    <row r="806" ht="15.75" customHeight="1">
      <c r="H806" s="8"/>
      <c r="AP806" s="27"/>
    </row>
    <row r="807" ht="15.75" customHeight="1">
      <c r="H807" s="8"/>
      <c r="AP807" s="27"/>
    </row>
    <row r="808" ht="15.75" customHeight="1">
      <c r="H808" s="8"/>
      <c r="AP808" s="27"/>
    </row>
    <row r="809" ht="15.75" customHeight="1">
      <c r="H809" s="8"/>
      <c r="AP809" s="27"/>
    </row>
    <row r="810" ht="15.75" customHeight="1">
      <c r="H810" s="8"/>
      <c r="AP810" s="27"/>
    </row>
    <row r="811" ht="15.75" customHeight="1">
      <c r="H811" s="8"/>
      <c r="AP811" s="27"/>
    </row>
    <row r="812" ht="15.75" customHeight="1">
      <c r="H812" s="8"/>
      <c r="AP812" s="27"/>
    </row>
    <row r="813" ht="15.75" customHeight="1">
      <c r="H813" s="8"/>
      <c r="AP813" s="27"/>
    </row>
    <row r="814" ht="15.75" customHeight="1">
      <c r="H814" s="8"/>
      <c r="AP814" s="27"/>
    </row>
    <row r="815" ht="15.75" customHeight="1">
      <c r="H815" s="8"/>
      <c r="AP815" s="27"/>
    </row>
    <row r="816" ht="15.75" customHeight="1">
      <c r="H816" s="8"/>
      <c r="AP816" s="27"/>
    </row>
    <row r="817" ht="15.75" customHeight="1">
      <c r="H817" s="8"/>
      <c r="AP817" s="27"/>
    </row>
    <row r="818" ht="15.75" customHeight="1">
      <c r="H818" s="8"/>
      <c r="AP818" s="27"/>
    </row>
    <row r="819" ht="15.75" customHeight="1">
      <c r="H819" s="8"/>
      <c r="AP819" s="27"/>
    </row>
    <row r="820" ht="15.75" customHeight="1">
      <c r="H820" s="8"/>
      <c r="AP820" s="27"/>
    </row>
    <row r="821" ht="15.75" customHeight="1">
      <c r="H821" s="8"/>
      <c r="AP821" s="27"/>
    </row>
    <row r="822" ht="15.75" customHeight="1">
      <c r="H822" s="8"/>
      <c r="AP822" s="27"/>
    </row>
    <row r="823" ht="15.75" customHeight="1">
      <c r="H823" s="8"/>
      <c r="AP823" s="27"/>
    </row>
    <row r="824" ht="15.75" customHeight="1">
      <c r="H824" s="8"/>
      <c r="AP824" s="27"/>
    </row>
    <row r="825" ht="15.75" customHeight="1">
      <c r="H825" s="8"/>
      <c r="AP825" s="27"/>
    </row>
    <row r="826" ht="15.75" customHeight="1">
      <c r="H826" s="8"/>
      <c r="AP826" s="27"/>
    </row>
    <row r="827" ht="15.75" customHeight="1">
      <c r="H827" s="8"/>
      <c r="AP827" s="27"/>
    </row>
    <row r="828" ht="15.75" customHeight="1">
      <c r="H828" s="8"/>
      <c r="AP828" s="27"/>
    </row>
    <row r="829" ht="15.75" customHeight="1">
      <c r="H829" s="8"/>
      <c r="AP829" s="27"/>
    </row>
    <row r="830" ht="15.75" customHeight="1">
      <c r="H830" s="8"/>
      <c r="AP830" s="27"/>
    </row>
    <row r="831" ht="15.75" customHeight="1">
      <c r="H831" s="8"/>
      <c r="AP831" s="27"/>
    </row>
    <row r="832" ht="15.75" customHeight="1">
      <c r="H832" s="8"/>
      <c r="AP832" s="27"/>
    </row>
    <row r="833" ht="15.75" customHeight="1">
      <c r="H833" s="8"/>
      <c r="AP833" s="27"/>
    </row>
    <row r="834" ht="15.75" customHeight="1">
      <c r="H834" s="8"/>
      <c r="AP834" s="27"/>
    </row>
    <row r="835" ht="15.75" customHeight="1">
      <c r="H835" s="8"/>
      <c r="AP835" s="27"/>
    </row>
    <row r="836" ht="15.75" customHeight="1">
      <c r="H836" s="8"/>
      <c r="AP836" s="27"/>
    </row>
    <row r="837" ht="15.75" customHeight="1">
      <c r="H837" s="8"/>
      <c r="AP837" s="27"/>
    </row>
    <row r="838" ht="15.75" customHeight="1">
      <c r="H838" s="8"/>
      <c r="AP838" s="27"/>
    </row>
    <row r="839" ht="15.75" customHeight="1">
      <c r="H839" s="8"/>
      <c r="AP839" s="27"/>
    </row>
    <row r="840" ht="15.75" customHeight="1">
      <c r="H840" s="8"/>
      <c r="AP840" s="27"/>
    </row>
    <row r="841" ht="15.75" customHeight="1">
      <c r="H841" s="8"/>
      <c r="AP841" s="27"/>
    </row>
    <row r="842" ht="15.75" customHeight="1">
      <c r="H842" s="8"/>
      <c r="AP842" s="27"/>
    </row>
    <row r="843" ht="15.75" customHeight="1">
      <c r="H843" s="8"/>
      <c r="AP843" s="27"/>
    </row>
    <row r="844" ht="15.75" customHeight="1">
      <c r="H844" s="8"/>
      <c r="AP844" s="27"/>
    </row>
    <row r="845" ht="15.75" customHeight="1">
      <c r="H845" s="8"/>
      <c r="AP845" s="27"/>
    </row>
    <row r="846" ht="15.75" customHeight="1">
      <c r="H846" s="8"/>
      <c r="AP846" s="27"/>
    </row>
    <row r="847" ht="15.75" customHeight="1">
      <c r="H847" s="8"/>
      <c r="AP847" s="27"/>
    </row>
    <row r="848" ht="15.75" customHeight="1">
      <c r="H848" s="8"/>
      <c r="AP848" s="27"/>
    </row>
    <row r="849" ht="15.75" customHeight="1">
      <c r="H849" s="8"/>
      <c r="AP849" s="27"/>
    </row>
    <row r="850" ht="15.75" customHeight="1">
      <c r="H850" s="8"/>
      <c r="AP850" s="27"/>
    </row>
    <row r="851" ht="15.75" customHeight="1">
      <c r="H851" s="8"/>
      <c r="AP851" s="27"/>
    </row>
    <row r="852" ht="15.75" customHeight="1">
      <c r="H852" s="8"/>
      <c r="AP852" s="27"/>
    </row>
    <row r="853" ht="15.75" customHeight="1">
      <c r="H853" s="8"/>
      <c r="AP853" s="27"/>
    </row>
    <row r="854" ht="15.75" customHeight="1">
      <c r="H854" s="8"/>
      <c r="AP854" s="27"/>
    </row>
    <row r="855" ht="15.75" customHeight="1">
      <c r="H855" s="8"/>
      <c r="AP855" s="27"/>
    </row>
    <row r="856" ht="15.75" customHeight="1">
      <c r="H856" s="8"/>
      <c r="AP856" s="27"/>
    </row>
    <row r="857" ht="15.75" customHeight="1">
      <c r="H857" s="8"/>
      <c r="AP857" s="27"/>
    </row>
    <row r="858" ht="15.75" customHeight="1">
      <c r="H858" s="8"/>
      <c r="AP858" s="27"/>
    </row>
    <row r="859" ht="15.75" customHeight="1">
      <c r="H859" s="8"/>
      <c r="AP859" s="27"/>
    </row>
    <row r="860" ht="15.75" customHeight="1">
      <c r="H860" s="8"/>
      <c r="AP860" s="27"/>
    </row>
    <row r="861" ht="15.75" customHeight="1">
      <c r="H861" s="8"/>
      <c r="AP861" s="27"/>
    </row>
    <row r="862" ht="15.75" customHeight="1">
      <c r="H862" s="8"/>
      <c r="AP862" s="27"/>
    </row>
    <row r="863" ht="15.75" customHeight="1">
      <c r="H863" s="8"/>
      <c r="AP863" s="27"/>
    </row>
    <row r="864" ht="15.75" customHeight="1">
      <c r="H864" s="8"/>
      <c r="AP864" s="27"/>
    </row>
    <row r="865" ht="15.75" customHeight="1">
      <c r="H865" s="8"/>
      <c r="AP865" s="27"/>
    </row>
    <row r="866" ht="15.75" customHeight="1">
      <c r="H866" s="8"/>
      <c r="AP866" s="27"/>
    </row>
    <row r="867" ht="15.75" customHeight="1">
      <c r="H867" s="8"/>
      <c r="AP867" s="27"/>
    </row>
    <row r="868" ht="15.75" customHeight="1">
      <c r="H868" s="8"/>
      <c r="AP868" s="27"/>
    </row>
    <row r="869" ht="15.75" customHeight="1">
      <c r="H869" s="8"/>
      <c r="AP869" s="27"/>
    </row>
    <row r="870" ht="15.75" customHeight="1">
      <c r="H870" s="8"/>
      <c r="AP870" s="27"/>
    </row>
    <row r="871" ht="15.75" customHeight="1">
      <c r="H871" s="8"/>
      <c r="AP871" s="27"/>
    </row>
    <row r="872" ht="15.75" customHeight="1">
      <c r="H872" s="8"/>
      <c r="AP872" s="27"/>
    </row>
    <row r="873" ht="15.75" customHeight="1">
      <c r="H873" s="8"/>
      <c r="AP873" s="27"/>
    </row>
    <row r="874" ht="15.75" customHeight="1">
      <c r="H874" s="8"/>
      <c r="AP874" s="27"/>
    </row>
    <row r="875" ht="15.75" customHeight="1">
      <c r="H875" s="8"/>
      <c r="AP875" s="27"/>
    </row>
    <row r="876" ht="15.75" customHeight="1">
      <c r="H876" s="8"/>
      <c r="AP876" s="27"/>
    </row>
    <row r="877" ht="15.75" customHeight="1">
      <c r="H877" s="8"/>
      <c r="AP877" s="27"/>
    </row>
    <row r="878" ht="15.75" customHeight="1">
      <c r="H878" s="8"/>
      <c r="AP878" s="27"/>
    </row>
    <row r="879" ht="15.75" customHeight="1">
      <c r="H879" s="8"/>
      <c r="AP879" s="27"/>
    </row>
    <row r="880" ht="15.75" customHeight="1">
      <c r="H880" s="8"/>
      <c r="AP880" s="27"/>
    </row>
    <row r="881" ht="15.75" customHeight="1">
      <c r="H881" s="8"/>
      <c r="AP881" s="27"/>
    </row>
    <row r="882" ht="15.75" customHeight="1">
      <c r="H882" s="8"/>
      <c r="AP882" s="27"/>
    </row>
    <row r="883" ht="15.75" customHeight="1">
      <c r="H883" s="8"/>
      <c r="AP883" s="27"/>
    </row>
    <row r="884" ht="15.75" customHeight="1">
      <c r="H884" s="8"/>
      <c r="AP884" s="27"/>
    </row>
    <row r="885" ht="15.75" customHeight="1">
      <c r="H885" s="8"/>
      <c r="AP885" s="27"/>
    </row>
    <row r="886" ht="15.75" customHeight="1">
      <c r="H886" s="8"/>
      <c r="AP886" s="27"/>
    </row>
    <row r="887" ht="15.75" customHeight="1">
      <c r="H887" s="8"/>
      <c r="AP887" s="27"/>
    </row>
    <row r="888" ht="15.75" customHeight="1">
      <c r="H888" s="8"/>
      <c r="AP888" s="27"/>
    </row>
    <row r="889" ht="15.75" customHeight="1">
      <c r="H889" s="8"/>
      <c r="AP889" s="27"/>
    </row>
    <row r="890" ht="15.75" customHeight="1">
      <c r="H890" s="8"/>
      <c r="AP890" s="27"/>
    </row>
    <row r="891" ht="15.75" customHeight="1">
      <c r="H891" s="8"/>
      <c r="AP891" s="27"/>
    </row>
    <row r="892" ht="15.75" customHeight="1">
      <c r="H892" s="8"/>
      <c r="AP892" s="27"/>
    </row>
    <row r="893" ht="15.75" customHeight="1">
      <c r="H893" s="8"/>
      <c r="AP893" s="27"/>
    </row>
    <row r="894" ht="15.75" customHeight="1">
      <c r="H894" s="8"/>
      <c r="AP894" s="27"/>
    </row>
    <row r="895" ht="15.75" customHeight="1">
      <c r="H895" s="8"/>
      <c r="AP895" s="27"/>
    </row>
    <row r="896" ht="15.75" customHeight="1">
      <c r="H896" s="8"/>
      <c r="AP896" s="27"/>
    </row>
    <row r="897" ht="15.75" customHeight="1">
      <c r="H897" s="8"/>
      <c r="AP897" s="27"/>
    </row>
    <row r="898" ht="15.75" customHeight="1">
      <c r="H898" s="8"/>
      <c r="AP898" s="27"/>
    </row>
    <row r="899" ht="15.75" customHeight="1">
      <c r="H899" s="8"/>
      <c r="AP899" s="27"/>
    </row>
    <row r="900" ht="15.75" customHeight="1">
      <c r="H900" s="8"/>
      <c r="AP900" s="27"/>
    </row>
    <row r="901" ht="15.75" customHeight="1">
      <c r="H901" s="8"/>
      <c r="AP901" s="27"/>
    </row>
    <row r="902" ht="15.75" customHeight="1">
      <c r="H902" s="8"/>
      <c r="AP902" s="27"/>
    </row>
    <row r="903" ht="15.75" customHeight="1">
      <c r="H903" s="8"/>
      <c r="AP903" s="27"/>
    </row>
    <row r="904" ht="15.75" customHeight="1">
      <c r="H904" s="8"/>
      <c r="AP904" s="27"/>
    </row>
    <row r="905" ht="15.75" customHeight="1">
      <c r="H905" s="8"/>
      <c r="AP905" s="27"/>
    </row>
    <row r="906" ht="15.75" customHeight="1">
      <c r="H906" s="8"/>
      <c r="AP906" s="27"/>
    </row>
    <row r="907" ht="15.75" customHeight="1">
      <c r="H907" s="8"/>
      <c r="AP907" s="27"/>
    </row>
    <row r="908" ht="15.75" customHeight="1">
      <c r="H908" s="8"/>
      <c r="AP908" s="27"/>
    </row>
    <row r="909" ht="15.75" customHeight="1">
      <c r="H909" s="8"/>
      <c r="AP909" s="27"/>
    </row>
    <row r="910" ht="15.75" customHeight="1">
      <c r="H910" s="8"/>
      <c r="AP910" s="27"/>
    </row>
    <row r="911" ht="15.75" customHeight="1">
      <c r="H911" s="8"/>
      <c r="AP911" s="27"/>
    </row>
    <row r="912" ht="15.75" customHeight="1">
      <c r="H912" s="8"/>
      <c r="AP912" s="27"/>
    </row>
    <row r="913" ht="15.75" customHeight="1">
      <c r="H913" s="8"/>
      <c r="AP913" s="27"/>
    </row>
    <row r="914" ht="15.75" customHeight="1">
      <c r="H914" s="8"/>
      <c r="AP914" s="27"/>
    </row>
    <row r="915" ht="15.75" customHeight="1">
      <c r="H915" s="8"/>
      <c r="AP915" s="27"/>
    </row>
    <row r="916" ht="15.75" customHeight="1">
      <c r="H916" s="8"/>
      <c r="AP916" s="27"/>
    </row>
    <row r="917" ht="15.75" customHeight="1">
      <c r="H917" s="8"/>
      <c r="AP917" s="27"/>
    </row>
    <row r="918" ht="15.75" customHeight="1">
      <c r="H918" s="8"/>
      <c r="AP918" s="27"/>
    </row>
    <row r="919" ht="15.75" customHeight="1">
      <c r="H919" s="8"/>
      <c r="AP919" s="27"/>
    </row>
    <row r="920" ht="15.75" customHeight="1">
      <c r="H920" s="8"/>
      <c r="AP920" s="27"/>
    </row>
    <row r="921" ht="15.75" customHeight="1">
      <c r="H921" s="8"/>
      <c r="AP921" s="27"/>
    </row>
    <row r="922" ht="15.75" customHeight="1">
      <c r="H922" s="8"/>
      <c r="AP922" s="27"/>
    </row>
    <row r="923" ht="15.75" customHeight="1">
      <c r="H923" s="8"/>
      <c r="AP923" s="27"/>
    </row>
    <row r="924" ht="15.75" customHeight="1">
      <c r="H924" s="8"/>
      <c r="AP924" s="27"/>
    </row>
    <row r="925" ht="15.75" customHeight="1">
      <c r="H925" s="8"/>
      <c r="AP925" s="27"/>
    </row>
    <row r="926" ht="15.75" customHeight="1">
      <c r="H926" s="8"/>
      <c r="AP926" s="27"/>
    </row>
    <row r="927" ht="15.75" customHeight="1">
      <c r="H927" s="8"/>
      <c r="AP927" s="27"/>
    </row>
    <row r="928" ht="15.75" customHeight="1">
      <c r="H928" s="8"/>
      <c r="AP928" s="27"/>
    </row>
    <row r="929" ht="15.75" customHeight="1">
      <c r="H929" s="8"/>
      <c r="AP929" s="27"/>
    </row>
    <row r="930" ht="15.75" customHeight="1">
      <c r="H930" s="8"/>
      <c r="AP930" s="27"/>
    </row>
    <row r="931" ht="15.75" customHeight="1">
      <c r="H931" s="8"/>
      <c r="AP931" s="27"/>
    </row>
    <row r="932" ht="15.75" customHeight="1">
      <c r="H932" s="8"/>
      <c r="AP932" s="27"/>
    </row>
    <row r="933" ht="15.75" customHeight="1">
      <c r="H933" s="8"/>
      <c r="AP933" s="27"/>
    </row>
    <row r="934" ht="15.75" customHeight="1">
      <c r="H934" s="8"/>
      <c r="AP934" s="27"/>
    </row>
    <row r="935" ht="15.75" customHeight="1">
      <c r="H935" s="8"/>
      <c r="AP935" s="27"/>
    </row>
    <row r="936" ht="15.75" customHeight="1">
      <c r="H936" s="8"/>
      <c r="AP936" s="27"/>
    </row>
    <row r="937" ht="15.75" customHeight="1">
      <c r="H937" s="8"/>
      <c r="AP937" s="27"/>
    </row>
    <row r="938" ht="15.75" customHeight="1">
      <c r="H938" s="8"/>
      <c r="AP938" s="27"/>
    </row>
    <row r="939" ht="15.75" customHeight="1">
      <c r="H939" s="8"/>
      <c r="AP939" s="27"/>
    </row>
    <row r="940" ht="15.75" customHeight="1">
      <c r="H940" s="8"/>
      <c r="AP940" s="27"/>
    </row>
    <row r="941" ht="15.75" customHeight="1">
      <c r="H941" s="8"/>
      <c r="AP941" s="27"/>
    </row>
    <row r="942" ht="15.75" customHeight="1">
      <c r="H942" s="8"/>
      <c r="AP942" s="27"/>
    </row>
    <row r="943" ht="15.75" customHeight="1">
      <c r="H943" s="8"/>
      <c r="AP943" s="27"/>
    </row>
    <row r="944" ht="15.75" customHeight="1">
      <c r="H944" s="8"/>
      <c r="AP944" s="27"/>
    </row>
    <row r="945" ht="15.75" customHeight="1">
      <c r="H945" s="8"/>
      <c r="AP945" s="27"/>
    </row>
    <row r="946" ht="15.75" customHeight="1">
      <c r="H946" s="8"/>
      <c r="AP946" s="27"/>
    </row>
    <row r="947" ht="15.75" customHeight="1">
      <c r="H947" s="8"/>
      <c r="AP947" s="27"/>
    </row>
    <row r="948" ht="15.75" customHeight="1">
      <c r="H948" s="8"/>
      <c r="AP948" s="27"/>
    </row>
    <row r="949" ht="15.75" customHeight="1">
      <c r="H949" s="8"/>
      <c r="AP949" s="27"/>
    </row>
    <row r="950" ht="15.75" customHeight="1">
      <c r="H950" s="8"/>
      <c r="AP950" s="27"/>
    </row>
    <row r="951" ht="15.75" customHeight="1">
      <c r="H951" s="8"/>
      <c r="AP951" s="27"/>
    </row>
    <row r="952" ht="15.75" customHeight="1">
      <c r="H952" s="8"/>
      <c r="AP952" s="27"/>
    </row>
    <row r="953" ht="15.75" customHeight="1">
      <c r="H953" s="8"/>
      <c r="AP953" s="27"/>
    </row>
    <row r="954" ht="15.75" customHeight="1">
      <c r="H954" s="8"/>
      <c r="AP954" s="27"/>
    </row>
    <row r="955" ht="15.75" customHeight="1">
      <c r="H955" s="8"/>
      <c r="AP955" s="27"/>
    </row>
    <row r="956" ht="15.75" customHeight="1">
      <c r="H956" s="8"/>
      <c r="AP956" s="27"/>
    </row>
    <row r="957" ht="15.75" customHeight="1">
      <c r="H957" s="8"/>
      <c r="AP957" s="27"/>
    </row>
    <row r="958" ht="15.75" customHeight="1">
      <c r="H958" s="8"/>
      <c r="AP958" s="27"/>
    </row>
    <row r="959" ht="15.75" customHeight="1">
      <c r="H959" s="8"/>
      <c r="AP959" s="27"/>
    </row>
    <row r="960" ht="15.75" customHeight="1">
      <c r="H960" s="8"/>
      <c r="AP960" s="27"/>
    </row>
    <row r="961" ht="15.75" customHeight="1">
      <c r="H961" s="8"/>
      <c r="AP961" s="27"/>
    </row>
    <row r="962" ht="15.75" customHeight="1">
      <c r="H962" s="8"/>
      <c r="AP962" s="27"/>
    </row>
    <row r="963" ht="15.75" customHeight="1">
      <c r="H963" s="8"/>
      <c r="AP963" s="27"/>
    </row>
    <row r="964" ht="15.75" customHeight="1">
      <c r="H964" s="8"/>
      <c r="AP964" s="27"/>
    </row>
    <row r="965" ht="15.75" customHeight="1">
      <c r="H965" s="8"/>
      <c r="AP965" s="27"/>
    </row>
    <row r="966" ht="15.75" customHeight="1">
      <c r="H966" s="8"/>
      <c r="AP966" s="27"/>
    </row>
    <row r="967" ht="15.75" customHeight="1">
      <c r="H967" s="8"/>
      <c r="AP967" s="27"/>
    </row>
    <row r="968" ht="15.75" customHeight="1">
      <c r="H968" s="8"/>
      <c r="AP968" s="27"/>
    </row>
    <row r="969" ht="15.75" customHeight="1">
      <c r="H969" s="8"/>
      <c r="AP969" s="27"/>
    </row>
    <row r="970" ht="15.75" customHeight="1">
      <c r="H970" s="8"/>
      <c r="AP970" s="27"/>
    </row>
    <row r="971" ht="15.75" customHeight="1">
      <c r="H971" s="8"/>
      <c r="AP971" s="27"/>
    </row>
    <row r="972" ht="15.75" customHeight="1">
      <c r="H972" s="8"/>
      <c r="AP972" s="27"/>
    </row>
    <row r="973" ht="15.75" customHeight="1">
      <c r="H973" s="8"/>
      <c r="AP973" s="27"/>
    </row>
    <row r="974" ht="15.75" customHeight="1">
      <c r="H974" s="8"/>
      <c r="AP974" s="27"/>
    </row>
    <row r="975" ht="15.75" customHeight="1">
      <c r="H975" s="8"/>
      <c r="AP975" s="27"/>
    </row>
    <row r="976" ht="15.75" customHeight="1">
      <c r="H976" s="8"/>
      <c r="AP976" s="27"/>
    </row>
    <row r="977" ht="15.75" customHeight="1">
      <c r="H977" s="8"/>
      <c r="AP977" s="27"/>
    </row>
    <row r="978" ht="15.75" customHeight="1">
      <c r="H978" s="8"/>
      <c r="AP978" s="27"/>
    </row>
    <row r="979" ht="15.75" customHeight="1">
      <c r="H979" s="8"/>
      <c r="AP979" s="27"/>
    </row>
    <row r="980" ht="15.75" customHeight="1">
      <c r="H980" s="8"/>
      <c r="AP980" s="27"/>
    </row>
    <row r="981" ht="15.75" customHeight="1">
      <c r="H981" s="8"/>
      <c r="AP981" s="27"/>
    </row>
    <row r="982" ht="15.75" customHeight="1">
      <c r="H982" s="8"/>
      <c r="AP982" s="27"/>
    </row>
    <row r="983" ht="15.75" customHeight="1">
      <c r="H983" s="8"/>
      <c r="AP983" s="27"/>
    </row>
    <row r="984" ht="15.75" customHeight="1">
      <c r="H984" s="8"/>
      <c r="AP984" s="27"/>
    </row>
    <row r="985" ht="15.75" customHeight="1">
      <c r="H985" s="8"/>
      <c r="AP985" s="27"/>
    </row>
    <row r="986" ht="15.75" customHeight="1">
      <c r="H986" s="8"/>
      <c r="AP986" s="27"/>
    </row>
    <row r="987" ht="15.75" customHeight="1">
      <c r="H987" s="8"/>
      <c r="AP987" s="27"/>
    </row>
    <row r="988" ht="15.75" customHeight="1">
      <c r="H988" s="8"/>
      <c r="AP988" s="27"/>
    </row>
    <row r="989" ht="15.75" customHeight="1">
      <c r="H989" s="8"/>
      <c r="AP989" s="27"/>
    </row>
    <row r="990" ht="15.75" customHeight="1">
      <c r="H990" s="8"/>
      <c r="AP990" s="27"/>
    </row>
    <row r="991" ht="15.75" customHeight="1">
      <c r="H991" s="8"/>
      <c r="AP991" s="27"/>
    </row>
    <row r="992" ht="15.75" customHeight="1">
      <c r="H992" s="8"/>
      <c r="AP992" s="27"/>
    </row>
    <row r="993" ht="15.75" customHeight="1">
      <c r="H993" s="8"/>
      <c r="AP993" s="27"/>
    </row>
    <row r="994" ht="15.75" customHeight="1">
      <c r="H994" s="8"/>
      <c r="AP994" s="27"/>
    </row>
    <row r="995" ht="15.75" customHeight="1">
      <c r="H995" s="8"/>
      <c r="AP995" s="27"/>
    </row>
    <row r="996" ht="15.75" customHeight="1">
      <c r="H996" s="8"/>
      <c r="AP996" s="27"/>
    </row>
    <row r="997" ht="15.75" customHeight="1">
      <c r="H997" s="8"/>
      <c r="AP997" s="27"/>
    </row>
    <row r="998" ht="15.75" customHeight="1">
      <c r="H998" s="8"/>
      <c r="AP998" s="27"/>
    </row>
    <row r="999" ht="15.75" customHeight="1">
      <c r="H999" s="8"/>
      <c r="AP999" s="27"/>
    </row>
    <row r="1000" ht="15.75" customHeight="1">
      <c r="H1000" s="8"/>
      <c r="AP1000" s="27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8" t="s">
        <v>2</v>
      </c>
      <c r="B1" s="28" t="s">
        <v>3</v>
      </c>
      <c r="C1" s="28" t="s">
        <v>4</v>
      </c>
      <c r="D1" s="28" t="s">
        <v>519</v>
      </c>
      <c r="E1" s="28" t="s">
        <v>520</v>
      </c>
      <c r="F1" s="28" t="s">
        <v>521</v>
      </c>
      <c r="G1" s="28" t="s">
        <v>522</v>
      </c>
      <c r="H1" s="28" t="s">
        <v>523</v>
      </c>
      <c r="I1" s="28" t="s">
        <v>14</v>
      </c>
      <c r="J1" s="28" t="s">
        <v>524</v>
      </c>
      <c r="K1" s="28" t="s">
        <v>525</v>
      </c>
      <c r="L1" s="28" t="s">
        <v>526</v>
      </c>
    </row>
    <row r="2">
      <c r="A2" s="28" t="s">
        <v>88</v>
      </c>
      <c r="B2" s="28" t="s">
        <v>89</v>
      </c>
      <c r="C2" s="28" t="s">
        <v>90</v>
      </c>
      <c r="D2" s="28" t="s">
        <v>97</v>
      </c>
      <c r="E2" s="28" t="s">
        <v>527</v>
      </c>
      <c r="F2" s="28" t="s">
        <v>528</v>
      </c>
      <c r="G2" s="28" t="s">
        <v>112</v>
      </c>
      <c r="H2" s="28">
        <v>1.0</v>
      </c>
      <c r="I2" s="28">
        <v>0.4189189189189189</v>
      </c>
      <c r="J2" s="28">
        <v>0.0</v>
      </c>
      <c r="K2" s="28" t="s">
        <v>529</v>
      </c>
      <c r="L2" s="28" t="s">
        <v>530</v>
      </c>
    </row>
    <row r="3">
      <c r="A3" s="28" t="s">
        <v>531</v>
      </c>
      <c r="B3" s="28" t="s">
        <v>532</v>
      </c>
      <c r="C3" s="28" t="s">
        <v>90</v>
      </c>
      <c r="D3" s="28" t="s">
        <v>533</v>
      </c>
      <c r="E3" s="28" t="s">
        <v>534</v>
      </c>
      <c r="F3" s="28" t="s">
        <v>535</v>
      </c>
      <c r="G3" s="28" t="s">
        <v>536</v>
      </c>
      <c r="H3" s="28">
        <v>1.0</v>
      </c>
      <c r="I3" s="28">
        <v>0.07264957264957266</v>
      </c>
      <c r="J3" s="28">
        <v>0.0</v>
      </c>
      <c r="K3" s="28" t="s">
        <v>57</v>
      </c>
      <c r="L3" s="28" t="s">
        <v>57</v>
      </c>
    </row>
    <row r="4">
      <c r="A4" s="28" t="s">
        <v>153</v>
      </c>
      <c r="B4" s="28" t="s">
        <v>537</v>
      </c>
      <c r="C4" s="28" t="s">
        <v>538</v>
      </c>
      <c r="D4" s="28" t="s">
        <v>539</v>
      </c>
      <c r="E4" s="28" t="s">
        <v>540</v>
      </c>
      <c r="F4" s="28" t="s">
        <v>541</v>
      </c>
      <c r="G4" s="28" t="s">
        <v>542</v>
      </c>
      <c r="H4" s="28">
        <v>1.0</v>
      </c>
      <c r="I4" s="28">
        <v>0.08870967741935484</v>
      </c>
      <c r="J4" s="28">
        <v>0.0</v>
      </c>
      <c r="K4" s="28" t="s">
        <v>543</v>
      </c>
      <c r="L4" s="28" t="s">
        <v>57</v>
      </c>
    </row>
    <row r="5">
      <c r="A5" s="28" t="s">
        <v>153</v>
      </c>
      <c r="B5" s="28" t="s">
        <v>537</v>
      </c>
      <c r="C5" s="28" t="s">
        <v>538</v>
      </c>
      <c r="D5" s="28" t="s">
        <v>539</v>
      </c>
      <c r="E5" s="28" t="s">
        <v>544</v>
      </c>
      <c r="F5" s="28" t="s">
        <v>541</v>
      </c>
      <c r="G5" s="28" t="s">
        <v>545</v>
      </c>
      <c r="H5" s="28">
        <v>1.0</v>
      </c>
      <c r="I5" s="28">
        <v>0.0967741935483871</v>
      </c>
      <c r="J5" s="28">
        <v>1.0</v>
      </c>
      <c r="K5" s="28" t="s">
        <v>543</v>
      </c>
      <c r="L5" s="28" t="s">
        <v>57</v>
      </c>
    </row>
    <row r="6">
      <c r="A6" s="28" t="s">
        <v>153</v>
      </c>
      <c r="B6" s="28" t="s">
        <v>537</v>
      </c>
      <c r="C6" s="28" t="s">
        <v>538</v>
      </c>
      <c r="D6" s="28" t="s">
        <v>539</v>
      </c>
      <c r="E6" s="28" t="s">
        <v>546</v>
      </c>
      <c r="F6" s="28" t="s">
        <v>541</v>
      </c>
      <c r="G6" s="28" t="s">
        <v>547</v>
      </c>
      <c r="H6" s="28">
        <v>1.0</v>
      </c>
      <c r="I6" s="28">
        <v>0.10483870967741936</v>
      </c>
      <c r="J6" s="28">
        <v>2.0</v>
      </c>
      <c r="K6" s="28" t="s">
        <v>543</v>
      </c>
      <c r="L6" s="28" t="s">
        <v>57</v>
      </c>
    </row>
    <row r="7">
      <c r="A7" s="28" t="s">
        <v>153</v>
      </c>
      <c r="B7" s="28" t="s">
        <v>537</v>
      </c>
      <c r="C7" s="28" t="s">
        <v>538</v>
      </c>
      <c r="D7" s="28" t="s">
        <v>542</v>
      </c>
      <c r="E7" s="28" t="s">
        <v>548</v>
      </c>
      <c r="F7" s="28" t="s">
        <v>541</v>
      </c>
      <c r="G7" s="28" t="s">
        <v>545</v>
      </c>
      <c r="H7" s="28">
        <v>1.0</v>
      </c>
      <c r="I7" s="28">
        <v>0.07377049180327869</v>
      </c>
      <c r="J7" s="28">
        <v>0.0</v>
      </c>
      <c r="K7" s="28" t="s">
        <v>543</v>
      </c>
      <c r="L7" s="28" t="s">
        <v>57</v>
      </c>
    </row>
    <row r="8">
      <c r="A8" s="28" t="s">
        <v>153</v>
      </c>
      <c r="B8" s="28" t="s">
        <v>537</v>
      </c>
      <c r="C8" s="28" t="s">
        <v>538</v>
      </c>
      <c r="D8" s="28" t="s">
        <v>542</v>
      </c>
      <c r="E8" s="28" t="s">
        <v>549</v>
      </c>
      <c r="F8" s="28" t="s">
        <v>541</v>
      </c>
      <c r="G8" s="28" t="s">
        <v>547</v>
      </c>
      <c r="H8" s="28">
        <v>1.0</v>
      </c>
      <c r="I8" s="28">
        <v>0.08196721311475409</v>
      </c>
      <c r="J8" s="28">
        <v>1.0</v>
      </c>
      <c r="K8" s="28" t="s">
        <v>543</v>
      </c>
      <c r="L8" s="28" t="s">
        <v>57</v>
      </c>
    </row>
    <row r="9">
      <c r="A9" s="28" t="s">
        <v>153</v>
      </c>
      <c r="B9" s="28" t="s">
        <v>537</v>
      </c>
      <c r="C9" s="28" t="s">
        <v>538</v>
      </c>
      <c r="D9" s="28" t="s">
        <v>545</v>
      </c>
      <c r="E9" s="28" t="s">
        <v>550</v>
      </c>
      <c r="F9" s="28" t="s">
        <v>541</v>
      </c>
      <c r="G9" s="28" t="s">
        <v>547</v>
      </c>
      <c r="H9" s="28">
        <v>1.0</v>
      </c>
      <c r="I9" s="28">
        <v>0.05982905982905983</v>
      </c>
      <c r="J9" s="28">
        <v>0.0</v>
      </c>
      <c r="K9" s="28" t="s">
        <v>543</v>
      </c>
      <c r="L9" s="28" t="s">
        <v>57</v>
      </c>
    </row>
    <row r="10">
      <c r="A10" s="28" t="s">
        <v>153</v>
      </c>
      <c r="B10" s="28" t="s">
        <v>551</v>
      </c>
      <c r="C10" s="28" t="s">
        <v>552</v>
      </c>
      <c r="D10" s="28" t="s">
        <v>553</v>
      </c>
      <c r="E10" s="28" t="s">
        <v>554</v>
      </c>
      <c r="F10" s="28" t="s">
        <v>555</v>
      </c>
      <c r="G10" s="28" t="s">
        <v>556</v>
      </c>
      <c r="H10" s="28">
        <v>1.0</v>
      </c>
      <c r="I10" s="28">
        <v>0.07586206896551724</v>
      </c>
      <c r="J10" s="28">
        <v>0.0</v>
      </c>
      <c r="K10" s="28" t="s">
        <v>557</v>
      </c>
      <c r="L10" s="28" t="s">
        <v>57</v>
      </c>
    </row>
    <row r="11">
      <c r="A11" s="28" t="s">
        <v>153</v>
      </c>
      <c r="B11" s="28" t="s">
        <v>551</v>
      </c>
      <c r="C11" s="28" t="s">
        <v>552</v>
      </c>
      <c r="D11" s="28" t="s">
        <v>553</v>
      </c>
      <c r="E11" s="28" t="s">
        <v>558</v>
      </c>
      <c r="F11" s="28" t="s">
        <v>555</v>
      </c>
      <c r="G11" s="28" t="s">
        <v>559</v>
      </c>
      <c r="H11" s="28">
        <v>1.0</v>
      </c>
      <c r="I11" s="28">
        <v>0.08275862068965517</v>
      </c>
      <c r="J11" s="28">
        <v>1.0</v>
      </c>
      <c r="K11" s="28" t="s">
        <v>557</v>
      </c>
      <c r="L11" s="28" t="s">
        <v>57</v>
      </c>
    </row>
    <row r="12">
      <c r="A12" s="28" t="s">
        <v>153</v>
      </c>
      <c r="B12" s="28" t="s">
        <v>551</v>
      </c>
      <c r="C12" s="28" t="s">
        <v>552</v>
      </c>
      <c r="D12" s="28" t="s">
        <v>553</v>
      </c>
      <c r="E12" s="28" t="s">
        <v>560</v>
      </c>
      <c r="F12" s="28" t="s">
        <v>555</v>
      </c>
      <c r="G12" s="28" t="s">
        <v>561</v>
      </c>
      <c r="H12" s="28">
        <v>1.0</v>
      </c>
      <c r="I12" s="28">
        <v>0.0896551724137931</v>
      </c>
      <c r="J12" s="28">
        <v>2.0</v>
      </c>
      <c r="K12" s="28" t="s">
        <v>557</v>
      </c>
      <c r="L12" s="28" t="s">
        <v>57</v>
      </c>
    </row>
    <row r="13">
      <c r="A13" s="28" t="s">
        <v>153</v>
      </c>
      <c r="B13" s="28" t="s">
        <v>551</v>
      </c>
      <c r="C13" s="28" t="s">
        <v>552</v>
      </c>
      <c r="D13" s="28" t="s">
        <v>556</v>
      </c>
      <c r="E13" s="28" t="s">
        <v>562</v>
      </c>
      <c r="F13" s="28" t="s">
        <v>555</v>
      </c>
      <c r="G13" s="28" t="s">
        <v>559</v>
      </c>
      <c r="H13" s="28">
        <v>1.0</v>
      </c>
      <c r="I13" s="28">
        <v>0.06293706293706294</v>
      </c>
      <c r="J13" s="28">
        <v>0.0</v>
      </c>
      <c r="K13" s="28" t="s">
        <v>557</v>
      </c>
      <c r="L13" s="28" t="s">
        <v>57</v>
      </c>
    </row>
    <row r="14">
      <c r="A14" s="28" t="s">
        <v>153</v>
      </c>
      <c r="B14" s="28" t="s">
        <v>551</v>
      </c>
      <c r="C14" s="28" t="s">
        <v>552</v>
      </c>
      <c r="D14" s="28" t="s">
        <v>556</v>
      </c>
      <c r="E14" s="28" t="s">
        <v>563</v>
      </c>
      <c r="F14" s="28" t="s">
        <v>555</v>
      </c>
      <c r="G14" s="28" t="s">
        <v>561</v>
      </c>
      <c r="H14" s="28">
        <v>1.0</v>
      </c>
      <c r="I14" s="28">
        <v>0.06993006993006994</v>
      </c>
      <c r="J14" s="28">
        <v>1.0</v>
      </c>
      <c r="K14" s="28" t="s">
        <v>557</v>
      </c>
      <c r="L14" s="28" t="s">
        <v>57</v>
      </c>
    </row>
    <row r="15">
      <c r="A15" s="28" t="s">
        <v>153</v>
      </c>
      <c r="B15" s="28" t="s">
        <v>551</v>
      </c>
      <c r="C15" s="28" t="s">
        <v>552</v>
      </c>
      <c r="D15" s="28" t="s">
        <v>559</v>
      </c>
      <c r="E15" s="28" t="s">
        <v>564</v>
      </c>
      <c r="F15" s="28" t="s">
        <v>555</v>
      </c>
      <c r="G15" s="28" t="s">
        <v>561</v>
      </c>
      <c r="H15" s="28">
        <v>1.0</v>
      </c>
      <c r="I15" s="28">
        <v>0.050724637681159424</v>
      </c>
      <c r="J15" s="28">
        <v>0.0</v>
      </c>
      <c r="K15" s="28" t="s">
        <v>557</v>
      </c>
      <c r="L15" s="28" t="s">
        <v>57</v>
      </c>
    </row>
    <row r="16">
      <c r="A16" s="28" t="s">
        <v>153</v>
      </c>
      <c r="B16" s="28" t="s">
        <v>215</v>
      </c>
      <c r="C16" s="28" t="s">
        <v>216</v>
      </c>
      <c r="D16" s="28" t="s">
        <v>221</v>
      </c>
      <c r="E16" s="28" t="s">
        <v>565</v>
      </c>
      <c r="F16" s="28" t="s">
        <v>566</v>
      </c>
      <c r="G16" s="28" t="s">
        <v>228</v>
      </c>
      <c r="H16" s="28">
        <v>1.0</v>
      </c>
      <c r="I16" s="28">
        <v>0.78419452887538</v>
      </c>
      <c r="J16" s="28">
        <v>1.0</v>
      </c>
      <c r="K16" s="28" t="s">
        <v>567</v>
      </c>
      <c r="L16" s="28" t="s">
        <v>568</v>
      </c>
    </row>
    <row r="17">
      <c r="A17" s="28" t="s">
        <v>569</v>
      </c>
      <c r="B17" s="28" t="s">
        <v>570</v>
      </c>
      <c r="C17" s="28" t="s">
        <v>230</v>
      </c>
      <c r="D17" s="28" t="s">
        <v>571</v>
      </c>
      <c r="E17" s="28" t="s">
        <v>572</v>
      </c>
      <c r="F17" s="28" t="s">
        <v>573</v>
      </c>
      <c r="G17" s="28" t="s">
        <v>574</v>
      </c>
      <c r="H17" s="28">
        <v>1.0</v>
      </c>
      <c r="I17" s="28">
        <v>0.4240506329113924</v>
      </c>
      <c r="J17" s="28">
        <v>0.0</v>
      </c>
      <c r="K17" s="28" t="s">
        <v>575</v>
      </c>
      <c r="L17" s="28" t="s">
        <v>57</v>
      </c>
    </row>
    <row r="18">
      <c r="A18" s="28" t="s">
        <v>576</v>
      </c>
      <c r="B18" s="28" t="s">
        <v>577</v>
      </c>
      <c r="D18" s="28" t="s">
        <v>578</v>
      </c>
      <c r="E18" s="28" t="s">
        <v>579</v>
      </c>
      <c r="F18" s="28" t="s">
        <v>580</v>
      </c>
      <c r="G18" s="28" t="s">
        <v>581</v>
      </c>
      <c r="H18" s="28">
        <v>1.0</v>
      </c>
      <c r="I18" s="28">
        <v>0.49056603773584906</v>
      </c>
      <c r="J18" s="28">
        <v>0.0</v>
      </c>
      <c r="K18" s="28" t="s">
        <v>57</v>
      </c>
      <c r="L18" s="28" t="s">
        <v>57</v>
      </c>
    </row>
    <row r="19">
      <c r="A19" s="28" t="s">
        <v>576</v>
      </c>
      <c r="B19" s="28" t="s">
        <v>582</v>
      </c>
      <c r="C19" s="28" t="s">
        <v>577</v>
      </c>
      <c r="D19" s="28" t="s">
        <v>583</v>
      </c>
      <c r="E19" s="28" t="s">
        <v>584</v>
      </c>
      <c r="F19" s="28" t="s">
        <v>585</v>
      </c>
      <c r="G19" s="28" t="s">
        <v>586</v>
      </c>
      <c r="H19" s="28">
        <v>1.0</v>
      </c>
      <c r="I19" s="28">
        <v>0.014184397163120567</v>
      </c>
      <c r="J19" s="28">
        <v>0.0</v>
      </c>
      <c r="K19" s="28" t="s">
        <v>57</v>
      </c>
      <c r="L19" s="28" t="s">
        <v>57</v>
      </c>
    </row>
    <row r="20">
      <c r="A20" s="28" t="s">
        <v>576</v>
      </c>
      <c r="B20" s="28" t="s">
        <v>582</v>
      </c>
      <c r="C20" s="28" t="s">
        <v>577</v>
      </c>
      <c r="D20" s="28" t="s">
        <v>587</v>
      </c>
      <c r="E20" s="28" t="s">
        <v>588</v>
      </c>
      <c r="F20" s="28" t="s">
        <v>589</v>
      </c>
      <c r="G20" s="28" t="s">
        <v>590</v>
      </c>
      <c r="H20" s="28">
        <v>1.0</v>
      </c>
      <c r="I20" s="28">
        <v>0.016129032258064516</v>
      </c>
      <c r="J20" s="28">
        <v>0.0</v>
      </c>
      <c r="K20" s="28" t="s">
        <v>57</v>
      </c>
      <c r="L20" s="28" t="s">
        <v>57</v>
      </c>
    </row>
    <row r="21" ht="15.75" customHeight="1">
      <c r="A21" s="28" t="s">
        <v>576</v>
      </c>
      <c r="B21" s="28" t="s">
        <v>582</v>
      </c>
      <c r="C21" s="28" t="s">
        <v>577</v>
      </c>
      <c r="D21" s="28" t="s">
        <v>587</v>
      </c>
      <c r="E21" s="28" t="s">
        <v>591</v>
      </c>
      <c r="F21" s="28" t="s">
        <v>589</v>
      </c>
      <c r="G21" s="28" t="s">
        <v>592</v>
      </c>
      <c r="H21" s="28">
        <v>1.0</v>
      </c>
      <c r="I21" s="28">
        <v>0.0213903743315508</v>
      </c>
      <c r="J21" s="28">
        <v>1.0</v>
      </c>
      <c r="K21" s="28" t="s">
        <v>57</v>
      </c>
      <c r="L21" s="28" t="s">
        <v>57</v>
      </c>
    </row>
    <row r="22" ht="15.75" customHeight="1">
      <c r="A22" s="28" t="s">
        <v>576</v>
      </c>
      <c r="B22" s="28" t="s">
        <v>582</v>
      </c>
      <c r="C22" s="28" t="s">
        <v>577</v>
      </c>
      <c r="D22" s="28" t="s">
        <v>590</v>
      </c>
      <c r="E22" s="28" t="s">
        <v>593</v>
      </c>
      <c r="F22" s="28" t="s">
        <v>589</v>
      </c>
      <c r="G22" s="28" t="s">
        <v>592</v>
      </c>
      <c r="H22" s="28">
        <v>1.0</v>
      </c>
      <c r="I22" s="28">
        <v>0.0106951871657754</v>
      </c>
      <c r="J22" s="28">
        <v>0.0</v>
      </c>
      <c r="K22" s="28" t="s">
        <v>57</v>
      </c>
      <c r="L22" s="28" t="s">
        <v>57</v>
      </c>
    </row>
    <row r="23" ht="15.75" customHeight="1">
      <c r="A23" s="28" t="s">
        <v>594</v>
      </c>
      <c r="B23" s="28" t="s">
        <v>595</v>
      </c>
      <c r="D23" s="28" t="s">
        <v>596</v>
      </c>
      <c r="E23" s="28" t="s">
        <v>597</v>
      </c>
      <c r="F23" s="28" t="s">
        <v>598</v>
      </c>
      <c r="G23" s="28" t="s">
        <v>599</v>
      </c>
      <c r="H23" s="28">
        <v>1.0</v>
      </c>
      <c r="I23" s="28">
        <v>0.11650485436893204</v>
      </c>
      <c r="J23" s="28">
        <v>1.0</v>
      </c>
      <c r="K23" s="28" t="s">
        <v>57</v>
      </c>
      <c r="L23" s="28" t="s">
        <v>57</v>
      </c>
    </row>
    <row r="24" ht="15.75" customHeight="1">
      <c r="A24" s="28" t="s">
        <v>594</v>
      </c>
      <c r="B24" s="28" t="s">
        <v>595</v>
      </c>
      <c r="D24" s="28" t="s">
        <v>596</v>
      </c>
      <c r="E24" s="28" t="s">
        <v>600</v>
      </c>
      <c r="F24" s="28" t="s">
        <v>598</v>
      </c>
      <c r="G24" s="28" t="s">
        <v>581</v>
      </c>
      <c r="H24" s="28">
        <v>1.0</v>
      </c>
      <c r="I24" s="28">
        <v>0.5145631067961165</v>
      </c>
      <c r="J24" s="28">
        <v>0.0</v>
      </c>
      <c r="K24" s="28" t="s">
        <v>57</v>
      </c>
      <c r="L24" s="28" t="s">
        <v>57</v>
      </c>
    </row>
    <row r="25" ht="15.75" customHeight="1">
      <c r="A25" s="28" t="s">
        <v>594</v>
      </c>
      <c r="B25" s="28" t="s">
        <v>595</v>
      </c>
      <c r="D25" s="28" t="s">
        <v>581</v>
      </c>
      <c r="E25" s="28" t="s">
        <v>601</v>
      </c>
      <c r="F25" s="28" t="s">
        <v>598</v>
      </c>
      <c r="G25" s="28" t="s">
        <v>599</v>
      </c>
      <c r="H25" s="28">
        <v>1.0</v>
      </c>
      <c r="I25" s="28">
        <v>0.47058823529411764</v>
      </c>
      <c r="J25" s="28">
        <v>0.0</v>
      </c>
      <c r="K25" s="28" t="s">
        <v>57</v>
      </c>
      <c r="L25" s="28" t="s">
        <v>57</v>
      </c>
    </row>
    <row r="26" ht="15.75" customHeight="1">
      <c r="A26" s="28" t="s">
        <v>594</v>
      </c>
      <c r="B26" s="28" t="s">
        <v>595</v>
      </c>
      <c r="D26" s="28" t="s">
        <v>602</v>
      </c>
      <c r="E26" s="28" t="s">
        <v>603</v>
      </c>
      <c r="F26" s="28" t="s">
        <v>604</v>
      </c>
      <c r="G26" s="28" t="s">
        <v>605</v>
      </c>
      <c r="H26" s="28">
        <v>1.0</v>
      </c>
      <c r="I26" s="28">
        <v>0.8727770177838577</v>
      </c>
      <c r="J26" s="28">
        <v>0.0</v>
      </c>
      <c r="K26" s="28" t="s">
        <v>57</v>
      </c>
      <c r="L26" s="28" t="s">
        <v>606</v>
      </c>
    </row>
    <row r="27" ht="15.75" customHeight="1">
      <c r="A27" s="28" t="s">
        <v>45</v>
      </c>
      <c r="B27" s="28" t="s">
        <v>312</v>
      </c>
      <c r="C27" s="28" t="s">
        <v>313</v>
      </c>
      <c r="D27" s="28" t="s">
        <v>182</v>
      </c>
      <c r="E27" s="28" t="s">
        <v>607</v>
      </c>
      <c r="F27" s="28" t="s">
        <v>608</v>
      </c>
      <c r="G27" s="28" t="s">
        <v>324</v>
      </c>
      <c r="H27" s="28">
        <v>1.0</v>
      </c>
      <c r="I27" s="28">
        <v>0.109375</v>
      </c>
      <c r="J27" s="28">
        <v>0.0</v>
      </c>
      <c r="K27" s="28" t="s">
        <v>609</v>
      </c>
      <c r="L27" s="28" t="s">
        <v>57</v>
      </c>
    </row>
    <row r="28" ht="15.75" customHeight="1">
      <c r="A28" s="28" t="s">
        <v>131</v>
      </c>
      <c r="B28" s="28" t="s">
        <v>327</v>
      </c>
      <c r="C28" s="28" t="s">
        <v>328</v>
      </c>
      <c r="D28" s="28" t="s">
        <v>334</v>
      </c>
      <c r="E28" s="28" t="s">
        <v>610</v>
      </c>
      <c r="F28" s="28" t="s">
        <v>276</v>
      </c>
      <c r="G28" s="28" t="s">
        <v>339</v>
      </c>
      <c r="H28" s="28">
        <v>1.0</v>
      </c>
      <c r="I28" s="28">
        <v>0.03355704697986577</v>
      </c>
      <c r="J28" s="28">
        <v>0.0</v>
      </c>
      <c r="K28" s="28" t="s">
        <v>611</v>
      </c>
      <c r="L28" s="28" t="s">
        <v>57</v>
      </c>
    </row>
    <row r="29" ht="15.75" customHeight="1">
      <c r="A29" s="28" t="s">
        <v>612</v>
      </c>
      <c r="B29" s="28" t="s">
        <v>613</v>
      </c>
      <c r="D29" s="28" t="s">
        <v>533</v>
      </c>
      <c r="E29" s="28" t="s">
        <v>534</v>
      </c>
      <c r="F29" s="28" t="s">
        <v>614</v>
      </c>
      <c r="G29" s="28" t="s">
        <v>536</v>
      </c>
      <c r="H29" s="28">
        <v>1.0</v>
      </c>
      <c r="I29" s="28">
        <v>0.07264957264957266</v>
      </c>
      <c r="J29" s="28">
        <v>0.0</v>
      </c>
      <c r="K29" s="28" t="s">
        <v>57</v>
      </c>
      <c r="L29" s="28" t="s">
        <v>57</v>
      </c>
    </row>
    <row r="30" ht="15.75" customHeight="1">
      <c r="A30" s="28" t="s">
        <v>615</v>
      </c>
      <c r="B30" s="28" t="s">
        <v>616</v>
      </c>
      <c r="D30" s="28" t="s">
        <v>617</v>
      </c>
      <c r="E30" s="28" t="s">
        <v>618</v>
      </c>
      <c r="F30" s="28" t="s">
        <v>619</v>
      </c>
      <c r="G30" s="28" t="s">
        <v>620</v>
      </c>
      <c r="H30" s="28">
        <v>1.0</v>
      </c>
      <c r="I30" s="28">
        <v>0.07272727272727272</v>
      </c>
      <c r="J30" s="28">
        <v>1.0</v>
      </c>
      <c r="K30" s="28" t="s">
        <v>57</v>
      </c>
      <c r="L30" s="28" t="s">
        <v>57</v>
      </c>
    </row>
    <row r="31" ht="15.75" customHeight="1">
      <c r="A31" s="28" t="s">
        <v>615</v>
      </c>
      <c r="B31" s="28" t="s">
        <v>616</v>
      </c>
      <c r="D31" s="28" t="s">
        <v>617</v>
      </c>
      <c r="E31" s="28" t="s">
        <v>621</v>
      </c>
      <c r="F31" s="28" t="s">
        <v>622</v>
      </c>
      <c r="G31" s="28" t="s">
        <v>623</v>
      </c>
      <c r="H31" s="28">
        <v>1.0</v>
      </c>
      <c r="I31" s="28">
        <v>0.45077720207253885</v>
      </c>
      <c r="J31" s="28">
        <v>0.0</v>
      </c>
      <c r="K31" s="28" t="s">
        <v>57</v>
      </c>
      <c r="L31" s="28" t="s">
        <v>624</v>
      </c>
    </row>
    <row r="32" ht="15.75" customHeight="1">
      <c r="A32" s="28" t="s">
        <v>615</v>
      </c>
      <c r="B32" s="28" t="s">
        <v>616</v>
      </c>
      <c r="D32" s="28" t="s">
        <v>623</v>
      </c>
      <c r="E32" s="28" t="s">
        <v>625</v>
      </c>
      <c r="F32" s="28" t="s">
        <v>626</v>
      </c>
      <c r="G32" s="28" t="s">
        <v>620</v>
      </c>
      <c r="H32" s="28">
        <v>1.0</v>
      </c>
      <c r="I32" s="28">
        <v>0.48704663212435234</v>
      </c>
      <c r="J32" s="28">
        <v>0.0</v>
      </c>
      <c r="K32" s="28" t="s">
        <v>57</v>
      </c>
      <c r="L32" s="28" t="s">
        <v>624</v>
      </c>
    </row>
    <row r="33" ht="15.75" customHeight="1">
      <c r="A33" s="28" t="s">
        <v>615</v>
      </c>
      <c r="B33" s="28" t="s">
        <v>616</v>
      </c>
      <c r="D33" s="28" t="s">
        <v>620</v>
      </c>
      <c r="E33" s="28" t="s">
        <v>627</v>
      </c>
      <c r="F33" s="28" t="s">
        <v>628</v>
      </c>
      <c r="G33" s="28" t="s">
        <v>629</v>
      </c>
      <c r="H33" s="28">
        <v>0.5</v>
      </c>
      <c r="I33" s="28">
        <v>0.07079646017699115</v>
      </c>
      <c r="J33" s="28">
        <v>0.0</v>
      </c>
      <c r="K33" s="28" t="s">
        <v>57</v>
      </c>
      <c r="L33" s="28" t="s">
        <v>630</v>
      </c>
    </row>
    <row r="34" ht="15.75" customHeight="1">
      <c r="A34" s="28" t="s">
        <v>594</v>
      </c>
      <c r="B34" s="28" t="s">
        <v>631</v>
      </c>
      <c r="D34" s="28" t="s">
        <v>596</v>
      </c>
      <c r="E34" s="28" t="s">
        <v>597</v>
      </c>
      <c r="F34" s="28" t="s">
        <v>598</v>
      </c>
      <c r="G34" s="28" t="s">
        <v>599</v>
      </c>
      <c r="H34" s="28">
        <v>1.0</v>
      </c>
      <c r="I34" s="28">
        <v>0.11650485436893204</v>
      </c>
      <c r="J34" s="28">
        <v>1.0</v>
      </c>
      <c r="K34" s="28" t="s">
        <v>57</v>
      </c>
      <c r="L34" s="28" t="s">
        <v>57</v>
      </c>
    </row>
    <row r="35" ht="15.75" customHeight="1">
      <c r="A35" s="28" t="s">
        <v>594</v>
      </c>
      <c r="B35" s="28" t="s">
        <v>631</v>
      </c>
      <c r="D35" s="28" t="s">
        <v>596</v>
      </c>
      <c r="E35" s="28" t="s">
        <v>600</v>
      </c>
      <c r="F35" s="28" t="s">
        <v>598</v>
      </c>
      <c r="G35" s="28" t="s">
        <v>581</v>
      </c>
      <c r="H35" s="28">
        <v>1.0</v>
      </c>
      <c r="I35" s="28">
        <v>0.5145631067961165</v>
      </c>
      <c r="J35" s="28">
        <v>0.0</v>
      </c>
      <c r="K35" s="28" t="s">
        <v>57</v>
      </c>
      <c r="L35" s="28" t="s">
        <v>57</v>
      </c>
    </row>
    <row r="36" ht="15.75" customHeight="1">
      <c r="A36" s="28" t="s">
        <v>594</v>
      </c>
      <c r="B36" s="28" t="s">
        <v>631</v>
      </c>
      <c r="D36" s="28" t="s">
        <v>581</v>
      </c>
      <c r="E36" s="28" t="s">
        <v>601</v>
      </c>
      <c r="F36" s="28" t="s">
        <v>598</v>
      </c>
      <c r="G36" s="28" t="s">
        <v>599</v>
      </c>
      <c r="H36" s="28">
        <v>1.0</v>
      </c>
      <c r="I36" s="28">
        <v>0.47058823529411764</v>
      </c>
      <c r="J36" s="28">
        <v>0.0</v>
      </c>
      <c r="K36" s="28" t="s">
        <v>57</v>
      </c>
      <c r="L36" s="28" t="s">
        <v>57</v>
      </c>
    </row>
    <row r="37" ht="15.75" customHeight="1">
      <c r="A37" s="28" t="s">
        <v>594</v>
      </c>
      <c r="B37" s="28" t="s">
        <v>631</v>
      </c>
      <c r="D37" s="28" t="s">
        <v>602</v>
      </c>
      <c r="E37" s="28" t="s">
        <v>603</v>
      </c>
      <c r="F37" s="28" t="s">
        <v>604</v>
      </c>
      <c r="G37" s="28" t="s">
        <v>605</v>
      </c>
      <c r="H37" s="28">
        <v>1.0</v>
      </c>
      <c r="I37" s="28">
        <v>0.8727770177838577</v>
      </c>
      <c r="J37" s="28">
        <v>0.0</v>
      </c>
      <c r="K37" s="28" t="s">
        <v>57</v>
      </c>
      <c r="L37" s="28" t="s">
        <v>606</v>
      </c>
    </row>
    <row r="38" ht="15.75" customHeight="1">
      <c r="A38" s="28" t="s">
        <v>576</v>
      </c>
      <c r="B38" s="28" t="s">
        <v>632</v>
      </c>
      <c r="D38" s="28" t="s">
        <v>578</v>
      </c>
      <c r="E38" s="28" t="s">
        <v>633</v>
      </c>
      <c r="F38" s="28" t="s">
        <v>580</v>
      </c>
      <c r="G38" s="28" t="s">
        <v>581</v>
      </c>
      <c r="H38" s="28">
        <v>1.0</v>
      </c>
      <c r="I38" s="28">
        <v>0.4642857142857143</v>
      </c>
      <c r="J38" s="28">
        <v>0.0</v>
      </c>
      <c r="K38" s="28" t="s">
        <v>57</v>
      </c>
      <c r="L38" s="28" t="s">
        <v>57</v>
      </c>
    </row>
    <row r="39" ht="15.75" customHeight="1">
      <c r="A39" s="28" t="s">
        <v>576</v>
      </c>
      <c r="B39" s="28" t="s">
        <v>632</v>
      </c>
      <c r="D39" s="28" t="s">
        <v>583</v>
      </c>
      <c r="E39" s="28" t="s">
        <v>584</v>
      </c>
      <c r="F39" s="28" t="s">
        <v>585</v>
      </c>
      <c r="G39" s="28" t="s">
        <v>586</v>
      </c>
      <c r="H39" s="28">
        <v>1.0</v>
      </c>
      <c r="I39" s="28">
        <v>0.014184397163120567</v>
      </c>
      <c r="J39" s="28">
        <v>0.0</v>
      </c>
      <c r="K39" s="28" t="s">
        <v>57</v>
      </c>
      <c r="L39" s="28" t="s">
        <v>57</v>
      </c>
    </row>
    <row r="40" ht="15.75" customHeight="1">
      <c r="A40" s="28" t="s">
        <v>576</v>
      </c>
      <c r="B40" s="28" t="s">
        <v>632</v>
      </c>
      <c r="D40" s="28" t="s">
        <v>587</v>
      </c>
      <c r="E40" s="28" t="s">
        <v>588</v>
      </c>
      <c r="F40" s="28" t="s">
        <v>589</v>
      </c>
      <c r="G40" s="28" t="s">
        <v>590</v>
      </c>
      <c r="H40" s="28">
        <v>1.0</v>
      </c>
      <c r="I40" s="28">
        <v>0.016129032258064516</v>
      </c>
      <c r="J40" s="28">
        <v>0.0</v>
      </c>
      <c r="K40" s="28" t="s">
        <v>57</v>
      </c>
      <c r="L40" s="28" t="s">
        <v>57</v>
      </c>
    </row>
    <row r="41" ht="15.75" customHeight="1">
      <c r="A41" s="28" t="s">
        <v>576</v>
      </c>
      <c r="B41" s="28" t="s">
        <v>632</v>
      </c>
      <c r="D41" s="28" t="s">
        <v>587</v>
      </c>
      <c r="E41" s="28" t="s">
        <v>591</v>
      </c>
      <c r="F41" s="28" t="s">
        <v>589</v>
      </c>
      <c r="G41" s="28" t="s">
        <v>592</v>
      </c>
      <c r="H41" s="28">
        <v>1.0</v>
      </c>
      <c r="I41" s="28">
        <v>0.0213903743315508</v>
      </c>
      <c r="J41" s="28">
        <v>1.0</v>
      </c>
      <c r="K41" s="28" t="s">
        <v>57</v>
      </c>
      <c r="L41" s="28" t="s">
        <v>57</v>
      </c>
    </row>
    <row r="42" ht="15.75" customHeight="1">
      <c r="A42" s="28" t="s">
        <v>576</v>
      </c>
      <c r="B42" s="28" t="s">
        <v>632</v>
      </c>
      <c r="D42" s="28" t="s">
        <v>587</v>
      </c>
      <c r="E42" s="28" t="s">
        <v>634</v>
      </c>
      <c r="F42" s="28" t="s">
        <v>635</v>
      </c>
      <c r="G42" s="28" t="s">
        <v>636</v>
      </c>
      <c r="H42" s="28">
        <v>1.0</v>
      </c>
      <c r="I42" s="28">
        <v>0.526829268292683</v>
      </c>
      <c r="J42" s="28">
        <v>2.0</v>
      </c>
      <c r="K42" s="28" t="s">
        <v>57</v>
      </c>
      <c r="L42" s="28" t="s">
        <v>57</v>
      </c>
    </row>
    <row r="43" ht="15.75" customHeight="1">
      <c r="A43" s="28" t="s">
        <v>576</v>
      </c>
      <c r="B43" s="28" t="s">
        <v>632</v>
      </c>
      <c r="D43" s="28" t="s">
        <v>590</v>
      </c>
      <c r="E43" s="28" t="s">
        <v>593</v>
      </c>
      <c r="F43" s="28" t="s">
        <v>589</v>
      </c>
      <c r="G43" s="28" t="s">
        <v>592</v>
      </c>
      <c r="H43" s="28">
        <v>1.0</v>
      </c>
      <c r="I43" s="28">
        <v>0.0106951871657754</v>
      </c>
      <c r="J43" s="28">
        <v>0.0</v>
      </c>
      <c r="K43" s="28" t="s">
        <v>57</v>
      </c>
      <c r="L43" s="28" t="s">
        <v>57</v>
      </c>
    </row>
    <row r="44" ht="15.75" customHeight="1">
      <c r="A44" s="28" t="s">
        <v>576</v>
      </c>
      <c r="B44" s="28" t="s">
        <v>632</v>
      </c>
      <c r="D44" s="28" t="s">
        <v>590</v>
      </c>
      <c r="E44" s="28" t="s">
        <v>637</v>
      </c>
      <c r="F44" s="28" t="s">
        <v>635</v>
      </c>
      <c r="G44" s="28" t="s">
        <v>636</v>
      </c>
      <c r="H44" s="28">
        <v>1.0</v>
      </c>
      <c r="I44" s="28">
        <v>0.5170731707317073</v>
      </c>
      <c r="J44" s="28">
        <v>1.0</v>
      </c>
      <c r="K44" s="28" t="s">
        <v>57</v>
      </c>
      <c r="L44" s="28" t="s">
        <v>57</v>
      </c>
    </row>
    <row r="45" ht="15.75" customHeight="1">
      <c r="A45" s="28" t="s">
        <v>576</v>
      </c>
      <c r="B45" s="28" t="s">
        <v>632</v>
      </c>
      <c r="D45" s="28" t="s">
        <v>592</v>
      </c>
      <c r="E45" s="28" t="s">
        <v>638</v>
      </c>
      <c r="F45" s="28" t="s">
        <v>635</v>
      </c>
      <c r="G45" s="28" t="s">
        <v>636</v>
      </c>
      <c r="H45" s="28">
        <v>1.0</v>
      </c>
      <c r="I45" s="28">
        <v>0.5170731707317073</v>
      </c>
      <c r="J45" s="28">
        <v>0.0</v>
      </c>
      <c r="K45" s="28" t="s">
        <v>57</v>
      </c>
      <c r="L45" s="28" t="s">
        <v>57</v>
      </c>
    </row>
    <row r="46" ht="15.75" customHeight="1">
      <c r="A46" s="28" t="s">
        <v>639</v>
      </c>
      <c r="B46" s="28" t="s">
        <v>640</v>
      </c>
      <c r="D46" s="28" t="s">
        <v>641</v>
      </c>
      <c r="E46" s="28" t="s">
        <v>642</v>
      </c>
      <c r="F46" s="28" t="s">
        <v>180</v>
      </c>
      <c r="G46" s="28" t="s">
        <v>643</v>
      </c>
      <c r="H46" s="28">
        <v>1.0</v>
      </c>
      <c r="I46" s="28">
        <v>0.16666666666666666</v>
      </c>
      <c r="J46" s="28">
        <v>4.0</v>
      </c>
      <c r="K46" s="28" t="s">
        <v>57</v>
      </c>
      <c r="L46" s="28" t="s">
        <v>57</v>
      </c>
    </row>
    <row r="47" ht="15.75" customHeight="1">
      <c r="A47" s="28" t="s">
        <v>639</v>
      </c>
      <c r="B47" s="28" t="s">
        <v>640</v>
      </c>
      <c r="D47" s="28" t="s">
        <v>641</v>
      </c>
      <c r="E47" s="28" t="s">
        <v>644</v>
      </c>
      <c r="F47" s="28" t="s">
        <v>180</v>
      </c>
      <c r="G47" s="28" t="s">
        <v>645</v>
      </c>
      <c r="H47" s="28">
        <v>1.0</v>
      </c>
      <c r="I47" s="28">
        <v>0.16666666666666666</v>
      </c>
      <c r="J47" s="28">
        <v>3.0</v>
      </c>
      <c r="K47" s="28" t="s">
        <v>57</v>
      </c>
      <c r="L47" s="28" t="s">
        <v>57</v>
      </c>
    </row>
    <row r="48" ht="15.75" customHeight="1">
      <c r="A48" s="28" t="s">
        <v>639</v>
      </c>
      <c r="B48" s="28" t="s">
        <v>640</v>
      </c>
      <c r="D48" s="28" t="s">
        <v>646</v>
      </c>
      <c r="E48" s="28" t="s">
        <v>647</v>
      </c>
      <c r="F48" s="28" t="s">
        <v>648</v>
      </c>
      <c r="G48" s="28" t="s">
        <v>649</v>
      </c>
      <c r="H48" s="28">
        <v>1.0</v>
      </c>
      <c r="I48" s="28">
        <v>0.023668639053254437</v>
      </c>
      <c r="J48" s="28">
        <v>0.0</v>
      </c>
      <c r="K48" s="28" t="s">
        <v>57</v>
      </c>
      <c r="L48" s="28" t="s">
        <v>57</v>
      </c>
    </row>
    <row r="49" ht="15.75" customHeight="1">
      <c r="A49" s="28" t="s">
        <v>639</v>
      </c>
      <c r="B49" s="28" t="s">
        <v>640</v>
      </c>
      <c r="D49" s="28" t="s">
        <v>645</v>
      </c>
      <c r="E49" s="28" t="s">
        <v>650</v>
      </c>
      <c r="F49" s="28" t="s">
        <v>180</v>
      </c>
      <c r="G49" s="28" t="s">
        <v>643</v>
      </c>
      <c r="H49" s="28">
        <v>1.0</v>
      </c>
      <c r="I49" s="28">
        <v>0.02564102564102564</v>
      </c>
      <c r="J49" s="28">
        <v>0.0</v>
      </c>
      <c r="K49" s="28" t="s">
        <v>57</v>
      </c>
      <c r="L49" s="28" t="s">
        <v>57</v>
      </c>
    </row>
    <row r="50" ht="15.75" customHeight="1">
      <c r="A50" s="28" t="s">
        <v>594</v>
      </c>
      <c r="B50" s="28" t="s">
        <v>640</v>
      </c>
      <c r="D50" s="28" t="s">
        <v>596</v>
      </c>
      <c r="E50" s="28" t="s">
        <v>597</v>
      </c>
      <c r="F50" s="28" t="s">
        <v>598</v>
      </c>
      <c r="G50" s="28" t="s">
        <v>599</v>
      </c>
      <c r="H50" s="28">
        <v>1.0</v>
      </c>
      <c r="I50" s="28">
        <v>0.11650485436893204</v>
      </c>
      <c r="J50" s="28">
        <v>1.0</v>
      </c>
      <c r="K50" s="28" t="s">
        <v>57</v>
      </c>
      <c r="L50" s="28" t="s">
        <v>57</v>
      </c>
    </row>
    <row r="51" ht="15.75" customHeight="1">
      <c r="A51" s="28" t="s">
        <v>594</v>
      </c>
      <c r="B51" s="28" t="s">
        <v>640</v>
      </c>
      <c r="D51" s="28" t="s">
        <v>596</v>
      </c>
      <c r="E51" s="28" t="s">
        <v>600</v>
      </c>
      <c r="F51" s="28" t="s">
        <v>598</v>
      </c>
      <c r="G51" s="28" t="s">
        <v>581</v>
      </c>
      <c r="H51" s="28">
        <v>1.0</v>
      </c>
      <c r="I51" s="28">
        <v>0.5145631067961165</v>
      </c>
      <c r="J51" s="28">
        <v>0.0</v>
      </c>
      <c r="K51" s="28" t="s">
        <v>57</v>
      </c>
      <c r="L51" s="28" t="s">
        <v>57</v>
      </c>
    </row>
    <row r="52" ht="15.75" customHeight="1">
      <c r="A52" s="28" t="s">
        <v>594</v>
      </c>
      <c r="B52" s="28" t="s">
        <v>640</v>
      </c>
      <c r="D52" s="28" t="s">
        <v>581</v>
      </c>
      <c r="E52" s="28" t="s">
        <v>601</v>
      </c>
      <c r="F52" s="28" t="s">
        <v>598</v>
      </c>
      <c r="G52" s="28" t="s">
        <v>599</v>
      </c>
      <c r="H52" s="28">
        <v>1.0</v>
      </c>
      <c r="I52" s="28">
        <v>0.47058823529411764</v>
      </c>
      <c r="J52" s="28">
        <v>0.0</v>
      </c>
      <c r="K52" s="28" t="s">
        <v>57</v>
      </c>
      <c r="L52" s="28" t="s">
        <v>57</v>
      </c>
    </row>
    <row r="53" ht="15.75" customHeight="1">
      <c r="A53" s="28" t="s">
        <v>594</v>
      </c>
      <c r="B53" s="28" t="s">
        <v>640</v>
      </c>
      <c r="D53" s="28" t="s">
        <v>602</v>
      </c>
      <c r="E53" s="28" t="s">
        <v>603</v>
      </c>
      <c r="F53" s="28" t="s">
        <v>604</v>
      </c>
      <c r="G53" s="28" t="s">
        <v>605</v>
      </c>
      <c r="H53" s="28">
        <v>1.0</v>
      </c>
      <c r="I53" s="28">
        <v>0.8727770177838577</v>
      </c>
      <c r="J53" s="28">
        <v>0.0</v>
      </c>
      <c r="K53" s="28" t="s">
        <v>57</v>
      </c>
      <c r="L53" s="28" t="s">
        <v>606</v>
      </c>
    </row>
    <row r="54" ht="15.75" customHeight="1">
      <c r="A54" s="28" t="s">
        <v>651</v>
      </c>
      <c r="B54" s="28" t="s">
        <v>640</v>
      </c>
      <c r="D54" s="28" t="s">
        <v>652</v>
      </c>
      <c r="E54" s="28" t="s">
        <v>653</v>
      </c>
      <c r="F54" s="28" t="s">
        <v>654</v>
      </c>
      <c r="G54" s="28" t="s">
        <v>655</v>
      </c>
      <c r="H54" s="28">
        <v>1.0</v>
      </c>
      <c r="I54" s="28">
        <v>0.1401673640167364</v>
      </c>
      <c r="J54" s="28">
        <v>0.0</v>
      </c>
      <c r="K54" s="28" t="s">
        <v>57</v>
      </c>
      <c r="L54" s="28" t="s">
        <v>57</v>
      </c>
    </row>
    <row r="55" ht="15.75" customHeight="1">
      <c r="A55" s="28" t="s">
        <v>651</v>
      </c>
      <c r="B55" s="28" t="s">
        <v>640</v>
      </c>
      <c r="D55" s="28" t="s">
        <v>652</v>
      </c>
      <c r="E55" s="28" t="s">
        <v>656</v>
      </c>
      <c r="F55" s="28" t="s">
        <v>654</v>
      </c>
      <c r="G55" s="28" t="s">
        <v>657</v>
      </c>
      <c r="H55" s="28">
        <v>1.0</v>
      </c>
      <c r="I55" s="28">
        <v>0.16184971098265896</v>
      </c>
      <c r="J55" s="28">
        <v>1.0</v>
      </c>
      <c r="K55" s="28" t="s">
        <v>57</v>
      </c>
      <c r="L55" s="28" t="s">
        <v>57</v>
      </c>
    </row>
    <row r="56" ht="15.75" customHeight="1">
      <c r="A56" s="28" t="s">
        <v>651</v>
      </c>
      <c r="B56" s="28" t="s">
        <v>640</v>
      </c>
      <c r="D56" s="28" t="s">
        <v>652</v>
      </c>
      <c r="E56" s="28" t="s">
        <v>658</v>
      </c>
      <c r="F56" s="28" t="s">
        <v>654</v>
      </c>
      <c r="G56" s="28" t="s">
        <v>659</v>
      </c>
      <c r="H56" s="28">
        <v>1.0</v>
      </c>
      <c r="I56" s="28">
        <v>0.24476987447698745</v>
      </c>
      <c r="J56" s="28">
        <v>2.0</v>
      </c>
      <c r="K56" s="28" t="s">
        <v>57</v>
      </c>
      <c r="L56" s="28" t="s">
        <v>57</v>
      </c>
    </row>
    <row r="57" ht="15.75" customHeight="1">
      <c r="A57" s="28" t="s">
        <v>651</v>
      </c>
      <c r="B57" s="28" t="s">
        <v>640</v>
      </c>
      <c r="D57" s="28" t="s">
        <v>655</v>
      </c>
      <c r="E57" s="28" t="s">
        <v>660</v>
      </c>
      <c r="F57" s="28" t="s">
        <v>654</v>
      </c>
      <c r="G57" s="28" t="s">
        <v>659</v>
      </c>
      <c r="H57" s="28">
        <v>1.0</v>
      </c>
      <c r="I57" s="28">
        <v>0.16</v>
      </c>
      <c r="J57" s="28">
        <v>1.0</v>
      </c>
      <c r="K57" s="28" t="s">
        <v>57</v>
      </c>
      <c r="L57" s="28" t="s">
        <v>57</v>
      </c>
    </row>
    <row r="58" ht="15.75" customHeight="1">
      <c r="A58" s="28" t="s">
        <v>651</v>
      </c>
      <c r="B58" s="28" t="s">
        <v>640</v>
      </c>
      <c r="D58" s="28" t="s">
        <v>655</v>
      </c>
      <c r="E58" s="28" t="s">
        <v>661</v>
      </c>
      <c r="F58" s="28" t="s">
        <v>654</v>
      </c>
      <c r="G58" s="28" t="s">
        <v>657</v>
      </c>
      <c r="H58" s="28">
        <v>1.0</v>
      </c>
      <c r="I58" s="28">
        <v>0.28709055876685935</v>
      </c>
      <c r="J58" s="28">
        <v>0.0</v>
      </c>
      <c r="K58" s="28" t="s">
        <v>57</v>
      </c>
      <c r="L58" s="28" t="s">
        <v>57</v>
      </c>
    </row>
    <row r="59" ht="15.75" customHeight="1">
      <c r="A59" s="28" t="s">
        <v>651</v>
      </c>
      <c r="B59" s="28" t="s">
        <v>640</v>
      </c>
      <c r="D59" s="28" t="s">
        <v>657</v>
      </c>
      <c r="E59" s="28" t="s">
        <v>662</v>
      </c>
      <c r="F59" s="28" t="s">
        <v>654</v>
      </c>
      <c r="G59" s="28" t="s">
        <v>659</v>
      </c>
      <c r="H59" s="28">
        <v>1.0</v>
      </c>
      <c r="I59" s="28">
        <v>0.15221579961464354</v>
      </c>
      <c r="J59" s="28">
        <v>0.0</v>
      </c>
      <c r="K59" s="28" t="s">
        <v>57</v>
      </c>
      <c r="L59" s="28" t="s">
        <v>57</v>
      </c>
    </row>
    <row r="60" ht="15.75" customHeight="1">
      <c r="A60" s="28" t="s">
        <v>663</v>
      </c>
      <c r="B60" s="28" t="s">
        <v>640</v>
      </c>
      <c r="D60" s="28" t="s">
        <v>664</v>
      </c>
      <c r="E60" s="28" t="s">
        <v>665</v>
      </c>
      <c r="F60" s="28" t="s">
        <v>180</v>
      </c>
      <c r="G60" s="28" t="s">
        <v>666</v>
      </c>
      <c r="H60" s="28">
        <v>1.0</v>
      </c>
      <c r="I60" s="28">
        <v>0.18354430379746836</v>
      </c>
      <c r="J60" s="28">
        <v>3.0</v>
      </c>
      <c r="K60" s="28" t="s">
        <v>57</v>
      </c>
      <c r="L60" s="28" t="s">
        <v>57</v>
      </c>
    </row>
    <row r="61" ht="15.75" customHeight="1">
      <c r="A61" s="28" t="s">
        <v>663</v>
      </c>
      <c r="B61" s="28" t="s">
        <v>640</v>
      </c>
      <c r="D61" s="28" t="s">
        <v>664</v>
      </c>
      <c r="E61" s="28" t="s">
        <v>667</v>
      </c>
      <c r="F61" s="28" t="s">
        <v>180</v>
      </c>
      <c r="G61" s="28" t="s">
        <v>668</v>
      </c>
      <c r="H61" s="28">
        <v>1.0</v>
      </c>
      <c r="I61" s="28">
        <v>0.18354430379746836</v>
      </c>
      <c r="J61" s="28">
        <v>4.0</v>
      </c>
      <c r="K61" s="28" t="s">
        <v>57</v>
      </c>
      <c r="L61" s="28" t="s">
        <v>57</v>
      </c>
    </row>
    <row r="62" ht="15.75" customHeight="1">
      <c r="A62" s="28" t="s">
        <v>663</v>
      </c>
      <c r="B62" s="28" t="s">
        <v>640</v>
      </c>
      <c r="D62" s="28" t="s">
        <v>669</v>
      </c>
      <c r="E62" s="28" t="s">
        <v>670</v>
      </c>
      <c r="F62" s="28" t="s">
        <v>671</v>
      </c>
      <c r="G62" s="28" t="s">
        <v>672</v>
      </c>
      <c r="H62" s="28">
        <v>1.0</v>
      </c>
      <c r="I62" s="28">
        <v>0.0449438202247191</v>
      </c>
      <c r="J62" s="28">
        <v>0.0</v>
      </c>
      <c r="K62" s="28" t="s">
        <v>57</v>
      </c>
      <c r="L62" s="28" t="s">
        <v>57</v>
      </c>
    </row>
    <row r="63" ht="15.75" customHeight="1">
      <c r="A63" s="28" t="s">
        <v>663</v>
      </c>
      <c r="B63" s="28" t="s">
        <v>640</v>
      </c>
      <c r="D63" s="28" t="s">
        <v>666</v>
      </c>
      <c r="E63" s="28" t="s">
        <v>673</v>
      </c>
      <c r="F63" s="28" t="s">
        <v>180</v>
      </c>
      <c r="G63" s="28" t="s">
        <v>668</v>
      </c>
      <c r="H63" s="28">
        <v>1.0</v>
      </c>
      <c r="I63" s="28">
        <v>0.02531645569620253</v>
      </c>
      <c r="J63" s="28">
        <v>0.0</v>
      </c>
      <c r="K63" s="28" t="s">
        <v>57</v>
      </c>
      <c r="L63" s="28" t="s">
        <v>57</v>
      </c>
    </row>
    <row r="64" ht="15.75" customHeight="1">
      <c r="A64" s="28" t="s">
        <v>131</v>
      </c>
      <c r="B64" s="28" t="s">
        <v>640</v>
      </c>
      <c r="D64" s="28" t="s">
        <v>674</v>
      </c>
      <c r="E64" s="28" t="s">
        <v>675</v>
      </c>
      <c r="F64" s="28" t="s">
        <v>676</v>
      </c>
      <c r="G64" s="28" t="s">
        <v>677</v>
      </c>
      <c r="H64" s="28">
        <v>0.8333333333333334</v>
      </c>
      <c r="I64" s="28">
        <v>0.831390134529148</v>
      </c>
      <c r="J64" s="28">
        <v>19.0</v>
      </c>
      <c r="K64" s="28" t="s">
        <v>57</v>
      </c>
      <c r="L64" s="28" t="s">
        <v>678</v>
      </c>
    </row>
    <row r="65" ht="15.75" customHeight="1">
      <c r="A65" s="28" t="s">
        <v>131</v>
      </c>
      <c r="B65" s="28" t="s">
        <v>640</v>
      </c>
      <c r="D65" s="28" t="s">
        <v>134</v>
      </c>
      <c r="E65" s="28" t="s">
        <v>679</v>
      </c>
      <c r="F65" s="28" t="s">
        <v>276</v>
      </c>
      <c r="G65" s="28" t="s">
        <v>329</v>
      </c>
      <c r="H65" s="28">
        <v>1.0</v>
      </c>
      <c r="I65" s="28">
        <v>0.14893617021276595</v>
      </c>
      <c r="J65" s="28">
        <v>0.0</v>
      </c>
      <c r="K65" s="28" t="s">
        <v>57</v>
      </c>
      <c r="L65" s="28" t="s">
        <v>57</v>
      </c>
    </row>
    <row r="66" ht="15.75" customHeight="1">
      <c r="A66" s="28" t="s">
        <v>131</v>
      </c>
      <c r="B66" s="28" t="s">
        <v>640</v>
      </c>
      <c r="D66" s="28" t="s">
        <v>134</v>
      </c>
      <c r="E66" s="28" t="s">
        <v>680</v>
      </c>
      <c r="F66" s="28" t="s">
        <v>276</v>
      </c>
      <c r="G66" s="28" t="s">
        <v>334</v>
      </c>
      <c r="H66" s="28">
        <v>1.0</v>
      </c>
      <c r="I66" s="28">
        <v>0.19680851063829788</v>
      </c>
      <c r="J66" s="28">
        <v>6.0</v>
      </c>
      <c r="K66" s="28" t="s">
        <v>57</v>
      </c>
      <c r="L66" s="28" t="s">
        <v>57</v>
      </c>
    </row>
    <row r="67" ht="15.75" customHeight="1">
      <c r="A67" s="28" t="s">
        <v>131</v>
      </c>
      <c r="B67" s="28" t="s">
        <v>640</v>
      </c>
      <c r="D67" s="28" t="s">
        <v>134</v>
      </c>
      <c r="E67" s="28" t="s">
        <v>681</v>
      </c>
      <c r="F67" s="28" t="s">
        <v>276</v>
      </c>
      <c r="G67" s="28" t="s">
        <v>339</v>
      </c>
      <c r="H67" s="28">
        <v>1.0</v>
      </c>
      <c r="I67" s="28">
        <v>0.2127659574468085</v>
      </c>
      <c r="J67" s="28">
        <v>7.0</v>
      </c>
      <c r="K67" s="28" t="s">
        <v>57</v>
      </c>
      <c r="L67" s="28" t="s">
        <v>57</v>
      </c>
    </row>
    <row r="68" ht="15.75" customHeight="1">
      <c r="A68" s="28" t="s">
        <v>131</v>
      </c>
      <c r="B68" s="28" t="s">
        <v>640</v>
      </c>
      <c r="D68" s="28" t="s">
        <v>134</v>
      </c>
      <c r="E68" s="28" t="s">
        <v>682</v>
      </c>
      <c r="F68" s="28" t="s">
        <v>260</v>
      </c>
      <c r="G68" s="28" t="s">
        <v>262</v>
      </c>
      <c r="H68" s="28">
        <v>1.0</v>
      </c>
      <c r="I68" s="28">
        <v>0.324468085106383</v>
      </c>
      <c r="J68" s="28">
        <v>11.0</v>
      </c>
      <c r="K68" s="28" t="s">
        <v>57</v>
      </c>
      <c r="L68" s="28" t="s">
        <v>57</v>
      </c>
    </row>
    <row r="69" ht="15.75" customHeight="1">
      <c r="A69" s="28" t="s">
        <v>131</v>
      </c>
      <c r="B69" s="28" t="s">
        <v>640</v>
      </c>
      <c r="D69" s="28" t="s">
        <v>134</v>
      </c>
      <c r="E69" s="28" t="s">
        <v>683</v>
      </c>
      <c r="F69" s="28" t="s">
        <v>276</v>
      </c>
      <c r="G69" s="28" t="s">
        <v>256</v>
      </c>
      <c r="H69" s="28">
        <v>1.0</v>
      </c>
      <c r="I69" s="28">
        <v>0.35106382978723405</v>
      </c>
      <c r="J69" s="28">
        <v>1.0</v>
      </c>
      <c r="K69" s="28" t="s">
        <v>57</v>
      </c>
      <c r="L69" s="28" t="s">
        <v>57</v>
      </c>
    </row>
    <row r="70" ht="15.75" customHeight="1">
      <c r="A70" s="28" t="s">
        <v>131</v>
      </c>
      <c r="B70" s="28" t="s">
        <v>640</v>
      </c>
      <c r="D70" s="28" t="s">
        <v>134</v>
      </c>
      <c r="E70" s="28" t="s">
        <v>684</v>
      </c>
      <c r="F70" s="28" t="s">
        <v>276</v>
      </c>
      <c r="G70" s="28" t="s">
        <v>310</v>
      </c>
      <c r="H70" s="28">
        <v>1.0</v>
      </c>
      <c r="I70" s="28">
        <v>0.4095744680851064</v>
      </c>
      <c r="J70" s="28">
        <v>19.0</v>
      </c>
      <c r="K70" s="28" t="s">
        <v>57</v>
      </c>
      <c r="L70" s="28" t="s">
        <v>57</v>
      </c>
    </row>
    <row r="71" ht="15.75" customHeight="1">
      <c r="A71" s="28" t="s">
        <v>131</v>
      </c>
      <c r="B71" s="28" t="s">
        <v>640</v>
      </c>
      <c r="D71" s="28" t="s">
        <v>134</v>
      </c>
      <c r="E71" s="28" t="s">
        <v>685</v>
      </c>
      <c r="F71" s="28" t="s">
        <v>276</v>
      </c>
      <c r="G71" s="28" t="s">
        <v>278</v>
      </c>
      <c r="H71" s="28">
        <v>1.0</v>
      </c>
      <c r="I71" s="28">
        <v>0.4148936170212766</v>
      </c>
      <c r="J71" s="28">
        <v>15.0</v>
      </c>
      <c r="K71" s="28" t="s">
        <v>57</v>
      </c>
      <c r="L71" s="28" t="s">
        <v>57</v>
      </c>
    </row>
    <row r="72" ht="15.75" customHeight="1">
      <c r="A72" s="28" t="s">
        <v>131</v>
      </c>
      <c r="B72" s="28" t="s">
        <v>640</v>
      </c>
      <c r="D72" s="28" t="s">
        <v>134</v>
      </c>
      <c r="E72" s="28" t="s">
        <v>686</v>
      </c>
      <c r="F72" s="28" t="s">
        <v>687</v>
      </c>
      <c r="G72" s="28" t="s">
        <v>370</v>
      </c>
      <c r="H72" s="28">
        <v>1.0</v>
      </c>
      <c r="I72" s="28">
        <v>0.48372093023255813</v>
      </c>
      <c r="J72" s="28">
        <v>22.0</v>
      </c>
      <c r="K72" s="28" t="s">
        <v>57</v>
      </c>
      <c r="L72" s="28" t="s">
        <v>57</v>
      </c>
    </row>
    <row r="73" ht="15.75" customHeight="1">
      <c r="A73" s="28" t="s">
        <v>131</v>
      </c>
      <c r="B73" s="28" t="s">
        <v>640</v>
      </c>
      <c r="D73" s="28" t="s">
        <v>134</v>
      </c>
      <c r="E73" s="28" t="s">
        <v>688</v>
      </c>
      <c r="F73" s="28" t="s">
        <v>687</v>
      </c>
      <c r="G73" s="28" t="s">
        <v>364</v>
      </c>
      <c r="H73" s="28">
        <v>1.0</v>
      </c>
      <c r="I73" s="28">
        <v>0.48404255319148937</v>
      </c>
      <c r="J73" s="28">
        <v>21.0</v>
      </c>
      <c r="K73" s="28" t="s">
        <v>57</v>
      </c>
      <c r="L73" s="28" t="s">
        <v>57</v>
      </c>
    </row>
    <row r="74" ht="15.75" customHeight="1">
      <c r="A74" s="28" t="s">
        <v>131</v>
      </c>
      <c r="B74" s="28" t="s">
        <v>640</v>
      </c>
      <c r="D74" s="28" t="s">
        <v>134</v>
      </c>
      <c r="E74" s="28" t="s">
        <v>689</v>
      </c>
      <c r="F74" s="28" t="s">
        <v>687</v>
      </c>
      <c r="G74" s="28" t="s">
        <v>295</v>
      </c>
      <c r="H74" s="28">
        <v>1.0</v>
      </c>
      <c r="I74" s="28">
        <v>0.48936170212765956</v>
      </c>
      <c r="J74" s="28">
        <v>20.0</v>
      </c>
      <c r="K74" s="28" t="s">
        <v>57</v>
      </c>
      <c r="L74" s="28" t="s">
        <v>57</v>
      </c>
    </row>
    <row r="75" ht="15.75" customHeight="1">
      <c r="A75" s="28" t="s">
        <v>131</v>
      </c>
      <c r="B75" s="28" t="s">
        <v>640</v>
      </c>
      <c r="D75" s="28" t="s">
        <v>134</v>
      </c>
      <c r="E75" s="28" t="s">
        <v>690</v>
      </c>
      <c r="F75" s="28" t="s">
        <v>691</v>
      </c>
      <c r="G75" s="28" t="s">
        <v>345</v>
      </c>
      <c r="H75" s="28">
        <v>1.0</v>
      </c>
      <c r="I75" s="28">
        <v>0.5340501792114696</v>
      </c>
      <c r="J75" s="28">
        <v>12.0</v>
      </c>
      <c r="K75" s="28" t="s">
        <v>57</v>
      </c>
      <c r="L75" s="28" t="s">
        <v>57</v>
      </c>
    </row>
    <row r="76" ht="15.75" customHeight="1">
      <c r="A76" s="28" t="s">
        <v>131</v>
      </c>
      <c r="B76" s="28" t="s">
        <v>640</v>
      </c>
      <c r="D76" s="28" t="s">
        <v>134</v>
      </c>
      <c r="E76" s="28" t="s">
        <v>692</v>
      </c>
      <c r="F76" s="28" t="s">
        <v>691</v>
      </c>
      <c r="G76" s="28" t="s">
        <v>252</v>
      </c>
      <c r="H76" s="28">
        <v>1.0</v>
      </c>
      <c r="I76" s="28">
        <v>0.5357142857142857</v>
      </c>
      <c r="J76" s="28">
        <v>9.0</v>
      </c>
      <c r="K76" s="28" t="s">
        <v>57</v>
      </c>
      <c r="L76" s="28" t="s">
        <v>57</v>
      </c>
    </row>
    <row r="77" ht="15.75" customHeight="1">
      <c r="A77" s="28" t="s">
        <v>131</v>
      </c>
      <c r="B77" s="28" t="s">
        <v>640</v>
      </c>
      <c r="D77" s="28" t="s">
        <v>134</v>
      </c>
      <c r="E77" s="28" t="s">
        <v>693</v>
      </c>
      <c r="F77" s="28" t="s">
        <v>691</v>
      </c>
      <c r="G77" s="28" t="s">
        <v>270</v>
      </c>
      <c r="H77" s="28">
        <v>1.0</v>
      </c>
      <c r="I77" s="28">
        <v>0.5406360424028268</v>
      </c>
      <c r="J77" s="28">
        <v>10.0</v>
      </c>
      <c r="K77" s="28" t="s">
        <v>57</v>
      </c>
      <c r="L77" s="28" t="s">
        <v>57</v>
      </c>
    </row>
    <row r="78" ht="15.75" customHeight="1">
      <c r="A78" s="28" t="s">
        <v>131</v>
      </c>
      <c r="B78" s="28" t="s">
        <v>640</v>
      </c>
      <c r="D78" s="28" t="s">
        <v>134</v>
      </c>
      <c r="E78" s="28" t="s">
        <v>694</v>
      </c>
      <c r="F78" s="28" t="s">
        <v>695</v>
      </c>
      <c r="G78" s="28" t="s">
        <v>213</v>
      </c>
      <c r="H78" s="28">
        <v>1.0</v>
      </c>
      <c r="I78" s="28">
        <v>0.598404255319149</v>
      </c>
      <c r="J78" s="28">
        <v>8.0</v>
      </c>
      <c r="K78" s="28" t="s">
        <v>57</v>
      </c>
      <c r="L78" s="28" t="s">
        <v>696</v>
      </c>
    </row>
    <row r="79" ht="15.75" customHeight="1">
      <c r="A79" s="28" t="s">
        <v>131</v>
      </c>
      <c r="B79" s="28" t="s">
        <v>640</v>
      </c>
      <c r="D79" s="28" t="s">
        <v>134</v>
      </c>
      <c r="E79" s="28" t="s">
        <v>697</v>
      </c>
      <c r="F79" s="28" t="s">
        <v>698</v>
      </c>
      <c r="G79" s="28" t="s">
        <v>287</v>
      </c>
      <c r="H79" s="28">
        <v>1.0</v>
      </c>
      <c r="I79" s="28">
        <v>0.6781326781326781</v>
      </c>
      <c r="J79" s="28">
        <v>18.0</v>
      </c>
      <c r="K79" s="28" t="s">
        <v>57</v>
      </c>
      <c r="L79" s="28" t="s">
        <v>57</v>
      </c>
    </row>
    <row r="80" ht="15.75" customHeight="1">
      <c r="A80" s="28" t="s">
        <v>131</v>
      </c>
      <c r="B80" s="28" t="s">
        <v>640</v>
      </c>
      <c r="D80" s="28" t="s">
        <v>134</v>
      </c>
      <c r="E80" s="28" t="s">
        <v>699</v>
      </c>
      <c r="F80" s="28" t="s">
        <v>138</v>
      </c>
      <c r="G80" s="28" t="s">
        <v>140</v>
      </c>
      <c r="H80" s="28">
        <v>1.0</v>
      </c>
      <c r="I80" s="28">
        <v>0.7101167315175098</v>
      </c>
      <c r="J80" s="28">
        <v>4.0</v>
      </c>
      <c r="K80" s="28" t="s">
        <v>57</v>
      </c>
      <c r="L80" s="28" t="s">
        <v>696</v>
      </c>
    </row>
    <row r="81" ht="15.75" customHeight="1">
      <c r="A81" s="28" t="s">
        <v>131</v>
      </c>
      <c r="B81" s="28" t="s">
        <v>640</v>
      </c>
      <c r="D81" s="28" t="s">
        <v>134</v>
      </c>
      <c r="E81" s="28" t="s">
        <v>700</v>
      </c>
      <c r="F81" s="28" t="s">
        <v>701</v>
      </c>
      <c r="G81" s="28" t="s">
        <v>303</v>
      </c>
      <c r="H81" s="28">
        <v>1.0</v>
      </c>
      <c r="I81" s="28">
        <v>0.7848101265822784</v>
      </c>
      <c r="J81" s="28">
        <v>16.0</v>
      </c>
      <c r="K81" s="28" t="s">
        <v>57</v>
      </c>
      <c r="L81" s="28" t="s">
        <v>57</v>
      </c>
    </row>
    <row r="82" ht="15.75" customHeight="1">
      <c r="A82" s="28" t="s">
        <v>131</v>
      </c>
      <c r="B82" s="28" t="s">
        <v>640</v>
      </c>
      <c r="D82" s="28" t="s">
        <v>134</v>
      </c>
      <c r="E82" s="28" t="s">
        <v>702</v>
      </c>
      <c r="F82" s="28" t="s">
        <v>703</v>
      </c>
      <c r="G82" s="28" t="s">
        <v>149</v>
      </c>
      <c r="H82" s="28">
        <v>1.0</v>
      </c>
      <c r="I82" s="28">
        <v>0.7890520694259012</v>
      </c>
      <c r="J82" s="28">
        <v>5.0</v>
      </c>
      <c r="K82" s="28" t="s">
        <v>57</v>
      </c>
      <c r="L82" s="28" t="s">
        <v>696</v>
      </c>
    </row>
    <row r="83" ht="15.75" customHeight="1">
      <c r="A83" s="28" t="s">
        <v>131</v>
      </c>
      <c r="B83" s="28" t="s">
        <v>640</v>
      </c>
      <c r="D83" s="28" t="s">
        <v>134</v>
      </c>
      <c r="E83" s="28" t="s">
        <v>704</v>
      </c>
      <c r="F83" s="28" t="s">
        <v>705</v>
      </c>
      <c r="G83" s="28" t="s">
        <v>241</v>
      </c>
      <c r="H83" s="28">
        <v>1.0</v>
      </c>
      <c r="I83" s="28">
        <v>0.8740861088545898</v>
      </c>
      <c r="J83" s="28">
        <v>14.0</v>
      </c>
      <c r="K83" s="28" t="s">
        <v>57</v>
      </c>
      <c r="L83" s="28" t="s">
        <v>57</v>
      </c>
    </row>
    <row r="84" ht="15.75" customHeight="1">
      <c r="A84" s="28" t="s">
        <v>131</v>
      </c>
      <c r="B84" s="28" t="s">
        <v>640</v>
      </c>
      <c r="D84" s="28" t="s">
        <v>329</v>
      </c>
      <c r="E84" s="28" t="s">
        <v>706</v>
      </c>
      <c r="F84" s="28" t="s">
        <v>276</v>
      </c>
      <c r="G84" s="28" t="s">
        <v>334</v>
      </c>
      <c r="H84" s="28">
        <v>1.0</v>
      </c>
      <c r="I84" s="28">
        <v>0.062111801242236024</v>
      </c>
      <c r="J84" s="28">
        <v>5.0</v>
      </c>
      <c r="K84" s="28" t="s">
        <v>57</v>
      </c>
      <c r="L84" s="28" t="s">
        <v>57</v>
      </c>
    </row>
    <row r="85" ht="15.75" customHeight="1">
      <c r="A85" s="28" t="s">
        <v>131</v>
      </c>
      <c r="B85" s="28" t="s">
        <v>640</v>
      </c>
      <c r="D85" s="28" t="s">
        <v>329</v>
      </c>
      <c r="E85" s="28" t="s">
        <v>707</v>
      </c>
      <c r="F85" s="28" t="s">
        <v>276</v>
      </c>
      <c r="G85" s="28" t="s">
        <v>339</v>
      </c>
      <c r="H85" s="28">
        <v>1.0</v>
      </c>
      <c r="I85" s="28">
        <v>0.08074534161490683</v>
      </c>
      <c r="J85" s="28">
        <v>6.0</v>
      </c>
      <c r="K85" s="28" t="s">
        <v>57</v>
      </c>
      <c r="L85" s="28" t="s">
        <v>57</v>
      </c>
    </row>
    <row r="86" ht="15.75" customHeight="1">
      <c r="A86" s="28" t="s">
        <v>131</v>
      </c>
      <c r="B86" s="28" t="s">
        <v>640</v>
      </c>
      <c r="D86" s="28" t="s">
        <v>329</v>
      </c>
      <c r="E86" s="28" t="s">
        <v>708</v>
      </c>
      <c r="F86" s="28" t="s">
        <v>276</v>
      </c>
      <c r="G86" s="28" t="s">
        <v>310</v>
      </c>
      <c r="H86" s="28">
        <v>1.0</v>
      </c>
      <c r="I86" s="28">
        <v>0.3167701863354037</v>
      </c>
      <c r="J86" s="28">
        <v>18.0</v>
      </c>
      <c r="K86" s="28" t="s">
        <v>57</v>
      </c>
      <c r="L86" s="28" t="s">
        <v>57</v>
      </c>
    </row>
    <row r="87" ht="15.75" customHeight="1">
      <c r="A87" s="28" t="s">
        <v>131</v>
      </c>
      <c r="B87" s="28" t="s">
        <v>640</v>
      </c>
      <c r="D87" s="28" t="s">
        <v>329</v>
      </c>
      <c r="E87" s="28" t="s">
        <v>709</v>
      </c>
      <c r="F87" s="28" t="s">
        <v>276</v>
      </c>
      <c r="G87" s="28" t="s">
        <v>278</v>
      </c>
      <c r="H87" s="28">
        <v>1.0</v>
      </c>
      <c r="I87" s="28">
        <v>0.3167701863354037</v>
      </c>
      <c r="J87" s="28">
        <v>14.0</v>
      </c>
      <c r="K87" s="28" t="s">
        <v>57</v>
      </c>
      <c r="L87" s="28" t="s">
        <v>57</v>
      </c>
    </row>
    <row r="88" ht="15.75" customHeight="1">
      <c r="A88" s="28" t="s">
        <v>131</v>
      </c>
      <c r="B88" s="28" t="s">
        <v>640</v>
      </c>
      <c r="D88" s="28" t="s">
        <v>329</v>
      </c>
      <c r="E88" s="28" t="s">
        <v>710</v>
      </c>
      <c r="F88" s="28" t="s">
        <v>260</v>
      </c>
      <c r="G88" s="28" t="s">
        <v>262</v>
      </c>
      <c r="H88" s="28">
        <v>1.0</v>
      </c>
      <c r="I88" s="28">
        <v>0.391304347826087</v>
      </c>
      <c r="J88" s="28">
        <v>10.0</v>
      </c>
      <c r="K88" s="28" t="s">
        <v>57</v>
      </c>
      <c r="L88" s="28" t="s">
        <v>57</v>
      </c>
    </row>
    <row r="89" ht="15.75" customHeight="1">
      <c r="A89" s="28" t="s">
        <v>131</v>
      </c>
      <c r="B89" s="28" t="s">
        <v>640</v>
      </c>
      <c r="D89" s="28" t="s">
        <v>329</v>
      </c>
      <c r="E89" s="28" t="s">
        <v>711</v>
      </c>
      <c r="F89" s="28" t="s">
        <v>276</v>
      </c>
      <c r="G89" s="28" t="s">
        <v>256</v>
      </c>
      <c r="H89" s="28">
        <v>1.0</v>
      </c>
      <c r="I89" s="28">
        <v>0.4161490683229814</v>
      </c>
      <c r="J89" s="28">
        <v>0.0</v>
      </c>
      <c r="K89" s="28" t="s">
        <v>57</v>
      </c>
      <c r="L89" s="28" t="s">
        <v>57</v>
      </c>
    </row>
    <row r="90" ht="15.75" customHeight="1">
      <c r="A90" s="28" t="s">
        <v>131</v>
      </c>
      <c r="B90" s="28" t="s">
        <v>640</v>
      </c>
      <c r="D90" s="28" t="s">
        <v>329</v>
      </c>
      <c r="E90" s="28" t="s">
        <v>712</v>
      </c>
      <c r="F90" s="28" t="s">
        <v>687</v>
      </c>
      <c r="G90" s="28" t="s">
        <v>364</v>
      </c>
      <c r="H90" s="28">
        <v>1.0</v>
      </c>
      <c r="I90" s="28">
        <v>0.4627659574468085</v>
      </c>
      <c r="J90" s="28">
        <v>20.0</v>
      </c>
      <c r="K90" s="28" t="s">
        <v>57</v>
      </c>
      <c r="L90" s="28" t="s">
        <v>57</v>
      </c>
    </row>
    <row r="91" ht="15.75" customHeight="1">
      <c r="A91" s="28" t="s">
        <v>131</v>
      </c>
      <c r="B91" s="28" t="s">
        <v>640</v>
      </c>
      <c r="D91" s="28" t="s">
        <v>329</v>
      </c>
      <c r="E91" s="28" t="s">
        <v>713</v>
      </c>
      <c r="F91" s="28" t="s">
        <v>687</v>
      </c>
      <c r="G91" s="28" t="s">
        <v>295</v>
      </c>
      <c r="H91" s="28">
        <v>1.0</v>
      </c>
      <c r="I91" s="28">
        <v>0.47058823529411764</v>
      </c>
      <c r="J91" s="28">
        <v>19.0</v>
      </c>
      <c r="K91" s="28" t="s">
        <v>57</v>
      </c>
      <c r="L91" s="28" t="s">
        <v>57</v>
      </c>
    </row>
    <row r="92" ht="15.75" customHeight="1">
      <c r="A92" s="28" t="s">
        <v>131</v>
      </c>
      <c r="B92" s="28" t="s">
        <v>640</v>
      </c>
      <c r="D92" s="28" t="s">
        <v>329</v>
      </c>
      <c r="E92" s="28" t="s">
        <v>714</v>
      </c>
      <c r="F92" s="28" t="s">
        <v>687</v>
      </c>
      <c r="G92" s="28" t="s">
        <v>370</v>
      </c>
      <c r="H92" s="28">
        <v>1.0</v>
      </c>
      <c r="I92" s="28">
        <v>0.5069767441860465</v>
      </c>
      <c r="J92" s="28">
        <v>21.0</v>
      </c>
      <c r="K92" s="28" t="s">
        <v>57</v>
      </c>
      <c r="L92" s="28" t="s">
        <v>57</v>
      </c>
    </row>
    <row r="93" ht="15.75" customHeight="1">
      <c r="A93" s="28" t="s">
        <v>131</v>
      </c>
      <c r="B93" s="28" t="s">
        <v>640</v>
      </c>
      <c r="D93" s="28" t="s">
        <v>329</v>
      </c>
      <c r="E93" s="28" t="s">
        <v>715</v>
      </c>
      <c r="F93" s="28" t="s">
        <v>691</v>
      </c>
      <c r="G93" s="28" t="s">
        <v>345</v>
      </c>
      <c r="H93" s="28">
        <v>1.0</v>
      </c>
      <c r="I93" s="28">
        <v>0.5698924731182796</v>
      </c>
      <c r="J93" s="28">
        <v>11.0</v>
      </c>
      <c r="K93" s="28" t="s">
        <v>57</v>
      </c>
      <c r="L93" s="28" t="s">
        <v>57</v>
      </c>
    </row>
    <row r="94" ht="15.75" customHeight="1">
      <c r="A94" s="28" t="s">
        <v>131</v>
      </c>
      <c r="B94" s="28" t="s">
        <v>640</v>
      </c>
      <c r="D94" s="28" t="s">
        <v>329</v>
      </c>
      <c r="E94" s="28" t="s">
        <v>716</v>
      </c>
      <c r="F94" s="28" t="s">
        <v>691</v>
      </c>
      <c r="G94" s="28" t="s">
        <v>252</v>
      </c>
      <c r="H94" s="28">
        <v>1.0</v>
      </c>
      <c r="I94" s="28">
        <v>0.5714285714285714</v>
      </c>
      <c r="J94" s="28">
        <v>8.0</v>
      </c>
      <c r="K94" s="28" t="s">
        <v>57</v>
      </c>
      <c r="L94" s="28" t="s">
        <v>57</v>
      </c>
    </row>
    <row r="95" ht="15.75" customHeight="1">
      <c r="A95" s="28" t="s">
        <v>131</v>
      </c>
      <c r="B95" s="28" t="s">
        <v>640</v>
      </c>
      <c r="D95" s="28" t="s">
        <v>329</v>
      </c>
      <c r="E95" s="28" t="s">
        <v>717</v>
      </c>
      <c r="F95" s="28" t="s">
        <v>691</v>
      </c>
      <c r="G95" s="28" t="s">
        <v>270</v>
      </c>
      <c r="H95" s="28">
        <v>1.0</v>
      </c>
      <c r="I95" s="28">
        <v>0.5759717314487632</v>
      </c>
      <c r="J95" s="28">
        <v>9.0</v>
      </c>
      <c r="K95" s="28" t="s">
        <v>57</v>
      </c>
      <c r="L95" s="28" t="s">
        <v>57</v>
      </c>
    </row>
    <row r="96" ht="15.75" customHeight="1">
      <c r="A96" s="28" t="s">
        <v>131</v>
      </c>
      <c r="B96" s="28" t="s">
        <v>640</v>
      </c>
      <c r="D96" s="28" t="s">
        <v>329</v>
      </c>
      <c r="E96" s="28" t="s">
        <v>718</v>
      </c>
      <c r="F96" s="28" t="s">
        <v>695</v>
      </c>
      <c r="G96" s="28" t="s">
        <v>213</v>
      </c>
      <c r="H96" s="28">
        <v>1.0</v>
      </c>
      <c r="I96" s="28">
        <v>0.6303191489361702</v>
      </c>
      <c r="J96" s="28">
        <v>7.0</v>
      </c>
      <c r="K96" s="28" t="s">
        <v>57</v>
      </c>
      <c r="L96" s="28" t="s">
        <v>696</v>
      </c>
    </row>
    <row r="97" ht="15.75" customHeight="1">
      <c r="A97" s="28" t="s">
        <v>131</v>
      </c>
      <c r="B97" s="28" t="s">
        <v>640</v>
      </c>
      <c r="D97" s="28" t="s">
        <v>329</v>
      </c>
      <c r="E97" s="28" t="s">
        <v>719</v>
      </c>
      <c r="F97" s="28" t="s">
        <v>698</v>
      </c>
      <c r="G97" s="28" t="s">
        <v>287</v>
      </c>
      <c r="H97" s="28">
        <v>1.0</v>
      </c>
      <c r="I97" s="28">
        <v>0.7027027027027027</v>
      </c>
      <c r="J97" s="28">
        <v>17.0</v>
      </c>
      <c r="K97" s="28" t="s">
        <v>57</v>
      </c>
      <c r="L97" s="28" t="s">
        <v>57</v>
      </c>
    </row>
    <row r="98" ht="15.75" customHeight="1">
      <c r="A98" s="28" t="s">
        <v>131</v>
      </c>
      <c r="B98" s="28" t="s">
        <v>640</v>
      </c>
      <c r="D98" s="28" t="s">
        <v>329</v>
      </c>
      <c r="E98" s="28" t="s">
        <v>720</v>
      </c>
      <c r="F98" s="28" t="s">
        <v>138</v>
      </c>
      <c r="G98" s="28" t="s">
        <v>140</v>
      </c>
      <c r="H98" s="28">
        <v>1.0</v>
      </c>
      <c r="I98" s="28">
        <v>0.7315175097276264</v>
      </c>
      <c r="J98" s="28">
        <v>3.0</v>
      </c>
      <c r="K98" s="28" t="s">
        <v>57</v>
      </c>
      <c r="L98" s="28" t="s">
        <v>696</v>
      </c>
    </row>
    <row r="99" ht="15.75" customHeight="1">
      <c r="A99" s="28" t="s">
        <v>131</v>
      </c>
      <c r="B99" s="28" t="s">
        <v>640</v>
      </c>
      <c r="D99" s="28" t="s">
        <v>329</v>
      </c>
      <c r="E99" s="28" t="s">
        <v>721</v>
      </c>
      <c r="F99" s="28" t="s">
        <v>701</v>
      </c>
      <c r="G99" s="28" t="s">
        <v>303</v>
      </c>
      <c r="H99" s="28">
        <v>1.0</v>
      </c>
      <c r="I99" s="28">
        <v>0.8045007032348804</v>
      </c>
      <c r="J99" s="28">
        <v>15.0</v>
      </c>
      <c r="K99" s="28" t="s">
        <v>57</v>
      </c>
      <c r="L99" s="28" t="s">
        <v>57</v>
      </c>
    </row>
    <row r="100" ht="15.75" customHeight="1">
      <c r="A100" s="28" t="s">
        <v>131</v>
      </c>
      <c r="B100" s="28" t="s">
        <v>640</v>
      </c>
      <c r="D100" s="28" t="s">
        <v>329</v>
      </c>
      <c r="E100" s="28" t="s">
        <v>722</v>
      </c>
      <c r="F100" s="28" t="s">
        <v>703</v>
      </c>
      <c r="G100" s="28" t="s">
        <v>149</v>
      </c>
      <c r="H100" s="28">
        <v>1.0</v>
      </c>
      <c r="I100" s="28">
        <v>0.8104138851802403</v>
      </c>
      <c r="J100" s="28">
        <v>4.0</v>
      </c>
      <c r="K100" s="28" t="s">
        <v>57</v>
      </c>
      <c r="L100" s="28" t="s">
        <v>696</v>
      </c>
    </row>
    <row r="101" ht="15.75" customHeight="1">
      <c r="A101" s="28" t="s">
        <v>131</v>
      </c>
      <c r="B101" s="28" t="s">
        <v>640</v>
      </c>
      <c r="D101" s="28" t="s">
        <v>329</v>
      </c>
      <c r="E101" s="28" t="s">
        <v>723</v>
      </c>
      <c r="F101" s="28" t="s">
        <v>705</v>
      </c>
      <c r="G101" s="28" t="s">
        <v>241</v>
      </c>
      <c r="H101" s="28">
        <v>1.0</v>
      </c>
      <c r="I101" s="28">
        <v>0.8862713241267263</v>
      </c>
      <c r="J101" s="28">
        <v>13.0</v>
      </c>
      <c r="K101" s="28" t="s">
        <v>57</v>
      </c>
      <c r="L101" s="28" t="s">
        <v>57</v>
      </c>
    </row>
    <row r="102" ht="15.75" customHeight="1">
      <c r="A102" s="28" t="s">
        <v>131</v>
      </c>
      <c r="B102" s="28" t="s">
        <v>640</v>
      </c>
      <c r="D102" s="28" t="s">
        <v>256</v>
      </c>
      <c r="E102" s="28" t="s">
        <v>724</v>
      </c>
      <c r="F102" s="28" t="s">
        <v>276</v>
      </c>
      <c r="G102" s="28" t="s">
        <v>310</v>
      </c>
      <c r="H102" s="28">
        <v>1.0</v>
      </c>
      <c r="I102" s="28">
        <v>0.24324324324324326</v>
      </c>
      <c r="J102" s="28">
        <v>17.0</v>
      </c>
      <c r="K102" s="28" t="s">
        <v>57</v>
      </c>
      <c r="L102" s="28" t="s">
        <v>57</v>
      </c>
    </row>
    <row r="103" ht="15.75" customHeight="1">
      <c r="A103" s="28" t="s">
        <v>131</v>
      </c>
      <c r="B103" s="28" t="s">
        <v>640</v>
      </c>
      <c r="D103" s="28" t="s">
        <v>256</v>
      </c>
      <c r="E103" s="28" t="s">
        <v>274</v>
      </c>
      <c r="F103" s="28" t="s">
        <v>276</v>
      </c>
      <c r="G103" s="28" t="s">
        <v>278</v>
      </c>
      <c r="H103" s="28">
        <v>1.0</v>
      </c>
      <c r="I103" s="28">
        <v>0.24324324324324326</v>
      </c>
      <c r="J103" s="28">
        <v>13.0</v>
      </c>
      <c r="K103" s="28" t="s">
        <v>57</v>
      </c>
      <c r="L103" s="28" t="s">
        <v>57</v>
      </c>
    </row>
    <row r="104" ht="15.75" customHeight="1">
      <c r="A104" s="28" t="s">
        <v>131</v>
      </c>
      <c r="B104" s="28" t="s">
        <v>640</v>
      </c>
      <c r="D104" s="28" t="s">
        <v>256</v>
      </c>
      <c r="E104" s="28" t="s">
        <v>258</v>
      </c>
      <c r="F104" s="28" t="s">
        <v>260</v>
      </c>
      <c r="G104" s="28" t="s">
        <v>262</v>
      </c>
      <c r="H104" s="28">
        <v>1.0</v>
      </c>
      <c r="I104" s="28">
        <v>0.2625</v>
      </c>
      <c r="J104" s="28">
        <v>9.0</v>
      </c>
      <c r="K104" s="28" t="s">
        <v>57</v>
      </c>
      <c r="L104" s="28" t="s">
        <v>57</v>
      </c>
    </row>
    <row r="105" ht="15.75" customHeight="1">
      <c r="A105" s="28" t="s">
        <v>131</v>
      </c>
      <c r="B105" s="28" t="s">
        <v>640</v>
      </c>
      <c r="D105" s="28" t="s">
        <v>256</v>
      </c>
      <c r="E105" s="28" t="s">
        <v>725</v>
      </c>
      <c r="F105" s="28" t="s">
        <v>687</v>
      </c>
      <c r="G105" s="28" t="s">
        <v>370</v>
      </c>
      <c r="H105" s="28">
        <v>1.0</v>
      </c>
      <c r="I105" s="28">
        <v>0.3302325581395349</v>
      </c>
      <c r="J105" s="28">
        <v>20.0</v>
      </c>
      <c r="K105" s="28" t="s">
        <v>57</v>
      </c>
      <c r="L105" s="28" t="s">
        <v>57</v>
      </c>
    </row>
    <row r="106" ht="15.75" customHeight="1">
      <c r="A106" s="28" t="s">
        <v>131</v>
      </c>
      <c r="B106" s="28" t="s">
        <v>640</v>
      </c>
      <c r="D106" s="28" t="s">
        <v>256</v>
      </c>
      <c r="E106" s="28" t="s">
        <v>726</v>
      </c>
      <c r="F106" s="28" t="s">
        <v>687</v>
      </c>
      <c r="G106" s="28" t="s">
        <v>364</v>
      </c>
      <c r="H106" s="28">
        <v>1.0</v>
      </c>
      <c r="I106" s="28">
        <v>0.3351063829787234</v>
      </c>
      <c r="J106" s="28">
        <v>19.0</v>
      </c>
      <c r="K106" s="28" t="s">
        <v>57</v>
      </c>
      <c r="L106" s="28" t="s">
        <v>57</v>
      </c>
    </row>
    <row r="107" ht="15.75" customHeight="1">
      <c r="A107" s="28" t="s">
        <v>131</v>
      </c>
      <c r="B107" s="28" t="s">
        <v>640</v>
      </c>
      <c r="D107" s="28" t="s">
        <v>256</v>
      </c>
      <c r="E107" s="28" t="s">
        <v>727</v>
      </c>
      <c r="F107" s="28" t="s">
        <v>687</v>
      </c>
      <c r="G107" s="28" t="s">
        <v>295</v>
      </c>
      <c r="H107" s="28">
        <v>1.0</v>
      </c>
      <c r="I107" s="28">
        <v>0.33689839572192515</v>
      </c>
      <c r="J107" s="28">
        <v>18.0</v>
      </c>
      <c r="K107" s="28" t="s">
        <v>57</v>
      </c>
      <c r="L107" s="28" t="s">
        <v>57</v>
      </c>
    </row>
    <row r="108" ht="15.75" customHeight="1">
      <c r="A108" s="28" t="s">
        <v>131</v>
      </c>
      <c r="B108" s="28" t="s">
        <v>640</v>
      </c>
      <c r="D108" s="28" t="s">
        <v>256</v>
      </c>
      <c r="E108" s="28" t="s">
        <v>728</v>
      </c>
      <c r="F108" s="28" t="s">
        <v>276</v>
      </c>
      <c r="G108" s="28" t="s">
        <v>334</v>
      </c>
      <c r="H108" s="28">
        <v>1.0</v>
      </c>
      <c r="I108" s="28">
        <v>0.4177215189873418</v>
      </c>
      <c r="J108" s="28">
        <v>4.0</v>
      </c>
      <c r="K108" s="28" t="s">
        <v>57</v>
      </c>
      <c r="L108" s="28" t="s">
        <v>57</v>
      </c>
    </row>
    <row r="109" ht="15.75" customHeight="1">
      <c r="A109" s="28" t="s">
        <v>131</v>
      </c>
      <c r="B109" s="28" t="s">
        <v>640</v>
      </c>
      <c r="D109" s="28" t="s">
        <v>256</v>
      </c>
      <c r="E109" s="28" t="s">
        <v>729</v>
      </c>
      <c r="F109" s="28" t="s">
        <v>276</v>
      </c>
      <c r="G109" s="28" t="s">
        <v>339</v>
      </c>
      <c r="H109" s="28">
        <v>1.0</v>
      </c>
      <c r="I109" s="28">
        <v>0.42857142857142855</v>
      </c>
      <c r="J109" s="28">
        <v>5.0</v>
      </c>
      <c r="K109" s="28" t="s">
        <v>57</v>
      </c>
      <c r="L109" s="28" t="s">
        <v>57</v>
      </c>
    </row>
    <row r="110" ht="15.75" customHeight="1">
      <c r="A110" s="28" t="s">
        <v>131</v>
      </c>
      <c r="B110" s="28" t="s">
        <v>640</v>
      </c>
      <c r="D110" s="28" t="s">
        <v>256</v>
      </c>
      <c r="E110" s="28" t="s">
        <v>730</v>
      </c>
      <c r="F110" s="28" t="s">
        <v>691</v>
      </c>
      <c r="G110" s="28" t="s">
        <v>345</v>
      </c>
      <c r="H110" s="28">
        <v>1.0</v>
      </c>
      <c r="I110" s="28">
        <v>0.5376344086021505</v>
      </c>
      <c r="J110" s="28">
        <v>10.0</v>
      </c>
      <c r="K110" s="28" t="s">
        <v>57</v>
      </c>
      <c r="L110" s="28" t="s">
        <v>57</v>
      </c>
    </row>
    <row r="111" ht="15.75" customHeight="1">
      <c r="A111" s="28" t="s">
        <v>131</v>
      </c>
      <c r="B111" s="28" t="s">
        <v>640</v>
      </c>
      <c r="D111" s="28" t="s">
        <v>256</v>
      </c>
      <c r="E111" s="28" t="s">
        <v>731</v>
      </c>
      <c r="F111" s="28" t="s">
        <v>691</v>
      </c>
      <c r="G111" s="28" t="s">
        <v>252</v>
      </c>
      <c r="H111" s="28">
        <v>1.0</v>
      </c>
      <c r="I111" s="28">
        <v>0.55</v>
      </c>
      <c r="J111" s="28">
        <v>7.0</v>
      </c>
      <c r="K111" s="28" t="s">
        <v>57</v>
      </c>
      <c r="L111" s="28" t="s">
        <v>57</v>
      </c>
    </row>
    <row r="112" ht="15.75" customHeight="1">
      <c r="A112" s="28" t="s">
        <v>131</v>
      </c>
      <c r="B112" s="28" t="s">
        <v>640</v>
      </c>
      <c r="D112" s="28" t="s">
        <v>256</v>
      </c>
      <c r="E112" s="28" t="s">
        <v>732</v>
      </c>
      <c r="F112" s="28" t="s">
        <v>691</v>
      </c>
      <c r="G112" s="28" t="s">
        <v>270</v>
      </c>
      <c r="H112" s="28">
        <v>1.0</v>
      </c>
      <c r="I112" s="28">
        <v>0.5547703180212014</v>
      </c>
      <c r="J112" s="28">
        <v>8.0</v>
      </c>
      <c r="K112" s="28" t="s">
        <v>57</v>
      </c>
      <c r="L112" s="28" t="s">
        <v>57</v>
      </c>
    </row>
    <row r="113" ht="15.75" customHeight="1">
      <c r="A113" s="28" t="s">
        <v>131</v>
      </c>
      <c r="B113" s="28" t="s">
        <v>640</v>
      </c>
      <c r="D113" s="28" t="s">
        <v>256</v>
      </c>
      <c r="E113" s="28" t="s">
        <v>733</v>
      </c>
      <c r="F113" s="28" t="s">
        <v>695</v>
      </c>
      <c r="G113" s="28" t="s">
        <v>213</v>
      </c>
      <c r="H113" s="28">
        <v>1.0</v>
      </c>
      <c r="I113" s="28">
        <v>0.6569148936170213</v>
      </c>
      <c r="J113" s="28">
        <v>6.0</v>
      </c>
      <c r="K113" s="28" t="s">
        <v>57</v>
      </c>
      <c r="L113" s="28" t="s">
        <v>696</v>
      </c>
    </row>
    <row r="114" ht="15.75" customHeight="1">
      <c r="A114" s="28" t="s">
        <v>131</v>
      </c>
      <c r="B114" s="28" t="s">
        <v>640</v>
      </c>
      <c r="D114" s="28" t="s">
        <v>256</v>
      </c>
      <c r="E114" s="28" t="s">
        <v>734</v>
      </c>
      <c r="F114" s="28" t="s">
        <v>698</v>
      </c>
      <c r="G114" s="28" t="s">
        <v>287</v>
      </c>
      <c r="H114" s="28">
        <v>1.0</v>
      </c>
      <c r="I114" s="28">
        <v>0.6781326781326781</v>
      </c>
      <c r="J114" s="28">
        <v>16.0</v>
      </c>
      <c r="K114" s="28" t="s">
        <v>57</v>
      </c>
      <c r="L114" s="28" t="s">
        <v>57</v>
      </c>
    </row>
    <row r="115" ht="15.75" customHeight="1">
      <c r="A115" s="28" t="s">
        <v>131</v>
      </c>
      <c r="B115" s="28" t="s">
        <v>640</v>
      </c>
      <c r="D115" s="28" t="s">
        <v>256</v>
      </c>
      <c r="E115" s="28" t="s">
        <v>735</v>
      </c>
      <c r="F115" s="28" t="s">
        <v>138</v>
      </c>
      <c r="G115" s="28" t="s">
        <v>140</v>
      </c>
      <c r="H115" s="28">
        <v>1.0</v>
      </c>
      <c r="I115" s="28">
        <v>0.7237354085603113</v>
      </c>
      <c r="J115" s="28">
        <v>2.0</v>
      </c>
      <c r="K115" s="28" t="s">
        <v>57</v>
      </c>
      <c r="L115" s="28" t="s">
        <v>696</v>
      </c>
    </row>
    <row r="116" ht="15.75" customHeight="1">
      <c r="A116" s="28" t="s">
        <v>131</v>
      </c>
      <c r="B116" s="28" t="s">
        <v>640</v>
      </c>
      <c r="D116" s="28" t="s">
        <v>256</v>
      </c>
      <c r="E116" s="28" t="s">
        <v>736</v>
      </c>
      <c r="F116" s="28" t="s">
        <v>703</v>
      </c>
      <c r="G116" s="28" t="s">
        <v>149</v>
      </c>
      <c r="H116" s="28">
        <v>1.0</v>
      </c>
      <c r="I116" s="28">
        <v>0.8117489986648865</v>
      </c>
      <c r="J116" s="28">
        <v>3.0</v>
      </c>
      <c r="K116" s="28" t="s">
        <v>57</v>
      </c>
      <c r="L116" s="28" t="s">
        <v>696</v>
      </c>
    </row>
    <row r="117" ht="15.75" customHeight="1">
      <c r="A117" s="28" t="s">
        <v>131</v>
      </c>
      <c r="B117" s="28" t="s">
        <v>640</v>
      </c>
      <c r="D117" s="28" t="s">
        <v>256</v>
      </c>
      <c r="E117" s="28" t="s">
        <v>737</v>
      </c>
      <c r="F117" s="28" t="s">
        <v>701</v>
      </c>
      <c r="G117" s="28" t="s">
        <v>303</v>
      </c>
      <c r="H117" s="28">
        <v>1.0</v>
      </c>
      <c r="I117" s="28">
        <v>0.8185654008438819</v>
      </c>
      <c r="J117" s="28">
        <v>14.0</v>
      </c>
      <c r="K117" s="28" t="s">
        <v>57</v>
      </c>
      <c r="L117" s="28" t="s">
        <v>57</v>
      </c>
    </row>
    <row r="118" ht="15.75" customHeight="1">
      <c r="A118" s="28" t="s">
        <v>131</v>
      </c>
      <c r="B118" s="28" t="s">
        <v>640</v>
      </c>
      <c r="D118" s="28" t="s">
        <v>256</v>
      </c>
      <c r="E118" s="28" t="s">
        <v>738</v>
      </c>
      <c r="F118" s="28" t="s">
        <v>705</v>
      </c>
      <c r="G118" s="28" t="s">
        <v>241</v>
      </c>
      <c r="H118" s="28">
        <v>1.0</v>
      </c>
      <c r="I118" s="28">
        <v>0.892770105605199</v>
      </c>
      <c r="J118" s="28">
        <v>12.0</v>
      </c>
      <c r="K118" s="28" t="s">
        <v>57</v>
      </c>
      <c r="L118" s="28" t="s">
        <v>57</v>
      </c>
    </row>
    <row r="119" ht="15.75" customHeight="1">
      <c r="A119" s="28" t="s">
        <v>131</v>
      </c>
      <c r="B119" s="28" t="s">
        <v>640</v>
      </c>
      <c r="D119" s="28" t="s">
        <v>140</v>
      </c>
      <c r="E119" s="28" t="s">
        <v>739</v>
      </c>
      <c r="F119" s="28" t="s">
        <v>740</v>
      </c>
      <c r="G119" s="28" t="s">
        <v>287</v>
      </c>
      <c r="H119" s="28">
        <v>1.0</v>
      </c>
      <c r="I119" s="28">
        <v>0.245136186770428</v>
      </c>
      <c r="J119" s="28">
        <v>13.0</v>
      </c>
      <c r="K119" s="28" t="s">
        <v>57</v>
      </c>
      <c r="L119" s="28" t="s">
        <v>696</v>
      </c>
    </row>
    <row r="120" ht="15.75" customHeight="1">
      <c r="A120" s="28" t="s">
        <v>131</v>
      </c>
      <c r="B120" s="28" t="s">
        <v>640</v>
      </c>
      <c r="D120" s="28" t="s">
        <v>140</v>
      </c>
      <c r="E120" s="28" t="s">
        <v>145</v>
      </c>
      <c r="F120" s="28" t="s">
        <v>147</v>
      </c>
      <c r="G120" s="28" t="s">
        <v>149</v>
      </c>
      <c r="H120" s="28">
        <v>1.0</v>
      </c>
      <c r="I120" s="28">
        <v>0.37383177570093457</v>
      </c>
      <c r="J120" s="28">
        <v>0.0</v>
      </c>
      <c r="K120" s="28" t="s">
        <v>57</v>
      </c>
      <c r="L120" s="28" t="s">
        <v>57</v>
      </c>
    </row>
    <row r="121" ht="15.75" customHeight="1">
      <c r="A121" s="28" t="s">
        <v>131</v>
      </c>
      <c r="B121" s="28" t="s">
        <v>640</v>
      </c>
      <c r="D121" s="28" t="s">
        <v>140</v>
      </c>
      <c r="E121" s="28" t="s">
        <v>209</v>
      </c>
      <c r="F121" s="28" t="s">
        <v>211</v>
      </c>
      <c r="G121" s="28" t="s">
        <v>213</v>
      </c>
      <c r="H121" s="28">
        <v>1.0</v>
      </c>
      <c r="I121" s="28">
        <v>0.3949416342412451</v>
      </c>
      <c r="J121" s="28">
        <v>3.0</v>
      </c>
      <c r="K121" s="28" t="s">
        <v>57</v>
      </c>
      <c r="L121" s="28" t="s">
        <v>57</v>
      </c>
    </row>
    <row r="122" ht="15.75" customHeight="1">
      <c r="A122" s="28" t="s">
        <v>131</v>
      </c>
      <c r="B122" s="28" t="s">
        <v>640</v>
      </c>
      <c r="D122" s="28" t="s">
        <v>140</v>
      </c>
      <c r="E122" s="28" t="s">
        <v>741</v>
      </c>
      <c r="F122" s="28" t="s">
        <v>742</v>
      </c>
      <c r="G122" s="28" t="s">
        <v>303</v>
      </c>
      <c r="H122" s="28">
        <v>1.0</v>
      </c>
      <c r="I122" s="28">
        <v>0.4008438818565401</v>
      </c>
      <c r="J122" s="28">
        <v>11.0</v>
      </c>
      <c r="K122" s="28" t="s">
        <v>57</v>
      </c>
      <c r="L122" s="28" t="s">
        <v>696</v>
      </c>
    </row>
    <row r="123" ht="15.75" customHeight="1">
      <c r="A123" s="28" t="s">
        <v>131</v>
      </c>
      <c r="B123" s="28" t="s">
        <v>640</v>
      </c>
      <c r="D123" s="28" t="s">
        <v>140</v>
      </c>
      <c r="E123" s="28" t="s">
        <v>743</v>
      </c>
      <c r="F123" s="28" t="s">
        <v>744</v>
      </c>
      <c r="G123" s="28" t="s">
        <v>252</v>
      </c>
      <c r="H123" s="28">
        <v>1.0</v>
      </c>
      <c r="I123" s="28">
        <v>0.4980544747081712</v>
      </c>
      <c r="J123" s="28">
        <v>4.0</v>
      </c>
      <c r="K123" s="28" t="s">
        <v>57</v>
      </c>
      <c r="L123" s="28" t="s">
        <v>696</v>
      </c>
    </row>
    <row r="124" ht="15.75" customHeight="1">
      <c r="A124" s="28" t="s">
        <v>131</v>
      </c>
      <c r="B124" s="28" t="s">
        <v>640</v>
      </c>
      <c r="D124" s="28" t="s">
        <v>140</v>
      </c>
      <c r="E124" s="28" t="s">
        <v>745</v>
      </c>
      <c r="F124" s="28" t="s">
        <v>744</v>
      </c>
      <c r="G124" s="28" t="s">
        <v>345</v>
      </c>
      <c r="H124" s="28">
        <v>1.0</v>
      </c>
      <c r="I124" s="28">
        <v>0.5</v>
      </c>
      <c r="J124" s="28">
        <v>7.0</v>
      </c>
      <c r="K124" s="28" t="s">
        <v>57</v>
      </c>
      <c r="L124" s="28" t="s">
        <v>696</v>
      </c>
    </row>
    <row r="125" ht="15.75" customHeight="1">
      <c r="A125" s="28" t="s">
        <v>131</v>
      </c>
      <c r="B125" s="28" t="s">
        <v>640</v>
      </c>
      <c r="D125" s="28" t="s">
        <v>140</v>
      </c>
      <c r="E125" s="28" t="s">
        <v>746</v>
      </c>
      <c r="F125" s="28" t="s">
        <v>744</v>
      </c>
      <c r="G125" s="28" t="s">
        <v>270</v>
      </c>
      <c r="H125" s="28">
        <v>1.0</v>
      </c>
      <c r="I125" s="28">
        <v>0.5038910505836576</v>
      </c>
      <c r="J125" s="28">
        <v>5.0</v>
      </c>
      <c r="K125" s="28" t="s">
        <v>57</v>
      </c>
      <c r="L125" s="28" t="s">
        <v>696</v>
      </c>
    </row>
    <row r="126" ht="15.75" customHeight="1">
      <c r="A126" s="28" t="s">
        <v>131</v>
      </c>
      <c r="B126" s="28" t="s">
        <v>640</v>
      </c>
      <c r="D126" s="28" t="s">
        <v>140</v>
      </c>
      <c r="E126" s="28" t="s">
        <v>747</v>
      </c>
      <c r="F126" s="28" t="s">
        <v>748</v>
      </c>
      <c r="G126" s="28" t="s">
        <v>370</v>
      </c>
      <c r="H126" s="28">
        <v>1.0</v>
      </c>
      <c r="I126" s="28">
        <v>0.5972762645914397</v>
      </c>
      <c r="J126" s="28">
        <v>17.0</v>
      </c>
      <c r="K126" s="28" t="s">
        <v>57</v>
      </c>
      <c r="L126" s="28" t="s">
        <v>696</v>
      </c>
    </row>
    <row r="127" ht="15.75" customHeight="1">
      <c r="A127" s="28" t="s">
        <v>131</v>
      </c>
      <c r="B127" s="28" t="s">
        <v>640</v>
      </c>
      <c r="D127" s="28" t="s">
        <v>140</v>
      </c>
      <c r="E127" s="28" t="s">
        <v>749</v>
      </c>
      <c r="F127" s="28" t="s">
        <v>750</v>
      </c>
      <c r="G127" s="28" t="s">
        <v>241</v>
      </c>
      <c r="H127" s="28">
        <v>1.0</v>
      </c>
      <c r="I127" s="28">
        <v>0.6116978066612511</v>
      </c>
      <c r="J127" s="28">
        <v>9.0</v>
      </c>
      <c r="K127" s="28" t="s">
        <v>57</v>
      </c>
      <c r="L127" s="28" t="s">
        <v>696</v>
      </c>
    </row>
    <row r="128" ht="15.75" customHeight="1">
      <c r="A128" s="28" t="s">
        <v>131</v>
      </c>
      <c r="B128" s="28" t="s">
        <v>640</v>
      </c>
      <c r="D128" s="28" t="s">
        <v>140</v>
      </c>
      <c r="E128" s="28" t="s">
        <v>751</v>
      </c>
      <c r="F128" s="28" t="s">
        <v>748</v>
      </c>
      <c r="G128" s="28" t="s">
        <v>295</v>
      </c>
      <c r="H128" s="28">
        <v>1.0</v>
      </c>
      <c r="I128" s="28">
        <v>0.6400778210116731</v>
      </c>
      <c r="J128" s="28">
        <v>15.0</v>
      </c>
      <c r="K128" s="28" t="s">
        <v>57</v>
      </c>
      <c r="L128" s="28" t="s">
        <v>696</v>
      </c>
    </row>
    <row r="129" ht="15.75" customHeight="1">
      <c r="A129" s="28" t="s">
        <v>131</v>
      </c>
      <c r="B129" s="28" t="s">
        <v>640</v>
      </c>
      <c r="D129" s="28" t="s">
        <v>140</v>
      </c>
      <c r="E129" s="28" t="s">
        <v>752</v>
      </c>
      <c r="F129" s="28" t="s">
        <v>748</v>
      </c>
      <c r="G129" s="28" t="s">
        <v>364</v>
      </c>
      <c r="H129" s="28">
        <v>1.0</v>
      </c>
      <c r="I129" s="28">
        <v>0.6400778210116731</v>
      </c>
      <c r="J129" s="28">
        <v>16.0</v>
      </c>
      <c r="K129" s="28" t="s">
        <v>57</v>
      </c>
      <c r="L129" s="28" t="s">
        <v>696</v>
      </c>
    </row>
    <row r="130" ht="15.75" customHeight="1">
      <c r="A130" s="28" t="s">
        <v>131</v>
      </c>
      <c r="B130" s="28" t="s">
        <v>640</v>
      </c>
      <c r="D130" s="28" t="s">
        <v>140</v>
      </c>
      <c r="E130" s="28" t="s">
        <v>753</v>
      </c>
      <c r="F130" s="28" t="s">
        <v>754</v>
      </c>
      <c r="G130" s="28" t="s">
        <v>262</v>
      </c>
      <c r="H130" s="28">
        <v>1.0</v>
      </c>
      <c r="I130" s="28">
        <v>0.7101167315175098</v>
      </c>
      <c r="J130" s="28">
        <v>6.0</v>
      </c>
      <c r="K130" s="28" t="s">
        <v>57</v>
      </c>
      <c r="L130" s="28" t="s">
        <v>696</v>
      </c>
    </row>
    <row r="131" ht="15.75" customHeight="1">
      <c r="A131" s="28" t="s">
        <v>131</v>
      </c>
      <c r="B131" s="28" t="s">
        <v>640</v>
      </c>
      <c r="D131" s="28" t="s">
        <v>140</v>
      </c>
      <c r="E131" s="28" t="s">
        <v>755</v>
      </c>
      <c r="F131" s="28" t="s">
        <v>756</v>
      </c>
      <c r="G131" s="28" t="s">
        <v>334</v>
      </c>
      <c r="H131" s="28">
        <v>1.0</v>
      </c>
      <c r="I131" s="28">
        <v>0.745136186770428</v>
      </c>
      <c r="J131" s="28">
        <v>1.0</v>
      </c>
      <c r="K131" s="28" t="s">
        <v>57</v>
      </c>
      <c r="L131" s="28" t="s">
        <v>696</v>
      </c>
    </row>
    <row r="132" ht="15.75" customHeight="1">
      <c r="A132" s="28" t="s">
        <v>131</v>
      </c>
      <c r="B132" s="28" t="s">
        <v>640</v>
      </c>
      <c r="D132" s="28" t="s">
        <v>140</v>
      </c>
      <c r="E132" s="28" t="s">
        <v>757</v>
      </c>
      <c r="F132" s="28" t="s">
        <v>756</v>
      </c>
      <c r="G132" s="28" t="s">
        <v>339</v>
      </c>
      <c r="H132" s="28">
        <v>1.0</v>
      </c>
      <c r="I132" s="28">
        <v>0.745136186770428</v>
      </c>
      <c r="J132" s="28">
        <v>2.0</v>
      </c>
      <c r="K132" s="28" t="s">
        <v>57</v>
      </c>
      <c r="L132" s="28" t="s">
        <v>696</v>
      </c>
    </row>
    <row r="133" ht="15.75" customHeight="1">
      <c r="A133" s="28" t="s">
        <v>131</v>
      </c>
      <c r="B133" s="28" t="s">
        <v>640</v>
      </c>
      <c r="D133" s="28" t="s">
        <v>140</v>
      </c>
      <c r="E133" s="28" t="s">
        <v>758</v>
      </c>
      <c r="F133" s="28" t="s">
        <v>756</v>
      </c>
      <c r="G133" s="28" t="s">
        <v>310</v>
      </c>
      <c r="H133" s="28">
        <v>1.0</v>
      </c>
      <c r="I133" s="28">
        <v>0.7801556420233463</v>
      </c>
      <c r="J133" s="28">
        <v>14.0</v>
      </c>
      <c r="K133" s="28" t="s">
        <v>57</v>
      </c>
      <c r="L133" s="28" t="s">
        <v>696</v>
      </c>
    </row>
    <row r="134" ht="15.75" customHeight="1">
      <c r="A134" s="28" t="s">
        <v>131</v>
      </c>
      <c r="B134" s="28" t="s">
        <v>640</v>
      </c>
      <c r="D134" s="28" t="s">
        <v>140</v>
      </c>
      <c r="E134" s="28" t="s">
        <v>759</v>
      </c>
      <c r="F134" s="28" t="s">
        <v>756</v>
      </c>
      <c r="G134" s="28" t="s">
        <v>278</v>
      </c>
      <c r="H134" s="28">
        <v>1.0</v>
      </c>
      <c r="I134" s="28">
        <v>0.7821011673151751</v>
      </c>
      <c r="J134" s="28">
        <v>10.0</v>
      </c>
      <c r="K134" s="28" t="s">
        <v>57</v>
      </c>
      <c r="L134" s="28" t="s">
        <v>696</v>
      </c>
    </row>
    <row r="135" ht="15.75" customHeight="1">
      <c r="A135" s="28" t="s">
        <v>131</v>
      </c>
      <c r="B135" s="28" t="s">
        <v>640</v>
      </c>
      <c r="D135" s="28" t="s">
        <v>149</v>
      </c>
      <c r="E135" s="28" t="s">
        <v>760</v>
      </c>
      <c r="F135" s="28" t="s">
        <v>761</v>
      </c>
      <c r="G135" s="28" t="s">
        <v>303</v>
      </c>
      <c r="H135" s="28">
        <v>1.0</v>
      </c>
      <c r="I135" s="28">
        <v>0.25634178905206945</v>
      </c>
      <c r="J135" s="28">
        <v>10.0</v>
      </c>
      <c r="K135" s="28" t="s">
        <v>57</v>
      </c>
      <c r="L135" s="28" t="s">
        <v>696</v>
      </c>
    </row>
    <row r="136" ht="15.75" customHeight="1">
      <c r="A136" s="28" t="s">
        <v>131</v>
      </c>
      <c r="B136" s="28" t="s">
        <v>640</v>
      </c>
      <c r="D136" s="28" t="s">
        <v>149</v>
      </c>
      <c r="E136" s="28" t="s">
        <v>237</v>
      </c>
      <c r="F136" s="28" t="s">
        <v>239</v>
      </c>
      <c r="G136" s="28" t="s">
        <v>241</v>
      </c>
      <c r="H136" s="28">
        <v>1.0</v>
      </c>
      <c r="I136" s="28">
        <v>0.45816409423233145</v>
      </c>
      <c r="J136" s="28">
        <v>8.0</v>
      </c>
      <c r="K136" s="28" t="s">
        <v>57</v>
      </c>
      <c r="L136" s="28" t="s">
        <v>696</v>
      </c>
    </row>
    <row r="137" ht="15.75" customHeight="1">
      <c r="A137" s="28" t="s">
        <v>131</v>
      </c>
      <c r="B137" s="28" t="s">
        <v>640</v>
      </c>
      <c r="D137" s="28" t="s">
        <v>149</v>
      </c>
      <c r="E137" s="28" t="s">
        <v>762</v>
      </c>
      <c r="F137" s="28" t="s">
        <v>763</v>
      </c>
      <c r="G137" s="28" t="s">
        <v>287</v>
      </c>
      <c r="H137" s="28">
        <v>1.0</v>
      </c>
      <c r="I137" s="28">
        <v>0.4672897196261682</v>
      </c>
      <c r="J137" s="28">
        <v>12.0</v>
      </c>
      <c r="K137" s="28" t="s">
        <v>57</v>
      </c>
      <c r="L137" s="28" t="s">
        <v>696</v>
      </c>
    </row>
    <row r="138" ht="15.75" customHeight="1">
      <c r="A138" s="28" t="s">
        <v>131</v>
      </c>
      <c r="B138" s="28" t="s">
        <v>640</v>
      </c>
      <c r="D138" s="28" t="s">
        <v>149</v>
      </c>
      <c r="E138" s="28" t="s">
        <v>764</v>
      </c>
      <c r="F138" s="28" t="s">
        <v>765</v>
      </c>
      <c r="G138" s="28" t="s">
        <v>213</v>
      </c>
      <c r="H138" s="28">
        <v>1.0</v>
      </c>
      <c r="I138" s="28">
        <v>0.5367156208277704</v>
      </c>
      <c r="J138" s="28">
        <v>2.0</v>
      </c>
      <c r="K138" s="28" t="s">
        <v>57</v>
      </c>
      <c r="L138" s="28" t="s">
        <v>57</v>
      </c>
    </row>
    <row r="139" ht="15.75" customHeight="1">
      <c r="A139" s="28" t="s">
        <v>131</v>
      </c>
      <c r="B139" s="28" t="s">
        <v>640</v>
      </c>
      <c r="D139" s="28" t="s">
        <v>149</v>
      </c>
      <c r="E139" s="28" t="s">
        <v>766</v>
      </c>
      <c r="F139" s="28" t="s">
        <v>767</v>
      </c>
      <c r="G139" s="28" t="s">
        <v>345</v>
      </c>
      <c r="H139" s="28">
        <v>1.0</v>
      </c>
      <c r="I139" s="28">
        <v>0.6515353805073432</v>
      </c>
      <c r="J139" s="28">
        <v>6.0</v>
      </c>
      <c r="K139" s="28" t="s">
        <v>57</v>
      </c>
      <c r="L139" s="28" t="s">
        <v>696</v>
      </c>
    </row>
    <row r="140" ht="15.75" customHeight="1">
      <c r="A140" s="28" t="s">
        <v>131</v>
      </c>
      <c r="B140" s="28" t="s">
        <v>640</v>
      </c>
      <c r="D140" s="28" t="s">
        <v>149</v>
      </c>
      <c r="E140" s="28" t="s">
        <v>768</v>
      </c>
      <c r="F140" s="28" t="s">
        <v>767</v>
      </c>
      <c r="G140" s="28" t="s">
        <v>252</v>
      </c>
      <c r="H140" s="28">
        <v>1.0</v>
      </c>
      <c r="I140" s="28">
        <v>0.6515353805073432</v>
      </c>
      <c r="J140" s="28">
        <v>3.0</v>
      </c>
      <c r="K140" s="28" t="s">
        <v>57</v>
      </c>
      <c r="L140" s="28" t="s">
        <v>696</v>
      </c>
    </row>
    <row r="141" ht="15.75" customHeight="1">
      <c r="A141" s="28" t="s">
        <v>131</v>
      </c>
      <c r="B141" s="28" t="s">
        <v>640</v>
      </c>
      <c r="D141" s="28" t="s">
        <v>149</v>
      </c>
      <c r="E141" s="28" t="s">
        <v>769</v>
      </c>
      <c r="F141" s="28" t="s">
        <v>767</v>
      </c>
      <c r="G141" s="28" t="s">
        <v>270</v>
      </c>
      <c r="H141" s="28">
        <v>1.0</v>
      </c>
      <c r="I141" s="28">
        <v>0.6555407209612817</v>
      </c>
      <c r="J141" s="28">
        <v>4.0</v>
      </c>
      <c r="K141" s="28" t="s">
        <v>57</v>
      </c>
      <c r="L141" s="28" t="s">
        <v>696</v>
      </c>
    </row>
    <row r="142" ht="15.75" customHeight="1">
      <c r="A142" s="28" t="s">
        <v>131</v>
      </c>
      <c r="B142" s="28" t="s">
        <v>640</v>
      </c>
      <c r="D142" s="28" t="s">
        <v>149</v>
      </c>
      <c r="E142" s="28" t="s">
        <v>770</v>
      </c>
      <c r="F142" s="28" t="s">
        <v>771</v>
      </c>
      <c r="G142" s="28" t="s">
        <v>370</v>
      </c>
      <c r="H142" s="28">
        <v>1.0</v>
      </c>
      <c r="I142" s="28">
        <v>0.7236315086782377</v>
      </c>
      <c r="J142" s="28">
        <v>16.0</v>
      </c>
      <c r="K142" s="28" t="s">
        <v>57</v>
      </c>
      <c r="L142" s="28" t="s">
        <v>696</v>
      </c>
    </row>
    <row r="143" ht="15.75" customHeight="1">
      <c r="A143" s="28" t="s">
        <v>131</v>
      </c>
      <c r="B143" s="28" t="s">
        <v>640</v>
      </c>
      <c r="D143" s="28" t="s">
        <v>149</v>
      </c>
      <c r="E143" s="28" t="s">
        <v>772</v>
      </c>
      <c r="F143" s="28" t="s">
        <v>771</v>
      </c>
      <c r="G143" s="28" t="s">
        <v>364</v>
      </c>
      <c r="H143" s="28">
        <v>1.0</v>
      </c>
      <c r="I143" s="28">
        <v>0.753004005340454</v>
      </c>
      <c r="J143" s="28">
        <v>15.0</v>
      </c>
      <c r="K143" s="28" t="s">
        <v>57</v>
      </c>
      <c r="L143" s="28" t="s">
        <v>696</v>
      </c>
    </row>
    <row r="144" ht="15.75" customHeight="1">
      <c r="A144" s="28" t="s">
        <v>131</v>
      </c>
      <c r="B144" s="28" t="s">
        <v>640</v>
      </c>
      <c r="D144" s="28" t="s">
        <v>149</v>
      </c>
      <c r="E144" s="28" t="s">
        <v>773</v>
      </c>
      <c r="F144" s="28" t="s">
        <v>771</v>
      </c>
      <c r="G144" s="28" t="s">
        <v>295</v>
      </c>
      <c r="H144" s="28">
        <v>1.0</v>
      </c>
      <c r="I144" s="28">
        <v>0.7543391188251002</v>
      </c>
      <c r="J144" s="28">
        <v>14.0</v>
      </c>
      <c r="K144" s="28" t="s">
        <v>57</v>
      </c>
      <c r="L144" s="28" t="s">
        <v>696</v>
      </c>
    </row>
    <row r="145" ht="15.75" customHeight="1">
      <c r="A145" s="28" t="s">
        <v>131</v>
      </c>
      <c r="B145" s="28" t="s">
        <v>640</v>
      </c>
      <c r="D145" s="28" t="s">
        <v>149</v>
      </c>
      <c r="E145" s="28" t="s">
        <v>774</v>
      </c>
      <c r="F145" s="28" t="s">
        <v>775</v>
      </c>
      <c r="G145" s="28" t="s">
        <v>262</v>
      </c>
      <c r="H145" s="28">
        <v>1.0</v>
      </c>
      <c r="I145" s="28">
        <v>0.7903871829105474</v>
      </c>
      <c r="J145" s="28">
        <v>5.0</v>
      </c>
      <c r="K145" s="28" t="s">
        <v>57</v>
      </c>
      <c r="L145" s="28" t="s">
        <v>696</v>
      </c>
    </row>
    <row r="146" ht="15.75" customHeight="1">
      <c r="A146" s="28" t="s">
        <v>131</v>
      </c>
      <c r="B146" s="28" t="s">
        <v>640</v>
      </c>
      <c r="D146" s="28" t="s">
        <v>149</v>
      </c>
      <c r="E146" s="28" t="s">
        <v>776</v>
      </c>
      <c r="F146" s="28" t="s">
        <v>777</v>
      </c>
      <c r="G146" s="28" t="s">
        <v>334</v>
      </c>
      <c r="H146" s="28">
        <v>1.0</v>
      </c>
      <c r="I146" s="28">
        <v>0.8197596795727636</v>
      </c>
      <c r="J146" s="28">
        <v>0.0</v>
      </c>
      <c r="K146" s="28" t="s">
        <v>57</v>
      </c>
      <c r="L146" s="28" t="s">
        <v>696</v>
      </c>
    </row>
    <row r="147" ht="15.75" customHeight="1">
      <c r="A147" s="28" t="s">
        <v>131</v>
      </c>
      <c r="B147" s="28" t="s">
        <v>640</v>
      </c>
      <c r="D147" s="28" t="s">
        <v>149</v>
      </c>
      <c r="E147" s="28" t="s">
        <v>778</v>
      </c>
      <c r="F147" s="28" t="s">
        <v>777</v>
      </c>
      <c r="G147" s="28" t="s">
        <v>339</v>
      </c>
      <c r="H147" s="28">
        <v>1.0</v>
      </c>
      <c r="I147" s="28">
        <v>0.8210947930574098</v>
      </c>
      <c r="J147" s="28">
        <v>1.0</v>
      </c>
      <c r="K147" s="28" t="s">
        <v>57</v>
      </c>
      <c r="L147" s="28" t="s">
        <v>696</v>
      </c>
    </row>
    <row r="148" ht="15.75" customHeight="1">
      <c r="A148" s="28" t="s">
        <v>131</v>
      </c>
      <c r="B148" s="28" t="s">
        <v>640</v>
      </c>
      <c r="D148" s="28" t="s">
        <v>149</v>
      </c>
      <c r="E148" s="28" t="s">
        <v>779</v>
      </c>
      <c r="F148" s="28" t="s">
        <v>777</v>
      </c>
      <c r="G148" s="28" t="s">
        <v>310</v>
      </c>
      <c r="H148" s="28">
        <v>1.0</v>
      </c>
      <c r="I148" s="28">
        <v>0.8504672897196262</v>
      </c>
      <c r="J148" s="28">
        <v>13.0</v>
      </c>
      <c r="K148" s="28" t="s">
        <v>57</v>
      </c>
      <c r="L148" s="28" t="s">
        <v>696</v>
      </c>
    </row>
    <row r="149" ht="15.75" customHeight="1">
      <c r="A149" s="28" t="s">
        <v>131</v>
      </c>
      <c r="B149" s="28" t="s">
        <v>640</v>
      </c>
      <c r="D149" s="28" t="s">
        <v>149</v>
      </c>
      <c r="E149" s="28" t="s">
        <v>780</v>
      </c>
      <c r="F149" s="28" t="s">
        <v>777</v>
      </c>
      <c r="G149" s="28" t="s">
        <v>278</v>
      </c>
      <c r="H149" s="28">
        <v>1.0</v>
      </c>
      <c r="I149" s="28">
        <v>0.8504672897196262</v>
      </c>
      <c r="J149" s="28">
        <v>9.0</v>
      </c>
      <c r="K149" s="28" t="s">
        <v>57</v>
      </c>
      <c r="L149" s="28" t="s">
        <v>696</v>
      </c>
    </row>
    <row r="150" ht="15.75" customHeight="1">
      <c r="A150" s="28" t="s">
        <v>131</v>
      </c>
      <c r="B150" s="28" t="s">
        <v>640</v>
      </c>
      <c r="D150" s="28" t="s">
        <v>334</v>
      </c>
      <c r="E150" s="28" t="s">
        <v>781</v>
      </c>
      <c r="F150" s="28" t="s">
        <v>276</v>
      </c>
      <c r="G150" s="28" t="s">
        <v>339</v>
      </c>
      <c r="H150" s="28">
        <v>1.0</v>
      </c>
      <c r="I150" s="28">
        <v>0.031055900621118012</v>
      </c>
      <c r="J150" s="28">
        <v>0.0</v>
      </c>
      <c r="K150" s="28" t="s">
        <v>57</v>
      </c>
      <c r="L150" s="28" t="s">
        <v>57</v>
      </c>
    </row>
    <row r="151" ht="15.75" customHeight="1">
      <c r="A151" s="28" t="s">
        <v>131</v>
      </c>
      <c r="B151" s="28" t="s">
        <v>640</v>
      </c>
      <c r="D151" s="28" t="s">
        <v>334</v>
      </c>
      <c r="E151" s="28" t="s">
        <v>782</v>
      </c>
      <c r="F151" s="28" t="s">
        <v>276</v>
      </c>
      <c r="G151" s="28" t="s">
        <v>278</v>
      </c>
      <c r="H151" s="28">
        <v>1.0</v>
      </c>
      <c r="I151" s="28">
        <v>0.2911392405063291</v>
      </c>
      <c r="J151" s="28">
        <v>8.0</v>
      </c>
      <c r="K151" s="28" t="s">
        <v>57</v>
      </c>
      <c r="L151" s="28" t="s">
        <v>57</v>
      </c>
    </row>
    <row r="152" ht="15.75" customHeight="1">
      <c r="A152" s="28" t="s">
        <v>131</v>
      </c>
      <c r="B152" s="28" t="s">
        <v>640</v>
      </c>
      <c r="D152" s="28" t="s">
        <v>334</v>
      </c>
      <c r="E152" s="28" t="s">
        <v>783</v>
      </c>
      <c r="F152" s="28" t="s">
        <v>276</v>
      </c>
      <c r="G152" s="28" t="s">
        <v>310</v>
      </c>
      <c r="H152" s="28">
        <v>1.0</v>
      </c>
      <c r="I152" s="28">
        <v>0.2974683544303797</v>
      </c>
      <c r="J152" s="28">
        <v>12.0</v>
      </c>
      <c r="K152" s="28" t="s">
        <v>57</v>
      </c>
      <c r="L152" s="28" t="s">
        <v>57</v>
      </c>
    </row>
    <row r="153" ht="15.75" customHeight="1">
      <c r="A153" s="28" t="s">
        <v>131</v>
      </c>
      <c r="B153" s="28" t="s">
        <v>640</v>
      </c>
      <c r="D153" s="28" t="s">
        <v>334</v>
      </c>
      <c r="E153" s="28" t="s">
        <v>784</v>
      </c>
      <c r="F153" s="28" t="s">
        <v>260</v>
      </c>
      <c r="G153" s="28" t="s">
        <v>262</v>
      </c>
      <c r="H153" s="28">
        <v>1.0</v>
      </c>
      <c r="I153" s="28">
        <v>0.3875</v>
      </c>
      <c r="J153" s="28">
        <v>4.0</v>
      </c>
      <c r="K153" s="28" t="s">
        <v>57</v>
      </c>
      <c r="L153" s="28" t="s">
        <v>57</v>
      </c>
    </row>
    <row r="154" ht="15.75" customHeight="1">
      <c r="A154" s="28" t="s">
        <v>131</v>
      </c>
      <c r="B154" s="28" t="s">
        <v>640</v>
      </c>
      <c r="D154" s="28" t="s">
        <v>334</v>
      </c>
      <c r="E154" s="28" t="s">
        <v>785</v>
      </c>
      <c r="F154" s="28" t="s">
        <v>687</v>
      </c>
      <c r="G154" s="28" t="s">
        <v>295</v>
      </c>
      <c r="H154" s="28">
        <v>1.0</v>
      </c>
      <c r="I154" s="28">
        <v>0.45989304812834225</v>
      </c>
      <c r="J154" s="28">
        <v>13.0</v>
      </c>
      <c r="K154" s="28" t="s">
        <v>57</v>
      </c>
      <c r="L154" s="28" t="s">
        <v>57</v>
      </c>
    </row>
    <row r="155" ht="15.75" customHeight="1">
      <c r="A155" s="28" t="s">
        <v>131</v>
      </c>
      <c r="B155" s="28" t="s">
        <v>640</v>
      </c>
      <c r="D155" s="28" t="s">
        <v>334</v>
      </c>
      <c r="E155" s="28" t="s">
        <v>786</v>
      </c>
      <c r="F155" s="28" t="s">
        <v>687</v>
      </c>
      <c r="G155" s="28" t="s">
        <v>364</v>
      </c>
      <c r="H155" s="28">
        <v>1.0</v>
      </c>
      <c r="I155" s="28">
        <v>0.4627659574468085</v>
      </c>
      <c r="J155" s="28">
        <v>14.0</v>
      </c>
      <c r="K155" s="28" t="s">
        <v>57</v>
      </c>
      <c r="L155" s="28" t="s">
        <v>57</v>
      </c>
    </row>
    <row r="156" ht="15.75" customHeight="1">
      <c r="A156" s="28" t="s">
        <v>131</v>
      </c>
      <c r="B156" s="28" t="s">
        <v>640</v>
      </c>
      <c r="D156" s="28" t="s">
        <v>334</v>
      </c>
      <c r="E156" s="28" t="s">
        <v>787</v>
      </c>
      <c r="F156" s="28" t="s">
        <v>687</v>
      </c>
      <c r="G156" s="28" t="s">
        <v>370</v>
      </c>
      <c r="H156" s="28">
        <v>1.0</v>
      </c>
      <c r="I156" s="28">
        <v>0.5069767441860465</v>
      </c>
      <c r="J156" s="28">
        <v>15.0</v>
      </c>
      <c r="K156" s="28" t="s">
        <v>57</v>
      </c>
      <c r="L156" s="28" t="s">
        <v>57</v>
      </c>
    </row>
    <row r="157" ht="15.75" customHeight="1">
      <c r="A157" s="28" t="s">
        <v>131</v>
      </c>
      <c r="B157" s="28" t="s">
        <v>640</v>
      </c>
      <c r="D157" s="28" t="s">
        <v>334</v>
      </c>
      <c r="E157" s="28" t="s">
        <v>788</v>
      </c>
      <c r="F157" s="28" t="s">
        <v>691</v>
      </c>
      <c r="G157" s="28" t="s">
        <v>270</v>
      </c>
      <c r="H157" s="28">
        <v>1.0</v>
      </c>
      <c r="I157" s="28">
        <v>0.5653710247349824</v>
      </c>
      <c r="J157" s="28">
        <v>3.0</v>
      </c>
      <c r="K157" s="28" t="s">
        <v>57</v>
      </c>
      <c r="L157" s="28" t="s">
        <v>57</v>
      </c>
    </row>
    <row r="158" ht="15.75" customHeight="1">
      <c r="A158" s="28" t="s">
        <v>131</v>
      </c>
      <c r="B158" s="28" t="s">
        <v>640</v>
      </c>
      <c r="D158" s="28" t="s">
        <v>334</v>
      </c>
      <c r="E158" s="28" t="s">
        <v>789</v>
      </c>
      <c r="F158" s="28" t="s">
        <v>691</v>
      </c>
      <c r="G158" s="28" t="s">
        <v>345</v>
      </c>
      <c r="H158" s="28">
        <v>1.0</v>
      </c>
      <c r="I158" s="28">
        <v>0.5698924731182796</v>
      </c>
      <c r="J158" s="28">
        <v>5.0</v>
      </c>
      <c r="K158" s="28" t="s">
        <v>57</v>
      </c>
      <c r="L158" s="28" t="s">
        <v>57</v>
      </c>
    </row>
    <row r="159" ht="15.75" customHeight="1">
      <c r="A159" s="28" t="s">
        <v>131</v>
      </c>
      <c r="B159" s="28" t="s">
        <v>640</v>
      </c>
      <c r="D159" s="28" t="s">
        <v>334</v>
      </c>
      <c r="E159" s="28" t="s">
        <v>790</v>
      </c>
      <c r="F159" s="28" t="s">
        <v>691</v>
      </c>
      <c r="G159" s="28" t="s">
        <v>252</v>
      </c>
      <c r="H159" s="28">
        <v>1.0</v>
      </c>
      <c r="I159" s="28">
        <v>0.5714285714285714</v>
      </c>
      <c r="J159" s="28">
        <v>2.0</v>
      </c>
      <c r="K159" s="28" t="s">
        <v>57</v>
      </c>
      <c r="L159" s="28" t="s">
        <v>57</v>
      </c>
    </row>
    <row r="160" ht="15.75" customHeight="1">
      <c r="A160" s="28" t="s">
        <v>131</v>
      </c>
      <c r="B160" s="28" t="s">
        <v>640</v>
      </c>
      <c r="D160" s="28" t="s">
        <v>334</v>
      </c>
      <c r="E160" s="28" t="s">
        <v>791</v>
      </c>
      <c r="F160" s="28" t="s">
        <v>695</v>
      </c>
      <c r="G160" s="28" t="s">
        <v>213</v>
      </c>
      <c r="H160" s="28">
        <v>1.0</v>
      </c>
      <c r="I160" s="28">
        <v>0.6436170212765957</v>
      </c>
      <c r="J160" s="28">
        <v>1.0</v>
      </c>
      <c r="K160" s="28" t="s">
        <v>57</v>
      </c>
      <c r="L160" s="28" t="s">
        <v>696</v>
      </c>
    </row>
    <row r="161" ht="15.75" customHeight="1">
      <c r="A161" s="28" t="s">
        <v>131</v>
      </c>
      <c r="B161" s="28" t="s">
        <v>640</v>
      </c>
      <c r="D161" s="28" t="s">
        <v>334</v>
      </c>
      <c r="E161" s="28" t="s">
        <v>792</v>
      </c>
      <c r="F161" s="28" t="s">
        <v>698</v>
      </c>
      <c r="G161" s="28" t="s">
        <v>287</v>
      </c>
      <c r="H161" s="28">
        <v>1.0</v>
      </c>
      <c r="I161" s="28">
        <v>0.7100737100737101</v>
      </c>
      <c r="J161" s="28">
        <v>11.0</v>
      </c>
      <c r="K161" s="28" t="s">
        <v>57</v>
      </c>
      <c r="L161" s="28" t="s">
        <v>57</v>
      </c>
    </row>
    <row r="162" ht="15.75" customHeight="1">
      <c r="A162" s="28" t="s">
        <v>131</v>
      </c>
      <c r="B162" s="28" t="s">
        <v>640</v>
      </c>
      <c r="D162" s="28" t="s">
        <v>334</v>
      </c>
      <c r="E162" s="28" t="s">
        <v>793</v>
      </c>
      <c r="F162" s="28" t="s">
        <v>701</v>
      </c>
      <c r="G162" s="28" t="s">
        <v>303</v>
      </c>
      <c r="H162" s="28">
        <v>1.0</v>
      </c>
      <c r="I162" s="28">
        <v>0.8115330520393812</v>
      </c>
      <c r="J162" s="28">
        <v>9.0</v>
      </c>
      <c r="K162" s="28" t="s">
        <v>57</v>
      </c>
      <c r="L162" s="28" t="s">
        <v>57</v>
      </c>
    </row>
    <row r="163" ht="15.75" customHeight="1">
      <c r="A163" s="28" t="s">
        <v>131</v>
      </c>
      <c r="B163" s="28" t="s">
        <v>640</v>
      </c>
      <c r="D163" s="28" t="s">
        <v>334</v>
      </c>
      <c r="E163" s="28" t="s">
        <v>794</v>
      </c>
      <c r="F163" s="28" t="s">
        <v>705</v>
      </c>
      <c r="G163" s="28" t="s">
        <v>241</v>
      </c>
      <c r="H163" s="28">
        <v>1.0</v>
      </c>
      <c r="I163" s="28">
        <v>0.8903330625507717</v>
      </c>
      <c r="J163" s="28">
        <v>7.0</v>
      </c>
      <c r="K163" s="28" t="s">
        <v>57</v>
      </c>
      <c r="L163" s="28" t="s">
        <v>57</v>
      </c>
    </row>
    <row r="164" ht="15.75" customHeight="1">
      <c r="A164" s="28" t="s">
        <v>131</v>
      </c>
      <c r="B164" s="28" t="s">
        <v>640</v>
      </c>
      <c r="D164" s="28" t="s">
        <v>339</v>
      </c>
      <c r="E164" s="28" t="s">
        <v>795</v>
      </c>
      <c r="F164" s="28" t="s">
        <v>276</v>
      </c>
      <c r="G164" s="28" t="s">
        <v>278</v>
      </c>
      <c r="H164" s="28">
        <v>1.0</v>
      </c>
      <c r="I164" s="28">
        <v>0.30434782608695654</v>
      </c>
      <c r="J164" s="28">
        <v>7.0</v>
      </c>
      <c r="K164" s="28" t="s">
        <v>57</v>
      </c>
      <c r="L164" s="28" t="s">
        <v>57</v>
      </c>
    </row>
    <row r="165" ht="15.75" customHeight="1">
      <c r="A165" s="28" t="s">
        <v>131</v>
      </c>
      <c r="B165" s="28" t="s">
        <v>640</v>
      </c>
      <c r="D165" s="28" t="s">
        <v>339</v>
      </c>
      <c r="E165" s="28" t="s">
        <v>796</v>
      </c>
      <c r="F165" s="28" t="s">
        <v>276</v>
      </c>
      <c r="G165" s="28" t="s">
        <v>310</v>
      </c>
      <c r="H165" s="28">
        <v>1.0</v>
      </c>
      <c r="I165" s="28">
        <v>0.3105590062111801</v>
      </c>
      <c r="J165" s="28">
        <v>11.0</v>
      </c>
      <c r="K165" s="28" t="s">
        <v>57</v>
      </c>
      <c r="L165" s="28" t="s">
        <v>57</v>
      </c>
    </row>
    <row r="166" ht="15.75" customHeight="1">
      <c r="A166" s="28" t="s">
        <v>131</v>
      </c>
      <c r="B166" s="28" t="s">
        <v>640</v>
      </c>
      <c r="D166" s="28" t="s">
        <v>339</v>
      </c>
      <c r="E166" s="28" t="s">
        <v>797</v>
      </c>
      <c r="F166" s="28" t="s">
        <v>260</v>
      </c>
      <c r="G166" s="28" t="s">
        <v>262</v>
      </c>
      <c r="H166" s="28">
        <v>1.0</v>
      </c>
      <c r="I166" s="28">
        <v>0.40372670807453415</v>
      </c>
      <c r="J166" s="28">
        <v>3.0</v>
      </c>
      <c r="K166" s="28" t="s">
        <v>57</v>
      </c>
      <c r="L166" s="28" t="s">
        <v>57</v>
      </c>
    </row>
    <row r="167" ht="15.75" customHeight="1">
      <c r="A167" s="28" t="s">
        <v>131</v>
      </c>
      <c r="B167" s="28" t="s">
        <v>640</v>
      </c>
      <c r="D167" s="28" t="s">
        <v>339</v>
      </c>
      <c r="E167" s="28" t="s">
        <v>798</v>
      </c>
      <c r="F167" s="28" t="s">
        <v>687</v>
      </c>
      <c r="G167" s="28" t="s">
        <v>295</v>
      </c>
      <c r="H167" s="28">
        <v>1.0</v>
      </c>
      <c r="I167" s="28">
        <v>0.47593582887700536</v>
      </c>
      <c r="J167" s="28">
        <v>12.0</v>
      </c>
      <c r="K167" s="28" t="s">
        <v>57</v>
      </c>
      <c r="L167" s="28" t="s">
        <v>57</v>
      </c>
    </row>
    <row r="168" ht="15.75" customHeight="1">
      <c r="A168" s="28" t="s">
        <v>131</v>
      </c>
      <c r="B168" s="28" t="s">
        <v>640</v>
      </c>
      <c r="D168" s="28" t="s">
        <v>339</v>
      </c>
      <c r="E168" s="28" t="s">
        <v>799</v>
      </c>
      <c r="F168" s="28" t="s">
        <v>687</v>
      </c>
      <c r="G168" s="28" t="s">
        <v>364</v>
      </c>
      <c r="H168" s="28">
        <v>1.0</v>
      </c>
      <c r="I168" s="28">
        <v>0.4787234042553192</v>
      </c>
      <c r="J168" s="28">
        <v>13.0</v>
      </c>
      <c r="K168" s="28" t="s">
        <v>57</v>
      </c>
      <c r="L168" s="28" t="s">
        <v>57</v>
      </c>
    </row>
    <row r="169" ht="15.75" customHeight="1">
      <c r="A169" s="28" t="s">
        <v>131</v>
      </c>
      <c r="B169" s="28" t="s">
        <v>640</v>
      </c>
      <c r="D169" s="28" t="s">
        <v>339</v>
      </c>
      <c r="E169" s="28" t="s">
        <v>800</v>
      </c>
      <c r="F169" s="28" t="s">
        <v>687</v>
      </c>
      <c r="G169" s="28" t="s">
        <v>370</v>
      </c>
      <c r="H169" s="28">
        <v>1.0</v>
      </c>
      <c r="I169" s="28">
        <v>0.5209302325581395</v>
      </c>
      <c r="J169" s="28">
        <v>14.0</v>
      </c>
      <c r="K169" s="28" t="s">
        <v>57</v>
      </c>
      <c r="L169" s="28" t="s">
        <v>57</v>
      </c>
    </row>
    <row r="170" ht="15.75" customHeight="1">
      <c r="A170" s="28" t="s">
        <v>131</v>
      </c>
      <c r="B170" s="28" t="s">
        <v>640</v>
      </c>
      <c r="D170" s="28" t="s">
        <v>339</v>
      </c>
      <c r="E170" s="28" t="s">
        <v>801</v>
      </c>
      <c r="F170" s="28" t="s">
        <v>691</v>
      </c>
      <c r="G170" s="28" t="s">
        <v>270</v>
      </c>
      <c r="H170" s="28">
        <v>1.0</v>
      </c>
      <c r="I170" s="28">
        <v>0.5724381625441696</v>
      </c>
      <c r="J170" s="28">
        <v>2.0</v>
      </c>
      <c r="K170" s="28" t="s">
        <v>57</v>
      </c>
      <c r="L170" s="28" t="s">
        <v>57</v>
      </c>
    </row>
    <row r="171" ht="15.75" customHeight="1">
      <c r="A171" s="28" t="s">
        <v>131</v>
      </c>
      <c r="B171" s="28" t="s">
        <v>640</v>
      </c>
      <c r="D171" s="28" t="s">
        <v>339</v>
      </c>
      <c r="E171" s="28" t="s">
        <v>802</v>
      </c>
      <c r="F171" s="28" t="s">
        <v>691</v>
      </c>
      <c r="G171" s="28" t="s">
        <v>252</v>
      </c>
      <c r="H171" s="28">
        <v>1.0</v>
      </c>
      <c r="I171" s="28">
        <v>0.5785714285714286</v>
      </c>
      <c r="J171" s="28">
        <v>1.0</v>
      </c>
      <c r="K171" s="28" t="s">
        <v>57</v>
      </c>
      <c r="L171" s="28" t="s">
        <v>57</v>
      </c>
    </row>
    <row r="172" ht="15.75" customHeight="1">
      <c r="A172" s="28" t="s">
        <v>131</v>
      </c>
      <c r="B172" s="28" t="s">
        <v>640</v>
      </c>
      <c r="D172" s="28" t="s">
        <v>339</v>
      </c>
      <c r="E172" s="28" t="s">
        <v>803</v>
      </c>
      <c r="F172" s="28" t="s">
        <v>691</v>
      </c>
      <c r="G172" s="28" t="s">
        <v>345</v>
      </c>
      <c r="H172" s="28">
        <v>1.0</v>
      </c>
      <c r="I172" s="28">
        <v>0.5806451612903226</v>
      </c>
      <c r="J172" s="28">
        <v>4.0</v>
      </c>
      <c r="K172" s="28" t="s">
        <v>57</v>
      </c>
      <c r="L172" s="28" t="s">
        <v>57</v>
      </c>
    </row>
    <row r="173" ht="15.75" customHeight="1">
      <c r="A173" s="28" t="s">
        <v>131</v>
      </c>
      <c r="B173" s="28" t="s">
        <v>640</v>
      </c>
      <c r="D173" s="28" t="s">
        <v>339</v>
      </c>
      <c r="E173" s="28" t="s">
        <v>804</v>
      </c>
      <c r="F173" s="28" t="s">
        <v>695</v>
      </c>
      <c r="G173" s="28" t="s">
        <v>213</v>
      </c>
      <c r="H173" s="28">
        <v>1.0</v>
      </c>
      <c r="I173" s="28">
        <v>0.6462765957446809</v>
      </c>
      <c r="J173" s="28">
        <v>0.0</v>
      </c>
      <c r="K173" s="28" t="s">
        <v>57</v>
      </c>
      <c r="L173" s="28" t="s">
        <v>696</v>
      </c>
    </row>
    <row r="174" ht="15.75" customHeight="1">
      <c r="A174" s="28" t="s">
        <v>131</v>
      </c>
      <c r="B174" s="28" t="s">
        <v>640</v>
      </c>
      <c r="D174" s="28" t="s">
        <v>339</v>
      </c>
      <c r="E174" s="28" t="s">
        <v>805</v>
      </c>
      <c r="F174" s="28" t="s">
        <v>698</v>
      </c>
      <c r="G174" s="28" t="s">
        <v>287</v>
      </c>
      <c r="H174" s="28">
        <v>1.0</v>
      </c>
      <c r="I174" s="28">
        <v>0.7174447174447175</v>
      </c>
      <c r="J174" s="28">
        <v>10.0</v>
      </c>
      <c r="K174" s="28" t="s">
        <v>57</v>
      </c>
      <c r="L174" s="28" t="s">
        <v>57</v>
      </c>
    </row>
    <row r="175" ht="15.75" customHeight="1">
      <c r="A175" s="28" t="s">
        <v>131</v>
      </c>
      <c r="B175" s="28" t="s">
        <v>640</v>
      </c>
      <c r="D175" s="28" t="s">
        <v>339</v>
      </c>
      <c r="E175" s="28" t="s">
        <v>806</v>
      </c>
      <c r="F175" s="28" t="s">
        <v>701</v>
      </c>
      <c r="G175" s="28" t="s">
        <v>303</v>
      </c>
      <c r="H175" s="28">
        <v>1.0</v>
      </c>
      <c r="I175" s="28">
        <v>0.8115330520393812</v>
      </c>
      <c r="J175" s="28">
        <v>8.0</v>
      </c>
      <c r="K175" s="28" t="s">
        <v>57</v>
      </c>
      <c r="L175" s="28" t="s">
        <v>57</v>
      </c>
    </row>
    <row r="176" ht="15.75" customHeight="1">
      <c r="A176" s="28" t="s">
        <v>131</v>
      </c>
      <c r="B176" s="28" t="s">
        <v>640</v>
      </c>
      <c r="D176" s="28" t="s">
        <v>339</v>
      </c>
      <c r="E176" s="28" t="s">
        <v>807</v>
      </c>
      <c r="F176" s="28" t="s">
        <v>705</v>
      </c>
      <c r="G176" s="28" t="s">
        <v>241</v>
      </c>
      <c r="H176" s="28">
        <v>1.0</v>
      </c>
      <c r="I176" s="28">
        <v>0.8895207148659626</v>
      </c>
      <c r="J176" s="28">
        <v>6.0</v>
      </c>
      <c r="K176" s="28" t="s">
        <v>57</v>
      </c>
      <c r="L176" s="28" t="s">
        <v>57</v>
      </c>
    </row>
    <row r="177" ht="15.75" customHeight="1">
      <c r="A177" s="28" t="s">
        <v>131</v>
      </c>
      <c r="B177" s="28" t="s">
        <v>640</v>
      </c>
      <c r="D177" s="28" t="s">
        <v>213</v>
      </c>
      <c r="E177" s="28" t="s">
        <v>808</v>
      </c>
      <c r="F177" s="28" t="s">
        <v>250</v>
      </c>
      <c r="G177" s="28" t="s">
        <v>345</v>
      </c>
      <c r="H177" s="28">
        <v>1.0</v>
      </c>
      <c r="I177" s="28">
        <v>0.27925531914893614</v>
      </c>
      <c r="J177" s="28">
        <v>3.0</v>
      </c>
      <c r="K177" s="28" t="s">
        <v>57</v>
      </c>
      <c r="L177" s="28" t="s">
        <v>696</v>
      </c>
    </row>
    <row r="178" ht="15.75" customHeight="1">
      <c r="A178" s="28" t="s">
        <v>131</v>
      </c>
      <c r="B178" s="28" t="s">
        <v>640</v>
      </c>
      <c r="D178" s="28" t="s">
        <v>213</v>
      </c>
      <c r="E178" s="28" t="s">
        <v>248</v>
      </c>
      <c r="F178" s="28" t="s">
        <v>250</v>
      </c>
      <c r="G178" s="28" t="s">
        <v>252</v>
      </c>
      <c r="H178" s="28">
        <v>1.0</v>
      </c>
      <c r="I178" s="28">
        <v>0.2845744680851064</v>
      </c>
      <c r="J178" s="28">
        <v>0.0</v>
      </c>
      <c r="K178" s="28" t="s">
        <v>57</v>
      </c>
      <c r="L178" s="28" t="s">
        <v>696</v>
      </c>
    </row>
    <row r="179" ht="15.75" customHeight="1">
      <c r="A179" s="28" t="s">
        <v>131</v>
      </c>
      <c r="B179" s="28" t="s">
        <v>640</v>
      </c>
      <c r="D179" s="28" t="s">
        <v>213</v>
      </c>
      <c r="E179" s="28" t="s">
        <v>809</v>
      </c>
      <c r="F179" s="28" t="s">
        <v>250</v>
      </c>
      <c r="G179" s="28" t="s">
        <v>270</v>
      </c>
      <c r="H179" s="28">
        <v>1.0</v>
      </c>
      <c r="I179" s="28">
        <v>0.2925531914893617</v>
      </c>
      <c r="J179" s="28">
        <v>1.0</v>
      </c>
      <c r="K179" s="28" t="s">
        <v>57</v>
      </c>
      <c r="L179" s="28" t="s">
        <v>696</v>
      </c>
    </row>
    <row r="180" ht="15.75" customHeight="1">
      <c r="A180" s="28" t="s">
        <v>131</v>
      </c>
      <c r="B180" s="28" t="s">
        <v>640</v>
      </c>
      <c r="D180" s="28" t="s">
        <v>213</v>
      </c>
      <c r="E180" s="28" t="s">
        <v>810</v>
      </c>
      <c r="F180" s="28" t="s">
        <v>811</v>
      </c>
      <c r="G180" s="28" t="s">
        <v>287</v>
      </c>
      <c r="H180" s="28">
        <v>1.0</v>
      </c>
      <c r="I180" s="28">
        <v>0.29975429975429974</v>
      </c>
      <c r="J180" s="28">
        <v>9.0</v>
      </c>
      <c r="K180" s="28" t="s">
        <v>57</v>
      </c>
      <c r="L180" s="28" t="s">
        <v>696</v>
      </c>
    </row>
    <row r="181" ht="15.75" customHeight="1">
      <c r="A181" s="28" t="s">
        <v>131</v>
      </c>
      <c r="B181" s="28" t="s">
        <v>640</v>
      </c>
      <c r="D181" s="28" t="s">
        <v>213</v>
      </c>
      <c r="E181" s="28" t="s">
        <v>812</v>
      </c>
      <c r="F181" s="28" t="s">
        <v>813</v>
      </c>
      <c r="G181" s="28" t="s">
        <v>370</v>
      </c>
      <c r="H181" s="28">
        <v>1.0</v>
      </c>
      <c r="I181" s="28">
        <v>0.48138297872340424</v>
      </c>
      <c r="J181" s="28">
        <v>13.0</v>
      </c>
      <c r="K181" s="28" t="s">
        <v>57</v>
      </c>
      <c r="L181" s="28" t="s">
        <v>696</v>
      </c>
    </row>
    <row r="182" ht="15.75" customHeight="1">
      <c r="A182" s="28" t="s">
        <v>131</v>
      </c>
      <c r="B182" s="28" t="s">
        <v>640</v>
      </c>
      <c r="D182" s="28" t="s">
        <v>213</v>
      </c>
      <c r="E182" s="28" t="s">
        <v>814</v>
      </c>
      <c r="F182" s="28" t="s">
        <v>815</v>
      </c>
      <c r="G182" s="28" t="s">
        <v>303</v>
      </c>
      <c r="H182" s="28">
        <v>1.0</v>
      </c>
      <c r="I182" s="28">
        <v>0.4936708860759494</v>
      </c>
      <c r="J182" s="28">
        <v>7.0</v>
      </c>
      <c r="K182" s="28" t="s">
        <v>57</v>
      </c>
      <c r="L182" s="28" t="s">
        <v>696</v>
      </c>
    </row>
    <row r="183" ht="15.75" customHeight="1">
      <c r="A183" s="28" t="s">
        <v>131</v>
      </c>
      <c r="B183" s="28" t="s">
        <v>640</v>
      </c>
      <c r="D183" s="28" t="s">
        <v>213</v>
      </c>
      <c r="E183" s="28" t="s">
        <v>816</v>
      </c>
      <c r="F183" s="28" t="s">
        <v>813</v>
      </c>
      <c r="G183" s="28" t="s">
        <v>295</v>
      </c>
      <c r="H183" s="28">
        <v>1.0</v>
      </c>
      <c r="I183" s="28">
        <v>0.5186170212765957</v>
      </c>
      <c r="J183" s="28">
        <v>11.0</v>
      </c>
      <c r="K183" s="28" t="s">
        <v>57</v>
      </c>
      <c r="L183" s="28" t="s">
        <v>696</v>
      </c>
    </row>
    <row r="184" ht="15.75" customHeight="1">
      <c r="A184" s="28" t="s">
        <v>131</v>
      </c>
      <c r="B184" s="28" t="s">
        <v>640</v>
      </c>
      <c r="D184" s="28" t="s">
        <v>213</v>
      </c>
      <c r="E184" s="28" t="s">
        <v>817</v>
      </c>
      <c r="F184" s="28" t="s">
        <v>813</v>
      </c>
      <c r="G184" s="28" t="s">
        <v>364</v>
      </c>
      <c r="H184" s="28">
        <v>1.0</v>
      </c>
      <c r="I184" s="28">
        <v>0.5212765957446809</v>
      </c>
      <c r="J184" s="28">
        <v>12.0</v>
      </c>
      <c r="K184" s="28" t="s">
        <v>57</v>
      </c>
      <c r="L184" s="28" t="s">
        <v>696</v>
      </c>
    </row>
    <row r="185" ht="15.75" customHeight="1">
      <c r="A185" s="28" t="s">
        <v>131</v>
      </c>
      <c r="B185" s="28" t="s">
        <v>640</v>
      </c>
      <c r="D185" s="28" t="s">
        <v>213</v>
      </c>
      <c r="E185" s="28" t="s">
        <v>818</v>
      </c>
      <c r="F185" s="28" t="s">
        <v>819</v>
      </c>
      <c r="G185" s="28" t="s">
        <v>262</v>
      </c>
      <c r="H185" s="28">
        <v>1.0</v>
      </c>
      <c r="I185" s="28">
        <v>0.5797872340425532</v>
      </c>
      <c r="J185" s="28">
        <v>2.0</v>
      </c>
      <c r="K185" s="28" t="s">
        <v>57</v>
      </c>
      <c r="L185" s="28" t="s">
        <v>696</v>
      </c>
    </row>
    <row r="186" ht="15.75" customHeight="1">
      <c r="A186" s="28" t="s">
        <v>131</v>
      </c>
      <c r="B186" s="28" t="s">
        <v>640</v>
      </c>
      <c r="D186" s="28" t="s">
        <v>213</v>
      </c>
      <c r="E186" s="28" t="s">
        <v>820</v>
      </c>
      <c r="F186" s="28" t="s">
        <v>821</v>
      </c>
      <c r="G186" s="28" t="s">
        <v>310</v>
      </c>
      <c r="H186" s="28">
        <v>1.0</v>
      </c>
      <c r="I186" s="28">
        <v>0.7047872340425532</v>
      </c>
      <c r="J186" s="28">
        <v>10.0</v>
      </c>
      <c r="K186" s="28" t="s">
        <v>57</v>
      </c>
      <c r="L186" s="28" t="s">
        <v>696</v>
      </c>
    </row>
    <row r="187" ht="15.75" customHeight="1">
      <c r="A187" s="28" t="s">
        <v>131</v>
      </c>
      <c r="B187" s="28" t="s">
        <v>640</v>
      </c>
      <c r="D187" s="28" t="s">
        <v>213</v>
      </c>
      <c r="E187" s="28" t="s">
        <v>822</v>
      </c>
      <c r="F187" s="28" t="s">
        <v>821</v>
      </c>
      <c r="G187" s="28" t="s">
        <v>278</v>
      </c>
      <c r="H187" s="28">
        <v>1.0</v>
      </c>
      <c r="I187" s="28">
        <v>0.7047872340425532</v>
      </c>
      <c r="J187" s="28">
        <v>6.0</v>
      </c>
      <c r="K187" s="28" t="s">
        <v>57</v>
      </c>
      <c r="L187" s="28" t="s">
        <v>696</v>
      </c>
    </row>
    <row r="188" ht="15.75" customHeight="1">
      <c r="A188" s="28" t="s">
        <v>131</v>
      </c>
      <c r="B188" s="28" t="s">
        <v>640</v>
      </c>
      <c r="D188" s="28" t="s">
        <v>213</v>
      </c>
      <c r="E188" s="28" t="s">
        <v>823</v>
      </c>
      <c r="F188" s="28" t="s">
        <v>824</v>
      </c>
      <c r="G188" s="28" t="s">
        <v>241</v>
      </c>
      <c r="H188" s="28">
        <v>1.0</v>
      </c>
      <c r="I188" s="28">
        <v>0.7181153533712429</v>
      </c>
      <c r="J188" s="28">
        <v>5.0</v>
      </c>
      <c r="K188" s="28" t="s">
        <v>57</v>
      </c>
      <c r="L188" s="28" t="s">
        <v>696</v>
      </c>
    </row>
    <row r="189" ht="15.75" customHeight="1">
      <c r="A189" s="28" t="s">
        <v>131</v>
      </c>
      <c r="B189" s="28" t="s">
        <v>640</v>
      </c>
      <c r="D189" s="28" t="s">
        <v>252</v>
      </c>
      <c r="E189" s="28" t="s">
        <v>266</v>
      </c>
      <c r="F189" s="28" t="s">
        <v>268</v>
      </c>
      <c r="G189" s="28" t="s">
        <v>270</v>
      </c>
      <c r="H189" s="28">
        <v>1.0</v>
      </c>
      <c r="I189" s="28">
        <v>0.01060070671378092</v>
      </c>
      <c r="J189" s="28">
        <v>0.0</v>
      </c>
      <c r="K189" s="28" t="s">
        <v>57</v>
      </c>
      <c r="L189" s="28" t="s">
        <v>57</v>
      </c>
    </row>
    <row r="190" ht="15.75" customHeight="1">
      <c r="A190" s="28" t="s">
        <v>131</v>
      </c>
      <c r="B190" s="28" t="s">
        <v>640</v>
      </c>
      <c r="D190" s="28" t="s">
        <v>252</v>
      </c>
      <c r="E190" s="28" t="s">
        <v>342</v>
      </c>
      <c r="F190" s="28" t="s">
        <v>268</v>
      </c>
      <c r="G190" s="28" t="s">
        <v>345</v>
      </c>
      <c r="H190" s="28">
        <v>1.0</v>
      </c>
      <c r="I190" s="28">
        <v>0.025</v>
      </c>
      <c r="J190" s="28">
        <v>2.0</v>
      </c>
      <c r="K190" s="28" t="s">
        <v>57</v>
      </c>
      <c r="L190" s="28" t="s">
        <v>57</v>
      </c>
    </row>
    <row r="191" ht="15.75" customHeight="1">
      <c r="A191" s="28" t="s">
        <v>131</v>
      </c>
      <c r="B191" s="28" t="s">
        <v>640</v>
      </c>
      <c r="D191" s="28" t="s">
        <v>252</v>
      </c>
      <c r="E191" s="28" t="s">
        <v>825</v>
      </c>
      <c r="F191" s="28" t="s">
        <v>826</v>
      </c>
      <c r="G191" s="28" t="s">
        <v>370</v>
      </c>
      <c r="H191" s="28">
        <v>1.0</v>
      </c>
      <c r="I191" s="28">
        <v>0.3392857142857143</v>
      </c>
      <c r="J191" s="28">
        <v>12.0</v>
      </c>
      <c r="K191" s="28" t="s">
        <v>57</v>
      </c>
      <c r="L191" s="28" t="s">
        <v>57</v>
      </c>
    </row>
    <row r="192" ht="15.75" customHeight="1">
      <c r="A192" s="28" t="s">
        <v>131</v>
      </c>
      <c r="B192" s="28" t="s">
        <v>640</v>
      </c>
      <c r="D192" s="28" t="s">
        <v>252</v>
      </c>
      <c r="E192" s="28" t="s">
        <v>827</v>
      </c>
      <c r="F192" s="28" t="s">
        <v>826</v>
      </c>
      <c r="G192" s="28" t="s">
        <v>295</v>
      </c>
      <c r="H192" s="28">
        <v>1.0</v>
      </c>
      <c r="I192" s="28">
        <v>0.35714285714285715</v>
      </c>
      <c r="J192" s="28">
        <v>10.0</v>
      </c>
      <c r="K192" s="28" t="s">
        <v>57</v>
      </c>
      <c r="L192" s="28" t="s">
        <v>57</v>
      </c>
    </row>
    <row r="193" ht="15.75" customHeight="1">
      <c r="A193" s="28" t="s">
        <v>131</v>
      </c>
      <c r="B193" s="28" t="s">
        <v>640</v>
      </c>
      <c r="D193" s="28" t="s">
        <v>252</v>
      </c>
      <c r="E193" s="28" t="s">
        <v>828</v>
      </c>
      <c r="F193" s="28" t="s">
        <v>826</v>
      </c>
      <c r="G193" s="28" t="s">
        <v>364</v>
      </c>
      <c r="H193" s="28">
        <v>1.0</v>
      </c>
      <c r="I193" s="28">
        <v>0.375</v>
      </c>
      <c r="J193" s="28">
        <v>11.0</v>
      </c>
      <c r="K193" s="28" t="s">
        <v>57</v>
      </c>
      <c r="L193" s="28" t="s">
        <v>57</v>
      </c>
    </row>
    <row r="194" ht="15.75" customHeight="1">
      <c r="A194" s="28" t="s">
        <v>131</v>
      </c>
      <c r="B194" s="28" t="s">
        <v>640</v>
      </c>
      <c r="D194" s="28" t="s">
        <v>252</v>
      </c>
      <c r="E194" s="28" t="s">
        <v>829</v>
      </c>
      <c r="F194" s="28" t="s">
        <v>830</v>
      </c>
      <c r="G194" s="28" t="s">
        <v>287</v>
      </c>
      <c r="H194" s="28">
        <v>1.0</v>
      </c>
      <c r="I194" s="28">
        <v>0.3759213759213759</v>
      </c>
      <c r="J194" s="28">
        <v>8.0</v>
      </c>
      <c r="K194" s="28" t="s">
        <v>57</v>
      </c>
      <c r="L194" s="28" t="s">
        <v>57</v>
      </c>
    </row>
    <row r="195" ht="15.75" customHeight="1">
      <c r="A195" s="28" t="s">
        <v>131</v>
      </c>
      <c r="B195" s="28" t="s">
        <v>640</v>
      </c>
      <c r="D195" s="28" t="s">
        <v>252</v>
      </c>
      <c r="E195" s="28" t="s">
        <v>831</v>
      </c>
      <c r="F195" s="28" t="s">
        <v>832</v>
      </c>
      <c r="G195" s="28" t="s">
        <v>262</v>
      </c>
      <c r="H195" s="28">
        <v>1.0</v>
      </c>
      <c r="I195" s="28">
        <v>0.4357142857142857</v>
      </c>
      <c r="J195" s="28">
        <v>1.0</v>
      </c>
      <c r="K195" s="28" t="s">
        <v>57</v>
      </c>
      <c r="L195" s="28" t="s">
        <v>57</v>
      </c>
    </row>
    <row r="196" ht="15.75" customHeight="1">
      <c r="A196" s="28" t="s">
        <v>131</v>
      </c>
      <c r="B196" s="28" t="s">
        <v>640</v>
      </c>
      <c r="D196" s="28" t="s">
        <v>252</v>
      </c>
      <c r="E196" s="28" t="s">
        <v>833</v>
      </c>
      <c r="F196" s="28" t="s">
        <v>834</v>
      </c>
      <c r="G196" s="28" t="s">
        <v>310</v>
      </c>
      <c r="H196" s="28">
        <v>1.0</v>
      </c>
      <c r="I196" s="28">
        <v>0.6035714285714285</v>
      </c>
      <c r="J196" s="28">
        <v>9.0</v>
      </c>
      <c r="K196" s="28" t="s">
        <v>57</v>
      </c>
      <c r="L196" s="28" t="s">
        <v>57</v>
      </c>
    </row>
    <row r="197" ht="15.75" customHeight="1">
      <c r="A197" s="28" t="s">
        <v>131</v>
      </c>
      <c r="B197" s="28" t="s">
        <v>640</v>
      </c>
      <c r="D197" s="28" t="s">
        <v>252</v>
      </c>
      <c r="E197" s="28" t="s">
        <v>835</v>
      </c>
      <c r="F197" s="28" t="s">
        <v>834</v>
      </c>
      <c r="G197" s="28" t="s">
        <v>278</v>
      </c>
      <c r="H197" s="28">
        <v>1.0</v>
      </c>
      <c r="I197" s="28">
        <v>0.6035714285714285</v>
      </c>
      <c r="J197" s="28">
        <v>5.0</v>
      </c>
      <c r="K197" s="28" t="s">
        <v>57</v>
      </c>
      <c r="L197" s="28" t="s">
        <v>57</v>
      </c>
    </row>
    <row r="198" ht="15.75" customHeight="1">
      <c r="A198" s="28" t="s">
        <v>131</v>
      </c>
      <c r="B198" s="28" t="s">
        <v>640</v>
      </c>
      <c r="D198" s="28" t="s">
        <v>252</v>
      </c>
      <c r="E198" s="28" t="s">
        <v>836</v>
      </c>
      <c r="F198" s="28" t="s">
        <v>837</v>
      </c>
      <c r="G198" s="28" t="s">
        <v>303</v>
      </c>
      <c r="H198" s="28">
        <v>1.0</v>
      </c>
      <c r="I198" s="28">
        <v>0.6090014064697609</v>
      </c>
      <c r="J198" s="28">
        <v>6.0</v>
      </c>
      <c r="K198" s="28" t="s">
        <v>57</v>
      </c>
      <c r="L198" s="28" t="s">
        <v>57</v>
      </c>
    </row>
    <row r="199" ht="15.75" customHeight="1">
      <c r="A199" s="28" t="s">
        <v>131</v>
      </c>
      <c r="B199" s="28" t="s">
        <v>640</v>
      </c>
      <c r="D199" s="28" t="s">
        <v>252</v>
      </c>
      <c r="E199" s="28" t="s">
        <v>838</v>
      </c>
      <c r="F199" s="28" t="s">
        <v>839</v>
      </c>
      <c r="G199" s="28" t="s">
        <v>241</v>
      </c>
      <c r="H199" s="28">
        <v>1.0</v>
      </c>
      <c r="I199" s="28">
        <v>0.7806661251015434</v>
      </c>
      <c r="J199" s="28">
        <v>4.0</v>
      </c>
      <c r="K199" s="28" t="s">
        <v>57</v>
      </c>
      <c r="L199" s="28" t="s">
        <v>57</v>
      </c>
    </row>
    <row r="200" ht="15.75" customHeight="1">
      <c r="A200" s="28" t="s">
        <v>131</v>
      </c>
      <c r="B200" s="28" t="s">
        <v>640</v>
      </c>
      <c r="D200" s="28" t="s">
        <v>270</v>
      </c>
      <c r="E200" s="28" t="s">
        <v>840</v>
      </c>
      <c r="F200" s="28" t="s">
        <v>268</v>
      </c>
      <c r="G200" s="28" t="s">
        <v>345</v>
      </c>
      <c r="H200" s="28">
        <v>1.0</v>
      </c>
      <c r="I200" s="28">
        <v>0.0353356890459364</v>
      </c>
      <c r="J200" s="28">
        <v>1.0</v>
      </c>
      <c r="K200" s="28" t="s">
        <v>57</v>
      </c>
      <c r="L200" s="28" t="s">
        <v>57</v>
      </c>
    </row>
    <row r="201" ht="15.75" customHeight="1">
      <c r="A201" s="28" t="s">
        <v>131</v>
      </c>
      <c r="B201" s="28" t="s">
        <v>640</v>
      </c>
      <c r="D201" s="28" t="s">
        <v>270</v>
      </c>
      <c r="E201" s="28" t="s">
        <v>841</v>
      </c>
      <c r="F201" s="28" t="s">
        <v>826</v>
      </c>
      <c r="G201" s="28" t="s">
        <v>370</v>
      </c>
      <c r="H201" s="28">
        <v>1.0</v>
      </c>
      <c r="I201" s="28">
        <v>0.3462897526501767</v>
      </c>
      <c r="J201" s="28">
        <v>11.0</v>
      </c>
      <c r="K201" s="28" t="s">
        <v>57</v>
      </c>
      <c r="L201" s="28" t="s">
        <v>57</v>
      </c>
    </row>
    <row r="202" ht="15.75" customHeight="1">
      <c r="A202" s="28" t="s">
        <v>131</v>
      </c>
      <c r="B202" s="28" t="s">
        <v>640</v>
      </c>
      <c r="D202" s="28" t="s">
        <v>270</v>
      </c>
      <c r="E202" s="28" t="s">
        <v>842</v>
      </c>
      <c r="F202" s="28" t="s">
        <v>826</v>
      </c>
      <c r="G202" s="28" t="s">
        <v>295</v>
      </c>
      <c r="H202" s="28">
        <v>1.0</v>
      </c>
      <c r="I202" s="28">
        <v>0.36395759717314485</v>
      </c>
      <c r="J202" s="28">
        <v>9.0</v>
      </c>
      <c r="K202" s="28" t="s">
        <v>57</v>
      </c>
      <c r="L202" s="28" t="s">
        <v>57</v>
      </c>
    </row>
    <row r="203" ht="15.75" customHeight="1">
      <c r="A203" s="28" t="s">
        <v>131</v>
      </c>
      <c r="B203" s="28" t="s">
        <v>640</v>
      </c>
      <c r="D203" s="28" t="s">
        <v>270</v>
      </c>
      <c r="E203" s="28" t="s">
        <v>843</v>
      </c>
      <c r="F203" s="28" t="s">
        <v>826</v>
      </c>
      <c r="G203" s="28" t="s">
        <v>364</v>
      </c>
      <c r="H203" s="28">
        <v>1.0</v>
      </c>
      <c r="I203" s="28">
        <v>0.38162544169611307</v>
      </c>
      <c r="J203" s="28">
        <v>10.0</v>
      </c>
      <c r="K203" s="28" t="s">
        <v>57</v>
      </c>
      <c r="L203" s="28" t="s">
        <v>57</v>
      </c>
    </row>
    <row r="204" ht="15.75" customHeight="1">
      <c r="A204" s="28" t="s">
        <v>131</v>
      </c>
      <c r="B204" s="28" t="s">
        <v>640</v>
      </c>
      <c r="D204" s="28" t="s">
        <v>270</v>
      </c>
      <c r="E204" s="28" t="s">
        <v>844</v>
      </c>
      <c r="F204" s="28" t="s">
        <v>830</v>
      </c>
      <c r="G204" s="28" t="s">
        <v>287</v>
      </c>
      <c r="H204" s="28">
        <v>1.0</v>
      </c>
      <c r="I204" s="28">
        <v>0.3832923832923833</v>
      </c>
      <c r="J204" s="28">
        <v>7.0</v>
      </c>
      <c r="K204" s="28" t="s">
        <v>57</v>
      </c>
      <c r="L204" s="28" t="s">
        <v>57</v>
      </c>
    </row>
    <row r="205" ht="15.75" customHeight="1">
      <c r="A205" s="28" t="s">
        <v>131</v>
      </c>
      <c r="B205" s="28" t="s">
        <v>640</v>
      </c>
      <c r="D205" s="28" t="s">
        <v>270</v>
      </c>
      <c r="E205" s="28" t="s">
        <v>845</v>
      </c>
      <c r="F205" s="28" t="s">
        <v>832</v>
      </c>
      <c r="G205" s="28" t="s">
        <v>262</v>
      </c>
      <c r="H205" s="28">
        <v>1.0</v>
      </c>
      <c r="I205" s="28">
        <v>0.4416961130742049</v>
      </c>
      <c r="J205" s="28">
        <v>0.0</v>
      </c>
      <c r="K205" s="28" t="s">
        <v>57</v>
      </c>
      <c r="L205" s="28" t="s">
        <v>57</v>
      </c>
    </row>
    <row r="206" ht="15.75" customHeight="1">
      <c r="A206" s="28" t="s">
        <v>131</v>
      </c>
      <c r="B206" s="28" t="s">
        <v>640</v>
      </c>
      <c r="D206" s="28" t="s">
        <v>270</v>
      </c>
      <c r="E206" s="28" t="s">
        <v>846</v>
      </c>
      <c r="F206" s="28" t="s">
        <v>834</v>
      </c>
      <c r="G206" s="28" t="s">
        <v>310</v>
      </c>
      <c r="H206" s="28">
        <v>1.0</v>
      </c>
      <c r="I206" s="28">
        <v>0.607773851590106</v>
      </c>
      <c r="J206" s="28">
        <v>8.0</v>
      </c>
      <c r="K206" s="28" t="s">
        <v>57</v>
      </c>
      <c r="L206" s="28" t="s">
        <v>57</v>
      </c>
    </row>
    <row r="207" ht="15.75" customHeight="1">
      <c r="A207" s="28" t="s">
        <v>131</v>
      </c>
      <c r="B207" s="28" t="s">
        <v>640</v>
      </c>
      <c r="D207" s="28" t="s">
        <v>270</v>
      </c>
      <c r="E207" s="28" t="s">
        <v>847</v>
      </c>
      <c r="F207" s="28" t="s">
        <v>834</v>
      </c>
      <c r="G207" s="28" t="s">
        <v>278</v>
      </c>
      <c r="H207" s="28">
        <v>1.0</v>
      </c>
      <c r="I207" s="28">
        <v>0.607773851590106</v>
      </c>
      <c r="J207" s="28">
        <v>4.0</v>
      </c>
      <c r="K207" s="28" t="s">
        <v>57</v>
      </c>
      <c r="L207" s="28" t="s">
        <v>57</v>
      </c>
    </row>
    <row r="208" ht="15.75" customHeight="1">
      <c r="A208" s="28" t="s">
        <v>131</v>
      </c>
      <c r="B208" s="28" t="s">
        <v>640</v>
      </c>
      <c r="D208" s="28" t="s">
        <v>270</v>
      </c>
      <c r="E208" s="28" t="s">
        <v>848</v>
      </c>
      <c r="F208" s="28" t="s">
        <v>837</v>
      </c>
      <c r="G208" s="28" t="s">
        <v>303</v>
      </c>
      <c r="H208" s="28">
        <v>1.0</v>
      </c>
      <c r="I208" s="28">
        <v>0.6132208157524613</v>
      </c>
      <c r="J208" s="28">
        <v>5.0</v>
      </c>
      <c r="K208" s="28" t="s">
        <v>57</v>
      </c>
      <c r="L208" s="28" t="s">
        <v>57</v>
      </c>
    </row>
    <row r="209" ht="15.75" customHeight="1">
      <c r="A209" s="28" t="s">
        <v>131</v>
      </c>
      <c r="B209" s="28" t="s">
        <v>640</v>
      </c>
      <c r="D209" s="28" t="s">
        <v>270</v>
      </c>
      <c r="E209" s="28" t="s">
        <v>849</v>
      </c>
      <c r="F209" s="28" t="s">
        <v>839</v>
      </c>
      <c r="G209" s="28" t="s">
        <v>241</v>
      </c>
      <c r="H209" s="28">
        <v>1.0</v>
      </c>
      <c r="I209" s="28">
        <v>0.7822908204711616</v>
      </c>
      <c r="J209" s="28">
        <v>3.0</v>
      </c>
      <c r="K209" s="28" t="s">
        <v>57</v>
      </c>
      <c r="L209" s="28" t="s">
        <v>57</v>
      </c>
    </row>
    <row r="210" ht="15.75" customHeight="1">
      <c r="A210" s="28" t="s">
        <v>131</v>
      </c>
      <c r="B210" s="28" t="s">
        <v>640</v>
      </c>
      <c r="D210" s="28" t="s">
        <v>262</v>
      </c>
      <c r="E210" s="28" t="s">
        <v>850</v>
      </c>
      <c r="F210" s="28" t="s">
        <v>851</v>
      </c>
      <c r="G210" s="28" t="s">
        <v>295</v>
      </c>
      <c r="H210" s="28">
        <v>1.0</v>
      </c>
      <c r="I210" s="28">
        <v>0.24064171122994651</v>
      </c>
      <c r="J210" s="28">
        <v>8.0</v>
      </c>
      <c r="K210" s="28" t="s">
        <v>57</v>
      </c>
      <c r="L210" s="28" t="s">
        <v>57</v>
      </c>
    </row>
    <row r="211" ht="15.75" customHeight="1">
      <c r="A211" s="28" t="s">
        <v>131</v>
      </c>
      <c r="B211" s="28" t="s">
        <v>640</v>
      </c>
      <c r="D211" s="28" t="s">
        <v>262</v>
      </c>
      <c r="E211" s="28" t="s">
        <v>852</v>
      </c>
      <c r="F211" s="28" t="s">
        <v>851</v>
      </c>
      <c r="G211" s="28" t="s">
        <v>364</v>
      </c>
      <c r="H211" s="28">
        <v>1.0</v>
      </c>
      <c r="I211" s="28">
        <v>0.26063829787234044</v>
      </c>
      <c r="J211" s="28">
        <v>9.0</v>
      </c>
      <c r="K211" s="28" t="s">
        <v>57</v>
      </c>
      <c r="L211" s="28" t="s">
        <v>57</v>
      </c>
    </row>
    <row r="212" ht="15.75" customHeight="1">
      <c r="A212" s="28" t="s">
        <v>131</v>
      </c>
      <c r="B212" s="28" t="s">
        <v>640</v>
      </c>
      <c r="D212" s="28" t="s">
        <v>262</v>
      </c>
      <c r="E212" s="28" t="s">
        <v>853</v>
      </c>
      <c r="F212" s="28" t="s">
        <v>854</v>
      </c>
      <c r="G212" s="28" t="s">
        <v>310</v>
      </c>
      <c r="H212" s="28">
        <v>1.0</v>
      </c>
      <c r="I212" s="28">
        <v>0.3</v>
      </c>
      <c r="J212" s="28">
        <v>7.0</v>
      </c>
      <c r="K212" s="28" t="s">
        <v>57</v>
      </c>
      <c r="L212" s="28" t="s">
        <v>57</v>
      </c>
    </row>
    <row r="213" ht="15.75" customHeight="1">
      <c r="A213" s="28" t="s">
        <v>131</v>
      </c>
      <c r="B213" s="28" t="s">
        <v>640</v>
      </c>
      <c r="D213" s="28" t="s">
        <v>262</v>
      </c>
      <c r="E213" s="28" t="s">
        <v>855</v>
      </c>
      <c r="F213" s="28" t="s">
        <v>854</v>
      </c>
      <c r="G213" s="28" t="s">
        <v>278</v>
      </c>
      <c r="H213" s="28">
        <v>1.0</v>
      </c>
      <c r="I213" s="28">
        <v>0.30625</v>
      </c>
      <c r="J213" s="28">
        <v>3.0</v>
      </c>
      <c r="K213" s="28" t="s">
        <v>57</v>
      </c>
      <c r="L213" s="28" t="s">
        <v>57</v>
      </c>
    </row>
    <row r="214" ht="15.75" customHeight="1">
      <c r="A214" s="28" t="s">
        <v>131</v>
      </c>
      <c r="B214" s="28" t="s">
        <v>640</v>
      </c>
      <c r="D214" s="28" t="s">
        <v>262</v>
      </c>
      <c r="E214" s="28" t="s">
        <v>856</v>
      </c>
      <c r="F214" s="28" t="s">
        <v>851</v>
      </c>
      <c r="G214" s="28" t="s">
        <v>370</v>
      </c>
      <c r="H214" s="28">
        <v>1.0</v>
      </c>
      <c r="I214" s="28">
        <v>0.34418604651162793</v>
      </c>
      <c r="J214" s="28">
        <v>10.0</v>
      </c>
      <c r="K214" s="28" t="s">
        <v>57</v>
      </c>
      <c r="L214" s="28" t="s">
        <v>57</v>
      </c>
    </row>
    <row r="215" ht="15.75" customHeight="1">
      <c r="A215" s="28" t="s">
        <v>131</v>
      </c>
      <c r="B215" s="28" t="s">
        <v>640</v>
      </c>
      <c r="D215" s="28" t="s">
        <v>262</v>
      </c>
      <c r="E215" s="28" t="s">
        <v>857</v>
      </c>
      <c r="F215" s="28" t="s">
        <v>858</v>
      </c>
      <c r="G215" s="28" t="s">
        <v>345</v>
      </c>
      <c r="H215" s="28">
        <v>1.0</v>
      </c>
      <c r="I215" s="28">
        <v>0.43727598566308246</v>
      </c>
      <c r="J215" s="28">
        <v>0.0</v>
      </c>
      <c r="K215" s="28" t="s">
        <v>57</v>
      </c>
      <c r="L215" s="28" t="s">
        <v>57</v>
      </c>
    </row>
    <row r="216" ht="15.75" customHeight="1">
      <c r="A216" s="28" t="s">
        <v>131</v>
      </c>
      <c r="B216" s="28" t="s">
        <v>640</v>
      </c>
      <c r="D216" s="28" t="s">
        <v>262</v>
      </c>
      <c r="E216" s="28" t="s">
        <v>859</v>
      </c>
      <c r="F216" s="28" t="s">
        <v>860</v>
      </c>
      <c r="G216" s="28" t="s">
        <v>287</v>
      </c>
      <c r="H216" s="28">
        <v>1.0</v>
      </c>
      <c r="I216" s="28">
        <v>0.6314496314496314</v>
      </c>
      <c r="J216" s="28">
        <v>6.0</v>
      </c>
      <c r="K216" s="28" t="s">
        <v>57</v>
      </c>
      <c r="L216" s="28" t="s">
        <v>57</v>
      </c>
    </row>
    <row r="217" ht="15.75" customHeight="1">
      <c r="A217" s="28" t="s">
        <v>131</v>
      </c>
      <c r="B217" s="28" t="s">
        <v>640</v>
      </c>
      <c r="D217" s="28" t="s">
        <v>262</v>
      </c>
      <c r="E217" s="28" t="s">
        <v>861</v>
      </c>
      <c r="F217" s="28" t="s">
        <v>862</v>
      </c>
      <c r="G217" s="28" t="s">
        <v>303</v>
      </c>
      <c r="H217" s="28">
        <v>1.0</v>
      </c>
      <c r="I217" s="28">
        <v>0.7777777777777778</v>
      </c>
      <c r="J217" s="28">
        <v>4.0</v>
      </c>
      <c r="K217" s="28" t="s">
        <v>57</v>
      </c>
      <c r="L217" s="28" t="s">
        <v>57</v>
      </c>
    </row>
    <row r="218" ht="15.75" customHeight="1">
      <c r="A218" s="28" t="s">
        <v>131</v>
      </c>
      <c r="B218" s="28" t="s">
        <v>640</v>
      </c>
      <c r="D218" s="28" t="s">
        <v>262</v>
      </c>
      <c r="E218" s="28" t="s">
        <v>863</v>
      </c>
      <c r="F218" s="28" t="s">
        <v>864</v>
      </c>
      <c r="G218" s="28" t="s">
        <v>241</v>
      </c>
      <c r="H218" s="28">
        <v>1.0</v>
      </c>
      <c r="I218" s="28">
        <v>0.875710804224208</v>
      </c>
      <c r="J218" s="28">
        <v>2.0</v>
      </c>
      <c r="K218" s="28" t="s">
        <v>57</v>
      </c>
      <c r="L218" s="28" t="s">
        <v>57</v>
      </c>
    </row>
    <row r="219" ht="15.75" customHeight="1">
      <c r="A219" s="28" t="s">
        <v>131</v>
      </c>
      <c r="B219" s="28" t="s">
        <v>640</v>
      </c>
      <c r="D219" s="28" t="s">
        <v>345</v>
      </c>
      <c r="E219" s="28" t="s">
        <v>865</v>
      </c>
      <c r="F219" s="28" t="s">
        <v>826</v>
      </c>
      <c r="G219" s="28" t="s">
        <v>370</v>
      </c>
      <c r="H219" s="28">
        <v>1.0</v>
      </c>
      <c r="I219" s="28">
        <v>0.3225806451612903</v>
      </c>
      <c r="J219" s="28">
        <v>9.0</v>
      </c>
      <c r="K219" s="28" t="s">
        <v>57</v>
      </c>
      <c r="L219" s="28" t="s">
        <v>57</v>
      </c>
    </row>
    <row r="220" ht="15.75" customHeight="1">
      <c r="A220" s="28" t="s">
        <v>131</v>
      </c>
      <c r="B220" s="28" t="s">
        <v>640</v>
      </c>
      <c r="D220" s="28" t="s">
        <v>345</v>
      </c>
      <c r="E220" s="28" t="s">
        <v>866</v>
      </c>
      <c r="F220" s="28" t="s">
        <v>826</v>
      </c>
      <c r="G220" s="28" t="s">
        <v>295</v>
      </c>
      <c r="H220" s="28">
        <v>1.0</v>
      </c>
      <c r="I220" s="28">
        <v>0.3548387096774194</v>
      </c>
      <c r="J220" s="28">
        <v>7.0</v>
      </c>
      <c r="K220" s="28" t="s">
        <v>57</v>
      </c>
      <c r="L220" s="28" t="s">
        <v>57</v>
      </c>
    </row>
    <row r="221" ht="15.75" customHeight="1">
      <c r="A221" s="28" t="s">
        <v>131</v>
      </c>
      <c r="B221" s="28" t="s">
        <v>640</v>
      </c>
      <c r="D221" s="28" t="s">
        <v>345</v>
      </c>
      <c r="E221" s="28" t="s">
        <v>867</v>
      </c>
      <c r="F221" s="28" t="s">
        <v>826</v>
      </c>
      <c r="G221" s="28" t="s">
        <v>364</v>
      </c>
      <c r="H221" s="28">
        <v>1.0</v>
      </c>
      <c r="I221" s="28">
        <v>0.35842293906810035</v>
      </c>
      <c r="J221" s="28">
        <v>8.0</v>
      </c>
      <c r="K221" s="28" t="s">
        <v>57</v>
      </c>
      <c r="L221" s="28" t="s">
        <v>57</v>
      </c>
    </row>
    <row r="222" ht="15.75" customHeight="1">
      <c r="A222" s="28" t="s">
        <v>131</v>
      </c>
      <c r="B222" s="28" t="s">
        <v>640</v>
      </c>
      <c r="D222" s="28" t="s">
        <v>345</v>
      </c>
      <c r="E222" s="28" t="s">
        <v>868</v>
      </c>
      <c r="F222" s="28" t="s">
        <v>830</v>
      </c>
      <c r="G222" s="28" t="s">
        <v>287</v>
      </c>
      <c r="H222" s="28">
        <v>1.0</v>
      </c>
      <c r="I222" s="28">
        <v>0.3759213759213759</v>
      </c>
      <c r="J222" s="28">
        <v>5.0</v>
      </c>
      <c r="K222" s="28" t="s">
        <v>57</v>
      </c>
      <c r="L222" s="28" t="s">
        <v>57</v>
      </c>
    </row>
    <row r="223" ht="15.75" customHeight="1">
      <c r="A223" s="28" t="s">
        <v>131</v>
      </c>
      <c r="B223" s="28" t="s">
        <v>640</v>
      </c>
      <c r="D223" s="28" t="s">
        <v>345</v>
      </c>
      <c r="E223" s="28" t="s">
        <v>869</v>
      </c>
      <c r="F223" s="28" t="s">
        <v>834</v>
      </c>
      <c r="G223" s="28" t="s">
        <v>278</v>
      </c>
      <c r="H223" s="28">
        <v>1.0</v>
      </c>
      <c r="I223" s="28">
        <v>0.6021505376344086</v>
      </c>
      <c r="J223" s="28">
        <v>2.0</v>
      </c>
      <c r="K223" s="28" t="s">
        <v>57</v>
      </c>
      <c r="L223" s="28" t="s">
        <v>57</v>
      </c>
    </row>
    <row r="224" ht="15.75" customHeight="1">
      <c r="A224" s="28" t="s">
        <v>131</v>
      </c>
      <c r="B224" s="28" t="s">
        <v>640</v>
      </c>
      <c r="D224" s="28" t="s">
        <v>345</v>
      </c>
      <c r="E224" s="28" t="s">
        <v>870</v>
      </c>
      <c r="F224" s="28" t="s">
        <v>834</v>
      </c>
      <c r="G224" s="28" t="s">
        <v>310</v>
      </c>
      <c r="H224" s="28">
        <v>1.0</v>
      </c>
      <c r="I224" s="28">
        <v>0.6057347670250897</v>
      </c>
      <c r="J224" s="28">
        <v>6.0</v>
      </c>
      <c r="K224" s="28" t="s">
        <v>57</v>
      </c>
      <c r="L224" s="28" t="s">
        <v>57</v>
      </c>
    </row>
    <row r="225" ht="15.75" customHeight="1">
      <c r="A225" s="28" t="s">
        <v>131</v>
      </c>
      <c r="B225" s="28" t="s">
        <v>640</v>
      </c>
      <c r="D225" s="28" t="s">
        <v>345</v>
      </c>
      <c r="E225" s="28" t="s">
        <v>871</v>
      </c>
      <c r="F225" s="28" t="s">
        <v>837</v>
      </c>
      <c r="G225" s="28" t="s">
        <v>303</v>
      </c>
      <c r="H225" s="28">
        <v>1.0</v>
      </c>
      <c r="I225" s="28">
        <v>0.6118143459915611</v>
      </c>
      <c r="J225" s="28">
        <v>3.0</v>
      </c>
      <c r="K225" s="28" t="s">
        <v>57</v>
      </c>
      <c r="L225" s="28" t="s">
        <v>57</v>
      </c>
    </row>
    <row r="226" ht="15.75" customHeight="1">
      <c r="A226" s="28" t="s">
        <v>131</v>
      </c>
      <c r="B226" s="28" t="s">
        <v>640</v>
      </c>
      <c r="D226" s="28" t="s">
        <v>345</v>
      </c>
      <c r="E226" s="28" t="s">
        <v>872</v>
      </c>
      <c r="F226" s="28" t="s">
        <v>839</v>
      </c>
      <c r="G226" s="28" t="s">
        <v>241</v>
      </c>
      <c r="H226" s="28">
        <v>1.0</v>
      </c>
      <c r="I226" s="28">
        <v>0.7806661251015434</v>
      </c>
      <c r="J226" s="28">
        <v>1.0</v>
      </c>
      <c r="K226" s="28" t="s">
        <v>57</v>
      </c>
      <c r="L226" s="28" t="s">
        <v>57</v>
      </c>
    </row>
    <row r="227" ht="15.75" customHeight="1">
      <c r="A227" s="28" t="s">
        <v>131</v>
      </c>
      <c r="B227" s="28" t="s">
        <v>640</v>
      </c>
      <c r="D227" s="28" t="s">
        <v>241</v>
      </c>
      <c r="E227" s="28" t="s">
        <v>873</v>
      </c>
      <c r="F227" s="28" t="s">
        <v>874</v>
      </c>
      <c r="G227" s="28" t="s">
        <v>303</v>
      </c>
      <c r="H227" s="28">
        <v>1.0</v>
      </c>
      <c r="I227" s="28">
        <v>0.4687246141348497</v>
      </c>
      <c r="J227" s="28">
        <v>1.0</v>
      </c>
      <c r="K227" s="28" t="s">
        <v>57</v>
      </c>
      <c r="L227" s="28" t="s">
        <v>57</v>
      </c>
    </row>
    <row r="228" ht="15.75" customHeight="1">
      <c r="A228" s="28" t="s">
        <v>131</v>
      </c>
      <c r="B228" s="28" t="s">
        <v>640</v>
      </c>
      <c r="D228" s="28" t="s">
        <v>241</v>
      </c>
      <c r="E228" s="28" t="s">
        <v>875</v>
      </c>
      <c r="F228" s="28" t="s">
        <v>876</v>
      </c>
      <c r="G228" s="28" t="s">
        <v>287</v>
      </c>
      <c r="H228" s="28">
        <v>1.0</v>
      </c>
      <c r="I228" s="28">
        <v>0.6750609260763607</v>
      </c>
      <c r="J228" s="28">
        <v>3.0</v>
      </c>
      <c r="K228" s="28" t="s">
        <v>57</v>
      </c>
      <c r="L228" s="28" t="s">
        <v>57</v>
      </c>
    </row>
    <row r="229" ht="15.75" customHeight="1">
      <c r="A229" s="28" t="s">
        <v>131</v>
      </c>
      <c r="B229" s="28" t="s">
        <v>640</v>
      </c>
      <c r="D229" s="28" t="s">
        <v>241</v>
      </c>
      <c r="E229" s="28" t="s">
        <v>877</v>
      </c>
      <c r="F229" s="28" t="s">
        <v>878</v>
      </c>
      <c r="G229" s="28" t="s">
        <v>370</v>
      </c>
      <c r="H229" s="28">
        <v>1.0</v>
      </c>
      <c r="I229" s="28">
        <v>0.8383428107229894</v>
      </c>
      <c r="J229" s="28">
        <v>7.0</v>
      </c>
      <c r="K229" s="28" t="s">
        <v>57</v>
      </c>
      <c r="L229" s="28" t="s">
        <v>57</v>
      </c>
    </row>
    <row r="230" ht="15.75" customHeight="1">
      <c r="A230" s="28" t="s">
        <v>131</v>
      </c>
      <c r="B230" s="28" t="s">
        <v>640</v>
      </c>
      <c r="D230" s="28" t="s">
        <v>241</v>
      </c>
      <c r="E230" s="28" t="s">
        <v>879</v>
      </c>
      <c r="F230" s="28" t="s">
        <v>878</v>
      </c>
      <c r="G230" s="28" t="s">
        <v>295</v>
      </c>
      <c r="H230" s="28">
        <v>1.0</v>
      </c>
      <c r="I230" s="28">
        <v>0.8497156783103168</v>
      </c>
      <c r="J230" s="28">
        <v>5.0</v>
      </c>
      <c r="K230" s="28" t="s">
        <v>57</v>
      </c>
      <c r="L230" s="28" t="s">
        <v>57</v>
      </c>
    </row>
    <row r="231" ht="15.75" customHeight="1">
      <c r="A231" s="28" t="s">
        <v>131</v>
      </c>
      <c r="B231" s="28" t="s">
        <v>640</v>
      </c>
      <c r="D231" s="28" t="s">
        <v>241</v>
      </c>
      <c r="E231" s="28" t="s">
        <v>880</v>
      </c>
      <c r="F231" s="28" t="s">
        <v>878</v>
      </c>
      <c r="G231" s="28" t="s">
        <v>364</v>
      </c>
      <c r="H231" s="28">
        <v>1.0</v>
      </c>
      <c r="I231" s="28">
        <v>0.8497156783103168</v>
      </c>
      <c r="J231" s="28">
        <v>6.0</v>
      </c>
      <c r="K231" s="28" t="s">
        <v>57</v>
      </c>
      <c r="L231" s="28" t="s">
        <v>57</v>
      </c>
    </row>
    <row r="232" ht="15.75" customHeight="1">
      <c r="A232" s="28" t="s">
        <v>131</v>
      </c>
      <c r="B232" s="28" t="s">
        <v>640</v>
      </c>
      <c r="D232" s="28" t="s">
        <v>241</v>
      </c>
      <c r="E232" s="28" t="s">
        <v>881</v>
      </c>
      <c r="F232" s="28" t="s">
        <v>882</v>
      </c>
      <c r="G232" s="28" t="s">
        <v>310</v>
      </c>
      <c r="H232" s="28">
        <v>1.0</v>
      </c>
      <c r="I232" s="28">
        <v>0.909017059301381</v>
      </c>
      <c r="J232" s="28">
        <v>4.0</v>
      </c>
      <c r="K232" s="28" t="s">
        <v>57</v>
      </c>
      <c r="L232" s="28" t="s">
        <v>57</v>
      </c>
    </row>
    <row r="233" ht="15.75" customHeight="1">
      <c r="A233" s="28" t="s">
        <v>131</v>
      </c>
      <c r="B233" s="28" t="s">
        <v>640</v>
      </c>
      <c r="D233" s="28" t="s">
        <v>241</v>
      </c>
      <c r="E233" s="28" t="s">
        <v>883</v>
      </c>
      <c r="F233" s="28" t="s">
        <v>882</v>
      </c>
      <c r="G233" s="28" t="s">
        <v>278</v>
      </c>
      <c r="H233" s="28">
        <v>1.0</v>
      </c>
      <c r="I233" s="28">
        <v>0.909017059301381</v>
      </c>
      <c r="J233" s="28">
        <v>0.0</v>
      </c>
      <c r="K233" s="28" t="s">
        <v>57</v>
      </c>
      <c r="L233" s="28" t="s">
        <v>57</v>
      </c>
    </row>
    <row r="234" ht="15.75" customHeight="1">
      <c r="A234" s="28" t="s">
        <v>131</v>
      </c>
      <c r="B234" s="28" t="s">
        <v>640</v>
      </c>
      <c r="D234" s="28" t="s">
        <v>278</v>
      </c>
      <c r="E234" s="28" t="s">
        <v>307</v>
      </c>
      <c r="F234" s="28" t="s">
        <v>276</v>
      </c>
      <c r="G234" s="28" t="s">
        <v>310</v>
      </c>
      <c r="H234" s="28">
        <v>1.0</v>
      </c>
      <c r="I234" s="28">
        <v>0.017391304347826087</v>
      </c>
      <c r="J234" s="28">
        <v>3.0</v>
      </c>
      <c r="K234" s="28" t="s">
        <v>57</v>
      </c>
      <c r="L234" s="28" t="s">
        <v>57</v>
      </c>
    </row>
    <row r="235" ht="15.75" customHeight="1">
      <c r="A235" s="28" t="s">
        <v>131</v>
      </c>
      <c r="B235" s="28" t="s">
        <v>640</v>
      </c>
      <c r="D235" s="28" t="s">
        <v>278</v>
      </c>
      <c r="E235" s="28" t="s">
        <v>884</v>
      </c>
      <c r="F235" s="28" t="s">
        <v>687</v>
      </c>
      <c r="G235" s="28" t="s">
        <v>295</v>
      </c>
      <c r="H235" s="28">
        <v>1.0</v>
      </c>
      <c r="I235" s="28">
        <v>0.39572192513368987</v>
      </c>
      <c r="J235" s="28">
        <v>4.0</v>
      </c>
      <c r="K235" s="28" t="s">
        <v>57</v>
      </c>
      <c r="L235" s="28" t="s">
        <v>57</v>
      </c>
    </row>
    <row r="236" ht="15.75" customHeight="1">
      <c r="A236" s="28" t="s">
        <v>131</v>
      </c>
      <c r="B236" s="28" t="s">
        <v>640</v>
      </c>
      <c r="D236" s="28" t="s">
        <v>278</v>
      </c>
      <c r="E236" s="28" t="s">
        <v>885</v>
      </c>
      <c r="F236" s="28" t="s">
        <v>687</v>
      </c>
      <c r="G236" s="28" t="s">
        <v>364</v>
      </c>
      <c r="H236" s="28">
        <v>1.0</v>
      </c>
      <c r="I236" s="28">
        <v>0.40425531914893614</v>
      </c>
      <c r="J236" s="28">
        <v>5.0</v>
      </c>
      <c r="K236" s="28" t="s">
        <v>57</v>
      </c>
      <c r="L236" s="28" t="s">
        <v>57</v>
      </c>
    </row>
    <row r="237" ht="15.75" customHeight="1">
      <c r="A237" s="28" t="s">
        <v>131</v>
      </c>
      <c r="B237" s="28" t="s">
        <v>640</v>
      </c>
      <c r="D237" s="28" t="s">
        <v>278</v>
      </c>
      <c r="E237" s="28" t="s">
        <v>886</v>
      </c>
      <c r="F237" s="28" t="s">
        <v>687</v>
      </c>
      <c r="G237" s="28" t="s">
        <v>370</v>
      </c>
      <c r="H237" s="28">
        <v>1.0</v>
      </c>
      <c r="I237" s="28">
        <v>0.4744186046511628</v>
      </c>
      <c r="J237" s="28">
        <v>6.0</v>
      </c>
      <c r="K237" s="28" t="s">
        <v>57</v>
      </c>
      <c r="L237" s="28" t="s">
        <v>57</v>
      </c>
    </row>
    <row r="238" ht="15.75" customHeight="1">
      <c r="A238" s="28" t="s">
        <v>131</v>
      </c>
      <c r="B238" s="28" t="s">
        <v>640</v>
      </c>
      <c r="D238" s="28" t="s">
        <v>278</v>
      </c>
      <c r="E238" s="28" t="s">
        <v>887</v>
      </c>
      <c r="F238" s="28" t="s">
        <v>698</v>
      </c>
      <c r="G238" s="28" t="s">
        <v>287</v>
      </c>
      <c r="H238" s="28">
        <v>1.0</v>
      </c>
      <c r="I238" s="28">
        <v>0.7223587223587223</v>
      </c>
      <c r="J238" s="28">
        <v>2.0</v>
      </c>
      <c r="K238" s="28" t="s">
        <v>57</v>
      </c>
      <c r="L238" s="28" t="s">
        <v>57</v>
      </c>
    </row>
    <row r="239" ht="15.75" customHeight="1">
      <c r="A239" s="28" t="s">
        <v>131</v>
      </c>
      <c r="B239" s="28" t="s">
        <v>640</v>
      </c>
      <c r="D239" s="28" t="s">
        <v>278</v>
      </c>
      <c r="E239" s="28" t="s">
        <v>888</v>
      </c>
      <c r="F239" s="28" t="s">
        <v>701</v>
      </c>
      <c r="G239" s="28" t="s">
        <v>303</v>
      </c>
      <c r="H239" s="28">
        <v>1.0</v>
      </c>
      <c r="I239" s="28">
        <v>0.8424753867791842</v>
      </c>
      <c r="J239" s="28">
        <v>0.0</v>
      </c>
      <c r="K239" s="28" t="s">
        <v>57</v>
      </c>
      <c r="L239" s="28" t="s">
        <v>57</v>
      </c>
    </row>
    <row r="240" ht="15.75" customHeight="1">
      <c r="A240" s="28" t="s">
        <v>131</v>
      </c>
      <c r="B240" s="28" t="s">
        <v>640</v>
      </c>
      <c r="D240" s="28" t="s">
        <v>303</v>
      </c>
      <c r="E240" s="28" t="s">
        <v>889</v>
      </c>
      <c r="F240" s="28" t="s">
        <v>890</v>
      </c>
      <c r="G240" s="28" t="s">
        <v>287</v>
      </c>
      <c r="H240" s="28">
        <v>1.0</v>
      </c>
      <c r="I240" s="28">
        <v>0.4430379746835443</v>
      </c>
      <c r="J240" s="28">
        <v>1.0</v>
      </c>
      <c r="K240" s="28" t="s">
        <v>57</v>
      </c>
      <c r="L240" s="28" t="s">
        <v>57</v>
      </c>
    </row>
    <row r="241" ht="15.75" customHeight="1">
      <c r="A241" s="28" t="s">
        <v>131</v>
      </c>
      <c r="B241" s="28" t="s">
        <v>640</v>
      </c>
      <c r="D241" s="28" t="s">
        <v>303</v>
      </c>
      <c r="E241" s="28" t="s">
        <v>891</v>
      </c>
      <c r="F241" s="28" t="s">
        <v>892</v>
      </c>
      <c r="G241" s="28" t="s">
        <v>370</v>
      </c>
      <c r="H241" s="28">
        <v>1.0</v>
      </c>
      <c r="I241" s="28">
        <v>0.7243319268635724</v>
      </c>
      <c r="J241" s="28">
        <v>5.0</v>
      </c>
      <c r="K241" s="28" t="s">
        <v>57</v>
      </c>
      <c r="L241" s="28" t="s">
        <v>57</v>
      </c>
    </row>
    <row r="242" ht="15.75" customHeight="1">
      <c r="A242" s="28" t="s">
        <v>131</v>
      </c>
      <c r="B242" s="28" t="s">
        <v>640</v>
      </c>
      <c r="D242" s="28" t="s">
        <v>303</v>
      </c>
      <c r="E242" s="28" t="s">
        <v>893</v>
      </c>
      <c r="F242" s="28" t="s">
        <v>892</v>
      </c>
      <c r="G242" s="28" t="s">
        <v>295</v>
      </c>
      <c r="H242" s="28">
        <v>1.0</v>
      </c>
      <c r="I242" s="28">
        <v>0.7454289732770746</v>
      </c>
      <c r="J242" s="28">
        <v>3.0</v>
      </c>
      <c r="K242" s="28" t="s">
        <v>57</v>
      </c>
      <c r="L242" s="28" t="s">
        <v>57</v>
      </c>
    </row>
    <row r="243" ht="15.75" customHeight="1">
      <c r="A243" s="28" t="s">
        <v>131</v>
      </c>
      <c r="B243" s="28" t="s">
        <v>640</v>
      </c>
      <c r="D243" s="28" t="s">
        <v>303</v>
      </c>
      <c r="E243" s="28" t="s">
        <v>894</v>
      </c>
      <c r="F243" s="28" t="s">
        <v>892</v>
      </c>
      <c r="G243" s="28" t="s">
        <v>364</v>
      </c>
      <c r="H243" s="28">
        <v>1.0</v>
      </c>
      <c r="I243" s="28">
        <v>0.7454289732770746</v>
      </c>
      <c r="J243" s="28">
        <v>4.0</v>
      </c>
      <c r="K243" s="28" t="s">
        <v>57</v>
      </c>
      <c r="L243" s="28" t="s">
        <v>57</v>
      </c>
    </row>
    <row r="244" ht="15.75" customHeight="1">
      <c r="A244" s="28" t="s">
        <v>131</v>
      </c>
      <c r="B244" s="28" t="s">
        <v>640</v>
      </c>
      <c r="D244" s="28" t="s">
        <v>303</v>
      </c>
      <c r="E244" s="28" t="s">
        <v>895</v>
      </c>
      <c r="F244" s="28" t="s">
        <v>896</v>
      </c>
      <c r="G244" s="28" t="s">
        <v>310</v>
      </c>
      <c r="H244" s="28">
        <v>1.0</v>
      </c>
      <c r="I244" s="28">
        <v>0.8438818565400844</v>
      </c>
      <c r="J244" s="28">
        <v>2.0</v>
      </c>
      <c r="K244" s="28" t="s">
        <v>57</v>
      </c>
      <c r="L244" s="28" t="s">
        <v>57</v>
      </c>
    </row>
    <row r="245" ht="15.75" customHeight="1">
      <c r="A245" s="28" t="s">
        <v>131</v>
      </c>
      <c r="B245" s="28" t="s">
        <v>640</v>
      </c>
      <c r="D245" s="28" t="s">
        <v>287</v>
      </c>
      <c r="E245" s="28" t="s">
        <v>897</v>
      </c>
      <c r="F245" s="28" t="s">
        <v>898</v>
      </c>
      <c r="G245" s="28" t="s">
        <v>370</v>
      </c>
      <c r="H245" s="28">
        <v>1.0</v>
      </c>
      <c r="I245" s="28">
        <v>0.5184275184275184</v>
      </c>
      <c r="J245" s="28">
        <v>3.0</v>
      </c>
      <c r="K245" s="28" t="s">
        <v>57</v>
      </c>
      <c r="L245" s="28" t="s">
        <v>57</v>
      </c>
    </row>
    <row r="246" ht="15.75" customHeight="1">
      <c r="A246" s="28" t="s">
        <v>131</v>
      </c>
      <c r="B246" s="28" t="s">
        <v>640</v>
      </c>
      <c r="D246" s="28" t="s">
        <v>287</v>
      </c>
      <c r="E246" s="28" t="s">
        <v>899</v>
      </c>
      <c r="F246" s="28" t="s">
        <v>898</v>
      </c>
      <c r="G246" s="28" t="s">
        <v>295</v>
      </c>
      <c r="H246" s="28">
        <v>1.0</v>
      </c>
      <c r="I246" s="28">
        <v>0.5454545454545454</v>
      </c>
      <c r="J246" s="28">
        <v>1.0</v>
      </c>
      <c r="K246" s="28" t="s">
        <v>57</v>
      </c>
      <c r="L246" s="28" t="s">
        <v>57</v>
      </c>
    </row>
    <row r="247" ht="15.75" customHeight="1">
      <c r="A247" s="28" t="s">
        <v>131</v>
      </c>
      <c r="B247" s="28" t="s">
        <v>640</v>
      </c>
      <c r="D247" s="28" t="s">
        <v>287</v>
      </c>
      <c r="E247" s="28" t="s">
        <v>900</v>
      </c>
      <c r="F247" s="28" t="s">
        <v>898</v>
      </c>
      <c r="G247" s="28" t="s">
        <v>364</v>
      </c>
      <c r="H247" s="28">
        <v>1.0</v>
      </c>
      <c r="I247" s="28">
        <v>0.547911547911548</v>
      </c>
      <c r="J247" s="28">
        <v>2.0</v>
      </c>
      <c r="K247" s="28" t="s">
        <v>57</v>
      </c>
      <c r="L247" s="28" t="s">
        <v>57</v>
      </c>
    </row>
    <row r="248" ht="15.75" customHeight="1">
      <c r="A248" s="28" t="s">
        <v>131</v>
      </c>
      <c r="B248" s="28" t="s">
        <v>640</v>
      </c>
      <c r="D248" s="28" t="s">
        <v>287</v>
      </c>
      <c r="E248" s="28" t="s">
        <v>901</v>
      </c>
      <c r="F248" s="28" t="s">
        <v>902</v>
      </c>
      <c r="G248" s="28" t="s">
        <v>310</v>
      </c>
      <c r="H248" s="28">
        <v>1.0</v>
      </c>
      <c r="I248" s="28">
        <v>0.7223587223587223</v>
      </c>
      <c r="J248" s="28">
        <v>0.0</v>
      </c>
      <c r="K248" s="28" t="s">
        <v>57</v>
      </c>
      <c r="L248" s="28" t="s">
        <v>57</v>
      </c>
    </row>
    <row r="249" ht="15.75" customHeight="1">
      <c r="A249" s="28" t="s">
        <v>131</v>
      </c>
      <c r="B249" s="28" t="s">
        <v>640</v>
      </c>
      <c r="D249" s="28" t="s">
        <v>310</v>
      </c>
      <c r="E249" s="28" t="s">
        <v>903</v>
      </c>
      <c r="F249" s="28" t="s">
        <v>687</v>
      </c>
      <c r="G249" s="28" t="s">
        <v>295</v>
      </c>
      <c r="H249" s="28">
        <v>1.0</v>
      </c>
      <c r="I249" s="28">
        <v>0.39037433155080214</v>
      </c>
      <c r="J249" s="28">
        <v>0.0</v>
      </c>
      <c r="K249" s="28" t="s">
        <v>57</v>
      </c>
      <c r="L249" s="28" t="s">
        <v>57</v>
      </c>
    </row>
    <row r="250" ht="15.75" customHeight="1">
      <c r="A250" s="28" t="s">
        <v>131</v>
      </c>
      <c r="B250" s="28" t="s">
        <v>640</v>
      </c>
      <c r="D250" s="28" t="s">
        <v>310</v>
      </c>
      <c r="E250" s="28" t="s">
        <v>904</v>
      </c>
      <c r="F250" s="28" t="s">
        <v>687</v>
      </c>
      <c r="G250" s="28" t="s">
        <v>364</v>
      </c>
      <c r="H250" s="28">
        <v>1.0</v>
      </c>
      <c r="I250" s="28">
        <v>0.40425531914893614</v>
      </c>
      <c r="J250" s="28">
        <v>1.0</v>
      </c>
      <c r="K250" s="28" t="s">
        <v>57</v>
      </c>
      <c r="L250" s="28" t="s">
        <v>57</v>
      </c>
    </row>
    <row r="251" ht="15.75" customHeight="1">
      <c r="A251" s="28" t="s">
        <v>131</v>
      </c>
      <c r="B251" s="28" t="s">
        <v>640</v>
      </c>
      <c r="D251" s="28" t="s">
        <v>310</v>
      </c>
      <c r="E251" s="28" t="s">
        <v>905</v>
      </c>
      <c r="F251" s="28" t="s">
        <v>687</v>
      </c>
      <c r="G251" s="28" t="s">
        <v>370</v>
      </c>
      <c r="H251" s="28">
        <v>1.0</v>
      </c>
      <c r="I251" s="28">
        <v>0.4790697674418605</v>
      </c>
      <c r="J251" s="28">
        <v>2.0</v>
      </c>
      <c r="K251" s="28" t="s">
        <v>57</v>
      </c>
      <c r="L251" s="28" t="s">
        <v>57</v>
      </c>
    </row>
    <row r="252" ht="15.75" customHeight="1">
      <c r="A252" s="28" t="s">
        <v>131</v>
      </c>
      <c r="B252" s="28" t="s">
        <v>640</v>
      </c>
      <c r="D252" s="28" t="s">
        <v>295</v>
      </c>
      <c r="E252" s="28" t="s">
        <v>360</v>
      </c>
      <c r="F252" s="28" t="s">
        <v>362</v>
      </c>
      <c r="G252" s="28" t="s">
        <v>364</v>
      </c>
      <c r="H252" s="28">
        <v>1.0</v>
      </c>
      <c r="I252" s="28">
        <v>0.031914893617021274</v>
      </c>
      <c r="J252" s="28">
        <v>0.0</v>
      </c>
      <c r="K252" s="28" t="s">
        <v>57</v>
      </c>
      <c r="L252" s="28" t="s">
        <v>57</v>
      </c>
    </row>
    <row r="253" ht="15.75" customHeight="1">
      <c r="A253" s="28" t="s">
        <v>131</v>
      </c>
      <c r="B253" s="28" t="s">
        <v>640</v>
      </c>
      <c r="D253" s="28" t="s">
        <v>295</v>
      </c>
      <c r="E253" s="28" t="s">
        <v>367</v>
      </c>
      <c r="F253" s="28" t="s">
        <v>362</v>
      </c>
      <c r="G253" s="28" t="s">
        <v>370</v>
      </c>
      <c r="H253" s="28">
        <v>1.0</v>
      </c>
      <c r="I253" s="28">
        <v>0.14418604651162792</v>
      </c>
      <c r="J253" s="28">
        <v>1.0</v>
      </c>
      <c r="K253" s="28" t="s">
        <v>57</v>
      </c>
      <c r="L253" s="28" t="s">
        <v>57</v>
      </c>
    </row>
    <row r="254" ht="15.75" customHeight="1">
      <c r="A254" s="28" t="s">
        <v>131</v>
      </c>
      <c r="B254" s="28" t="s">
        <v>640</v>
      </c>
      <c r="D254" s="28" t="s">
        <v>364</v>
      </c>
      <c r="E254" s="28" t="s">
        <v>906</v>
      </c>
      <c r="F254" s="28" t="s">
        <v>362</v>
      </c>
      <c r="G254" s="28" t="s">
        <v>370</v>
      </c>
      <c r="H254" s="28">
        <v>1.0</v>
      </c>
      <c r="I254" s="28">
        <v>0.15813953488372093</v>
      </c>
      <c r="J254" s="28">
        <v>0.0</v>
      </c>
      <c r="K254" s="28" t="s">
        <v>57</v>
      </c>
      <c r="L254" s="28" t="s">
        <v>57</v>
      </c>
    </row>
    <row r="255" ht="15.75" customHeight="1">
      <c r="A255" s="28" t="s">
        <v>907</v>
      </c>
      <c r="B255" s="28" t="s">
        <v>640</v>
      </c>
      <c r="D255" s="28" t="s">
        <v>908</v>
      </c>
      <c r="E255" s="28" t="s">
        <v>909</v>
      </c>
      <c r="F255" s="28" t="s">
        <v>910</v>
      </c>
      <c r="G255" s="28" t="s">
        <v>911</v>
      </c>
      <c r="H255" s="28">
        <v>1.0</v>
      </c>
      <c r="I255" s="28">
        <v>0.022857142857142857</v>
      </c>
      <c r="J255" s="28">
        <v>0.0</v>
      </c>
      <c r="K255" s="28" t="s">
        <v>57</v>
      </c>
      <c r="L255" s="28" t="s">
        <v>57</v>
      </c>
    </row>
    <row r="256" ht="15.75" customHeight="1">
      <c r="A256" s="28" t="s">
        <v>576</v>
      </c>
      <c r="B256" s="28" t="s">
        <v>640</v>
      </c>
      <c r="D256" s="28" t="s">
        <v>578</v>
      </c>
      <c r="E256" s="28" t="s">
        <v>633</v>
      </c>
      <c r="F256" s="28" t="s">
        <v>580</v>
      </c>
      <c r="G256" s="28" t="s">
        <v>581</v>
      </c>
      <c r="H256" s="28">
        <v>1.0</v>
      </c>
      <c r="I256" s="28">
        <v>0.4642857142857143</v>
      </c>
      <c r="J256" s="28">
        <v>0.0</v>
      </c>
      <c r="K256" s="28" t="s">
        <v>57</v>
      </c>
      <c r="L256" s="28" t="s">
        <v>57</v>
      </c>
    </row>
    <row r="257" ht="15.75" customHeight="1">
      <c r="A257" s="28" t="s">
        <v>576</v>
      </c>
      <c r="B257" s="28" t="s">
        <v>640</v>
      </c>
      <c r="D257" s="28" t="s">
        <v>583</v>
      </c>
      <c r="E257" s="28" t="s">
        <v>584</v>
      </c>
      <c r="F257" s="28" t="s">
        <v>585</v>
      </c>
      <c r="G257" s="28" t="s">
        <v>586</v>
      </c>
      <c r="H257" s="28">
        <v>1.0</v>
      </c>
      <c r="I257" s="28">
        <v>0.014184397163120567</v>
      </c>
      <c r="J257" s="28">
        <v>0.0</v>
      </c>
      <c r="K257" s="28" t="s">
        <v>57</v>
      </c>
      <c r="L257" s="28" t="s">
        <v>57</v>
      </c>
    </row>
    <row r="258" ht="15.75" customHeight="1">
      <c r="A258" s="28" t="s">
        <v>576</v>
      </c>
      <c r="B258" s="28" t="s">
        <v>640</v>
      </c>
      <c r="D258" s="28" t="s">
        <v>587</v>
      </c>
      <c r="E258" s="28" t="s">
        <v>588</v>
      </c>
      <c r="F258" s="28" t="s">
        <v>589</v>
      </c>
      <c r="G258" s="28" t="s">
        <v>590</v>
      </c>
      <c r="H258" s="28">
        <v>1.0</v>
      </c>
      <c r="I258" s="28">
        <v>0.016129032258064516</v>
      </c>
      <c r="J258" s="28">
        <v>0.0</v>
      </c>
      <c r="K258" s="28" t="s">
        <v>57</v>
      </c>
      <c r="L258" s="28" t="s">
        <v>57</v>
      </c>
    </row>
    <row r="259" ht="15.75" customHeight="1">
      <c r="A259" s="28" t="s">
        <v>576</v>
      </c>
      <c r="B259" s="28" t="s">
        <v>640</v>
      </c>
      <c r="D259" s="28" t="s">
        <v>587</v>
      </c>
      <c r="E259" s="28" t="s">
        <v>591</v>
      </c>
      <c r="F259" s="28" t="s">
        <v>589</v>
      </c>
      <c r="G259" s="28" t="s">
        <v>592</v>
      </c>
      <c r="H259" s="28">
        <v>1.0</v>
      </c>
      <c r="I259" s="28">
        <v>0.0213903743315508</v>
      </c>
      <c r="J259" s="28">
        <v>1.0</v>
      </c>
      <c r="K259" s="28" t="s">
        <v>57</v>
      </c>
      <c r="L259" s="28" t="s">
        <v>57</v>
      </c>
    </row>
    <row r="260" ht="15.75" customHeight="1">
      <c r="A260" s="28" t="s">
        <v>576</v>
      </c>
      <c r="B260" s="28" t="s">
        <v>640</v>
      </c>
      <c r="D260" s="28" t="s">
        <v>587</v>
      </c>
      <c r="E260" s="28" t="s">
        <v>634</v>
      </c>
      <c r="F260" s="28" t="s">
        <v>635</v>
      </c>
      <c r="G260" s="28" t="s">
        <v>636</v>
      </c>
      <c r="H260" s="28">
        <v>1.0</v>
      </c>
      <c r="I260" s="28">
        <v>0.526829268292683</v>
      </c>
      <c r="J260" s="28">
        <v>2.0</v>
      </c>
      <c r="K260" s="28" t="s">
        <v>57</v>
      </c>
      <c r="L260" s="28" t="s">
        <v>57</v>
      </c>
    </row>
    <row r="261" ht="15.75" customHeight="1">
      <c r="A261" s="28" t="s">
        <v>576</v>
      </c>
      <c r="B261" s="28" t="s">
        <v>640</v>
      </c>
      <c r="D261" s="28" t="s">
        <v>590</v>
      </c>
      <c r="E261" s="28" t="s">
        <v>593</v>
      </c>
      <c r="F261" s="28" t="s">
        <v>589</v>
      </c>
      <c r="G261" s="28" t="s">
        <v>592</v>
      </c>
      <c r="H261" s="28">
        <v>1.0</v>
      </c>
      <c r="I261" s="28">
        <v>0.0106951871657754</v>
      </c>
      <c r="J261" s="28">
        <v>0.0</v>
      </c>
      <c r="K261" s="28" t="s">
        <v>57</v>
      </c>
      <c r="L261" s="28" t="s">
        <v>57</v>
      </c>
    </row>
    <row r="262" ht="15.75" customHeight="1">
      <c r="A262" s="28" t="s">
        <v>576</v>
      </c>
      <c r="B262" s="28" t="s">
        <v>640</v>
      </c>
      <c r="D262" s="28" t="s">
        <v>590</v>
      </c>
      <c r="E262" s="28" t="s">
        <v>637</v>
      </c>
      <c r="F262" s="28" t="s">
        <v>635</v>
      </c>
      <c r="G262" s="28" t="s">
        <v>636</v>
      </c>
      <c r="H262" s="28">
        <v>1.0</v>
      </c>
      <c r="I262" s="28">
        <v>0.5170731707317073</v>
      </c>
      <c r="J262" s="28">
        <v>1.0</v>
      </c>
      <c r="K262" s="28" t="s">
        <v>57</v>
      </c>
      <c r="L262" s="28" t="s">
        <v>57</v>
      </c>
    </row>
    <row r="263" ht="15.75" customHeight="1">
      <c r="A263" s="28" t="s">
        <v>576</v>
      </c>
      <c r="B263" s="28" t="s">
        <v>640</v>
      </c>
      <c r="D263" s="28" t="s">
        <v>592</v>
      </c>
      <c r="E263" s="28" t="s">
        <v>638</v>
      </c>
      <c r="F263" s="28" t="s">
        <v>635</v>
      </c>
      <c r="G263" s="28" t="s">
        <v>636</v>
      </c>
      <c r="H263" s="28">
        <v>1.0</v>
      </c>
      <c r="I263" s="28">
        <v>0.5170731707317073</v>
      </c>
      <c r="J263" s="28">
        <v>0.0</v>
      </c>
      <c r="K263" s="28" t="s">
        <v>57</v>
      </c>
      <c r="L263" s="28" t="s">
        <v>57</v>
      </c>
    </row>
    <row r="264" ht="15.75" customHeight="1">
      <c r="A264" s="28" t="s">
        <v>912</v>
      </c>
      <c r="B264" s="28" t="s">
        <v>640</v>
      </c>
      <c r="D264" s="28" t="s">
        <v>913</v>
      </c>
      <c r="E264" s="28" t="s">
        <v>914</v>
      </c>
      <c r="F264" s="28" t="s">
        <v>915</v>
      </c>
      <c r="G264" s="28" t="s">
        <v>916</v>
      </c>
      <c r="H264" s="28">
        <v>1.0</v>
      </c>
      <c r="I264" s="28">
        <v>0.023255813953488372</v>
      </c>
      <c r="J264" s="28">
        <v>0.0</v>
      </c>
      <c r="K264" s="28" t="s">
        <v>57</v>
      </c>
      <c r="L264" s="28" t="s">
        <v>57</v>
      </c>
    </row>
    <row r="265" ht="15.75" customHeight="1">
      <c r="A265" s="28" t="s">
        <v>912</v>
      </c>
      <c r="B265" s="28" t="s">
        <v>640</v>
      </c>
      <c r="D265" s="28" t="s">
        <v>917</v>
      </c>
      <c r="E265" s="28" t="s">
        <v>918</v>
      </c>
      <c r="F265" s="28" t="s">
        <v>180</v>
      </c>
      <c r="G265" s="28" t="s">
        <v>919</v>
      </c>
      <c r="H265" s="28">
        <v>1.0</v>
      </c>
      <c r="I265" s="28">
        <v>0.02531645569620253</v>
      </c>
      <c r="J265" s="28">
        <v>0.0</v>
      </c>
      <c r="K265" s="28" t="s">
        <v>57</v>
      </c>
      <c r="L265" s="28" t="s">
        <v>57</v>
      </c>
    </row>
    <row r="266" ht="15.75" customHeight="1">
      <c r="A266" s="28" t="s">
        <v>920</v>
      </c>
      <c r="B266" s="28" t="s">
        <v>640</v>
      </c>
      <c r="D266" s="28" t="s">
        <v>921</v>
      </c>
      <c r="E266" s="28" t="s">
        <v>922</v>
      </c>
      <c r="F266" s="28" t="s">
        <v>180</v>
      </c>
      <c r="G266" s="28" t="s">
        <v>923</v>
      </c>
      <c r="H266" s="28">
        <v>1.0</v>
      </c>
      <c r="I266" s="28">
        <v>0.16666666666666666</v>
      </c>
      <c r="J266" s="28">
        <v>4.0</v>
      </c>
      <c r="K266" s="28" t="s">
        <v>57</v>
      </c>
      <c r="L266" s="28" t="s">
        <v>57</v>
      </c>
    </row>
    <row r="267" ht="15.75" customHeight="1">
      <c r="A267" s="28" t="s">
        <v>920</v>
      </c>
      <c r="B267" s="28" t="s">
        <v>640</v>
      </c>
      <c r="D267" s="28" t="s">
        <v>921</v>
      </c>
      <c r="E267" s="28" t="s">
        <v>924</v>
      </c>
      <c r="F267" s="28" t="s">
        <v>180</v>
      </c>
      <c r="G267" s="28" t="s">
        <v>925</v>
      </c>
      <c r="H267" s="28">
        <v>1.0</v>
      </c>
      <c r="I267" s="28">
        <v>0.16666666666666666</v>
      </c>
      <c r="J267" s="28">
        <v>3.0</v>
      </c>
      <c r="K267" s="28" t="s">
        <v>57</v>
      </c>
      <c r="L267" s="28" t="s">
        <v>57</v>
      </c>
    </row>
    <row r="268" ht="15.75" customHeight="1">
      <c r="A268" s="28" t="s">
        <v>920</v>
      </c>
      <c r="B268" s="28" t="s">
        <v>640</v>
      </c>
      <c r="D268" s="28" t="s">
        <v>926</v>
      </c>
      <c r="E268" s="28" t="s">
        <v>927</v>
      </c>
      <c r="F268" s="28" t="s">
        <v>928</v>
      </c>
      <c r="G268" s="28" t="s">
        <v>929</v>
      </c>
      <c r="H268" s="28">
        <v>1.0</v>
      </c>
      <c r="I268" s="28">
        <v>0.023668639053254437</v>
      </c>
      <c r="J268" s="28">
        <v>0.0</v>
      </c>
      <c r="K268" s="28" t="s">
        <v>57</v>
      </c>
      <c r="L268" s="28" t="s">
        <v>57</v>
      </c>
    </row>
    <row r="269" ht="15.75" customHeight="1">
      <c r="A269" s="28" t="s">
        <v>920</v>
      </c>
      <c r="B269" s="28" t="s">
        <v>640</v>
      </c>
      <c r="D269" s="28" t="s">
        <v>925</v>
      </c>
      <c r="E269" s="28" t="s">
        <v>930</v>
      </c>
      <c r="F269" s="28" t="s">
        <v>180</v>
      </c>
      <c r="G269" s="28" t="s">
        <v>923</v>
      </c>
      <c r="H269" s="28">
        <v>1.0</v>
      </c>
      <c r="I269" s="28">
        <v>0.02564102564102564</v>
      </c>
      <c r="J269" s="28">
        <v>0.0</v>
      </c>
      <c r="K269" s="28" t="s">
        <v>57</v>
      </c>
      <c r="L269" s="28" t="s">
        <v>57</v>
      </c>
    </row>
    <row r="270" ht="15.75" customHeight="1">
      <c r="A270" s="28" t="s">
        <v>931</v>
      </c>
      <c r="B270" s="28" t="s">
        <v>640</v>
      </c>
      <c r="D270" s="28" t="s">
        <v>932</v>
      </c>
      <c r="E270" s="28" t="s">
        <v>933</v>
      </c>
      <c r="F270" s="28" t="s">
        <v>934</v>
      </c>
      <c r="G270" s="28" t="s">
        <v>935</v>
      </c>
      <c r="H270" s="28">
        <v>1.0</v>
      </c>
      <c r="I270" s="28">
        <v>0.023255813953488372</v>
      </c>
      <c r="J270" s="28">
        <v>0.0</v>
      </c>
      <c r="K270" s="28" t="s">
        <v>57</v>
      </c>
      <c r="L270" s="28" t="s">
        <v>57</v>
      </c>
    </row>
    <row r="271" ht="15.75" customHeight="1">
      <c r="A271" s="28" t="s">
        <v>402</v>
      </c>
      <c r="B271" s="28" t="s">
        <v>936</v>
      </c>
      <c r="C271" s="28" t="s">
        <v>937</v>
      </c>
      <c r="D271" s="28" t="s">
        <v>938</v>
      </c>
      <c r="E271" s="28" t="s">
        <v>939</v>
      </c>
      <c r="F271" s="28" t="s">
        <v>940</v>
      </c>
      <c r="G271" s="28" t="s">
        <v>941</v>
      </c>
      <c r="H271" s="28">
        <v>1.0</v>
      </c>
      <c r="I271" s="28">
        <v>0.0872093023255814</v>
      </c>
      <c r="J271" s="28">
        <v>2.0</v>
      </c>
      <c r="K271" s="28" t="s">
        <v>57</v>
      </c>
      <c r="L271" s="28" t="s">
        <v>57</v>
      </c>
    </row>
    <row r="272" ht="15.75" customHeight="1">
      <c r="A272" s="28" t="s">
        <v>402</v>
      </c>
      <c r="B272" s="28" t="s">
        <v>936</v>
      </c>
      <c r="C272" s="28" t="s">
        <v>937</v>
      </c>
      <c r="D272" s="28" t="s">
        <v>938</v>
      </c>
      <c r="E272" s="28" t="s">
        <v>942</v>
      </c>
      <c r="F272" s="28" t="s">
        <v>940</v>
      </c>
      <c r="G272" s="28" t="s">
        <v>943</v>
      </c>
      <c r="H272" s="28">
        <v>1.0</v>
      </c>
      <c r="I272" s="28">
        <v>0.0903954802259887</v>
      </c>
      <c r="J272" s="28">
        <v>1.0</v>
      </c>
      <c r="K272" s="28" t="s">
        <v>57</v>
      </c>
      <c r="L272" s="28" t="s">
        <v>57</v>
      </c>
    </row>
    <row r="273" ht="15.75" customHeight="1">
      <c r="A273" s="28" t="s">
        <v>402</v>
      </c>
      <c r="B273" s="28" t="s">
        <v>936</v>
      </c>
      <c r="C273" s="28" t="s">
        <v>937</v>
      </c>
      <c r="D273" s="28" t="s">
        <v>938</v>
      </c>
      <c r="E273" s="28" t="s">
        <v>944</v>
      </c>
      <c r="F273" s="28" t="s">
        <v>940</v>
      </c>
      <c r="G273" s="28" t="s">
        <v>945</v>
      </c>
      <c r="H273" s="28">
        <v>1.0</v>
      </c>
      <c r="I273" s="28">
        <v>0.09302325581395349</v>
      </c>
      <c r="J273" s="28">
        <v>0.0</v>
      </c>
      <c r="K273" s="28" t="s">
        <v>57</v>
      </c>
      <c r="L273" s="28" t="s">
        <v>57</v>
      </c>
    </row>
    <row r="274" ht="15.75" customHeight="1">
      <c r="A274" s="28" t="s">
        <v>402</v>
      </c>
      <c r="B274" s="28" t="s">
        <v>936</v>
      </c>
      <c r="C274" s="28" t="s">
        <v>937</v>
      </c>
      <c r="D274" s="28" t="s">
        <v>945</v>
      </c>
      <c r="E274" s="28" t="s">
        <v>946</v>
      </c>
      <c r="F274" s="28" t="s">
        <v>940</v>
      </c>
      <c r="G274" s="28" t="s">
        <v>941</v>
      </c>
      <c r="H274" s="28">
        <v>1.0</v>
      </c>
      <c r="I274" s="28">
        <v>0.08139534883720931</v>
      </c>
      <c r="J274" s="28">
        <v>1.0</v>
      </c>
      <c r="K274" s="28" t="s">
        <v>57</v>
      </c>
      <c r="L274" s="28" t="s">
        <v>57</v>
      </c>
    </row>
    <row r="275" ht="15.75" customHeight="1">
      <c r="A275" s="28" t="s">
        <v>402</v>
      </c>
      <c r="B275" s="28" t="s">
        <v>936</v>
      </c>
      <c r="C275" s="28" t="s">
        <v>937</v>
      </c>
      <c r="D275" s="28" t="s">
        <v>945</v>
      </c>
      <c r="E275" s="28" t="s">
        <v>947</v>
      </c>
      <c r="F275" s="28" t="s">
        <v>940</v>
      </c>
      <c r="G275" s="28" t="s">
        <v>943</v>
      </c>
      <c r="H275" s="28">
        <v>1.0</v>
      </c>
      <c r="I275" s="28">
        <v>0.096045197740113</v>
      </c>
      <c r="J275" s="28">
        <v>0.0</v>
      </c>
      <c r="K275" s="28" t="s">
        <v>57</v>
      </c>
      <c r="L275" s="28" t="s">
        <v>57</v>
      </c>
    </row>
    <row r="276" ht="15.75" customHeight="1">
      <c r="A276" s="28" t="s">
        <v>402</v>
      </c>
      <c r="B276" s="28" t="s">
        <v>936</v>
      </c>
      <c r="C276" s="28" t="s">
        <v>937</v>
      </c>
      <c r="D276" s="28" t="s">
        <v>943</v>
      </c>
      <c r="E276" s="28" t="s">
        <v>948</v>
      </c>
      <c r="F276" s="28" t="s">
        <v>940</v>
      </c>
      <c r="G276" s="28" t="s">
        <v>941</v>
      </c>
      <c r="H276" s="28">
        <v>1.0</v>
      </c>
      <c r="I276" s="28">
        <v>0.1016949152542373</v>
      </c>
      <c r="J276" s="28">
        <v>0.0</v>
      </c>
      <c r="K276" s="28" t="s">
        <v>57</v>
      </c>
      <c r="L276" s="28" t="s">
        <v>57</v>
      </c>
    </row>
    <row r="277" ht="15.75" customHeight="1">
      <c r="A277" s="28" t="s">
        <v>402</v>
      </c>
      <c r="B277" s="28" t="s">
        <v>949</v>
      </c>
      <c r="C277" s="28" t="s">
        <v>936</v>
      </c>
      <c r="D277" s="28" t="s">
        <v>950</v>
      </c>
      <c r="E277" s="28" t="s">
        <v>951</v>
      </c>
      <c r="F277" s="28" t="s">
        <v>952</v>
      </c>
      <c r="G277" s="28" t="s">
        <v>953</v>
      </c>
      <c r="H277" s="28">
        <v>1.0</v>
      </c>
      <c r="I277" s="28">
        <v>0.03184713375796178</v>
      </c>
      <c r="J277" s="28">
        <v>2.0</v>
      </c>
      <c r="K277" s="28" t="s">
        <v>954</v>
      </c>
      <c r="L277" s="28" t="s">
        <v>57</v>
      </c>
    </row>
    <row r="278" ht="15.75" customHeight="1">
      <c r="A278" s="28" t="s">
        <v>402</v>
      </c>
      <c r="B278" s="28" t="s">
        <v>949</v>
      </c>
      <c r="C278" s="28" t="s">
        <v>936</v>
      </c>
      <c r="D278" s="28" t="s">
        <v>955</v>
      </c>
      <c r="E278" s="28" t="s">
        <v>956</v>
      </c>
      <c r="F278" s="28" t="s">
        <v>957</v>
      </c>
      <c r="G278" s="28" t="s">
        <v>958</v>
      </c>
      <c r="H278" s="28">
        <v>1.0</v>
      </c>
      <c r="I278" s="28">
        <v>0.03278688524590164</v>
      </c>
      <c r="J278" s="28">
        <v>2.0</v>
      </c>
      <c r="K278" s="28" t="s">
        <v>954</v>
      </c>
      <c r="L278" s="28" t="s">
        <v>57</v>
      </c>
    </row>
    <row r="279" ht="15.75" customHeight="1">
      <c r="A279" s="28" t="s">
        <v>402</v>
      </c>
      <c r="B279" s="28" t="s">
        <v>949</v>
      </c>
      <c r="C279" s="28" t="s">
        <v>936</v>
      </c>
      <c r="D279" s="28" t="s">
        <v>955</v>
      </c>
      <c r="E279" s="28" t="s">
        <v>959</v>
      </c>
      <c r="F279" s="28" t="s">
        <v>960</v>
      </c>
      <c r="G279" s="28" t="s">
        <v>961</v>
      </c>
      <c r="H279" s="28">
        <v>1.0</v>
      </c>
      <c r="I279" s="28">
        <v>0.27575757575757576</v>
      </c>
      <c r="J279" s="28">
        <v>3.0</v>
      </c>
      <c r="K279" s="28" t="s">
        <v>954</v>
      </c>
      <c r="L279" s="28" t="s">
        <v>962</v>
      </c>
    </row>
    <row r="280" ht="15.75" customHeight="1">
      <c r="A280" s="28" t="s">
        <v>402</v>
      </c>
      <c r="B280" s="28" t="s">
        <v>949</v>
      </c>
      <c r="C280" s="28" t="s">
        <v>936</v>
      </c>
      <c r="D280" s="28" t="s">
        <v>955</v>
      </c>
      <c r="E280" s="28" t="s">
        <v>963</v>
      </c>
      <c r="F280" s="28" t="s">
        <v>960</v>
      </c>
      <c r="G280" s="28" t="s">
        <v>964</v>
      </c>
      <c r="H280" s="28">
        <v>1.0</v>
      </c>
      <c r="I280" s="28">
        <v>0.2826747720364742</v>
      </c>
      <c r="J280" s="28">
        <v>0.0</v>
      </c>
      <c r="K280" s="28" t="s">
        <v>954</v>
      </c>
      <c r="L280" s="28" t="s">
        <v>962</v>
      </c>
    </row>
    <row r="281" ht="15.75" customHeight="1">
      <c r="A281" s="28" t="s">
        <v>402</v>
      </c>
      <c r="B281" s="28" t="s">
        <v>949</v>
      </c>
      <c r="C281" s="28" t="s">
        <v>936</v>
      </c>
      <c r="D281" s="28" t="s">
        <v>964</v>
      </c>
      <c r="E281" s="28" t="s">
        <v>965</v>
      </c>
      <c r="F281" s="28" t="s">
        <v>966</v>
      </c>
      <c r="G281" s="28" t="s">
        <v>961</v>
      </c>
      <c r="H281" s="28">
        <v>1.0</v>
      </c>
      <c r="I281" s="28">
        <v>0.02727272727272727</v>
      </c>
      <c r="J281" s="28">
        <v>2.0</v>
      </c>
      <c r="K281" s="28" t="s">
        <v>954</v>
      </c>
      <c r="L281" s="28" t="s">
        <v>57</v>
      </c>
    </row>
    <row r="282" ht="15.75" customHeight="1">
      <c r="A282" s="28" t="s">
        <v>402</v>
      </c>
      <c r="B282" s="28" t="s">
        <v>949</v>
      </c>
      <c r="C282" s="28" t="s">
        <v>936</v>
      </c>
      <c r="D282" s="28" t="s">
        <v>964</v>
      </c>
      <c r="E282" s="28" t="s">
        <v>967</v>
      </c>
      <c r="F282" s="28" t="s">
        <v>968</v>
      </c>
      <c r="G282" s="28" t="s">
        <v>958</v>
      </c>
      <c r="H282" s="28">
        <v>1.0</v>
      </c>
      <c r="I282" s="28">
        <v>0.2674772036474164</v>
      </c>
      <c r="J282" s="28">
        <v>1.0</v>
      </c>
      <c r="K282" s="28" t="s">
        <v>954</v>
      </c>
      <c r="L282" s="28" t="s">
        <v>962</v>
      </c>
    </row>
    <row r="283" ht="15.75" customHeight="1">
      <c r="A283" s="28" t="s">
        <v>402</v>
      </c>
      <c r="B283" s="28" t="s">
        <v>949</v>
      </c>
      <c r="C283" s="28" t="s">
        <v>936</v>
      </c>
      <c r="D283" s="28" t="s">
        <v>958</v>
      </c>
      <c r="E283" s="28" t="s">
        <v>969</v>
      </c>
      <c r="F283" s="28" t="s">
        <v>960</v>
      </c>
      <c r="G283" s="28" t="s">
        <v>961</v>
      </c>
      <c r="H283" s="28">
        <v>1.0</v>
      </c>
      <c r="I283" s="28">
        <v>0.2787878787878788</v>
      </c>
      <c r="J283" s="28">
        <v>0.0</v>
      </c>
      <c r="K283" s="28" t="s">
        <v>954</v>
      </c>
      <c r="L283" s="28" t="s">
        <v>962</v>
      </c>
    </row>
    <row r="284" ht="15.75" customHeight="1">
      <c r="A284" s="28" t="s">
        <v>402</v>
      </c>
      <c r="B284" s="28" t="s">
        <v>949</v>
      </c>
      <c r="C284" s="28" t="s">
        <v>936</v>
      </c>
      <c r="D284" s="28" t="s">
        <v>970</v>
      </c>
      <c r="E284" s="28" t="s">
        <v>971</v>
      </c>
      <c r="F284" s="28" t="s">
        <v>972</v>
      </c>
      <c r="G284" s="28" t="s">
        <v>973</v>
      </c>
      <c r="H284" s="28">
        <v>1.0</v>
      </c>
      <c r="I284" s="28">
        <v>0.3641456582633053</v>
      </c>
      <c r="J284" s="28">
        <v>0.0</v>
      </c>
      <c r="K284" s="28" t="s">
        <v>954</v>
      </c>
      <c r="L284" s="28" t="s">
        <v>962</v>
      </c>
    </row>
    <row r="285" ht="15.75" customHeight="1">
      <c r="A285" s="28" t="s">
        <v>402</v>
      </c>
      <c r="B285" s="28" t="s">
        <v>949</v>
      </c>
      <c r="C285" s="28" t="s">
        <v>936</v>
      </c>
      <c r="D285" s="28" t="s">
        <v>970</v>
      </c>
      <c r="E285" s="28" t="s">
        <v>974</v>
      </c>
      <c r="F285" s="28" t="s">
        <v>975</v>
      </c>
      <c r="G285" s="28" t="s">
        <v>976</v>
      </c>
      <c r="H285" s="28">
        <v>1.0</v>
      </c>
      <c r="I285" s="28">
        <v>0.4300254452926209</v>
      </c>
      <c r="J285" s="28">
        <v>1.0</v>
      </c>
      <c r="K285" s="28" t="s">
        <v>954</v>
      </c>
      <c r="L285" s="28" t="s">
        <v>962</v>
      </c>
    </row>
    <row r="286" ht="15.75" customHeight="1">
      <c r="A286" s="28" t="s">
        <v>402</v>
      </c>
      <c r="B286" s="28" t="s">
        <v>949</v>
      </c>
      <c r="C286" s="28" t="s">
        <v>936</v>
      </c>
      <c r="D286" s="28" t="s">
        <v>970</v>
      </c>
      <c r="E286" s="28" t="s">
        <v>977</v>
      </c>
      <c r="F286" s="28" t="s">
        <v>978</v>
      </c>
      <c r="G286" s="28" t="s">
        <v>979</v>
      </c>
      <c r="H286" s="28">
        <v>1.0</v>
      </c>
      <c r="I286" s="28">
        <v>0.5210970464135021</v>
      </c>
      <c r="J286" s="28">
        <v>2.0</v>
      </c>
      <c r="K286" s="28" t="s">
        <v>954</v>
      </c>
      <c r="L286" s="28" t="s">
        <v>962</v>
      </c>
    </row>
    <row r="287" ht="15.75" customHeight="1">
      <c r="A287" s="28" t="s">
        <v>402</v>
      </c>
      <c r="B287" s="28" t="s">
        <v>949</v>
      </c>
      <c r="C287" s="28" t="s">
        <v>936</v>
      </c>
      <c r="D287" s="28" t="s">
        <v>973</v>
      </c>
      <c r="E287" s="28" t="s">
        <v>980</v>
      </c>
      <c r="F287" s="28" t="s">
        <v>981</v>
      </c>
      <c r="G287" s="28" t="s">
        <v>976</v>
      </c>
      <c r="H287" s="28">
        <v>1.0</v>
      </c>
      <c r="I287" s="28">
        <v>0.2544529262086514</v>
      </c>
      <c r="J287" s="28">
        <v>0.0</v>
      </c>
      <c r="K287" s="28" t="s">
        <v>954</v>
      </c>
      <c r="L287" s="28" t="s">
        <v>57</v>
      </c>
    </row>
    <row r="288" ht="15.75" customHeight="1">
      <c r="A288" s="28" t="s">
        <v>402</v>
      </c>
      <c r="B288" s="28" t="s">
        <v>949</v>
      </c>
      <c r="C288" s="28" t="s">
        <v>936</v>
      </c>
      <c r="D288" s="28" t="s">
        <v>973</v>
      </c>
      <c r="E288" s="28" t="s">
        <v>982</v>
      </c>
      <c r="F288" s="28" t="s">
        <v>983</v>
      </c>
      <c r="G288" s="28" t="s">
        <v>979</v>
      </c>
      <c r="H288" s="28">
        <v>1.0</v>
      </c>
      <c r="I288" s="28">
        <v>0.3333333333333333</v>
      </c>
      <c r="J288" s="28">
        <v>1.0</v>
      </c>
      <c r="K288" s="28" t="s">
        <v>954</v>
      </c>
      <c r="L288" s="28" t="s">
        <v>57</v>
      </c>
    </row>
    <row r="289" ht="15.75" customHeight="1">
      <c r="A289" s="28" t="s">
        <v>402</v>
      </c>
      <c r="B289" s="28" t="s">
        <v>949</v>
      </c>
      <c r="C289" s="28" t="s">
        <v>936</v>
      </c>
      <c r="D289" s="28" t="s">
        <v>976</v>
      </c>
      <c r="E289" s="28" t="s">
        <v>984</v>
      </c>
      <c r="F289" s="28" t="s">
        <v>985</v>
      </c>
      <c r="G289" s="28" t="s">
        <v>979</v>
      </c>
      <c r="H289" s="28">
        <v>1.0</v>
      </c>
      <c r="I289" s="28">
        <v>0.18354430379746836</v>
      </c>
      <c r="J289" s="28">
        <v>0.0</v>
      </c>
      <c r="K289" s="28" t="s">
        <v>954</v>
      </c>
      <c r="L289" s="28" t="s">
        <v>57</v>
      </c>
    </row>
    <row r="290" ht="15.75" customHeight="1">
      <c r="A290" s="28" t="s">
        <v>131</v>
      </c>
      <c r="B290" s="28" t="s">
        <v>388</v>
      </c>
      <c r="C290" s="28" t="s">
        <v>380</v>
      </c>
      <c r="D290" s="28" t="s">
        <v>392</v>
      </c>
      <c r="E290" s="28" t="s">
        <v>986</v>
      </c>
      <c r="F290" s="28" t="s">
        <v>987</v>
      </c>
      <c r="G290" s="28" t="s">
        <v>398</v>
      </c>
      <c r="H290" s="28">
        <v>1.0</v>
      </c>
      <c r="I290" s="28">
        <v>0.48314606741573035</v>
      </c>
      <c r="J290" s="28">
        <v>0.0</v>
      </c>
      <c r="K290" s="28" t="s">
        <v>988</v>
      </c>
      <c r="L290" s="28" t="s">
        <v>696</v>
      </c>
    </row>
    <row r="291" ht="15.75" customHeight="1">
      <c r="A291" s="28" t="s">
        <v>131</v>
      </c>
      <c r="B291" s="28" t="s">
        <v>989</v>
      </c>
      <c r="C291" s="28" t="s">
        <v>990</v>
      </c>
      <c r="D291" s="28" t="s">
        <v>991</v>
      </c>
      <c r="E291" s="28" t="s">
        <v>992</v>
      </c>
      <c r="F291" s="28" t="s">
        <v>993</v>
      </c>
      <c r="G291" s="28" t="s">
        <v>994</v>
      </c>
      <c r="H291" s="28">
        <v>1.0</v>
      </c>
      <c r="I291" s="28">
        <v>0.1141732283464567</v>
      </c>
      <c r="J291" s="28">
        <v>0.0</v>
      </c>
      <c r="K291" s="28" t="s">
        <v>995</v>
      </c>
      <c r="L291" s="28" t="s">
        <v>57</v>
      </c>
    </row>
    <row r="292" ht="15.75" customHeight="1">
      <c r="A292" s="28" t="s">
        <v>45</v>
      </c>
      <c r="B292" s="28" t="s">
        <v>989</v>
      </c>
      <c r="C292" s="28" t="s">
        <v>996</v>
      </c>
      <c r="D292" s="28" t="s">
        <v>991</v>
      </c>
      <c r="E292" s="28" t="s">
        <v>997</v>
      </c>
      <c r="F292" s="28" t="s">
        <v>998</v>
      </c>
      <c r="G292" s="28" t="s">
        <v>994</v>
      </c>
      <c r="H292" s="28">
        <v>1.0</v>
      </c>
      <c r="I292" s="28">
        <v>0.004629629629629629</v>
      </c>
      <c r="J292" s="28">
        <v>0.0</v>
      </c>
      <c r="K292" s="28" t="s">
        <v>999</v>
      </c>
      <c r="L292" s="28" t="s">
        <v>57</v>
      </c>
    </row>
    <row r="293" ht="15.75" customHeight="1">
      <c r="A293" s="28" t="s">
        <v>531</v>
      </c>
      <c r="B293" s="28" t="s">
        <v>1000</v>
      </c>
      <c r="D293" s="28" t="s">
        <v>533</v>
      </c>
      <c r="E293" s="28" t="s">
        <v>1001</v>
      </c>
      <c r="F293" s="28" t="s">
        <v>614</v>
      </c>
      <c r="G293" s="28" t="s">
        <v>536</v>
      </c>
      <c r="H293" s="28">
        <v>1.0</v>
      </c>
      <c r="I293" s="28">
        <v>0.08152173913043478</v>
      </c>
      <c r="J293" s="28">
        <v>0.0</v>
      </c>
      <c r="K293" s="28" t="s">
        <v>57</v>
      </c>
      <c r="L293" s="28" t="s">
        <v>57</v>
      </c>
    </row>
    <row r="294" ht="15.75" customHeight="1">
      <c r="A294" s="28" t="s">
        <v>1002</v>
      </c>
      <c r="B294" s="28" t="s">
        <v>1000</v>
      </c>
      <c r="D294" s="28" t="s">
        <v>617</v>
      </c>
      <c r="E294" s="28" t="s">
        <v>1003</v>
      </c>
      <c r="F294" s="28" t="s">
        <v>1004</v>
      </c>
      <c r="G294" s="28" t="s">
        <v>620</v>
      </c>
      <c r="H294" s="28">
        <v>0.8888888888888888</v>
      </c>
      <c r="I294" s="28">
        <v>0.5152027027027027</v>
      </c>
      <c r="J294" s="28">
        <v>0.0</v>
      </c>
      <c r="K294" s="28" t="s">
        <v>57</v>
      </c>
      <c r="L294" s="28" t="s">
        <v>1005</v>
      </c>
    </row>
    <row r="295" ht="15.75" customHeight="1">
      <c r="A295" s="28" t="s">
        <v>1002</v>
      </c>
      <c r="B295" s="28" t="s">
        <v>1000</v>
      </c>
      <c r="D295" s="28" t="s">
        <v>1006</v>
      </c>
      <c r="E295" s="28" t="s">
        <v>1007</v>
      </c>
      <c r="F295" s="28" t="s">
        <v>1008</v>
      </c>
      <c r="G295" s="28" t="s">
        <v>1009</v>
      </c>
      <c r="H295" s="28">
        <v>1.0</v>
      </c>
      <c r="I295" s="28">
        <v>0.5652173913043478</v>
      </c>
      <c r="J295" s="28">
        <v>0.0</v>
      </c>
      <c r="K295" s="28" t="s">
        <v>57</v>
      </c>
      <c r="L295" s="28" t="s">
        <v>1010</v>
      </c>
    </row>
    <row r="296" ht="15.75" customHeight="1">
      <c r="A296" s="28" t="s">
        <v>639</v>
      </c>
      <c r="B296" s="28" t="s">
        <v>1000</v>
      </c>
      <c r="D296" s="28" t="s">
        <v>641</v>
      </c>
      <c r="E296" s="28" t="s">
        <v>642</v>
      </c>
      <c r="F296" s="28" t="s">
        <v>180</v>
      </c>
      <c r="G296" s="28" t="s">
        <v>643</v>
      </c>
      <c r="H296" s="28">
        <v>1.0</v>
      </c>
      <c r="I296" s="28">
        <v>0.16666666666666666</v>
      </c>
      <c r="J296" s="28">
        <v>4.0</v>
      </c>
      <c r="K296" s="28" t="s">
        <v>57</v>
      </c>
      <c r="L296" s="28" t="s">
        <v>57</v>
      </c>
    </row>
    <row r="297" ht="15.75" customHeight="1">
      <c r="A297" s="28" t="s">
        <v>639</v>
      </c>
      <c r="B297" s="28" t="s">
        <v>1000</v>
      </c>
      <c r="D297" s="28" t="s">
        <v>641</v>
      </c>
      <c r="E297" s="28" t="s">
        <v>644</v>
      </c>
      <c r="F297" s="28" t="s">
        <v>180</v>
      </c>
      <c r="G297" s="28" t="s">
        <v>645</v>
      </c>
      <c r="H297" s="28">
        <v>1.0</v>
      </c>
      <c r="I297" s="28">
        <v>0.16666666666666666</v>
      </c>
      <c r="J297" s="28">
        <v>3.0</v>
      </c>
      <c r="K297" s="28" t="s">
        <v>57</v>
      </c>
      <c r="L297" s="28" t="s">
        <v>57</v>
      </c>
    </row>
    <row r="298" ht="15.75" customHeight="1">
      <c r="A298" s="28" t="s">
        <v>639</v>
      </c>
      <c r="B298" s="28" t="s">
        <v>1000</v>
      </c>
      <c r="D298" s="28" t="s">
        <v>641</v>
      </c>
      <c r="E298" s="28" t="s">
        <v>1011</v>
      </c>
      <c r="F298" s="28" t="s">
        <v>1012</v>
      </c>
      <c r="G298" s="28" t="s">
        <v>646</v>
      </c>
      <c r="H298" s="28">
        <v>0.75</v>
      </c>
      <c r="I298" s="28">
        <v>0.1949685534591195</v>
      </c>
      <c r="J298" s="28">
        <v>0.0</v>
      </c>
      <c r="K298" s="28" t="s">
        <v>57</v>
      </c>
      <c r="L298" s="28" t="s">
        <v>1013</v>
      </c>
    </row>
    <row r="299" ht="15.75" customHeight="1">
      <c r="A299" s="28" t="s">
        <v>639</v>
      </c>
      <c r="B299" s="28" t="s">
        <v>1000</v>
      </c>
      <c r="D299" s="28" t="s">
        <v>641</v>
      </c>
      <c r="E299" s="28" t="s">
        <v>1014</v>
      </c>
      <c r="F299" s="28" t="s">
        <v>1012</v>
      </c>
      <c r="G299" s="28" t="s">
        <v>649</v>
      </c>
      <c r="H299" s="28">
        <v>0.75</v>
      </c>
      <c r="I299" s="28">
        <v>0.1949685534591195</v>
      </c>
      <c r="J299" s="28">
        <v>1.0</v>
      </c>
      <c r="K299" s="28" t="s">
        <v>57</v>
      </c>
      <c r="L299" s="28" t="s">
        <v>1013</v>
      </c>
    </row>
    <row r="300" ht="15.75" customHeight="1">
      <c r="A300" s="28" t="s">
        <v>639</v>
      </c>
      <c r="B300" s="28" t="s">
        <v>1000</v>
      </c>
      <c r="D300" s="28" t="s">
        <v>646</v>
      </c>
      <c r="E300" s="28" t="s">
        <v>1015</v>
      </c>
      <c r="F300" s="28" t="s">
        <v>1016</v>
      </c>
      <c r="G300" s="28" t="s">
        <v>649</v>
      </c>
      <c r="H300" s="28">
        <v>1.0</v>
      </c>
      <c r="I300" s="28">
        <v>0.025157232704402517</v>
      </c>
      <c r="J300" s="28">
        <v>0.0</v>
      </c>
      <c r="K300" s="28" t="s">
        <v>57</v>
      </c>
      <c r="L300" s="28" t="s">
        <v>57</v>
      </c>
    </row>
    <row r="301" ht="15.75" customHeight="1">
      <c r="A301" s="28" t="s">
        <v>639</v>
      </c>
      <c r="B301" s="28" t="s">
        <v>1000</v>
      </c>
      <c r="D301" s="28" t="s">
        <v>646</v>
      </c>
      <c r="E301" s="28" t="s">
        <v>1017</v>
      </c>
      <c r="F301" s="28" t="s">
        <v>1018</v>
      </c>
      <c r="G301" s="28" t="s">
        <v>645</v>
      </c>
      <c r="H301" s="28">
        <v>0.75</v>
      </c>
      <c r="I301" s="28">
        <v>0.16352201257861634</v>
      </c>
      <c r="J301" s="28">
        <v>2.0</v>
      </c>
      <c r="K301" s="28" t="s">
        <v>57</v>
      </c>
      <c r="L301" s="28" t="s">
        <v>1013</v>
      </c>
    </row>
    <row r="302" ht="15.75" customHeight="1">
      <c r="A302" s="28" t="s">
        <v>639</v>
      </c>
      <c r="B302" s="28" t="s">
        <v>1000</v>
      </c>
      <c r="D302" s="28" t="s">
        <v>646</v>
      </c>
      <c r="E302" s="28" t="s">
        <v>1019</v>
      </c>
      <c r="F302" s="28" t="s">
        <v>1018</v>
      </c>
      <c r="G302" s="28" t="s">
        <v>643</v>
      </c>
      <c r="H302" s="28">
        <v>0.75</v>
      </c>
      <c r="I302" s="28">
        <v>0.18867924528301888</v>
      </c>
      <c r="J302" s="28">
        <v>3.0</v>
      </c>
      <c r="K302" s="28" t="s">
        <v>57</v>
      </c>
      <c r="L302" s="28" t="s">
        <v>1013</v>
      </c>
    </row>
    <row r="303" ht="15.75" customHeight="1">
      <c r="A303" s="28" t="s">
        <v>639</v>
      </c>
      <c r="B303" s="28" t="s">
        <v>1000</v>
      </c>
      <c r="D303" s="28" t="s">
        <v>649</v>
      </c>
      <c r="E303" s="28" t="s">
        <v>1020</v>
      </c>
      <c r="F303" s="28" t="s">
        <v>1018</v>
      </c>
      <c r="G303" s="28" t="s">
        <v>643</v>
      </c>
      <c r="H303" s="28">
        <v>0.75</v>
      </c>
      <c r="I303" s="28">
        <v>0.16352201257861634</v>
      </c>
      <c r="J303" s="28">
        <v>2.0</v>
      </c>
      <c r="K303" s="28" t="s">
        <v>57</v>
      </c>
      <c r="L303" s="28" t="s">
        <v>1013</v>
      </c>
    </row>
    <row r="304" ht="15.75" customHeight="1">
      <c r="A304" s="28" t="s">
        <v>639</v>
      </c>
      <c r="B304" s="28" t="s">
        <v>1000</v>
      </c>
      <c r="D304" s="28" t="s">
        <v>649</v>
      </c>
      <c r="E304" s="28" t="s">
        <v>1021</v>
      </c>
      <c r="F304" s="28" t="s">
        <v>1018</v>
      </c>
      <c r="G304" s="28" t="s">
        <v>645</v>
      </c>
      <c r="H304" s="28">
        <v>0.75</v>
      </c>
      <c r="I304" s="28">
        <v>0.18867924528301888</v>
      </c>
      <c r="J304" s="28">
        <v>1.0</v>
      </c>
      <c r="K304" s="28" t="s">
        <v>57</v>
      </c>
      <c r="L304" s="28" t="s">
        <v>1013</v>
      </c>
    </row>
    <row r="305" ht="15.75" customHeight="1">
      <c r="A305" s="28" t="s">
        <v>639</v>
      </c>
      <c r="B305" s="28" t="s">
        <v>1000</v>
      </c>
      <c r="D305" s="28" t="s">
        <v>645</v>
      </c>
      <c r="E305" s="28" t="s">
        <v>650</v>
      </c>
      <c r="F305" s="28" t="s">
        <v>180</v>
      </c>
      <c r="G305" s="28" t="s">
        <v>643</v>
      </c>
      <c r="H305" s="28">
        <v>1.0</v>
      </c>
      <c r="I305" s="28">
        <v>0.02564102564102564</v>
      </c>
      <c r="J305" s="28">
        <v>0.0</v>
      </c>
      <c r="K305" s="28" t="s">
        <v>57</v>
      </c>
      <c r="L305" s="28" t="s">
        <v>57</v>
      </c>
    </row>
    <row r="306" ht="15.75" customHeight="1">
      <c r="A306" s="28" t="s">
        <v>1022</v>
      </c>
      <c r="B306" s="28" t="s">
        <v>1000</v>
      </c>
      <c r="D306" s="28" t="s">
        <v>1023</v>
      </c>
      <c r="E306" s="28" t="s">
        <v>1024</v>
      </c>
      <c r="F306" s="28" t="s">
        <v>180</v>
      </c>
      <c r="G306" s="28" t="s">
        <v>1025</v>
      </c>
      <c r="H306" s="28">
        <v>1.0</v>
      </c>
      <c r="I306" s="28">
        <v>0.021897810218978103</v>
      </c>
      <c r="J306" s="28">
        <v>0.0</v>
      </c>
      <c r="K306" s="28" t="s">
        <v>57</v>
      </c>
      <c r="L306" s="28" t="s">
        <v>57</v>
      </c>
    </row>
    <row r="307" ht="15.75" customHeight="1">
      <c r="A307" s="28" t="s">
        <v>663</v>
      </c>
      <c r="B307" s="28" t="s">
        <v>1000</v>
      </c>
      <c r="D307" s="28" t="s">
        <v>664</v>
      </c>
      <c r="E307" s="28" t="s">
        <v>665</v>
      </c>
      <c r="F307" s="28" t="s">
        <v>180</v>
      </c>
      <c r="G307" s="28" t="s">
        <v>666</v>
      </c>
      <c r="H307" s="28">
        <v>1.0</v>
      </c>
      <c r="I307" s="28">
        <v>0.18354430379746836</v>
      </c>
      <c r="J307" s="28">
        <v>3.0</v>
      </c>
      <c r="K307" s="28" t="s">
        <v>57</v>
      </c>
      <c r="L307" s="28" t="s">
        <v>57</v>
      </c>
    </row>
    <row r="308" ht="15.75" customHeight="1">
      <c r="A308" s="28" t="s">
        <v>663</v>
      </c>
      <c r="B308" s="28" t="s">
        <v>1000</v>
      </c>
      <c r="D308" s="28" t="s">
        <v>664</v>
      </c>
      <c r="E308" s="28" t="s">
        <v>667</v>
      </c>
      <c r="F308" s="28" t="s">
        <v>180</v>
      </c>
      <c r="G308" s="28" t="s">
        <v>668</v>
      </c>
      <c r="H308" s="28">
        <v>1.0</v>
      </c>
      <c r="I308" s="28">
        <v>0.18354430379746836</v>
      </c>
      <c r="J308" s="28">
        <v>4.0</v>
      </c>
      <c r="K308" s="28" t="s">
        <v>57</v>
      </c>
      <c r="L308" s="28" t="s">
        <v>57</v>
      </c>
    </row>
    <row r="309" ht="15.75" customHeight="1">
      <c r="A309" s="28" t="s">
        <v>663</v>
      </c>
      <c r="B309" s="28" t="s">
        <v>1000</v>
      </c>
      <c r="D309" s="28" t="s">
        <v>669</v>
      </c>
      <c r="E309" s="28" t="s">
        <v>1026</v>
      </c>
      <c r="F309" s="28" t="s">
        <v>1027</v>
      </c>
      <c r="G309" s="28" t="s">
        <v>672</v>
      </c>
      <c r="H309" s="28">
        <v>1.0</v>
      </c>
      <c r="I309" s="28">
        <v>0.047619047619047616</v>
      </c>
      <c r="J309" s="28">
        <v>0.0</v>
      </c>
      <c r="K309" s="28" t="s">
        <v>57</v>
      </c>
      <c r="L309" s="28" t="s">
        <v>57</v>
      </c>
    </row>
    <row r="310" ht="15.75" customHeight="1">
      <c r="A310" s="28" t="s">
        <v>663</v>
      </c>
      <c r="B310" s="28" t="s">
        <v>1000</v>
      </c>
      <c r="D310" s="28" t="s">
        <v>669</v>
      </c>
      <c r="E310" s="28" t="s">
        <v>1028</v>
      </c>
      <c r="F310" s="28" t="s">
        <v>1029</v>
      </c>
      <c r="G310" s="28" t="s">
        <v>666</v>
      </c>
      <c r="H310" s="28">
        <v>0.75</v>
      </c>
      <c r="I310" s="28">
        <v>0.17682926829268292</v>
      </c>
      <c r="J310" s="28">
        <v>2.0</v>
      </c>
      <c r="K310" s="28" t="s">
        <v>57</v>
      </c>
      <c r="L310" s="28" t="s">
        <v>1030</v>
      </c>
    </row>
    <row r="311" ht="15.75" customHeight="1">
      <c r="A311" s="28" t="s">
        <v>663</v>
      </c>
      <c r="B311" s="28" t="s">
        <v>1000</v>
      </c>
      <c r="D311" s="28" t="s">
        <v>669</v>
      </c>
      <c r="E311" s="28" t="s">
        <v>1031</v>
      </c>
      <c r="F311" s="28" t="s">
        <v>1029</v>
      </c>
      <c r="G311" s="28" t="s">
        <v>668</v>
      </c>
      <c r="H311" s="28">
        <v>0.75</v>
      </c>
      <c r="I311" s="28">
        <v>0.20121951219512196</v>
      </c>
      <c r="J311" s="28">
        <v>3.0</v>
      </c>
      <c r="K311" s="28" t="s">
        <v>57</v>
      </c>
      <c r="L311" s="28" t="s">
        <v>1030</v>
      </c>
    </row>
    <row r="312" ht="15.75" customHeight="1">
      <c r="A312" s="28" t="s">
        <v>663</v>
      </c>
      <c r="B312" s="28" t="s">
        <v>1000</v>
      </c>
      <c r="D312" s="28" t="s">
        <v>672</v>
      </c>
      <c r="E312" s="28" t="s">
        <v>1032</v>
      </c>
      <c r="F312" s="28" t="s">
        <v>1029</v>
      </c>
      <c r="G312" s="28" t="s">
        <v>668</v>
      </c>
      <c r="H312" s="28">
        <v>0.75</v>
      </c>
      <c r="I312" s="28">
        <v>0.16666666666666666</v>
      </c>
      <c r="J312" s="28">
        <v>2.0</v>
      </c>
      <c r="K312" s="28" t="s">
        <v>57</v>
      </c>
      <c r="L312" s="28" t="s">
        <v>1030</v>
      </c>
    </row>
    <row r="313" ht="15.75" customHeight="1">
      <c r="A313" s="28" t="s">
        <v>663</v>
      </c>
      <c r="B313" s="28" t="s">
        <v>1000</v>
      </c>
      <c r="D313" s="28" t="s">
        <v>672</v>
      </c>
      <c r="E313" s="28" t="s">
        <v>1033</v>
      </c>
      <c r="F313" s="28" t="s">
        <v>1029</v>
      </c>
      <c r="G313" s="28" t="s">
        <v>666</v>
      </c>
      <c r="H313" s="28">
        <v>0.75</v>
      </c>
      <c r="I313" s="28">
        <v>0.19047619047619047</v>
      </c>
      <c r="J313" s="28">
        <v>1.0</v>
      </c>
      <c r="K313" s="28" t="s">
        <v>57</v>
      </c>
      <c r="L313" s="28" t="s">
        <v>1030</v>
      </c>
    </row>
    <row r="314" ht="15.75" customHeight="1">
      <c r="A314" s="28" t="s">
        <v>663</v>
      </c>
      <c r="B314" s="28" t="s">
        <v>1000</v>
      </c>
      <c r="D314" s="28" t="s">
        <v>666</v>
      </c>
      <c r="E314" s="28" t="s">
        <v>673</v>
      </c>
      <c r="F314" s="28" t="s">
        <v>180</v>
      </c>
      <c r="G314" s="28" t="s">
        <v>668</v>
      </c>
      <c r="H314" s="28">
        <v>1.0</v>
      </c>
      <c r="I314" s="28">
        <v>0.02531645569620253</v>
      </c>
      <c r="J314" s="28">
        <v>0.0</v>
      </c>
      <c r="K314" s="28" t="s">
        <v>57</v>
      </c>
      <c r="L314" s="28" t="s">
        <v>57</v>
      </c>
    </row>
    <row r="315" ht="15.75" customHeight="1">
      <c r="A315" s="28" t="s">
        <v>506</v>
      </c>
      <c r="B315" s="28" t="s">
        <v>1000</v>
      </c>
      <c r="D315" s="28" t="s">
        <v>1034</v>
      </c>
      <c r="E315" s="28" t="s">
        <v>1035</v>
      </c>
      <c r="F315" s="28" t="s">
        <v>1036</v>
      </c>
      <c r="G315" s="28" t="s">
        <v>1037</v>
      </c>
      <c r="H315" s="28">
        <v>0.8888888888888888</v>
      </c>
      <c r="I315" s="28">
        <v>0.2571428571428571</v>
      </c>
      <c r="J315" s="28">
        <v>0.0</v>
      </c>
      <c r="K315" s="28" t="s">
        <v>57</v>
      </c>
      <c r="L315" s="28" t="s">
        <v>1038</v>
      </c>
    </row>
    <row r="316" ht="15.75" customHeight="1">
      <c r="A316" s="28" t="s">
        <v>912</v>
      </c>
      <c r="B316" s="28" t="s">
        <v>1000</v>
      </c>
      <c r="D316" s="28" t="s">
        <v>913</v>
      </c>
      <c r="E316" s="28" t="s">
        <v>1039</v>
      </c>
      <c r="F316" s="28" t="s">
        <v>1040</v>
      </c>
      <c r="G316" s="28" t="s">
        <v>916</v>
      </c>
      <c r="H316" s="28">
        <v>1.0</v>
      </c>
      <c r="I316" s="28">
        <v>0.024691358024691357</v>
      </c>
      <c r="J316" s="28">
        <v>0.0</v>
      </c>
      <c r="K316" s="28" t="s">
        <v>57</v>
      </c>
      <c r="L316" s="28" t="s">
        <v>57</v>
      </c>
    </row>
    <row r="317" ht="15.75" customHeight="1">
      <c r="A317" s="28" t="s">
        <v>912</v>
      </c>
      <c r="B317" s="28" t="s">
        <v>1000</v>
      </c>
      <c r="D317" s="28" t="s">
        <v>913</v>
      </c>
      <c r="E317" s="28" t="s">
        <v>1041</v>
      </c>
      <c r="F317" s="28" t="s">
        <v>1042</v>
      </c>
      <c r="G317" s="28" t="s">
        <v>917</v>
      </c>
      <c r="H317" s="28">
        <v>0.75</v>
      </c>
      <c r="I317" s="28">
        <v>0.16666666666666666</v>
      </c>
      <c r="J317" s="28">
        <v>1.0</v>
      </c>
      <c r="K317" s="28" t="s">
        <v>57</v>
      </c>
      <c r="L317" s="28" t="s">
        <v>1043</v>
      </c>
    </row>
    <row r="318" ht="15.75" customHeight="1">
      <c r="A318" s="28" t="s">
        <v>912</v>
      </c>
      <c r="B318" s="28" t="s">
        <v>1000</v>
      </c>
      <c r="D318" s="28" t="s">
        <v>913</v>
      </c>
      <c r="E318" s="28" t="s">
        <v>1044</v>
      </c>
      <c r="F318" s="28" t="s">
        <v>1042</v>
      </c>
      <c r="G318" s="28" t="s">
        <v>919</v>
      </c>
      <c r="H318" s="28">
        <v>0.75</v>
      </c>
      <c r="I318" s="28">
        <v>0.19135802469135801</v>
      </c>
      <c r="J318" s="28">
        <v>2.0</v>
      </c>
      <c r="K318" s="28" t="s">
        <v>57</v>
      </c>
      <c r="L318" s="28" t="s">
        <v>1043</v>
      </c>
    </row>
    <row r="319" ht="15.75" customHeight="1">
      <c r="A319" s="28" t="s">
        <v>912</v>
      </c>
      <c r="B319" s="28" t="s">
        <v>1000</v>
      </c>
      <c r="D319" s="28" t="s">
        <v>916</v>
      </c>
      <c r="E319" s="28" t="s">
        <v>1045</v>
      </c>
      <c r="F319" s="28" t="s">
        <v>1042</v>
      </c>
      <c r="G319" s="28" t="s">
        <v>919</v>
      </c>
      <c r="H319" s="28">
        <v>0.75</v>
      </c>
      <c r="I319" s="28">
        <v>0.16666666666666666</v>
      </c>
      <c r="J319" s="28">
        <v>1.0</v>
      </c>
      <c r="K319" s="28" t="s">
        <v>57</v>
      </c>
      <c r="L319" s="28" t="s">
        <v>1043</v>
      </c>
    </row>
    <row r="320" ht="15.75" customHeight="1">
      <c r="A320" s="28" t="s">
        <v>912</v>
      </c>
      <c r="B320" s="28" t="s">
        <v>1000</v>
      </c>
      <c r="D320" s="28" t="s">
        <v>916</v>
      </c>
      <c r="E320" s="28" t="s">
        <v>1046</v>
      </c>
      <c r="F320" s="28" t="s">
        <v>1042</v>
      </c>
      <c r="G320" s="28" t="s">
        <v>917</v>
      </c>
      <c r="H320" s="28">
        <v>0.75</v>
      </c>
      <c r="I320" s="28">
        <v>0.19135802469135801</v>
      </c>
      <c r="J320" s="28">
        <v>0.0</v>
      </c>
      <c r="K320" s="28" t="s">
        <v>57</v>
      </c>
      <c r="L320" s="28" t="s">
        <v>1043</v>
      </c>
    </row>
    <row r="321" ht="15.75" customHeight="1">
      <c r="A321" s="28" t="s">
        <v>912</v>
      </c>
      <c r="B321" s="28" t="s">
        <v>1000</v>
      </c>
      <c r="D321" s="28" t="s">
        <v>917</v>
      </c>
      <c r="E321" s="28" t="s">
        <v>918</v>
      </c>
      <c r="F321" s="28" t="s">
        <v>180</v>
      </c>
      <c r="G321" s="28" t="s">
        <v>919</v>
      </c>
      <c r="H321" s="28">
        <v>1.0</v>
      </c>
      <c r="I321" s="28">
        <v>0.02531645569620253</v>
      </c>
      <c r="J321" s="28">
        <v>0.0</v>
      </c>
      <c r="K321" s="28" t="s">
        <v>57</v>
      </c>
      <c r="L321" s="28" t="s">
        <v>57</v>
      </c>
    </row>
    <row r="322" ht="15.75" customHeight="1">
      <c r="A322" s="28" t="s">
        <v>1047</v>
      </c>
      <c r="B322" s="28" t="s">
        <v>1000</v>
      </c>
      <c r="D322" s="28" t="s">
        <v>1048</v>
      </c>
      <c r="E322" s="28" t="s">
        <v>1049</v>
      </c>
      <c r="F322" s="28" t="s">
        <v>1050</v>
      </c>
      <c r="G322" s="28" t="s">
        <v>1051</v>
      </c>
      <c r="H322" s="28">
        <v>1.0</v>
      </c>
      <c r="I322" s="28">
        <v>0.05898876404494382</v>
      </c>
      <c r="J322" s="28">
        <v>0.0</v>
      </c>
      <c r="K322" s="28" t="s">
        <v>57</v>
      </c>
      <c r="L322" s="28" t="s">
        <v>57</v>
      </c>
    </row>
    <row r="323" ht="15.75" customHeight="1">
      <c r="A323" s="28" t="s">
        <v>1047</v>
      </c>
      <c r="B323" s="28" t="s">
        <v>1000</v>
      </c>
      <c r="D323" s="28" t="s">
        <v>1048</v>
      </c>
      <c r="E323" s="28" t="s">
        <v>1052</v>
      </c>
      <c r="F323" s="28" t="s">
        <v>1053</v>
      </c>
      <c r="G323" s="28" t="s">
        <v>1054</v>
      </c>
      <c r="H323" s="28">
        <v>1.0</v>
      </c>
      <c r="I323" s="28">
        <v>0.13471502590673576</v>
      </c>
      <c r="J323" s="28">
        <v>1.0</v>
      </c>
      <c r="K323" s="28" t="s">
        <v>57</v>
      </c>
      <c r="L323" s="28" t="s">
        <v>57</v>
      </c>
    </row>
    <row r="324" ht="15.75" customHeight="1">
      <c r="A324" s="28" t="s">
        <v>1047</v>
      </c>
      <c r="B324" s="28" t="s">
        <v>1000</v>
      </c>
      <c r="D324" s="28" t="s">
        <v>1048</v>
      </c>
      <c r="E324" s="28" t="s">
        <v>1055</v>
      </c>
      <c r="F324" s="28" t="s">
        <v>1056</v>
      </c>
      <c r="G324" s="28" t="s">
        <v>1057</v>
      </c>
      <c r="H324" s="28">
        <v>1.0</v>
      </c>
      <c r="I324" s="28">
        <v>0.21739130434782608</v>
      </c>
      <c r="J324" s="28">
        <v>2.0</v>
      </c>
      <c r="K324" s="28" t="s">
        <v>57</v>
      </c>
      <c r="L324" s="28" t="s">
        <v>57</v>
      </c>
    </row>
    <row r="325" ht="15.75" customHeight="1">
      <c r="A325" s="28" t="s">
        <v>1047</v>
      </c>
      <c r="B325" s="28" t="s">
        <v>1000</v>
      </c>
      <c r="D325" s="28" t="s">
        <v>1048</v>
      </c>
      <c r="E325" s="28" t="s">
        <v>1058</v>
      </c>
      <c r="F325" s="28" t="s">
        <v>1059</v>
      </c>
      <c r="G325" s="28" t="s">
        <v>1060</v>
      </c>
      <c r="H325" s="28">
        <v>1.0</v>
      </c>
      <c r="I325" s="28">
        <v>0.24186046511627907</v>
      </c>
      <c r="J325" s="28">
        <v>3.0</v>
      </c>
      <c r="K325" s="28" t="s">
        <v>57</v>
      </c>
      <c r="L325" s="28" t="s">
        <v>57</v>
      </c>
    </row>
    <row r="326" ht="15.75" customHeight="1">
      <c r="A326" s="28" t="s">
        <v>1047</v>
      </c>
      <c r="B326" s="28" t="s">
        <v>1000</v>
      </c>
      <c r="D326" s="28" t="s">
        <v>1048</v>
      </c>
      <c r="E326" s="28" t="s">
        <v>1061</v>
      </c>
      <c r="F326" s="28" t="s">
        <v>1062</v>
      </c>
      <c r="G326" s="28" t="s">
        <v>1063</v>
      </c>
      <c r="H326" s="28">
        <v>1.0</v>
      </c>
      <c r="I326" s="28">
        <v>0.5183098591549296</v>
      </c>
      <c r="J326" s="28">
        <v>5.0</v>
      </c>
      <c r="K326" s="28" t="s">
        <v>57</v>
      </c>
      <c r="L326" s="28" t="s">
        <v>57</v>
      </c>
    </row>
    <row r="327" ht="15.75" customHeight="1">
      <c r="A327" s="28" t="s">
        <v>1047</v>
      </c>
      <c r="B327" s="28" t="s">
        <v>1000</v>
      </c>
      <c r="D327" s="28" t="s">
        <v>1048</v>
      </c>
      <c r="E327" s="28" t="s">
        <v>1064</v>
      </c>
      <c r="F327" s="28" t="s">
        <v>1065</v>
      </c>
      <c r="G327" s="28" t="s">
        <v>1066</v>
      </c>
      <c r="H327" s="28">
        <v>1.0</v>
      </c>
      <c r="I327" s="28">
        <v>0.5396174863387978</v>
      </c>
      <c r="J327" s="28">
        <v>4.0</v>
      </c>
      <c r="K327" s="28" t="s">
        <v>57</v>
      </c>
      <c r="L327" s="28" t="s">
        <v>57</v>
      </c>
    </row>
    <row r="328" ht="15.75" customHeight="1">
      <c r="A328" s="28" t="s">
        <v>1047</v>
      </c>
      <c r="B328" s="28" t="s">
        <v>1000</v>
      </c>
      <c r="D328" s="28" t="s">
        <v>1048</v>
      </c>
      <c r="E328" s="28" t="s">
        <v>1067</v>
      </c>
      <c r="F328" s="28" t="s">
        <v>1068</v>
      </c>
      <c r="G328" s="28" t="s">
        <v>1069</v>
      </c>
      <c r="H328" s="28">
        <v>1.0</v>
      </c>
      <c r="I328" s="28">
        <v>0.642706131078224</v>
      </c>
      <c r="J328" s="28">
        <v>6.0</v>
      </c>
      <c r="K328" s="28" t="s">
        <v>57</v>
      </c>
      <c r="L328" s="28" t="s">
        <v>57</v>
      </c>
    </row>
    <row r="329" ht="15.75" customHeight="1">
      <c r="A329" s="28" t="s">
        <v>1047</v>
      </c>
      <c r="B329" s="28" t="s">
        <v>1000</v>
      </c>
      <c r="D329" s="28" t="s">
        <v>1051</v>
      </c>
      <c r="E329" s="28" t="s">
        <v>1070</v>
      </c>
      <c r="F329" s="28" t="s">
        <v>1053</v>
      </c>
      <c r="G329" s="28" t="s">
        <v>1054</v>
      </c>
      <c r="H329" s="28">
        <v>1.0</v>
      </c>
      <c r="I329" s="28">
        <v>0.12953367875647667</v>
      </c>
      <c r="J329" s="28">
        <v>0.0</v>
      </c>
      <c r="K329" s="28" t="s">
        <v>57</v>
      </c>
      <c r="L329" s="28" t="s">
        <v>57</v>
      </c>
    </row>
    <row r="330" ht="15.75" customHeight="1">
      <c r="A330" s="28" t="s">
        <v>1047</v>
      </c>
      <c r="B330" s="28" t="s">
        <v>1000</v>
      </c>
      <c r="D330" s="28" t="s">
        <v>1051</v>
      </c>
      <c r="E330" s="28" t="s">
        <v>1071</v>
      </c>
      <c r="F330" s="28" t="s">
        <v>1056</v>
      </c>
      <c r="G330" s="28" t="s">
        <v>1057</v>
      </c>
      <c r="H330" s="28">
        <v>1.0</v>
      </c>
      <c r="I330" s="28">
        <v>0.2128146453089245</v>
      </c>
      <c r="J330" s="28">
        <v>1.0</v>
      </c>
      <c r="K330" s="28" t="s">
        <v>57</v>
      </c>
      <c r="L330" s="28" t="s">
        <v>57</v>
      </c>
    </row>
    <row r="331" ht="15.75" customHeight="1">
      <c r="A331" s="28" t="s">
        <v>1047</v>
      </c>
      <c r="B331" s="28" t="s">
        <v>1000</v>
      </c>
      <c r="D331" s="28" t="s">
        <v>1051</v>
      </c>
      <c r="E331" s="28" t="s">
        <v>1072</v>
      </c>
      <c r="F331" s="28" t="s">
        <v>1059</v>
      </c>
      <c r="G331" s="28" t="s">
        <v>1060</v>
      </c>
      <c r="H331" s="28">
        <v>1.0</v>
      </c>
      <c r="I331" s="28">
        <v>0.2302325581395349</v>
      </c>
      <c r="J331" s="28">
        <v>2.0</v>
      </c>
      <c r="K331" s="28" t="s">
        <v>57</v>
      </c>
      <c r="L331" s="28" t="s">
        <v>57</v>
      </c>
    </row>
    <row r="332" ht="15.75" customHeight="1">
      <c r="A332" s="28" t="s">
        <v>1047</v>
      </c>
      <c r="B332" s="28" t="s">
        <v>1000</v>
      </c>
      <c r="D332" s="28" t="s">
        <v>1051</v>
      </c>
      <c r="E332" s="28" t="s">
        <v>1073</v>
      </c>
      <c r="F332" s="28" t="s">
        <v>1065</v>
      </c>
      <c r="G332" s="28" t="s">
        <v>1066</v>
      </c>
      <c r="H332" s="28">
        <v>1.0</v>
      </c>
      <c r="I332" s="28">
        <v>0.523224043715847</v>
      </c>
      <c r="J332" s="28">
        <v>3.0</v>
      </c>
      <c r="K332" s="28" t="s">
        <v>57</v>
      </c>
      <c r="L332" s="28" t="s">
        <v>57</v>
      </c>
    </row>
    <row r="333" ht="15.75" customHeight="1">
      <c r="A333" s="28" t="s">
        <v>1047</v>
      </c>
      <c r="B333" s="28" t="s">
        <v>1000</v>
      </c>
      <c r="D333" s="28" t="s">
        <v>1051</v>
      </c>
      <c r="E333" s="28" t="s">
        <v>1074</v>
      </c>
      <c r="F333" s="28" t="s">
        <v>1062</v>
      </c>
      <c r="G333" s="28" t="s">
        <v>1063</v>
      </c>
      <c r="H333" s="28">
        <v>1.0</v>
      </c>
      <c r="I333" s="28">
        <v>0.5253521126760563</v>
      </c>
      <c r="J333" s="28">
        <v>4.0</v>
      </c>
      <c r="K333" s="28" t="s">
        <v>57</v>
      </c>
      <c r="L333" s="28" t="s">
        <v>57</v>
      </c>
    </row>
    <row r="334" ht="15.75" customHeight="1">
      <c r="A334" s="28" t="s">
        <v>1047</v>
      </c>
      <c r="B334" s="28" t="s">
        <v>1000</v>
      </c>
      <c r="D334" s="28" t="s">
        <v>1051</v>
      </c>
      <c r="E334" s="28" t="s">
        <v>1075</v>
      </c>
      <c r="F334" s="28" t="s">
        <v>1068</v>
      </c>
      <c r="G334" s="28" t="s">
        <v>1069</v>
      </c>
      <c r="H334" s="28">
        <v>1.0</v>
      </c>
      <c r="I334" s="28">
        <v>0.6395348837209303</v>
      </c>
      <c r="J334" s="28">
        <v>5.0</v>
      </c>
      <c r="K334" s="28" t="s">
        <v>57</v>
      </c>
      <c r="L334" s="28" t="s">
        <v>57</v>
      </c>
    </row>
    <row r="335" ht="15.75" customHeight="1">
      <c r="A335" s="28" t="s">
        <v>1047</v>
      </c>
      <c r="B335" s="28" t="s">
        <v>1000</v>
      </c>
      <c r="D335" s="28" t="s">
        <v>1054</v>
      </c>
      <c r="E335" s="28" t="s">
        <v>1076</v>
      </c>
      <c r="F335" s="28" t="s">
        <v>1077</v>
      </c>
      <c r="G335" s="28" t="s">
        <v>1057</v>
      </c>
      <c r="H335" s="28">
        <v>1.0</v>
      </c>
      <c r="I335" s="28">
        <v>0.12585812356979406</v>
      </c>
      <c r="J335" s="28">
        <v>0.0</v>
      </c>
      <c r="K335" s="28" t="s">
        <v>57</v>
      </c>
      <c r="L335" s="28" t="s">
        <v>57</v>
      </c>
    </row>
    <row r="336" ht="15.75" customHeight="1">
      <c r="A336" s="28" t="s">
        <v>1047</v>
      </c>
      <c r="B336" s="28" t="s">
        <v>1000</v>
      </c>
      <c r="D336" s="28" t="s">
        <v>1054</v>
      </c>
      <c r="E336" s="28" t="s">
        <v>1078</v>
      </c>
      <c r="F336" s="28" t="s">
        <v>1079</v>
      </c>
      <c r="G336" s="28" t="s">
        <v>1060</v>
      </c>
      <c r="H336" s="28">
        <v>1.0</v>
      </c>
      <c r="I336" s="28">
        <v>0.16279069767441862</v>
      </c>
      <c r="J336" s="28">
        <v>1.0</v>
      </c>
      <c r="K336" s="28" t="s">
        <v>57</v>
      </c>
      <c r="L336" s="28" t="s">
        <v>57</v>
      </c>
    </row>
    <row r="337" ht="15.75" customHeight="1">
      <c r="A337" s="28" t="s">
        <v>1047</v>
      </c>
      <c r="B337" s="28" t="s">
        <v>1000</v>
      </c>
      <c r="D337" s="28" t="s">
        <v>1054</v>
      </c>
      <c r="E337" s="28" t="s">
        <v>1080</v>
      </c>
      <c r="F337" s="28" t="s">
        <v>1081</v>
      </c>
      <c r="G337" s="28" t="s">
        <v>1063</v>
      </c>
      <c r="H337" s="28">
        <v>1.0</v>
      </c>
      <c r="I337" s="28">
        <v>0.47464788732394364</v>
      </c>
      <c r="J337" s="28">
        <v>3.0</v>
      </c>
      <c r="K337" s="28" t="s">
        <v>57</v>
      </c>
      <c r="L337" s="28" t="s">
        <v>57</v>
      </c>
    </row>
    <row r="338" ht="15.75" customHeight="1">
      <c r="A338" s="28" t="s">
        <v>1047</v>
      </c>
      <c r="B338" s="28" t="s">
        <v>1000</v>
      </c>
      <c r="D338" s="28" t="s">
        <v>1054</v>
      </c>
      <c r="E338" s="28" t="s">
        <v>1082</v>
      </c>
      <c r="F338" s="28" t="s">
        <v>1083</v>
      </c>
      <c r="G338" s="28" t="s">
        <v>1066</v>
      </c>
      <c r="H338" s="28">
        <v>1.0</v>
      </c>
      <c r="I338" s="28">
        <v>0.4849726775956284</v>
      </c>
      <c r="J338" s="28">
        <v>2.0</v>
      </c>
      <c r="K338" s="28" t="s">
        <v>57</v>
      </c>
      <c r="L338" s="28" t="s">
        <v>57</v>
      </c>
    </row>
    <row r="339" ht="15.75" customHeight="1">
      <c r="A339" s="28" t="s">
        <v>1047</v>
      </c>
      <c r="B339" s="28" t="s">
        <v>1000</v>
      </c>
      <c r="D339" s="28" t="s">
        <v>1054</v>
      </c>
      <c r="E339" s="28" t="s">
        <v>1084</v>
      </c>
      <c r="F339" s="28" t="s">
        <v>1085</v>
      </c>
      <c r="G339" s="28" t="s">
        <v>1069</v>
      </c>
      <c r="H339" s="28">
        <v>1.0</v>
      </c>
      <c r="I339" s="28">
        <v>0.6004228329809725</v>
      </c>
      <c r="J339" s="28">
        <v>4.0</v>
      </c>
      <c r="K339" s="28" t="s">
        <v>57</v>
      </c>
      <c r="L339" s="28" t="s">
        <v>57</v>
      </c>
    </row>
    <row r="340" ht="15.75" customHeight="1">
      <c r="A340" s="28" t="s">
        <v>1047</v>
      </c>
      <c r="B340" s="28" t="s">
        <v>1000</v>
      </c>
      <c r="D340" s="28" t="s">
        <v>1057</v>
      </c>
      <c r="E340" s="28" t="s">
        <v>1086</v>
      </c>
      <c r="F340" s="28" t="s">
        <v>1087</v>
      </c>
      <c r="G340" s="28" t="s">
        <v>1060</v>
      </c>
      <c r="H340" s="28">
        <v>1.0</v>
      </c>
      <c r="I340" s="28">
        <v>0.09153318077803203</v>
      </c>
      <c r="J340" s="28">
        <v>0.0</v>
      </c>
      <c r="K340" s="28" t="s">
        <v>57</v>
      </c>
      <c r="L340" s="28" t="s">
        <v>57</v>
      </c>
    </row>
    <row r="341" ht="15.75" customHeight="1">
      <c r="A341" s="28" t="s">
        <v>1047</v>
      </c>
      <c r="B341" s="28" t="s">
        <v>1000</v>
      </c>
      <c r="D341" s="28" t="s">
        <v>1057</v>
      </c>
      <c r="E341" s="28" t="s">
        <v>1088</v>
      </c>
      <c r="F341" s="28" t="s">
        <v>1089</v>
      </c>
      <c r="G341" s="28" t="s">
        <v>1063</v>
      </c>
      <c r="H341" s="28">
        <v>1.0</v>
      </c>
      <c r="I341" s="28">
        <v>0.4070422535211268</v>
      </c>
      <c r="J341" s="28">
        <v>2.0</v>
      </c>
      <c r="K341" s="28" t="s">
        <v>57</v>
      </c>
      <c r="L341" s="28" t="s">
        <v>57</v>
      </c>
    </row>
    <row r="342" ht="15.75" customHeight="1">
      <c r="A342" s="28" t="s">
        <v>1047</v>
      </c>
      <c r="B342" s="28" t="s">
        <v>1000</v>
      </c>
      <c r="D342" s="28" t="s">
        <v>1057</v>
      </c>
      <c r="E342" s="28" t="s">
        <v>1090</v>
      </c>
      <c r="F342" s="28" t="s">
        <v>1091</v>
      </c>
      <c r="G342" s="28" t="s">
        <v>1066</v>
      </c>
      <c r="H342" s="28">
        <v>1.0</v>
      </c>
      <c r="I342" s="28">
        <v>0.4207650273224044</v>
      </c>
      <c r="J342" s="28">
        <v>1.0</v>
      </c>
      <c r="K342" s="28" t="s">
        <v>57</v>
      </c>
      <c r="L342" s="28" t="s">
        <v>57</v>
      </c>
    </row>
    <row r="343" ht="15.75" customHeight="1">
      <c r="A343" s="28" t="s">
        <v>1047</v>
      </c>
      <c r="B343" s="28" t="s">
        <v>1000</v>
      </c>
      <c r="D343" s="28" t="s">
        <v>1057</v>
      </c>
      <c r="E343" s="28" t="s">
        <v>1092</v>
      </c>
      <c r="F343" s="28" t="s">
        <v>1093</v>
      </c>
      <c r="G343" s="28" t="s">
        <v>1069</v>
      </c>
      <c r="H343" s="28">
        <v>1.0</v>
      </c>
      <c r="I343" s="28">
        <v>0.5465116279069767</v>
      </c>
      <c r="J343" s="28">
        <v>3.0</v>
      </c>
      <c r="K343" s="28" t="s">
        <v>57</v>
      </c>
      <c r="L343" s="28" t="s">
        <v>57</v>
      </c>
    </row>
    <row r="344" ht="15.75" customHeight="1">
      <c r="A344" s="28" t="s">
        <v>1047</v>
      </c>
      <c r="B344" s="28" t="s">
        <v>1000</v>
      </c>
      <c r="D344" s="28" t="s">
        <v>1060</v>
      </c>
      <c r="E344" s="28" t="s">
        <v>1094</v>
      </c>
      <c r="F344" s="28" t="s">
        <v>1095</v>
      </c>
      <c r="G344" s="28" t="s">
        <v>1063</v>
      </c>
      <c r="H344" s="28">
        <v>1.0</v>
      </c>
      <c r="I344" s="28">
        <v>0.4169014084507042</v>
      </c>
      <c r="J344" s="28">
        <v>1.0</v>
      </c>
      <c r="K344" s="28" t="s">
        <v>57</v>
      </c>
      <c r="L344" s="28" t="s">
        <v>57</v>
      </c>
    </row>
    <row r="345" ht="15.75" customHeight="1">
      <c r="A345" s="28" t="s">
        <v>1047</v>
      </c>
      <c r="B345" s="28" t="s">
        <v>1000</v>
      </c>
      <c r="D345" s="28" t="s">
        <v>1060</v>
      </c>
      <c r="E345" s="28" t="s">
        <v>1096</v>
      </c>
      <c r="F345" s="28" t="s">
        <v>1097</v>
      </c>
      <c r="G345" s="28" t="s">
        <v>1066</v>
      </c>
      <c r="H345" s="28">
        <v>1.0</v>
      </c>
      <c r="I345" s="28">
        <v>0.41939890710382516</v>
      </c>
      <c r="J345" s="28">
        <v>0.0</v>
      </c>
      <c r="K345" s="28" t="s">
        <v>57</v>
      </c>
      <c r="L345" s="28" t="s">
        <v>57</v>
      </c>
    </row>
    <row r="346" ht="15.75" customHeight="1">
      <c r="A346" s="28" t="s">
        <v>1047</v>
      </c>
      <c r="B346" s="28" t="s">
        <v>1000</v>
      </c>
      <c r="D346" s="28" t="s">
        <v>1060</v>
      </c>
      <c r="E346" s="28" t="s">
        <v>1098</v>
      </c>
      <c r="F346" s="28" t="s">
        <v>1099</v>
      </c>
      <c r="G346" s="28" t="s">
        <v>1069</v>
      </c>
      <c r="H346" s="28">
        <v>1.0</v>
      </c>
      <c r="I346" s="28">
        <v>0.5539112050739958</v>
      </c>
      <c r="J346" s="28">
        <v>2.0</v>
      </c>
      <c r="K346" s="28" t="s">
        <v>57</v>
      </c>
      <c r="L346" s="28" t="s">
        <v>57</v>
      </c>
    </row>
    <row r="347" ht="15.75" customHeight="1">
      <c r="A347" s="28" t="s">
        <v>1047</v>
      </c>
      <c r="B347" s="28" t="s">
        <v>1000</v>
      </c>
      <c r="D347" s="28" t="s">
        <v>1066</v>
      </c>
      <c r="E347" s="28" t="s">
        <v>1100</v>
      </c>
      <c r="F347" s="28" t="s">
        <v>1101</v>
      </c>
      <c r="G347" s="28" t="s">
        <v>1063</v>
      </c>
      <c r="H347" s="28">
        <v>1.0</v>
      </c>
      <c r="I347" s="28">
        <v>0.1830601092896175</v>
      </c>
      <c r="J347" s="28">
        <v>0.0</v>
      </c>
      <c r="K347" s="28" t="s">
        <v>57</v>
      </c>
      <c r="L347" s="28" t="s">
        <v>57</v>
      </c>
    </row>
    <row r="348" ht="15.75" customHeight="1">
      <c r="A348" s="28" t="s">
        <v>1047</v>
      </c>
      <c r="B348" s="28" t="s">
        <v>1000</v>
      </c>
      <c r="D348" s="28" t="s">
        <v>1066</v>
      </c>
      <c r="E348" s="28" t="s">
        <v>1102</v>
      </c>
      <c r="F348" s="28" t="s">
        <v>1103</v>
      </c>
      <c r="G348" s="28" t="s">
        <v>1069</v>
      </c>
      <c r="H348" s="28">
        <v>1.0</v>
      </c>
      <c r="I348" s="28">
        <v>0.26955602536997886</v>
      </c>
      <c r="J348" s="28">
        <v>1.0</v>
      </c>
      <c r="K348" s="28" t="s">
        <v>57</v>
      </c>
      <c r="L348" s="28" t="s">
        <v>57</v>
      </c>
    </row>
    <row r="349" ht="15.75" customHeight="1">
      <c r="A349" s="28" t="s">
        <v>1047</v>
      </c>
      <c r="B349" s="28" t="s">
        <v>1000</v>
      </c>
      <c r="D349" s="28" t="s">
        <v>1063</v>
      </c>
      <c r="E349" s="28" t="s">
        <v>1104</v>
      </c>
      <c r="F349" s="28" t="s">
        <v>1105</v>
      </c>
      <c r="G349" s="28" t="s">
        <v>1069</v>
      </c>
      <c r="H349" s="28">
        <v>1.0</v>
      </c>
      <c r="I349" s="28">
        <v>0.2568710359408034</v>
      </c>
      <c r="J349" s="28">
        <v>0.0</v>
      </c>
      <c r="K349" s="28" t="s">
        <v>57</v>
      </c>
      <c r="L349" s="28" t="s">
        <v>57</v>
      </c>
    </row>
    <row r="350" ht="15.75" customHeight="1">
      <c r="A350" s="28" t="s">
        <v>1106</v>
      </c>
      <c r="B350" s="28" t="s">
        <v>1000</v>
      </c>
      <c r="D350" s="28" t="s">
        <v>1107</v>
      </c>
      <c r="E350" s="28" t="s">
        <v>1108</v>
      </c>
      <c r="F350" s="28" t="s">
        <v>1109</v>
      </c>
      <c r="G350" s="28" t="s">
        <v>1110</v>
      </c>
      <c r="H350" s="28">
        <v>1.0</v>
      </c>
      <c r="I350" s="28">
        <v>0.005025125628140704</v>
      </c>
      <c r="J350" s="28">
        <v>0.0</v>
      </c>
      <c r="K350" s="28" t="s">
        <v>57</v>
      </c>
      <c r="L350" s="28" t="s">
        <v>57</v>
      </c>
    </row>
    <row r="351" ht="15.75" customHeight="1">
      <c r="A351" s="28" t="s">
        <v>1106</v>
      </c>
      <c r="B351" s="28" t="s">
        <v>1000</v>
      </c>
      <c r="D351" s="28" t="s">
        <v>1107</v>
      </c>
      <c r="E351" s="28" t="s">
        <v>1111</v>
      </c>
      <c r="F351" s="28" t="s">
        <v>1109</v>
      </c>
      <c r="G351" s="28" t="s">
        <v>1112</v>
      </c>
      <c r="H351" s="28">
        <v>1.0</v>
      </c>
      <c r="I351" s="28">
        <v>0.005025125628140704</v>
      </c>
      <c r="J351" s="28">
        <v>2.0</v>
      </c>
      <c r="K351" s="28" t="s">
        <v>57</v>
      </c>
      <c r="L351" s="28" t="s">
        <v>57</v>
      </c>
    </row>
    <row r="352" ht="15.75" customHeight="1">
      <c r="A352" s="28" t="s">
        <v>1106</v>
      </c>
      <c r="B352" s="28" t="s">
        <v>1000</v>
      </c>
      <c r="D352" s="28" t="s">
        <v>1107</v>
      </c>
      <c r="E352" s="28" t="s">
        <v>1113</v>
      </c>
      <c r="F352" s="28" t="s">
        <v>1109</v>
      </c>
      <c r="G352" s="28" t="s">
        <v>1114</v>
      </c>
      <c r="H352" s="28">
        <v>1.0</v>
      </c>
      <c r="I352" s="28">
        <v>0.03015075376884422</v>
      </c>
      <c r="J352" s="28">
        <v>1.0</v>
      </c>
      <c r="K352" s="28" t="s">
        <v>57</v>
      </c>
      <c r="L352" s="28" t="s">
        <v>57</v>
      </c>
    </row>
    <row r="353" ht="15.75" customHeight="1">
      <c r="A353" s="28" t="s">
        <v>1106</v>
      </c>
      <c r="B353" s="28" t="s">
        <v>1000</v>
      </c>
      <c r="D353" s="28" t="s">
        <v>1107</v>
      </c>
      <c r="E353" s="28" t="s">
        <v>1115</v>
      </c>
      <c r="F353" s="28" t="s">
        <v>1109</v>
      </c>
      <c r="G353" s="28" t="s">
        <v>1116</v>
      </c>
      <c r="H353" s="28">
        <v>1.0</v>
      </c>
      <c r="I353" s="28">
        <v>0.03015075376884422</v>
      </c>
      <c r="J353" s="28">
        <v>3.0</v>
      </c>
      <c r="K353" s="28" t="s">
        <v>57</v>
      </c>
      <c r="L353" s="28" t="s">
        <v>57</v>
      </c>
    </row>
    <row r="354" ht="15.75" customHeight="1">
      <c r="A354" s="28" t="s">
        <v>1106</v>
      </c>
      <c r="B354" s="28" t="s">
        <v>1000</v>
      </c>
      <c r="D354" s="28" t="s">
        <v>1110</v>
      </c>
      <c r="E354" s="28" t="s">
        <v>1117</v>
      </c>
      <c r="F354" s="28" t="s">
        <v>1109</v>
      </c>
      <c r="G354" s="28" t="s">
        <v>1112</v>
      </c>
      <c r="H354" s="28">
        <v>1.0</v>
      </c>
      <c r="I354" s="28">
        <v>0.005025125628140704</v>
      </c>
      <c r="J354" s="28">
        <v>1.0</v>
      </c>
      <c r="K354" s="28" t="s">
        <v>57</v>
      </c>
      <c r="L354" s="28" t="s">
        <v>57</v>
      </c>
    </row>
    <row r="355" ht="15.75" customHeight="1">
      <c r="A355" s="28" t="s">
        <v>1106</v>
      </c>
      <c r="B355" s="28" t="s">
        <v>1000</v>
      </c>
      <c r="D355" s="28" t="s">
        <v>1110</v>
      </c>
      <c r="E355" s="28" t="s">
        <v>1118</v>
      </c>
      <c r="F355" s="28" t="s">
        <v>1109</v>
      </c>
      <c r="G355" s="28" t="s">
        <v>1114</v>
      </c>
      <c r="H355" s="28">
        <v>1.0</v>
      </c>
      <c r="I355" s="28">
        <v>0.03015075376884422</v>
      </c>
      <c r="J355" s="28">
        <v>0.0</v>
      </c>
      <c r="K355" s="28" t="s">
        <v>57</v>
      </c>
      <c r="L355" s="28" t="s">
        <v>57</v>
      </c>
    </row>
    <row r="356" ht="15.75" customHeight="1">
      <c r="A356" s="28" t="s">
        <v>1106</v>
      </c>
      <c r="B356" s="28" t="s">
        <v>1000</v>
      </c>
      <c r="D356" s="28" t="s">
        <v>1110</v>
      </c>
      <c r="E356" s="28" t="s">
        <v>1119</v>
      </c>
      <c r="F356" s="28" t="s">
        <v>1109</v>
      </c>
      <c r="G356" s="28" t="s">
        <v>1116</v>
      </c>
      <c r="H356" s="28">
        <v>1.0</v>
      </c>
      <c r="I356" s="28">
        <v>0.03015075376884422</v>
      </c>
      <c r="J356" s="28">
        <v>2.0</v>
      </c>
      <c r="K356" s="28" t="s">
        <v>57</v>
      </c>
      <c r="L356" s="28" t="s">
        <v>57</v>
      </c>
    </row>
    <row r="357" ht="15.75" customHeight="1">
      <c r="A357" s="28" t="s">
        <v>1106</v>
      </c>
      <c r="B357" s="28" t="s">
        <v>1000</v>
      </c>
      <c r="D357" s="28" t="s">
        <v>1114</v>
      </c>
      <c r="E357" s="28" t="s">
        <v>1120</v>
      </c>
      <c r="F357" s="28" t="s">
        <v>1109</v>
      </c>
      <c r="G357" s="28" t="s">
        <v>1116</v>
      </c>
      <c r="H357" s="28">
        <v>1.0</v>
      </c>
      <c r="I357" s="28">
        <v>0.005154639175257732</v>
      </c>
      <c r="J357" s="28">
        <v>1.0</v>
      </c>
      <c r="K357" s="28" t="s">
        <v>57</v>
      </c>
      <c r="L357" s="28" t="s">
        <v>57</v>
      </c>
    </row>
    <row r="358" ht="15.75" customHeight="1">
      <c r="A358" s="28" t="s">
        <v>1106</v>
      </c>
      <c r="B358" s="28" t="s">
        <v>1000</v>
      </c>
      <c r="D358" s="28" t="s">
        <v>1114</v>
      </c>
      <c r="E358" s="28" t="s">
        <v>1121</v>
      </c>
      <c r="F358" s="28" t="s">
        <v>1109</v>
      </c>
      <c r="G358" s="28" t="s">
        <v>1112</v>
      </c>
      <c r="H358" s="28">
        <v>1.0</v>
      </c>
      <c r="I358" s="28">
        <v>0.03015075376884422</v>
      </c>
      <c r="J358" s="28">
        <v>0.0</v>
      </c>
      <c r="K358" s="28" t="s">
        <v>57</v>
      </c>
      <c r="L358" s="28" t="s">
        <v>57</v>
      </c>
    </row>
    <row r="359" ht="15.75" customHeight="1">
      <c r="A359" s="28" t="s">
        <v>1106</v>
      </c>
      <c r="B359" s="28" t="s">
        <v>1000</v>
      </c>
      <c r="D359" s="28" t="s">
        <v>1112</v>
      </c>
      <c r="E359" s="28" t="s">
        <v>1122</v>
      </c>
      <c r="F359" s="28" t="s">
        <v>1109</v>
      </c>
      <c r="G359" s="28" t="s">
        <v>1116</v>
      </c>
      <c r="H359" s="28">
        <v>1.0</v>
      </c>
      <c r="I359" s="28">
        <v>0.03015075376884422</v>
      </c>
      <c r="J359" s="28">
        <v>0.0</v>
      </c>
      <c r="K359" s="28" t="s">
        <v>57</v>
      </c>
      <c r="L359" s="28" t="s">
        <v>57</v>
      </c>
    </row>
    <row r="360" ht="15.75" customHeight="1">
      <c r="A360" s="28" t="s">
        <v>1123</v>
      </c>
      <c r="B360" s="28" t="s">
        <v>1000</v>
      </c>
      <c r="D360" s="28" t="s">
        <v>1124</v>
      </c>
      <c r="E360" s="28" t="s">
        <v>1125</v>
      </c>
      <c r="F360" s="28" t="s">
        <v>1126</v>
      </c>
      <c r="G360" s="28" t="s">
        <v>1127</v>
      </c>
      <c r="H360" s="28">
        <v>0.7777777777777778</v>
      </c>
      <c r="I360" s="28">
        <v>0.17433751743375175</v>
      </c>
      <c r="J360" s="28">
        <v>2.0</v>
      </c>
      <c r="K360" s="28" t="s">
        <v>57</v>
      </c>
      <c r="L360" s="28" t="s">
        <v>1128</v>
      </c>
    </row>
    <row r="361" ht="15.75" customHeight="1">
      <c r="A361" s="28" t="s">
        <v>1123</v>
      </c>
      <c r="B361" s="28" t="s">
        <v>1000</v>
      </c>
      <c r="D361" s="28" t="s">
        <v>1124</v>
      </c>
      <c r="E361" s="28" t="s">
        <v>1129</v>
      </c>
      <c r="F361" s="28" t="s">
        <v>1126</v>
      </c>
      <c r="G361" s="28" t="s">
        <v>1130</v>
      </c>
      <c r="H361" s="28">
        <v>0.7777777777777778</v>
      </c>
      <c r="I361" s="28">
        <v>0.17524339360222532</v>
      </c>
      <c r="J361" s="28">
        <v>1.0</v>
      </c>
      <c r="K361" s="28" t="s">
        <v>57</v>
      </c>
      <c r="L361" s="28" t="s">
        <v>1128</v>
      </c>
    </row>
    <row r="362" ht="15.75" customHeight="1">
      <c r="A362" s="28" t="s">
        <v>1123</v>
      </c>
      <c r="B362" s="28" t="s">
        <v>1000</v>
      </c>
      <c r="D362" s="28" t="s">
        <v>1124</v>
      </c>
      <c r="E362" s="28" t="s">
        <v>1131</v>
      </c>
      <c r="F362" s="28" t="s">
        <v>1126</v>
      </c>
      <c r="G362" s="28" t="s">
        <v>1132</v>
      </c>
      <c r="H362" s="28">
        <v>0.7777777777777778</v>
      </c>
      <c r="I362" s="28">
        <v>0.18256130790190736</v>
      </c>
      <c r="J362" s="28">
        <v>0.0</v>
      </c>
      <c r="K362" s="28" t="s">
        <v>57</v>
      </c>
      <c r="L362" s="28" t="s">
        <v>1128</v>
      </c>
    </row>
    <row r="363" ht="15.75" customHeight="1">
      <c r="A363" s="28" t="s">
        <v>1123</v>
      </c>
      <c r="B363" s="28" t="s">
        <v>1000</v>
      </c>
      <c r="D363" s="28" t="s">
        <v>1132</v>
      </c>
      <c r="E363" s="28" t="s">
        <v>1133</v>
      </c>
      <c r="F363" s="28" t="s">
        <v>1134</v>
      </c>
      <c r="G363" s="28" t="s">
        <v>1130</v>
      </c>
      <c r="H363" s="28">
        <v>1.0</v>
      </c>
      <c r="I363" s="28">
        <v>0.020435967302452316</v>
      </c>
      <c r="J363" s="28">
        <v>0.0</v>
      </c>
      <c r="K363" s="28" t="s">
        <v>57</v>
      </c>
      <c r="L363" s="28" t="s">
        <v>57</v>
      </c>
    </row>
    <row r="364" ht="15.75" customHeight="1">
      <c r="A364" s="28" t="s">
        <v>1123</v>
      </c>
      <c r="B364" s="28" t="s">
        <v>1000</v>
      </c>
      <c r="D364" s="28" t="s">
        <v>1132</v>
      </c>
      <c r="E364" s="28" t="s">
        <v>1135</v>
      </c>
      <c r="F364" s="28" t="s">
        <v>1134</v>
      </c>
      <c r="G364" s="28" t="s">
        <v>1127</v>
      </c>
      <c r="H364" s="28">
        <v>1.0</v>
      </c>
      <c r="I364" s="28">
        <v>0.027247956403269755</v>
      </c>
      <c r="J364" s="28">
        <v>1.0</v>
      </c>
      <c r="K364" s="28" t="s">
        <v>57</v>
      </c>
      <c r="L364" s="28" t="s">
        <v>57</v>
      </c>
    </row>
    <row r="365" ht="15.75" customHeight="1">
      <c r="A365" s="28" t="s">
        <v>1123</v>
      </c>
      <c r="B365" s="28" t="s">
        <v>1000</v>
      </c>
      <c r="D365" s="28" t="s">
        <v>1130</v>
      </c>
      <c r="E365" s="28" t="s">
        <v>1136</v>
      </c>
      <c r="F365" s="28" t="s">
        <v>1134</v>
      </c>
      <c r="G365" s="28" t="s">
        <v>1127</v>
      </c>
      <c r="H365" s="28">
        <v>1.0</v>
      </c>
      <c r="I365" s="28">
        <v>0.006954102920723227</v>
      </c>
      <c r="J365" s="28">
        <v>0.0</v>
      </c>
      <c r="K365" s="28" t="s">
        <v>57</v>
      </c>
      <c r="L365" s="28" t="s">
        <v>57</v>
      </c>
    </row>
    <row r="366" ht="15.75" customHeight="1">
      <c r="A366" s="28" t="s">
        <v>1137</v>
      </c>
      <c r="B366" s="28" t="s">
        <v>1000</v>
      </c>
      <c r="D366" s="28" t="s">
        <v>1138</v>
      </c>
      <c r="E366" s="28" t="s">
        <v>1139</v>
      </c>
      <c r="F366" s="28" t="s">
        <v>1140</v>
      </c>
      <c r="G366" s="28" t="s">
        <v>1141</v>
      </c>
      <c r="H366" s="28">
        <v>0.8333333333333334</v>
      </c>
      <c r="I366" s="28">
        <v>0.06798516687268233</v>
      </c>
      <c r="J366" s="28">
        <v>3.0</v>
      </c>
      <c r="K366" s="28" t="s">
        <v>57</v>
      </c>
      <c r="L366" s="28" t="s">
        <v>1128</v>
      </c>
    </row>
    <row r="367" ht="15.75" customHeight="1">
      <c r="A367" s="28" t="s">
        <v>1137</v>
      </c>
      <c r="B367" s="28" t="s">
        <v>1000</v>
      </c>
      <c r="D367" s="28" t="s">
        <v>1138</v>
      </c>
      <c r="E367" s="28" t="s">
        <v>1142</v>
      </c>
      <c r="F367" s="28" t="s">
        <v>1140</v>
      </c>
      <c r="G367" s="28" t="s">
        <v>1143</v>
      </c>
      <c r="H367" s="28">
        <v>0.8333333333333334</v>
      </c>
      <c r="I367" s="28">
        <v>0.0691358024691358</v>
      </c>
      <c r="J367" s="28">
        <v>1.0</v>
      </c>
      <c r="K367" s="28" t="s">
        <v>57</v>
      </c>
      <c r="L367" s="28" t="s">
        <v>1128</v>
      </c>
    </row>
    <row r="368" ht="15.75" customHeight="1">
      <c r="A368" s="28" t="s">
        <v>1137</v>
      </c>
      <c r="B368" s="28" t="s">
        <v>1000</v>
      </c>
      <c r="D368" s="28" t="s">
        <v>1138</v>
      </c>
      <c r="E368" s="28" t="s">
        <v>1144</v>
      </c>
      <c r="F368" s="28" t="s">
        <v>1140</v>
      </c>
      <c r="G368" s="28" t="s">
        <v>1145</v>
      </c>
      <c r="H368" s="28">
        <v>0.8333333333333334</v>
      </c>
      <c r="I368" s="28">
        <v>0.07484662576687116</v>
      </c>
      <c r="J368" s="28">
        <v>2.0</v>
      </c>
      <c r="K368" s="28" t="s">
        <v>57</v>
      </c>
      <c r="L368" s="28" t="s">
        <v>1128</v>
      </c>
    </row>
    <row r="369" ht="15.75" customHeight="1">
      <c r="A369" s="28" t="s">
        <v>1137</v>
      </c>
      <c r="B369" s="28" t="s">
        <v>1000</v>
      </c>
      <c r="D369" s="28" t="s">
        <v>1138</v>
      </c>
      <c r="E369" s="28" t="s">
        <v>1146</v>
      </c>
      <c r="F369" s="28" t="s">
        <v>1140</v>
      </c>
      <c r="G369" s="28" t="s">
        <v>1147</v>
      </c>
      <c r="H369" s="28">
        <v>0.8333333333333334</v>
      </c>
      <c r="I369" s="28">
        <v>0.07598039215686274</v>
      </c>
      <c r="J369" s="28">
        <v>0.0</v>
      </c>
      <c r="K369" s="28" t="s">
        <v>57</v>
      </c>
      <c r="L369" s="28" t="s">
        <v>1128</v>
      </c>
    </row>
    <row r="370" ht="15.75" customHeight="1">
      <c r="A370" s="28" t="s">
        <v>1137</v>
      </c>
      <c r="B370" s="28" t="s">
        <v>1000</v>
      </c>
      <c r="D370" s="28" t="s">
        <v>1147</v>
      </c>
      <c r="E370" s="28" t="s">
        <v>1148</v>
      </c>
      <c r="F370" s="28" t="s">
        <v>1149</v>
      </c>
      <c r="G370" s="28" t="s">
        <v>1145</v>
      </c>
      <c r="H370" s="28">
        <v>1.0</v>
      </c>
      <c r="I370" s="28">
        <v>0.006127450980392157</v>
      </c>
      <c r="J370" s="28">
        <v>1.0</v>
      </c>
      <c r="K370" s="28" t="s">
        <v>57</v>
      </c>
      <c r="L370" s="28" t="s">
        <v>57</v>
      </c>
    </row>
    <row r="371" ht="15.75" customHeight="1">
      <c r="A371" s="28" t="s">
        <v>1137</v>
      </c>
      <c r="B371" s="28" t="s">
        <v>1000</v>
      </c>
      <c r="D371" s="28" t="s">
        <v>1147</v>
      </c>
      <c r="E371" s="28" t="s">
        <v>1150</v>
      </c>
      <c r="F371" s="28" t="s">
        <v>1149</v>
      </c>
      <c r="G371" s="28" t="s">
        <v>1143</v>
      </c>
      <c r="H371" s="28">
        <v>1.0</v>
      </c>
      <c r="I371" s="28">
        <v>0.007352941176470588</v>
      </c>
      <c r="J371" s="28">
        <v>0.0</v>
      </c>
      <c r="K371" s="28" t="s">
        <v>57</v>
      </c>
      <c r="L371" s="28" t="s">
        <v>57</v>
      </c>
    </row>
    <row r="372" ht="15.75" customHeight="1">
      <c r="A372" s="28" t="s">
        <v>1137</v>
      </c>
      <c r="B372" s="28" t="s">
        <v>1000</v>
      </c>
      <c r="D372" s="28" t="s">
        <v>1147</v>
      </c>
      <c r="E372" s="28" t="s">
        <v>1151</v>
      </c>
      <c r="F372" s="28" t="s">
        <v>1149</v>
      </c>
      <c r="G372" s="28" t="s">
        <v>1141</v>
      </c>
      <c r="H372" s="28">
        <v>1.0</v>
      </c>
      <c r="I372" s="28">
        <v>0.011029411764705883</v>
      </c>
      <c r="J372" s="28">
        <v>2.0</v>
      </c>
      <c r="K372" s="28" t="s">
        <v>57</v>
      </c>
      <c r="L372" s="28" t="s">
        <v>57</v>
      </c>
    </row>
    <row r="373" ht="15.75" customHeight="1">
      <c r="A373" s="28" t="s">
        <v>1137</v>
      </c>
      <c r="B373" s="28" t="s">
        <v>1000</v>
      </c>
      <c r="D373" s="28" t="s">
        <v>1143</v>
      </c>
      <c r="E373" s="28" t="s">
        <v>1152</v>
      </c>
      <c r="F373" s="28" t="s">
        <v>1149</v>
      </c>
      <c r="G373" s="28" t="s">
        <v>1141</v>
      </c>
      <c r="H373" s="28">
        <v>1.0</v>
      </c>
      <c r="I373" s="28">
        <v>0.003703703703703704</v>
      </c>
      <c r="J373" s="28">
        <v>1.0</v>
      </c>
      <c r="K373" s="28" t="s">
        <v>57</v>
      </c>
      <c r="L373" s="28" t="s">
        <v>57</v>
      </c>
    </row>
    <row r="374" ht="15.75" customHeight="1">
      <c r="A374" s="28" t="s">
        <v>1137</v>
      </c>
      <c r="B374" s="28" t="s">
        <v>1000</v>
      </c>
      <c r="D374" s="28" t="s">
        <v>1143</v>
      </c>
      <c r="E374" s="28" t="s">
        <v>1153</v>
      </c>
      <c r="F374" s="28" t="s">
        <v>1149</v>
      </c>
      <c r="G374" s="28" t="s">
        <v>1145</v>
      </c>
      <c r="H374" s="28">
        <v>1.0</v>
      </c>
      <c r="I374" s="28">
        <v>0.011042944785276074</v>
      </c>
      <c r="J374" s="28">
        <v>0.0</v>
      </c>
      <c r="K374" s="28" t="s">
        <v>57</v>
      </c>
      <c r="L374" s="28" t="s">
        <v>57</v>
      </c>
    </row>
    <row r="375" ht="15.75" customHeight="1">
      <c r="A375" s="28" t="s">
        <v>1137</v>
      </c>
      <c r="B375" s="28" t="s">
        <v>1000</v>
      </c>
      <c r="D375" s="28" t="s">
        <v>1145</v>
      </c>
      <c r="E375" s="28" t="s">
        <v>1154</v>
      </c>
      <c r="F375" s="28" t="s">
        <v>1149</v>
      </c>
      <c r="G375" s="28" t="s">
        <v>1141</v>
      </c>
      <c r="H375" s="28">
        <v>1.0</v>
      </c>
      <c r="I375" s="28">
        <v>0.007361963190184049</v>
      </c>
      <c r="J375" s="28">
        <v>0.0</v>
      </c>
      <c r="K375" s="28" t="s">
        <v>57</v>
      </c>
      <c r="L375" s="28" t="s">
        <v>57</v>
      </c>
    </row>
    <row r="376" ht="15.75" customHeight="1">
      <c r="A376" s="28" t="s">
        <v>88</v>
      </c>
      <c r="B376" s="28" t="s">
        <v>1000</v>
      </c>
      <c r="D376" s="28" t="s">
        <v>91</v>
      </c>
      <c r="E376" s="28" t="s">
        <v>93</v>
      </c>
      <c r="F376" s="28" t="s">
        <v>95</v>
      </c>
      <c r="G376" s="28" t="s">
        <v>97</v>
      </c>
      <c r="H376" s="28">
        <v>1.0</v>
      </c>
      <c r="I376" s="28">
        <v>0.310126582278481</v>
      </c>
      <c r="J376" s="28">
        <v>0.0</v>
      </c>
      <c r="K376" s="28" t="s">
        <v>57</v>
      </c>
      <c r="L376" s="28" t="s">
        <v>530</v>
      </c>
    </row>
    <row r="377" ht="15.75" customHeight="1">
      <c r="A377" s="28" t="s">
        <v>88</v>
      </c>
      <c r="B377" s="28" t="s">
        <v>1000</v>
      </c>
      <c r="D377" s="28" t="s">
        <v>91</v>
      </c>
      <c r="E377" s="28" t="s">
        <v>108</v>
      </c>
      <c r="F377" s="28" t="s">
        <v>110</v>
      </c>
      <c r="G377" s="28" t="s">
        <v>112</v>
      </c>
      <c r="H377" s="28">
        <v>1.0</v>
      </c>
      <c r="I377" s="28">
        <v>0.5158227848101266</v>
      </c>
      <c r="J377" s="28">
        <v>1.0</v>
      </c>
      <c r="K377" s="28" t="s">
        <v>57</v>
      </c>
      <c r="L377" s="28" t="s">
        <v>57</v>
      </c>
    </row>
    <row r="378" ht="15.75" customHeight="1">
      <c r="A378" s="28" t="s">
        <v>88</v>
      </c>
      <c r="B378" s="28" t="s">
        <v>1000</v>
      </c>
      <c r="D378" s="28" t="s">
        <v>97</v>
      </c>
      <c r="E378" s="28" t="s">
        <v>527</v>
      </c>
      <c r="F378" s="28" t="s">
        <v>528</v>
      </c>
      <c r="G378" s="28" t="s">
        <v>112</v>
      </c>
      <c r="H378" s="28">
        <v>1.0</v>
      </c>
      <c r="I378" s="28">
        <v>0.4189189189189189</v>
      </c>
      <c r="J378" s="28">
        <v>0.0</v>
      </c>
      <c r="K378" s="28" t="s">
        <v>57</v>
      </c>
      <c r="L378" s="28" t="s">
        <v>530</v>
      </c>
    </row>
    <row r="379" ht="15.75" customHeight="1">
      <c r="A379" s="28" t="s">
        <v>612</v>
      </c>
      <c r="B379" s="28" t="s">
        <v>1000</v>
      </c>
      <c r="D379" s="28" t="s">
        <v>533</v>
      </c>
      <c r="E379" s="28" t="s">
        <v>1001</v>
      </c>
      <c r="F379" s="28" t="s">
        <v>614</v>
      </c>
      <c r="G379" s="28" t="s">
        <v>536</v>
      </c>
      <c r="H379" s="28">
        <v>1.0</v>
      </c>
      <c r="I379" s="28">
        <v>0.08152173913043478</v>
      </c>
      <c r="J379" s="28">
        <v>0.0</v>
      </c>
      <c r="K379" s="28" t="s">
        <v>57</v>
      </c>
      <c r="L379" s="28" t="s">
        <v>57</v>
      </c>
    </row>
    <row r="380" ht="15.75" customHeight="1">
      <c r="A380" s="28" t="s">
        <v>1155</v>
      </c>
      <c r="B380" s="28" t="s">
        <v>1000</v>
      </c>
      <c r="D380" s="28" t="s">
        <v>1138</v>
      </c>
      <c r="E380" s="28" t="s">
        <v>1156</v>
      </c>
      <c r="F380" s="28" t="s">
        <v>1157</v>
      </c>
      <c r="G380" s="28" t="s">
        <v>1141</v>
      </c>
      <c r="H380" s="28">
        <v>0.9090909090909091</v>
      </c>
      <c r="I380" s="28">
        <v>0.04071246819338423</v>
      </c>
      <c r="J380" s="28">
        <v>3.0</v>
      </c>
      <c r="K380" s="28" t="s">
        <v>57</v>
      </c>
      <c r="L380" s="28" t="s">
        <v>1158</v>
      </c>
    </row>
    <row r="381" ht="15.75" customHeight="1">
      <c r="A381" s="28" t="s">
        <v>1155</v>
      </c>
      <c r="B381" s="28" t="s">
        <v>1000</v>
      </c>
      <c r="D381" s="28" t="s">
        <v>1138</v>
      </c>
      <c r="E381" s="28" t="s">
        <v>1159</v>
      </c>
      <c r="F381" s="28" t="s">
        <v>1160</v>
      </c>
      <c r="G381" s="28" t="s">
        <v>1143</v>
      </c>
      <c r="H381" s="28">
        <v>0.9090909090909091</v>
      </c>
      <c r="I381" s="28">
        <v>0.04314720812182741</v>
      </c>
      <c r="J381" s="28">
        <v>1.0</v>
      </c>
      <c r="K381" s="28" t="s">
        <v>57</v>
      </c>
      <c r="L381" s="28" t="s">
        <v>1161</v>
      </c>
    </row>
    <row r="382" ht="15.75" customHeight="1">
      <c r="A382" s="28" t="s">
        <v>1155</v>
      </c>
      <c r="B382" s="28" t="s">
        <v>1000</v>
      </c>
      <c r="D382" s="28" t="s">
        <v>1138</v>
      </c>
      <c r="E382" s="28" t="s">
        <v>1162</v>
      </c>
      <c r="F382" s="28" t="s">
        <v>1157</v>
      </c>
      <c r="G382" s="28" t="s">
        <v>1145</v>
      </c>
      <c r="H382" s="28">
        <v>0.9090909090909091</v>
      </c>
      <c r="I382" s="28">
        <v>0.045454545454545456</v>
      </c>
      <c r="J382" s="28">
        <v>2.0</v>
      </c>
      <c r="K382" s="28" t="s">
        <v>57</v>
      </c>
      <c r="L382" s="28" t="s">
        <v>1158</v>
      </c>
    </row>
    <row r="383" ht="15.75" customHeight="1">
      <c r="A383" s="28" t="s">
        <v>1155</v>
      </c>
      <c r="B383" s="28" t="s">
        <v>1000</v>
      </c>
      <c r="D383" s="28" t="s">
        <v>1138</v>
      </c>
      <c r="E383" s="28" t="s">
        <v>1163</v>
      </c>
      <c r="F383" s="28" t="s">
        <v>1160</v>
      </c>
      <c r="G383" s="28" t="s">
        <v>1147</v>
      </c>
      <c r="H383" s="28">
        <v>0.9090909090909091</v>
      </c>
      <c r="I383" s="28">
        <v>0.04785894206549118</v>
      </c>
      <c r="J383" s="28">
        <v>0.0</v>
      </c>
      <c r="K383" s="28" t="s">
        <v>57</v>
      </c>
      <c r="L383" s="28" t="s">
        <v>1161</v>
      </c>
    </row>
    <row r="384" ht="15.75" customHeight="1">
      <c r="A384" s="28" t="s">
        <v>1155</v>
      </c>
      <c r="B384" s="28" t="s">
        <v>1000</v>
      </c>
      <c r="D384" s="28" t="s">
        <v>1138</v>
      </c>
      <c r="E384" s="28" t="s">
        <v>1164</v>
      </c>
      <c r="F384" s="28" t="s">
        <v>1140</v>
      </c>
      <c r="G384" s="28" t="s">
        <v>1165</v>
      </c>
      <c r="H384" s="28">
        <v>0.8333333333333334</v>
      </c>
      <c r="I384" s="28">
        <v>0.06583850931677018</v>
      </c>
      <c r="J384" s="28">
        <v>4.0</v>
      </c>
      <c r="K384" s="28" t="s">
        <v>57</v>
      </c>
      <c r="L384" s="28" t="s">
        <v>1128</v>
      </c>
    </row>
    <row r="385" ht="15.75" customHeight="1">
      <c r="A385" s="28" t="s">
        <v>1155</v>
      </c>
      <c r="B385" s="28" t="s">
        <v>1000</v>
      </c>
      <c r="D385" s="28" t="s">
        <v>1147</v>
      </c>
      <c r="E385" s="28" t="s">
        <v>1166</v>
      </c>
      <c r="F385" s="28" t="s">
        <v>1167</v>
      </c>
      <c r="G385" s="28" t="s">
        <v>1143</v>
      </c>
      <c r="H385" s="28">
        <v>1.0</v>
      </c>
      <c r="I385" s="28">
        <v>0.007556675062972292</v>
      </c>
      <c r="J385" s="28">
        <v>0.0</v>
      </c>
      <c r="K385" s="28" t="s">
        <v>57</v>
      </c>
      <c r="L385" s="28" t="s">
        <v>57</v>
      </c>
    </row>
    <row r="386" ht="15.75" customHeight="1">
      <c r="A386" s="28" t="s">
        <v>1155</v>
      </c>
      <c r="B386" s="28" t="s">
        <v>1000</v>
      </c>
      <c r="D386" s="28" t="s">
        <v>1147</v>
      </c>
      <c r="E386" s="28" t="s">
        <v>1168</v>
      </c>
      <c r="F386" s="28" t="s">
        <v>1169</v>
      </c>
      <c r="G386" s="28" t="s">
        <v>1145</v>
      </c>
      <c r="H386" s="28">
        <v>0.8333333333333334</v>
      </c>
      <c r="I386" s="28">
        <v>0.007556675062972292</v>
      </c>
      <c r="J386" s="28">
        <v>1.0</v>
      </c>
      <c r="K386" s="28" t="s">
        <v>57</v>
      </c>
      <c r="L386" s="28" t="s">
        <v>1128</v>
      </c>
    </row>
    <row r="387" ht="15.75" customHeight="1">
      <c r="A387" s="28" t="s">
        <v>1155</v>
      </c>
      <c r="B387" s="28" t="s">
        <v>1000</v>
      </c>
      <c r="D387" s="28" t="s">
        <v>1147</v>
      </c>
      <c r="E387" s="28" t="s">
        <v>1170</v>
      </c>
      <c r="F387" s="28" t="s">
        <v>1169</v>
      </c>
      <c r="G387" s="28" t="s">
        <v>1141</v>
      </c>
      <c r="H387" s="28">
        <v>0.8333333333333334</v>
      </c>
      <c r="I387" s="28">
        <v>0.015113350125944584</v>
      </c>
      <c r="J387" s="28">
        <v>2.0</v>
      </c>
      <c r="K387" s="28" t="s">
        <v>57</v>
      </c>
      <c r="L387" s="28" t="s">
        <v>1128</v>
      </c>
    </row>
    <row r="388" ht="15.75" customHeight="1">
      <c r="A388" s="28" t="s">
        <v>1155</v>
      </c>
      <c r="B388" s="28" t="s">
        <v>1000</v>
      </c>
      <c r="D388" s="28" t="s">
        <v>1147</v>
      </c>
      <c r="E388" s="28" t="s">
        <v>1171</v>
      </c>
      <c r="F388" s="28" t="s">
        <v>1172</v>
      </c>
      <c r="G388" s="28" t="s">
        <v>1165</v>
      </c>
      <c r="H388" s="28">
        <v>0.9166666666666666</v>
      </c>
      <c r="I388" s="28">
        <v>0.043478260869565216</v>
      </c>
      <c r="J388" s="28">
        <v>3.0</v>
      </c>
      <c r="K388" s="28" t="s">
        <v>57</v>
      </c>
      <c r="L388" s="28" t="s">
        <v>1158</v>
      </c>
    </row>
    <row r="389" ht="15.75" customHeight="1">
      <c r="A389" s="28" t="s">
        <v>1155</v>
      </c>
      <c r="B389" s="28" t="s">
        <v>1000</v>
      </c>
      <c r="D389" s="28" t="s">
        <v>1143</v>
      </c>
      <c r="E389" s="28" t="s">
        <v>1173</v>
      </c>
      <c r="F389" s="28" t="s">
        <v>1169</v>
      </c>
      <c r="G389" s="28" t="s">
        <v>1141</v>
      </c>
      <c r="H389" s="28">
        <v>0.8333333333333334</v>
      </c>
      <c r="I389" s="28">
        <v>0.01015228426395939</v>
      </c>
      <c r="J389" s="28">
        <v>1.0</v>
      </c>
      <c r="K389" s="28" t="s">
        <v>57</v>
      </c>
      <c r="L389" s="28" t="s">
        <v>1128</v>
      </c>
    </row>
    <row r="390" ht="15.75" customHeight="1">
      <c r="A390" s="28" t="s">
        <v>1155</v>
      </c>
      <c r="B390" s="28" t="s">
        <v>1000</v>
      </c>
      <c r="D390" s="28" t="s">
        <v>1143</v>
      </c>
      <c r="E390" s="28" t="s">
        <v>1174</v>
      </c>
      <c r="F390" s="28" t="s">
        <v>1169</v>
      </c>
      <c r="G390" s="28" t="s">
        <v>1145</v>
      </c>
      <c r="H390" s="28">
        <v>0.8333333333333334</v>
      </c>
      <c r="I390" s="28">
        <v>0.015151515151515152</v>
      </c>
      <c r="J390" s="28">
        <v>0.0</v>
      </c>
      <c r="K390" s="28" t="s">
        <v>57</v>
      </c>
      <c r="L390" s="28" t="s">
        <v>1128</v>
      </c>
    </row>
    <row r="391" ht="15.75" customHeight="1">
      <c r="A391" s="28" t="s">
        <v>1155</v>
      </c>
      <c r="B391" s="28" t="s">
        <v>1000</v>
      </c>
      <c r="D391" s="28" t="s">
        <v>1143</v>
      </c>
      <c r="E391" s="28" t="s">
        <v>1175</v>
      </c>
      <c r="F391" s="28" t="s">
        <v>1172</v>
      </c>
      <c r="G391" s="28" t="s">
        <v>1165</v>
      </c>
      <c r="H391" s="28">
        <v>0.9166666666666666</v>
      </c>
      <c r="I391" s="28">
        <v>0.03602484472049689</v>
      </c>
      <c r="J391" s="28">
        <v>2.0</v>
      </c>
      <c r="K391" s="28" t="s">
        <v>57</v>
      </c>
      <c r="L391" s="28" t="s">
        <v>1158</v>
      </c>
    </row>
    <row r="392" ht="15.75" customHeight="1">
      <c r="A392" s="28" t="s">
        <v>1155</v>
      </c>
      <c r="B392" s="28" t="s">
        <v>1000</v>
      </c>
      <c r="D392" s="28" t="s">
        <v>1145</v>
      </c>
      <c r="E392" s="28" t="s">
        <v>1176</v>
      </c>
      <c r="F392" s="28" t="s">
        <v>1177</v>
      </c>
      <c r="G392" s="28" t="s">
        <v>1141</v>
      </c>
      <c r="H392" s="28">
        <v>1.0</v>
      </c>
      <c r="I392" s="28">
        <v>0.007575757575757576</v>
      </c>
      <c r="J392" s="28">
        <v>0.0</v>
      </c>
      <c r="K392" s="28" t="s">
        <v>57</v>
      </c>
      <c r="L392" s="28" t="s">
        <v>57</v>
      </c>
    </row>
    <row r="393" ht="15.75" customHeight="1">
      <c r="A393" s="28" t="s">
        <v>1155</v>
      </c>
      <c r="B393" s="28" t="s">
        <v>1000</v>
      </c>
      <c r="D393" s="28" t="s">
        <v>1145</v>
      </c>
      <c r="E393" s="28" t="s">
        <v>1178</v>
      </c>
      <c r="F393" s="28" t="s">
        <v>1179</v>
      </c>
      <c r="G393" s="28" t="s">
        <v>1165</v>
      </c>
      <c r="H393" s="28">
        <v>0.9166666666666666</v>
      </c>
      <c r="I393" s="28">
        <v>0.043478260869565216</v>
      </c>
      <c r="J393" s="28">
        <v>1.0</v>
      </c>
      <c r="K393" s="28" t="s">
        <v>57</v>
      </c>
      <c r="L393" s="28" t="s">
        <v>1161</v>
      </c>
    </row>
    <row r="394" ht="15.75" customHeight="1">
      <c r="A394" s="28" t="s">
        <v>1155</v>
      </c>
      <c r="B394" s="28" t="s">
        <v>1000</v>
      </c>
      <c r="D394" s="28" t="s">
        <v>1141</v>
      </c>
      <c r="E394" s="28" t="s">
        <v>1180</v>
      </c>
      <c r="F394" s="28" t="s">
        <v>1179</v>
      </c>
      <c r="G394" s="28" t="s">
        <v>1165</v>
      </c>
      <c r="H394" s="28">
        <v>0.9166666666666666</v>
      </c>
      <c r="I394" s="28">
        <v>0.03602484472049689</v>
      </c>
      <c r="J394" s="28">
        <v>0.0</v>
      </c>
      <c r="K394" s="28" t="s">
        <v>57</v>
      </c>
      <c r="L394" s="28" t="s">
        <v>1161</v>
      </c>
    </row>
    <row r="395" ht="15.75" customHeight="1">
      <c r="A395" s="28" t="s">
        <v>45</v>
      </c>
      <c r="B395" s="28" t="s">
        <v>1000</v>
      </c>
      <c r="D395" s="28" t="s">
        <v>176</v>
      </c>
      <c r="E395" s="28" t="s">
        <v>1181</v>
      </c>
      <c r="F395" s="28" t="s">
        <v>1182</v>
      </c>
      <c r="G395" s="28" t="s">
        <v>1183</v>
      </c>
      <c r="H395" s="28">
        <v>1.0</v>
      </c>
      <c r="I395" s="28">
        <v>0.14473684210526316</v>
      </c>
      <c r="J395" s="28">
        <v>19.0</v>
      </c>
      <c r="K395" s="28" t="s">
        <v>57</v>
      </c>
      <c r="L395" s="28" t="s">
        <v>57</v>
      </c>
    </row>
    <row r="396" ht="15.75" customHeight="1">
      <c r="A396" s="28" t="s">
        <v>45</v>
      </c>
      <c r="B396" s="28" t="s">
        <v>1000</v>
      </c>
      <c r="D396" s="28" t="s">
        <v>176</v>
      </c>
      <c r="E396" s="28" t="s">
        <v>1184</v>
      </c>
      <c r="F396" s="28" t="s">
        <v>1182</v>
      </c>
      <c r="G396" s="28" t="s">
        <v>1185</v>
      </c>
      <c r="H396" s="28">
        <v>1.0</v>
      </c>
      <c r="I396" s="28">
        <v>0.175</v>
      </c>
      <c r="J396" s="28">
        <v>3.0</v>
      </c>
      <c r="K396" s="28" t="s">
        <v>57</v>
      </c>
      <c r="L396" s="28" t="s">
        <v>57</v>
      </c>
    </row>
    <row r="397" ht="15.75" customHeight="1">
      <c r="A397" s="28" t="s">
        <v>45</v>
      </c>
      <c r="B397" s="28" t="s">
        <v>1000</v>
      </c>
      <c r="D397" s="28" t="s">
        <v>176</v>
      </c>
      <c r="E397" s="28" t="s">
        <v>1186</v>
      </c>
      <c r="F397" s="28" t="s">
        <v>1187</v>
      </c>
      <c r="G397" s="28" t="s">
        <v>205</v>
      </c>
      <c r="H397" s="28">
        <v>1.0</v>
      </c>
      <c r="I397" s="28">
        <v>0.4298245614035088</v>
      </c>
      <c r="J397" s="28">
        <v>5.0</v>
      </c>
      <c r="K397" s="28" t="s">
        <v>57</v>
      </c>
      <c r="L397" s="28" t="s">
        <v>1188</v>
      </c>
    </row>
    <row r="398" ht="15.75" customHeight="1">
      <c r="A398" s="28" t="s">
        <v>45</v>
      </c>
      <c r="B398" s="28" t="s">
        <v>1000</v>
      </c>
      <c r="D398" s="28" t="s">
        <v>176</v>
      </c>
      <c r="E398" s="28" t="s">
        <v>1189</v>
      </c>
      <c r="F398" s="28" t="s">
        <v>1187</v>
      </c>
      <c r="G398" s="28" t="s">
        <v>117</v>
      </c>
      <c r="H398" s="28">
        <v>1.0</v>
      </c>
      <c r="I398" s="28">
        <v>0.43902439024390244</v>
      </c>
      <c r="J398" s="28">
        <v>0.0</v>
      </c>
      <c r="K398" s="28" t="s">
        <v>57</v>
      </c>
      <c r="L398" s="28" t="s">
        <v>1188</v>
      </c>
    </row>
    <row r="399" ht="15.75" customHeight="1">
      <c r="A399" s="28" t="s">
        <v>45</v>
      </c>
      <c r="B399" s="28" t="s">
        <v>1000</v>
      </c>
      <c r="D399" s="28" t="s">
        <v>176</v>
      </c>
      <c r="E399" s="28" t="s">
        <v>1190</v>
      </c>
      <c r="F399" s="28" t="s">
        <v>1187</v>
      </c>
      <c r="G399" s="28" t="s">
        <v>234</v>
      </c>
      <c r="H399" s="28">
        <v>1.0</v>
      </c>
      <c r="I399" s="28">
        <v>0.4608695652173913</v>
      </c>
      <c r="J399" s="28">
        <v>6.0</v>
      </c>
      <c r="K399" s="28" t="s">
        <v>57</v>
      </c>
      <c r="L399" s="28" t="s">
        <v>1188</v>
      </c>
    </row>
    <row r="400" ht="15.75" customHeight="1">
      <c r="A400" s="28" t="s">
        <v>45</v>
      </c>
      <c r="B400" s="28" t="s">
        <v>1000</v>
      </c>
      <c r="D400" s="28" t="s">
        <v>176</v>
      </c>
      <c r="E400" s="28" t="s">
        <v>1191</v>
      </c>
      <c r="F400" s="28" t="s">
        <v>1192</v>
      </c>
      <c r="G400" s="28" t="s">
        <v>167</v>
      </c>
      <c r="H400" s="28">
        <v>1.0</v>
      </c>
      <c r="I400" s="28">
        <v>0.564935064935065</v>
      </c>
      <c r="J400" s="28">
        <v>8.0</v>
      </c>
      <c r="K400" s="28" t="s">
        <v>57</v>
      </c>
      <c r="L400" s="28" t="s">
        <v>1188</v>
      </c>
    </row>
    <row r="401" ht="15.75" customHeight="1">
      <c r="A401" s="28" t="s">
        <v>45</v>
      </c>
      <c r="B401" s="28" t="s">
        <v>1000</v>
      </c>
      <c r="D401" s="28" t="s">
        <v>176</v>
      </c>
      <c r="E401" s="28" t="s">
        <v>1193</v>
      </c>
      <c r="F401" s="28" t="s">
        <v>1192</v>
      </c>
      <c r="G401" s="28" t="s">
        <v>173</v>
      </c>
      <c r="H401" s="28">
        <v>1.0</v>
      </c>
      <c r="I401" s="28">
        <v>0.591715976331361</v>
      </c>
      <c r="J401" s="28">
        <v>12.0</v>
      </c>
      <c r="K401" s="28" t="s">
        <v>57</v>
      </c>
      <c r="L401" s="28" t="s">
        <v>1188</v>
      </c>
    </row>
    <row r="402" ht="15.75" customHeight="1">
      <c r="A402" s="28" t="s">
        <v>45</v>
      </c>
      <c r="B402" s="28" t="s">
        <v>1000</v>
      </c>
      <c r="D402" s="28" t="s">
        <v>176</v>
      </c>
      <c r="E402" s="28" t="s">
        <v>1194</v>
      </c>
      <c r="F402" s="28" t="s">
        <v>1195</v>
      </c>
      <c r="G402" s="28" t="s">
        <v>1196</v>
      </c>
      <c r="H402" s="28">
        <v>1.0</v>
      </c>
      <c r="I402" s="28">
        <v>0.6329787234042553</v>
      </c>
      <c r="J402" s="28">
        <v>2.0</v>
      </c>
      <c r="K402" s="28" t="s">
        <v>57</v>
      </c>
      <c r="L402" s="28" t="s">
        <v>1188</v>
      </c>
    </row>
    <row r="403" ht="15.75" customHeight="1">
      <c r="A403" s="28" t="s">
        <v>45</v>
      </c>
      <c r="B403" s="28" t="s">
        <v>1000</v>
      </c>
      <c r="D403" s="28" t="s">
        <v>176</v>
      </c>
      <c r="E403" s="28" t="s">
        <v>1197</v>
      </c>
      <c r="F403" s="28" t="s">
        <v>1198</v>
      </c>
      <c r="G403" s="28" t="s">
        <v>79</v>
      </c>
      <c r="H403" s="28">
        <v>1.0</v>
      </c>
      <c r="I403" s="28">
        <v>0.7013574660633484</v>
      </c>
      <c r="J403" s="28">
        <v>15.0</v>
      </c>
      <c r="K403" s="28" t="s">
        <v>57</v>
      </c>
      <c r="L403" s="28" t="s">
        <v>1188</v>
      </c>
    </row>
    <row r="404" ht="15.75" customHeight="1">
      <c r="A404" s="28" t="s">
        <v>45</v>
      </c>
      <c r="B404" s="28" t="s">
        <v>1000</v>
      </c>
      <c r="D404" s="28" t="s">
        <v>176</v>
      </c>
      <c r="E404" s="28" t="s">
        <v>1199</v>
      </c>
      <c r="F404" s="28" t="s">
        <v>1182</v>
      </c>
      <c r="G404" s="28" t="s">
        <v>1200</v>
      </c>
      <c r="H404" s="28">
        <v>1.0</v>
      </c>
      <c r="I404" s="28">
        <v>0.7033492822966507</v>
      </c>
      <c r="J404" s="28">
        <v>16.0</v>
      </c>
      <c r="K404" s="28" t="s">
        <v>57</v>
      </c>
      <c r="L404" s="28" t="s">
        <v>57</v>
      </c>
    </row>
    <row r="405" ht="15.75" customHeight="1">
      <c r="A405" s="28" t="s">
        <v>45</v>
      </c>
      <c r="B405" s="28" t="s">
        <v>1000</v>
      </c>
      <c r="D405" s="28" t="s">
        <v>176</v>
      </c>
      <c r="E405" s="28" t="s">
        <v>1201</v>
      </c>
      <c r="F405" s="28" t="s">
        <v>1202</v>
      </c>
      <c r="G405" s="28" t="s">
        <v>1203</v>
      </c>
      <c r="H405" s="28">
        <v>1.0</v>
      </c>
      <c r="I405" s="28">
        <v>0.775974025974026</v>
      </c>
      <c r="J405" s="28">
        <v>4.0</v>
      </c>
      <c r="K405" s="28" t="s">
        <v>57</v>
      </c>
      <c r="L405" s="28" t="s">
        <v>1188</v>
      </c>
    </row>
    <row r="406" ht="15.75" customHeight="1">
      <c r="A406" s="28" t="s">
        <v>45</v>
      </c>
      <c r="B406" s="28" t="s">
        <v>1000</v>
      </c>
      <c r="D406" s="28" t="s">
        <v>176</v>
      </c>
      <c r="E406" s="28" t="s">
        <v>1204</v>
      </c>
      <c r="F406" s="28" t="s">
        <v>1205</v>
      </c>
      <c r="G406" s="28" t="s">
        <v>48</v>
      </c>
      <c r="H406" s="28">
        <v>1.0</v>
      </c>
      <c r="I406" s="28">
        <v>0.7927927927927928</v>
      </c>
      <c r="J406" s="28">
        <v>1.0</v>
      </c>
      <c r="K406" s="28" t="s">
        <v>57</v>
      </c>
      <c r="L406" s="28" t="s">
        <v>1188</v>
      </c>
    </row>
    <row r="407" ht="15.75" customHeight="1">
      <c r="A407" s="28" t="s">
        <v>45</v>
      </c>
      <c r="B407" s="28" t="s">
        <v>1000</v>
      </c>
      <c r="D407" s="28" t="s">
        <v>176</v>
      </c>
      <c r="E407" s="28" t="s">
        <v>1206</v>
      </c>
      <c r="F407" s="28" t="s">
        <v>1207</v>
      </c>
      <c r="G407" s="28" t="s">
        <v>73</v>
      </c>
      <c r="H407" s="28">
        <v>1.0</v>
      </c>
      <c r="I407" s="28">
        <v>0.8150134048257373</v>
      </c>
      <c r="J407" s="28">
        <v>9.0</v>
      </c>
      <c r="K407" s="28" t="s">
        <v>57</v>
      </c>
      <c r="L407" s="28" t="s">
        <v>1188</v>
      </c>
    </row>
    <row r="408" ht="15.75" customHeight="1">
      <c r="A408" s="28" t="s">
        <v>45</v>
      </c>
      <c r="B408" s="28" t="s">
        <v>1000</v>
      </c>
      <c r="D408" s="28" t="s">
        <v>176</v>
      </c>
      <c r="E408" s="28" t="s">
        <v>1208</v>
      </c>
      <c r="F408" s="28" t="s">
        <v>1209</v>
      </c>
      <c r="G408" s="28" t="s">
        <v>54</v>
      </c>
      <c r="H408" s="28">
        <v>1.0</v>
      </c>
      <c r="I408" s="28">
        <v>0.969306049822064</v>
      </c>
      <c r="J408" s="28">
        <v>13.0</v>
      </c>
      <c r="K408" s="28" t="s">
        <v>57</v>
      </c>
      <c r="L408" s="28" t="s">
        <v>1188</v>
      </c>
    </row>
    <row r="409" ht="15.75" customHeight="1">
      <c r="A409" s="28" t="s">
        <v>45</v>
      </c>
      <c r="B409" s="28" t="s">
        <v>1000</v>
      </c>
      <c r="D409" s="28" t="s">
        <v>117</v>
      </c>
      <c r="E409" s="28" t="s">
        <v>1210</v>
      </c>
      <c r="F409" s="28" t="s">
        <v>203</v>
      </c>
      <c r="G409" s="28" t="s">
        <v>205</v>
      </c>
      <c r="H409" s="28">
        <v>1.0</v>
      </c>
      <c r="I409" s="28">
        <v>0.21951219512195122</v>
      </c>
      <c r="J409" s="28">
        <v>4.0</v>
      </c>
      <c r="K409" s="28" t="s">
        <v>57</v>
      </c>
      <c r="L409" s="28" t="s">
        <v>57</v>
      </c>
    </row>
    <row r="410" ht="15.75" customHeight="1">
      <c r="A410" s="28" t="s">
        <v>45</v>
      </c>
      <c r="B410" s="28" t="s">
        <v>1000</v>
      </c>
      <c r="D410" s="28" t="s">
        <v>117</v>
      </c>
      <c r="E410" s="28" t="s">
        <v>1211</v>
      </c>
      <c r="F410" s="28" t="s">
        <v>203</v>
      </c>
      <c r="G410" s="28" t="s">
        <v>234</v>
      </c>
      <c r="H410" s="28">
        <v>1.0</v>
      </c>
      <c r="I410" s="28">
        <v>0.25203252032520324</v>
      </c>
      <c r="J410" s="28">
        <v>5.0</v>
      </c>
      <c r="K410" s="28" t="s">
        <v>57</v>
      </c>
      <c r="L410" s="28" t="s">
        <v>57</v>
      </c>
    </row>
    <row r="411" ht="15.75" customHeight="1">
      <c r="A411" s="28" t="s">
        <v>45</v>
      </c>
      <c r="B411" s="28" t="s">
        <v>1000</v>
      </c>
      <c r="D411" s="28" t="s">
        <v>117</v>
      </c>
      <c r="E411" s="28" t="s">
        <v>1212</v>
      </c>
      <c r="F411" s="28" t="s">
        <v>1213</v>
      </c>
      <c r="G411" s="28" t="s">
        <v>167</v>
      </c>
      <c r="H411" s="28">
        <v>1.0</v>
      </c>
      <c r="I411" s="28">
        <v>0.3051948051948052</v>
      </c>
      <c r="J411" s="28">
        <v>7.0</v>
      </c>
      <c r="K411" s="28" t="s">
        <v>57</v>
      </c>
      <c r="L411" s="28" t="s">
        <v>57</v>
      </c>
    </row>
    <row r="412" ht="15.75" customHeight="1">
      <c r="A412" s="28" t="s">
        <v>45</v>
      </c>
      <c r="B412" s="28" t="s">
        <v>1000</v>
      </c>
      <c r="D412" s="28" t="s">
        <v>117</v>
      </c>
      <c r="E412" s="28" t="s">
        <v>1214</v>
      </c>
      <c r="F412" s="28" t="s">
        <v>1213</v>
      </c>
      <c r="G412" s="28" t="s">
        <v>173</v>
      </c>
      <c r="H412" s="28">
        <v>1.0</v>
      </c>
      <c r="I412" s="28">
        <v>0.3727810650887574</v>
      </c>
      <c r="J412" s="28">
        <v>11.0</v>
      </c>
      <c r="K412" s="28" t="s">
        <v>57</v>
      </c>
      <c r="L412" s="28" t="s">
        <v>57</v>
      </c>
    </row>
    <row r="413" ht="15.75" customHeight="1">
      <c r="A413" s="28" t="s">
        <v>45</v>
      </c>
      <c r="B413" s="28" t="s">
        <v>1000</v>
      </c>
      <c r="D413" s="28" t="s">
        <v>117</v>
      </c>
      <c r="E413" s="28" t="s">
        <v>1215</v>
      </c>
      <c r="F413" s="28" t="s">
        <v>1216</v>
      </c>
      <c r="G413" s="28" t="s">
        <v>1185</v>
      </c>
      <c r="H413" s="28">
        <v>1.0</v>
      </c>
      <c r="I413" s="28">
        <v>0.3983739837398374</v>
      </c>
      <c r="J413" s="28">
        <v>2.0</v>
      </c>
      <c r="K413" s="28" t="s">
        <v>57</v>
      </c>
      <c r="L413" s="28" t="s">
        <v>1188</v>
      </c>
    </row>
    <row r="414" ht="15.75" customHeight="1">
      <c r="A414" s="28" t="s">
        <v>45</v>
      </c>
      <c r="B414" s="28" t="s">
        <v>1000</v>
      </c>
      <c r="D414" s="28" t="s">
        <v>117</v>
      </c>
      <c r="E414" s="28" t="s">
        <v>1217</v>
      </c>
      <c r="F414" s="28" t="s">
        <v>1218</v>
      </c>
      <c r="G414" s="28" t="s">
        <v>1196</v>
      </c>
      <c r="H414" s="28">
        <v>1.0</v>
      </c>
      <c r="I414" s="28">
        <v>0.425531914893617</v>
      </c>
      <c r="J414" s="28">
        <v>1.0</v>
      </c>
      <c r="K414" s="28" t="s">
        <v>57</v>
      </c>
      <c r="L414" s="28" t="s">
        <v>57</v>
      </c>
    </row>
    <row r="415" ht="15.75" customHeight="1">
      <c r="A415" s="28" t="s">
        <v>45</v>
      </c>
      <c r="B415" s="28" t="s">
        <v>1000</v>
      </c>
      <c r="D415" s="28" t="s">
        <v>117</v>
      </c>
      <c r="E415" s="28" t="s">
        <v>1219</v>
      </c>
      <c r="F415" s="28" t="s">
        <v>1216</v>
      </c>
      <c r="G415" s="28" t="s">
        <v>1183</v>
      </c>
      <c r="H415" s="28">
        <v>1.0</v>
      </c>
      <c r="I415" s="28">
        <v>0.43089430894308944</v>
      </c>
      <c r="J415" s="28">
        <v>18.0</v>
      </c>
      <c r="K415" s="28" t="s">
        <v>57</v>
      </c>
      <c r="L415" s="28" t="s">
        <v>1188</v>
      </c>
    </row>
    <row r="416" ht="15.75" customHeight="1">
      <c r="A416" s="28" t="s">
        <v>45</v>
      </c>
      <c r="B416" s="28" t="s">
        <v>1000</v>
      </c>
      <c r="D416" s="28" t="s">
        <v>117</v>
      </c>
      <c r="E416" s="28" t="s">
        <v>1220</v>
      </c>
      <c r="F416" s="28" t="s">
        <v>1221</v>
      </c>
      <c r="G416" s="28" t="s">
        <v>79</v>
      </c>
      <c r="H416" s="28">
        <v>1.0</v>
      </c>
      <c r="I416" s="28">
        <v>0.5158371040723982</v>
      </c>
      <c r="J416" s="28">
        <v>14.0</v>
      </c>
      <c r="K416" s="28" t="s">
        <v>57</v>
      </c>
      <c r="L416" s="28" t="s">
        <v>57</v>
      </c>
    </row>
    <row r="417" ht="15.75" customHeight="1">
      <c r="A417" s="28" t="s">
        <v>45</v>
      </c>
      <c r="B417" s="28" t="s">
        <v>1000</v>
      </c>
      <c r="D417" s="28" t="s">
        <v>117</v>
      </c>
      <c r="E417" s="28" t="s">
        <v>1222</v>
      </c>
      <c r="F417" s="28" t="s">
        <v>1223</v>
      </c>
      <c r="G417" s="28" t="s">
        <v>1203</v>
      </c>
      <c r="H417" s="28">
        <v>1.0</v>
      </c>
      <c r="I417" s="28">
        <v>0.6266233766233766</v>
      </c>
      <c r="J417" s="28">
        <v>3.0</v>
      </c>
      <c r="K417" s="28" t="s">
        <v>57</v>
      </c>
      <c r="L417" s="28" t="s">
        <v>57</v>
      </c>
    </row>
    <row r="418" ht="15.75" customHeight="1">
      <c r="A418" s="28" t="s">
        <v>45</v>
      </c>
      <c r="B418" s="28" t="s">
        <v>1000</v>
      </c>
      <c r="D418" s="28" t="s">
        <v>117</v>
      </c>
      <c r="E418" s="28" t="s">
        <v>1224</v>
      </c>
      <c r="F418" s="28" t="s">
        <v>1225</v>
      </c>
      <c r="G418" s="28" t="s">
        <v>48</v>
      </c>
      <c r="H418" s="28">
        <v>1.0</v>
      </c>
      <c r="I418" s="28">
        <v>0.6606606606606606</v>
      </c>
      <c r="J418" s="28">
        <v>0.0</v>
      </c>
      <c r="K418" s="28" t="s">
        <v>57</v>
      </c>
      <c r="L418" s="28" t="s">
        <v>57</v>
      </c>
    </row>
    <row r="419" ht="15.75" customHeight="1">
      <c r="A419" s="28" t="s">
        <v>45</v>
      </c>
      <c r="B419" s="28" t="s">
        <v>1000</v>
      </c>
      <c r="D419" s="28" t="s">
        <v>117</v>
      </c>
      <c r="E419" s="28" t="s">
        <v>1226</v>
      </c>
      <c r="F419" s="28" t="s">
        <v>1227</v>
      </c>
      <c r="G419" s="28" t="s">
        <v>73</v>
      </c>
      <c r="H419" s="28">
        <v>1.0</v>
      </c>
      <c r="I419" s="28">
        <v>0.6863270777479893</v>
      </c>
      <c r="J419" s="28">
        <v>8.0</v>
      </c>
      <c r="K419" s="28" t="s">
        <v>57</v>
      </c>
      <c r="L419" s="28" t="s">
        <v>57</v>
      </c>
    </row>
    <row r="420" ht="15.75" customHeight="1">
      <c r="A420" s="28" t="s">
        <v>45</v>
      </c>
      <c r="B420" s="28" t="s">
        <v>1000</v>
      </c>
      <c r="D420" s="28" t="s">
        <v>117</v>
      </c>
      <c r="E420" s="28" t="s">
        <v>1228</v>
      </c>
      <c r="F420" s="28" t="s">
        <v>1216</v>
      </c>
      <c r="G420" s="28" t="s">
        <v>1200</v>
      </c>
      <c r="H420" s="28">
        <v>1.0</v>
      </c>
      <c r="I420" s="28">
        <v>0.722488038277512</v>
      </c>
      <c r="J420" s="28">
        <v>15.0</v>
      </c>
      <c r="K420" s="28" t="s">
        <v>57</v>
      </c>
      <c r="L420" s="28" t="s">
        <v>1188</v>
      </c>
    </row>
    <row r="421" ht="15.75" customHeight="1">
      <c r="A421" s="28" t="s">
        <v>45</v>
      </c>
      <c r="B421" s="28" t="s">
        <v>1000</v>
      </c>
      <c r="D421" s="28" t="s">
        <v>117</v>
      </c>
      <c r="E421" s="28" t="s">
        <v>1229</v>
      </c>
      <c r="F421" s="28" t="s">
        <v>1230</v>
      </c>
      <c r="G421" s="28" t="s">
        <v>54</v>
      </c>
      <c r="H421" s="28">
        <v>1.0</v>
      </c>
      <c r="I421" s="28">
        <v>0.9483985765124555</v>
      </c>
      <c r="J421" s="28">
        <v>12.0</v>
      </c>
      <c r="K421" s="28" t="s">
        <v>57</v>
      </c>
      <c r="L421" s="28" t="s">
        <v>57</v>
      </c>
    </row>
    <row r="422" ht="15.75" customHeight="1">
      <c r="A422" s="28" t="s">
        <v>45</v>
      </c>
      <c r="B422" s="28" t="s">
        <v>1000</v>
      </c>
      <c r="D422" s="28" t="s">
        <v>48</v>
      </c>
      <c r="E422" s="28" t="s">
        <v>1231</v>
      </c>
      <c r="F422" s="28" t="s">
        <v>1232</v>
      </c>
      <c r="G422" s="28" t="s">
        <v>73</v>
      </c>
      <c r="H422" s="28">
        <v>1.0</v>
      </c>
      <c r="I422" s="28">
        <v>0.16353887399463807</v>
      </c>
      <c r="J422" s="28">
        <v>7.0</v>
      </c>
      <c r="K422" s="28" t="s">
        <v>57</v>
      </c>
      <c r="L422" s="28" t="s">
        <v>57</v>
      </c>
    </row>
    <row r="423" ht="15.75" customHeight="1">
      <c r="A423" s="28" t="s">
        <v>45</v>
      </c>
      <c r="B423" s="28" t="s">
        <v>1000</v>
      </c>
      <c r="D423" s="28" t="s">
        <v>48</v>
      </c>
      <c r="E423" s="28" t="s">
        <v>1233</v>
      </c>
      <c r="F423" s="28" t="s">
        <v>1234</v>
      </c>
      <c r="G423" s="28" t="s">
        <v>1203</v>
      </c>
      <c r="H423" s="28">
        <v>1.0</v>
      </c>
      <c r="I423" s="28">
        <v>0.16816816816816818</v>
      </c>
      <c r="J423" s="28">
        <v>2.0</v>
      </c>
      <c r="K423" s="28" t="s">
        <v>57</v>
      </c>
      <c r="L423" s="28" t="s">
        <v>57</v>
      </c>
    </row>
    <row r="424" ht="15.75" customHeight="1">
      <c r="A424" s="28" t="s">
        <v>45</v>
      </c>
      <c r="B424" s="28" t="s">
        <v>1000</v>
      </c>
      <c r="D424" s="28" t="s">
        <v>48</v>
      </c>
      <c r="E424" s="28" t="s">
        <v>1235</v>
      </c>
      <c r="F424" s="28" t="s">
        <v>1236</v>
      </c>
      <c r="G424" s="28" t="s">
        <v>79</v>
      </c>
      <c r="H424" s="28">
        <v>1.0</v>
      </c>
      <c r="I424" s="28">
        <v>0.35435435435435436</v>
      </c>
      <c r="J424" s="28">
        <v>13.0</v>
      </c>
      <c r="K424" s="28" t="s">
        <v>57</v>
      </c>
      <c r="L424" s="28" t="s">
        <v>57</v>
      </c>
    </row>
    <row r="425" ht="15.75" customHeight="1">
      <c r="A425" s="28" t="s">
        <v>45</v>
      </c>
      <c r="B425" s="28" t="s">
        <v>1000</v>
      </c>
      <c r="D425" s="28" t="s">
        <v>48</v>
      </c>
      <c r="E425" s="28" t="s">
        <v>1237</v>
      </c>
      <c r="F425" s="28" t="s">
        <v>1238</v>
      </c>
      <c r="G425" s="28" t="s">
        <v>1196</v>
      </c>
      <c r="H425" s="28">
        <v>1.0</v>
      </c>
      <c r="I425" s="28">
        <v>0.45045045045045046</v>
      </c>
      <c r="J425" s="28">
        <v>0.0</v>
      </c>
      <c r="K425" s="28" t="s">
        <v>57</v>
      </c>
      <c r="L425" s="28" t="s">
        <v>57</v>
      </c>
    </row>
    <row r="426" ht="15.75" customHeight="1">
      <c r="A426" s="28" t="s">
        <v>45</v>
      </c>
      <c r="B426" s="28" t="s">
        <v>1000</v>
      </c>
      <c r="D426" s="28" t="s">
        <v>48</v>
      </c>
      <c r="E426" s="28" t="s">
        <v>1239</v>
      </c>
      <c r="F426" s="28" t="s">
        <v>1240</v>
      </c>
      <c r="G426" s="28" t="s">
        <v>173</v>
      </c>
      <c r="H426" s="28">
        <v>1.0</v>
      </c>
      <c r="I426" s="28">
        <v>0.5255255255255256</v>
      </c>
      <c r="J426" s="28">
        <v>10.0</v>
      </c>
      <c r="K426" s="28" t="s">
        <v>57</v>
      </c>
      <c r="L426" s="28" t="s">
        <v>57</v>
      </c>
    </row>
    <row r="427" ht="15.75" customHeight="1">
      <c r="A427" s="28" t="s">
        <v>45</v>
      </c>
      <c r="B427" s="28" t="s">
        <v>1000</v>
      </c>
      <c r="D427" s="28" t="s">
        <v>48</v>
      </c>
      <c r="E427" s="28" t="s">
        <v>1241</v>
      </c>
      <c r="F427" s="28" t="s">
        <v>1240</v>
      </c>
      <c r="G427" s="28" t="s">
        <v>167</v>
      </c>
      <c r="H427" s="28">
        <v>1.0</v>
      </c>
      <c r="I427" s="28">
        <v>0.5555555555555556</v>
      </c>
      <c r="J427" s="28">
        <v>6.0</v>
      </c>
      <c r="K427" s="28" t="s">
        <v>57</v>
      </c>
      <c r="L427" s="28" t="s">
        <v>57</v>
      </c>
    </row>
    <row r="428" ht="15.75" customHeight="1">
      <c r="A428" s="28" t="s">
        <v>45</v>
      </c>
      <c r="B428" s="28" t="s">
        <v>1000</v>
      </c>
      <c r="D428" s="28" t="s">
        <v>48</v>
      </c>
      <c r="E428" s="28" t="s">
        <v>1242</v>
      </c>
      <c r="F428" s="28" t="s">
        <v>1243</v>
      </c>
      <c r="G428" s="28" t="s">
        <v>234</v>
      </c>
      <c r="H428" s="28">
        <v>1.0</v>
      </c>
      <c r="I428" s="28">
        <v>0.6906906906906907</v>
      </c>
      <c r="J428" s="28">
        <v>4.0</v>
      </c>
      <c r="K428" s="28" t="s">
        <v>57</v>
      </c>
      <c r="L428" s="28" t="s">
        <v>57</v>
      </c>
    </row>
    <row r="429" ht="15.75" customHeight="1">
      <c r="A429" s="28" t="s">
        <v>45</v>
      </c>
      <c r="B429" s="28" t="s">
        <v>1000</v>
      </c>
      <c r="D429" s="28" t="s">
        <v>48</v>
      </c>
      <c r="E429" s="28" t="s">
        <v>1244</v>
      </c>
      <c r="F429" s="28" t="s">
        <v>1243</v>
      </c>
      <c r="G429" s="28" t="s">
        <v>205</v>
      </c>
      <c r="H429" s="28">
        <v>1.0</v>
      </c>
      <c r="I429" s="28">
        <v>0.6936936936936937</v>
      </c>
      <c r="J429" s="28">
        <v>3.0</v>
      </c>
      <c r="K429" s="28" t="s">
        <v>57</v>
      </c>
      <c r="L429" s="28" t="s">
        <v>57</v>
      </c>
    </row>
    <row r="430" ht="15.75" customHeight="1">
      <c r="A430" s="28" t="s">
        <v>45</v>
      </c>
      <c r="B430" s="28" t="s">
        <v>1000</v>
      </c>
      <c r="D430" s="28" t="s">
        <v>48</v>
      </c>
      <c r="E430" s="28" t="s">
        <v>1245</v>
      </c>
      <c r="F430" s="28" t="s">
        <v>1246</v>
      </c>
      <c r="G430" s="28" t="s">
        <v>1200</v>
      </c>
      <c r="H430" s="28">
        <v>1.0</v>
      </c>
      <c r="I430" s="28">
        <v>0.7297297297297297</v>
      </c>
      <c r="J430" s="28">
        <v>14.0</v>
      </c>
      <c r="K430" s="28" t="s">
        <v>57</v>
      </c>
      <c r="L430" s="28" t="s">
        <v>1188</v>
      </c>
    </row>
    <row r="431" ht="15.75" customHeight="1">
      <c r="A431" s="28" t="s">
        <v>45</v>
      </c>
      <c r="B431" s="28" t="s">
        <v>1000</v>
      </c>
      <c r="D431" s="28" t="s">
        <v>48</v>
      </c>
      <c r="E431" s="28" t="s">
        <v>1247</v>
      </c>
      <c r="F431" s="28" t="s">
        <v>1246</v>
      </c>
      <c r="G431" s="28" t="s">
        <v>1185</v>
      </c>
      <c r="H431" s="28">
        <v>1.0</v>
      </c>
      <c r="I431" s="28">
        <v>0.7777777777777778</v>
      </c>
      <c r="J431" s="28">
        <v>1.0</v>
      </c>
      <c r="K431" s="28" t="s">
        <v>57</v>
      </c>
      <c r="L431" s="28" t="s">
        <v>1188</v>
      </c>
    </row>
    <row r="432" ht="15.75" customHeight="1">
      <c r="A432" s="28" t="s">
        <v>45</v>
      </c>
      <c r="B432" s="28" t="s">
        <v>1000</v>
      </c>
      <c r="D432" s="28" t="s">
        <v>48</v>
      </c>
      <c r="E432" s="28" t="s">
        <v>1248</v>
      </c>
      <c r="F432" s="28" t="s">
        <v>1246</v>
      </c>
      <c r="G432" s="28" t="s">
        <v>1183</v>
      </c>
      <c r="H432" s="28">
        <v>1.0</v>
      </c>
      <c r="I432" s="28">
        <v>0.7837837837837838</v>
      </c>
      <c r="J432" s="28">
        <v>17.0</v>
      </c>
      <c r="K432" s="28" t="s">
        <v>57</v>
      </c>
      <c r="L432" s="28" t="s">
        <v>1188</v>
      </c>
    </row>
    <row r="433" ht="15.75" customHeight="1">
      <c r="A433" s="28" t="s">
        <v>45</v>
      </c>
      <c r="B433" s="28" t="s">
        <v>1000</v>
      </c>
      <c r="D433" s="28" t="s">
        <v>48</v>
      </c>
      <c r="E433" s="28" t="s">
        <v>1249</v>
      </c>
      <c r="F433" s="28" t="s">
        <v>1250</v>
      </c>
      <c r="G433" s="28" t="s">
        <v>54</v>
      </c>
      <c r="H433" s="28">
        <v>1.0</v>
      </c>
      <c r="I433" s="28">
        <v>0.8540925266903915</v>
      </c>
      <c r="J433" s="28">
        <v>11.0</v>
      </c>
      <c r="K433" s="28" t="s">
        <v>57</v>
      </c>
      <c r="L433" s="28" t="s">
        <v>57</v>
      </c>
    </row>
    <row r="434" ht="15.75" customHeight="1">
      <c r="A434" s="28" t="s">
        <v>45</v>
      </c>
      <c r="B434" s="28" t="s">
        <v>1000</v>
      </c>
      <c r="D434" s="28" t="s">
        <v>1196</v>
      </c>
      <c r="E434" s="28" t="s">
        <v>1251</v>
      </c>
      <c r="F434" s="28" t="s">
        <v>1252</v>
      </c>
      <c r="G434" s="28" t="s">
        <v>167</v>
      </c>
      <c r="H434" s="28">
        <v>1.0</v>
      </c>
      <c r="I434" s="28">
        <v>0.2127659574468085</v>
      </c>
      <c r="J434" s="28">
        <v>5.0</v>
      </c>
      <c r="K434" s="28" t="s">
        <v>57</v>
      </c>
      <c r="L434" s="28" t="s">
        <v>57</v>
      </c>
    </row>
    <row r="435" ht="15.75" customHeight="1">
      <c r="A435" s="28" t="s">
        <v>45</v>
      </c>
      <c r="B435" s="28" t="s">
        <v>1000</v>
      </c>
      <c r="D435" s="28" t="s">
        <v>1196</v>
      </c>
      <c r="E435" s="28" t="s">
        <v>1253</v>
      </c>
      <c r="F435" s="28" t="s">
        <v>1254</v>
      </c>
      <c r="G435" s="28" t="s">
        <v>79</v>
      </c>
      <c r="H435" s="28">
        <v>1.0</v>
      </c>
      <c r="I435" s="28">
        <v>0.23076923076923078</v>
      </c>
      <c r="J435" s="28">
        <v>12.0</v>
      </c>
      <c r="K435" s="28" t="s">
        <v>57</v>
      </c>
      <c r="L435" s="28" t="s">
        <v>57</v>
      </c>
    </row>
    <row r="436" ht="15.75" customHeight="1">
      <c r="A436" s="28" t="s">
        <v>45</v>
      </c>
      <c r="B436" s="28" t="s">
        <v>1000</v>
      </c>
      <c r="D436" s="28" t="s">
        <v>1196</v>
      </c>
      <c r="E436" s="28" t="s">
        <v>1255</v>
      </c>
      <c r="F436" s="28" t="s">
        <v>1252</v>
      </c>
      <c r="G436" s="28" t="s">
        <v>173</v>
      </c>
      <c r="H436" s="28">
        <v>1.0</v>
      </c>
      <c r="I436" s="28">
        <v>0.25</v>
      </c>
      <c r="J436" s="28">
        <v>9.0</v>
      </c>
      <c r="K436" s="28" t="s">
        <v>57</v>
      </c>
      <c r="L436" s="28" t="s">
        <v>57</v>
      </c>
    </row>
    <row r="437" ht="15.75" customHeight="1">
      <c r="A437" s="28" t="s">
        <v>45</v>
      </c>
      <c r="B437" s="28" t="s">
        <v>1000</v>
      </c>
      <c r="D437" s="28" t="s">
        <v>1196</v>
      </c>
      <c r="E437" s="28" t="s">
        <v>1256</v>
      </c>
      <c r="F437" s="28" t="s">
        <v>1257</v>
      </c>
      <c r="G437" s="28" t="s">
        <v>1203</v>
      </c>
      <c r="H437" s="28">
        <v>1.0</v>
      </c>
      <c r="I437" s="28">
        <v>0.3961038961038961</v>
      </c>
      <c r="J437" s="28">
        <v>1.0</v>
      </c>
      <c r="K437" s="28" t="s">
        <v>57</v>
      </c>
      <c r="L437" s="28" t="s">
        <v>57</v>
      </c>
    </row>
    <row r="438" ht="15.75" customHeight="1">
      <c r="A438" s="28" t="s">
        <v>45</v>
      </c>
      <c r="B438" s="28" t="s">
        <v>1000</v>
      </c>
      <c r="D438" s="28" t="s">
        <v>1196</v>
      </c>
      <c r="E438" s="28" t="s">
        <v>1258</v>
      </c>
      <c r="F438" s="28" t="s">
        <v>1259</v>
      </c>
      <c r="G438" s="28" t="s">
        <v>234</v>
      </c>
      <c r="H438" s="28">
        <v>1.0</v>
      </c>
      <c r="I438" s="28">
        <v>0.4521276595744681</v>
      </c>
      <c r="J438" s="28">
        <v>3.0</v>
      </c>
      <c r="K438" s="28" t="s">
        <v>57</v>
      </c>
      <c r="L438" s="28" t="s">
        <v>57</v>
      </c>
    </row>
    <row r="439" ht="15.75" customHeight="1">
      <c r="A439" s="28" t="s">
        <v>45</v>
      </c>
      <c r="B439" s="28" t="s">
        <v>1000</v>
      </c>
      <c r="D439" s="28" t="s">
        <v>1196</v>
      </c>
      <c r="E439" s="28" t="s">
        <v>1260</v>
      </c>
      <c r="F439" s="28" t="s">
        <v>1259</v>
      </c>
      <c r="G439" s="28" t="s">
        <v>205</v>
      </c>
      <c r="H439" s="28">
        <v>1.0</v>
      </c>
      <c r="I439" s="28">
        <v>0.4734042553191489</v>
      </c>
      <c r="J439" s="28">
        <v>2.0</v>
      </c>
      <c r="K439" s="28" t="s">
        <v>57</v>
      </c>
      <c r="L439" s="28" t="s">
        <v>57</v>
      </c>
    </row>
    <row r="440" ht="15.75" customHeight="1">
      <c r="A440" s="28" t="s">
        <v>45</v>
      </c>
      <c r="B440" s="28" t="s">
        <v>1000</v>
      </c>
      <c r="D440" s="28" t="s">
        <v>1196</v>
      </c>
      <c r="E440" s="28" t="s">
        <v>1261</v>
      </c>
      <c r="F440" s="28" t="s">
        <v>1262</v>
      </c>
      <c r="G440" s="28" t="s">
        <v>73</v>
      </c>
      <c r="H440" s="28">
        <v>1.0</v>
      </c>
      <c r="I440" s="28">
        <v>0.5093833780160858</v>
      </c>
      <c r="J440" s="28">
        <v>6.0</v>
      </c>
      <c r="K440" s="28" t="s">
        <v>57</v>
      </c>
      <c r="L440" s="28" t="s">
        <v>57</v>
      </c>
    </row>
    <row r="441" ht="15.75" customHeight="1">
      <c r="A441" s="28" t="s">
        <v>45</v>
      </c>
      <c r="B441" s="28" t="s">
        <v>1000</v>
      </c>
      <c r="D441" s="28" t="s">
        <v>1196</v>
      </c>
      <c r="E441" s="28" t="s">
        <v>1263</v>
      </c>
      <c r="F441" s="28" t="s">
        <v>1264</v>
      </c>
      <c r="G441" s="28" t="s">
        <v>1185</v>
      </c>
      <c r="H441" s="28">
        <v>1.0</v>
      </c>
      <c r="I441" s="28">
        <v>0.5904255319148937</v>
      </c>
      <c r="J441" s="28">
        <v>0.0</v>
      </c>
      <c r="K441" s="28" t="s">
        <v>57</v>
      </c>
      <c r="L441" s="28" t="s">
        <v>1188</v>
      </c>
    </row>
    <row r="442" ht="15.75" customHeight="1">
      <c r="A442" s="28" t="s">
        <v>45</v>
      </c>
      <c r="B442" s="28" t="s">
        <v>1000</v>
      </c>
      <c r="D442" s="28" t="s">
        <v>1196</v>
      </c>
      <c r="E442" s="28" t="s">
        <v>1265</v>
      </c>
      <c r="F442" s="28" t="s">
        <v>1264</v>
      </c>
      <c r="G442" s="28" t="s">
        <v>1183</v>
      </c>
      <c r="H442" s="28">
        <v>1.0</v>
      </c>
      <c r="I442" s="28">
        <v>0.6329787234042553</v>
      </c>
      <c r="J442" s="28">
        <v>16.0</v>
      </c>
      <c r="K442" s="28" t="s">
        <v>57</v>
      </c>
      <c r="L442" s="28" t="s">
        <v>1188</v>
      </c>
    </row>
    <row r="443" ht="15.75" customHeight="1">
      <c r="A443" s="28" t="s">
        <v>45</v>
      </c>
      <c r="B443" s="28" t="s">
        <v>1000</v>
      </c>
      <c r="D443" s="28" t="s">
        <v>1196</v>
      </c>
      <c r="E443" s="28" t="s">
        <v>1266</v>
      </c>
      <c r="F443" s="28" t="s">
        <v>1264</v>
      </c>
      <c r="G443" s="28" t="s">
        <v>1200</v>
      </c>
      <c r="H443" s="28">
        <v>1.0</v>
      </c>
      <c r="I443" s="28">
        <v>0.645933014354067</v>
      </c>
      <c r="J443" s="28">
        <v>13.0</v>
      </c>
      <c r="K443" s="28" t="s">
        <v>57</v>
      </c>
      <c r="L443" s="28" t="s">
        <v>1188</v>
      </c>
    </row>
    <row r="444" ht="15.75" customHeight="1">
      <c r="A444" s="28" t="s">
        <v>45</v>
      </c>
      <c r="B444" s="28" t="s">
        <v>1000</v>
      </c>
      <c r="D444" s="28" t="s">
        <v>1196</v>
      </c>
      <c r="E444" s="28" t="s">
        <v>1267</v>
      </c>
      <c r="F444" s="28" t="s">
        <v>1268</v>
      </c>
      <c r="G444" s="28" t="s">
        <v>54</v>
      </c>
      <c r="H444" s="28">
        <v>1.0</v>
      </c>
      <c r="I444" s="28">
        <v>0.9185943060498221</v>
      </c>
      <c r="J444" s="28">
        <v>10.0</v>
      </c>
      <c r="K444" s="28" t="s">
        <v>57</v>
      </c>
      <c r="L444" s="28" t="s">
        <v>57</v>
      </c>
    </row>
    <row r="445" ht="15.75" customHeight="1">
      <c r="A445" s="28" t="s">
        <v>45</v>
      </c>
      <c r="B445" s="28" t="s">
        <v>1000</v>
      </c>
      <c r="D445" s="28" t="s">
        <v>1185</v>
      </c>
      <c r="E445" s="28" t="s">
        <v>1269</v>
      </c>
      <c r="F445" s="28" t="s">
        <v>1182</v>
      </c>
      <c r="G445" s="28" t="s">
        <v>1183</v>
      </c>
      <c r="H445" s="28">
        <v>1.0</v>
      </c>
      <c r="I445" s="28">
        <v>0.1875</v>
      </c>
      <c r="J445" s="28">
        <v>15.0</v>
      </c>
      <c r="K445" s="28" t="s">
        <v>57</v>
      </c>
      <c r="L445" s="28" t="s">
        <v>57</v>
      </c>
    </row>
    <row r="446" ht="15.75" customHeight="1">
      <c r="A446" s="28" t="s">
        <v>45</v>
      </c>
      <c r="B446" s="28" t="s">
        <v>1000</v>
      </c>
      <c r="D446" s="28" t="s">
        <v>1185</v>
      </c>
      <c r="E446" s="28" t="s">
        <v>1270</v>
      </c>
      <c r="F446" s="28" t="s">
        <v>1187</v>
      </c>
      <c r="G446" s="28" t="s">
        <v>234</v>
      </c>
      <c r="H446" s="28">
        <v>1.0</v>
      </c>
      <c r="I446" s="28">
        <v>0.40869565217391307</v>
      </c>
      <c r="J446" s="28">
        <v>2.0</v>
      </c>
      <c r="K446" s="28" t="s">
        <v>57</v>
      </c>
      <c r="L446" s="28" t="s">
        <v>1188</v>
      </c>
    </row>
    <row r="447" ht="15.75" customHeight="1">
      <c r="A447" s="28" t="s">
        <v>45</v>
      </c>
      <c r="B447" s="28" t="s">
        <v>1000</v>
      </c>
      <c r="D447" s="28" t="s">
        <v>1185</v>
      </c>
      <c r="E447" s="28" t="s">
        <v>1271</v>
      </c>
      <c r="F447" s="28" t="s">
        <v>1187</v>
      </c>
      <c r="G447" s="28" t="s">
        <v>205</v>
      </c>
      <c r="H447" s="28">
        <v>1.0</v>
      </c>
      <c r="I447" s="28">
        <v>0.4473684210526316</v>
      </c>
      <c r="J447" s="28">
        <v>1.0</v>
      </c>
      <c r="K447" s="28" t="s">
        <v>57</v>
      </c>
      <c r="L447" s="28" t="s">
        <v>1188</v>
      </c>
    </row>
    <row r="448" ht="15.75" customHeight="1">
      <c r="A448" s="28" t="s">
        <v>45</v>
      </c>
      <c r="B448" s="28" t="s">
        <v>1000</v>
      </c>
      <c r="D448" s="28" t="s">
        <v>1185</v>
      </c>
      <c r="E448" s="28" t="s">
        <v>1272</v>
      </c>
      <c r="F448" s="28" t="s">
        <v>1192</v>
      </c>
      <c r="G448" s="28" t="s">
        <v>167</v>
      </c>
      <c r="H448" s="28">
        <v>1.0</v>
      </c>
      <c r="I448" s="28">
        <v>0.5064935064935064</v>
      </c>
      <c r="J448" s="28">
        <v>4.0</v>
      </c>
      <c r="K448" s="28" t="s">
        <v>57</v>
      </c>
      <c r="L448" s="28" t="s">
        <v>1188</v>
      </c>
    </row>
    <row r="449" ht="15.75" customHeight="1">
      <c r="A449" s="28" t="s">
        <v>45</v>
      </c>
      <c r="B449" s="28" t="s">
        <v>1000</v>
      </c>
      <c r="D449" s="28" t="s">
        <v>1185</v>
      </c>
      <c r="E449" s="28" t="s">
        <v>1273</v>
      </c>
      <c r="F449" s="28" t="s">
        <v>1192</v>
      </c>
      <c r="G449" s="28" t="s">
        <v>173</v>
      </c>
      <c r="H449" s="28">
        <v>1.0</v>
      </c>
      <c r="I449" s="28">
        <v>0.5562130177514792</v>
      </c>
      <c r="J449" s="28">
        <v>8.0</v>
      </c>
      <c r="K449" s="28" t="s">
        <v>57</v>
      </c>
      <c r="L449" s="28" t="s">
        <v>1188</v>
      </c>
    </row>
    <row r="450" ht="15.75" customHeight="1">
      <c r="A450" s="28" t="s">
        <v>45</v>
      </c>
      <c r="B450" s="28" t="s">
        <v>1000</v>
      </c>
      <c r="D450" s="28" t="s">
        <v>1185</v>
      </c>
      <c r="E450" s="28" t="s">
        <v>1274</v>
      </c>
      <c r="F450" s="28" t="s">
        <v>1198</v>
      </c>
      <c r="G450" s="28" t="s">
        <v>79</v>
      </c>
      <c r="H450" s="28">
        <v>1.0</v>
      </c>
      <c r="I450" s="28">
        <v>0.6787330316742082</v>
      </c>
      <c r="J450" s="28">
        <v>11.0</v>
      </c>
      <c r="K450" s="28" t="s">
        <v>57</v>
      </c>
      <c r="L450" s="28" t="s">
        <v>1188</v>
      </c>
    </row>
    <row r="451" ht="15.75" customHeight="1">
      <c r="A451" s="28" t="s">
        <v>45</v>
      </c>
      <c r="B451" s="28" t="s">
        <v>1000</v>
      </c>
      <c r="D451" s="28" t="s">
        <v>1185</v>
      </c>
      <c r="E451" s="28" t="s">
        <v>1275</v>
      </c>
      <c r="F451" s="28" t="s">
        <v>1182</v>
      </c>
      <c r="G451" s="28" t="s">
        <v>1200</v>
      </c>
      <c r="H451" s="28">
        <v>1.0</v>
      </c>
      <c r="I451" s="28">
        <v>0.6842105263157895</v>
      </c>
      <c r="J451" s="28">
        <v>12.0</v>
      </c>
      <c r="K451" s="28" t="s">
        <v>57</v>
      </c>
      <c r="L451" s="28" t="s">
        <v>57</v>
      </c>
    </row>
    <row r="452" ht="15.75" customHeight="1">
      <c r="A452" s="28" t="s">
        <v>45</v>
      </c>
      <c r="B452" s="28" t="s">
        <v>1000</v>
      </c>
      <c r="D452" s="28" t="s">
        <v>1185</v>
      </c>
      <c r="E452" s="28" t="s">
        <v>1276</v>
      </c>
      <c r="F452" s="28" t="s">
        <v>1202</v>
      </c>
      <c r="G452" s="28" t="s">
        <v>1203</v>
      </c>
      <c r="H452" s="28">
        <v>1.0</v>
      </c>
      <c r="I452" s="28">
        <v>0.7532467532467533</v>
      </c>
      <c r="J452" s="28">
        <v>0.0</v>
      </c>
      <c r="K452" s="28" t="s">
        <v>57</v>
      </c>
      <c r="L452" s="28" t="s">
        <v>1188</v>
      </c>
    </row>
    <row r="453" ht="15.75" customHeight="1">
      <c r="A453" s="28" t="s">
        <v>45</v>
      </c>
      <c r="B453" s="28" t="s">
        <v>1000</v>
      </c>
      <c r="D453" s="28" t="s">
        <v>1185</v>
      </c>
      <c r="E453" s="28" t="s">
        <v>1277</v>
      </c>
      <c r="F453" s="28" t="s">
        <v>1207</v>
      </c>
      <c r="G453" s="28" t="s">
        <v>73</v>
      </c>
      <c r="H453" s="28">
        <v>1.0</v>
      </c>
      <c r="I453" s="28">
        <v>0.7962466487935657</v>
      </c>
      <c r="J453" s="28">
        <v>5.0</v>
      </c>
      <c r="K453" s="28" t="s">
        <v>57</v>
      </c>
      <c r="L453" s="28" t="s">
        <v>1188</v>
      </c>
    </row>
    <row r="454" ht="15.75" customHeight="1">
      <c r="A454" s="28" t="s">
        <v>45</v>
      </c>
      <c r="B454" s="28" t="s">
        <v>1000</v>
      </c>
      <c r="D454" s="28" t="s">
        <v>1185</v>
      </c>
      <c r="E454" s="28" t="s">
        <v>1278</v>
      </c>
      <c r="F454" s="28" t="s">
        <v>1209</v>
      </c>
      <c r="G454" s="28" t="s">
        <v>54</v>
      </c>
      <c r="H454" s="28">
        <v>1.0</v>
      </c>
      <c r="I454" s="28">
        <v>0.9670818505338078</v>
      </c>
      <c r="J454" s="28">
        <v>9.0</v>
      </c>
      <c r="K454" s="28" t="s">
        <v>57</v>
      </c>
      <c r="L454" s="28" t="s">
        <v>1188</v>
      </c>
    </row>
    <row r="455" ht="15.75" customHeight="1">
      <c r="A455" s="28" t="s">
        <v>45</v>
      </c>
      <c r="B455" s="28" t="s">
        <v>1000</v>
      </c>
      <c r="D455" s="28" t="s">
        <v>1203</v>
      </c>
      <c r="E455" s="28" t="s">
        <v>1279</v>
      </c>
      <c r="F455" s="28" t="s">
        <v>1280</v>
      </c>
      <c r="G455" s="28" t="s">
        <v>73</v>
      </c>
      <c r="H455" s="28">
        <v>1.0</v>
      </c>
      <c r="I455" s="28">
        <v>0.23324396782841822</v>
      </c>
      <c r="J455" s="28">
        <v>4.0</v>
      </c>
      <c r="K455" s="28" t="s">
        <v>57</v>
      </c>
      <c r="L455" s="28" t="s">
        <v>57</v>
      </c>
    </row>
    <row r="456" ht="15.75" customHeight="1">
      <c r="A456" s="28" t="s">
        <v>45</v>
      </c>
      <c r="B456" s="28" t="s">
        <v>1000</v>
      </c>
      <c r="D456" s="28" t="s">
        <v>1203</v>
      </c>
      <c r="E456" s="28" t="s">
        <v>1281</v>
      </c>
      <c r="F456" s="28" t="s">
        <v>1282</v>
      </c>
      <c r="G456" s="28" t="s">
        <v>79</v>
      </c>
      <c r="H456" s="28">
        <v>1.0</v>
      </c>
      <c r="I456" s="28">
        <v>0.3181818181818182</v>
      </c>
      <c r="J456" s="28">
        <v>10.0</v>
      </c>
      <c r="K456" s="28" t="s">
        <v>57</v>
      </c>
      <c r="L456" s="28" t="s">
        <v>57</v>
      </c>
    </row>
    <row r="457" ht="15.75" customHeight="1">
      <c r="A457" s="28" t="s">
        <v>45</v>
      </c>
      <c r="B457" s="28" t="s">
        <v>1000</v>
      </c>
      <c r="D457" s="28" t="s">
        <v>1203</v>
      </c>
      <c r="E457" s="28" t="s">
        <v>1283</v>
      </c>
      <c r="F457" s="28" t="s">
        <v>1284</v>
      </c>
      <c r="G457" s="28" t="s">
        <v>173</v>
      </c>
      <c r="H457" s="28">
        <v>1.0</v>
      </c>
      <c r="I457" s="28">
        <v>0.4805194805194805</v>
      </c>
      <c r="J457" s="28">
        <v>7.0</v>
      </c>
      <c r="K457" s="28" t="s">
        <v>57</v>
      </c>
      <c r="L457" s="28" t="s">
        <v>57</v>
      </c>
    </row>
    <row r="458" ht="15.75" customHeight="1">
      <c r="A458" s="28" t="s">
        <v>45</v>
      </c>
      <c r="B458" s="28" t="s">
        <v>1000</v>
      </c>
      <c r="D458" s="28" t="s">
        <v>1203</v>
      </c>
      <c r="E458" s="28" t="s">
        <v>1285</v>
      </c>
      <c r="F458" s="28" t="s">
        <v>1284</v>
      </c>
      <c r="G458" s="28" t="s">
        <v>167</v>
      </c>
      <c r="H458" s="28">
        <v>1.0</v>
      </c>
      <c r="I458" s="28">
        <v>0.5097402597402597</v>
      </c>
      <c r="J458" s="28">
        <v>3.0</v>
      </c>
      <c r="K458" s="28" t="s">
        <v>57</v>
      </c>
      <c r="L458" s="28" t="s">
        <v>57</v>
      </c>
    </row>
    <row r="459" ht="15.75" customHeight="1">
      <c r="A459" s="28" t="s">
        <v>45</v>
      </c>
      <c r="B459" s="28" t="s">
        <v>1000</v>
      </c>
      <c r="D459" s="28" t="s">
        <v>1203</v>
      </c>
      <c r="E459" s="28" t="s">
        <v>1286</v>
      </c>
      <c r="F459" s="28" t="s">
        <v>1287</v>
      </c>
      <c r="G459" s="28" t="s">
        <v>234</v>
      </c>
      <c r="H459" s="28">
        <v>1.0</v>
      </c>
      <c r="I459" s="28">
        <v>0.6655844155844156</v>
      </c>
      <c r="J459" s="28">
        <v>1.0</v>
      </c>
      <c r="K459" s="28" t="s">
        <v>57</v>
      </c>
      <c r="L459" s="28" t="s">
        <v>57</v>
      </c>
    </row>
    <row r="460" ht="15.75" customHeight="1">
      <c r="A460" s="28" t="s">
        <v>45</v>
      </c>
      <c r="B460" s="28" t="s">
        <v>1000</v>
      </c>
      <c r="D460" s="28" t="s">
        <v>1203</v>
      </c>
      <c r="E460" s="28" t="s">
        <v>1288</v>
      </c>
      <c r="F460" s="28" t="s">
        <v>1287</v>
      </c>
      <c r="G460" s="28" t="s">
        <v>205</v>
      </c>
      <c r="H460" s="28">
        <v>1.0</v>
      </c>
      <c r="I460" s="28">
        <v>0.672077922077922</v>
      </c>
      <c r="J460" s="28">
        <v>0.0</v>
      </c>
      <c r="K460" s="28" t="s">
        <v>57</v>
      </c>
      <c r="L460" s="28" t="s">
        <v>57</v>
      </c>
    </row>
    <row r="461" ht="15.75" customHeight="1">
      <c r="A461" s="28" t="s">
        <v>45</v>
      </c>
      <c r="B461" s="28" t="s">
        <v>1000</v>
      </c>
      <c r="D461" s="28" t="s">
        <v>1203</v>
      </c>
      <c r="E461" s="28" t="s">
        <v>1289</v>
      </c>
      <c r="F461" s="28" t="s">
        <v>1290</v>
      </c>
      <c r="G461" s="28" t="s">
        <v>1200</v>
      </c>
      <c r="H461" s="28">
        <v>1.0</v>
      </c>
      <c r="I461" s="28">
        <v>0.6948051948051948</v>
      </c>
      <c r="J461" s="28">
        <v>11.0</v>
      </c>
      <c r="K461" s="28" t="s">
        <v>57</v>
      </c>
      <c r="L461" s="28" t="s">
        <v>1188</v>
      </c>
    </row>
    <row r="462" ht="15.75" customHeight="1">
      <c r="A462" s="28" t="s">
        <v>45</v>
      </c>
      <c r="B462" s="28" t="s">
        <v>1000</v>
      </c>
      <c r="D462" s="28" t="s">
        <v>1203</v>
      </c>
      <c r="E462" s="28" t="s">
        <v>1291</v>
      </c>
      <c r="F462" s="28" t="s">
        <v>1290</v>
      </c>
      <c r="G462" s="28" t="s">
        <v>1183</v>
      </c>
      <c r="H462" s="28">
        <v>1.0</v>
      </c>
      <c r="I462" s="28">
        <v>0.7662337662337663</v>
      </c>
      <c r="J462" s="28">
        <v>14.0</v>
      </c>
      <c r="K462" s="28" t="s">
        <v>57</v>
      </c>
      <c r="L462" s="28" t="s">
        <v>1188</v>
      </c>
    </row>
    <row r="463" ht="15.75" customHeight="1">
      <c r="A463" s="28" t="s">
        <v>45</v>
      </c>
      <c r="B463" s="28" t="s">
        <v>1000</v>
      </c>
      <c r="D463" s="28" t="s">
        <v>1203</v>
      </c>
      <c r="E463" s="28" t="s">
        <v>1292</v>
      </c>
      <c r="F463" s="28" t="s">
        <v>1293</v>
      </c>
      <c r="G463" s="28" t="s">
        <v>54</v>
      </c>
      <c r="H463" s="28">
        <v>1.0</v>
      </c>
      <c r="I463" s="28">
        <v>0.8669928825622776</v>
      </c>
      <c r="J463" s="28">
        <v>8.0</v>
      </c>
      <c r="K463" s="28" t="s">
        <v>57</v>
      </c>
      <c r="L463" s="28" t="s">
        <v>57</v>
      </c>
    </row>
    <row r="464" ht="15.75" customHeight="1">
      <c r="A464" s="28" t="s">
        <v>45</v>
      </c>
      <c r="B464" s="28" t="s">
        <v>1000</v>
      </c>
      <c r="D464" s="28" t="s">
        <v>205</v>
      </c>
      <c r="E464" s="28" t="s">
        <v>1294</v>
      </c>
      <c r="F464" s="28" t="s">
        <v>203</v>
      </c>
      <c r="G464" s="28" t="s">
        <v>234</v>
      </c>
      <c r="H464" s="28">
        <v>1.0</v>
      </c>
      <c r="I464" s="28">
        <v>0.06086956521739131</v>
      </c>
      <c r="J464" s="28">
        <v>0.0</v>
      </c>
      <c r="K464" s="28" t="s">
        <v>57</v>
      </c>
      <c r="L464" s="28" t="s">
        <v>57</v>
      </c>
    </row>
    <row r="465" ht="15.75" customHeight="1">
      <c r="A465" s="28" t="s">
        <v>45</v>
      </c>
      <c r="B465" s="28" t="s">
        <v>1000</v>
      </c>
      <c r="D465" s="28" t="s">
        <v>205</v>
      </c>
      <c r="E465" s="28" t="s">
        <v>1295</v>
      </c>
      <c r="F465" s="28" t="s">
        <v>1213</v>
      </c>
      <c r="G465" s="28" t="s">
        <v>167</v>
      </c>
      <c r="H465" s="28">
        <v>1.0</v>
      </c>
      <c r="I465" s="28">
        <v>0.35714285714285715</v>
      </c>
      <c r="J465" s="28">
        <v>2.0</v>
      </c>
      <c r="K465" s="28" t="s">
        <v>57</v>
      </c>
      <c r="L465" s="28" t="s">
        <v>57</v>
      </c>
    </row>
    <row r="466" ht="15.75" customHeight="1">
      <c r="A466" s="28" t="s">
        <v>45</v>
      </c>
      <c r="B466" s="28" t="s">
        <v>1000</v>
      </c>
      <c r="D466" s="28" t="s">
        <v>205</v>
      </c>
      <c r="E466" s="28" t="s">
        <v>1296</v>
      </c>
      <c r="F466" s="28" t="s">
        <v>1216</v>
      </c>
      <c r="G466" s="28" t="s">
        <v>1183</v>
      </c>
      <c r="H466" s="28">
        <v>1.0</v>
      </c>
      <c r="I466" s="28">
        <v>0.37719298245614036</v>
      </c>
      <c r="J466" s="28">
        <v>13.0</v>
      </c>
      <c r="K466" s="28" t="s">
        <v>57</v>
      </c>
      <c r="L466" s="28" t="s">
        <v>1188</v>
      </c>
    </row>
    <row r="467" ht="15.75" customHeight="1">
      <c r="A467" s="28" t="s">
        <v>45</v>
      </c>
      <c r="B467" s="28" t="s">
        <v>1000</v>
      </c>
      <c r="D467" s="28" t="s">
        <v>205</v>
      </c>
      <c r="E467" s="28" t="s">
        <v>1297</v>
      </c>
      <c r="F467" s="28" t="s">
        <v>1213</v>
      </c>
      <c r="G467" s="28" t="s">
        <v>173</v>
      </c>
      <c r="H467" s="28">
        <v>1.0</v>
      </c>
      <c r="I467" s="28">
        <v>0.42011834319526625</v>
      </c>
      <c r="J467" s="28">
        <v>6.0</v>
      </c>
      <c r="K467" s="28" t="s">
        <v>57</v>
      </c>
      <c r="L467" s="28" t="s">
        <v>57</v>
      </c>
    </row>
    <row r="468" ht="15.75" customHeight="1">
      <c r="A468" s="28" t="s">
        <v>45</v>
      </c>
      <c r="B468" s="28" t="s">
        <v>1000</v>
      </c>
      <c r="D468" s="28" t="s">
        <v>205</v>
      </c>
      <c r="E468" s="28" t="s">
        <v>1298</v>
      </c>
      <c r="F468" s="28" t="s">
        <v>1221</v>
      </c>
      <c r="G468" s="28" t="s">
        <v>79</v>
      </c>
      <c r="H468" s="28">
        <v>1.0</v>
      </c>
      <c r="I468" s="28">
        <v>0.5475113122171946</v>
      </c>
      <c r="J468" s="28">
        <v>9.0</v>
      </c>
      <c r="K468" s="28" t="s">
        <v>57</v>
      </c>
      <c r="L468" s="28" t="s">
        <v>57</v>
      </c>
    </row>
    <row r="469" ht="15.75" customHeight="1">
      <c r="A469" s="28" t="s">
        <v>45</v>
      </c>
      <c r="B469" s="28" t="s">
        <v>1000</v>
      </c>
      <c r="D469" s="28" t="s">
        <v>205</v>
      </c>
      <c r="E469" s="28" t="s">
        <v>1299</v>
      </c>
      <c r="F469" s="28" t="s">
        <v>1216</v>
      </c>
      <c r="G469" s="28" t="s">
        <v>1200</v>
      </c>
      <c r="H469" s="28">
        <v>1.0</v>
      </c>
      <c r="I469" s="28">
        <v>0.6602870813397129</v>
      </c>
      <c r="J469" s="28">
        <v>10.0</v>
      </c>
      <c r="K469" s="28" t="s">
        <v>57</v>
      </c>
      <c r="L469" s="28" t="s">
        <v>1188</v>
      </c>
    </row>
    <row r="470" ht="15.75" customHeight="1">
      <c r="A470" s="28" t="s">
        <v>45</v>
      </c>
      <c r="B470" s="28" t="s">
        <v>1000</v>
      </c>
      <c r="D470" s="28" t="s">
        <v>205</v>
      </c>
      <c r="E470" s="28" t="s">
        <v>1300</v>
      </c>
      <c r="F470" s="28" t="s">
        <v>1227</v>
      </c>
      <c r="G470" s="28" t="s">
        <v>73</v>
      </c>
      <c r="H470" s="28">
        <v>1.0</v>
      </c>
      <c r="I470" s="28">
        <v>0.7292225201072386</v>
      </c>
      <c r="J470" s="28">
        <v>3.0</v>
      </c>
      <c r="K470" s="28" t="s">
        <v>57</v>
      </c>
      <c r="L470" s="28" t="s">
        <v>57</v>
      </c>
    </row>
    <row r="471" ht="15.75" customHeight="1">
      <c r="A471" s="28" t="s">
        <v>45</v>
      </c>
      <c r="B471" s="28" t="s">
        <v>1000</v>
      </c>
      <c r="D471" s="28" t="s">
        <v>205</v>
      </c>
      <c r="E471" s="28" t="s">
        <v>1301</v>
      </c>
      <c r="F471" s="28" t="s">
        <v>1230</v>
      </c>
      <c r="G471" s="28" t="s">
        <v>54</v>
      </c>
      <c r="H471" s="28">
        <v>1.0</v>
      </c>
      <c r="I471" s="28">
        <v>0.9546263345195729</v>
      </c>
      <c r="J471" s="28">
        <v>7.0</v>
      </c>
      <c r="K471" s="28" t="s">
        <v>57</v>
      </c>
      <c r="L471" s="28" t="s">
        <v>57</v>
      </c>
    </row>
    <row r="472" ht="15.75" customHeight="1">
      <c r="A472" s="28" t="s">
        <v>45</v>
      </c>
      <c r="B472" s="28" t="s">
        <v>1000</v>
      </c>
      <c r="D472" s="28" t="s">
        <v>234</v>
      </c>
      <c r="E472" s="28" t="s">
        <v>1302</v>
      </c>
      <c r="F472" s="28" t="s">
        <v>1213</v>
      </c>
      <c r="G472" s="28" t="s">
        <v>167</v>
      </c>
      <c r="H472" s="28">
        <v>1.0</v>
      </c>
      <c r="I472" s="28">
        <v>0.33766233766233766</v>
      </c>
      <c r="J472" s="28">
        <v>1.0</v>
      </c>
      <c r="K472" s="28" t="s">
        <v>57</v>
      </c>
      <c r="L472" s="28" t="s">
        <v>57</v>
      </c>
    </row>
    <row r="473" ht="15.75" customHeight="1">
      <c r="A473" s="28" t="s">
        <v>45</v>
      </c>
      <c r="B473" s="28" t="s">
        <v>1000</v>
      </c>
      <c r="D473" s="28" t="s">
        <v>234</v>
      </c>
      <c r="E473" s="28" t="s">
        <v>1303</v>
      </c>
      <c r="F473" s="28" t="s">
        <v>1213</v>
      </c>
      <c r="G473" s="28" t="s">
        <v>173</v>
      </c>
      <c r="H473" s="28">
        <v>1.0</v>
      </c>
      <c r="I473" s="28">
        <v>0.39644970414201186</v>
      </c>
      <c r="J473" s="28">
        <v>5.0</v>
      </c>
      <c r="K473" s="28" t="s">
        <v>57</v>
      </c>
      <c r="L473" s="28" t="s">
        <v>57</v>
      </c>
    </row>
    <row r="474" ht="15.75" customHeight="1">
      <c r="A474" s="28" t="s">
        <v>45</v>
      </c>
      <c r="B474" s="28" t="s">
        <v>1000</v>
      </c>
      <c r="D474" s="28" t="s">
        <v>234</v>
      </c>
      <c r="E474" s="28" t="s">
        <v>1304</v>
      </c>
      <c r="F474" s="28" t="s">
        <v>1216</v>
      </c>
      <c r="G474" s="28" t="s">
        <v>1183</v>
      </c>
      <c r="H474" s="28">
        <v>1.0</v>
      </c>
      <c r="I474" s="28">
        <v>0.40869565217391307</v>
      </c>
      <c r="J474" s="28">
        <v>12.0</v>
      </c>
      <c r="K474" s="28" t="s">
        <v>57</v>
      </c>
      <c r="L474" s="28" t="s">
        <v>1188</v>
      </c>
    </row>
    <row r="475" ht="15.75" customHeight="1">
      <c r="A475" s="28" t="s">
        <v>45</v>
      </c>
      <c r="B475" s="28" t="s">
        <v>1000</v>
      </c>
      <c r="D475" s="28" t="s">
        <v>234</v>
      </c>
      <c r="E475" s="28" t="s">
        <v>1305</v>
      </c>
      <c r="F475" s="28" t="s">
        <v>1221</v>
      </c>
      <c r="G475" s="28" t="s">
        <v>79</v>
      </c>
      <c r="H475" s="28">
        <v>1.0</v>
      </c>
      <c r="I475" s="28">
        <v>0.5384615384615384</v>
      </c>
      <c r="J475" s="28">
        <v>8.0</v>
      </c>
      <c r="K475" s="28" t="s">
        <v>57</v>
      </c>
      <c r="L475" s="28" t="s">
        <v>57</v>
      </c>
    </row>
    <row r="476" ht="15.75" customHeight="1">
      <c r="A476" s="28" t="s">
        <v>45</v>
      </c>
      <c r="B476" s="28" t="s">
        <v>1000</v>
      </c>
      <c r="D476" s="28" t="s">
        <v>234</v>
      </c>
      <c r="E476" s="28" t="s">
        <v>1306</v>
      </c>
      <c r="F476" s="28" t="s">
        <v>1216</v>
      </c>
      <c r="G476" s="28" t="s">
        <v>1200</v>
      </c>
      <c r="H476" s="28">
        <v>1.0</v>
      </c>
      <c r="I476" s="28">
        <v>0.6698564593301436</v>
      </c>
      <c r="J476" s="28">
        <v>9.0</v>
      </c>
      <c r="K476" s="28" t="s">
        <v>57</v>
      </c>
      <c r="L476" s="28" t="s">
        <v>1188</v>
      </c>
    </row>
    <row r="477" ht="15.75" customHeight="1">
      <c r="A477" s="28" t="s">
        <v>45</v>
      </c>
      <c r="B477" s="28" t="s">
        <v>1000</v>
      </c>
      <c r="D477" s="28" t="s">
        <v>234</v>
      </c>
      <c r="E477" s="28" t="s">
        <v>1307</v>
      </c>
      <c r="F477" s="28" t="s">
        <v>1227</v>
      </c>
      <c r="G477" s="28" t="s">
        <v>73</v>
      </c>
      <c r="H477" s="28">
        <v>1.0</v>
      </c>
      <c r="I477" s="28">
        <v>0.7265415549597856</v>
      </c>
      <c r="J477" s="28">
        <v>2.0</v>
      </c>
      <c r="K477" s="28" t="s">
        <v>57</v>
      </c>
      <c r="L477" s="28" t="s">
        <v>57</v>
      </c>
    </row>
    <row r="478" ht="15.75" customHeight="1">
      <c r="A478" s="28" t="s">
        <v>45</v>
      </c>
      <c r="B478" s="28" t="s">
        <v>1000</v>
      </c>
      <c r="D478" s="28" t="s">
        <v>234</v>
      </c>
      <c r="E478" s="28" t="s">
        <v>1308</v>
      </c>
      <c r="F478" s="28" t="s">
        <v>1230</v>
      </c>
      <c r="G478" s="28" t="s">
        <v>54</v>
      </c>
      <c r="H478" s="28">
        <v>1.0</v>
      </c>
      <c r="I478" s="28">
        <v>0.9541814946619217</v>
      </c>
      <c r="J478" s="28">
        <v>6.0</v>
      </c>
      <c r="K478" s="28" t="s">
        <v>57</v>
      </c>
      <c r="L478" s="28" t="s">
        <v>57</v>
      </c>
    </row>
    <row r="479" ht="15.75" customHeight="1">
      <c r="A479" s="28" t="s">
        <v>45</v>
      </c>
      <c r="B479" s="28" t="s">
        <v>1000</v>
      </c>
      <c r="D479" s="28" t="s">
        <v>167</v>
      </c>
      <c r="E479" s="28" t="s">
        <v>1309</v>
      </c>
      <c r="F479" s="28" t="s">
        <v>171</v>
      </c>
      <c r="G479" s="28" t="s">
        <v>173</v>
      </c>
      <c r="H479" s="28">
        <v>1.0</v>
      </c>
      <c r="I479" s="28">
        <v>0.14792899408284024</v>
      </c>
      <c r="J479" s="28">
        <v>3.0</v>
      </c>
      <c r="K479" s="28" t="s">
        <v>57</v>
      </c>
      <c r="L479" s="28" t="s">
        <v>57</v>
      </c>
    </row>
    <row r="480" ht="15.75" customHeight="1">
      <c r="A480" s="28" t="s">
        <v>45</v>
      </c>
      <c r="B480" s="28" t="s">
        <v>1000</v>
      </c>
      <c r="D480" s="28" t="s">
        <v>167</v>
      </c>
      <c r="E480" s="28" t="s">
        <v>1310</v>
      </c>
      <c r="F480" s="28" t="s">
        <v>1311</v>
      </c>
      <c r="G480" s="28" t="s">
        <v>79</v>
      </c>
      <c r="H480" s="28">
        <v>1.0</v>
      </c>
      <c r="I480" s="28">
        <v>0.3755656108597285</v>
      </c>
      <c r="J480" s="28">
        <v>6.0</v>
      </c>
      <c r="K480" s="28" t="s">
        <v>57</v>
      </c>
      <c r="L480" s="28" t="s">
        <v>57</v>
      </c>
    </row>
    <row r="481" ht="15.75" customHeight="1">
      <c r="A481" s="28" t="s">
        <v>45</v>
      </c>
      <c r="B481" s="28" t="s">
        <v>1000</v>
      </c>
      <c r="D481" s="28" t="s">
        <v>167</v>
      </c>
      <c r="E481" s="28" t="s">
        <v>1312</v>
      </c>
      <c r="F481" s="28" t="s">
        <v>1313</v>
      </c>
      <c r="G481" s="28" t="s">
        <v>1183</v>
      </c>
      <c r="H481" s="28">
        <v>1.0</v>
      </c>
      <c r="I481" s="28">
        <v>0.5584415584415584</v>
      </c>
      <c r="J481" s="28">
        <v>10.0</v>
      </c>
      <c r="K481" s="28" t="s">
        <v>57</v>
      </c>
      <c r="L481" s="28" t="s">
        <v>1188</v>
      </c>
    </row>
    <row r="482" ht="15.75" customHeight="1">
      <c r="A482" s="28" t="s">
        <v>45</v>
      </c>
      <c r="B482" s="28" t="s">
        <v>1000</v>
      </c>
      <c r="D482" s="28" t="s">
        <v>167</v>
      </c>
      <c r="E482" s="28" t="s">
        <v>1314</v>
      </c>
      <c r="F482" s="28" t="s">
        <v>1315</v>
      </c>
      <c r="G482" s="28" t="s">
        <v>73</v>
      </c>
      <c r="H482" s="28">
        <v>1.0</v>
      </c>
      <c r="I482" s="28">
        <v>0.5978552278820375</v>
      </c>
      <c r="J482" s="28">
        <v>0.0</v>
      </c>
      <c r="K482" s="28" t="s">
        <v>57</v>
      </c>
      <c r="L482" s="28" t="s">
        <v>57</v>
      </c>
    </row>
    <row r="483" ht="15.75" customHeight="1">
      <c r="A483" s="28" t="s">
        <v>45</v>
      </c>
      <c r="B483" s="28" t="s">
        <v>1000</v>
      </c>
      <c r="D483" s="28" t="s">
        <v>167</v>
      </c>
      <c r="E483" s="28" t="s">
        <v>1316</v>
      </c>
      <c r="F483" s="28" t="s">
        <v>1313</v>
      </c>
      <c r="G483" s="28" t="s">
        <v>1200</v>
      </c>
      <c r="H483" s="28">
        <v>1.0</v>
      </c>
      <c r="I483" s="28">
        <v>0.645933014354067</v>
      </c>
      <c r="J483" s="28">
        <v>7.0</v>
      </c>
      <c r="K483" s="28" t="s">
        <v>57</v>
      </c>
      <c r="L483" s="28" t="s">
        <v>1188</v>
      </c>
    </row>
    <row r="484" ht="15.75" customHeight="1">
      <c r="A484" s="28" t="s">
        <v>45</v>
      </c>
      <c r="B484" s="28" t="s">
        <v>1000</v>
      </c>
      <c r="D484" s="28" t="s">
        <v>167</v>
      </c>
      <c r="E484" s="28" t="s">
        <v>1317</v>
      </c>
      <c r="F484" s="28" t="s">
        <v>1318</v>
      </c>
      <c r="G484" s="28" t="s">
        <v>54</v>
      </c>
      <c r="H484" s="28">
        <v>1.0</v>
      </c>
      <c r="I484" s="28">
        <v>0.9341637010676157</v>
      </c>
      <c r="J484" s="28">
        <v>4.0</v>
      </c>
      <c r="K484" s="28" t="s">
        <v>57</v>
      </c>
      <c r="L484" s="28" t="s">
        <v>57</v>
      </c>
    </row>
    <row r="485" ht="15.75" customHeight="1">
      <c r="A485" s="28" t="s">
        <v>45</v>
      </c>
      <c r="B485" s="28" t="s">
        <v>1000</v>
      </c>
      <c r="D485" s="28" t="s">
        <v>73</v>
      </c>
      <c r="E485" s="28" t="s">
        <v>1319</v>
      </c>
      <c r="F485" s="28" t="s">
        <v>1320</v>
      </c>
      <c r="G485" s="28" t="s">
        <v>79</v>
      </c>
      <c r="H485" s="28">
        <v>1.0</v>
      </c>
      <c r="I485" s="28">
        <v>0.4450402144772118</v>
      </c>
      <c r="J485" s="28">
        <v>5.0</v>
      </c>
      <c r="K485" s="28" t="s">
        <v>57</v>
      </c>
      <c r="L485" s="28" t="s">
        <v>57</v>
      </c>
    </row>
    <row r="486" ht="15.75" customHeight="1">
      <c r="A486" s="28" t="s">
        <v>45</v>
      </c>
      <c r="B486" s="28" t="s">
        <v>1000</v>
      </c>
      <c r="D486" s="28" t="s">
        <v>73</v>
      </c>
      <c r="E486" s="28" t="s">
        <v>1321</v>
      </c>
      <c r="F486" s="28" t="s">
        <v>1322</v>
      </c>
      <c r="G486" s="28" t="s">
        <v>173</v>
      </c>
      <c r="H486" s="28">
        <v>1.0</v>
      </c>
      <c r="I486" s="28">
        <v>0.5710455764075067</v>
      </c>
      <c r="J486" s="28">
        <v>2.0</v>
      </c>
      <c r="K486" s="28" t="s">
        <v>57</v>
      </c>
      <c r="L486" s="28" t="s">
        <v>57</v>
      </c>
    </row>
    <row r="487" ht="15.75" customHeight="1">
      <c r="A487" s="28" t="s">
        <v>45</v>
      </c>
      <c r="B487" s="28" t="s">
        <v>1000</v>
      </c>
      <c r="D487" s="28" t="s">
        <v>73</v>
      </c>
      <c r="E487" s="28" t="s">
        <v>1323</v>
      </c>
      <c r="F487" s="28" t="s">
        <v>1324</v>
      </c>
      <c r="G487" s="28" t="s">
        <v>1200</v>
      </c>
      <c r="H487" s="28">
        <v>1.0</v>
      </c>
      <c r="I487" s="28">
        <v>0.7319034852546917</v>
      </c>
      <c r="J487" s="28">
        <v>6.0</v>
      </c>
      <c r="K487" s="28" t="s">
        <v>57</v>
      </c>
      <c r="L487" s="28" t="s">
        <v>1188</v>
      </c>
    </row>
    <row r="488" ht="15.75" customHeight="1">
      <c r="A488" s="28" t="s">
        <v>45</v>
      </c>
      <c r="B488" s="28" t="s">
        <v>1000</v>
      </c>
      <c r="D488" s="28" t="s">
        <v>73</v>
      </c>
      <c r="E488" s="28" t="s">
        <v>1325</v>
      </c>
      <c r="F488" s="28" t="s">
        <v>1324</v>
      </c>
      <c r="G488" s="28" t="s">
        <v>1183</v>
      </c>
      <c r="H488" s="28">
        <v>1.0</v>
      </c>
      <c r="I488" s="28">
        <v>0.806970509383378</v>
      </c>
      <c r="J488" s="28">
        <v>9.0</v>
      </c>
      <c r="K488" s="28" t="s">
        <v>57</v>
      </c>
      <c r="L488" s="28" t="s">
        <v>1188</v>
      </c>
    </row>
    <row r="489" ht="15.75" customHeight="1">
      <c r="A489" s="28" t="s">
        <v>45</v>
      </c>
      <c r="B489" s="28" t="s">
        <v>1000</v>
      </c>
      <c r="D489" s="28" t="s">
        <v>73</v>
      </c>
      <c r="E489" s="28" t="s">
        <v>1326</v>
      </c>
      <c r="F489" s="28" t="s">
        <v>1327</v>
      </c>
      <c r="G489" s="28" t="s">
        <v>54</v>
      </c>
      <c r="H489" s="28">
        <v>1.0</v>
      </c>
      <c r="I489" s="28">
        <v>0.8362989323843416</v>
      </c>
      <c r="J489" s="28">
        <v>3.0</v>
      </c>
      <c r="K489" s="28" t="s">
        <v>57</v>
      </c>
      <c r="L489" s="28" t="s">
        <v>57</v>
      </c>
    </row>
    <row r="490" ht="15.75" customHeight="1">
      <c r="A490" s="28" t="s">
        <v>45</v>
      </c>
      <c r="B490" s="28" t="s">
        <v>1000</v>
      </c>
      <c r="D490" s="28" t="s">
        <v>123</v>
      </c>
      <c r="E490" s="28" t="s">
        <v>1328</v>
      </c>
      <c r="F490" s="28" t="s">
        <v>317</v>
      </c>
      <c r="G490" s="28" t="s">
        <v>324</v>
      </c>
      <c r="H490" s="28">
        <v>1.0</v>
      </c>
      <c r="I490" s="28">
        <v>0.6556473829201102</v>
      </c>
      <c r="J490" s="28">
        <v>6.0</v>
      </c>
      <c r="K490" s="28" t="s">
        <v>57</v>
      </c>
      <c r="L490" s="28" t="s">
        <v>1329</v>
      </c>
    </row>
    <row r="491" ht="15.75" customHeight="1">
      <c r="A491" s="28" t="s">
        <v>45</v>
      </c>
      <c r="B491" s="28" t="s">
        <v>1000</v>
      </c>
      <c r="D491" s="28" t="s">
        <v>123</v>
      </c>
      <c r="E491" s="28" t="s">
        <v>1330</v>
      </c>
      <c r="F491" s="28" t="s">
        <v>317</v>
      </c>
      <c r="G491" s="28" t="s">
        <v>182</v>
      </c>
      <c r="H491" s="28">
        <v>1.0</v>
      </c>
      <c r="I491" s="28">
        <v>0.6611570247933884</v>
      </c>
      <c r="J491" s="28">
        <v>5.0</v>
      </c>
      <c r="K491" s="28" t="s">
        <v>57</v>
      </c>
      <c r="L491" s="28" t="s">
        <v>1329</v>
      </c>
    </row>
    <row r="492" ht="15.75" customHeight="1">
      <c r="A492" s="28" t="s">
        <v>45</v>
      </c>
      <c r="B492" s="28" t="s">
        <v>1000</v>
      </c>
      <c r="D492" s="28" t="s">
        <v>173</v>
      </c>
      <c r="E492" s="28" t="s">
        <v>1331</v>
      </c>
      <c r="F492" s="28" t="s">
        <v>1311</v>
      </c>
      <c r="G492" s="28" t="s">
        <v>79</v>
      </c>
      <c r="H492" s="28">
        <v>1.0</v>
      </c>
      <c r="I492" s="28">
        <v>0.3755656108597285</v>
      </c>
      <c r="J492" s="28">
        <v>2.0</v>
      </c>
      <c r="K492" s="28" t="s">
        <v>57</v>
      </c>
      <c r="L492" s="28" t="s">
        <v>57</v>
      </c>
    </row>
    <row r="493" ht="15.75" customHeight="1">
      <c r="A493" s="28" t="s">
        <v>45</v>
      </c>
      <c r="B493" s="28" t="s">
        <v>1000</v>
      </c>
      <c r="D493" s="28" t="s">
        <v>173</v>
      </c>
      <c r="E493" s="28" t="s">
        <v>1332</v>
      </c>
      <c r="F493" s="28" t="s">
        <v>1313</v>
      </c>
      <c r="G493" s="28" t="s">
        <v>1183</v>
      </c>
      <c r="H493" s="28">
        <v>1.0</v>
      </c>
      <c r="I493" s="28">
        <v>0.5976331360946746</v>
      </c>
      <c r="J493" s="28">
        <v>6.0</v>
      </c>
      <c r="K493" s="28" t="s">
        <v>57</v>
      </c>
      <c r="L493" s="28" t="s">
        <v>1188</v>
      </c>
    </row>
    <row r="494" ht="15.75" customHeight="1">
      <c r="A494" s="28" t="s">
        <v>45</v>
      </c>
      <c r="B494" s="28" t="s">
        <v>1000</v>
      </c>
      <c r="D494" s="28" t="s">
        <v>173</v>
      </c>
      <c r="E494" s="28" t="s">
        <v>1333</v>
      </c>
      <c r="F494" s="28" t="s">
        <v>1313</v>
      </c>
      <c r="G494" s="28" t="s">
        <v>1200</v>
      </c>
      <c r="H494" s="28">
        <v>1.0</v>
      </c>
      <c r="I494" s="28">
        <v>0.6602870813397129</v>
      </c>
      <c r="J494" s="28">
        <v>3.0</v>
      </c>
      <c r="K494" s="28" t="s">
        <v>57</v>
      </c>
      <c r="L494" s="28" t="s">
        <v>1188</v>
      </c>
    </row>
    <row r="495" ht="15.75" customHeight="1">
      <c r="A495" s="28" t="s">
        <v>45</v>
      </c>
      <c r="B495" s="28" t="s">
        <v>1000</v>
      </c>
      <c r="D495" s="28" t="s">
        <v>173</v>
      </c>
      <c r="E495" s="28" t="s">
        <v>1334</v>
      </c>
      <c r="F495" s="28" t="s">
        <v>1318</v>
      </c>
      <c r="G495" s="28" t="s">
        <v>54</v>
      </c>
      <c r="H495" s="28">
        <v>1.0</v>
      </c>
      <c r="I495" s="28">
        <v>0.9279359430604982</v>
      </c>
      <c r="J495" s="28">
        <v>0.0</v>
      </c>
      <c r="K495" s="28" t="s">
        <v>57</v>
      </c>
      <c r="L495" s="28" t="s">
        <v>57</v>
      </c>
    </row>
    <row r="496" ht="15.75" customHeight="1">
      <c r="A496" s="28" t="s">
        <v>45</v>
      </c>
      <c r="B496" s="28" t="s">
        <v>1000</v>
      </c>
      <c r="D496" s="28" t="s">
        <v>54</v>
      </c>
      <c r="E496" s="28" t="s">
        <v>1335</v>
      </c>
      <c r="F496" s="28" t="s">
        <v>1336</v>
      </c>
      <c r="G496" s="28" t="s">
        <v>79</v>
      </c>
      <c r="H496" s="28">
        <v>1.0</v>
      </c>
      <c r="I496" s="28">
        <v>0.9034697508896797</v>
      </c>
      <c r="J496" s="28">
        <v>1.0</v>
      </c>
      <c r="K496" s="28" t="s">
        <v>57</v>
      </c>
      <c r="L496" s="28" t="s">
        <v>57</v>
      </c>
    </row>
    <row r="497" ht="15.75" customHeight="1">
      <c r="A497" s="28" t="s">
        <v>45</v>
      </c>
      <c r="B497" s="28" t="s">
        <v>1000</v>
      </c>
      <c r="D497" s="28" t="s">
        <v>54</v>
      </c>
      <c r="E497" s="28" t="s">
        <v>1337</v>
      </c>
      <c r="F497" s="28" t="s">
        <v>1338</v>
      </c>
      <c r="G497" s="28" t="s">
        <v>1200</v>
      </c>
      <c r="H497" s="28">
        <v>1.0</v>
      </c>
      <c r="I497" s="28">
        <v>0.9190391459074733</v>
      </c>
      <c r="J497" s="28">
        <v>2.0</v>
      </c>
      <c r="K497" s="28" t="s">
        <v>57</v>
      </c>
      <c r="L497" s="28" t="s">
        <v>1188</v>
      </c>
    </row>
    <row r="498" ht="15.75" customHeight="1">
      <c r="A498" s="28" t="s">
        <v>45</v>
      </c>
      <c r="B498" s="28" t="s">
        <v>1000</v>
      </c>
      <c r="D498" s="28" t="s">
        <v>54</v>
      </c>
      <c r="E498" s="28" t="s">
        <v>1339</v>
      </c>
      <c r="F498" s="28" t="s">
        <v>1338</v>
      </c>
      <c r="G498" s="28" t="s">
        <v>1183</v>
      </c>
      <c r="H498" s="28">
        <v>1.0</v>
      </c>
      <c r="I498" s="28">
        <v>0.9679715302491103</v>
      </c>
      <c r="J498" s="28">
        <v>5.0</v>
      </c>
      <c r="K498" s="28" t="s">
        <v>57</v>
      </c>
      <c r="L498" s="28" t="s">
        <v>1188</v>
      </c>
    </row>
    <row r="499" ht="15.75" customHeight="1">
      <c r="A499" s="28" t="s">
        <v>45</v>
      </c>
      <c r="B499" s="28" t="s">
        <v>1000</v>
      </c>
      <c r="D499" s="28" t="s">
        <v>79</v>
      </c>
      <c r="E499" s="28" t="s">
        <v>1340</v>
      </c>
      <c r="F499" s="28" t="s">
        <v>1341</v>
      </c>
      <c r="G499" s="28" t="s">
        <v>1200</v>
      </c>
      <c r="H499" s="28">
        <v>1.0</v>
      </c>
      <c r="I499" s="28">
        <v>0.6199095022624435</v>
      </c>
      <c r="J499" s="28">
        <v>0.0</v>
      </c>
      <c r="K499" s="28" t="s">
        <v>57</v>
      </c>
      <c r="L499" s="28" t="s">
        <v>1188</v>
      </c>
    </row>
    <row r="500" ht="15.75" customHeight="1">
      <c r="A500" s="28" t="s">
        <v>45</v>
      </c>
      <c r="B500" s="28" t="s">
        <v>1000</v>
      </c>
      <c r="D500" s="28" t="s">
        <v>79</v>
      </c>
      <c r="E500" s="28" t="s">
        <v>1342</v>
      </c>
      <c r="F500" s="28" t="s">
        <v>1341</v>
      </c>
      <c r="G500" s="28" t="s">
        <v>1183</v>
      </c>
      <c r="H500" s="28">
        <v>1.0</v>
      </c>
      <c r="I500" s="28">
        <v>0.669683257918552</v>
      </c>
      <c r="J500" s="28">
        <v>3.0</v>
      </c>
      <c r="K500" s="28" t="s">
        <v>57</v>
      </c>
      <c r="L500" s="28" t="s">
        <v>1188</v>
      </c>
    </row>
    <row r="501" ht="15.75" customHeight="1">
      <c r="A501" s="28" t="s">
        <v>45</v>
      </c>
      <c r="B501" s="28" t="s">
        <v>1000</v>
      </c>
      <c r="D501" s="28" t="s">
        <v>1200</v>
      </c>
      <c r="E501" s="28" t="s">
        <v>1343</v>
      </c>
      <c r="F501" s="28" t="s">
        <v>1182</v>
      </c>
      <c r="G501" s="28" t="s">
        <v>1183</v>
      </c>
      <c r="H501" s="28">
        <v>1.0</v>
      </c>
      <c r="I501" s="28">
        <v>0.6602870813397129</v>
      </c>
      <c r="J501" s="28">
        <v>2.0</v>
      </c>
      <c r="K501" s="28" t="s">
        <v>57</v>
      </c>
      <c r="L501" s="28" t="s">
        <v>57</v>
      </c>
    </row>
    <row r="502" ht="15.75" customHeight="1">
      <c r="A502" s="28" t="s">
        <v>45</v>
      </c>
      <c r="B502" s="28" t="s">
        <v>1000</v>
      </c>
      <c r="D502" s="28" t="s">
        <v>182</v>
      </c>
      <c r="E502" s="28" t="s">
        <v>1344</v>
      </c>
      <c r="F502" s="28" t="s">
        <v>608</v>
      </c>
      <c r="G502" s="28" t="s">
        <v>324</v>
      </c>
      <c r="H502" s="28">
        <v>1.0</v>
      </c>
      <c r="I502" s="28">
        <v>0.1044776119402985</v>
      </c>
      <c r="J502" s="28">
        <v>0.0</v>
      </c>
      <c r="K502" s="28" t="s">
        <v>57</v>
      </c>
      <c r="L502" s="28" t="s">
        <v>57</v>
      </c>
    </row>
    <row r="503" ht="15.75" customHeight="1">
      <c r="A503" s="28" t="s">
        <v>45</v>
      </c>
      <c r="B503" s="28" t="s">
        <v>1000</v>
      </c>
      <c r="D503" s="28" t="s">
        <v>991</v>
      </c>
      <c r="E503" s="28" t="s">
        <v>997</v>
      </c>
      <c r="F503" s="28" t="s">
        <v>998</v>
      </c>
      <c r="G503" s="28" t="s">
        <v>994</v>
      </c>
      <c r="H503" s="28">
        <v>1.0</v>
      </c>
      <c r="I503" s="28">
        <v>0.004629629629629629</v>
      </c>
      <c r="J503" s="28">
        <v>0.0</v>
      </c>
      <c r="K503" s="28" t="s">
        <v>57</v>
      </c>
      <c r="L503" s="28" t="s">
        <v>57</v>
      </c>
    </row>
    <row r="504" ht="15.75" customHeight="1">
      <c r="A504" s="28" t="s">
        <v>153</v>
      </c>
      <c r="B504" s="28" t="s">
        <v>1000</v>
      </c>
      <c r="D504" s="28" t="s">
        <v>156</v>
      </c>
      <c r="E504" s="28" t="s">
        <v>1345</v>
      </c>
      <c r="F504" s="28" t="s">
        <v>219</v>
      </c>
      <c r="G504" s="28" t="s">
        <v>221</v>
      </c>
      <c r="H504" s="28">
        <v>1.0</v>
      </c>
      <c r="I504" s="28">
        <v>0.23325062034739455</v>
      </c>
      <c r="J504" s="28">
        <v>5.0</v>
      </c>
      <c r="K504" s="28" t="s">
        <v>57</v>
      </c>
      <c r="L504" s="28" t="s">
        <v>57</v>
      </c>
    </row>
    <row r="505" ht="15.75" customHeight="1">
      <c r="A505" s="28" t="s">
        <v>153</v>
      </c>
      <c r="B505" s="28" t="s">
        <v>1000</v>
      </c>
      <c r="D505" s="28" t="s">
        <v>156</v>
      </c>
      <c r="E505" s="28" t="s">
        <v>1346</v>
      </c>
      <c r="F505" s="28" t="s">
        <v>1347</v>
      </c>
      <c r="G505" s="28" t="s">
        <v>1348</v>
      </c>
      <c r="H505" s="28">
        <v>1.0</v>
      </c>
      <c r="I505" s="28">
        <v>0.24649298597194388</v>
      </c>
      <c r="J505" s="28">
        <v>0.0</v>
      </c>
      <c r="K505" s="28" t="s">
        <v>57</v>
      </c>
      <c r="L505" s="28" t="s">
        <v>57</v>
      </c>
    </row>
    <row r="506" ht="15.75" customHeight="1">
      <c r="A506" s="28" t="s">
        <v>153</v>
      </c>
      <c r="B506" s="28" t="s">
        <v>1000</v>
      </c>
      <c r="D506" s="28" t="s">
        <v>156</v>
      </c>
      <c r="E506" s="28" t="s">
        <v>1349</v>
      </c>
      <c r="F506" s="28" t="s">
        <v>160</v>
      </c>
      <c r="G506" s="28" t="s">
        <v>228</v>
      </c>
      <c r="H506" s="28">
        <v>1.0</v>
      </c>
      <c r="I506" s="28">
        <v>0.8238213399503722</v>
      </c>
      <c r="J506" s="28">
        <v>8.0</v>
      </c>
      <c r="K506" s="28" t="s">
        <v>57</v>
      </c>
      <c r="L506" s="28" t="s">
        <v>568</v>
      </c>
    </row>
    <row r="507" ht="15.75" customHeight="1">
      <c r="A507" s="28" t="s">
        <v>153</v>
      </c>
      <c r="B507" s="28" t="s">
        <v>1000</v>
      </c>
      <c r="D507" s="28" t="s">
        <v>156</v>
      </c>
      <c r="E507" s="28" t="s">
        <v>1350</v>
      </c>
      <c r="F507" s="28" t="s">
        <v>160</v>
      </c>
      <c r="G507" s="28" t="s">
        <v>162</v>
      </c>
      <c r="H507" s="28">
        <v>1.0</v>
      </c>
      <c r="I507" s="28">
        <v>0.8411910669975186</v>
      </c>
      <c r="J507" s="28">
        <v>3.0</v>
      </c>
      <c r="K507" s="28" t="s">
        <v>57</v>
      </c>
      <c r="L507" s="28" t="s">
        <v>568</v>
      </c>
    </row>
    <row r="508" ht="15.75" customHeight="1">
      <c r="A508" s="28" t="s">
        <v>153</v>
      </c>
      <c r="B508" s="28" t="s">
        <v>1000</v>
      </c>
      <c r="D508" s="28" t="s">
        <v>1348</v>
      </c>
      <c r="E508" s="28" t="s">
        <v>1351</v>
      </c>
      <c r="F508" s="28" t="s">
        <v>1352</v>
      </c>
      <c r="G508" s="28" t="s">
        <v>221</v>
      </c>
      <c r="H508" s="28">
        <v>1.0</v>
      </c>
      <c r="I508" s="28">
        <v>0.3907815631262525</v>
      </c>
      <c r="J508" s="28">
        <v>4.0</v>
      </c>
      <c r="K508" s="28" t="s">
        <v>57</v>
      </c>
      <c r="L508" s="28" t="s">
        <v>57</v>
      </c>
    </row>
    <row r="509" ht="15.75" customHeight="1">
      <c r="A509" s="28" t="s">
        <v>153</v>
      </c>
      <c r="B509" s="28" t="s">
        <v>1000</v>
      </c>
      <c r="D509" s="28" t="s">
        <v>1348</v>
      </c>
      <c r="E509" s="28" t="s">
        <v>1353</v>
      </c>
      <c r="F509" s="28" t="s">
        <v>1354</v>
      </c>
      <c r="G509" s="28" t="s">
        <v>228</v>
      </c>
      <c r="H509" s="28">
        <v>1.0</v>
      </c>
      <c r="I509" s="28">
        <v>0.8617234468937875</v>
      </c>
      <c r="J509" s="28">
        <v>7.0</v>
      </c>
      <c r="K509" s="28" t="s">
        <v>57</v>
      </c>
      <c r="L509" s="28" t="s">
        <v>568</v>
      </c>
    </row>
    <row r="510" ht="15.75" customHeight="1">
      <c r="A510" s="28" t="s">
        <v>153</v>
      </c>
      <c r="B510" s="28" t="s">
        <v>1000</v>
      </c>
      <c r="D510" s="28" t="s">
        <v>1348</v>
      </c>
      <c r="E510" s="28" t="s">
        <v>1355</v>
      </c>
      <c r="F510" s="28" t="s">
        <v>1354</v>
      </c>
      <c r="G510" s="28" t="s">
        <v>162</v>
      </c>
      <c r="H510" s="28">
        <v>1.0</v>
      </c>
      <c r="I510" s="28">
        <v>0.87374749498998</v>
      </c>
      <c r="J510" s="28">
        <v>2.0</v>
      </c>
      <c r="K510" s="28" t="s">
        <v>57</v>
      </c>
      <c r="L510" s="28" t="s">
        <v>568</v>
      </c>
    </row>
    <row r="511" ht="15.75" customHeight="1">
      <c r="A511" s="28" t="s">
        <v>153</v>
      </c>
      <c r="B511" s="28" t="s">
        <v>1000</v>
      </c>
      <c r="D511" s="28" t="s">
        <v>162</v>
      </c>
      <c r="E511" s="28" t="s">
        <v>224</v>
      </c>
      <c r="F511" s="28" t="s">
        <v>226</v>
      </c>
      <c r="G511" s="28" t="s">
        <v>228</v>
      </c>
      <c r="H511" s="28">
        <v>1.0</v>
      </c>
      <c r="I511" s="28">
        <v>0.16</v>
      </c>
      <c r="J511" s="28">
        <v>4.0</v>
      </c>
      <c r="K511" s="28" t="s">
        <v>57</v>
      </c>
      <c r="L511" s="28" t="s">
        <v>57</v>
      </c>
    </row>
    <row r="512" ht="15.75" customHeight="1">
      <c r="A512" s="28" t="s">
        <v>153</v>
      </c>
      <c r="B512" s="28" t="s">
        <v>1000</v>
      </c>
      <c r="D512" s="28" t="s">
        <v>162</v>
      </c>
      <c r="E512" s="28" t="s">
        <v>1356</v>
      </c>
      <c r="F512" s="28" t="s">
        <v>1357</v>
      </c>
      <c r="G512" s="28" t="s">
        <v>221</v>
      </c>
      <c r="H512" s="28">
        <v>1.0</v>
      </c>
      <c r="I512" s="28">
        <v>0.8085106382978723</v>
      </c>
      <c r="J512" s="28">
        <v>1.0</v>
      </c>
      <c r="K512" s="28" t="s">
        <v>57</v>
      </c>
      <c r="L512" s="28" t="s">
        <v>568</v>
      </c>
    </row>
    <row r="513" ht="15.75" customHeight="1">
      <c r="A513" s="28" t="s">
        <v>153</v>
      </c>
      <c r="B513" s="28" t="s">
        <v>1000</v>
      </c>
      <c r="D513" s="28" t="s">
        <v>221</v>
      </c>
      <c r="E513" s="28" t="s">
        <v>1358</v>
      </c>
      <c r="F513" s="28" t="s">
        <v>566</v>
      </c>
      <c r="G513" s="28" t="s">
        <v>228</v>
      </c>
      <c r="H513" s="28">
        <v>1.0</v>
      </c>
      <c r="I513" s="28">
        <v>0.78419452887538</v>
      </c>
      <c r="J513" s="28">
        <v>2.0</v>
      </c>
      <c r="K513" s="28" t="s">
        <v>57</v>
      </c>
      <c r="L513" s="28" t="s">
        <v>568</v>
      </c>
    </row>
    <row r="514" ht="15.75" customHeight="1">
      <c r="A514" s="28" t="s">
        <v>153</v>
      </c>
      <c r="B514" s="28" t="s">
        <v>1000</v>
      </c>
      <c r="D514" s="28" t="s">
        <v>496</v>
      </c>
      <c r="E514" s="28" t="s">
        <v>1359</v>
      </c>
      <c r="F514" s="28" t="s">
        <v>1360</v>
      </c>
      <c r="G514" s="28" t="s">
        <v>502</v>
      </c>
      <c r="H514" s="28">
        <v>1.0</v>
      </c>
      <c r="I514" s="28">
        <v>0.3223938223938224</v>
      </c>
      <c r="J514" s="28">
        <v>0.0</v>
      </c>
      <c r="K514" s="28" t="s">
        <v>57</v>
      </c>
      <c r="L514" s="28" t="s">
        <v>57</v>
      </c>
    </row>
    <row r="515" ht="15.75" customHeight="1">
      <c r="A515" s="28" t="s">
        <v>153</v>
      </c>
      <c r="B515" s="28" t="s">
        <v>1000</v>
      </c>
      <c r="D515" s="28" t="s">
        <v>553</v>
      </c>
      <c r="E515" s="28" t="s">
        <v>554</v>
      </c>
      <c r="F515" s="28" t="s">
        <v>555</v>
      </c>
      <c r="G515" s="28" t="s">
        <v>556</v>
      </c>
      <c r="H515" s="28">
        <v>1.0</v>
      </c>
      <c r="I515" s="28">
        <v>0.07586206896551724</v>
      </c>
      <c r="J515" s="28">
        <v>0.0</v>
      </c>
      <c r="K515" s="28" t="s">
        <v>57</v>
      </c>
      <c r="L515" s="28" t="s">
        <v>57</v>
      </c>
    </row>
    <row r="516" ht="15.75" customHeight="1">
      <c r="A516" s="28" t="s">
        <v>153</v>
      </c>
      <c r="B516" s="28" t="s">
        <v>1000</v>
      </c>
      <c r="D516" s="28" t="s">
        <v>553</v>
      </c>
      <c r="E516" s="28" t="s">
        <v>558</v>
      </c>
      <c r="F516" s="28" t="s">
        <v>555</v>
      </c>
      <c r="G516" s="28" t="s">
        <v>559</v>
      </c>
      <c r="H516" s="28">
        <v>1.0</v>
      </c>
      <c r="I516" s="28">
        <v>0.08275862068965517</v>
      </c>
      <c r="J516" s="28">
        <v>1.0</v>
      </c>
      <c r="K516" s="28" t="s">
        <v>57</v>
      </c>
      <c r="L516" s="28" t="s">
        <v>57</v>
      </c>
    </row>
    <row r="517" ht="15.75" customHeight="1">
      <c r="A517" s="28" t="s">
        <v>153</v>
      </c>
      <c r="B517" s="28" t="s">
        <v>1000</v>
      </c>
      <c r="D517" s="28" t="s">
        <v>553</v>
      </c>
      <c r="E517" s="28" t="s">
        <v>560</v>
      </c>
      <c r="F517" s="28" t="s">
        <v>555</v>
      </c>
      <c r="G517" s="28" t="s">
        <v>561</v>
      </c>
      <c r="H517" s="28">
        <v>1.0</v>
      </c>
      <c r="I517" s="28">
        <v>0.0896551724137931</v>
      </c>
      <c r="J517" s="28">
        <v>2.0</v>
      </c>
      <c r="K517" s="28" t="s">
        <v>57</v>
      </c>
      <c r="L517" s="28" t="s">
        <v>57</v>
      </c>
    </row>
    <row r="518" ht="15.75" customHeight="1">
      <c r="A518" s="28" t="s">
        <v>153</v>
      </c>
      <c r="B518" s="28" t="s">
        <v>1000</v>
      </c>
      <c r="D518" s="28" t="s">
        <v>556</v>
      </c>
      <c r="E518" s="28" t="s">
        <v>562</v>
      </c>
      <c r="F518" s="28" t="s">
        <v>555</v>
      </c>
      <c r="G518" s="28" t="s">
        <v>559</v>
      </c>
      <c r="H518" s="28">
        <v>1.0</v>
      </c>
      <c r="I518" s="28">
        <v>0.06293706293706294</v>
      </c>
      <c r="J518" s="28">
        <v>0.0</v>
      </c>
      <c r="K518" s="28" t="s">
        <v>57</v>
      </c>
      <c r="L518" s="28" t="s">
        <v>57</v>
      </c>
    </row>
    <row r="519" ht="15.75" customHeight="1">
      <c r="A519" s="28" t="s">
        <v>153</v>
      </c>
      <c r="B519" s="28" t="s">
        <v>1000</v>
      </c>
      <c r="D519" s="28" t="s">
        <v>556</v>
      </c>
      <c r="E519" s="28" t="s">
        <v>563</v>
      </c>
      <c r="F519" s="28" t="s">
        <v>555</v>
      </c>
      <c r="G519" s="28" t="s">
        <v>561</v>
      </c>
      <c r="H519" s="28">
        <v>1.0</v>
      </c>
      <c r="I519" s="28">
        <v>0.06993006993006994</v>
      </c>
      <c r="J519" s="28">
        <v>1.0</v>
      </c>
      <c r="K519" s="28" t="s">
        <v>57</v>
      </c>
      <c r="L519" s="28" t="s">
        <v>57</v>
      </c>
    </row>
    <row r="520" ht="15.75" customHeight="1">
      <c r="A520" s="28" t="s">
        <v>153</v>
      </c>
      <c r="B520" s="28" t="s">
        <v>1000</v>
      </c>
      <c r="D520" s="28" t="s">
        <v>559</v>
      </c>
      <c r="E520" s="28" t="s">
        <v>564</v>
      </c>
      <c r="F520" s="28" t="s">
        <v>555</v>
      </c>
      <c r="G520" s="28" t="s">
        <v>561</v>
      </c>
      <c r="H520" s="28">
        <v>1.0</v>
      </c>
      <c r="I520" s="28">
        <v>0.050724637681159424</v>
      </c>
      <c r="J520" s="28">
        <v>0.0</v>
      </c>
      <c r="K520" s="28" t="s">
        <v>57</v>
      </c>
      <c r="L520" s="28" t="s">
        <v>57</v>
      </c>
    </row>
    <row r="521" ht="15.75" customHeight="1">
      <c r="A521" s="28" t="s">
        <v>131</v>
      </c>
      <c r="B521" s="28" t="s">
        <v>1000</v>
      </c>
      <c r="D521" s="28" t="s">
        <v>134</v>
      </c>
      <c r="E521" s="28" t="s">
        <v>1361</v>
      </c>
      <c r="F521" s="28" t="s">
        <v>276</v>
      </c>
      <c r="G521" s="28" t="s">
        <v>329</v>
      </c>
      <c r="H521" s="28">
        <v>1.0</v>
      </c>
      <c r="I521" s="28">
        <v>0.14432989690721648</v>
      </c>
      <c r="J521" s="28">
        <v>0.0</v>
      </c>
      <c r="K521" s="28" t="s">
        <v>57</v>
      </c>
      <c r="L521" s="28" t="s">
        <v>57</v>
      </c>
    </row>
    <row r="522" ht="15.75" customHeight="1">
      <c r="A522" s="28" t="s">
        <v>131</v>
      </c>
      <c r="B522" s="28" t="s">
        <v>1000</v>
      </c>
      <c r="D522" s="28" t="s">
        <v>134</v>
      </c>
      <c r="E522" s="28" t="s">
        <v>1362</v>
      </c>
      <c r="F522" s="28" t="s">
        <v>276</v>
      </c>
      <c r="G522" s="28" t="s">
        <v>334</v>
      </c>
      <c r="H522" s="28">
        <v>1.0</v>
      </c>
      <c r="I522" s="28">
        <v>0.19072164948453607</v>
      </c>
      <c r="J522" s="28">
        <v>6.0</v>
      </c>
      <c r="K522" s="28" t="s">
        <v>57</v>
      </c>
      <c r="L522" s="28" t="s">
        <v>57</v>
      </c>
    </row>
    <row r="523" ht="15.75" customHeight="1">
      <c r="A523" s="28" t="s">
        <v>131</v>
      </c>
      <c r="B523" s="28" t="s">
        <v>1000</v>
      </c>
      <c r="D523" s="28" t="s">
        <v>134</v>
      </c>
      <c r="E523" s="28" t="s">
        <v>1363</v>
      </c>
      <c r="F523" s="28" t="s">
        <v>276</v>
      </c>
      <c r="G523" s="28" t="s">
        <v>339</v>
      </c>
      <c r="H523" s="28">
        <v>1.0</v>
      </c>
      <c r="I523" s="28">
        <v>0.20618556701030927</v>
      </c>
      <c r="J523" s="28">
        <v>7.0</v>
      </c>
      <c r="K523" s="28" t="s">
        <v>57</v>
      </c>
      <c r="L523" s="28" t="s">
        <v>57</v>
      </c>
    </row>
    <row r="524" ht="15.75" customHeight="1">
      <c r="A524" s="28" t="s">
        <v>131</v>
      </c>
      <c r="B524" s="28" t="s">
        <v>1000</v>
      </c>
      <c r="D524" s="28" t="s">
        <v>134</v>
      </c>
      <c r="E524" s="28" t="s">
        <v>1364</v>
      </c>
      <c r="F524" s="28" t="s">
        <v>276</v>
      </c>
      <c r="G524" s="28" t="s">
        <v>378</v>
      </c>
      <c r="H524" s="28">
        <v>1.0</v>
      </c>
      <c r="I524" s="28">
        <v>0.2676767676767677</v>
      </c>
      <c r="J524" s="28">
        <v>13.0</v>
      </c>
      <c r="K524" s="28" t="s">
        <v>57</v>
      </c>
      <c r="L524" s="28" t="s">
        <v>57</v>
      </c>
    </row>
    <row r="525" ht="15.75" customHeight="1">
      <c r="A525" s="28" t="s">
        <v>131</v>
      </c>
      <c r="B525" s="28" t="s">
        <v>1000</v>
      </c>
      <c r="D525" s="28" t="s">
        <v>134</v>
      </c>
      <c r="E525" s="28" t="s">
        <v>1365</v>
      </c>
      <c r="F525" s="28" t="s">
        <v>260</v>
      </c>
      <c r="G525" s="28" t="s">
        <v>262</v>
      </c>
      <c r="H525" s="28">
        <v>1.0</v>
      </c>
      <c r="I525" s="28">
        <v>0.31443298969072164</v>
      </c>
      <c r="J525" s="28">
        <v>11.0</v>
      </c>
      <c r="K525" s="28" t="s">
        <v>57</v>
      </c>
      <c r="L525" s="28" t="s">
        <v>57</v>
      </c>
    </row>
    <row r="526" ht="15.75" customHeight="1">
      <c r="A526" s="28" t="s">
        <v>131</v>
      </c>
      <c r="B526" s="28" t="s">
        <v>1000</v>
      </c>
      <c r="D526" s="28" t="s">
        <v>134</v>
      </c>
      <c r="E526" s="28" t="s">
        <v>1366</v>
      </c>
      <c r="F526" s="28" t="s">
        <v>276</v>
      </c>
      <c r="G526" s="28" t="s">
        <v>256</v>
      </c>
      <c r="H526" s="28">
        <v>1.0</v>
      </c>
      <c r="I526" s="28">
        <v>0.3402061855670103</v>
      </c>
      <c r="J526" s="28">
        <v>1.0</v>
      </c>
      <c r="K526" s="28" t="s">
        <v>57</v>
      </c>
      <c r="L526" s="28" t="s">
        <v>57</v>
      </c>
    </row>
    <row r="527" ht="15.75" customHeight="1">
      <c r="A527" s="28" t="s">
        <v>131</v>
      </c>
      <c r="B527" s="28" t="s">
        <v>1000</v>
      </c>
      <c r="D527" s="28" t="s">
        <v>134</v>
      </c>
      <c r="E527" s="28" t="s">
        <v>1367</v>
      </c>
      <c r="F527" s="28" t="s">
        <v>396</v>
      </c>
      <c r="G527" s="28" t="s">
        <v>398</v>
      </c>
      <c r="H527" s="28">
        <v>1.0</v>
      </c>
      <c r="I527" s="28">
        <v>0.34065934065934067</v>
      </c>
      <c r="J527" s="28">
        <v>29.0</v>
      </c>
      <c r="K527" s="28" t="s">
        <v>57</v>
      </c>
      <c r="L527" s="28" t="s">
        <v>696</v>
      </c>
    </row>
    <row r="528" ht="15.75" customHeight="1">
      <c r="A528" s="28" t="s">
        <v>131</v>
      </c>
      <c r="B528" s="28" t="s">
        <v>1000</v>
      </c>
      <c r="D528" s="28" t="s">
        <v>134</v>
      </c>
      <c r="E528" s="28" t="s">
        <v>1368</v>
      </c>
      <c r="F528" s="28" t="s">
        <v>276</v>
      </c>
      <c r="G528" s="28" t="s">
        <v>385</v>
      </c>
      <c r="H528" s="28">
        <v>1.0</v>
      </c>
      <c r="I528" s="28">
        <v>0.3556701030927835</v>
      </c>
      <c r="J528" s="28">
        <v>14.0</v>
      </c>
      <c r="K528" s="28" t="s">
        <v>57</v>
      </c>
      <c r="L528" s="28" t="s">
        <v>57</v>
      </c>
    </row>
    <row r="529" ht="15.75" customHeight="1">
      <c r="A529" s="28" t="s">
        <v>131</v>
      </c>
      <c r="B529" s="28" t="s">
        <v>1000</v>
      </c>
      <c r="D529" s="28" t="s">
        <v>134</v>
      </c>
      <c r="E529" s="28" t="s">
        <v>1369</v>
      </c>
      <c r="F529" s="28" t="s">
        <v>260</v>
      </c>
      <c r="G529" s="28" t="s">
        <v>392</v>
      </c>
      <c r="H529" s="28">
        <v>1.0</v>
      </c>
      <c r="I529" s="28">
        <v>0.36082474226804123</v>
      </c>
      <c r="J529" s="28">
        <v>28.0</v>
      </c>
      <c r="K529" s="28" t="s">
        <v>57</v>
      </c>
      <c r="L529" s="28" t="s">
        <v>57</v>
      </c>
    </row>
    <row r="530" ht="15.75" customHeight="1">
      <c r="A530" s="28" t="s">
        <v>131</v>
      </c>
      <c r="B530" s="28" t="s">
        <v>1000</v>
      </c>
      <c r="D530" s="28" t="s">
        <v>134</v>
      </c>
      <c r="E530" s="28" t="s">
        <v>1370</v>
      </c>
      <c r="F530" s="28" t="s">
        <v>276</v>
      </c>
      <c r="G530" s="28" t="s">
        <v>310</v>
      </c>
      <c r="H530" s="28">
        <v>1.0</v>
      </c>
      <c r="I530" s="28">
        <v>0.39690721649484534</v>
      </c>
      <c r="J530" s="28">
        <v>24.0</v>
      </c>
      <c r="K530" s="28" t="s">
        <v>57</v>
      </c>
      <c r="L530" s="28" t="s">
        <v>57</v>
      </c>
    </row>
    <row r="531" ht="15.75" customHeight="1">
      <c r="A531" s="28" t="s">
        <v>131</v>
      </c>
      <c r="B531" s="28" t="s">
        <v>1000</v>
      </c>
      <c r="D531" s="28" t="s">
        <v>134</v>
      </c>
      <c r="E531" s="28" t="s">
        <v>1371</v>
      </c>
      <c r="F531" s="28" t="s">
        <v>276</v>
      </c>
      <c r="G531" s="28" t="s">
        <v>278</v>
      </c>
      <c r="H531" s="28">
        <v>1.0</v>
      </c>
      <c r="I531" s="28">
        <v>0.4020618556701031</v>
      </c>
      <c r="J531" s="28">
        <v>20.0</v>
      </c>
      <c r="K531" s="28" t="s">
        <v>57</v>
      </c>
      <c r="L531" s="28" t="s">
        <v>57</v>
      </c>
    </row>
    <row r="532" ht="15.75" customHeight="1">
      <c r="A532" s="28" t="s">
        <v>131</v>
      </c>
      <c r="B532" s="28" t="s">
        <v>1000</v>
      </c>
      <c r="D532" s="28" t="s">
        <v>134</v>
      </c>
      <c r="E532" s="28" t="s">
        <v>1372</v>
      </c>
      <c r="F532" s="28" t="s">
        <v>687</v>
      </c>
      <c r="G532" s="28" t="s">
        <v>364</v>
      </c>
      <c r="H532" s="28">
        <v>1.0</v>
      </c>
      <c r="I532" s="28">
        <v>0.4690721649484536</v>
      </c>
      <c r="J532" s="28">
        <v>26.0</v>
      </c>
      <c r="K532" s="28" t="s">
        <v>57</v>
      </c>
      <c r="L532" s="28" t="s">
        <v>57</v>
      </c>
    </row>
    <row r="533" ht="15.75" customHeight="1">
      <c r="A533" s="28" t="s">
        <v>131</v>
      </c>
      <c r="B533" s="28" t="s">
        <v>1000</v>
      </c>
      <c r="D533" s="28" t="s">
        <v>134</v>
      </c>
      <c r="E533" s="28" t="s">
        <v>1373</v>
      </c>
      <c r="F533" s="28" t="s">
        <v>687</v>
      </c>
      <c r="G533" s="28" t="s">
        <v>295</v>
      </c>
      <c r="H533" s="28">
        <v>1.0</v>
      </c>
      <c r="I533" s="28">
        <v>0.4742268041237113</v>
      </c>
      <c r="J533" s="28">
        <v>25.0</v>
      </c>
      <c r="K533" s="28" t="s">
        <v>57</v>
      </c>
      <c r="L533" s="28" t="s">
        <v>57</v>
      </c>
    </row>
    <row r="534" ht="15.75" customHeight="1">
      <c r="A534" s="28" t="s">
        <v>131</v>
      </c>
      <c r="B534" s="28" t="s">
        <v>1000</v>
      </c>
      <c r="D534" s="28" t="s">
        <v>134</v>
      </c>
      <c r="E534" s="28" t="s">
        <v>1374</v>
      </c>
      <c r="F534" s="28" t="s">
        <v>1375</v>
      </c>
      <c r="G534" s="28" t="s">
        <v>370</v>
      </c>
      <c r="H534" s="28">
        <v>1.0</v>
      </c>
      <c r="I534" s="28">
        <v>0.5214007782101168</v>
      </c>
      <c r="J534" s="28">
        <v>27.0</v>
      </c>
      <c r="K534" s="28" t="s">
        <v>57</v>
      </c>
      <c r="L534" s="28" t="s">
        <v>57</v>
      </c>
    </row>
    <row r="535" ht="15.75" customHeight="1">
      <c r="A535" s="28" t="s">
        <v>131</v>
      </c>
      <c r="B535" s="28" t="s">
        <v>1000</v>
      </c>
      <c r="D535" s="28" t="s">
        <v>134</v>
      </c>
      <c r="E535" s="28" t="s">
        <v>1376</v>
      </c>
      <c r="F535" s="28" t="s">
        <v>691</v>
      </c>
      <c r="G535" s="28" t="s">
        <v>345</v>
      </c>
      <c r="H535" s="28">
        <v>1.0</v>
      </c>
      <c r="I535" s="28">
        <v>0.5228070175438596</v>
      </c>
      <c r="J535" s="28">
        <v>12.0</v>
      </c>
      <c r="K535" s="28" t="s">
        <v>57</v>
      </c>
      <c r="L535" s="28" t="s">
        <v>57</v>
      </c>
    </row>
    <row r="536" ht="15.75" customHeight="1">
      <c r="A536" s="28" t="s">
        <v>131</v>
      </c>
      <c r="B536" s="28" t="s">
        <v>1000</v>
      </c>
      <c r="D536" s="28" t="s">
        <v>134</v>
      </c>
      <c r="E536" s="28" t="s">
        <v>1377</v>
      </c>
      <c r="F536" s="28" t="s">
        <v>691</v>
      </c>
      <c r="G536" s="28" t="s">
        <v>252</v>
      </c>
      <c r="H536" s="28">
        <v>1.0</v>
      </c>
      <c r="I536" s="28">
        <v>0.5244755244755245</v>
      </c>
      <c r="J536" s="28">
        <v>9.0</v>
      </c>
      <c r="K536" s="28" t="s">
        <v>57</v>
      </c>
      <c r="L536" s="28" t="s">
        <v>57</v>
      </c>
    </row>
    <row r="537" ht="15.75" customHeight="1">
      <c r="A537" s="28" t="s">
        <v>131</v>
      </c>
      <c r="B537" s="28" t="s">
        <v>1000</v>
      </c>
      <c r="D537" s="28" t="s">
        <v>134</v>
      </c>
      <c r="E537" s="28" t="s">
        <v>1378</v>
      </c>
      <c r="F537" s="28" t="s">
        <v>691</v>
      </c>
      <c r="G537" s="28" t="s">
        <v>270</v>
      </c>
      <c r="H537" s="28">
        <v>1.0</v>
      </c>
      <c r="I537" s="28">
        <v>0.5294117647058824</v>
      </c>
      <c r="J537" s="28">
        <v>10.0</v>
      </c>
      <c r="K537" s="28" t="s">
        <v>57</v>
      </c>
      <c r="L537" s="28" t="s">
        <v>57</v>
      </c>
    </row>
    <row r="538" ht="15.75" customHeight="1">
      <c r="A538" s="28" t="s">
        <v>131</v>
      </c>
      <c r="B538" s="28" t="s">
        <v>1000</v>
      </c>
      <c r="D538" s="28" t="s">
        <v>134</v>
      </c>
      <c r="E538" s="28" t="s">
        <v>1379</v>
      </c>
      <c r="F538" s="28" t="s">
        <v>695</v>
      </c>
      <c r="G538" s="28" t="s">
        <v>213</v>
      </c>
      <c r="H538" s="28">
        <v>1.0</v>
      </c>
      <c r="I538" s="28">
        <v>0.5890052356020943</v>
      </c>
      <c r="J538" s="28">
        <v>8.0</v>
      </c>
      <c r="K538" s="28" t="s">
        <v>57</v>
      </c>
      <c r="L538" s="28" t="s">
        <v>696</v>
      </c>
    </row>
    <row r="539" ht="15.75" customHeight="1">
      <c r="A539" s="28" t="s">
        <v>131</v>
      </c>
      <c r="B539" s="28" t="s">
        <v>1000</v>
      </c>
      <c r="D539" s="28" t="s">
        <v>134</v>
      </c>
      <c r="E539" s="28" t="s">
        <v>1380</v>
      </c>
      <c r="F539" s="28" t="s">
        <v>698</v>
      </c>
      <c r="G539" s="28" t="s">
        <v>287</v>
      </c>
      <c r="H539" s="28">
        <v>1.0</v>
      </c>
      <c r="I539" s="28">
        <v>0.6682808716707022</v>
      </c>
      <c r="J539" s="28">
        <v>23.0</v>
      </c>
      <c r="K539" s="28" t="s">
        <v>57</v>
      </c>
      <c r="L539" s="28" t="s">
        <v>57</v>
      </c>
    </row>
    <row r="540" ht="15.75" customHeight="1">
      <c r="A540" s="28" t="s">
        <v>131</v>
      </c>
      <c r="B540" s="28" t="s">
        <v>1000</v>
      </c>
      <c r="D540" s="28" t="s">
        <v>134</v>
      </c>
      <c r="E540" s="28" t="s">
        <v>1381</v>
      </c>
      <c r="F540" s="28" t="s">
        <v>138</v>
      </c>
      <c r="G540" s="28" t="s">
        <v>140</v>
      </c>
      <c r="H540" s="28">
        <v>1.0</v>
      </c>
      <c r="I540" s="28">
        <v>0.7019230769230769</v>
      </c>
      <c r="J540" s="28">
        <v>4.0</v>
      </c>
      <c r="K540" s="28" t="s">
        <v>57</v>
      </c>
      <c r="L540" s="28" t="s">
        <v>696</v>
      </c>
    </row>
    <row r="541" ht="15.75" customHeight="1">
      <c r="A541" s="28" t="s">
        <v>131</v>
      </c>
      <c r="B541" s="28" t="s">
        <v>1000</v>
      </c>
      <c r="D541" s="28" t="s">
        <v>134</v>
      </c>
      <c r="E541" s="28" t="s">
        <v>1382</v>
      </c>
      <c r="F541" s="28" t="s">
        <v>701</v>
      </c>
      <c r="G541" s="28" t="s">
        <v>303</v>
      </c>
      <c r="H541" s="28">
        <v>1.0</v>
      </c>
      <c r="I541" s="28">
        <v>0.7782426778242678</v>
      </c>
      <c r="J541" s="28">
        <v>21.0</v>
      </c>
      <c r="K541" s="28" t="s">
        <v>57</v>
      </c>
      <c r="L541" s="28" t="s">
        <v>57</v>
      </c>
    </row>
    <row r="542" ht="15.75" customHeight="1">
      <c r="A542" s="28" t="s">
        <v>131</v>
      </c>
      <c r="B542" s="28" t="s">
        <v>1000</v>
      </c>
      <c r="D542" s="28" t="s">
        <v>134</v>
      </c>
      <c r="E542" s="28" t="s">
        <v>1383</v>
      </c>
      <c r="F542" s="28" t="s">
        <v>703</v>
      </c>
      <c r="G542" s="28" t="s">
        <v>149</v>
      </c>
      <c r="H542" s="28">
        <v>1.0</v>
      </c>
      <c r="I542" s="28">
        <v>0.7827814569536424</v>
      </c>
      <c r="J542" s="28">
        <v>5.0</v>
      </c>
      <c r="K542" s="28" t="s">
        <v>57</v>
      </c>
      <c r="L542" s="28" t="s">
        <v>696</v>
      </c>
    </row>
    <row r="543" ht="15.75" customHeight="1">
      <c r="A543" s="28" t="s">
        <v>131</v>
      </c>
      <c r="B543" s="28" t="s">
        <v>1000</v>
      </c>
      <c r="D543" s="28" t="s">
        <v>134</v>
      </c>
      <c r="E543" s="28" t="s">
        <v>1384</v>
      </c>
      <c r="F543" s="28" t="s">
        <v>705</v>
      </c>
      <c r="G543" s="28" t="s">
        <v>241</v>
      </c>
      <c r="H543" s="28">
        <v>1.0</v>
      </c>
      <c r="I543" s="28">
        <v>0.8698464025869038</v>
      </c>
      <c r="J543" s="28">
        <v>19.0</v>
      </c>
      <c r="K543" s="28" t="s">
        <v>57</v>
      </c>
      <c r="L543" s="28" t="s">
        <v>57</v>
      </c>
    </row>
    <row r="544" ht="15.75" customHeight="1">
      <c r="A544" s="28" t="s">
        <v>131</v>
      </c>
      <c r="B544" s="28" t="s">
        <v>1000</v>
      </c>
      <c r="D544" s="28" t="s">
        <v>329</v>
      </c>
      <c r="E544" s="28" t="s">
        <v>1385</v>
      </c>
      <c r="F544" s="28" t="s">
        <v>276</v>
      </c>
      <c r="G544" s="28" t="s">
        <v>334</v>
      </c>
      <c r="H544" s="28">
        <v>1.0</v>
      </c>
      <c r="I544" s="28">
        <v>0.059880239520958084</v>
      </c>
      <c r="J544" s="28">
        <v>5.0</v>
      </c>
      <c r="K544" s="28" t="s">
        <v>57</v>
      </c>
      <c r="L544" s="28" t="s">
        <v>57</v>
      </c>
    </row>
    <row r="545" ht="15.75" customHeight="1">
      <c r="A545" s="28" t="s">
        <v>131</v>
      </c>
      <c r="B545" s="28" t="s">
        <v>1000</v>
      </c>
      <c r="D545" s="28" t="s">
        <v>329</v>
      </c>
      <c r="E545" s="28" t="s">
        <v>1386</v>
      </c>
      <c r="F545" s="28" t="s">
        <v>276</v>
      </c>
      <c r="G545" s="28" t="s">
        <v>339</v>
      </c>
      <c r="H545" s="28">
        <v>1.0</v>
      </c>
      <c r="I545" s="28">
        <v>0.07784431137724551</v>
      </c>
      <c r="J545" s="28">
        <v>6.0</v>
      </c>
      <c r="K545" s="28" t="s">
        <v>57</v>
      </c>
      <c r="L545" s="28" t="s">
        <v>57</v>
      </c>
    </row>
    <row r="546" ht="15.75" customHeight="1">
      <c r="A546" s="28" t="s">
        <v>131</v>
      </c>
      <c r="B546" s="28" t="s">
        <v>1000</v>
      </c>
      <c r="D546" s="28" t="s">
        <v>329</v>
      </c>
      <c r="E546" s="28" t="s">
        <v>1387</v>
      </c>
      <c r="F546" s="28" t="s">
        <v>276</v>
      </c>
      <c r="G546" s="28" t="s">
        <v>378</v>
      </c>
      <c r="H546" s="28">
        <v>1.0</v>
      </c>
      <c r="I546" s="28">
        <v>0.2474747474747475</v>
      </c>
      <c r="J546" s="28">
        <v>12.0</v>
      </c>
      <c r="K546" s="28" t="s">
        <v>57</v>
      </c>
      <c r="L546" s="28" t="s">
        <v>57</v>
      </c>
    </row>
    <row r="547" ht="15.75" customHeight="1">
      <c r="A547" s="28" t="s">
        <v>131</v>
      </c>
      <c r="B547" s="28" t="s">
        <v>1000</v>
      </c>
      <c r="D547" s="28" t="s">
        <v>329</v>
      </c>
      <c r="E547" s="28" t="s">
        <v>1388</v>
      </c>
      <c r="F547" s="28" t="s">
        <v>276</v>
      </c>
      <c r="G547" s="28" t="s">
        <v>385</v>
      </c>
      <c r="H547" s="28">
        <v>1.0</v>
      </c>
      <c r="I547" s="28">
        <v>0.25748502994011974</v>
      </c>
      <c r="J547" s="28">
        <v>13.0</v>
      </c>
      <c r="K547" s="28" t="s">
        <v>57</v>
      </c>
      <c r="L547" s="28" t="s">
        <v>57</v>
      </c>
    </row>
    <row r="548" ht="15.75" customHeight="1">
      <c r="A548" s="28" t="s">
        <v>131</v>
      </c>
      <c r="B548" s="28" t="s">
        <v>1000</v>
      </c>
      <c r="D548" s="28" t="s">
        <v>329</v>
      </c>
      <c r="E548" s="28" t="s">
        <v>1389</v>
      </c>
      <c r="F548" s="28" t="s">
        <v>276</v>
      </c>
      <c r="G548" s="28" t="s">
        <v>310</v>
      </c>
      <c r="H548" s="28">
        <v>1.0</v>
      </c>
      <c r="I548" s="28">
        <v>0.30538922155688625</v>
      </c>
      <c r="J548" s="28">
        <v>23.0</v>
      </c>
      <c r="K548" s="28" t="s">
        <v>57</v>
      </c>
      <c r="L548" s="28" t="s">
        <v>57</v>
      </c>
    </row>
    <row r="549" ht="15.75" customHeight="1">
      <c r="A549" s="28" t="s">
        <v>131</v>
      </c>
      <c r="B549" s="28" t="s">
        <v>1000</v>
      </c>
      <c r="D549" s="28" t="s">
        <v>329</v>
      </c>
      <c r="E549" s="28" t="s">
        <v>1390</v>
      </c>
      <c r="F549" s="28" t="s">
        <v>276</v>
      </c>
      <c r="G549" s="28" t="s">
        <v>278</v>
      </c>
      <c r="H549" s="28">
        <v>1.0</v>
      </c>
      <c r="I549" s="28">
        <v>0.30538922155688625</v>
      </c>
      <c r="J549" s="28">
        <v>19.0</v>
      </c>
      <c r="K549" s="28" t="s">
        <v>57</v>
      </c>
      <c r="L549" s="28" t="s">
        <v>57</v>
      </c>
    </row>
    <row r="550" ht="15.75" customHeight="1">
      <c r="A550" s="28" t="s">
        <v>131</v>
      </c>
      <c r="B550" s="28" t="s">
        <v>1000</v>
      </c>
      <c r="D550" s="28" t="s">
        <v>329</v>
      </c>
      <c r="E550" s="28" t="s">
        <v>1391</v>
      </c>
      <c r="F550" s="28" t="s">
        <v>260</v>
      </c>
      <c r="G550" s="28" t="s">
        <v>262</v>
      </c>
      <c r="H550" s="28">
        <v>1.0</v>
      </c>
      <c r="I550" s="28">
        <v>0.3772455089820359</v>
      </c>
      <c r="J550" s="28">
        <v>10.0</v>
      </c>
      <c r="K550" s="28" t="s">
        <v>57</v>
      </c>
      <c r="L550" s="28" t="s">
        <v>57</v>
      </c>
    </row>
    <row r="551" ht="15.75" customHeight="1">
      <c r="A551" s="28" t="s">
        <v>131</v>
      </c>
      <c r="B551" s="28" t="s">
        <v>1000</v>
      </c>
      <c r="D551" s="28" t="s">
        <v>329</v>
      </c>
      <c r="E551" s="28" t="s">
        <v>1392</v>
      </c>
      <c r="F551" s="28" t="s">
        <v>276</v>
      </c>
      <c r="G551" s="28" t="s">
        <v>256</v>
      </c>
      <c r="H551" s="28">
        <v>1.0</v>
      </c>
      <c r="I551" s="28">
        <v>0.40119760479041916</v>
      </c>
      <c r="J551" s="28">
        <v>0.0</v>
      </c>
      <c r="K551" s="28" t="s">
        <v>57</v>
      </c>
      <c r="L551" s="28" t="s">
        <v>57</v>
      </c>
    </row>
    <row r="552" ht="15.75" customHeight="1">
      <c r="A552" s="28" t="s">
        <v>131</v>
      </c>
      <c r="B552" s="28" t="s">
        <v>1000</v>
      </c>
      <c r="D552" s="28" t="s">
        <v>329</v>
      </c>
      <c r="E552" s="28" t="s">
        <v>1393</v>
      </c>
      <c r="F552" s="28" t="s">
        <v>260</v>
      </c>
      <c r="G552" s="28" t="s">
        <v>392</v>
      </c>
      <c r="H552" s="28">
        <v>1.0</v>
      </c>
      <c r="I552" s="28">
        <v>0.41317365269461076</v>
      </c>
      <c r="J552" s="28">
        <v>27.0</v>
      </c>
      <c r="K552" s="28" t="s">
        <v>57</v>
      </c>
      <c r="L552" s="28" t="s">
        <v>57</v>
      </c>
    </row>
    <row r="553" ht="15.75" customHeight="1">
      <c r="A553" s="28" t="s">
        <v>131</v>
      </c>
      <c r="B553" s="28" t="s">
        <v>1000</v>
      </c>
      <c r="D553" s="28" t="s">
        <v>329</v>
      </c>
      <c r="E553" s="28" t="s">
        <v>1394</v>
      </c>
      <c r="F553" s="28" t="s">
        <v>396</v>
      </c>
      <c r="G553" s="28" t="s">
        <v>398</v>
      </c>
      <c r="H553" s="28">
        <v>1.0</v>
      </c>
      <c r="I553" s="28">
        <v>0.43956043956043955</v>
      </c>
      <c r="J553" s="28">
        <v>28.0</v>
      </c>
      <c r="K553" s="28" t="s">
        <v>57</v>
      </c>
      <c r="L553" s="28" t="s">
        <v>696</v>
      </c>
    </row>
    <row r="554" ht="15.75" customHeight="1">
      <c r="A554" s="28" t="s">
        <v>131</v>
      </c>
      <c r="B554" s="28" t="s">
        <v>1000</v>
      </c>
      <c r="D554" s="28" t="s">
        <v>329</v>
      </c>
      <c r="E554" s="28" t="s">
        <v>1395</v>
      </c>
      <c r="F554" s="28" t="s">
        <v>687</v>
      </c>
      <c r="G554" s="28" t="s">
        <v>364</v>
      </c>
      <c r="H554" s="28">
        <v>1.0</v>
      </c>
      <c r="I554" s="28">
        <v>0.4484536082474227</v>
      </c>
      <c r="J554" s="28">
        <v>25.0</v>
      </c>
      <c r="K554" s="28" t="s">
        <v>57</v>
      </c>
      <c r="L554" s="28" t="s">
        <v>57</v>
      </c>
    </row>
    <row r="555" ht="15.75" customHeight="1">
      <c r="A555" s="28" t="s">
        <v>131</v>
      </c>
      <c r="B555" s="28" t="s">
        <v>1000</v>
      </c>
      <c r="D555" s="28" t="s">
        <v>329</v>
      </c>
      <c r="E555" s="28" t="s">
        <v>1396</v>
      </c>
      <c r="F555" s="28" t="s">
        <v>687</v>
      </c>
      <c r="G555" s="28" t="s">
        <v>295</v>
      </c>
      <c r="H555" s="28">
        <v>1.0</v>
      </c>
      <c r="I555" s="28">
        <v>0.45595854922279794</v>
      </c>
      <c r="J555" s="28">
        <v>24.0</v>
      </c>
      <c r="K555" s="28" t="s">
        <v>57</v>
      </c>
      <c r="L555" s="28" t="s">
        <v>57</v>
      </c>
    </row>
    <row r="556" ht="15.75" customHeight="1">
      <c r="A556" s="28" t="s">
        <v>131</v>
      </c>
      <c r="B556" s="28" t="s">
        <v>1000</v>
      </c>
      <c r="D556" s="28" t="s">
        <v>329</v>
      </c>
      <c r="E556" s="28" t="s">
        <v>1397</v>
      </c>
      <c r="F556" s="28" t="s">
        <v>1375</v>
      </c>
      <c r="G556" s="28" t="s">
        <v>370</v>
      </c>
      <c r="H556" s="28">
        <v>1.0</v>
      </c>
      <c r="I556" s="28">
        <v>0.5447470817120622</v>
      </c>
      <c r="J556" s="28">
        <v>26.0</v>
      </c>
      <c r="K556" s="28" t="s">
        <v>57</v>
      </c>
      <c r="L556" s="28" t="s">
        <v>57</v>
      </c>
    </row>
    <row r="557" ht="15.75" customHeight="1">
      <c r="A557" s="28" t="s">
        <v>131</v>
      </c>
      <c r="B557" s="28" t="s">
        <v>1000</v>
      </c>
      <c r="D557" s="28" t="s">
        <v>329</v>
      </c>
      <c r="E557" s="28" t="s">
        <v>1398</v>
      </c>
      <c r="F557" s="28" t="s">
        <v>691</v>
      </c>
      <c r="G557" s="28" t="s">
        <v>345</v>
      </c>
      <c r="H557" s="28">
        <v>1.0</v>
      </c>
      <c r="I557" s="28">
        <v>0.5578947368421052</v>
      </c>
      <c r="J557" s="28">
        <v>11.0</v>
      </c>
      <c r="K557" s="28" t="s">
        <v>57</v>
      </c>
      <c r="L557" s="28" t="s">
        <v>57</v>
      </c>
    </row>
    <row r="558" ht="15.75" customHeight="1">
      <c r="A558" s="28" t="s">
        <v>131</v>
      </c>
      <c r="B558" s="28" t="s">
        <v>1000</v>
      </c>
      <c r="D558" s="28" t="s">
        <v>329</v>
      </c>
      <c r="E558" s="28" t="s">
        <v>1399</v>
      </c>
      <c r="F558" s="28" t="s">
        <v>691</v>
      </c>
      <c r="G558" s="28" t="s">
        <v>252</v>
      </c>
      <c r="H558" s="28">
        <v>1.0</v>
      </c>
      <c r="I558" s="28">
        <v>0.5594405594405595</v>
      </c>
      <c r="J558" s="28">
        <v>8.0</v>
      </c>
      <c r="K558" s="28" t="s">
        <v>57</v>
      </c>
      <c r="L558" s="28" t="s">
        <v>57</v>
      </c>
    </row>
    <row r="559" ht="15.75" customHeight="1">
      <c r="A559" s="28" t="s">
        <v>131</v>
      </c>
      <c r="B559" s="28" t="s">
        <v>1000</v>
      </c>
      <c r="D559" s="28" t="s">
        <v>329</v>
      </c>
      <c r="E559" s="28" t="s">
        <v>1400</v>
      </c>
      <c r="F559" s="28" t="s">
        <v>691</v>
      </c>
      <c r="G559" s="28" t="s">
        <v>270</v>
      </c>
      <c r="H559" s="28">
        <v>1.0</v>
      </c>
      <c r="I559" s="28">
        <v>0.5640138408304498</v>
      </c>
      <c r="J559" s="28">
        <v>9.0</v>
      </c>
      <c r="K559" s="28" t="s">
        <v>57</v>
      </c>
      <c r="L559" s="28" t="s">
        <v>57</v>
      </c>
    </row>
    <row r="560" ht="15.75" customHeight="1">
      <c r="A560" s="28" t="s">
        <v>131</v>
      </c>
      <c r="B560" s="28" t="s">
        <v>1000</v>
      </c>
      <c r="D560" s="28" t="s">
        <v>329</v>
      </c>
      <c r="E560" s="28" t="s">
        <v>1401</v>
      </c>
      <c r="F560" s="28" t="s">
        <v>695</v>
      </c>
      <c r="G560" s="28" t="s">
        <v>213</v>
      </c>
      <c r="H560" s="28">
        <v>1.0</v>
      </c>
      <c r="I560" s="28">
        <v>0.6204188481675392</v>
      </c>
      <c r="J560" s="28">
        <v>7.0</v>
      </c>
      <c r="K560" s="28" t="s">
        <v>57</v>
      </c>
      <c r="L560" s="28" t="s">
        <v>696</v>
      </c>
    </row>
    <row r="561" ht="15.75" customHeight="1">
      <c r="A561" s="28" t="s">
        <v>131</v>
      </c>
      <c r="B561" s="28" t="s">
        <v>1000</v>
      </c>
      <c r="D561" s="28" t="s">
        <v>329</v>
      </c>
      <c r="E561" s="28" t="s">
        <v>1402</v>
      </c>
      <c r="F561" s="28" t="s">
        <v>698</v>
      </c>
      <c r="G561" s="28" t="s">
        <v>287</v>
      </c>
      <c r="H561" s="28">
        <v>1.0</v>
      </c>
      <c r="I561" s="28">
        <v>0.6924939467312349</v>
      </c>
      <c r="J561" s="28">
        <v>22.0</v>
      </c>
      <c r="K561" s="28" t="s">
        <v>57</v>
      </c>
      <c r="L561" s="28" t="s">
        <v>57</v>
      </c>
    </row>
    <row r="562" ht="15.75" customHeight="1">
      <c r="A562" s="28" t="s">
        <v>131</v>
      </c>
      <c r="B562" s="28" t="s">
        <v>1000</v>
      </c>
      <c r="D562" s="28" t="s">
        <v>329</v>
      </c>
      <c r="E562" s="28" t="s">
        <v>1403</v>
      </c>
      <c r="F562" s="28" t="s">
        <v>138</v>
      </c>
      <c r="G562" s="28" t="s">
        <v>140</v>
      </c>
      <c r="H562" s="28">
        <v>1.0</v>
      </c>
      <c r="I562" s="28">
        <v>0.7230769230769231</v>
      </c>
      <c r="J562" s="28">
        <v>3.0</v>
      </c>
      <c r="K562" s="28" t="s">
        <v>57</v>
      </c>
      <c r="L562" s="28" t="s">
        <v>696</v>
      </c>
    </row>
    <row r="563" ht="15.75" customHeight="1">
      <c r="A563" s="28" t="s">
        <v>131</v>
      </c>
      <c r="B563" s="28" t="s">
        <v>1000</v>
      </c>
      <c r="D563" s="28" t="s">
        <v>329</v>
      </c>
      <c r="E563" s="28" t="s">
        <v>1404</v>
      </c>
      <c r="F563" s="28" t="s">
        <v>701</v>
      </c>
      <c r="G563" s="28" t="s">
        <v>303</v>
      </c>
      <c r="H563" s="28">
        <v>1.0</v>
      </c>
      <c r="I563" s="28">
        <v>0.797768479776848</v>
      </c>
      <c r="J563" s="28">
        <v>20.0</v>
      </c>
      <c r="K563" s="28" t="s">
        <v>57</v>
      </c>
      <c r="L563" s="28" t="s">
        <v>57</v>
      </c>
    </row>
    <row r="564" ht="15.75" customHeight="1">
      <c r="A564" s="28" t="s">
        <v>131</v>
      </c>
      <c r="B564" s="28" t="s">
        <v>1000</v>
      </c>
      <c r="D564" s="28" t="s">
        <v>329</v>
      </c>
      <c r="E564" s="28" t="s">
        <v>1405</v>
      </c>
      <c r="F564" s="28" t="s">
        <v>703</v>
      </c>
      <c r="G564" s="28" t="s">
        <v>149</v>
      </c>
      <c r="H564" s="28">
        <v>1.0</v>
      </c>
      <c r="I564" s="28">
        <v>0.8039735099337748</v>
      </c>
      <c r="J564" s="28">
        <v>4.0</v>
      </c>
      <c r="K564" s="28" t="s">
        <v>57</v>
      </c>
      <c r="L564" s="28" t="s">
        <v>696</v>
      </c>
    </row>
    <row r="565" ht="15.75" customHeight="1">
      <c r="A565" s="28" t="s">
        <v>131</v>
      </c>
      <c r="B565" s="28" t="s">
        <v>1000</v>
      </c>
      <c r="D565" s="28" t="s">
        <v>329</v>
      </c>
      <c r="E565" s="28" t="s">
        <v>1406</v>
      </c>
      <c r="F565" s="28" t="s">
        <v>705</v>
      </c>
      <c r="G565" s="28" t="s">
        <v>241</v>
      </c>
      <c r="H565" s="28">
        <v>1.0</v>
      </c>
      <c r="I565" s="28">
        <v>0.8819725141471302</v>
      </c>
      <c r="J565" s="28">
        <v>18.0</v>
      </c>
      <c r="K565" s="28" t="s">
        <v>57</v>
      </c>
      <c r="L565" s="28" t="s">
        <v>57</v>
      </c>
    </row>
    <row r="566" ht="15.75" customHeight="1">
      <c r="A566" s="28" t="s">
        <v>131</v>
      </c>
      <c r="B566" s="28" t="s">
        <v>1000</v>
      </c>
      <c r="D566" s="28" t="s">
        <v>256</v>
      </c>
      <c r="E566" s="28" t="s">
        <v>1407</v>
      </c>
      <c r="F566" s="28" t="s">
        <v>260</v>
      </c>
      <c r="G566" s="28" t="s">
        <v>392</v>
      </c>
      <c r="H566" s="28">
        <v>1.0</v>
      </c>
      <c r="I566" s="28">
        <v>0.22151898734177214</v>
      </c>
      <c r="J566" s="28">
        <v>26.0</v>
      </c>
      <c r="K566" s="28" t="s">
        <v>57</v>
      </c>
      <c r="L566" s="28" t="s">
        <v>57</v>
      </c>
    </row>
    <row r="567" ht="15.75" customHeight="1">
      <c r="A567" s="28" t="s">
        <v>131</v>
      </c>
      <c r="B567" s="28" t="s">
        <v>1000</v>
      </c>
      <c r="D567" s="28" t="s">
        <v>256</v>
      </c>
      <c r="E567" s="28" t="s">
        <v>1408</v>
      </c>
      <c r="F567" s="28" t="s">
        <v>276</v>
      </c>
      <c r="G567" s="28" t="s">
        <v>310</v>
      </c>
      <c r="H567" s="28">
        <v>1.0</v>
      </c>
      <c r="I567" s="28">
        <v>0.23376623376623376</v>
      </c>
      <c r="J567" s="28">
        <v>22.0</v>
      </c>
      <c r="K567" s="28" t="s">
        <v>57</v>
      </c>
      <c r="L567" s="28" t="s">
        <v>57</v>
      </c>
    </row>
    <row r="568" ht="15.75" customHeight="1">
      <c r="A568" s="28" t="s">
        <v>131</v>
      </c>
      <c r="B568" s="28" t="s">
        <v>1000</v>
      </c>
      <c r="D568" s="28" t="s">
        <v>256</v>
      </c>
      <c r="E568" s="28" t="s">
        <v>1409</v>
      </c>
      <c r="F568" s="28" t="s">
        <v>276</v>
      </c>
      <c r="G568" s="28" t="s">
        <v>278</v>
      </c>
      <c r="H568" s="28">
        <v>1.0</v>
      </c>
      <c r="I568" s="28">
        <v>0.23376623376623376</v>
      </c>
      <c r="J568" s="28">
        <v>18.0</v>
      </c>
      <c r="K568" s="28" t="s">
        <v>57</v>
      </c>
      <c r="L568" s="28" t="s">
        <v>57</v>
      </c>
    </row>
    <row r="569" ht="15.75" customHeight="1">
      <c r="A569" s="28" t="s">
        <v>131</v>
      </c>
      <c r="B569" s="28" t="s">
        <v>1000</v>
      </c>
      <c r="D569" s="28" t="s">
        <v>256</v>
      </c>
      <c r="E569" s="28" t="s">
        <v>1410</v>
      </c>
      <c r="F569" s="28" t="s">
        <v>260</v>
      </c>
      <c r="G569" s="28" t="s">
        <v>262</v>
      </c>
      <c r="H569" s="28">
        <v>1.0</v>
      </c>
      <c r="I569" s="28">
        <v>0.25301204819277107</v>
      </c>
      <c r="J569" s="28">
        <v>9.0</v>
      </c>
      <c r="K569" s="28" t="s">
        <v>57</v>
      </c>
      <c r="L569" s="28" t="s">
        <v>57</v>
      </c>
    </row>
    <row r="570" ht="15.75" customHeight="1">
      <c r="A570" s="28" t="s">
        <v>131</v>
      </c>
      <c r="B570" s="28" t="s">
        <v>1000</v>
      </c>
      <c r="D570" s="28" t="s">
        <v>256</v>
      </c>
      <c r="E570" s="28" t="s">
        <v>1411</v>
      </c>
      <c r="F570" s="28" t="s">
        <v>276</v>
      </c>
      <c r="G570" s="28" t="s">
        <v>385</v>
      </c>
      <c r="H570" s="28">
        <v>1.0</v>
      </c>
      <c r="I570" s="28">
        <v>0.2662337662337662</v>
      </c>
      <c r="J570" s="28">
        <v>12.0</v>
      </c>
      <c r="K570" s="28" t="s">
        <v>57</v>
      </c>
      <c r="L570" s="28" t="s">
        <v>57</v>
      </c>
    </row>
    <row r="571" ht="15.75" customHeight="1">
      <c r="A571" s="28" t="s">
        <v>131</v>
      </c>
      <c r="B571" s="28" t="s">
        <v>1000</v>
      </c>
      <c r="D571" s="28" t="s">
        <v>256</v>
      </c>
      <c r="E571" s="28" t="s">
        <v>1412</v>
      </c>
      <c r="F571" s="28" t="s">
        <v>687</v>
      </c>
      <c r="G571" s="28" t="s">
        <v>364</v>
      </c>
      <c r="H571" s="28">
        <v>1.0</v>
      </c>
      <c r="I571" s="28">
        <v>0.3247422680412371</v>
      </c>
      <c r="J571" s="28">
        <v>24.0</v>
      </c>
      <c r="K571" s="28" t="s">
        <v>57</v>
      </c>
      <c r="L571" s="28" t="s">
        <v>57</v>
      </c>
    </row>
    <row r="572" ht="15.75" customHeight="1">
      <c r="A572" s="28" t="s">
        <v>131</v>
      </c>
      <c r="B572" s="28" t="s">
        <v>1000</v>
      </c>
      <c r="D572" s="28" t="s">
        <v>256</v>
      </c>
      <c r="E572" s="28" t="s">
        <v>1413</v>
      </c>
      <c r="F572" s="28" t="s">
        <v>687</v>
      </c>
      <c r="G572" s="28" t="s">
        <v>295</v>
      </c>
      <c r="H572" s="28">
        <v>1.0</v>
      </c>
      <c r="I572" s="28">
        <v>0.32642487046632124</v>
      </c>
      <c r="J572" s="28">
        <v>23.0</v>
      </c>
      <c r="K572" s="28" t="s">
        <v>57</v>
      </c>
      <c r="L572" s="28" t="s">
        <v>57</v>
      </c>
    </row>
    <row r="573" ht="15.75" customHeight="1">
      <c r="A573" s="28" t="s">
        <v>131</v>
      </c>
      <c r="B573" s="28" t="s">
        <v>1000</v>
      </c>
      <c r="D573" s="28" t="s">
        <v>256</v>
      </c>
      <c r="E573" s="28" t="s">
        <v>1414</v>
      </c>
      <c r="F573" s="28" t="s">
        <v>276</v>
      </c>
      <c r="G573" s="28" t="s">
        <v>334</v>
      </c>
      <c r="H573" s="28">
        <v>1.0</v>
      </c>
      <c r="I573" s="28">
        <v>0.4024390243902439</v>
      </c>
      <c r="J573" s="28">
        <v>4.0</v>
      </c>
      <c r="K573" s="28" t="s">
        <v>57</v>
      </c>
      <c r="L573" s="28" t="s">
        <v>57</v>
      </c>
    </row>
    <row r="574" ht="15.75" customHeight="1">
      <c r="A574" s="28" t="s">
        <v>131</v>
      </c>
      <c r="B574" s="28" t="s">
        <v>1000</v>
      </c>
      <c r="D574" s="28" t="s">
        <v>256</v>
      </c>
      <c r="E574" s="28" t="s">
        <v>1415</v>
      </c>
      <c r="F574" s="28" t="s">
        <v>276</v>
      </c>
      <c r="G574" s="28" t="s">
        <v>339</v>
      </c>
      <c r="H574" s="28">
        <v>1.0</v>
      </c>
      <c r="I574" s="28">
        <v>0.41317365269461076</v>
      </c>
      <c r="J574" s="28">
        <v>5.0</v>
      </c>
      <c r="K574" s="28" t="s">
        <v>57</v>
      </c>
      <c r="L574" s="28" t="s">
        <v>57</v>
      </c>
    </row>
    <row r="575" ht="15.75" customHeight="1">
      <c r="A575" s="28" t="s">
        <v>131</v>
      </c>
      <c r="B575" s="28" t="s">
        <v>1000</v>
      </c>
      <c r="D575" s="28" t="s">
        <v>256</v>
      </c>
      <c r="E575" s="28" t="s">
        <v>1416</v>
      </c>
      <c r="F575" s="28" t="s">
        <v>1375</v>
      </c>
      <c r="G575" s="28" t="s">
        <v>370</v>
      </c>
      <c r="H575" s="28">
        <v>1.0</v>
      </c>
      <c r="I575" s="28">
        <v>0.4163424124513619</v>
      </c>
      <c r="J575" s="28">
        <v>25.0</v>
      </c>
      <c r="K575" s="28" t="s">
        <v>57</v>
      </c>
      <c r="L575" s="28" t="s">
        <v>57</v>
      </c>
    </row>
    <row r="576" ht="15.75" customHeight="1">
      <c r="A576" s="28" t="s">
        <v>131</v>
      </c>
      <c r="B576" s="28" t="s">
        <v>1000</v>
      </c>
      <c r="D576" s="28" t="s">
        <v>256</v>
      </c>
      <c r="E576" s="28" t="s">
        <v>1417</v>
      </c>
      <c r="F576" s="28" t="s">
        <v>276</v>
      </c>
      <c r="G576" s="28" t="s">
        <v>378</v>
      </c>
      <c r="H576" s="28">
        <v>1.0</v>
      </c>
      <c r="I576" s="28">
        <v>0.4292929292929293</v>
      </c>
      <c r="J576" s="28">
        <v>11.0</v>
      </c>
      <c r="K576" s="28" t="s">
        <v>57</v>
      </c>
      <c r="L576" s="28" t="s">
        <v>57</v>
      </c>
    </row>
    <row r="577" ht="15.75" customHeight="1">
      <c r="A577" s="28" t="s">
        <v>131</v>
      </c>
      <c r="B577" s="28" t="s">
        <v>1000</v>
      </c>
      <c r="D577" s="28" t="s">
        <v>256</v>
      </c>
      <c r="E577" s="28" t="s">
        <v>1418</v>
      </c>
      <c r="F577" s="28" t="s">
        <v>691</v>
      </c>
      <c r="G577" s="28" t="s">
        <v>345</v>
      </c>
      <c r="H577" s="28">
        <v>1.0</v>
      </c>
      <c r="I577" s="28">
        <v>0.5263157894736842</v>
      </c>
      <c r="J577" s="28">
        <v>10.0</v>
      </c>
      <c r="K577" s="28" t="s">
        <v>57</v>
      </c>
      <c r="L577" s="28" t="s">
        <v>57</v>
      </c>
    </row>
    <row r="578" ht="15.75" customHeight="1">
      <c r="A578" s="28" t="s">
        <v>131</v>
      </c>
      <c r="B578" s="28" t="s">
        <v>1000</v>
      </c>
      <c r="D578" s="28" t="s">
        <v>256</v>
      </c>
      <c r="E578" s="28" t="s">
        <v>1419</v>
      </c>
      <c r="F578" s="28" t="s">
        <v>691</v>
      </c>
      <c r="G578" s="28" t="s">
        <v>252</v>
      </c>
      <c r="H578" s="28">
        <v>1.0</v>
      </c>
      <c r="I578" s="28">
        <v>0.5384615384615384</v>
      </c>
      <c r="J578" s="28">
        <v>7.0</v>
      </c>
      <c r="K578" s="28" t="s">
        <v>57</v>
      </c>
      <c r="L578" s="28" t="s">
        <v>57</v>
      </c>
    </row>
    <row r="579" ht="15.75" customHeight="1">
      <c r="A579" s="28" t="s">
        <v>131</v>
      </c>
      <c r="B579" s="28" t="s">
        <v>1000</v>
      </c>
      <c r="D579" s="28" t="s">
        <v>256</v>
      </c>
      <c r="E579" s="28" t="s">
        <v>1420</v>
      </c>
      <c r="F579" s="28" t="s">
        <v>691</v>
      </c>
      <c r="G579" s="28" t="s">
        <v>270</v>
      </c>
      <c r="H579" s="28">
        <v>1.0</v>
      </c>
      <c r="I579" s="28">
        <v>0.5432525951557093</v>
      </c>
      <c r="J579" s="28">
        <v>8.0</v>
      </c>
      <c r="K579" s="28" t="s">
        <v>57</v>
      </c>
      <c r="L579" s="28" t="s">
        <v>57</v>
      </c>
    </row>
    <row r="580" ht="15.75" customHeight="1">
      <c r="A580" s="28" t="s">
        <v>131</v>
      </c>
      <c r="B580" s="28" t="s">
        <v>1000</v>
      </c>
      <c r="D580" s="28" t="s">
        <v>256</v>
      </c>
      <c r="E580" s="28" t="s">
        <v>1421</v>
      </c>
      <c r="F580" s="28" t="s">
        <v>396</v>
      </c>
      <c r="G580" s="28" t="s">
        <v>398</v>
      </c>
      <c r="H580" s="28">
        <v>1.0</v>
      </c>
      <c r="I580" s="28">
        <v>0.5531135531135531</v>
      </c>
      <c r="J580" s="28">
        <v>27.0</v>
      </c>
      <c r="K580" s="28" t="s">
        <v>57</v>
      </c>
      <c r="L580" s="28" t="s">
        <v>696</v>
      </c>
    </row>
    <row r="581" ht="15.75" customHeight="1">
      <c r="A581" s="28" t="s">
        <v>131</v>
      </c>
      <c r="B581" s="28" t="s">
        <v>1000</v>
      </c>
      <c r="D581" s="28" t="s">
        <v>256</v>
      </c>
      <c r="E581" s="28" t="s">
        <v>1422</v>
      </c>
      <c r="F581" s="28" t="s">
        <v>695</v>
      </c>
      <c r="G581" s="28" t="s">
        <v>213</v>
      </c>
      <c r="H581" s="28">
        <v>1.0</v>
      </c>
      <c r="I581" s="28">
        <v>0.6465968586387435</v>
      </c>
      <c r="J581" s="28">
        <v>6.0</v>
      </c>
      <c r="K581" s="28" t="s">
        <v>57</v>
      </c>
      <c r="L581" s="28" t="s">
        <v>696</v>
      </c>
    </row>
    <row r="582" ht="15.75" customHeight="1">
      <c r="A582" s="28" t="s">
        <v>131</v>
      </c>
      <c r="B582" s="28" t="s">
        <v>1000</v>
      </c>
      <c r="D582" s="28" t="s">
        <v>256</v>
      </c>
      <c r="E582" s="28" t="s">
        <v>1423</v>
      </c>
      <c r="F582" s="28" t="s">
        <v>698</v>
      </c>
      <c r="G582" s="28" t="s">
        <v>287</v>
      </c>
      <c r="H582" s="28">
        <v>1.0</v>
      </c>
      <c r="I582" s="28">
        <v>0.6682808716707022</v>
      </c>
      <c r="J582" s="28">
        <v>21.0</v>
      </c>
      <c r="K582" s="28" t="s">
        <v>57</v>
      </c>
      <c r="L582" s="28" t="s">
        <v>57</v>
      </c>
    </row>
    <row r="583" ht="15.75" customHeight="1">
      <c r="A583" s="28" t="s">
        <v>131</v>
      </c>
      <c r="B583" s="28" t="s">
        <v>1000</v>
      </c>
      <c r="D583" s="28" t="s">
        <v>256</v>
      </c>
      <c r="E583" s="28" t="s">
        <v>1424</v>
      </c>
      <c r="F583" s="28" t="s">
        <v>138</v>
      </c>
      <c r="G583" s="28" t="s">
        <v>140</v>
      </c>
      <c r="H583" s="28">
        <v>1.0</v>
      </c>
      <c r="I583" s="28">
        <v>0.7153846153846154</v>
      </c>
      <c r="J583" s="28">
        <v>2.0</v>
      </c>
      <c r="K583" s="28" t="s">
        <v>57</v>
      </c>
      <c r="L583" s="28" t="s">
        <v>696</v>
      </c>
    </row>
    <row r="584" ht="15.75" customHeight="1">
      <c r="A584" s="28" t="s">
        <v>131</v>
      </c>
      <c r="B584" s="28" t="s">
        <v>1000</v>
      </c>
      <c r="D584" s="28" t="s">
        <v>256</v>
      </c>
      <c r="E584" s="28" t="s">
        <v>1425</v>
      </c>
      <c r="F584" s="28" t="s">
        <v>703</v>
      </c>
      <c r="G584" s="28" t="s">
        <v>149</v>
      </c>
      <c r="H584" s="28">
        <v>1.0</v>
      </c>
      <c r="I584" s="28">
        <v>0.8052980132450331</v>
      </c>
      <c r="J584" s="28">
        <v>3.0</v>
      </c>
      <c r="K584" s="28" t="s">
        <v>57</v>
      </c>
      <c r="L584" s="28" t="s">
        <v>696</v>
      </c>
    </row>
    <row r="585" ht="15.75" customHeight="1">
      <c r="A585" s="28" t="s">
        <v>131</v>
      </c>
      <c r="B585" s="28" t="s">
        <v>1000</v>
      </c>
      <c r="D585" s="28" t="s">
        <v>256</v>
      </c>
      <c r="E585" s="28" t="s">
        <v>1426</v>
      </c>
      <c r="F585" s="28" t="s">
        <v>701</v>
      </c>
      <c r="G585" s="28" t="s">
        <v>303</v>
      </c>
      <c r="H585" s="28">
        <v>1.0</v>
      </c>
      <c r="I585" s="28">
        <v>0.8117154811715481</v>
      </c>
      <c r="J585" s="28">
        <v>19.0</v>
      </c>
      <c r="K585" s="28" t="s">
        <v>57</v>
      </c>
      <c r="L585" s="28" t="s">
        <v>57</v>
      </c>
    </row>
    <row r="586" ht="15.75" customHeight="1">
      <c r="A586" s="28" t="s">
        <v>131</v>
      </c>
      <c r="B586" s="28" t="s">
        <v>1000</v>
      </c>
      <c r="D586" s="28" t="s">
        <v>256</v>
      </c>
      <c r="E586" s="28" t="s">
        <v>1427</v>
      </c>
      <c r="F586" s="28" t="s">
        <v>705</v>
      </c>
      <c r="G586" s="28" t="s">
        <v>241</v>
      </c>
      <c r="H586" s="28">
        <v>1.0</v>
      </c>
      <c r="I586" s="28">
        <v>0.8884397736459175</v>
      </c>
      <c r="J586" s="28">
        <v>17.0</v>
      </c>
      <c r="K586" s="28" t="s">
        <v>57</v>
      </c>
      <c r="L586" s="28" t="s">
        <v>57</v>
      </c>
    </row>
    <row r="587" ht="15.75" customHeight="1">
      <c r="A587" s="28" t="s">
        <v>131</v>
      </c>
      <c r="B587" s="28" t="s">
        <v>1000</v>
      </c>
      <c r="D587" s="28" t="s">
        <v>140</v>
      </c>
      <c r="E587" s="28" t="s">
        <v>1428</v>
      </c>
      <c r="F587" s="28" t="s">
        <v>740</v>
      </c>
      <c r="G587" s="28" t="s">
        <v>287</v>
      </c>
      <c r="H587" s="28">
        <v>1.0</v>
      </c>
      <c r="I587" s="28">
        <v>0.2423076923076923</v>
      </c>
      <c r="J587" s="28">
        <v>18.0</v>
      </c>
      <c r="K587" s="28" t="s">
        <v>57</v>
      </c>
      <c r="L587" s="28" t="s">
        <v>696</v>
      </c>
    </row>
    <row r="588" ht="15.75" customHeight="1">
      <c r="A588" s="28" t="s">
        <v>131</v>
      </c>
      <c r="B588" s="28" t="s">
        <v>1000</v>
      </c>
      <c r="D588" s="28" t="s">
        <v>140</v>
      </c>
      <c r="E588" s="28" t="s">
        <v>1429</v>
      </c>
      <c r="F588" s="28" t="s">
        <v>147</v>
      </c>
      <c r="G588" s="28" t="s">
        <v>149</v>
      </c>
      <c r="H588" s="28">
        <v>1.0</v>
      </c>
      <c r="I588" s="28">
        <v>0.3708609271523179</v>
      </c>
      <c r="J588" s="28">
        <v>0.0</v>
      </c>
      <c r="K588" s="28" t="s">
        <v>57</v>
      </c>
      <c r="L588" s="28" t="s">
        <v>57</v>
      </c>
    </row>
    <row r="589" ht="15.75" customHeight="1">
      <c r="A589" s="28" t="s">
        <v>131</v>
      </c>
      <c r="B589" s="28" t="s">
        <v>1000</v>
      </c>
      <c r="D589" s="28" t="s">
        <v>140</v>
      </c>
      <c r="E589" s="28" t="s">
        <v>1430</v>
      </c>
      <c r="F589" s="28" t="s">
        <v>211</v>
      </c>
      <c r="G589" s="28" t="s">
        <v>213</v>
      </c>
      <c r="H589" s="28">
        <v>1.0</v>
      </c>
      <c r="I589" s="28">
        <v>0.3903846153846154</v>
      </c>
      <c r="J589" s="28">
        <v>3.0</v>
      </c>
      <c r="K589" s="28" t="s">
        <v>57</v>
      </c>
      <c r="L589" s="28" t="s">
        <v>57</v>
      </c>
    </row>
    <row r="590" ht="15.75" customHeight="1">
      <c r="A590" s="28" t="s">
        <v>131</v>
      </c>
      <c r="B590" s="28" t="s">
        <v>1000</v>
      </c>
      <c r="D590" s="28" t="s">
        <v>140</v>
      </c>
      <c r="E590" s="28" t="s">
        <v>1431</v>
      </c>
      <c r="F590" s="28" t="s">
        <v>742</v>
      </c>
      <c r="G590" s="28" t="s">
        <v>303</v>
      </c>
      <c r="H590" s="28">
        <v>1.0</v>
      </c>
      <c r="I590" s="28">
        <v>0.39748953974895396</v>
      </c>
      <c r="J590" s="28">
        <v>16.0</v>
      </c>
      <c r="K590" s="28" t="s">
        <v>57</v>
      </c>
      <c r="L590" s="28" t="s">
        <v>696</v>
      </c>
    </row>
    <row r="591" ht="15.75" customHeight="1">
      <c r="A591" s="28" t="s">
        <v>131</v>
      </c>
      <c r="B591" s="28" t="s">
        <v>1000</v>
      </c>
      <c r="D591" s="28" t="s">
        <v>140</v>
      </c>
      <c r="E591" s="28" t="s">
        <v>1432</v>
      </c>
      <c r="F591" s="28" t="s">
        <v>744</v>
      </c>
      <c r="G591" s="28" t="s">
        <v>252</v>
      </c>
      <c r="H591" s="28">
        <v>1.0</v>
      </c>
      <c r="I591" s="28">
        <v>0.49230769230769234</v>
      </c>
      <c r="J591" s="28">
        <v>4.0</v>
      </c>
      <c r="K591" s="28" t="s">
        <v>57</v>
      </c>
      <c r="L591" s="28" t="s">
        <v>696</v>
      </c>
    </row>
    <row r="592" ht="15.75" customHeight="1">
      <c r="A592" s="28" t="s">
        <v>131</v>
      </c>
      <c r="B592" s="28" t="s">
        <v>1000</v>
      </c>
      <c r="D592" s="28" t="s">
        <v>140</v>
      </c>
      <c r="E592" s="28" t="s">
        <v>1433</v>
      </c>
      <c r="F592" s="28" t="s">
        <v>744</v>
      </c>
      <c r="G592" s="28" t="s">
        <v>345</v>
      </c>
      <c r="H592" s="28">
        <v>1.0</v>
      </c>
      <c r="I592" s="28">
        <v>0.49423076923076925</v>
      </c>
      <c r="J592" s="28">
        <v>7.0</v>
      </c>
      <c r="K592" s="28" t="s">
        <v>57</v>
      </c>
      <c r="L592" s="28" t="s">
        <v>696</v>
      </c>
    </row>
    <row r="593" ht="15.75" customHeight="1">
      <c r="A593" s="28" t="s">
        <v>131</v>
      </c>
      <c r="B593" s="28" t="s">
        <v>1000</v>
      </c>
      <c r="D593" s="28" t="s">
        <v>140</v>
      </c>
      <c r="E593" s="28" t="s">
        <v>1434</v>
      </c>
      <c r="F593" s="28" t="s">
        <v>744</v>
      </c>
      <c r="G593" s="28" t="s">
        <v>270</v>
      </c>
      <c r="H593" s="28">
        <v>1.0</v>
      </c>
      <c r="I593" s="28">
        <v>0.4980769230769231</v>
      </c>
      <c r="J593" s="28">
        <v>5.0</v>
      </c>
      <c r="K593" s="28" t="s">
        <v>57</v>
      </c>
      <c r="L593" s="28" t="s">
        <v>696</v>
      </c>
    </row>
    <row r="594" ht="15.75" customHeight="1">
      <c r="A594" s="28" t="s">
        <v>131</v>
      </c>
      <c r="B594" s="28" t="s">
        <v>1000</v>
      </c>
      <c r="D594" s="28" t="s">
        <v>140</v>
      </c>
      <c r="E594" s="28" t="s">
        <v>1435</v>
      </c>
      <c r="F594" s="28" t="s">
        <v>1436</v>
      </c>
      <c r="G594" s="28" t="s">
        <v>370</v>
      </c>
      <c r="H594" s="28">
        <v>1.0</v>
      </c>
      <c r="I594" s="28">
        <v>0.5211538461538462</v>
      </c>
      <c r="J594" s="28">
        <v>22.0</v>
      </c>
      <c r="K594" s="28" t="s">
        <v>57</v>
      </c>
      <c r="L594" s="28" t="s">
        <v>696</v>
      </c>
    </row>
    <row r="595" ht="15.75" customHeight="1">
      <c r="A595" s="28" t="s">
        <v>131</v>
      </c>
      <c r="B595" s="28" t="s">
        <v>1000</v>
      </c>
      <c r="D595" s="28" t="s">
        <v>140</v>
      </c>
      <c r="E595" s="28" t="s">
        <v>1437</v>
      </c>
      <c r="F595" s="28" t="s">
        <v>750</v>
      </c>
      <c r="G595" s="28" t="s">
        <v>241</v>
      </c>
      <c r="H595" s="28">
        <v>1.0</v>
      </c>
      <c r="I595" s="28">
        <v>0.608730800323363</v>
      </c>
      <c r="J595" s="28">
        <v>14.0</v>
      </c>
      <c r="K595" s="28" t="s">
        <v>57</v>
      </c>
      <c r="L595" s="28" t="s">
        <v>696</v>
      </c>
    </row>
    <row r="596" ht="15.75" customHeight="1">
      <c r="A596" s="28" t="s">
        <v>131</v>
      </c>
      <c r="B596" s="28" t="s">
        <v>1000</v>
      </c>
      <c r="D596" s="28" t="s">
        <v>140</v>
      </c>
      <c r="E596" s="28" t="s">
        <v>1438</v>
      </c>
      <c r="F596" s="28" t="s">
        <v>1439</v>
      </c>
      <c r="G596" s="28" t="s">
        <v>398</v>
      </c>
      <c r="H596" s="28">
        <v>1.0</v>
      </c>
      <c r="I596" s="28">
        <v>0.6230769230769231</v>
      </c>
      <c r="J596" s="28">
        <v>24.0</v>
      </c>
      <c r="K596" s="28" t="s">
        <v>57</v>
      </c>
      <c r="L596" s="28" t="s">
        <v>57</v>
      </c>
    </row>
    <row r="597" ht="15.75" customHeight="1">
      <c r="A597" s="28" t="s">
        <v>131</v>
      </c>
      <c r="B597" s="28" t="s">
        <v>1000</v>
      </c>
      <c r="D597" s="28" t="s">
        <v>140</v>
      </c>
      <c r="E597" s="28" t="s">
        <v>1440</v>
      </c>
      <c r="F597" s="28" t="s">
        <v>748</v>
      </c>
      <c r="G597" s="28" t="s">
        <v>295</v>
      </c>
      <c r="H597" s="28">
        <v>1.0</v>
      </c>
      <c r="I597" s="28">
        <v>0.6326923076923077</v>
      </c>
      <c r="J597" s="28">
        <v>20.0</v>
      </c>
      <c r="K597" s="28" t="s">
        <v>57</v>
      </c>
      <c r="L597" s="28" t="s">
        <v>696</v>
      </c>
    </row>
    <row r="598" ht="15.75" customHeight="1">
      <c r="A598" s="28" t="s">
        <v>131</v>
      </c>
      <c r="B598" s="28" t="s">
        <v>1000</v>
      </c>
      <c r="D598" s="28" t="s">
        <v>140</v>
      </c>
      <c r="E598" s="28" t="s">
        <v>1441</v>
      </c>
      <c r="F598" s="28" t="s">
        <v>748</v>
      </c>
      <c r="G598" s="28" t="s">
        <v>364</v>
      </c>
      <c r="H598" s="28">
        <v>1.0</v>
      </c>
      <c r="I598" s="28">
        <v>0.6326923076923077</v>
      </c>
      <c r="J598" s="28">
        <v>21.0</v>
      </c>
      <c r="K598" s="28" t="s">
        <v>57</v>
      </c>
      <c r="L598" s="28" t="s">
        <v>696</v>
      </c>
    </row>
    <row r="599" ht="15.75" customHeight="1">
      <c r="A599" s="28" t="s">
        <v>131</v>
      </c>
      <c r="B599" s="28" t="s">
        <v>1000</v>
      </c>
      <c r="D599" s="28" t="s">
        <v>140</v>
      </c>
      <c r="E599" s="28" t="s">
        <v>1442</v>
      </c>
      <c r="F599" s="28" t="s">
        <v>754</v>
      </c>
      <c r="G599" s="28" t="s">
        <v>392</v>
      </c>
      <c r="H599" s="28">
        <v>1.0</v>
      </c>
      <c r="I599" s="28">
        <v>0.698076923076923</v>
      </c>
      <c r="J599" s="28">
        <v>23.0</v>
      </c>
      <c r="K599" s="28" t="s">
        <v>57</v>
      </c>
      <c r="L599" s="28" t="s">
        <v>696</v>
      </c>
    </row>
    <row r="600" ht="15.75" customHeight="1">
      <c r="A600" s="28" t="s">
        <v>131</v>
      </c>
      <c r="B600" s="28" t="s">
        <v>1000</v>
      </c>
      <c r="D600" s="28" t="s">
        <v>140</v>
      </c>
      <c r="E600" s="28" t="s">
        <v>1443</v>
      </c>
      <c r="F600" s="28" t="s">
        <v>754</v>
      </c>
      <c r="G600" s="28" t="s">
        <v>262</v>
      </c>
      <c r="H600" s="28">
        <v>1.0</v>
      </c>
      <c r="I600" s="28">
        <v>0.7019230769230769</v>
      </c>
      <c r="J600" s="28">
        <v>6.0</v>
      </c>
      <c r="K600" s="28" t="s">
        <v>57</v>
      </c>
      <c r="L600" s="28" t="s">
        <v>696</v>
      </c>
    </row>
    <row r="601" ht="15.75" customHeight="1">
      <c r="A601" s="28" t="s">
        <v>131</v>
      </c>
      <c r="B601" s="28" t="s">
        <v>1000</v>
      </c>
      <c r="D601" s="28" t="s">
        <v>140</v>
      </c>
      <c r="E601" s="28" t="s">
        <v>1444</v>
      </c>
      <c r="F601" s="28" t="s">
        <v>756</v>
      </c>
      <c r="G601" s="28" t="s">
        <v>378</v>
      </c>
      <c r="H601" s="28">
        <v>1.0</v>
      </c>
      <c r="I601" s="28">
        <v>0.7326923076923076</v>
      </c>
      <c r="J601" s="28">
        <v>8.0</v>
      </c>
      <c r="K601" s="28" t="s">
        <v>57</v>
      </c>
      <c r="L601" s="28" t="s">
        <v>696</v>
      </c>
    </row>
    <row r="602" ht="15.75" customHeight="1">
      <c r="A602" s="28" t="s">
        <v>131</v>
      </c>
      <c r="B602" s="28" t="s">
        <v>1000</v>
      </c>
      <c r="D602" s="28" t="s">
        <v>140</v>
      </c>
      <c r="E602" s="28" t="s">
        <v>1445</v>
      </c>
      <c r="F602" s="28" t="s">
        <v>756</v>
      </c>
      <c r="G602" s="28" t="s">
        <v>334</v>
      </c>
      <c r="H602" s="28">
        <v>1.0</v>
      </c>
      <c r="I602" s="28">
        <v>0.7365384615384616</v>
      </c>
      <c r="J602" s="28">
        <v>1.0</v>
      </c>
      <c r="K602" s="28" t="s">
        <v>57</v>
      </c>
      <c r="L602" s="28" t="s">
        <v>696</v>
      </c>
    </row>
    <row r="603" ht="15.75" customHeight="1">
      <c r="A603" s="28" t="s">
        <v>131</v>
      </c>
      <c r="B603" s="28" t="s">
        <v>1000</v>
      </c>
      <c r="D603" s="28" t="s">
        <v>140</v>
      </c>
      <c r="E603" s="28" t="s">
        <v>1446</v>
      </c>
      <c r="F603" s="28" t="s">
        <v>756</v>
      </c>
      <c r="G603" s="28" t="s">
        <v>339</v>
      </c>
      <c r="H603" s="28">
        <v>1.0</v>
      </c>
      <c r="I603" s="28">
        <v>0.7365384615384616</v>
      </c>
      <c r="J603" s="28">
        <v>2.0</v>
      </c>
      <c r="K603" s="28" t="s">
        <v>57</v>
      </c>
      <c r="L603" s="28" t="s">
        <v>696</v>
      </c>
    </row>
    <row r="604" ht="15.75" customHeight="1">
      <c r="A604" s="28" t="s">
        <v>131</v>
      </c>
      <c r="B604" s="28" t="s">
        <v>1000</v>
      </c>
      <c r="D604" s="28" t="s">
        <v>140</v>
      </c>
      <c r="E604" s="28" t="s">
        <v>1447</v>
      </c>
      <c r="F604" s="28" t="s">
        <v>756</v>
      </c>
      <c r="G604" s="28" t="s">
        <v>385</v>
      </c>
      <c r="H604" s="28">
        <v>1.0</v>
      </c>
      <c r="I604" s="28">
        <v>0.7692307692307693</v>
      </c>
      <c r="J604" s="28">
        <v>9.0</v>
      </c>
      <c r="K604" s="28" t="s">
        <v>57</v>
      </c>
      <c r="L604" s="28" t="s">
        <v>696</v>
      </c>
    </row>
    <row r="605" ht="15.75" customHeight="1">
      <c r="A605" s="28" t="s">
        <v>131</v>
      </c>
      <c r="B605" s="28" t="s">
        <v>1000</v>
      </c>
      <c r="D605" s="28" t="s">
        <v>140</v>
      </c>
      <c r="E605" s="28" t="s">
        <v>1448</v>
      </c>
      <c r="F605" s="28" t="s">
        <v>756</v>
      </c>
      <c r="G605" s="28" t="s">
        <v>310</v>
      </c>
      <c r="H605" s="28">
        <v>1.0</v>
      </c>
      <c r="I605" s="28">
        <v>0.7711538461538462</v>
      </c>
      <c r="J605" s="28">
        <v>19.0</v>
      </c>
      <c r="K605" s="28" t="s">
        <v>57</v>
      </c>
      <c r="L605" s="28" t="s">
        <v>696</v>
      </c>
    </row>
    <row r="606" ht="15.75" customHeight="1">
      <c r="A606" s="28" t="s">
        <v>131</v>
      </c>
      <c r="B606" s="28" t="s">
        <v>1000</v>
      </c>
      <c r="D606" s="28" t="s">
        <v>140</v>
      </c>
      <c r="E606" s="28" t="s">
        <v>1449</v>
      </c>
      <c r="F606" s="28" t="s">
        <v>756</v>
      </c>
      <c r="G606" s="28" t="s">
        <v>278</v>
      </c>
      <c r="H606" s="28">
        <v>1.0</v>
      </c>
      <c r="I606" s="28">
        <v>0.7730769230769231</v>
      </c>
      <c r="J606" s="28">
        <v>15.0</v>
      </c>
      <c r="K606" s="28" t="s">
        <v>57</v>
      </c>
      <c r="L606" s="28" t="s">
        <v>696</v>
      </c>
    </row>
    <row r="607" ht="15.75" customHeight="1">
      <c r="A607" s="28" t="s">
        <v>131</v>
      </c>
      <c r="B607" s="28" t="s">
        <v>1000</v>
      </c>
      <c r="D607" s="28" t="s">
        <v>149</v>
      </c>
      <c r="E607" s="28" t="s">
        <v>1450</v>
      </c>
      <c r="F607" s="28" t="s">
        <v>761</v>
      </c>
      <c r="G607" s="28" t="s">
        <v>303</v>
      </c>
      <c r="H607" s="28">
        <v>1.0</v>
      </c>
      <c r="I607" s="28">
        <v>0.2543046357615894</v>
      </c>
      <c r="J607" s="28">
        <v>15.0</v>
      </c>
      <c r="K607" s="28" t="s">
        <v>57</v>
      </c>
      <c r="L607" s="28" t="s">
        <v>696</v>
      </c>
    </row>
    <row r="608" ht="15.75" customHeight="1">
      <c r="A608" s="28" t="s">
        <v>131</v>
      </c>
      <c r="B608" s="28" t="s">
        <v>1000</v>
      </c>
      <c r="D608" s="28" t="s">
        <v>149</v>
      </c>
      <c r="E608" s="28" t="s">
        <v>1451</v>
      </c>
      <c r="F608" s="28" t="s">
        <v>239</v>
      </c>
      <c r="G608" s="28" t="s">
        <v>241</v>
      </c>
      <c r="H608" s="28">
        <v>1.0</v>
      </c>
      <c r="I608" s="28">
        <v>0.4559417946645109</v>
      </c>
      <c r="J608" s="28">
        <v>13.0</v>
      </c>
      <c r="K608" s="28" t="s">
        <v>57</v>
      </c>
      <c r="L608" s="28" t="s">
        <v>696</v>
      </c>
    </row>
    <row r="609" ht="15.75" customHeight="1">
      <c r="A609" s="28" t="s">
        <v>131</v>
      </c>
      <c r="B609" s="28" t="s">
        <v>1000</v>
      </c>
      <c r="D609" s="28" t="s">
        <v>149</v>
      </c>
      <c r="E609" s="28" t="s">
        <v>1452</v>
      </c>
      <c r="F609" s="28" t="s">
        <v>763</v>
      </c>
      <c r="G609" s="28" t="s">
        <v>287</v>
      </c>
      <c r="H609" s="28">
        <v>1.0</v>
      </c>
      <c r="I609" s="28">
        <v>0.46357615894039733</v>
      </c>
      <c r="J609" s="28">
        <v>17.0</v>
      </c>
      <c r="K609" s="28" t="s">
        <v>57</v>
      </c>
      <c r="L609" s="28" t="s">
        <v>696</v>
      </c>
    </row>
    <row r="610" ht="15.75" customHeight="1">
      <c r="A610" s="28" t="s">
        <v>131</v>
      </c>
      <c r="B610" s="28" t="s">
        <v>1000</v>
      </c>
      <c r="D610" s="28" t="s">
        <v>149</v>
      </c>
      <c r="E610" s="28" t="s">
        <v>1453</v>
      </c>
      <c r="F610" s="28" t="s">
        <v>765</v>
      </c>
      <c r="G610" s="28" t="s">
        <v>213</v>
      </c>
      <c r="H610" s="28">
        <v>1.0</v>
      </c>
      <c r="I610" s="28">
        <v>0.5324503311258278</v>
      </c>
      <c r="J610" s="28">
        <v>2.0</v>
      </c>
      <c r="K610" s="28" t="s">
        <v>57</v>
      </c>
      <c r="L610" s="28" t="s">
        <v>57</v>
      </c>
    </row>
    <row r="611" ht="15.75" customHeight="1">
      <c r="A611" s="28" t="s">
        <v>131</v>
      </c>
      <c r="B611" s="28" t="s">
        <v>1000</v>
      </c>
      <c r="D611" s="28" t="s">
        <v>149</v>
      </c>
      <c r="E611" s="28" t="s">
        <v>1454</v>
      </c>
      <c r="F611" s="28" t="s">
        <v>767</v>
      </c>
      <c r="G611" s="28" t="s">
        <v>345</v>
      </c>
      <c r="H611" s="28">
        <v>1.0</v>
      </c>
      <c r="I611" s="28">
        <v>0.6463576158940397</v>
      </c>
      <c r="J611" s="28">
        <v>6.0</v>
      </c>
      <c r="K611" s="28" t="s">
        <v>57</v>
      </c>
      <c r="L611" s="28" t="s">
        <v>696</v>
      </c>
    </row>
    <row r="612" ht="15.75" customHeight="1">
      <c r="A612" s="28" t="s">
        <v>131</v>
      </c>
      <c r="B612" s="28" t="s">
        <v>1000</v>
      </c>
      <c r="D612" s="28" t="s">
        <v>149</v>
      </c>
      <c r="E612" s="28" t="s">
        <v>1455</v>
      </c>
      <c r="F612" s="28" t="s">
        <v>767</v>
      </c>
      <c r="G612" s="28" t="s">
        <v>252</v>
      </c>
      <c r="H612" s="28">
        <v>1.0</v>
      </c>
      <c r="I612" s="28">
        <v>0.6463576158940397</v>
      </c>
      <c r="J612" s="28">
        <v>3.0</v>
      </c>
      <c r="K612" s="28" t="s">
        <v>57</v>
      </c>
      <c r="L612" s="28" t="s">
        <v>696</v>
      </c>
    </row>
    <row r="613" ht="15.75" customHeight="1">
      <c r="A613" s="28" t="s">
        <v>131</v>
      </c>
      <c r="B613" s="28" t="s">
        <v>1000</v>
      </c>
      <c r="D613" s="28" t="s">
        <v>149</v>
      </c>
      <c r="E613" s="28" t="s">
        <v>1456</v>
      </c>
      <c r="F613" s="28" t="s">
        <v>767</v>
      </c>
      <c r="G613" s="28" t="s">
        <v>270</v>
      </c>
      <c r="H613" s="28">
        <v>1.0</v>
      </c>
      <c r="I613" s="28">
        <v>0.6503311258278146</v>
      </c>
      <c r="J613" s="28">
        <v>4.0</v>
      </c>
      <c r="K613" s="28" t="s">
        <v>57</v>
      </c>
      <c r="L613" s="28" t="s">
        <v>696</v>
      </c>
    </row>
    <row r="614" ht="15.75" customHeight="1">
      <c r="A614" s="28" t="s">
        <v>131</v>
      </c>
      <c r="B614" s="28" t="s">
        <v>1000</v>
      </c>
      <c r="D614" s="28" t="s">
        <v>149</v>
      </c>
      <c r="E614" s="28" t="s">
        <v>1457</v>
      </c>
      <c r="F614" s="28" t="s">
        <v>1458</v>
      </c>
      <c r="G614" s="28" t="s">
        <v>370</v>
      </c>
      <c r="H614" s="28">
        <v>1.0</v>
      </c>
      <c r="I614" s="28">
        <v>0.6701986754966888</v>
      </c>
      <c r="J614" s="28">
        <v>21.0</v>
      </c>
      <c r="K614" s="28" t="s">
        <v>57</v>
      </c>
      <c r="L614" s="28" t="s">
        <v>696</v>
      </c>
    </row>
    <row r="615" ht="15.75" customHeight="1">
      <c r="A615" s="28" t="s">
        <v>131</v>
      </c>
      <c r="B615" s="28" t="s">
        <v>1000</v>
      </c>
      <c r="D615" s="28" t="s">
        <v>149</v>
      </c>
      <c r="E615" s="28" t="s">
        <v>1459</v>
      </c>
      <c r="F615" s="28" t="s">
        <v>1460</v>
      </c>
      <c r="G615" s="28" t="s">
        <v>398</v>
      </c>
      <c r="H615" s="28">
        <v>1.0</v>
      </c>
      <c r="I615" s="28">
        <v>0.713907284768212</v>
      </c>
      <c r="J615" s="28">
        <v>23.0</v>
      </c>
      <c r="K615" s="28" t="s">
        <v>57</v>
      </c>
      <c r="L615" s="28" t="s">
        <v>57</v>
      </c>
    </row>
    <row r="616" ht="15.75" customHeight="1">
      <c r="A616" s="28" t="s">
        <v>131</v>
      </c>
      <c r="B616" s="28" t="s">
        <v>1000</v>
      </c>
      <c r="D616" s="28" t="s">
        <v>149</v>
      </c>
      <c r="E616" s="28" t="s">
        <v>1461</v>
      </c>
      <c r="F616" s="28" t="s">
        <v>771</v>
      </c>
      <c r="G616" s="28" t="s">
        <v>364</v>
      </c>
      <c r="H616" s="28">
        <v>1.0</v>
      </c>
      <c r="I616" s="28">
        <v>0.7470198675496689</v>
      </c>
      <c r="J616" s="28">
        <v>20.0</v>
      </c>
      <c r="K616" s="28" t="s">
        <v>57</v>
      </c>
      <c r="L616" s="28" t="s">
        <v>696</v>
      </c>
    </row>
    <row r="617" ht="15.75" customHeight="1">
      <c r="A617" s="28" t="s">
        <v>131</v>
      </c>
      <c r="B617" s="28" t="s">
        <v>1000</v>
      </c>
      <c r="D617" s="28" t="s">
        <v>149</v>
      </c>
      <c r="E617" s="28" t="s">
        <v>1462</v>
      </c>
      <c r="F617" s="28" t="s">
        <v>771</v>
      </c>
      <c r="G617" s="28" t="s">
        <v>295</v>
      </c>
      <c r="H617" s="28">
        <v>1.0</v>
      </c>
      <c r="I617" s="28">
        <v>0.7483443708609272</v>
      </c>
      <c r="J617" s="28">
        <v>19.0</v>
      </c>
      <c r="K617" s="28" t="s">
        <v>57</v>
      </c>
      <c r="L617" s="28" t="s">
        <v>696</v>
      </c>
    </row>
    <row r="618" ht="15.75" customHeight="1">
      <c r="A618" s="28" t="s">
        <v>131</v>
      </c>
      <c r="B618" s="28" t="s">
        <v>1000</v>
      </c>
      <c r="D618" s="28" t="s">
        <v>149</v>
      </c>
      <c r="E618" s="28" t="s">
        <v>1463</v>
      </c>
      <c r="F618" s="28" t="s">
        <v>775</v>
      </c>
      <c r="G618" s="28" t="s">
        <v>262</v>
      </c>
      <c r="H618" s="28">
        <v>1.0</v>
      </c>
      <c r="I618" s="28">
        <v>0.7841059602649006</v>
      </c>
      <c r="J618" s="28">
        <v>5.0</v>
      </c>
      <c r="K618" s="28" t="s">
        <v>57</v>
      </c>
      <c r="L618" s="28" t="s">
        <v>696</v>
      </c>
    </row>
    <row r="619" ht="15.75" customHeight="1">
      <c r="A619" s="28" t="s">
        <v>131</v>
      </c>
      <c r="B619" s="28" t="s">
        <v>1000</v>
      </c>
      <c r="D619" s="28" t="s">
        <v>149</v>
      </c>
      <c r="E619" s="28" t="s">
        <v>1464</v>
      </c>
      <c r="F619" s="28" t="s">
        <v>777</v>
      </c>
      <c r="G619" s="28" t="s">
        <v>378</v>
      </c>
      <c r="H619" s="28">
        <v>1.0</v>
      </c>
      <c r="I619" s="28">
        <v>0.7920529801324503</v>
      </c>
      <c r="J619" s="28">
        <v>7.0</v>
      </c>
      <c r="K619" s="28" t="s">
        <v>57</v>
      </c>
      <c r="L619" s="28" t="s">
        <v>696</v>
      </c>
    </row>
    <row r="620" ht="15.75" customHeight="1">
      <c r="A620" s="28" t="s">
        <v>131</v>
      </c>
      <c r="B620" s="28" t="s">
        <v>1000</v>
      </c>
      <c r="D620" s="28" t="s">
        <v>149</v>
      </c>
      <c r="E620" s="28" t="s">
        <v>1465</v>
      </c>
      <c r="F620" s="28" t="s">
        <v>775</v>
      </c>
      <c r="G620" s="28" t="s">
        <v>392</v>
      </c>
      <c r="H620" s="28">
        <v>1.0</v>
      </c>
      <c r="I620" s="28">
        <v>0.7933774834437086</v>
      </c>
      <c r="J620" s="28">
        <v>22.0</v>
      </c>
      <c r="K620" s="28" t="s">
        <v>57</v>
      </c>
      <c r="L620" s="28" t="s">
        <v>696</v>
      </c>
    </row>
    <row r="621" ht="15.75" customHeight="1">
      <c r="A621" s="28" t="s">
        <v>131</v>
      </c>
      <c r="B621" s="28" t="s">
        <v>1000</v>
      </c>
      <c r="D621" s="28" t="s">
        <v>149</v>
      </c>
      <c r="E621" s="28" t="s">
        <v>1466</v>
      </c>
      <c r="F621" s="28" t="s">
        <v>777</v>
      </c>
      <c r="G621" s="28" t="s">
        <v>334</v>
      </c>
      <c r="H621" s="28">
        <v>1.0</v>
      </c>
      <c r="I621" s="28">
        <v>0.8132450331125828</v>
      </c>
      <c r="J621" s="28">
        <v>0.0</v>
      </c>
      <c r="K621" s="28" t="s">
        <v>57</v>
      </c>
      <c r="L621" s="28" t="s">
        <v>696</v>
      </c>
    </row>
    <row r="622" ht="15.75" customHeight="1">
      <c r="A622" s="28" t="s">
        <v>131</v>
      </c>
      <c r="B622" s="28" t="s">
        <v>1000</v>
      </c>
      <c r="D622" s="28" t="s">
        <v>149</v>
      </c>
      <c r="E622" s="28" t="s">
        <v>1467</v>
      </c>
      <c r="F622" s="28" t="s">
        <v>777</v>
      </c>
      <c r="G622" s="28" t="s">
        <v>339</v>
      </c>
      <c r="H622" s="28">
        <v>1.0</v>
      </c>
      <c r="I622" s="28">
        <v>0.8145695364238411</v>
      </c>
      <c r="J622" s="28">
        <v>1.0</v>
      </c>
      <c r="K622" s="28" t="s">
        <v>57</v>
      </c>
      <c r="L622" s="28" t="s">
        <v>696</v>
      </c>
    </row>
    <row r="623" ht="15.75" customHeight="1">
      <c r="A623" s="28" t="s">
        <v>131</v>
      </c>
      <c r="B623" s="28" t="s">
        <v>1000</v>
      </c>
      <c r="D623" s="28" t="s">
        <v>149</v>
      </c>
      <c r="E623" s="28" t="s">
        <v>1468</v>
      </c>
      <c r="F623" s="28" t="s">
        <v>777</v>
      </c>
      <c r="G623" s="28" t="s">
        <v>385</v>
      </c>
      <c r="H623" s="28">
        <v>1.0</v>
      </c>
      <c r="I623" s="28">
        <v>0.8357615894039735</v>
      </c>
      <c r="J623" s="28">
        <v>8.0</v>
      </c>
      <c r="K623" s="28" t="s">
        <v>57</v>
      </c>
      <c r="L623" s="28" t="s">
        <v>696</v>
      </c>
    </row>
    <row r="624" ht="15.75" customHeight="1">
      <c r="A624" s="28" t="s">
        <v>131</v>
      </c>
      <c r="B624" s="28" t="s">
        <v>1000</v>
      </c>
      <c r="D624" s="28" t="s">
        <v>149</v>
      </c>
      <c r="E624" s="28" t="s">
        <v>1469</v>
      </c>
      <c r="F624" s="28" t="s">
        <v>777</v>
      </c>
      <c r="G624" s="28" t="s">
        <v>310</v>
      </c>
      <c r="H624" s="28">
        <v>1.0</v>
      </c>
      <c r="I624" s="28">
        <v>0.8437086092715231</v>
      </c>
      <c r="J624" s="28">
        <v>18.0</v>
      </c>
      <c r="K624" s="28" t="s">
        <v>57</v>
      </c>
      <c r="L624" s="28" t="s">
        <v>696</v>
      </c>
    </row>
    <row r="625" ht="15.75" customHeight="1">
      <c r="A625" s="28" t="s">
        <v>131</v>
      </c>
      <c r="B625" s="28" t="s">
        <v>1000</v>
      </c>
      <c r="D625" s="28" t="s">
        <v>149</v>
      </c>
      <c r="E625" s="28" t="s">
        <v>1470</v>
      </c>
      <c r="F625" s="28" t="s">
        <v>777</v>
      </c>
      <c r="G625" s="28" t="s">
        <v>278</v>
      </c>
      <c r="H625" s="28">
        <v>1.0</v>
      </c>
      <c r="I625" s="28">
        <v>0.8437086092715231</v>
      </c>
      <c r="J625" s="28">
        <v>14.0</v>
      </c>
      <c r="K625" s="28" t="s">
        <v>57</v>
      </c>
      <c r="L625" s="28" t="s">
        <v>696</v>
      </c>
    </row>
    <row r="626" ht="15.75" customHeight="1">
      <c r="A626" s="28" t="s">
        <v>131</v>
      </c>
      <c r="B626" s="28" t="s">
        <v>1000</v>
      </c>
      <c r="D626" s="28" t="s">
        <v>334</v>
      </c>
      <c r="E626" s="28" t="s">
        <v>1471</v>
      </c>
      <c r="F626" s="28" t="s">
        <v>276</v>
      </c>
      <c r="G626" s="28" t="s">
        <v>339</v>
      </c>
      <c r="H626" s="28">
        <v>1.0</v>
      </c>
      <c r="I626" s="28">
        <v>0.029940119760479042</v>
      </c>
      <c r="J626" s="28">
        <v>0.0</v>
      </c>
      <c r="K626" s="28" t="s">
        <v>57</v>
      </c>
      <c r="L626" s="28" t="s">
        <v>57</v>
      </c>
    </row>
    <row r="627" ht="15.75" customHeight="1">
      <c r="A627" s="28" t="s">
        <v>131</v>
      </c>
      <c r="B627" s="28" t="s">
        <v>1000</v>
      </c>
      <c r="D627" s="28" t="s">
        <v>334</v>
      </c>
      <c r="E627" s="28" t="s">
        <v>1472</v>
      </c>
      <c r="F627" s="28" t="s">
        <v>276</v>
      </c>
      <c r="G627" s="28" t="s">
        <v>378</v>
      </c>
      <c r="H627" s="28">
        <v>1.0</v>
      </c>
      <c r="I627" s="28">
        <v>0.23737373737373738</v>
      </c>
      <c r="J627" s="28">
        <v>6.0</v>
      </c>
      <c r="K627" s="28" t="s">
        <v>57</v>
      </c>
      <c r="L627" s="28" t="s">
        <v>57</v>
      </c>
    </row>
    <row r="628" ht="15.75" customHeight="1">
      <c r="A628" s="28" t="s">
        <v>131</v>
      </c>
      <c r="B628" s="28" t="s">
        <v>1000</v>
      </c>
      <c r="D628" s="28" t="s">
        <v>334</v>
      </c>
      <c r="E628" s="28" t="s">
        <v>1473</v>
      </c>
      <c r="F628" s="28" t="s">
        <v>276</v>
      </c>
      <c r="G628" s="28" t="s">
        <v>385</v>
      </c>
      <c r="H628" s="28">
        <v>1.0</v>
      </c>
      <c r="I628" s="28">
        <v>0.24390243902439024</v>
      </c>
      <c r="J628" s="28">
        <v>7.0</v>
      </c>
      <c r="K628" s="28" t="s">
        <v>57</v>
      </c>
      <c r="L628" s="28" t="s">
        <v>57</v>
      </c>
    </row>
    <row r="629" ht="15.75" customHeight="1">
      <c r="A629" s="28" t="s">
        <v>131</v>
      </c>
      <c r="B629" s="28" t="s">
        <v>1000</v>
      </c>
      <c r="D629" s="28" t="s">
        <v>334</v>
      </c>
      <c r="E629" s="28" t="s">
        <v>1474</v>
      </c>
      <c r="F629" s="28" t="s">
        <v>276</v>
      </c>
      <c r="G629" s="28" t="s">
        <v>278</v>
      </c>
      <c r="H629" s="28">
        <v>1.0</v>
      </c>
      <c r="I629" s="28">
        <v>0.2804878048780488</v>
      </c>
      <c r="J629" s="28">
        <v>13.0</v>
      </c>
      <c r="K629" s="28" t="s">
        <v>57</v>
      </c>
      <c r="L629" s="28" t="s">
        <v>57</v>
      </c>
    </row>
    <row r="630" ht="15.75" customHeight="1">
      <c r="A630" s="28" t="s">
        <v>131</v>
      </c>
      <c r="B630" s="28" t="s">
        <v>1000</v>
      </c>
      <c r="D630" s="28" t="s">
        <v>334</v>
      </c>
      <c r="E630" s="28" t="s">
        <v>1475</v>
      </c>
      <c r="F630" s="28" t="s">
        <v>276</v>
      </c>
      <c r="G630" s="28" t="s">
        <v>310</v>
      </c>
      <c r="H630" s="28">
        <v>1.0</v>
      </c>
      <c r="I630" s="28">
        <v>0.2865853658536585</v>
      </c>
      <c r="J630" s="28">
        <v>17.0</v>
      </c>
      <c r="K630" s="28" t="s">
        <v>57</v>
      </c>
      <c r="L630" s="28" t="s">
        <v>57</v>
      </c>
    </row>
    <row r="631" ht="15.75" customHeight="1">
      <c r="A631" s="28" t="s">
        <v>131</v>
      </c>
      <c r="B631" s="28" t="s">
        <v>1000</v>
      </c>
      <c r="D631" s="28" t="s">
        <v>334</v>
      </c>
      <c r="E631" s="28" t="s">
        <v>1476</v>
      </c>
      <c r="F631" s="28" t="s">
        <v>260</v>
      </c>
      <c r="G631" s="28" t="s">
        <v>262</v>
      </c>
      <c r="H631" s="28">
        <v>1.0</v>
      </c>
      <c r="I631" s="28">
        <v>0.37349397590361444</v>
      </c>
      <c r="J631" s="28">
        <v>4.0</v>
      </c>
      <c r="K631" s="28" t="s">
        <v>57</v>
      </c>
      <c r="L631" s="28" t="s">
        <v>57</v>
      </c>
    </row>
    <row r="632" ht="15.75" customHeight="1">
      <c r="A632" s="28" t="s">
        <v>131</v>
      </c>
      <c r="B632" s="28" t="s">
        <v>1000</v>
      </c>
      <c r="D632" s="28" t="s">
        <v>334</v>
      </c>
      <c r="E632" s="28" t="s">
        <v>1477</v>
      </c>
      <c r="F632" s="28" t="s">
        <v>260</v>
      </c>
      <c r="G632" s="28" t="s">
        <v>392</v>
      </c>
      <c r="H632" s="28">
        <v>1.0</v>
      </c>
      <c r="I632" s="28">
        <v>0.42073170731707316</v>
      </c>
      <c r="J632" s="28">
        <v>21.0</v>
      </c>
      <c r="K632" s="28" t="s">
        <v>57</v>
      </c>
      <c r="L632" s="28" t="s">
        <v>57</v>
      </c>
    </row>
    <row r="633" ht="15.75" customHeight="1">
      <c r="A633" s="28" t="s">
        <v>131</v>
      </c>
      <c r="B633" s="28" t="s">
        <v>1000</v>
      </c>
      <c r="D633" s="28" t="s">
        <v>334</v>
      </c>
      <c r="E633" s="28" t="s">
        <v>1478</v>
      </c>
      <c r="F633" s="28" t="s">
        <v>687</v>
      </c>
      <c r="G633" s="28" t="s">
        <v>295</v>
      </c>
      <c r="H633" s="28">
        <v>1.0</v>
      </c>
      <c r="I633" s="28">
        <v>0.44559585492227977</v>
      </c>
      <c r="J633" s="28">
        <v>18.0</v>
      </c>
      <c r="K633" s="28" t="s">
        <v>57</v>
      </c>
      <c r="L633" s="28" t="s">
        <v>57</v>
      </c>
    </row>
    <row r="634" ht="15.75" customHeight="1">
      <c r="A634" s="28" t="s">
        <v>131</v>
      </c>
      <c r="B634" s="28" t="s">
        <v>1000</v>
      </c>
      <c r="D634" s="28" t="s">
        <v>334</v>
      </c>
      <c r="E634" s="28" t="s">
        <v>1479</v>
      </c>
      <c r="F634" s="28" t="s">
        <v>687</v>
      </c>
      <c r="G634" s="28" t="s">
        <v>364</v>
      </c>
      <c r="H634" s="28">
        <v>1.0</v>
      </c>
      <c r="I634" s="28">
        <v>0.4484536082474227</v>
      </c>
      <c r="J634" s="28">
        <v>19.0</v>
      </c>
      <c r="K634" s="28" t="s">
        <v>57</v>
      </c>
      <c r="L634" s="28" t="s">
        <v>57</v>
      </c>
    </row>
    <row r="635" ht="15.75" customHeight="1">
      <c r="A635" s="28" t="s">
        <v>131</v>
      </c>
      <c r="B635" s="28" t="s">
        <v>1000</v>
      </c>
      <c r="D635" s="28" t="s">
        <v>334</v>
      </c>
      <c r="E635" s="28" t="s">
        <v>1480</v>
      </c>
      <c r="F635" s="28" t="s">
        <v>396</v>
      </c>
      <c r="G635" s="28" t="s">
        <v>398</v>
      </c>
      <c r="H635" s="28">
        <v>1.0</v>
      </c>
      <c r="I635" s="28">
        <v>0.4652014652014652</v>
      </c>
      <c r="J635" s="28">
        <v>22.0</v>
      </c>
      <c r="K635" s="28" t="s">
        <v>57</v>
      </c>
      <c r="L635" s="28" t="s">
        <v>696</v>
      </c>
    </row>
    <row r="636" ht="15.75" customHeight="1">
      <c r="A636" s="28" t="s">
        <v>131</v>
      </c>
      <c r="B636" s="28" t="s">
        <v>1000</v>
      </c>
      <c r="D636" s="28" t="s">
        <v>334</v>
      </c>
      <c r="E636" s="28" t="s">
        <v>1481</v>
      </c>
      <c r="F636" s="28" t="s">
        <v>1375</v>
      </c>
      <c r="G636" s="28" t="s">
        <v>370</v>
      </c>
      <c r="H636" s="28">
        <v>1.0</v>
      </c>
      <c r="I636" s="28">
        <v>0.5525291828793775</v>
      </c>
      <c r="J636" s="28">
        <v>20.0</v>
      </c>
      <c r="K636" s="28" t="s">
        <v>57</v>
      </c>
      <c r="L636" s="28" t="s">
        <v>57</v>
      </c>
    </row>
    <row r="637" ht="15.75" customHeight="1">
      <c r="A637" s="28" t="s">
        <v>131</v>
      </c>
      <c r="B637" s="28" t="s">
        <v>1000</v>
      </c>
      <c r="D637" s="28" t="s">
        <v>334</v>
      </c>
      <c r="E637" s="28" t="s">
        <v>1482</v>
      </c>
      <c r="F637" s="28" t="s">
        <v>691</v>
      </c>
      <c r="G637" s="28" t="s">
        <v>270</v>
      </c>
      <c r="H637" s="28">
        <v>1.0</v>
      </c>
      <c r="I637" s="28">
        <v>0.5536332179930796</v>
      </c>
      <c r="J637" s="28">
        <v>3.0</v>
      </c>
      <c r="K637" s="28" t="s">
        <v>57</v>
      </c>
      <c r="L637" s="28" t="s">
        <v>57</v>
      </c>
    </row>
    <row r="638" ht="15.75" customHeight="1">
      <c r="A638" s="28" t="s">
        <v>131</v>
      </c>
      <c r="B638" s="28" t="s">
        <v>1000</v>
      </c>
      <c r="D638" s="28" t="s">
        <v>334</v>
      </c>
      <c r="E638" s="28" t="s">
        <v>1483</v>
      </c>
      <c r="F638" s="28" t="s">
        <v>691</v>
      </c>
      <c r="G638" s="28" t="s">
        <v>345</v>
      </c>
      <c r="H638" s="28">
        <v>1.0</v>
      </c>
      <c r="I638" s="28">
        <v>0.5578947368421052</v>
      </c>
      <c r="J638" s="28">
        <v>5.0</v>
      </c>
      <c r="K638" s="28" t="s">
        <v>57</v>
      </c>
      <c r="L638" s="28" t="s">
        <v>57</v>
      </c>
    </row>
    <row r="639" ht="15.75" customHeight="1">
      <c r="A639" s="28" t="s">
        <v>131</v>
      </c>
      <c r="B639" s="28" t="s">
        <v>1000</v>
      </c>
      <c r="D639" s="28" t="s">
        <v>334</v>
      </c>
      <c r="E639" s="28" t="s">
        <v>1484</v>
      </c>
      <c r="F639" s="28" t="s">
        <v>691</v>
      </c>
      <c r="G639" s="28" t="s">
        <v>252</v>
      </c>
      <c r="H639" s="28">
        <v>1.0</v>
      </c>
      <c r="I639" s="28">
        <v>0.5594405594405595</v>
      </c>
      <c r="J639" s="28">
        <v>2.0</v>
      </c>
      <c r="K639" s="28" t="s">
        <v>57</v>
      </c>
      <c r="L639" s="28" t="s">
        <v>57</v>
      </c>
    </row>
    <row r="640" ht="15.75" customHeight="1">
      <c r="A640" s="28" t="s">
        <v>131</v>
      </c>
      <c r="B640" s="28" t="s">
        <v>1000</v>
      </c>
      <c r="D640" s="28" t="s">
        <v>334</v>
      </c>
      <c r="E640" s="28" t="s">
        <v>1485</v>
      </c>
      <c r="F640" s="28" t="s">
        <v>695</v>
      </c>
      <c r="G640" s="28" t="s">
        <v>213</v>
      </c>
      <c r="H640" s="28">
        <v>1.0</v>
      </c>
      <c r="I640" s="28">
        <v>0.6335078534031413</v>
      </c>
      <c r="J640" s="28">
        <v>1.0</v>
      </c>
      <c r="K640" s="28" t="s">
        <v>57</v>
      </c>
      <c r="L640" s="28" t="s">
        <v>696</v>
      </c>
    </row>
    <row r="641" ht="15.75" customHeight="1">
      <c r="A641" s="28" t="s">
        <v>131</v>
      </c>
      <c r="B641" s="28" t="s">
        <v>1000</v>
      </c>
      <c r="D641" s="28" t="s">
        <v>334</v>
      </c>
      <c r="E641" s="28" t="s">
        <v>1486</v>
      </c>
      <c r="F641" s="28" t="s">
        <v>698</v>
      </c>
      <c r="G641" s="28" t="s">
        <v>287</v>
      </c>
      <c r="H641" s="28">
        <v>1.0</v>
      </c>
      <c r="I641" s="28">
        <v>0.6997578692493946</v>
      </c>
      <c r="J641" s="28">
        <v>16.0</v>
      </c>
      <c r="K641" s="28" t="s">
        <v>57</v>
      </c>
      <c r="L641" s="28" t="s">
        <v>57</v>
      </c>
    </row>
    <row r="642" ht="15.75" customHeight="1">
      <c r="A642" s="28" t="s">
        <v>131</v>
      </c>
      <c r="B642" s="28" t="s">
        <v>1000</v>
      </c>
      <c r="D642" s="28" t="s">
        <v>334</v>
      </c>
      <c r="E642" s="28" t="s">
        <v>1487</v>
      </c>
      <c r="F642" s="28" t="s">
        <v>701</v>
      </c>
      <c r="G642" s="28" t="s">
        <v>303</v>
      </c>
      <c r="H642" s="28">
        <v>1.0</v>
      </c>
      <c r="I642" s="28">
        <v>0.8047419804741981</v>
      </c>
      <c r="J642" s="28">
        <v>14.0</v>
      </c>
      <c r="K642" s="28" t="s">
        <v>57</v>
      </c>
      <c r="L642" s="28" t="s">
        <v>57</v>
      </c>
    </row>
    <row r="643" ht="15.75" customHeight="1">
      <c r="A643" s="28" t="s">
        <v>131</v>
      </c>
      <c r="B643" s="28" t="s">
        <v>1000</v>
      </c>
      <c r="D643" s="28" t="s">
        <v>334</v>
      </c>
      <c r="E643" s="28" t="s">
        <v>1488</v>
      </c>
      <c r="F643" s="28" t="s">
        <v>705</v>
      </c>
      <c r="G643" s="28" t="s">
        <v>241</v>
      </c>
      <c r="H643" s="28">
        <v>1.0</v>
      </c>
      <c r="I643" s="28">
        <v>0.8860145513338723</v>
      </c>
      <c r="J643" s="28">
        <v>12.0</v>
      </c>
      <c r="K643" s="28" t="s">
        <v>57</v>
      </c>
      <c r="L643" s="28" t="s">
        <v>57</v>
      </c>
    </row>
    <row r="644" ht="15.75" customHeight="1">
      <c r="A644" s="28" t="s">
        <v>131</v>
      </c>
      <c r="B644" s="28" t="s">
        <v>1000</v>
      </c>
      <c r="D644" s="28" t="s">
        <v>339</v>
      </c>
      <c r="E644" s="28" t="s">
        <v>1489</v>
      </c>
      <c r="F644" s="28" t="s">
        <v>276</v>
      </c>
      <c r="G644" s="28" t="s">
        <v>378</v>
      </c>
      <c r="H644" s="28">
        <v>1.0</v>
      </c>
      <c r="I644" s="28">
        <v>0.25252525252525254</v>
      </c>
      <c r="J644" s="28">
        <v>5.0</v>
      </c>
      <c r="K644" s="28" t="s">
        <v>57</v>
      </c>
      <c r="L644" s="28" t="s">
        <v>57</v>
      </c>
    </row>
    <row r="645" ht="15.75" customHeight="1">
      <c r="A645" s="28" t="s">
        <v>131</v>
      </c>
      <c r="B645" s="28" t="s">
        <v>1000</v>
      </c>
      <c r="D645" s="28" t="s">
        <v>339</v>
      </c>
      <c r="E645" s="28" t="s">
        <v>1490</v>
      </c>
      <c r="F645" s="28" t="s">
        <v>276</v>
      </c>
      <c r="G645" s="28" t="s">
        <v>385</v>
      </c>
      <c r="H645" s="28">
        <v>1.0</v>
      </c>
      <c r="I645" s="28">
        <v>0.25748502994011974</v>
      </c>
      <c r="J645" s="28">
        <v>6.0</v>
      </c>
      <c r="K645" s="28" t="s">
        <v>57</v>
      </c>
      <c r="L645" s="28" t="s">
        <v>57</v>
      </c>
    </row>
    <row r="646" ht="15.75" customHeight="1">
      <c r="A646" s="28" t="s">
        <v>131</v>
      </c>
      <c r="B646" s="28" t="s">
        <v>1000</v>
      </c>
      <c r="D646" s="28" t="s">
        <v>339</v>
      </c>
      <c r="E646" s="28" t="s">
        <v>1491</v>
      </c>
      <c r="F646" s="28" t="s">
        <v>276</v>
      </c>
      <c r="G646" s="28" t="s">
        <v>278</v>
      </c>
      <c r="H646" s="28">
        <v>1.0</v>
      </c>
      <c r="I646" s="28">
        <v>0.2934131736526946</v>
      </c>
      <c r="J646" s="28">
        <v>12.0</v>
      </c>
      <c r="K646" s="28" t="s">
        <v>57</v>
      </c>
      <c r="L646" s="28" t="s">
        <v>57</v>
      </c>
    </row>
    <row r="647" ht="15.75" customHeight="1">
      <c r="A647" s="28" t="s">
        <v>131</v>
      </c>
      <c r="B647" s="28" t="s">
        <v>1000</v>
      </c>
      <c r="D647" s="28" t="s">
        <v>339</v>
      </c>
      <c r="E647" s="28" t="s">
        <v>1492</v>
      </c>
      <c r="F647" s="28" t="s">
        <v>276</v>
      </c>
      <c r="G647" s="28" t="s">
        <v>310</v>
      </c>
      <c r="H647" s="28">
        <v>1.0</v>
      </c>
      <c r="I647" s="28">
        <v>0.2994011976047904</v>
      </c>
      <c r="J647" s="28">
        <v>16.0</v>
      </c>
      <c r="K647" s="28" t="s">
        <v>57</v>
      </c>
      <c r="L647" s="28" t="s">
        <v>57</v>
      </c>
    </row>
    <row r="648" ht="15.75" customHeight="1">
      <c r="A648" s="28" t="s">
        <v>131</v>
      </c>
      <c r="B648" s="28" t="s">
        <v>1000</v>
      </c>
      <c r="D648" s="28" t="s">
        <v>339</v>
      </c>
      <c r="E648" s="28" t="s">
        <v>1493</v>
      </c>
      <c r="F648" s="28" t="s">
        <v>260</v>
      </c>
      <c r="G648" s="28" t="s">
        <v>262</v>
      </c>
      <c r="H648" s="28">
        <v>1.0</v>
      </c>
      <c r="I648" s="28">
        <v>0.38922155688622756</v>
      </c>
      <c r="J648" s="28">
        <v>3.0</v>
      </c>
      <c r="K648" s="28" t="s">
        <v>57</v>
      </c>
      <c r="L648" s="28" t="s">
        <v>57</v>
      </c>
    </row>
    <row r="649" ht="15.75" customHeight="1">
      <c r="A649" s="28" t="s">
        <v>131</v>
      </c>
      <c r="B649" s="28" t="s">
        <v>1000</v>
      </c>
      <c r="D649" s="28" t="s">
        <v>339</v>
      </c>
      <c r="E649" s="28" t="s">
        <v>1494</v>
      </c>
      <c r="F649" s="28" t="s">
        <v>260</v>
      </c>
      <c r="G649" s="28" t="s">
        <v>392</v>
      </c>
      <c r="H649" s="28">
        <v>1.0</v>
      </c>
      <c r="I649" s="28">
        <v>0.4311377245508982</v>
      </c>
      <c r="J649" s="28">
        <v>20.0</v>
      </c>
      <c r="K649" s="28" t="s">
        <v>57</v>
      </c>
      <c r="L649" s="28" t="s">
        <v>57</v>
      </c>
    </row>
    <row r="650" ht="15.75" customHeight="1">
      <c r="A650" s="28" t="s">
        <v>131</v>
      </c>
      <c r="B650" s="28" t="s">
        <v>1000</v>
      </c>
      <c r="D650" s="28" t="s">
        <v>339</v>
      </c>
      <c r="E650" s="28" t="s">
        <v>1495</v>
      </c>
      <c r="F650" s="28" t="s">
        <v>687</v>
      </c>
      <c r="G650" s="28" t="s">
        <v>295</v>
      </c>
      <c r="H650" s="28">
        <v>1.0</v>
      </c>
      <c r="I650" s="28">
        <v>0.46113989637305697</v>
      </c>
      <c r="J650" s="28">
        <v>17.0</v>
      </c>
      <c r="K650" s="28" t="s">
        <v>57</v>
      </c>
      <c r="L650" s="28" t="s">
        <v>57</v>
      </c>
    </row>
    <row r="651" ht="15.75" customHeight="1">
      <c r="A651" s="28" t="s">
        <v>131</v>
      </c>
      <c r="B651" s="28" t="s">
        <v>1000</v>
      </c>
      <c r="D651" s="28" t="s">
        <v>339</v>
      </c>
      <c r="E651" s="28" t="s">
        <v>1496</v>
      </c>
      <c r="F651" s="28" t="s">
        <v>687</v>
      </c>
      <c r="G651" s="28" t="s">
        <v>364</v>
      </c>
      <c r="H651" s="28">
        <v>1.0</v>
      </c>
      <c r="I651" s="28">
        <v>0.4639175257731959</v>
      </c>
      <c r="J651" s="28">
        <v>18.0</v>
      </c>
      <c r="K651" s="28" t="s">
        <v>57</v>
      </c>
      <c r="L651" s="28" t="s">
        <v>57</v>
      </c>
    </row>
    <row r="652" ht="15.75" customHeight="1">
      <c r="A652" s="28" t="s">
        <v>131</v>
      </c>
      <c r="B652" s="28" t="s">
        <v>1000</v>
      </c>
      <c r="D652" s="28" t="s">
        <v>339</v>
      </c>
      <c r="E652" s="28" t="s">
        <v>1497</v>
      </c>
      <c r="F652" s="28" t="s">
        <v>396</v>
      </c>
      <c r="G652" s="28" t="s">
        <v>398</v>
      </c>
      <c r="H652" s="28">
        <v>1.0</v>
      </c>
      <c r="I652" s="28">
        <v>0.47619047619047616</v>
      </c>
      <c r="J652" s="28">
        <v>21.0</v>
      </c>
      <c r="K652" s="28" t="s">
        <v>57</v>
      </c>
      <c r="L652" s="28" t="s">
        <v>696</v>
      </c>
    </row>
    <row r="653" ht="15.75" customHeight="1">
      <c r="A653" s="28" t="s">
        <v>131</v>
      </c>
      <c r="B653" s="28" t="s">
        <v>1000</v>
      </c>
      <c r="D653" s="28" t="s">
        <v>339</v>
      </c>
      <c r="E653" s="28" t="s">
        <v>1498</v>
      </c>
      <c r="F653" s="28" t="s">
        <v>691</v>
      </c>
      <c r="G653" s="28" t="s">
        <v>270</v>
      </c>
      <c r="H653" s="28">
        <v>1.0</v>
      </c>
      <c r="I653" s="28">
        <v>0.5605536332179931</v>
      </c>
      <c r="J653" s="28">
        <v>2.0</v>
      </c>
      <c r="K653" s="28" t="s">
        <v>57</v>
      </c>
      <c r="L653" s="28" t="s">
        <v>57</v>
      </c>
    </row>
    <row r="654" ht="15.75" customHeight="1">
      <c r="A654" s="28" t="s">
        <v>131</v>
      </c>
      <c r="B654" s="28" t="s">
        <v>1000</v>
      </c>
      <c r="D654" s="28" t="s">
        <v>339</v>
      </c>
      <c r="E654" s="28" t="s">
        <v>1499</v>
      </c>
      <c r="F654" s="28" t="s">
        <v>1375</v>
      </c>
      <c r="G654" s="28" t="s">
        <v>370</v>
      </c>
      <c r="H654" s="28">
        <v>1.0</v>
      </c>
      <c r="I654" s="28">
        <v>0.5642023346303502</v>
      </c>
      <c r="J654" s="28">
        <v>19.0</v>
      </c>
      <c r="K654" s="28" t="s">
        <v>57</v>
      </c>
      <c r="L654" s="28" t="s">
        <v>57</v>
      </c>
    </row>
    <row r="655" ht="15.75" customHeight="1">
      <c r="A655" s="28" t="s">
        <v>131</v>
      </c>
      <c r="B655" s="28" t="s">
        <v>1000</v>
      </c>
      <c r="D655" s="28" t="s">
        <v>339</v>
      </c>
      <c r="E655" s="28" t="s">
        <v>1500</v>
      </c>
      <c r="F655" s="28" t="s">
        <v>691</v>
      </c>
      <c r="G655" s="28" t="s">
        <v>252</v>
      </c>
      <c r="H655" s="28">
        <v>1.0</v>
      </c>
      <c r="I655" s="28">
        <v>0.5664335664335665</v>
      </c>
      <c r="J655" s="28">
        <v>1.0</v>
      </c>
      <c r="K655" s="28" t="s">
        <v>57</v>
      </c>
      <c r="L655" s="28" t="s">
        <v>57</v>
      </c>
    </row>
    <row r="656" ht="15.75" customHeight="1">
      <c r="A656" s="28" t="s">
        <v>131</v>
      </c>
      <c r="B656" s="28" t="s">
        <v>1000</v>
      </c>
      <c r="D656" s="28" t="s">
        <v>339</v>
      </c>
      <c r="E656" s="28" t="s">
        <v>1501</v>
      </c>
      <c r="F656" s="28" t="s">
        <v>691</v>
      </c>
      <c r="G656" s="28" t="s">
        <v>345</v>
      </c>
      <c r="H656" s="28">
        <v>1.0</v>
      </c>
      <c r="I656" s="28">
        <v>0.5684210526315789</v>
      </c>
      <c r="J656" s="28">
        <v>4.0</v>
      </c>
      <c r="K656" s="28" t="s">
        <v>57</v>
      </c>
      <c r="L656" s="28" t="s">
        <v>57</v>
      </c>
    </row>
    <row r="657" ht="15.75" customHeight="1">
      <c r="A657" s="28" t="s">
        <v>131</v>
      </c>
      <c r="B657" s="28" t="s">
        <v>1000</v>
      </c>
      <c r="D657" s="28" t="s">
        <v>339</v>
      </c>
      <c r="E657" s="28" t="s">
        <v>1502</v>
      </c>
      <c r="F657" s="28" t="s">
        <v>695</v>
      </c>
      <c r="G657" s="28" t="s">
        <v>213</v>
      </c>
      <c r="H657" s="28">
        <v>1.0</v>
      </c>
      <c r="I657" s="28">
        <v>0.6361256544502618</v>
      </c>
      <c r="J657" s="28">
        <v>0.0</v>
      </c>
      <c r="K657" s="28" t="s">
        <v>57</v>
      </c>
      <c r="L657" s="28" t="s">
        <v>696</v>
      </c>
    </row>
    <row r="658" ht="15.75" customHeight="1">
      <c r="A658" s="28" t="s">
        <v>131</v>
      </c>
      <c r="B658" s="28" t="s">
        <v>1000</v>
      </c>
      <c r="D658" s="28" t="s">
        <v>339</v>
      </c>
      <c r="E658" s="28" t="s">
        <v>1503</v>
      </c>
      <c r="F658" s="28" t="s">
        <v>698</v>
      </c>
      <c r="G658" s="28" t="s">
        <v>287</v>
      </c>
      <c r="H658" s="28">
        <v>1.0</v>
      </c>
      <c r="I658" s="28">
        <v>0.7070217917675545</v>
      </c>
      <c r="J658" s="28">
        <v>15.0</v>
      </c>
      <c r="K658" s="28" t="s">
        <v>57</v>
      </c>
      <c r="L658" s="28" t="s">
        <v>57</v>
      </c>
    </row>
    <row r="659" ht="15.75" customHeight="1">
      <c r="A659" s="28" t="s">
        <v>131</v>
      </c>
      <c r="B659" s="28" t="s">
        <v>1000</v>
      </c>
      <c r="D659" s="28" t="s">
        <v>339</v>
      </c>
      <c r="E659" s="28" t="s">
        <v>1504</v>
      </c>
      <c r="F659" s="28" t="s">
        <v>701</v>
      </c>
      <c r="G659" s="28" t="s">
        <v>303</v>
      </c>
      <c r="H659" s="28">
        <v>1.0</v>
      </c>
      <c r="I659" s="28">
        <v>0.8047419804741981</v>
      </c>
      <c r="J659" s="28">
        <v>13.0</v>
      </c>
      <c r="K659" s="28" t="s">
        <v>57</v>
      </c>
      <c r="L659" s="28" t="s">
        <v>57</v>
      </c>
    </row>
    <row r="660" ht="15.75" customHeight="1">
      <c r="A660" s="28" t="s">
        <v>131</v>
      </c>
      <c r="B660" s="28" t="s">
        <v>1000</v>
      </c>
      <c r="D660" s="28" t="s">
        <v>339</v>
      </c>
      <c r="E660" s="28" t="s">
        <v>1505</v>
      </c>
      <c r="F660" s="28" t="s">
        <v>705</v>
      </c>
      <c r="G660" s="28" t="s">
        <v>241</v>
      </c>
      <c r="H660" s="28">
        <v>1.0</v>
      </c>
      <c r="I660" s="28">
        <v>0.8852061438965239</v>
      </c>
      <c r="J660" s="28">
        <v>11.0</v>
      </c>
      <c r="K660" s="28" t="s">
        <v>57</v>
      </c>
      <c r="L660" s="28" t="s">
        <v>57</v>
      </c>
    </row>
    <row r="661" ht="15.75" customHeight="1">
      <c r="A661" s="28" t="s">
        <v>131</v>
      </c>
      <c r="B661" s="28" t="s">
        <v>1000</v>
      </c>
      <c r="D661" s="28" t="s">
        <v>213</v>
      </c>
      <c r="E661" s="28" t="s">
        <v>1506</v>
      </c>
      <c r="F661" s="28" t="s">
        <v>250</v>
      </c>
      <c r="G661" s="28" t="s">
        <v>345</v>
      </c>
      <c r="H661" s="28">
        <v>1.0</v>
      </c>
      <c r="I661" s="28">
        <v>0.27486910994764396</v>
      </c>
      <c r="J661" s="28">
        <v>3.0</v>
      </c>
      <c r="K661" s="28" t="s">
        <v>57</v>
      </c>
      <c r="L661" s="28" t="s">
        <v>696</v>
      </c>
    </row>
    <row r="662" ht="15.75" customHeight="1">
      <c r="A662" s="28" t="s">
        <v>131</v>
      </c>
      <c r="B662" s="28" t="s">
        <v>1000</v>
      </c>
      <c r="D662" s="28" t="s">
        <v>213</v>
      </c>
      <c r="E662" s="28" t="s">
        <v>1507</v>
      </c>
      <c r="F662" s="28" t="s">
        <v>250</v>
      </c>
      <c r="G662" s="28" t="s">
        <v>252</v>
      </c>
      <c r="H662" s="28">
        <v>1.0</v>
      </c>
      <c r="I662" s="28">
        <v>0.2801047120418848</v>
      </c>
      <c r="J662" s="28">
        <v>0.0</v>
      </c>
      <c r="K662" s="28" t="s">
        <v>57</v>
      </c>
      <c r="L662" s="28" t="s">
        <v>696</v>
      </c>
    </row>
    <row r="663" ht="15.75" customHeight="1">
      <c r="A663" s="28" t="s">
        <v>131</v>
      </c>
      <c r="B663" s="28" t="s">
        <v>1000</v>
      </c>
      <c r="D663" s="28" t="s">
        <v>213</v>
      </c>
      <c r="E663" s="28" t="s">
        <v>1508</v>
      </c>
      <c r="F663" s="28" t="s">
        <v>250</v>
      </c>
      <c r="G663" s="28" t="s">
        <v>270</v>
      </c>
      <c r="H663" s="28">
        <v>1.0</v>
      </c>
      <c r="I663" s="28">
        <v>0.2879581151832461</v>
      </c>
      <c r="J663" s="28">
        <v>1.0</v>
      </c>
      <c r="K663" s="28" t="s">
        <v>57</v>
      </c>
      <c r="L663" s="28" t="s">
        <v>696</v>
      </c>
    </row>
    <row r="664" ht="15.75" customHeight="1">
      <c r="A664" s="28" t="s">
        <v>131</v>
      </c>
      <c r="B664" s="28" t="s">
        <v>1000</v>
      </c>
      <c r="D664" s="28" t="s">
        <v>213</v>
      </c>
      <c r="E664" s="28" t="s">
        <v>1509</v>
      </c>
      <c r="F664" s="28" t="s">
        <v>811</v>
      </c>
      <c r="G664" s="28" t="s">
        <v>287</v>
      </c>
      <c r="H664" s="28">
        <v>1.0</v>
      </c>
      <c r="I664" s="28">
        <v>0.29539951573849876</v>
      </c>
      <c r="J664" s="28">
        <v>14.0</v>
      </c>
      <c r="K664" s="28" t="s">
        <v>57</v>
      </c>
      <c r="L664" s="28" t="s">
        <v>696</v>
      </c>
    </row>
    <row r="665" ht="15.75" customHeight="1">
      <c r="A665" s="28" t="s">
        <v>131</v>
      </c>
      <c r="B665" s="28" t="s">
        <v>1000</v>
      </c>
      <c r="D665" s="28" t="s">
        <v>213</v>
      </c>
      <c r="E665" s="28" t="s">
        <v>1510</v>
      </c>
      <c r="F665" s="28" t="s">
        <v>1511</v>
      </c>
      <c r="G665" s="28" t="s">
        <v>370</v>
      </c>
      <c r="H665" s="28">
        <v>1.0</v>
      </c>
      <c r="I665" s="28">
        <v>0.38481675392670156</v>
      </c>
      <c r="J665" s="28">
        <v>18.0</v>
      </c>
      <c r="K665" s="28" t="s">
        <v>57</v>
      </c>
      <c r="L665" s="28" t="s">
        <v>696</v>
      </c>
    </row>
    <row r="666" ht="15.75" customHeight="1">
      <c r="A666" s="28" t="s">
        <v>131</v>
      </c>
      <c r="B666" s="28" t="s">
        <v>1000</v>
      </c>
      <c r="D666" s="28" t="s">
        <v>213</v>
      </c>
      <c r="E666" s="28" t="s">
        <v>1512</v>
      </c>
      <c r="F666" s="28" t="s">
        <v>815</v>
      </c>
      <c r="G666" s="28" t="s">
        <v>303</v>
      </c>
      <c r="H666" s="28">
        <v>1.0</v>
      </c>
      <c r="I666" s="28">
        <v>0.4895397489539749</v>
      </c>
      <c r="J666" s="28">
        <v>12.0</v>
      </c>
      <c r="K666" s="28" t="s">
        <v>57</v>
      </c>
      <c r="L666" s="28" t="s">
        <v>696</v>
      </c>
    </row>
    <row r="667" ht="15.75" customHeight="1">
      <c r="A667" s="28" t="s">
        <v>131</v>
      </c>
      <c r="B667" s="28" t="s">
        <v>1000</v>
      </c>
      <c r="D667" s="28" t="s">
        <v>213</v>
      </c>
      <c r="E667" s="28" t="s">
        <v>1513</v>
      </c>
      <c r="F667" s="28" t="s">
        <v>813</v>
      </c>
      <c r="G667" s="28" t="s">
        <v>295</v>
      </c>
      <c r="H667" s="28">
        <v>1.0</v>
      </c>
      <c r="I667" s="28">
        <v>0.5104712041884817</v>
      </c>
      <c r="J667" s="28">
        <v>16.0</v>
      </c>
      <c r="K667" s="28" t="s">
        <v>57</v>
      </c>
      <c r="L667" s="28" t="s">
        <v>696</v>
      </c>
    </row>
    <row r="668" ht="15.75" customHeight="1">
      <c r="A668" s="28" t="s">
        <v>131</v>
      </c>
      <c r="B668" s="28" t="s">
        <v>1000</v>
      </c>
      <c r="D668" s="28" t="s">
        <v>213</v>
      </c>
      <c r="E668" s="28" t="s">
        <v>1514</v>
      </c>
      <c r="F668" s="28" t="s">
        <v>813</v>
      </c>
      <c r="G668" s="28" t="s">
        <v>364</v>
      </c>
      <c r="H668" s="28">
        <v>1.0</v>
      </c>
      <c r="I668" s="28">
        <v>0.5130890052356021</v>
      </c>
      <c r="J668" s="28">
        <v>17.0</v>
      </c>
      <c r="K668" s="28" t="s">
        <v>57</v>
      </c>
      <c r="L668" s="28" t="s">
        <v>696</v>
      </c>
    </row>
    <row r="669" ht="15.75" customHeight="1">
      <c r="A669" s="28" t="s">
        <v>131</v>
      </c>
      <c r="B669" s="28" t="s">
        <v>1000</v>
      </c>
      <c r="D669" s="28" t="s">
        <v>213</v>
      </c>
      <c r="E669" s="28" t="s">
        <v>1515</v>
      </c>
      <c r="F669" s="28" t="s">
        <v>1516</v>
      </c>
      <c r="G669" s="28" t="s">
        <v>398</v>
      </c>
      <c r="H669" s="28">
        <v>1.0</v>
      </c>
      <c r="I669" s="28">
        <v>0.5235602094240838</v>
      </c>
      <c r="J669" s="28">
        <v>20.0</v>
      </c>
      <c r="K669" s="28" t="s">
        <v>57</v>
      </c>
      <c r="L669" s="28" t="s">
        <v>57</v>
      </c>
    </row>
    <row r="670" ht="15.75" customHeight="1">
      <c r="A670" s="28" t="s">
        <v>131</v>
      </c>
      <c r="B670" s="28" t="s">
        <v>1000</v>
      </c>
      <c r="D670" s="28" t="s">
        <v>213</v>
      </c>
      <c r="E670" s="28" t="s">
        <v>1517</v>
      </c>
      <c r="F670" s="28" t="s">
        <v>819</v>
      </c>
      <c r="G670" s="28" t="s">
        <v>262</v>
      </c>
      <c r="H670" s="28">
        <v>1.0</v>
      </c>
      <c r="I670" s="28">
        <v>0.5706806282722513</v>
      </c>
      <c r="J670" s="28">
        <v>2.0</v>
      </c>
      <c r="K670" s="28" t="s">
        <v>57</v>
      </c>
      <c r="L670" s="28" t="s">
        <v>696</v>
      </c>
    </row>
    <row r="671" ht="15.75" customHeight="1">
      <c r="A671" s="28" t="s">
        <v>131</v>
      </c>
      <c r="B671" s="28" t="s">
        <v>1000</v>
      </c>
      <c r="D671" s="28" t="s">
        <v>213</v>
      </c>
      <c r="E671" s="28" t="s">
        <v>1518</v>
      </c>
      <c r="F671" s="28" t="s">
        <v>819</v>
      </c>
      <c r="G671" s="28" t="s">
        <v>392</v>
      </c>
      <c r="H671" s="28">
        <v>1.0</v>
      </c>
      <c r="I671" s="28">
        <v>0.6047120418848168</v>
      </c>
      <c r="J671" s="28">
        <v>19.0</v>
      </c>
      <c r="K671" s="28" t="s">
        <v>57</v>
      </c>
      <c r="L671" s="28" t="s">
        <v>696</v>
      </c>
    </row>
    <row r="672" ht="15.75" customHeight="1">
      <c r="A672" s="28" t="s">
        <v>131</v>
      </c>
      <c r="B672" s="28" t="s">
        <v>1000</v>
      </c>
      <c r="D672" s="28" t="s">
        <v>213</v>
      </c>
      <c r="E672" s="28" t="s">
        <v>1519</v>
      </c>
      <c r="F672" s="28" t="s">
        <v>821</v>
      </c>
      <c r="G672" s="28" t="s">
        <v>378</v>
      </c>
      <c r="H672" s="28">
        <v>1.0</v>
      </c>
      <c r="I672" s="28">
        <v>0.6335078534031413</v>
      </c>
      <c r="J672" s="28">
        <v>4.0</v>
      </c>
      <c r="K672" s="28" t="s">
        <v>57</v>
      </c>
      <c r="L672" s="28" t="s">
        <v>696</v>
      </c>
    </row>
    <row r="673" ht="15.75" customHeight="1">
      <c r="A673" s="28" t="s">
        <v>131</v>
      </c>
      <c r="B673" s="28" t="s">
        <v>1000</v>
      </c>
      <c r="D673" s="28" t="s">
        <v>213</v>
      </c>
      <c r="E673" s="28" t="s">
        <v>1520</v>
      </c>
      <c r="F673" s="28" t="s">
        <v>821</v>
      </c>
      <c r="G673" s="28" t="s">
        <v>385</v>
      </c>
      <c r="H673" s="28">
        <v>1.0</v>
      </c>
      <c r="I673" s="28">
        <v>0.675392670157068</v>
      </c>
      <c r="J673" s="28">
        <v>5.0</v>
      </c>
      <c r="K673" s="28" t="s">
        <v>57</v>
      </c>
      <c r="L673" s="28" t="s">
        <v>696</v>
      </c>
    </row>
    <row r="674" ht="15.75" customHeight="1">
      <c r="A674" s="28" t="s">
        <v>131</v>
      </c>
      <c r="B674" s="28" t="s">
        <v>1000</v>
      </c>
      <c r="D674" s="28" t="s">
        <v>213</v>
      </c>
      <c r="E674" s="28" t="s">
        <v>1521</v>
      </c>
      <c r="F674" s="28" t="s">
        <v>821</v>
      </c>
      <c r="G674" s="28" t="s">
        <v>310</v>
      </c>
      <c r="H674" s="28">
        <v>1.0</v>
      </c>
      <c r="I674" s="28">
        <v>0.693717277486911</v>
      </c>
      <c r="J674" s="28">
        <v>15.0</v>
      </c>
      <c r="K674" s="28" t="s">
        <v>57</v>
      </c>
      <c r="L674" s="28" t="s">
        <v>696</v>
      </c>
    </row>
    <row r="675" ht="15.75" customHeight="1">
      <c r="A675" s="28" t="s">
        <v>131</v>
      </c>
      <c r="B675" s="28" t="s">
        <v>1000</v>
      </c>
      <c r="D675" s="28" t="s">
        <v>213</v>
      </c>
      <c r="E675" s="28" t="s">
        <v>1522</v>
      </c>
      <c r="F675" s="28" t="s">
        <v>821</v>
      </c>
      <c r="G675" s="28" t="s">
        <v>278</v>
      </c>
      <c r="H675" s="28">
        <v>1.0</v>
      </c>
      <c r="I675" s="28">
        <v>0.693717277486911</v>
      </c>
      <c r="J675" s="28">
        <v>11.0</v>
      </c>
      <c r="K675" s="28" t="s">
        <v>57</v>
      </c>
      <c r="L675" s="28" t="s">
        <v>696</v>
      </c>
    </row>
    <row r="676" ht="15.75" customHeight="1">
      <c r="A676" s="28" t="s">
        <v>131</v>
      </c>
      <c r="B676" s="28" t="s">
        <v>1000</v>
      </c>
      <c r="D676" s="28" t="s">
        <v>213</v>
      </c>
      <c r="E676" s="28" t="s">
        <v>1523</v>
      </c>
      <c r="F676" s="28" t="s">
        <v>824</v>
      </c>
      <c r="G676" s="28" t="s">
        <v>241</v>
      </c>
      <c r="H676" s="28">
        <v>1.0</v>
      </c>
      <c r="I676" s="28">
        <v>0.7146321746160065</v>
      </c>
      <c r="J676" s="28">
        <v>10.0</v>
      </c>
      <c r="K676" s="28" t="s">
        <v>57</v>
      </c>
      <c r="L676" s="28" t="s">
        <v>696</v>
      </c>
    </row>
    <row r="677" ht="15.75" customHeight="1">
      <c r="A677" s="28" t="s">
        <v>131</v>
      </c>
      <c r="B677" s="28" t="s">
        <v>1000</v>
      </c>
      <c r="D677" s="28" t="s">
        <v>252</v>
      </c>
      <c r="E677" s="28" t="s">
        <v>1524</v>
      </c>
      <c r="F677" s="28" t="s">
        <v>268</v>
      </c>
      <c r="G677" s="28" t="s">
        <v>270</v>
      </c>
      <c r="H677" s="28">
        <v>1.0</v>
      </c>
      <c r="I677" s="28">
        <v>0.010380622837370242</v>
      </c>
      <c r="J677" s="28">
        <v>0.0</v>
      </c>
      <c r="K677" s="28" t="s">
        <v>57</v>
      </c>
      <c r="L677" s="28" t="s">
        <v>57</v>
      </c>
    </row>
    <row r="678" ht="15.75" customHeight="1">
      <c r="A678" s="28" t="s">
        <v>131</v>
      </c>
      <c r="B678" s="28" t="s">
        <v>1000</v>
      </c>
      <c r="D678" s="28" t="s">
        <v>252</v>
      </c>
      <c r="E678" s="28" t="s">
        <v>1525</v>
      </c>
      <c r="F678" s="28" t="s">
        <v>268</v>
      </c>
      <c r="G678" s="28" t="s">
        <v>345</v>
      </c>
      <c r="H678" s="28">
        <v>1.0</v>
      </c>
      <c r="I678" s="28">
        <v>0.024475524475524476</v>
      </c>
      <c r="J678" s="28">
        <v>2.0</v>
      </c>
      <c r="K678" s="28" t="s">
        <v>57</v>
      </c>
      <c r="L678" s="28" t="s">
        <v>57</v>
      </c>
    </row>
    <row r="679" ht="15.75" customHeight="1">
      <c r="A679" s="28" t="s">
        <v>131</v>
      </c>
      <c r="B679" s="28" t="s">
        <v>1000</v>
      </c>
      <c r="D679" s="28" t="s">
        <v>252</v>
      </c>
      <c r="E679" s="28" t="s">
        <v>1526</v>
      </c>
      <c r="F679" s="28" t="s">
        <v>1527</v>
      </c>
      <c r="G679" s="28" t="s">
        <v>370</v>
      </c>
      <c r="H679" s="28">
        <v>1.0</v>
      </c>
      <c r="I679" s="28">
        <v>0.22377622377622378</v>
      </c>
      <c r="J679" s="28">
        <v>17.0</v>
      </c>
      <c r="K679" s="28" t="s">
        <v>57</v>
      </c>
      <c r="L679" s="28" t="s">
        <v>57</v>
      </c>
    </row>
    <row r="680" ht="15.75" customHeight="1">
      <c r="A680" s="28" t="s">
        <v>131</v>
      </c>
      <c r="B680" s="28" t="s">
        <v>1000</v>
      </c>
      <c r="D680" s="28" t="s">
        <v>252</v>
      </c>
      <c r="E680" s="28" t="s">
        <v>1528</v>
      </c>
      <c r="F680" s="28" t="s">
        <v>826</v>
      </c>
      <c r="G680" s="28" t="s">
        <v>295</v>
      </c>
      <c r="H680" s="28">
        <v>1.0</v>
      </c>
      <c r="I680" s="28">
        <v>0.34965034965034963</v>
      </c>
      <c r="J680" s="28">
        <v>15.0</v>
      </c>
      <c r="K680" s="28" t="s">
        <v>57</v>
      </c>
      <c r="L680" s="28" t="s">
        <v>57</v>
      </c>
    </row>
    <row r="681" ht="15.75" customHeight="1">
      <c r="A681" s="28" t="s">
        <v>131</v>
      </c>
      <c r="B681" s="28" t="s">
        <v>1000</v>
      </c>
      <c r="D681" s="28" t="s">
        <v>252</v>
      </c>
      <c r="E681" s="28" t="s">
        <v>1529</v>
      </c>
      <c r="F681" s="28" t="s">
        <v>826</v>
      </c>
      <c r="G681" s="28" t="s">
        <v>364</v>
      </c>
      <c r="H681" s="28">
        <v>1.0</v>
      </c>
      <c r="I681" s="28">
        <v>0.36713286713286714</v>
      </c>
      <c r="J681" s="28">
        <v>16.0</v>
      </c>
      <c r="K681" s="28" t="s">
        <v>57</v>
      </c>
      <c r="L681" s="28" t="s">
        <v>57</v>
      </c>
    </row>
    <row r="682" ht="15.75" customHeight="1">
      <c r="A682" s="28" t="s">
        <v>131</v>
      </c>
      <c r="B682" s="28" t="s">
        <v>1000</v>
      </c>
      <c r="D682" s="28" t="s">
        <v>252</v>
      </c>
      <c r="E682" s="28" t="s">
        <v>1530</v>
      </c>
      <c r="F682" s="28" t="s">
        <v>830</v>
      </c>
      <c r="G682" s="28" t="s">
        <v>287</v>
      </c>
      <c r="H682" s="28">
        <v>1.0</v>
      </c>
      <c r="I682" s="28">
        <v>0.3704600484261501</v>
      </c>
      <c r="J682" s="28">
        <v>13.0</v>
      </c>
      <c r="K682" s="28" t="s">
        <v>57</v>
      </c>
      <c r="L682" s="28" t="s">
        <v>57</v>
      </c>
    </row>
    <row r="683" ht="15.75" customHeight="1">
      <c r="A683" s="28" t="s">
        <v>131</v>
      </c>
      <c r="B683" s="28" t="s">
        <v>1000</v>
      </c>
      <c r="D683" s="28" t="s">
        <v>252</v>
      </c>
      <c r="E683" s="28" t="s">
        <v>1531</v>
      </c>
      <c r="F683" s="28" t="s">
        <v>832</v>
      </c>
      <c r="G683" s="28" t="s">
        <v>262</v>
      </c>
      <c r="H683" s="28">
        <v>1.0</v>
      </c>
      <c r="I683" s="28">
        <v>0.42657342657342656</v>
      </c>
      <c r="J683" s="28">
        <v>1.0</v>
      </c>
      <c r="K683" s="28" t="s">
        <v>57</v>
      </c>
      <c r="L683" s="28" t="s">
        <v>57</v>
      </c>
    </row>
    <row r="684" ht="15.75" customHeight="1">
      <c r="A684" s="28" t="s">
        <v>131</v>
      </c>
      <c r="B684" s="28" t="s">
        <v>1000</v>
      </c>
      <c r="D684" s="28" t="s">
        <v>252</v>
      </c>
      <c r="E684" s="28" t="s">
        <v>1532</v>
      </c>
      <c r="F684" s="28" t="s">
        <v>1533</v>
      </c>
      <c r="G684" s="28" t="s">
        <v>398</v>
      </c>
      <c r="H684" s="28">
        <v>1.0</v>
      </c>
      <c r="I684" s="28">
        <v>0.4405594405594406</v>
      </c>
      <c r="J684" s="28">
        <v>19.0</v>
      </c>
      <c r="K684" s="28" t="s">
        <v>57</v>
      </c>
      <c r="L684" s="28" t="s">
        <v>696</v>
      </c>
    </row>
    <row r="685" ht="15.75" customHeight="1">
      <c r="A685" s="28" t="s">
        <v>131</v>
      </c>
      <c r="B685" s="28" t="s">
        <v>1000</v>
      </c>
      <c r="D685" s="28" t="s">
        <v>252</v>
      </c>
      <c r="E685" s="28" t="s">
        <v>1534</v>
      </c>
      <c r="F685" s="28" t="s">
        <v>832</v>
      </c>
      <c r="G685" s="28" t="s">
        <v>392</v>
      </c>
      <c r="H685" s="28">
        <v>1.0</v>
      </c>
      <c r="I685" s="28">
        <v>0.4755244755244755</v>
      </c>
      <c r="J685" s="28">
        <v>18.0</v>
      </c>
      <c r="K685" s="28" t="s">
        <v>57</v>
      </c>
      <c r="L685" s="28" t="s">
        <v>57</v>
      </c>
    </row>
    <row r="686" ht="15.75" customHeight="1">
      <c r="A686" s="28" t="s">
        <v>131</v>
      </c>
      <c r="B686" s="28" t="s">
        <v>1000</v>
      </c>
      <c r="D686" s="28" t="s">
        <v>252</v>
      </c>
      <c r="E686" s="28" t="s">
        <v>1535</v>
      </c>
      <c r="F686" s="28" t="s">
        <v>834</v>
      </c>
      <c r="G686" s="28" t="s">
        <v>378</v>
      </c>
      <c r="H686" s="28">
        <v>1.0</v>
      </c>
      <c r="I686" s="28">
        <v>0.5594405594405595</v>
      </c>
      <c r="J686" s="28">
        <v>3.0</v>
      </c>
      <c r="K686" s="28" t="s">
        <v>57</v>
      </c>
      <c r="L686" s="28" t="s">
        <v>57</v>
      </c>
    </row>
    <row r="687" ht="15.75" customHeight="1">
      <c r="A687" s="28" t="s">
        <v>131</v>
      </c>
      <c r="B687" s="28" t="s">
        <v>1000</v>
      </c>
      <c r="D687" s="28" t="s">
        <v>252</v>
      </c>
      <c r="E687" s="28" t="s">
        <v>1536</v>
      </c>
      <c r="F687" s="28" t="s">
        <v>834</v>
      </c>
      <c r="G687" s="28" t="s">
        <v>385</v>
      </c>
      <c r="H687" s="28">
        <v>1.0</v>
      </c>
      <c r="I687" s="28">
        <v>0.5664335664335665</v>
      </c>
      <c r="J687" s="28">
        <v>4.0</v>
      </c>
      <c r="K687" s="28" t="s">
        <v>57</v>
      </c>
      <c r="L687" s="28" t="s">
        <v>57</v>
      </c>
    </row>
    <row r="688" ht="15.75" customHeight="1">
      <c r="A688" s="28" t="s">
        <v>131</v>
      </c>
      <c r="B688" s="28" t="s">
        <v>1000</v>
      </c>
      <c r="D688" s="28" t="s">
        <v>252</v>
      </c>
      <c r="E688" s="28" t="s">
        <v>1537</v>
      </c>
      <c r="F688" s="28" t="s">
        <v>834</v>
      </c>
      <c r="G688" s="28" t="s">
        <v>310</v>
      </c>
      <c r="H688" s="28">
        <v>1.0</v>
      </c>
      <c r="I688" s="28">
        <v>0.5909090909090909</v>
      </c>
      <c r="J688" s="28">
        <v>14.0</v>
      </c>
      <c r="K688" s="28" t="s">
        <v>57</v>
      </c>
      <c r="L688" s="28" t="s">
        <v>57</v>
      </c>
    </row>
    <row r="689" ht="15.75" customHeight="1">
      <c r="A689" s="28" t="s">
        <v>131</v>
      </c>
      <c r="B689" s="28" t="s">
        <v>1000</v>
      </c>
      <c r="D689" s="28" t="s">
        <v>252</v>
      </c>
      <c r="E689" s="28" t="s">
        <v>1538</v>
      </c>
      <c r="F689" s="28" t="s">
        <v>834</v>
      </c>
      <c r="G689" s="28" t="s">
        <v>278</v>
      </c>
      <c r="H689" s="28">
        <v>1.0</v>
      </c>
      <c r="I689" s="28">
        <v>0.5909090909090909</v>
      </c>
      <c r="J689" s="28">
        <v>10.0</v>
      </c>
      <c r="K689" s="28" t="s">
        <v>57</v>
      </c>
      <c r="L689" s="28" t="s">
        <v>57</v>
      </c>
    </row>
    <row r="690" ht="15.75" customHeight="1">
      <c r="A690" s="28" t="s">
        <v>131</v>
      </c>
      <c r="B690" s="28" t="s">
        <v>1000</v>
      </c>
      <c r="D690" s="28" t="s">
        <v>252</v>
      </c>
      <c r="E690" s="28" t="s">
        <v>1539</v>
      </c>
      <c r="F690" s="28" t="s">
        <v>837</v>
      </c>
      <c r="G690" s="28" t="s">
        <v>303</v>
      </c>
      <c r="H690" s="28">
        <v>1.0</v>
      </c>
      <c r="I690" s="28">
        <v>0.603905160390516</v>
      </c>
      <c r="J690" s="28">
        <v>11.0</v>
      </c>
      <c r="K690" s="28" t="s">
        <v>57</v>
      </c>
      <c r="L690" s="28" t="s">
        <v>57</v>
      </c>
    </row>
    <row r="691" ht="15.75" customHeight="1">
      <c r="A691" s="28" t="s">
        <v>131</v>
      </c>
      <c r="B691" s="28" t="s">
        <v>1000</v>
      </c>
      <c r="D691" s="28" t="s">
        <v>252</v>
      </c>
      <c r="E691" s="28" t="s">
        <v>1540</v>
      </c>
      <c r="F691" s="28" t="s">
        <v>839</v>
      </c>
      <c r="G691" s="28" t="s">
        <v>241</v>
      </c>
      <c r="H691" s="28">
        <v>1.0</v>
      </c>
      <c r="I691" s="28">
        <v>0.7768795472918351</v>
      </c>
      <c r="J691" s="28">
        <v>9.0</v>
      </c>
      <c r="K691" s="28" t="s">
        <v>57</v>
      </c>
      <c r="L691" s="28" t="s">
        <v>57</v>
      </c>
    </row>
    <row r="692" ht="15.75" customHeight="1">
      <c r="A692" s="28" t="s">
        <v>131</v>
      </c>
      <c r="B692" s="28" t="s">
        <v>1000</v>
      </c>
      <c r="D692" s="28" t="s">
        <v>270</v>
      </c>
      <c r="E692" s="28" t="s">
        <v>1541</v>
      </c>
      <c r="F692" s="28" t="s">
        <v>268</v>
      </c>
      <c r="G692" s="28" t="s">
        <v>345</v>
      </c>
      <c r="H692" s="28">
        <v>1.0</v>
      </c>
      <c r="I692" s="28">
        <v>0.03460207612456748</v>
      </c>
      <c r="J692" s="28">
        <v>1.0</v>
      </c>
      <c r="K692" s="28" t="s">
        <v>57</v>
      </c>
      <c r="L692" s="28" t="s">
        <v>57</v>
      </c>
    </row>
    <row r="693" ht="15.75" customHeight="1">
      <c r="A693" s="28" t="s">
        <v>131</v>
      </c>
      <c r="B693" s="28" t="s">
        <v>1000</v>
      </c>
      <c r="D693" s="28" t="s">
        <v>270</v>
      </c>
      <c r="E693" s="28" t="s">
        <v>1542</v>
      </c>
      <c r="F693" s="28" t="s">
        <v>1527</v>
      </c>
      <c r="G693" s="28" t="s">
        <v>370</v>
      </c>
      <c r="H693" s="28">
        <v>1.0</v>
      </c>
      <c r="I693" s="28">
        <v>0.23183391003460208</v>
      </c>
      <c r="J693" s="28">
        <v>16.0</v>
      </c>
      <c r="K693" s="28" t="s">
        <v>57</v>
      </c>
      <c r="L693" s="28" t="s">
        <v>57</v>
      </c>
    </row>
    <row r="694" ht="15.75" customHeight="1">
      <c r="A694" s="28" t="s">
        <v>131</v>
      </c>
      <c r="B694" s="28" t="s">
        <v>1000</v>
      </c>
      <c r="D694" s="28" t="s">
        <v>270</v>
      </c>
      <c r="E694" s="28" t="s">
        <v>1543</v>
      </c>
      <c r="F694" s="28" t="s">
        <v>826</v>
      </c>
      <c r="G694" s="28" t="s">
        <v>295</v>
      </c>
      <c r="H694" s="28">
        <v>1.0</v>
      </c>
      <c r="I694" s="28">
        <v>0.356401384083045</v>
      </c>
      <c r="J694" s="28">
        <v>14.0</v>
      </c>
      <c r="K694" s="28" t="s">
        <v>57</v>
      </c>
      <c r="L694" s="28" t="s">
        <v>57</v>
      </c>
    </row>
    <row r="695" ht="15.75" customHeight="1">
      <c r="A695" s="28" t="s">
        <v>131</v>
      </c>
      <c r="B695" s="28" t="s">
        <v>1000</v>
      </c>
      <c r="D695" s="28" t="s">
        <v>270</v>
      </c>
      <c r="E695" s="28" t="s">
        <v>1544</v>
      </c>
      <c r="F695" s="28" t="s">
        <v>826</v>
      </c>
      <c r="G695" s="28" t="s">
        <v>364</v>
      </c>
      <c r="H695" s="28">
        <v>1.0</v>
      </c>
      <c r="I695" s="28">
        <v>0.3737024221453287</v>
      </c>
      <c r="J695" s="28">
        <v>15.0</v>
      </c>
      <c r="K695" s="28" t="s">
        <v>57</v>
      </c>
      <c r="L695" s="28" t="s">
        <v>57</v>
      </c>
    </row>
    <row r="696" ht="15.75" customHeight="1">
      <c r="A696" s="28" t="s">
        <v>131</v>
      </c>
      <c r="B696" s="28" t="s">
        <v>1000</v>
      </c>
      <c r="D696" s="28" t="s">
        <v>270</v>
      </c>
      <c r="E696" s="28" t="s">
        <v>1545</v>
      </c>
      <c r="F696" s="28" t="s">
        <v>830</v>
      </c>
      <c r="G696" s="28" t="s">
        <v>287</v>
      </c>
      <c r="H696" s="28">
        <v>1.0</v>
      </c>
      <c r="I696" s="28">
        <v>0.37772397094430993</v>
      </c>
      <c r="J696" s="28">
        <v>12.0</v>
      </c>
      <c r="K696" s="28" t="s">
        <v>57</v>
      </c>
      <c r="L696" s="28" t="s">
        <v>57</v>
      </c>
    </row>
    <row r="697" ht="15.75" customHeight="1">
      <c r="A697" s="28" t="s">
        <v>131</v>
      </c>
      <c r="B697" s="28" t="s">
        <v>1000</v>
      </c>
      <c r="D697" s="28" t="s">
        <v>270</v>
      </c>
      <c r="E697" s="28" t="s">
        <v>1546</v>
      </c>
      <c r="F697" s="28" t="s">
        <v>832</v>
      </c>
      <c r="G697" s="28" t="s">
        <v>262</v>
      </c>
      <c r="H697" s="28">
        <v>1.0</v>
      </c>
      <c r="I697" s="28">
        <v>0.43252595155709345</v>
      </c>
      <c r="J697" s="28">
        <v>0.0</v>
      </c>
      <c r="K697" s="28" t="s">
        <v>57</v>
      </c>
      <c r="L697" s="28" t="s">
        <v>57</v>
      </c>
    </row>
    <row r="698" ht="15.75" customHeight="1">
      <c r="A698" s="28" t="s">
        <v>131</v>
      </c>
      <c r="B698" s="28" t="s">
        <v>1000</v>
      </c>
      <c r="D698" s="28" t="s">
        <v>270</v>
      </c>
      <c r="E698" s="28" t="s">
        <v>1547</v>
      </c>
      <c r="F698" s="28" t="s">
        <v>1533</v>
      </c>
      <c r="G698" s="28" t="s">
        <v>398</v>
      </c>
      <c r="H698" s="28">
        <v>1.0</v>
      </c>
      <c r="I698" s="28">
        <v>0.4359861591695502</v>
      </c>
      <c r="J698" s="28">
        <v>18.0</v>
      </c>
      <c r="K698" s="28" t="s">
        <v>57</v>
      </c>
      <c r="L698" s="28" t="s">
        <v>696</v>
      </c>
    </row>
    <row r="699" ht="15.75" customHeight="1">
      <c r="A699" s="28" t="s">
        <v>131</v>
      </c>
      <c r="B699" s="28" t="s">
        <v>1000</v>
      </c>
      <c r="D699" s="28" t="s">
        <v>270</v>
      </c>
      <c r="E699" s="28" t="s">
        <v>1548</v>
      </c>
      <c r="F699" s="28" t="s">
        <v>832</v>
      </c>
      <c r="G699" s="28" t="s">
        <v>392</v>
      </c>
      <c r="H699" s="28">
        <v>1.0</v>
      </c>
      <c r="I699" s="28">
        <v>0.4809688581314879</v>
      </c>
      <c r="J699" s="28">
        <v>17.0</v>
      </c>
      <c r="K699" s="28" t="s">
        <v>57</v>
      </c>
      <c r="L699" s="28" t="s">
        <v>57</v>
      </c>
    </row>
    <row r="700" ht="15.75" customHeight="1">
      <c r="A700" s="28" t="s">
        <v>131</v>
      </c>
      <c r="B700" s="28" t="s">
        <v>1000</v>
      </c>
      <c r="D700" s="28" t="s">
        <v>270</v>
      </c>
      <c r="E700" s="28" t="s">
        <v>1549</v>
      </c>
      <c r="F700" s="28" t="s">
        <v>834</v>
      </c>
      <c r="G700" s="28" t="s">
        <v>378</v>
      </c>
      <c r="H700" s="28">
        <v>1.0</v>
      </c>
      <c r="I700" s="28">
        <v>0.5640138408304498</v>
      </c>
      <c r="J700" s="28">
        <v>2.0</v>
      </c>
      <c r="K700" s="28" t="s">
        <v>57</v>
      </c>
      <c r="L700" s="28" t="s">
        <v>57</v>
      </c>
    </row>
    <row r="701" ht="15.75" customHeight="1">
      <c r="A701" s="28" t="s">
        <v>131</v>
      </c>
      <c r="B701" s="28" t="s">
        <v>1000</v>
      </c>
      <c r="D701" s="28" t="s">
        <v>270</v>
      </c>
      <c r="E701" s="28" t="s">
        <v>1550</v>
      </c>
      <c r="F701" s="28" t="s">
        <v>834</v>
      </c>
      <c r="G701" s="28" t="s">
        <v>385</v>
      </c>
      <c r="H701" s="28">
        <v>1.0</v>
      </c>
      <c r="I701" s="28">
        <v>0.5709342560553633</v>
      </c>
      <c r="J701" s="28">
        <v>3.0</v>
      </c>
      <c r="K701" s="28" t="s">
        <v>57</v>
      </c>
      <c r="L701" s="28" t="s">
        <v>57</v>
      </c>
    </row>
    <row r="702" ht="15.75" customHeight="1">
      <c r="A702" s="28" t="s">
        <v>131</v>
      </c>
      <c r="B702" s="28" t="s">
        <v>1000</v>
      </c>
      <c r="D702" s="28" t="s">
        <v>270</v>
      </c>
      <c r="E702" s="28" t="s">
        <v>1551</v>
      </c>
      <c r="F702" s="28" t="s">
        <v>834</v>
      </c>
      <c r="G702" s="28" t="s">
        <v>310</v>
      </c>
      <c r="H702" s="28">
        <v>1.0</v>
      </c>
      <c r="I702" s="28">
        <v>0.5951557093425606</v>
      </c>
      <c r="J702" s="28">
        <v>13.0</v>
      </c>
      <c r="K702" s="28" t="s">
        <v>57</v>
      </c>
      <c r="L702" s="28" t="s">
        <v>57</v>
      </c>
    </row>
    <row r="703" ht="15.75" customHeight="1">
      <c r="A703" s="28" t="s">
        <v>131</v>
      </c>
      <c r="B703" s="28" t="s">
        <v>1000</v>
      </c>
      <c r="D703" s="28" t="s">
        <v>270</v>
      </c>
      <c r="E703" s="28" t="s">
        <v>1552</v>
      </c>
      <c r="F703" s="28" t="s">
        <v>834</v>
      </c>
      <c r="G703" s="28" t="s">
        <v>278</v>
      </c>
      <c r="H703" s="28">
        <v>1.0</v>
      </c>
      <c r="I703" s="28">
        <v>0.5951557093425606</v>
      </c>
      <c r="J703" s="28">
        <v>9.0</v>
      </c>
      <c r="K703" s="28" t="s">
        <v>57</v>
      </c>
      <c r="L703" s="28" t="s">
        <v>57</v>
      </c>
    </row>
    <row r="704" ht="15.75" customHeight="1">
      <c r="A704" s="28" t="s">
        <v>131</v>
      </c>
      <c r="B704" s="28" t="s">
        <v>1000</v>
      </c>
      <c r="D704" s="28" t="s">
        <v>270</v>
      </c>
      <c r="E704" s="28" t="s">
        <v>1553</v>
      </c>
      <c r="F704" s="28" t="s">
        <v>837</v>
      </c>
      <c r="G704" s="28" t="s">
        <v>303</v>
      </c>
      <c r="H704" s="28">
        <v>1.0</v>
      </c>
      <c r="I704" s="28">
        <v>0.6080892608089261</v>
      </c>
      <c r="J704" s="28">
        <v>10.0</v>
      </c>
      <c r="K704" s="28" t="s">
        <v>57</v>
      </c>
      <c r="L704" s="28" t="s">
        <v>57</v>
      </c>
    </row>
    <row r="705" ht="15.75" customHeight="1">
      <c r="A705" s="28" t="s">
        <v>131</v>
      </c>
      <c r="B705" s="28" t="s">
        <v>1000</v>
      </c>
      <c r="D705" s="28" t="s">
        <v>270</v>
      </c>
      <c r="E705" s="28" t="s">
        <v>1554</v>
      </c>
      <c r="F705" s="28" t="s">
        <v>839</v>
      </c>
      <c r="G705" s="28" t="s">
        <v>241</v>
      </c>
      <c r="H705" s="28">
        <v>1.0</v>
      </c>
      <c r="I705" s="28">
        <v>0.778496362166532</v>
      </c>
      <c r="J705" s="28">
        <v>8.0</v>
      </c>
      <c r="K705" s="28" t="s">
        <v>57</v>
      </c>
      <c r="L705" s="28" t="s">
        <v>57</v>
      </c>
    </row>
    <row r="706" ht="15.75" customHeight="1">
      <c r="A706" s="28" t="s">
        <v>131</v>
      </c>
      <c r="B706" s="28" t="s">
        <v>1000</v>
      </c>
      <c r="D706" s="28" t="s">
        <v>262</v>
      </c>
      <c r="E706" s="28" t="s">
        <v>1555</v>
      </c>
      <c r="F706" s="28" t="s">
        <v>293</v>
      </c>
      <c r="G706" s="28" t="s">
        <v>392</v>
      </c>
      <c r="H706" s="28">
        <v>1.0</v>
      </c>
      <c r="I706" s="28">
        <v>0.1144578313253012</v>
      </c>
      <c r="J706" s="28">
        <v>16.0</v>
      </c>
      <c r="K706" s="28" t="s">
        <v>57</v>
      </c>
      <c r="L706" s="28" t="s">
        <v>57</v>
      </c>
    </row>
    <row r="707" ht="15.75" customHeight="1">
      <c r="A707" s="28" t="s">
        <v>131</v>
      </c>
      <c r="B707" s="28" t="s">
        <v>1000</v>
      </c>
      <c r="D707" s="28" t="s">
        <v>262</v>
      </c>
      <c r="E707" s="28" t="s">
        <v>1556</v>
      </c>
      <c r="F707" s="28" t="s">
        <v>851</v>
      </c>
      <c r="G707" s="28" t="s">
        <v>295</v>
      </c>
      <c r="H707" s="28">
        <v>1.0</v>
      </c>
      <c r="I707" s="28">
        <v>0.23316062176165803</v>
      </c>
      <c r="J707" s="28">
        <v>13.0</v>
      </c>
      <c r="K707" s="28" t="s">
        <v>57</v>
      </c>
      <c r="L707" s="28" t="s">
        <v>57</v>
      </c>
    </row>
    <row r="708" ht="15.75" customHeight="1">
      <c r="A708" s="28" t="s">
        <v>131</v>
      </c>
      <c r="B708" s="28" t="s">
        <v>1000</v>
      </c>
      <c r="D708" s="28" t="s">
        <v>262</v>
      </c>
      <c r="E708" s="28" t="s">
        <v>1557</v>
      </c>
      <c r="F708" s="28" t="s">
        <v>854</v>
      </c>
      <c r="G708" s="28" t="s">
        <v>385</v>
      </c>
      <c r="H708" s="28">
        <v>1.0</v>
      </c>
      <c r="I708" s="28">
        <v>0.2469879518072289</v>
      </c>
      <c r="J708" s="28">
        <v>2.0</v>
      </c>
      <c r="K708" s="28" t="s">
        <v>57</v>
      </c>
      <c r="L708" s="28" t="s">
        <v>57</v>
      </c>
    </row>
    <row r="709" ht="15.75" customHeight="1">
      <c r="A709" s="28" t="s">
        <v>131</v>
      </c>
      <c r="B709" s="28" t="s">
        <v>1000</v>
      </c>
      <c r="D709" s="28" t="s">
        <v>262</v>
      </c>
      <c r="E709" s="28" t="s">
        <v>1558</v>
      </c>
      <c r="F709" s="28" t="s">
        <v>851</v>
      </c>
      <c r="G709" s="28" t="s">
        <v>364</v>
      </c>
      <c r="H709" s="28">
        <v>1.0</v>
      </c>
      <c r="I709" s="28">
        <v>0.25257731958762886</v>
      </c>
      <c r="J709" s="28">
        <v>14.0</v>
      </c>
      <c r="K709" s="28" t="s">
        <v>57</v>
      </c>
      <c r="L709" s="28" t="s">
        <v>57</v>
      </c>
    </row>
    <row r="710" ht="15.75" customHeight="1">
      <c r="A710" s="28" t="s">
        <v>131</v>
      </c>
      <c r="B710" s="28" t="s">
        <v>1000</v>
      </c>
      <c r="D710" s="28" t="s">
        <v>262</v>
      </c>
      <c r="E710" s="28" t="s">
        <v>1559</v>
      </c>
      <c r="F710" s="28" t="s">
        <v>854</v>
      </c>
      <c r="G710" s="28" t="s">
        <v>310</v>
      </c>
      <c r="H710" s="28">
        <v>1.0</v>
      </c>
      <c r="I710" s="28">
        <v>0.2891566265060241</v>
      </c>
      <c r="J710" s="28">
        <v>12.0</v>
      </c>
      <c r="K710" s="28" t="s">
        <v>57</v>
      </c>
      <c r="L710" s="28" t="s">
        <v>57</v>
      </c>
    </row>
    <row r="711" ht="15.75" customHeight="1">
      <c r="A711" s="28" t="s">
        <v>131</v>
      </c>
      <c r="B711" s="28" t="s">
        <v>1000</v>
      </c>
      <c r="D711" s="28" t="s">
        <v>262</v>
      </c>
      <c r="E711" s="28" t="s">
        <v>1560</v>
      </c>
      <c r="F711" s="28" t="s">
        <v>854</v>
      </c>
      <c r="G711" s="28" t="s">
        <v>278</v>
      </c>
      <c r="H711" s="28">
        <v>1.0</v>
      </c>
      <c r="I711" s="28">
        <v>0.29518072289156627</v>
      </c>
      <c r="J711" s="28">
        <v>8.0</v>
      </c>
      <c r="K711" s="28" t="s">
        <v>57</v>
      </c>
      <c r="L711" s="28" t="s">
        <v>57</v>
      </c>
    </row>
    <row r="712" ht="15.75" customHeight="1">
      <c r="A712" s="28" t="s">
        <v>131</v>
      </c>
      <c r="B712" s="28" t="s">
        <v>1000</v>
      </c>
      <c r="D712" s="28" t="s">
        <v>262</v>
      </c>
      <c r="E712" s="28" t="s">
        <v>1561</v>
      </c>
      <c r="F712" s="28" t="s">
        <v>1562</v>
      </c>
      <c r="G712" s="28" t="s">
        <v>370</v>
      </c>
      <c r="H712" s="28">
        <v>1.0</v>
      </c>
      <c r="I712" s="28">
        <v>0.4085603112840467</v>
      </c>
      <c r="J712" s="28">
        <v>15.0</v>
      </c>
      <c r="K712" s="28" t="s">
        <v>57</v>
      </c>
      <c r="L712" s="28" t="s">
        <v>57</v>
      </c>
    </row>
    <row r="713" ht="15.75" customHeight="1">
      <c r="A713" s="28" t="s">
        <v>131</v>
      </c>
      <c r="B713" s="28" t="s">
        <v>1000</v>
      </c>
      <c r="D713" s="28" t="s">
        <v>262</v>
      </c>
      <c r="E713" s="28" t="s">
        <v>1563</v>
      </c>
      <c r="F713" s="28" t="s">
        <v>858</v>
      </c>
      <c r="G713" s="28" t="s">
        <v>345</v>
      </c>
      <c r="H713" s="28">
        <v>1.0</v>
      </c>
      <c r="I713" s="28">
        <v>0.4280701754385965</v>
      </c>
      <c r="J713" s="28">
        <v>0.0</v>
      </c>
      <c r="K713" s="28" t="s">
        <v>57</v>
      </c>
      <c r="L713" s="28" t="s">
        <v>57</v>
      </c>
    </row>
    <row r="714" ht="15.75" customHeight="1">
      <c r="A714" s="28" t="s">
        <v>131</v>
      </c>
      <c r="B714" s="28" t="s">
        <v>1000</v>
      </c>
      <c r="D714" s="28" t="s">
        <v>262</v>
      </c>
      <c r="E714" s="28" t="s">
        <v>1564</v>
      </c>
      <c r="F714" s="28" t="s">
        <v>854</v>
      </c>
      <c r="G714" s="28" t="s">
        <v>378</v>
      </c>
      <c r="H714" s="28">
        <v>1.0</v>
      </c>
      <c r="I714" s="28">
        <v>0.4292929292929293</v>
      </c>
      <c r="J714" s="28">
        <v>1.0</v>
      </c>
      <c r="K714" s="28" t="s">
        <v>57</v>
      </c>
      <c r="L714" s="28" t="s">
        <v>57</v>
      </c>
    </row>
    <row r="715" ht="15.75" customHeight="1">
      <c r="A715" s="28" t="s">
        <v>131</v>
      </c>
      <c r="B715" s="28" t="s">
        <v>1000</v>
      </c>
      <c r="D715" s="28" t="s">
        <v>262</v>
      </c>
      <c r="E715" s="28" t="s">
        <v>1565</v>
      </c>
      <c r="F715" s="28" t="s">
        <v>987</v>
      </c>
      <c r="G715" s="28" t="s">
        <v>398</v>
      </c>
      <c r="H715" s="28">
        <v>1.0</v>
      </c>
      <c r="I715" s="28">
        <v>0.4432234432234432</v>
      </c>
      <c r="J715" s="28">
        <v>17.0</v>
      </c>
      <c r="K715" s="28" t="s">
        <v>57</v>
      </c>
      <c r="L715" s="28" t="s">
        <v>696</v>
      </c>
    </row>
    <row r="716" ht="15.75" customHeight="1">
      <c r="A716" s="28" t="s">
        <v>131</v>
      </c>
      <c r="B716" s="28" t="s">
        <v>1000</v>
      </c>
      <c r="D716" s="28" t="s">
        <v>262</v>
      </c>
      <c r="E716" s="28" t="s">
        <v>1566</v>
      </c>
      <c r="F716" s="28" t="s">
        <v>860</v>
      </c>
      <c r="G716" s="28" t="s">
        <v>287</v>
      </c>
      <c r="H716" s="28">
        <v>1.0</v>
      </c>
      <c r="I716" s="28">
        <v>0.6222760290556901</v>
      </c>
      <c r="J716" s="28">
        <v>11.0</v>
      </c>
      <c r="K716" s="28" t="s">
        <v>57</v>
      </c>
      <c r="L716" s="28" t="s">
        <v>57</v>
      </c>
    </row>
    <row r="717" ht="15.75" customHeight="1">
      <c r="A717" s="28" t="s">
        <v>131</v>
      </c>
      <c r="B717" s="28" t="s">
        <v>1000</v>
      </c>
      <c r="D717" s="28" t="s">
        <v>262</v>
      </c>
      <c r="E717" s="28" t="s">
        <v>1567</v>
      </c>
      <c r="F717" s="28" t="s">
        <v>862</v>
      </c>
      <c r="G717" s="28" t="s">
        <v>303</v>
      </c>
      <c r="H717" s="28">
        <v>1.0</v>
      </c>
      <c r="I717" s="28">
        <v>0.7712691771269177</v>
      </c>
      <c r="J717" s="28">
        <v>9.0</v>
      </c>
      <c r="K717" s="28" t="s">
        <v>57</v>
      </c>
      <c r="L717" s="28" t="s">
        <v>57</v>
      </c>
    </row>
    <row r="718" ht="15.75" customHeight="1">
      <c r="A718" s="28" t="s">
        <v>131</v>
      </c>
      <c r="B718" s="28" t="s">
        <v>1000</v>
      </c>
      <c r="D718" s="28" t="s">
        <v>262</v>
      </c>
      <c r="E718" s="28" t="s">
        <v>1568</v>
      </c>
      <c r="F718" s="28" t="s">
        <v>864</v>
      </c>
      <c r="G718" s="28" t="s">
        <v>241</v>
      </c>
      <c r="H718" s="28">
        <v>1.0</v>
      </c>
      <c r="I718" s="28">
        <v>0.8714632174616006</v>
      </c>
      <c r="J718" s="28">
        <v>7.0</v>
      </c>
      <c r="K718" s="28" t="s">
        <v>57</v>
      </c>
      <c r="L718" s="28" t="s">
        <v>57</v>
      </c>
    </row>
    <row r="719" ht="15.75" customHeight="1">
      <c r="A719" s="28" t="s">
        <v>131</v>
      </c>
      <c r="B719" s="28" t="s">
        <v>1000</v>
      </c>
      <c r="D719" s="28" t="s">
        <v>345</v>
      </c>
      <c r="E719" s="28" t="s">
        <v>1569</v>
      </c>
      <c r="F719" s="28" t="s">
        <v>1527</v>
      </c>
      <c r="G719" s="28" t="s">
        <v>370</v>
      </c>
      <c r="H719" s="28">
        <v>1.0</v>
      </c>
      <c r="I719" s="28">
        <v>0.20701754385964913</v>
      </c>
      <c r="J719" s="28">
        <v>14.0</v>
      </c>
      <c r="K719" s="28" t="s">
        <v>57</v>
      </c>
      <c r="L719" s="28" t="s">
        <v>57</v>
      </c>
    </row>
    <row r="720" ht="15.75" customHeight="1">
      <c r="A720" s="28" t="s">
        <v>131</v>
      </c>
      <c r="B720" s="28" t="s">
        <v>1000</v>
      </c>
      <c r="D720" s="28" t="s">
        <v>345</v>
      </c>
      <c r="E720" s="28" t="s">
        <v>1570</v>
      </c>
      <c r="F720" s="28" t="s">
        <v>826</v>
      </c>
      <c r="G720" s="28" t="s">
        <v>295</v>
      </c>
      <c r="H720" s="28">
        <v>1.0</v>
      </c>
      <c r="I720" s="28">
        <v>0.3473684210526316</v>
      </c>
      <c r="J720" s="28">
        <v>12.0</v>
      </c>
      <c r="K720" s="28" t="s">
        <v>57</v>
      </c>
      <c r="L720" s="28" t="s">
        <v>57</v>
      </c>
    </row>
    <row r="721" ht="15.75" customHeight="1">
      <c r="A721" s="28" t="s">
        <v>131</v>
      </c>
      <c r="B721" s="28" t="s">
        <v>1000</v>
      </c>
      <c r="D721" s="28" t="s">
        <v>345</v>
      </c>
      <c r="E721" s="28" t="s">
        <v>1571</v>
      </c>
      <c r="F721" s="28" t="s">
        <v>826</v>
      </c>
      <c r="G721" s="28" t="s">
        <v>364</v>
      </c>
      <c r="H721" s="28">
        <v>1.0</v>
      </c>
      <c r="I721" s="28">
        <v>0.3508771929824561</v>
      </c>
      <c r="J721" s="28">
        <v>13.0</v>
      </c>
      <c r="K721" s="28" t="s">
        <v>57</v>
      </c>
      <c r="L721" s="28" t="s">
        <v>57</v>
      </c>
    </row>
    <row r="722" ht="15.75" customHeight="1">
      <c r="A722" s="28" t="s">
        <v>131</v>
      </c>
      <c r="B722" s="28" t="s">
        <v>1000</v>
      </c>
      <c r="D722" s="28" t="s">
        <v>345</v>
      </c>
      <c r="E722" s="28" t="s">
        <v>1572</v>
      </c>
      <c r="F722" s="28" t="s">
        <v>830</v>
      </c>
      <c r="G722" s="28" t="s">
        <v>287</v>
      </c>
      <c r="H722" s="28">
        <v>1.0</v>
      </c>
      <c r="I722" s="28">
        <v>0.3704600484261501</v>
      </c>
      <c r="J722" s="28">
        <v>10.0</v>
      </c>
      <c r="K722" s="28" t="s">
        <v>57</v>
      </c>
      <c r="L722" s="28" t="s">
        <v>57</v>
      </c>
    </row>
    <row r="723" ht="15.75" customHeight="1">
      <c r="A723" s="28" t="s">
        <v>131</v>
      </c>
      <c r="B723" s="28" t="s">
        <v>1000</v>
      </c>
      <c r="D723" s="28" t="s">
        <v>345</v>
      </c>
      <c r="E723" s="28" t="s">
        <v>1573</v>
      </c>
      <c r="F723" s="28" t="s">
        <v>1533</v>
      </c>
      <c r="G723" s="28" t="s">
        <v>398</v>
      </c>
      <c r="H723" s="28">
        <v>1.0</v>
      </c>
      <c r="I723" s="28">
        <v>0.43859649122807015</v>
      </c>
      <c r="J723" s="28">
        <v>16.0</v>
      </c>
      <c r="K723" s="28" t="s">
        <v>57</v>
      </c>
      <c r="L723" s="28" t="s">
        <v>696</v>
      </c>
    </row>
    <row r="724" ht="15.75" customHeight="1">
      <c r="A724" s="28" t="s">
        <v>131</v>
      </c>
      <c r="B724" s="28" t="s">
        <v>1000</v>
      </c>
      <c r="D724" s="28" t="s">
        <v>345</v>
      </c>
      <c r="E724" s="28" t="s">
        <v>1574</v>
      </c>
      <c r="F724" s="28" t="s">
        <v>832</v>
      </c>
      <c r="G724" s="28" t="s">
        <v>392</v>
      </c>
      <c r="H724" s="28">
        <v>1.0</v>
      </c>
      <c r="I724" s="28">
        <v>0.47017543859649125</v>
      </c>
      <c r="J724" s="28">
        <v>15.0</v>
      </c>
      <c r="K724" s="28" t="s">
        <v>57</v>
      </c>
      <c r="L724" s="28" t="s">
        <v>57</v>
      </c>
    </row>
    <row r="725" ht="15.75" customHeight="1">
      <c r="A725" s="28" t="s">
        <v>131</v>
      </c>
      <c r="B725" s="28" t="s">
        <v>1000</v>
      </c>
      <c r="D725" s="28" t="s">
        <v>345</v>
      </c>
      <c r="E725" s="28" t="s">
        <v>1575</v>
      </c>
      <c r="F725" s="28" t="s">
        <v>834</v>
      </c>
      <c r="G725" s="28" t="s">
        <v>378</v>
      </c>
      <c r="H725" s="28">
        <v>1.0</v>
      </c>
      <c r="I725" s="28">
        <v>0.5543859649122806</v>
      </c>
      <c r="J725" s="28">
        <v>0.0</v>
      </c>
      <c r="K725" s="28" t="s">
        <v>57</v>
      </c>
      <c r="L725" s="28" t="s">
        <v>57</v>
      </c>
    </row>
    <row r="726" ht="15.75" customHeight="1">
      <c r="A726" s="28" t="s">
        <v>131</v>
      </c>
      <c r="B726" s="28" t="s">
        <v>1000</v>
      </c>
      <c r="D726" s="28" t="s">
        <v>345</v>
      </c>
      <c r="E726" s="28" t="s">
        <v>1576</v>
      </c>
      <c r="F726" s="28" t="s">
        <v>834</v>
      </c>
      <c r="G726" s="28" t="s">
        <v>385</v>
      </c>
      <c r="H726" s="28">
        <v>1.0</v>
      </c>
      <c r="I726" s="28">
        <v>0.5614035087719298</v>
      </c>
      <c r="J726" s="28">
        <v>1.0</v>
      </c>
      <c r="K726" s="28" t="s">
        <v>57</v>
      </c>
      <c r="L726" s="28" t="s">
        <v>57</v>
      </c>
    </row>
    <row r="727" ht="15.75" customHeight="1">
      <c r="A727" s="28" t="s">
        <v>131</v>
      </c>
      <c r="B727" s="28" t="s">
        <v>1000</v>
      </c>
      <c r="D727" s="28" t="s">
        <v>345</v>
      </c>
      <c r="E727" s="28" t="s">
        <v>1577</v>
      </c>
      <c r="F727" s="28" t="s">
        <v>834</v>
      </c>
      <c r="G727" s="28" t="s">
        <v>278</v>
      </c>
      <c r="H727" s="28">
        <v>1.0</v>
      </c>
      <c r="I727" s="28">
        <v>0.5894736842105263</v>
      </c>
      <c r="J727" s="28">
        <v>7.0</v>
      </c>
      <c r="K727" s="28" t="s">
        <v>57</v>
      </c>
      <c r="L727" s="28" t="s">
        <v>57</v>
      </c>
    </row>
    <row r="728" ht="15.75" customHeight="1">
      <c r="A728" s="28" t="s">
        <v>131</v>
      </c>
      <c r="B728" s="28" t="s">
        <v>1000</v>
      </c>
      <c r="D728" s="28" t="s">
        <v>345</v>
      </c>
      <c r="E728" s="28" t="s">
        <v>1578</v>
      </c>
      <c r="F728" s="28" t="s">
        <v>834</v>
      </c>
      <c r="G728" s="28" t="s">
        <v>310</v>
      </c>
      <c r="H728" s="28">
        <v>1.0</v>
      </c>
      <c r="I728" s="28">
        <v>0.5929824561403508</v>
      </c>
      <c r="J728" s="28">
        <v>11.0</v>
      </c>
      <c r="K728" s="28" t="s">
        <v>57</v>
      </c>
      <c r="L728" s="28" t="s">
        <v>57</v>
      </c>
    </row>
    <row r="729" ht="15.75" customHeight="1">
      <c r="A729" s="28" t="s">
        <v>131</v>
      </c>
      <c r="B729" s="28" t="s">
        <v>1000</v>
      </c>
      <c r="D729" s="28" t="s">
        <v>345</v>
      </c>
      <c r="E729" s="28" t="s">
        <v>1579</v>
      </c>
      <c r="F729" s="28" t="s">
        <v>837</v>
      </c>
      <c r="G729" s="28" t="s">
        <v>303</v>
      </c>
      <c r="H729" s="28">
        <v>1.0</v>
      </c>
      <c r="I729" s="28">
        <v>0.606694560669456</v>
      </c>
      <c r="J729" s="28">
        <v>8.0</v>
      </c>
      <c r="K729" s="28" t="s">
        <v>57</v>
      </c>
      <c r="L729" s="28" t="s">
        <v>57</v>
      </c>
    </row>
    <row r="730" ht="15.75" customHeight="1">
      <c r="A730" s="28" t="s">
        <v>131</v>
      </c>
      <c r="B730" s="28" t="s">
        <v>1000</v>
      </c>
      <c r="D730" s="28" t="s">
        <v>345</v>
      </c>
      <c r="E730" s="28" t="s">
        <v>1580</v>
      </c>
      <c r="F730" s="28" t="s">
        <v>839</v>
      </c>
      <c r="G730" s="28" t="s">
        <v>241</v>
      </c>
      <c r="H730" s="28">
        <v>1.0</v>
      </c>
      <c r="I730" s="28">
        <v>0.7768795472918351</v>
      </c>
      <c r="J730" s="28">
        <v>6.0</v>
      </c>
      <c r="K730" s="28" t="s">
        <v>57</v>
      </c>
      <c r="L730" s="28" t="s">
        <v>57</v>
      </c>
    </row>
    <row r="731" ht="15.75" customHeight="1">
      <c r="A731" s="28" t="s">
        <v>131</v>
      </c>
      <c r="B731" s="28" t="s">
        <v>1000</v>
      </c>
      <c r="D731" s="28" t="s">
        <v>378</v>
      </c>
      <c r="E731" s="28" t="s">
        <v>1581</v>
      </c>
      <c r="F731" s="28" t="s">
        <v>276</v>
      </c>
      <c r="G731" s="28" t="s">
        <v>385</v>
      </c>
      <c r="H731" s="28">
        <v>1.0</v>
      </c>
      <c r="I731" s="28">
        <v>0.398989898989899</v>
      </c>
      <c r="J731" s="28">
        <v>0.0</v>
      </c>
      <c r="K731" s="28" t="s">
        <v>57</v>
      </c>
      <c r="L731" s="28" t="s">
        <v>57</v>
      </c>
    </row>
    <row r="732" ht="15.75" customHeight="1">
      <c r="A732" s="28" t="s">
        <v>131</v>
      </c>
      <c r="B732" s="28" t="s">
        <v>1000</v>
      </c>
      <c r="D732" s="28" t="s">
        <v>378</v>
      </c>
      <c r="E732" s="28" t="s">
        <v>1582</v>
      </c>
      <c r="F732" s="28" t="s">
        <v>276</v>
      </c>
      <c r="G732" s="28" t="s">
        <v>278</v>
      </c>
      <c r="H732" s="28">
        <v>1.0</v>
      </c>
      <c r="I732" s="28">
        <v>0.4393939393939394</v>
      </c>
      <c r="J732" s="28">
        <v>6.0</v>
      </c>
      <c r="K732" s="28" t="s">
        <v>57</v>
      </c>
      <c r="L732" s="28" t="s">
        <v>57</v>
      </c>
    </row>
    <row r="733" ht="15.75" customHeight="1">
      <c r="A733" s="28" t="s">
        <v>131</v>
      </c>
      <c r="B733" s="28" t="s">
        <v>1000</v>
      </c>
      <c r="D733" s="28" t="s">
        <v>378</v>
      </c>
      <c r="E733" s="28" t="s">
        <v>1583</v>
      </c>
      <c r="F733" s="28" t="s">
        <v>276</v>
      </c>
      <c r="G733" s="28" t="s">
        <v>310</v>
      </c>
      <c r="H733" s="28">
        <v>1.0</v>
      </c>
      <c r="I733" s="28">
        <v>0.4444444444444444</v>
      </c>
      <c r="J733" s="28">
        <v>10.0</v>
      </c>
      <c r="K733" s="28" t="s">
        <v>57</v>
      </c>
      <c r="L733" s="28" t="s">
        <v>57</v>
      </c>
    </row>
    <row r="734" ht="15.75" customHeight="1">
      <c r="A734" s="28" t="s">
        <v>131</v>
      </c>
      <c r="B734" s="28" t="s">
        <v>1000</v>
      </c>
      <c r="D734" s="28" t="s">
        <v>378</v>
      </c>
      <c r="E734" s="28" t="s">
        <v>1584</v>
      </c>
      <c r="F734" s="28" t="s">
        <v>396</v>
      </c>
      <c r="G734" s="28" t="s">
        <v>398</v>
      </c>
      <c r="H734" s="28">
        <v>1.0</v>
      </c>
      <c r="I734" s="28">
        <v>0.4468864468864469</v>
      </c>
      <c r="J734" s="28">
        <v>15.0</v>
      </c>
      <c r="K734" s="28" t="s">
        <v>57</v>
      </c>
      <c r="L734" s="28" t="s">
        <v>696</v>
      </c>
    </row>
    <row r="735" ht="15.75" customHeight="1">
      <c r="A735" s="28" t="s">
        <v>131</v>
      </c>
      <c r="B735" s="28" t="s">
        <v>1000</v>
      </c>
      <c r="D735" s="28" t="s">
        <v>378</v>
      </c>
      <c r="E735" s="28" t="s">
        <v>1585</v>
      </c>
      <c r="F735" s="28" t="s">
        <v>260</v>
      </c>
      <c r="G735" s="28" t="s">
        <v>392</v>
      </c>
      <c r="H735" s="28">
        <v>1.0</v>
      </c>
      <c r="I735" s="28">
        <v>0.46464646464646464</v>
      </c>
      <c r="J735" s="28">
        <v>14.0</v>
      </c>
      <c r="K735" s="28" t="s">
        <v>57</v>
      </c>
      <c r="L735" s="28" t="s">
        <v>57</v>
      </c>
    </row>
    <row r="736" ht="15.75" customHeight="1">
      <c r="A736" s="28" t="s">
        <v>131</v>
      </c>
      <c r="B736" s="28" t="s">
        <v>1000</v>
      </c>
      <c r="D736" s="28" t="s">
        <v>378</v>
      </c>
      <c r="E736" s="28" t="s">
        <v>1586</v>
      </c>
      <c r="F736" s="28" t="s">
        <v>1375</v>
      </c>
      <c r="G736" s="28" t="s">
        <v>370</v>
      </c>
      <c r="H736" s="28">
        <v>1.0</v>
      </c>
      <c r="I736" s="28">
        <v>0.5486381322957199</v>
      </c>
      <c r="J736" s="28">
        <v>13.0</v>
      </c>
      <c r="K736" s="28" t="s">
        <v>57</v>
      </c>
      <c r="L736" s="28" t="s">
        <v>57</v>
      </c>
    </row>
    <row r="737" ht="15.75" customHeight="1">
      <c r="A737" s="28" t="s">
        <v>131</v>
      </c>
      <c r="B737" s="28" t="s">
        <v>1000</v>
      </c>
      <c r="D737" s="28" t="s">
        <v>378</v>
      </c>
      <c r="E737" s="28" t="s">
        <v>1587</v>
      </c>
      <c r="F737" s="28" t="s">
        <v>687</v>
      </c>
      <c r="G737" s="28" t="s">
        <v>295</v>
      </c>
      <c r="H737" s="28">
        <v>1.0</v>
      </c>
      <c r="I737" s="28">
        <v>0.5555555555555556</v>
      </c>
      <c r="J737" s="28">
        <v>11.0</v>
      </c>
      <c r="K737" s="28" t="s">
        <v>57</v>
      </c>
      <c r="L737" s="28" t="s">
        <v>57</v>
      </c>
    </row>
    <row r="738" ht="15.75" customHeight="1">
      <c r="A738" s="28" t="s">
        <v>131</v>
      </c>
      <c r="B738" s="28" t="s">
        <v>1000</v>
      </c>
      <c r="D738" s="28" t="s">
        <v>378</v>
      </c>
      <c r="E738" s="28" t="s">
        <v>1588</v>
      </c>
      <c r="F738" s="28" t="s">
        <v>687</v>
      </c>
      <c r="G738" s="28" t="s">
        <v>364</v>
      </c>
      <c r="H738" s="28">
        <v>1.0</v>
      </c>
      <c r="I738" s="28">
        <v>0.5555555555555556</v>
      </c>
      <c r="J738" s="28">
        <v>12.0</v>
      </c>
      <c r="K738" s="28" t="s">
        <v>57</v>
      </c>
      <c r="L738" s="28" t="s">
        <v>57</v>
      </c>
    </row>
    <row r="739" ht="15.75" customHeight="1">
      <c r="A739" s="28" t="s">
        <v>131</v>
      </c>
      <c r="B739" s="28" t="s">
        <v>1000</v>
      </c>
      <c r="D739" s="28" t="s">
        <v>378</v>
      </c>
      <c r="E739" s="28" t="s">
        <v>1589</v>
      </c>
      <c r="F739" s="28" t="s">
        <v>698</v>
      </c>
      <c r="G739" s="28" t="s">
        <v>287</v>
      </c>
      <c r="H739" s="28">
        <v>1.0</v>
      </c>
      <c r="I739" s="28">
        <v>0.6731234866828087</v>
      </c>
      <c r="J739" s="28">
        <v>9.0</v>
      </c>
      <c r="K739" s="28" t="s">
        <v>57</v>
      </c>
      <c r="L739" s="28" t="s">
        <v>57</v>
      </c>
    </row>
    <row r="740" ht="15.75" customHeight="1">
      <c r="A740" s="28" t="s">
        <v>131</v>
      </c>
      <c r="B740" s="28" t="s">
        <v>1000</v>
      </c>
      <c r="D740" s="28" t="s">
        <v>378</v>
      </c>
      <c r="E740" s="28" t="s">
        <v>1590</v>
      </c>
      <c r="F740" s="28" t="s">
        <v>701</v>
      </c>
      <c r="G740" s="28" t="s">
        <v>303</v>
      </c>
      <c r="H740" s="28">
        <v>1.0</v>
      </c>
      <c r="I740" s="28">
        <v>0.7852161785216178</v>
      </c>
      <c r="J740" s="28">
        <v>7.0</v>
      </c>
      <c r="K740" s="28" t="s">
        <v>57</v>
      </c>
      <c r="L740" s="28" t="s">
        <v>57</v>
      </c>
    </row>
    <row r="741" ht="15.75" customHeight="1">
      <c r="A741" s="28" t="s">
        <v>131</v>
      </c>
      <c r="B741" s="28" t="s">
        <v>1000</v>
      </c>
      <c r="D741" s="28" t="s">
        <v>378</v>
      </c>
      <c r="E741" s="28" t="s">
        <v>1591</v>
      </c>
      <c r="F741" s="28" t="s">
        <v>705</v>
      </c>
      <c r="G741" s="28" t="s">
        <v>241</v>
      </c>
      <c r="H741" s="28">
        <v>1.0</v>
      </c>
      <c r="I741" s="28">
        <v>0.8706548100242523</v>
      </c>
      <c r="J741" s="28">
        <v>5.0</v>
      </c>
      <c r="K741" s="28" t="s">
        <v>57</v>
      </c>
      <c r="L741" s="28" t="s">
        <v>57</v>
      </c>
    </row>
    <row r="742" ht="15.75" customHeight="1">
      <c r="A742" s="28" t="s">
        <v>131</v>
      </c>
      <c r="B742" s="28" t="s">
        <v>1000</v>
      </c>
      <c r="D742" s="28" t="s">
        <v>385</v>
      </c>
      <c r="E742" s="28" t="s">
        <v>1592</v>
      </c>
      <c r="F742" s="28" t="s">
        <v>276</v>
      </c>
      <c r="G742" s="28" t="s">
        <v>310</v>
      </c>
      <c r="H742" s="28">
        <v>1.0</v>
      </c>
      <c r="I742" s="28">
        <v>0.07874015748031496</v>
      </c>
      <c r="J742" s="28">
        <v>9.0</v>
      </c>
      <c r="K742" s="28" t="s">
        <v>57</v>
      </c>
      <c r="L742" s="28" t="s">
        <v>57</v>
      </c>
    </row>
    <row r="743" ht="15.75" customHeight="1">
      <c r="A743" s="28" t="s">
        <v>131</v>
      </c>
      <c r="B743" s="28" t="s">
        <v>1000</v>
      </c>
      <c r="D743" s="28" t="s">
        <v>385</v>
      </c>
      <c r="E743" s="28" t="s">
        <v>1593</v>
      </c>
      <c r="F743" s="28" t="s">
        <v>276</v>
      </c>
      <c r="G743" s="28" t="s">
        <v>278</v>
      </c>
      <c r="H743" s="28">
        <v>1.0</v>
      </c>
      <c r="I743" s="28">
        <v>0.08661417322834646</v>
      </c>
      <c r="J743" s="28">
        <v>5.0</v>
      </c>
      <c r="K743" s="28" t="s">
        <v>57</v>
      </c>
      <c r="L743" s="28" t="s">
        <v>57</v>
      </c>
    </row>
    <row r="744" ht="15.75" customHeight="1">
      <c r="A744" s="28" t="s">
        <v>131</v>
      </c>
      <c r="B744" s="28" t="s">
        <v>1000</v>
      </c>
      <c r="D744" s="28" t="s">
        <v>385</v>
      </c>
      <c r="E744" s="28" t="s">
        <v>1594</v>
      </c>
      <c r="F744" s="28" t="s">
        <v>260</v>
      </c>
      <c r="G744" s="28" t="s">
        <v>392</v>
      </c>
      <c r="H744" s="28">
        <v>1.0</v>
      </c>
      <c r="I744" s="28">
        <v>0.2911392405063291</v>
      </c>
      <c r="J744" s="28">
        <v>13.0</v>
      </c>
      <c r="K744" s="28" t="s">
        <v>57</v>
      </c>
      <c r="L744" s="28" t="s">
        <v>57</v>
      </c>
    </row>
    <row r="745" ht="15.75" customHeight="1">
      <c r="A745" s="28" t="s">
        <v>131</v>
      </c>
      <c r="B745" s="28" t="s">
        <v>1000</v>
      </c>
      <c r="D745" s="28" t="s">
        <v>385</v>
      </c>
      <c r="E745" s="28" t="s">
        <v>1595</v>
      </c>
      <c r="F745" s="28" t="s">
        <v>687</v>
      </c>
      <c r="G745" s="28" t="s">
        <v>295</v>
      </c>
      <c r="H745" s="28">
        <v>1.0</v>
      </c>
      <c r="I745" s="28">
        <v>0.39896373056994816</v>
      </c>
      <c r="J745" s="28">
        <v>10.0</v>
      </c>
      <c r="K745" s="28" t="s">
        <v>57</v>
      </c>
      <c r="L745" s="28" t="s">
        <v>57</v>
      </c>
    </row>
    <row r="746" ht="15.75" customHeight="1">
      <c r="A746" s="28" t="s">
        <v>131</v>
      </c>
      <c r="B746" s="28" t="s">
        <v>1000</v>
      </c>
      <c r="D746" s="28" t="s">
        <v>385</v>
      </c>
      <c r="E746" s="28" t="s">
        <v>1596</v>
      </c>
      <c r="F746" s="28" t="s">
        <v>687</v>
      </c>
      <c r="G746" s="28" t="s">
        <v>364</v>
      </c>
      <c r="H746" s="28">
        <v>1.0</v>
      </c>
      <c r="I746" s="28">
        <v>0.4020618556701031</v>
      </c>
      <c r="J746" s="28">
        <v>11.0</v>
      </c>
      <c r="K746" s="28" t="s">
        <v>57</v>
      </c>
      <c r="L746" s="28" t="s">
        <v>57</v>
      </c>
    </row>
    <row r="747" ht="15.75" customHeight="1">
      <c r="A747" s="28" t="s">
        <v>131</v>
      </c>
      <c r="B747" s="28" t="s">
        <v>1000</v>
      </c>
      <c r="D747" s="28" t="s">
        <v>385</v>
      </c>
      <c r="E747" s="28" t="s">
        <v>1597</v>
      </c>
      <c r="F747" s="28" t="s">
        <v>1375</v>
      </c>
      <c r="G747" s="28" t="s">
        <v>370</v>
      </c>
      <c r="H747" s="28">
        <v>1.0</v>
      </c>
      <c r="I747" s="28">
        <v>0.5408560311284046</v>
      </c>
      <c r="J747" s="28">
        <v>12.0</v>
      </c>
      <c r="K747" s="28" t="s">
        <v>57</v>
      </c>
      <c r="L747" s="28" t="s">
        <v>57</v>
      </c>
    </row>
    <row r="748" ht="15.75" customHeight="1">
      <c r="A748" s="28" t="s">
        <v>131</v>
      </c>
      <c r="B748" s="28" t="s">
        <v>1000</v>
      </c>
      <c r="D748" s="28" t="s">
        <v>385</v>
      </c>
      <c r="E748" s="28" t="s">
        <v>1598</v>
      </c>
      <c r="F748" s="28" t="s">
        <v>396</v>
      </c>
      <c r="G748" s="28" t="s">
        <v>398</v>
      </c>
      <c r="H748" s="28">
        <v>1.0</v>
      </c>
      <c r="I748" s="28">
        <v>0.5567765567765568</v>
      </c>
      <c r="J748" s="28">
        <v>14.0</v>
      </c>
      <c r="K748" s="28" t="s">
        <v>57</v>
      </c>
      <c r="L748" s="28" t="s">
        <v>696</v>
      </c>
    </row>
    <row r="749" ht="15.75" customHeight="1">
      <c r="A749" s="28" t="s">
        <v>131</v>
      </c>
      <c r="B749" s="28" t="s">
        <v>1000</v>
      </c>
      <c r="D749" s="28" t="s">
        <v>385</v>
      </c>
      <c r="E749" s="28" t="s">
        <v>1599</v>
      </c>
      <c r="F749" s="28" t="s">
        <v>698</v>
      </c>
      <c r="G749" s="28" t="s">
        <v>287</v>
      </c>
      <c r="H749" s="28">
        <v>1.0</v>
      </c>
      <c r="I749" s="28">
        <v>0.711864406779661</v>
      </c>
      <c r="J749" s="28">
        <v>8.0</v>
      </c>
      <c r="K749" s="28" t="s">
        <v>57</v>
      </c>
      <c r="L749" s="28" t="s">
        <v>57</v>
      </c>
    </row>
    <row r="750" ht="15.75" customHeight="1">
      <c r="A750" s="28" t="s">
        <v>131</v>
      </c>
      <c r="B750" s="28" t="s">
        <v>1000</v>
      </c>
      <c r="D750" s="28" t="s">
        <v>385</v>
      </c>
      <c r="E750" s="28" t="s">
        <v>1600</v>
      </c>
      <c r="F750" s="28" t="s">
        <v>701</v>
      </c>
      <c r="G750" s="28" t="s">
        <v>303</v>
      </c>
      <c r="H750" s="28">
        <v>1.0</v>
      </c>
      <c r="I750" s="28">
        <v>0.8270571827057183</v>
      </c>
      <c r="J750" s="28">
        <v>6.0</v>
      </c>
      <c r="K750" s="28" t="s">
        <v>57</v>
      </c>
      <c r="L750" s="28" t="s">
        <v>57</v>
      </c>
    </row>
    <row r="751" ht="15.75" customHeight="1">
      <c r="A751" s="28" t="s">
        <v>131</v>
      </c>
      <c r="B751" s="28" t="s">
        <v>1000</v>
      </c>
      <c r="D751" s="28" t="s">
        <v>385</v>
      </c>
      <c r="E751" s="28" t="s">
        <v>1601</v>
      </c>
      <c r="F751" s="28" t="s">
        <v>705</v>
      </c>
      <c r="G751" s="28" t="s">
        <v>241</v>
      </c>
      <c r="H751" s="28">
        <v>1.0</v>
      </c>
      <c r="I751" s="28">
        <v>0.9029911075181891</v>
      </c>
      <c r="J751" s="28">
        <v>4.0</v>
      </c>
      <c r="K751" s="28" t="s">
        <v>57</v>
      </c>
      <c r="L751" s="28" t="s">
        <v>57</v>
      </c>
    </row>
    <row r="752" ht="15.75" customHeight="1">
      <c r="A752" s="28" t="s">
        <v>131</v>
      </c>
      <c r="B752" s="28" t="s">
        <v>1000</v>
      </c>
      <c r="D752" s="28" t="s">
        <v>991</v>
      </c>
      <c r="E752" s="28" t="s">
        <v>992</v>
      </c>
      <c r="F752" s="28" t="s">
        <v>993</v>
      </c>
      <c r="G752" s="28" t="s">
        <v>994</v>
      </c>
      <c r="H752" s="28">
        <v>1.0</v>
      </c>
      <c r="I752" s="28">
        <v>0.1141732283464567</v>
      </c>
      <c r="J752" s="28">
        <v>0.0</v>
      </c>
      <c r="K752" s="28" t="s">
        <v>57</v>
      </c>
      <c r="L752" s="28" t="s">
        <v>57</v>
      </c>
    </row>
    <row r="753" ht="15.75" customHeight="1">
      <c r="A753" s="28" t="s">
        <v>131</v>
      </c>
      <c r="B753" s="28" t="s">
        <v>1000</v>
      </c>
      <c r="D753" s="28" t="s">
        <v>241</v>
      </c>
      <c r="E753" s="28" t="s">
        <v>1602</v>
      </c>
      <c r="F753" s="28" t="s">
        <v>874</v>
      </c>
      <c r="G753" s="28" t="s">
        <v>303</v>
      </c>
      <c r="H753" s="28">
        <v>1.0</v>
      </c>
      <c r="I753" s="28">
        <v>0.4664510913500404</v>
      </c>
      <c r="J753" s="28">
        <v>1.0</v>
      </c>
      <c r="K753" s="28" t="s">
        <v>57</v>
      </c>
      <c r="L753" s="28" t="s">
        <v>57</v>
      </c>
    </row>
    <row r="754" ht="15.75" customHeight="1">
      <c r="A754" s="28" t="s">
        <v>131</v>
      </c>
      <c r="B754" s="28" t="s">
        <v>1000</v>
      </c>
      <c r="D754" s="28" t="s">
        <v>241</v>
      </c>
      <c r="E754" s="28" t="s">
        <v>1603</v>
      </c>
      <c r="F754" s="28" t="s">
        <v>876</v>
      </c>
      <c r="G754" s="28" t="s">
        <v>287</v>
      </c>
      <c r="H754" s="28">
        <v>1.0</v>
      </c>
      <c r="I754" s="28">
        <v>0.67178658043654</v>
      </c>
      <c r="J754" s="28">
        <v>3.0</v>
      </c>
      <c r="K754" s="28" t="s">
        <v>57</v>
      </c>
      <c r="L754" s="28" t="s">
        <v>57</v>
      </c>
    </row>
    <row r="755" ht="15.75" customHeight="1">
      <c r="A755" s="28" t="s">
        <v>131</v>
      </c>
      <c r="B755" s="28" t="s">
        <v>1000</v>
      </c>
      <c r="D755" s="28" t="s">
        <v>241</v>
      </c>
      <c r="E755" s="28" t="s">
        <v>1604</v>
      </c>
      <c r="F755" s="28" t="s">
        <v>1605</v>
      </c>
      <c r="G755" s="28" t="s">
        <v>370</v>
      </c>
      <c r="H755" s="28">
        <v>1.0</v>
      </c>
      <c r="I755" s="28">
        <v>0.8051738075990299</v>
      </c>
      <c r="J755" s="28">
        <v>7.0</v>
      </c>
      <c r="K755" s="28" t="s">
        <v>57</v>
      </c>
      <c r="L755" s="28" t="s">
        <v>57</v>
      </c>
    </row>
    <row r="756" ht="15.75" customHeight="1">
      <c r="A756" s="28" t="s">
        <v>131</v>
      </c>
      <c r="B756" s="28" t="s">
        <v>1000</v>
      </c>
      <c r="D756" s="28" t="s">
        <v>241</v>
      </c>
      <c r="E756" s="28" t="s">
        <v>1606</v>
      </c>
      <c r="F756" s="28" t="s">
        <v>1607</v>
      </c>
      <c r="G756" s="28" t="s">
        <v>398</v>
      </c>
      <c r="H756" s="28">
        <v>1.0</v>
      </c>
      <c r="I756" s="28">
        <v>0.8229587712206953</v>
      </c>
      <c r="J756" s="28">
        <v>9.0</v>
      </c>
      <c r="K756" s="28" t="s">
        <v>57</v>
      </c>
      <c r="L756" s="28" t="s">
        <v>696</v>
      </c>
    </row>
    <row r="757" ht="15.75" customHeight="1">
      <c r="A757" s="28" t="s">
        <v>131</v>
      </c>
      <c r="B757" s="28" t="s">
        <v>1000</v>
      </c>
      <c r="D757" s="28" t="s">
        <v>241</v>
      </c>
      <c r="E757" s="28" t="s">
        <v>1608</v>
      </c>
      <c r="F757" s="28" t="s">
        <v>878</v>
      </c>
      <c r="G757" s="28" t="s">
        <v>295</v>
      </c>
      <c r="H757" s="28">
        <v>1.0</v>
      </c>
      <c r="I757" s="28">
        <v>0.8455941794664511</v>
      </c>
      <c r="J757" s="28">
        <v>5.0</v>
      </c>
      <c r="K757" s="28" t="s">
        <v>57</v>
      </c>
      <c r="L757" s="28" t="s">
        <v>57</v>
      </c>
    </row>
    <row r="758" ht="15.75" customHeight="1">
      <c r="A758" s="28" t="s">
        <v>131</v>
      </c>
      <c r="B758" s="28" t="s">
        <v>1000</v>
      </c>
      <c r="D758" s="28" t="s">
        <v>241</v>
      </c>
      <c r="E758" s="28" t="s">
        <v>1609</v>
      </c>
      <c r="F758" s="28" t="s">
        <v>878</v>
      </c>
      <c r="G758" s="28" t="s">
        <v>364</v>
      </c>
      <c r="H758" s="28">
        <v>1.0</v>
      </c>
      <c r="I758" s="28">
        <v>0.8455941794664511</v>
      </c>
      <c r="J758" s="28">
        <v>6.0</v>
      </c>
      <c r="K758" s="28" t="s">
        <v>57</v>
      </c>
      <c r="L758" s="28" t="s">
        <v>57</v>
      </c>
    </row>
    <row r="759" ht="15.75" customHeight="1">
      <c r="A759" s="28" t="s">
        <v>131</v>
      </c>
      <c r="B759" s="28" t="s">
        <v>1000</v>
      </c>
      <c r="D759" s="28" t="s">
        <v>241</v>
      </c>
      <c r="E759" s="28" t="s">
        <v>1610</v>
      </c>
      <c r="F759" s="28" t="s">
        <v>1611</v>
      </c>
      <c r="G759" s="28" t="s">
        <v>392</v>
      </c>
      <c r="H759" s="28">
        <v>1.0</v>
      </c>
      <c r="I759" s="28">
        <v>0.8746968472109944</v>
      </c>
      <c r="J759" s="28">
        <v>8.0</v>
      </c>
      <c r="K759" s="28" t="s">
        <v>57</v>
      </c>
      <c r="L759" s="28" t="s">
        <v>57</v>
      </c>
    </row>
    <row r="760" ht="15.75" customHeight="1">
      <c r="A760" s="28" t="s">
        <v>131</v>
      </c>
      <c r="B760" s="28" t="s">
        <v>1000</v>
      </c>
      <c r="D760" s="28" t="s">
        <v>241</v>
      </c>
      <c r="E760" s="28" t="s">
        <v>1612</v>
      </c>
      <c r="F760" s="28" t="s">
        <v>882</v>
      </c>
      <c r="G760" s="28" t="s">
        <v>310</v>
      </c>
      <c r="H760" s="28">
        <v>1.0</v>
      </c>
      <c r="I760" s="28">
        <v>0.904607922392886</v>
      </c>
      <c r="J760" s="28">
        <v>4.0</v>
      </c>
      <c r="K760" s="28" t="s">
        <v>57</v>
      </c>
      <c r="L760" s="28" t="s">
        <v>57</v>
      </c>
    </row>
    <row r="761" ht="15.75" customHeight="1">
      <c r="A761" s="28" t="s">
        <v>131</v>
      </c>
      <c r="B761" s="28" t="s">
        <v>1000</v>
      </c>
      <c r="D761" s="28" t="s">
        <v>241</v>
      </c>
      <c r="E761" s="28" t="s">
        <v>1613</v>
      </c>
      <c r="F761" s="28" t="s">
        <v>882</v>
      </c>
      <c r="G761" s="28" t="s">
        <v>278</v>
      </c>
      <c r="H761" s="28">
        <v>1.0</v>
      </c>
      <c r="I761" s="28">
        <v>0.904607922392886</v>
      </c>
      <c r="J761" s="28">
        <v>0.0</v>
      </c>
      <c r="K761" s="28" t="s">
        <v>57</v>
      </c>
      <c r="L761" s="28" t="s">
        <v>57</v>
      </c>
    </row>
    <row r="762" ht="15.75" customHeight="1">
      <c r="A762" s="28" t="s">
        <v>131</v>
      </c>
      <c r="B762" s="28" t="s">
        <v>1000</v>
      </c>
      <c r="D762" s="28" t="s">
        <v>278</v>
      </c>
      <c r="E762" s="28" t="s">
        <v>1614</v>
      </c>
      <c r="F762" s="28" t="s">
        <v>276</v>
      </c>
      <c r="G762" s="28" t="s">
        <v>310</v>
      </c>
      <c r="H762" s="28">
        <v>1.0</v>
      </c>
      <c r="I762" s="28">
        <v>0.01652892561983471</v>
      </c>
      <c r="J762" s="28">
        <v>3.0</v>
      </c>
      <c r="K762" s="28" t="s">
        <v>57</v>
      </c>
      <c r="L762" s="28" t="s">
        <v>57</v>
      </c>
    </row>
    <row r="763" ht="15.75" customHeight="1">
      <c r="A763" s="28" t="s">
        <v>131</v>
      </c>
      <c r="B763" s="28" t="s">
        <v>1000</v>
      </c>
      <c r="D763" s="28" t="s">
        <v>278</v>
      </c>
      <c r="E763" s="28" t="s">
        <v>1615</v>
      </c>
      <c r="F763" s="28" t="s">
        <v>260</v>
      </c>
      <c r="G763" s="28" t="s">
        <v>392</v>
      </c>
      <c r="H763" s="28">
        <v>1.0</v>
      </c>
      <c r="I763" s="28">
        <v>0.25316455696202533</v>
      </c>
      <c r="J763" s="28">
        <v>7.0</v>
      </c>
      <c r="K763" s="28" t="s">
        <v>57</v>
      </c>
      <c r="L763" s="28" t="s">
        <v>57</v>
      </c>
    </row>
    <row r="764" ht="15.75" customHeight="1">
      <c r="A764" s="28" t="s">
        <v>131</v>
      </c>
      <c r="B764" s="28" t="s">
        <v>1000</v>
      </c>
      <c r="D764" s="28" t="s">
        <v>278</v>
      </c>
      <c r="E764" s="28" t="s">
        <v>1616</v>
      </c>
      <c r="F764" s="28" t="s">
        <v>687</v>
      </c>
      <c r="G764" s="28" t="s">
        <v>295</v>
      </c>
      <c r="H764" s="28">
        <v>1.0</v>
      </c>
      <c r="I764" s="28">
        <v>0.38341968911917096</v>
      </c>
      <c r="J764" s="28">
        <v>4.0</v>
      </c>
      <c r="K764" s="28" t="s">
        <v>57</v>
      </c>
      <c r="L764" s="28" t="s">
        <v>57</v>
      </c>
    </row>
    <row r="765" ht="15.75" customHeight="1">
      <c r="A765" s="28" t="s">
        <v>131</v>
      </c>
      <c r="B765" s="28" t="s">
        <v>1000</v>
      </c>
      <c r="D765" s="28" t="s">
        <v>278</v>
      </c>
      <c r="E765" s="28" t="s">
        <v>1617</v>
      </c>
      <c r="F765" s="28" t="s">
        <v>687</v>
      </c>
      <c r="G765" s="28" t="s">
        <v>364</v>
      </c>
      <c r="H765" s="28">
        <v>1.0</v>
      </c>
      <c r="I765" s="28">
        <v>0.3917525773195876</v>
      </c>
      <c r="J765" s="28">
        <v>5.0</v>
      </c>
      <c r="K765" s="28" t="s">
        <v>57</v>
      </c>
      <c r="L765" s="28" t="s">
        <v>57</v>
      </c>
    </row>
    <row r="766" ht="15.75" customHeight="1">
      <c r="A766" s="28" t="s">
        <v>131</v>
      </c>
      <c r="B766" s="28" t="s">
        <v>1000</v>
      </c>
      <c r="D766" s="28" t="s">
        <v>278</v>
      </c>
      <c r="E766" s="28" t="s">
        <v>1618</v>
      </c>
      <c r="F766" s="28" t="s">
        <v>1375</v>
      </c>
      <c r="G766" s="28" t="s">
        <v>370</v>
      </c>
      <c r="H766" s="28">
        <v>1.0</v>
      </c>
      <c r="I766" s="28">
        <v>0.5369649805447471</v>
      </c>
      <c r="J766" s="28">
        <v>6.0</v>
      </c>
      <c r="K766" s="28" t="s">
        <v>57</v>
      </c>
      <c r="L766" s="28" t="s">
        <v>57</v>
      </c>
    </row>
    <row r="767" ht="15.75" customHeight="1">
      <c r="A767" s="28" t="s">
        <v>131</v>
      </c>
      <c r="B767" s="28" t="s">
        <v>1000</v>
      </c>
      <c r="D767" s="28" t="s">
        <v>278</v>
      </c>
      <c r="E767" s="28" t="s">
        <v>1619</v>
      </c>
      <c r="F767" s="28" t="s">
        <v>396</v>
      </c>
      <c r="G767" s="28" t="s">
        <v>398</v>
      </c>
      <c r="H767" s="28">
        <v>1.0</v>
      </c>
      <c r="I767" s="28">
        <v>0.5860805860805861</v>
      </c>
      <c r="J767" s="28">
        <v>8.0</v>
      </c>
      <c r="K767" s="28" t="s">
        <v>57</v>
      </c>
      <c r="L767" s="28" t="s">
        <v>696</v>
      </c>
    </row>
    <row r="768" ht="15.75" customHeight="1">
      <c r="A768" s="28" t="s">
        <v>131</v>
      </c>
      <c r="B768" s="28" t="s">
        <v>1000</v>
      </c>
      <c r="D768" s="28" t="s">
        <v>278</v>
      </c>
      <c r="E768" s="28" t="s">
        <v>1620</v>
      </c>
      <c r="F768" s="28" t="s">
        <v>698</v>
      </c>
      <c r="G768" s="28" t="s">
        <v>287</v>
      </c>
      <c r="H768" s="28">
        <v>1.0</v>
      </c>
      <c r="I768" s="28">
        <v>0.711864406779661</v>
      </c>
      <c r="J768" s="28">
        <v>2.0</v>
      </c>
      <c r="K768" s="28" t="s">
        <v>57</v>
      </c>
      <c r="L768" s="28" t="s">
        <v>57</v>
      </c>
    </row>
    <row r="769" ht="15.75" customHeight="1">
      <c r="A769" s="28" t="s">
        <v>131</v>
      </c>
      <c r="B769" s="28" t="s">
        <v>1000</v>
      </c>
      <c r="D769" s="28" t="s">
        <v>278</v>
      </c>
      <c r="E769" s="28" t="s">
        <v>1621</v>
      </c>
      <c r="F769" s="28" t="s">
        <v>701</v>
      </c>
      <c r="G769" s="28" t="s">
        <v>303</v>
      </c>
      <c r="H769" s="28">
        <v>1.0</v>
      </c>
      <c r="I769" s="28">
        <v>0.8354253835425384</v>
      </c>
      <c r="J769" s="28">
        <v>0.0</v>
      </c>
      <c r="K769" s="28" t="s">
        <v>57</v>
      </c>
      <c r="L769" s="28" t="s">
        <v>57</v>
      </c>
    </row>
    <row r="770" ht="15.75" customHeight="1">
      <c r="A770" s="28" t="s">
        <v>131</v>
      </c>
      <c r="B770" s="28" t="s">
        <v>1000</v>
      </c>
      <c r="D770" s="28" t="s">
        <v>303</v>
      </c>
      <c r="E770" s="28" t="s">
        <v>1622</v>
      </c>
      <c r="F770" s="28" t="s">
        <v>890</v>
      </c>
      <c r="G770" s="28" t="s">
        <v>287</v>
      </c>
      <c r="H770" s="28">
        <v>1.0</v>
      </c>
      <c r="I770" s="28">
        <v>0.4393305439330544</v>
      </c>
      <c r="J770" s="28">
        <v>1.0</v>
      </c>
      <c r="K770" s="28" t="s">
        <v>57</v>
      </c>
      <c r="L770" s="28" t="s">
        <v>57</v>
      </c>
    </row>
    <row r="771" ht="15.75" customHeight="1">
      <c r="A771" s="28" t="s">
        <v>131</v>
      </c>
      <c r="B771" s="28" t="s">
        <v>1000</v>
      </c>
      <c r="D771" s="28" t="s">
        <v>303</v>
      </c>
      <c r="E771" s="28" t="s">
        <v>1623</v>
      </c>
      <c r="F771" s="28" t="s">
        <v>1624</v>
      </c>
      <c r="G771" s="28" t="s">
        <v>370</v>
      </c>
      <c r="H771" s="28">
        <v>1.0</v>
      </c>
      <c r="I771" s="28">
        <v>0.6694560669456067</v>
      </c>
      <c r="J771" s="28">
        <v>5.0</v>
      </c>
      <c r="K771" s="28" t="s">
        <v>57</v>
      </c>
      <c r="L771" s="28" t="s">
        <v>57</v>
      </c>
    </row>
    <row r="772" ht="15.75" customHeight="1">
      <c r="A772" s="28" t="s">
        <v>131</v>
      </c>
      <c r="B772" s="28" t="s">
        <v>1000</v>
      </c>
      <c r="D772" s="28" t="s">
        <v>303</v>
      </c>
      <c r="E772" s="28" t="s">
        <v>1625</v>
      </c>
      <c r="F772" s="28" t="s">
        <v>1626</v>
      </c>
      <c r="G772" s="28" t="s">
        <v>398</v>
      </c>
      <c r="H772" s="28">
        <v>1.0</v>
      </c>
      <c r="I772" s="28">
        <v>0.694560669456067</v>
      </c>
      <c r="J772" s="28">
        <v>7.0</v>
      </c>
      <c r="K772" s="28" t="s">
        <v>57</v>
      </c>
      <c r="L772" s="28" t="s">
        <v>696</v>
      </c>
    </row>
    <row r="773" ht="15.75" customHeight="1">
      <c r="A773" s="28" t="s">
        <v>131</v>
      </c>
      <c r="B773" s="28" t="s">
        <v>1000</v>
      </c>
      <c r="D773" s="28" t="s">
        <v>303</v>
      </c>
      <c r="E773" s="28" t="s">
        <v>1627</v>
      </c>
      <c r="F773" s="28" t="s">
        <v>892</v>
      </c>
      <c r="G773" s="28" t="s">
        <v>295</v>
      </c>
      <c r="H773" s="28">
        <v>1.0</v>
      </c>
      <c r="I773" s="28">
        <v>0.7391910739191074</v>
      </c>
      <c r="J773" s="28">
        <v>3.0</v>
      </c>
      <c r="K773" s="28" t="s">
        <v>57</v>
      </c>
      <c r="L773" s="28" t="s">
        <v>57</v>
      </c>
    </row>
    <row r="774" ht="15.75" customHeight="1">
      <c r="A774" s="28" t="s">
        <v>131</v>
      </c>
      <c r="B774" s="28" t="s">
        <v>1000</v>
      </c>
      <c r="D774" s="28" t="s">
        <v>303</v>
      </c>
      <c r="E774" s="28" t="s">
        <v>1628</v>
      </c>
      <c r="F774" s="28" t="s">
        <v>892</v>
      </c>
      <c r="G774" s="28" t="s">
        <v>364</v>
      </c>
      <c r="H774" s="28">
        <v>1.0</v>
      </c>
      <c r="I774" s="28">
        <v>0.7391910739191074</v>
      </c>
      <c r="J774" s="28">
        <v>4.0</v>
      </c>
      <c r="K774" s="28" t="s">
        <v>57</v>
      </c>
      <c r="L774" s="28" t="s">
        <v>57</v>
      </c>
    </row>
    <row r="775" ht="15.75" customHeight="1">
      <c r="A775" s="28" t="s">
        <v>131</v>
      </c>
      <c r="B775" s="28" t="s">
        <v>1000</v>
      </c>
      <c r="D775" s="28" t="s">
        <v>303</v>
      </c>
      <c r="E775" s="28" t="s">
        <v>1629</v>
      </c>
      <c r="F775" s="28" t="s">
        <v>1630</v>
      </c>
      <c r="G775" s="28" t="s">
        <v>392</v>
      </c>
      <c r="H775" s="28">
        <v>1.0</v>
      </c>
      <c r="I775" s="28">
        <v>0.7866108786610879</v>
      </c>
      <c r="J775" s="28">
        <v>6.0</v>
      </c>
      <c r="K775" s="28" t="s">
        <v>57</v>
      </c>
      <c r="L775" s="28" t="s">
        <v>57</v>
      </c>
    </row>
    <row r="776" ht="15.75" customHeight="1">
      <c r="A776" s="28" t="s">
        <v>131</v>
      </c>
      <c r="B776" s="28" t="s">
        <v>1000</v>
      </c>
      <c r="D776" s="28" t="s">
        <v>303</v>
      </c>
      <c r="E776" s="28" t="s">
        <v>1631</v>
      </c>
      <c r="F776" s="28" t="s">
        <v>896</v>
      </c>
      <c r="G776" s="28" t="s">
        <v>310</v>
      </c>
      <c r="H776" s="28">
        <v>1.0</v>
      </c>
      <c r="I776" s="28">
        <v>0.8368200836820083</v>
      </c>
      <c r="J776" s="28">
        <v>2.0</v>
      </c>
      <c r="K776" s="28" t="s">
        <v>57</v>
      </c>
      <c r="L776" s="28" t="s">
        <v>57</v>
      </c>
    </row>
    <row r="777" ht="15.75" customHeight="1">
      <c r="A777" s="28" t="s">
        <v>131</v>
      </c>
      <c r="B777" s="28" t="s">
        <v>1000</v>
      </c>
      <c r="D777" s="28" t="s">
        <v>287</v>
      </c>
      <c r="E777" s="28" t="s">
        <v>1632</v>
      </c>
      <c r="F777" s="28" t="s">
        <v>1633</v>
      </c>
      <c r="G777" s="28" t="s">
        <v>370</v>
      </c>
      <c r="H777" s="28">
        <v>1.0</v>
      </c>
      <c r="I777" s="28">
        <v>0.42857142857142855</v>
      </c>
      <c r="J777" s="28">
        <v>3.0</v>
      </c>
      <c r="K777" s="28" t="s">
        <v>57</v>
      </c>
      <c r="L777" s="28" t="s">
        <v>57</v>
      </c>
    </row>
    <row r="778" ht="15.75" customHeight="1">
      <c r="A778" s="28" t="s">
        <v>131</v>
      </c>
      <c r="B778" s="28" t="s">
        <v>1000</v>
      </c>
      <c r="D778" s="28" t="s">
        <v>287</v>
      </c>
      <c r="E778" s="28" t="s">
        <v>1634</v>
      </c>
      <c r="F778" s="28" t="s">
        <v>898</v>
      </c>
      <c r="G778" s="28" t="s">
        <v>295</v>
      </c>
      <c r="H778" s="28">
        <v>1.0</v>
      </c>
      <c r="I778" s="28">
        <v>0.5375302663438256</v>
      </c>
      <c r="J778" s="28">
        <v>1.0</v>
      </c>
      <c r="K778" s="28" t="s">
        <v>57</v>
      </c>
      <c r="L778" s="28" t="s">
        <v>57</v>
      </c>
    </row>
    <row r="779" ht="15.75" customHeight="1">
      <c r="A779" s="28" t="s">
        <v>131</v>
      </c>
      <c r="B779" s="28" t="s">
        <v>1000</v>
      </c>
      <c r="D779" s="28" t="s">
        <v>287</v>
      </c>
      <c r="E779" s="28" t="s">
        <v>1635</v>
      </c>
      <c r="F779" s="28" t="s">
        <v>898</v>
      </c>
      <c r="G779" s="28" t="s">
        <v>364</v>
      </c>
      <c r="H779" s="28">
        <v>1.0</v>
      </c>
      <c r="I779" s="28">
        <v>0.5399515738498789</v>
      </c>
      <c r="J779" s="28">
        <v>2.0</v>
      </c>
      <c r="K779" s="28" t="s">
        <v>57</v>
      </c>
      <c r="L779" s="28" t="s">
        <v>57</v>
      </c>
    </row>
    <row r="780" ht="15.75" customHeight="1">
      <c r="A780" s="28" t="s">
        <v>131</v>
      </c>
      <c r="B780" s="28" t="s">
        <v>1000</v>
      </c>
      <c r="D780" s="28" t="s">
        <v>287</v>
      </c>
      <c r="E780" s="28" t="s">
        <v>1636</v>
      </c>
      <c r="F780" s="28" t="s">
        <v>1637</v>
      </c>
      <c r="G780" s="28" t="s">
        <v>398</v>
      </c>
      <c r="H780" s="28">
        <v>1.0</v>
      </c>
      <c r="I780" s="28">
        <v>0.5811138014527845</v>
      </c>
      <c r="J780" s="28">
        <v>5.0</v>
      </c>
      <c r="K780" s="28" t="s">
        <v>57</v>
      </c>
      <c r="L780" s="28" t="s">
        <v>696</v>
      </c>
    </row>
    <row r="781" ht="15.75" customHeight="1">
      <c r="A781" s="28" t="s">
        <v>131</v>
      </c>
      <c r="B781" s="28" t="s">
        <v>1000</v>
      </c>
      <c r="D781" s="28" t="s">
        <v>287</v>
      </c>
      <c r="E781" s="28" t="s">
        <v>1638</v>
      </c>
      <c r="F781" s="28" t="s">
        <v>1639</v>
      </c>
      <c r="G781" s="28" t="s">
        <v>392</v>
      </c>
      <c r="H781" s="28">
        <v>1.0</v>
      </c>
      <c r="I781" s="28">
        <v>0.6246973365617433</v>
      </c>
      <c r="J781" s="28">
        <v>4.0</v>
      </c>
      <c r="K781" s="28" t="s">
        <v>57</v>
      </c>
      <c r="L781" s="28" t="s">
        <v>57</v>
      </c>
    </row>
    <row r="782" ht="15.75" customHeight="1">
      <c r="A782" s="28" t="s">
        <v>131</v>
      </c>
      <c r="B782" s="28" t="s">
        <v>1000</v>
      </c>
      <c r="D782" s="28" t="s">
        <v>287</v>
      </c>
      <c r="E782" s="28" t="s">
        <v>1640</v>
      </c>
      <c r="F782" s="28" t="s">
        <v>902</v>
      </c>
      <c r="G782" s="28" t="s">
        <v>310</v>
      </c>
      <c r="H782" s="28">
        <v>1.0</v>
      </c>
      <c r="I782" s="28">
        <v>0.711864406779661</v>
      </c>
      <c r="J782" s="28">
        <v>0.0</v>
      </c>
      <c r="K782" s="28" t="s">
        <v>57</v>
      </c>
      <c r="L782" s="28" t="s">
        <v>57</v>
      </c>
    </row>
    <row r="783" ht="15.75" customHeight="1">
      <c r="A783" s="28" t="s">
        <v>131</v>
      </c>
      <c r="B783" s="28" t="s">
        <v>1000</v>
      </c>
      <c r="D783" s="28" t="s">
        <v>310</v>
      </c>
      <c r="E783" s="28" t="s">
        <v>1641</v>
      </c>
      <c r="F783" s="28" t="s">
        <v>260</v>
      </c>
      <c r="G783" s="28" t="s">
        <v>392</v>
      </c>
      <c r="H783" s="28">
        <v>1.0</v>
      </c>
      <c r="I783" s="28">
        <v>0.2468354430379747</v>
      </c>
      <c r="J783" s="28">
        <v>3.0</v>
      </c>
      <c r="K783" s="28" t="s">
        <v>57</v>
      </c>
      <c r="L783" s="28" t="s">
        <v>57</v>
      </c>
    </row>
    <row r="784" ht="15.75" customHeight="1">
      <c r="A784" s="28" t="s">
        <v>131</v>
      </c>
      <c r="B784" s="28" t="s">
        <v>1000</v>
      </c>
      <c r="D784" s="28" t="s">
        <v>310</v>
      </c>
      <c r="E784" s="28" t="s">
        <v>1642</v>
      </c>
      <c r="F784" s="28" t="s">
        <v>687</v>
      </c>
      <c r="G784" s="28" t="s">
        <v>295</v>
      </c>
      <c r="H784" s="28">
        <v>1.0</v>
      </c>
      <c r="I784" s="28">
        <v>0.37823834196891193</v>
      </c>
      <c r="J784" s="28">
        <v>0.0</v>
      </c>
      <c r="K784" s="28" t="s">
        <v>57</v>
      </c>
      <c r="L784" s="28" t="s">
        <v>57</v>
      </c>
    </row>
    <row r="785" ht="15.75" customHeight="1">
      <c r="A785" s="28" t="s">
        <v>131</v>
      </c>
      <c r="B785" s="28" t="s">
        <v>1000</v>
      </c>
      <c r="D785" s="28" t="s">
        <v>310</v>
      </c>
      <c r="E785" s="28" t="s">
        <v>1643</v>
      </c>
      <c r="F785" s="28" t="s">
        <v>687</v>
      </c>
      <c r="G785" s="28" t="s">
        <v>364</v>
      </c>
      <c r="H785" s="28">
        <v>1.0</v>
      </c>
      <c r="I785" s="28">
        <v>0.3917525773195876</v>
      </c>
      <c r="J785" s="28">
        <v>1.0</v>
      </c>
      <c r="K785" s="28" t="s">
        <v>57</v>
      </c>
      <c r="L785" s="28" t="s">
        <v>57</v>
      </c>
    </row>
    <row r="786" ht="15.75" customHeight="1">
      <c r="A786" s="28" t="s">
        <v>131</v>
      </c>
      <c r="B786" s="28" t="s">
        <v>1000</v>
      </c>
      <c r="D786" s="28" t="s">
        <v>310</v>
      </c>
      <c r="E786" s="28" t="s">
        <v>1644</v>
      </c>
      <c r="F786" s="28" t="s">
        <v>1375</v>
      </c>
      <c r="G786" s="28" t="s">
        <v>370</v>
      </c>
      <c r="H786" s="28">
        <v>1.0</v>
      </c>
      <c r="I786" s="28">
        <v>0.5408560311284046</v>
      </c>
      <c r="J786" s="28">
        <v>2.0</v>
      </c>
      <c r="K786" s="28" t="s">
        <v>57</v>
      </c>
      <c r="L786" s="28" t="s">
        <v>57</v>
      </c>
    </row>
    <row r="787" ht="15.75" customHeight="1">
      <c r="A787" s="28" t="s">
        <v>131</v>
      </c>
      <c r="B787" s="28" t="s">
        <v>1000</v>
      </c>
      <c r="D787" s="28" t="s">
        <v>310</v>
      </c>
      <c r="E787" s="28" t="s">
        <v>1645</v>
      </c>
      <c r="F787" s="28" t="s">
        <v>396</v>
      </c>
      <c r="G787" s="28" t="s">
        <v>398</v>
      </c>
      <c r="H787" s="28">
        <v>1.0</v>
      </c>
      <c r="I787" s="28">
        <v>0.5860805860805861</v>
      </c>
      <c r="J787" s="28">
        <v>4.0</v>
      </c>
      <c r="K787" s="28" t="s">
        <v>57</v>
      </c>
      <c r="L787" s="28" t="s">
        <v>696</v>
      </c>
    </row>
    <row r="788" ht="15.75" customHeight="1">
      <c r="A788" s="28" t="s">
        <v>131</v>
      </c>
      <c r="B788" s="28" t="s">
        <v>1000</v>
      </c>
      <c r="D788" s="28" t="s">
        <v>295</v>
      </c>
      <c r="E788" s="28" t="s">
        <v>1646</v>
      </c>
      <c r="F788" s="28" t="s">
        <v>362</v>
      </c>
      <c r="G788" s="28" t="s">
        <v>364</v>
      </c>
      <c r="H788" s="28">
        <v>1.0</v>
      </c>
      <c r="I788" s="28">
        <v>0.030927835051546393</v>
      </c>
      <c r="J788" s="28">
        <v>0.0</v>
      </c>
      <c r="K788" s="28" t="s">
        <v>57</v>
      </c>
      <c r="L788" s="28" t="s">
        <v>57</v>
      </c>
    </row>
    <row r="789" ht="15.75" customHeight="1">
      <c r="A789" s="28" t="s">
        <v>131</v>
      </c>
      <c r="B789" s="28" t="s">
        <v>1000</v>
      </c>
      <c r="D789" s="28" t="s">
        <v>295</v>
      </c>
      <c r="E789" s="28" t="s">
        <v>1647</v>
      </c>
      <c r="F789" s="28" t="s">
        <v>1648</v>
      </c>
      <c r="G789" s="28" t="s">
        <v>392</v>
      </c>
      <c r="H789" s="28">
        <v>1.0</v>
      </c>
      <c r="I789" s="28">
        <v>0.19689119170984457</v>
      </c>
      <c r="J789" s="28">
        <v>2.0</v>
      </c>
      <c r="K789" s="28" t="s">
        <v>57</v>
      </c>
      <c r="L789" s="28" t="s">
        <v>57</v>
      </c>
    </row>
    <row r="790" ht="15.75" customHeight="1">
      <c r="A790" s="28" t="s">
        <v>131</v>
      </c>
      <c r="B790" s="28" t="s">
        <v>1000</v>
      </c>
      <c r="D790" s="28" t="s">
        <v>295</v>
      </c>
      <c r="E790" s="28" t="s">
        <v>1649</v>
      </c>
      <c r="F790" s="28" t="s">
        <v>1650</v>
      </c>
      <c r="G790" s="28" t="s">
        <v>370</v>
      </c>
      <c r="H790" s="28">
        <v>1.0</v>
      </c>
      <c r="I790" s="28">
        <v>0.2607003891050584</v>
      </c>
      <c r="J790" s="28">
        <v>1.0</v>
      </c>
      <c r="K790" s="28" t="s">
        <v>57</v>
      </c>
      <c r="L790" s="28" t="s">
        <v>57</v>
      </c>
    </row>
    <row r="791" ht="15.75" customHeight="1">
      <c r="A791" s="28" t="s">
        <v>131</v>
      </c>
      <c r="B791" s="28" t="s">
        <v>1000</v>
      </c>
      <c r="D791" s="28" t="s">
        <v>295</v>
      </c>
      <c r="E791" s="28" t="s">
        <v>1651</v>
      </c>
      <c r="F791" s="28" t="s">
        <v>1652</v>
      </c>
      <c r="G791" s="28" t="s">
        <v>398</v>
      </c>
      <c r="H791" s="28">
        <v>1.0</v>
      </c>
      <c r="I791" s="28">
        <v>0.4468864468864469</v>
      </c>
      <c r="J791" s="28">
        <v>3.0</v>
      </c>
      <c r="K791" s="28" t="s">
        <v>57</v>
      </c>
      <c r="L791" s="28" t="s">
        <v>696</v>
      </c>
    </row>
    <row r="792" ht="15.75" customHeight="1">
      <c r="A792" s="28" t="s">
        <v>131</v>
      </c>
      <c r="B792" s="28" t="s">
        <v>1000</v>
      </c>
      <c r="D792" s="28" t="s">
        <v>364</v>
      </c>
      <c r="E792" s="28" t="s">
        <v>1653</v>
      </c>
      <c r="F792" s="28" t="s">
        <v>1648</v>
      </c>
      <c r="G792" s="28" t="s">
        <v>392</v>
      </c>
      <c r="H792" s="28">
        <v>1.0</v>
      </c>
      <c r="I792" s="28">
        <v>0.20103092783505155</v>
      </c>
      <c r="J792" s="28">
        <v>1.0</v>
      </c>
      <c r="K792" s="28" t="s">
        <v>57</v>
      </c>
      <c r="L792" s="28" t="s">
        <v>57</v>
      </c>
    </row>
    <row r="793" ht="15.75" customHeight="1">
      <c r="A793" s="28" t="s">
        <v>131</v>
      </c>
      <c r="B793" s="28" t="s">
        <v>1000</v>
      </c>
      <c r="D793" s="28" t="s">
        <v>364</v>
      </c>
      <c r="E793" s="28" t="s">
        <v>1654</v>
      </c>
      <c r="F793" s="28" t="s">
        <v>1650</v>
      </c>
      <c r="G793" s="28" t="s">
        <v>370</v>
      </c>
      <c r="H793" s="28">
        <v>1.0</v>
      </c>
      <c r="I793" s="28">
        <v>0.25680933852140075</v>
      </c>
      <c r="J793" s="28">
        <v>0.0</v>
      </c>
      <c r="K793" s="28" t="s">
        <v>57</v>
      </c>
      <c r="L793" s="28" t="s">
        <v>57</v>
      </c>
    </row>
    <row r="794" ht="15.75" customHeight="1">
      <c r="A794" s="28" t="s">
        <v>131</v>
      </c>
      <c r="B794" s="28" t="s">
        <v>1000</v>
      </c>
      <c r="D794" s="28" t="s">
        <v>364</v>
      </c>
      <c r="E794" s="28" t="s">
        <v>1655</v>
      </c>
      <c r="F794" s="28" t="s">
        <v>1652</v>
      </c>
      <c r="G794" s="28" t="s">
        <v>398</v>
      </c>
      <c r="H794" s="28">
        <v>1.0</v>
      </c>
      <c r="I794" s="28">
        <v>0.43223443223443225</v>
      </c>
      <c r="J794" s="28">
        <v>2.0</v>
      </c>
      <c r="K794" s="28" t="s">
        <v>57</v>
      </c>
      <c r="L794" s="28" t="s">
        <v>696</v>
      </c>
    </row>
    <row r="795" ht="15.75" customHeight="1">
      <c r="A795" s="28" t="s">
        <v>131</v>
      </c>
      <c r="B795" s="28" t="s">
        <v>1000</v>
      </c>
      <c r="D795" s="28" t="s">
        <v>370</v>
      </c>
      <c r="E795" s="28" t="s">
        <v>1656</v>
      </c>
      <c r="F795" s="28" t="s">
        <v>1657</v>
      </c>
      <c r="G795" s="28" t="s">
        <v>392</v>
      </c>
      <c r="H795" s="28">
        <v>1.0</v>
      </c>
      <c r="I795" s="28">
        <v>0.40077821011673154</v>
      </c>
      <c r="J795" s="28">
        <v>0.0</v>
      </c>
      <c r="K795" s="28" t="s">
        <v>57</v>
      </c>
      <c r="L795" s="28" t="s">
        <v>57</v>
      </c>
    </row>
    <row r="796" ht="15.75" customHeight="1">
      <c r="A796" s="28" t="s">
        <v>131</v>
      </c>
      <c r="B796" s="28" t="s">
        <v>1000</v>
      </c>
      <c r="D796" s="28" t="s">
        <v>370</v>
      </c>
      <c r="E796" s="28" t="s">
        <v>1658</v>
      </c>
      <c r="F796" s="28" t="s">
        <v>1659</v>
      </c>
      <c r="G796" s="28" t="s">
        <v>398</v>
      </c>
      <c r="H796" s="28">
        <v>1.0</v>
      </c>
      <c r="I796" s="28">
        <v>0.46153846153846156</v>
      </c>
      <c r="J796" s="28">
        <v>1.0</v>
      </c>
      <c r="K796" s="28" t="s">
        <v>57</v>
      </c>
      <c r="L796" s="28" t="s">
        <v>696</v>
      </c>
    </row>
    <row r="797" ht="15.75" customHeight="1">
      <c r="A797" s="28" t="s">
        <v>131</v>
      </c>
      <c r="B797" s="28" t="s">
        <v>1000</v>
      </c>
      <c r="D797" s="28" t="s">
        <v>392</v>
      </c>
      <c r="E797" s="28" t="s">
        <v>1660</v>
      </c>
      <c r="F797" s="28" t="s">
        <v>987</v>
      </c>
      <c r="G797" s="28" t="s">
        <v>398</v>
      </c>
      <c r="H797" s="28">
        <v>1.0</v>
      </c>
      <c r="I797" s="28">
        <v>0.4725274725274725</v>
      </c>
      <c r="J797" s="28">
        <v>0.0</v>
      </c>
      <c r="K797" s="28" t="s">
        <v>57</v>
      </c>
      <c r="L797" s="28" t="s">
        <v>696</v>
      </c>
    </row>
    <row r="798" ht="15.75" customHeight="1">
      <c r="A798" s="28" t="s">
        <v>114</v>
      </c>
      <c r="B798" s="28" t="s">
        <v>1000</v>
      </c>
      <c r="D798" s="28" t="s">
        <v>176</v>
      </c>
      <c r="E798" s="28" t="s">
        <v>1661</v>
      </c>
      <c r="F798" s="28" t="s">
        <v>180</v>
      </c>
      <c r="G798" s="28" t="s">
        <v>1185</v>
      </c>
      <c r="H798" s="28">
        <v>1.0</v>
      </c>
      <c r="I798" s="28">
        <v>0.07092198581560284</v>
      </c>
      <c r="J798" s="28">
        <v>3.0</v>
      </c>
      <c r="K798" s="28" t="s">
        <v>57</v>
      </c>
      <c r="L798" s="28" t="s">
        <v>57</v>
      </c>
    </row>
    <row r="799" ht="15.75" customHeight="1">
      <c r="A799" s="28" t="s">
        <v>114</v>
      </c>
      <c r="B799" s="28" t="s">
        <v>1000</v>
      </c>
      <c r="D799" s="28" t="s">
        <v>176</v>
      </c>
      <c r="E799" s="28" t="s">
        <v>1662</v>
      </c>
      <c r="F799" s="28" t="s">
        <v>1663</v>
      </c>
      <c r="G799" s="28" t="s">
        <v>123</v>
      </c>
      <c r="H799" s="28">
        <v>1.0</v>
      </c>
      <c r="I799" s="28">
        <v>0.28804347826086957</v>
      </c>
      <c r="J799" s="28">
        <v>9.0</v>
      </c>
      <c r="K799" s="28" t="s">
        <v>57</v>
      </c>
      <c r="L799" s="28" t="s">
        <v>57</v>
      </c>
    </row>
    <row r="800" ht="15.75" customHeight="1">
      <c r="A800" s="28" t="s">
        <v>114</v>
      </c>
      <c r="B800" s="28" t="s">
        <v>1000</v>
      </c>
      <c r="D800" s="28" t="s">
        <v>176</v>
      </c>
      <c r="E800" s="28" t="s">
        <v>1664</v>
      </c>
      <c r="F800" s="28" t="s">
        <v>1663</v>
      </c>
      <c r="G800" s="28" t="s">
        <v>117</v>
      </c>
      <c r="H800" s="28">
        <v>1.0</v>
      </c>
      <c r="I800" s="28">
        <v>0.32124352331606215</v>
      </c>
      <c r="J800" s="28">
        <v>0.0</v>
      </c>
      <c r="K800" s="28" t="s">
        <v>57</v>
      </c>
      <c r="L800" s="28" t="s">
        <v>57</v>
      </c>
    </row>
    <row r="801" ht="15.75" customHeight="1">
      <c r="A801" s="28" t="s">
        <v>114</v>
      </c>
      <c r="B801" s="28" t="s">
        <v>1000</v>
      </c>
      <c r="D801" s="28" t="s">
        <v>176</v>
      </c>
      <c r="E801" s="28" t="s">
        <v>1665</v>
      </c>
      <c r="F801" s="28" t="s">
        <v>1666</v>
      </c>
      <c r="G801" s="28" t="s">
        <v>167</v>
      </c>
      <c r="H801" s="28">
        <v>1.0</v>
      </c>
      <c r="I801" s="28">
        <v>0.4279475982532751</v>
      </c>
      <c r="J801" s="28">
        <v>5.0</v>
      </c>
      <c r="K801" s="28" t="s">
        <v>57</v>
      </c>
      <c r="L801" s="28" t="s">
        <v>57</v>
      </c>
    </row>
    <row r="802" ht="15.75" customHeight="1">
      <c r="A802" s="28" t="s">
        <v>114</v>
      </c>
      <c r="B802" s="28" t="s">
        <v>1000</v>
      </c>
      <c r="D802" s="28" t="s">
        <v>176</v>
      </c>
      <c r="E802" s="28" t="s">
        <v>1667</v>
      </c>
      <c r="F802" s="28" t="s">
        <v>1668</v>
      </c>
      <c r="G802" s="28" t="s">
        <v>1196</v>
      </c>
      <c r="H802" s="28">
        <v>1.0</v>
      </c>
      <c r="I802" s="28">
        <v>0.5166051660516605</v>
      </c>
      <c r="J802" s="28">
        <v>2.0</v>
      </c>
      <c r="K802" s="28" t="s">
        <v>57</v>
      </c>
      <c r="L802" s="28" t="s">
        <v>57</v>
      </c>
    </row>
    <row r="803" ht="15.75" customHeight="1">
      <c r="A803" s="28" t="s">
        <v>114</v>
      </c>
      <c r="B803" s="28" t="s">
        <v>1000</v>
      </c>
      <c r="D803" s="28" t="s">
        <v>176</v>
      </c>
      <c r="E803" s="28" t="s">
        <v>1669</v>
      </c>
      <c r="F803" s="28" t="s">
        <v>1668</v>
      </c>
      <c r="G803" s="28" t="s">
        <v>1203</v>
      </c>
      <c r="H803" s="28">
        <v>1.0</v>
      </c>
      <c r="I803" s="28">
        <v>0.5338078291814946</v>
      </c>
      <c r="J803" s="28">
        <v>4.0</v>
      </c>
      <c r="K803" s="28" t="s">
        <v>57</v>
      </c>
      <c r="L803" s="28" t="s">
        <v>57</v>
      </c>
    </row>
    <row r="804" ht="15.75" customHeight="1">
      <c r="A804" s="28" t="s">
        <v>114</v>
      </c>
      <c r="B804" s="28" t="s">
        <v>1000</v>
      </c>
      <c r="D804" s="28" t="s">
        <v>176</v>
      </c>
      <c r="E804" s="28" t="s">
        <v>1670</v>
      </c>
      <c r="F804" s="28" t="s">
        <v>1671</v>
      </c>
      <c r="G804" s="28" t="s">
        <v>73</v>
      </c>
      <c r="H804" s="28">
        <v>1.0</v>
      </c>
      <c r="I804" s="28">
        <v>0.6765432098765433</v>
      </c>
      <c r="J804" s="28">
        <v>6.0</v>
      </c>
      <c r="K804" s="28" t="s">
        <v>57</v>
      </c>
      <c r="L804" s="28" t="s">
        <v>57</v>
      </c>
    </row>
    <row r="805" ht="15.75" customHeight="1">
      <c r="A805" s="28" t="s">
        <v>114</v>
      </c>
      <c r="B805" s="28" t="s">
        <v>1000</v>
      </c>
      <c r="D805" s="28" t="s">
        <v>176</v>
      </c>
      <c r="E805" s="28" t="s">
        <v>1672</v>
      </c>
      <c r="F805" s="28" t="s">
        <v>1673</v>
      </c>
      <c r="G805" s="28" t="s">
        <v>48</v>
      </c>
      <c r="H805" s="28">
        <v>1.0</v>
      </c>
      <c r="I805" s="28">
        <v>0.7075892857142857</v>
      </c>
      <c r="J805" s="28">
        <v>1.0</v>
      </c>
      <c r="K805" s="28" t="s">
        <v>57</v>
      </c>
      <c r="L805" s="28" t="s">
        <v>57</v>
      </c>
    </row>
    <row r="806" ht="15.75" customHeight="1">
      <c r="A806" s="28" t="s">
        <v>114</v>
      </c>
      <c r="B806" s="28" t="s">
        <v>1000</v>
      </c>
      <c r="D806" s="28" t="s">
        <v>117</v>
      </c>
      <c r="E806" s="28" t="s">
        <v>119</v>
      </c>
      <c r="F806" s="28" t="s">
        <v>121</v>
      </c>
      <c r="G806" s="28" t="s">
        <v>123</v>
      </c>
      <c r="H806" s="28">
        <v>1.0</v>
      </c>
      <c r="I806" s="28">
        <v>0.08290155440414508</v>
      </c>
      <c r="J806" s="28">
        <v>8.0</v>
      </c>
      <c r="K806" s="28" t="s">
        <v>57</v>
      </c>
      <c r="L806" s="28" t="s">
        <v>57</v>
      </c>
    </row>
    <row r="807" ht="15.75" customHeight="1">
      <c r="A807" s="28" t="s">
        <v>114</v>
      </c>
      <c r="B807" s="28" t="s">
        <v>1000</v>
      </c>
      <c r="D807" s="28" t="s">
        <v>117</v>
      </c>
      <c r="E807" s="28" t="s">
        <v>1674</v>
      </c>
      <c r="F807" s="28" t="s">
        <v>1675</v>
      </c>
      <c r="G807" s="28" t="s">
        <v>167</v>
      </c>
      <c r="H807" s="28">
        <v>1.0</v>
      </c>
      <c r="I807" s="28">
        <v>0.2445414847161572</v>
      </c>
      <c r="J807" s="28">
        <v>4.0</v>
      </c>
      <c r="K807" s="28" t="s">
        <v>57</v>
      </c>
      <c r="L807" s="28" t="s">
        <v>57</v>
      </c>
    </row>
    <row r="808" ht="15.75" customHeight="1">
      <c r="A808" s="28" t="s">
        <v>114</v>
      </c>
      <c r="B808" s="28" t="s">
        <v>1000</v>
      </c>
      <c r="D808" s="28" t="s">
        <v>117</v>
      </c>
      <c r="E808" s="28" t="s">
        <v>1676</v>
      </c>
      <c r="F808" s="28" t="s">
        <v>461</v>
      </c>
      <c r="G808" s="28" t="s">
        <v>1185</v>
      </c>
      <c r="H808" s="28">
        <v>1.0</v>
      </c>
      <c r="I808" s="28">
        <v>0.29533678756476683</v>
      </c>
      <c r="J808" s="28">
        <v>2.0</v>
      </c>
      <c r="K808" s="28" t="s">
        <v>57</v>
      </c>
      <c r="L808" s="28" t="s">
        <v>57</v>
      </c>
    </row>
    <row r="809" ht="15.75" customHeight="1">
      <c r="A809" s="28" t="s">
        <v>114</v>
      </c>
      <c r="B809" s="28" t="s">
        <v>1000</v>
      </c>
      <c r="D809" s="28" t="s">
        <v>117</v>
      </c>
      <c r="E809" s="28" t="s">
        <v>1677</v>
      </c>
      <c r="F809" s="28" t="s">
        <v>1678</v>
      </c>
      <c r="G809" s="28" t="s">
        <v>1203</v>
      </c>
      <c r="H809" s="28">
        <v>1.0</v>
      </c>
      <c r="I809" s="28">
        <v>0.36298932384341637</v>
      </c>
      <c r="J809" s="28">
        <v>3.0</v>
      </c>
      <c r="K809" s="28" t="s">
        <v>57</v>
      </c>
      <c r="L809" s="28" t="s">
        <v>57</v>
      </c>
    </row>
    <row r="810" ht="15.75" customHeight="1">
      <c r="A810" s="28" t="s">
        <v>114</v>
      </c>
      <c r="B810" s="28" t="s">
        <v>1000</v>
      </c>
      <c r="D810" s="28" t="s">
        <v>117</v>
      </c>
      <c r="E810" s="28" t="s">
        <v>1679</v>
      </c>
      <c r="F810" s="28" t="s">
        <v>1678</v>
      </c>
      <c r="G810" s="28" t="s">
        <v>1196</v>
      </c>
      <c r="H810" s="28">
        <v>1.0</v>
      </c>
      <c r="I810" s="28">
        <v>0.3726937269372694</v>
      </c>
      <c r="J810" s="28">
        <v>1.0</v>
      </c>
      <c r="K810" s="28" t="s">
        <v>57</v>
      </c>
      <c r="L810" s="28" t="s">
        <v>57</v>
      </c>
    </row>
    <row r="811" ht="15.75" customHeight="1">
      <c r="A811" s="28" t="s">
        <v>114</v>
      </c>
      <c r="B811" s="28" t="s">
        <v>1000</v>
      </c>
      <c r="D811" s="28" t="s">
        <v>117</v>
      </c>
      <c r="E811" s="28" t="s">
        <v>1680</v>
      </c>
      <c r="F811" s="28" t="s">
        <v>1681</v>
      </c>
      <c r="G811" s="28" t="s">
        <v>73</v>
      </c>
      <c r="H811" s="28">
        <v>1.0</v>
      </c>
      <c r="I811" s="28">
        <v>0.5703703703703704</v>
      </c>
      <c r="J811" s="28">
        <v>5.0</v>
      </c>
      <c r="K811" s="28" t="s">
        <v>57</v>
      </c>
      <c r="L811" s="28" t="s">
        <v>57</v>
      </c>
    </row>
    <row r="812" ht="15.75" customHeight="1">
      <c r="A812" s="28" t="s">
        <v>114</v>
      </c>
      <c r="B812" s="28" t="s">
        <v>1000</v>
      </c>
      <c r="D812" s="28" t="s">
        <v>117</v>
      </c>
      <c r="E812" s="28" t="s">
        <v>1682</v>
      </c>
      <c r="F812" s="28" t="s">
        <v>1683</v>
      </c>
      <c r="G812" s="28" t="s">
        <v>48</v>
      </c>
      <c r="H812" s="28">
        <v>1.0</v>
      </c>
      <c r="I812" s="28">
        <v>0.625</v>
      </c>
      <c r="J812" s="28">
        <v>0.0</v>
      </c>
      <c r="K812" s="28" t="s">
        <v>57</v>
      </c>
      <c r="L812" s="28" t="s">
        <v>57</v>
      </c>
    </row>
    <row r="813" ht="15.75" customHeight="1">
      <c r="A813" s="28" t="s">
        <v>114</v>
      </c>
      <c r="B813" s="28" t="s">
        <v>1000</v>
      </c>
      <c r="D813" s="28" t="s">
        <v>48</v>
      </c>
      <c r="E813" s="28" t="s">
        <v>1684</v>
      </c>
      <c r="F813" s="28" t="s">
        <v>1685</v>
      </c>
      <c r="G813" s="28" t="s">
        <v>73</v>
      </c>
      <c r="H813" s="28">
        <v>1.0</v>
      </c>
      <c r="I813" s="28">
        <v>0.11830357142857142</v>
      </c>
      <c r="J813" s="28">
        <v>4.0</v>
      </c>
      <c r="K813" s="28" t="s">
        <v>57</v>
      </c>
      <c r="L813" s="28" t="s">
        <v>57</v>
      </c>
    </row>
    <row r="814" ht="15.75" customHeight="1">
      <c r="A814" s="28" t="s">
        <v>114</v>
      </c>
      <c r="B814" s="28" t="s">
        <v>1000</v>
      </c>
      <c r="D814" s="28" t="s">
        <v>48</v>
      </c>
      <c r="E814" s="28" t="s">
        <v>1686</v>
      </c>
      <c r="F814" s="28" t="s">
        <v>1687</v>
      </c>
      <c r="G814" s="28" t="s">
        <v>1196</v>
      </c>
      <c r="H814" s="28">
        <v>1.0</v>
      </c>
      <c r="I814" s="28">
        <v>0.4107142857142857</v>
      </c>
      <c r="J814" s="28">
        <v>0.0</v>
      </c>
      <c r="K814" s="28" t="s">
        <v>57</v>
      </c>
      <c r="L814" s="28" t="s">
        <v>57</v>
      </c>
    </row>
    <row r="815" ht="15.75" customHeight="1">
      <c r="A815" s="28" t="s">
        <v>114</v>
      </c>
      <c r="B815" s="28" t="s">
        <v>1000</v>
      </c>
      <c r="D815" s="28" t="s">
        <v>48</v>
      </c>
      <c r="E815" s="28" t="s">
        <v>1688</v>
      </c>
      <c r="F815" s="28" t="s">
        <v>1687</v>
      </c>
      <c r="G815" s="28" t="s">
        <v>1203</v>
      </c>
      <c r="H815" s="28">
        <v>1.0</v>
      </c>
      <c r="I815" s="28">
        <v>0.42857142857142855</v>
      </c>
      <c r="J815" s="28">
        <v>2.0</v>
      </c>
      <c r="K815" s="28" t="s">
        <v>57</v>
      </c>
      <c r="L815" s="28" t="s">
        <v>57</v>
      </c>
    </row>
    <row r="816" ht="15.75" customHeight="1">
      <c r="A816" s="28" t="s">
        <v>114</v>
      </c>
      <c r="B816" s="28" t="s">
        <v>1000</v>
      </c>
      <c r="D816" s="28" t="s">
        <v>48</v>
      </c>
      <c r="E816" s="28" t="s">
        <v>1689</v>
      </c>
      <c r="F816" s="28" t="s">
        <v>1690</v>
      </c>
      <c r="G816" s="28" t="s">
        <v>167</v>
      </c>
      <c r="H816" s="28">
        <v>1.0</v>
      </c>
      <c r="I816" s="28">
        <v>0.5111607142857143</v>
      </c>
      <c r="J816" s="28">
        <v>3.0</v>
      </c>
      <c r="K816" s="28" t="s">
        <v>57</v>
      </c>
      <c r="L816" s="28" t="s">
        <v>57</v>
      </c>
    </row>
    <row r="817" ht="15.75" customHeight="1">
      <c r="A817" s="28" t="s">
        <v>114</v>
      </c>
      <c r="B817" s="28" t="s">
        <v>1000</v>
      </c>
      <c r="D817" s="28" t="s">
        <v>48</v>
      </c>
      <c r="E817" s="28" t="s">
        <v>1691</v>
      </c>
      <c r="F817" s="28" t="s">
        <v>1692</v>
      </c>
      <c r="G817" s="28" t="s">
        <v>123</v>
      </c>
      <c r="H817" s="28">
        <v>1.0</v>
      </c>
      <c r="I817" s="28">
        <v>0.609375</v>
      </c>
      <c r="J817" s="28">
        <v>7.0</v>
      </c>
      <c r="K817" s="28" t="s">
        <v>57</v>
      </c>
      <c r="L817" s="28" t="s">
        <v>57</v>
      </c>
    </row>
    <row r="818" ht="15.75" customHeight="1">
      <c r="A818" s="28" t="s">
        <v>114</v>
      </c>
      <c r="B818" s="28" t="s">
        <v>1000</v>
      </c>
      <c r="D818" s="28" t="s">
        <v>48</v>
      </c>
      <c r="E818" s="28" t="s">
        <v>1693</v>
      </c>
      <c r="F818" s="28" t="s">
        <v>1694</v>
      </c>
      <c r="G818" s="28" t="s">
        <v>1185</v>
      </c>
      <c r="H818" s="28">
        <v>1.0</v>
      </c>
      <c r="I818" s="28">
        <v>0.7053571428571429</v>
      </c>
      <c r="J818" s="28">
        <v>1.0</v>
      </c>
      <c r="K818" s="28" t="s">
        <v>57</v>
      </c>
      <c r="L818" s="28" t="s">
        <v>57</v>
      </c>
    </row>
    <row r="819" ht="15.75" customHeight="1">
      <c r="A819" s="28" t="s">
        <v>114</v>
      </c>
      <c r="B819" s="28" t="s">
        <v>1000</v>
      </c>
      <c r="D819" s="28" t="s">
        <v>1196</v>
      </c>
      <c r="E819" s="28" t="s">
        <v>1695</v>
      </c>
      <c r="F819" s="28" t="s">
        <v>1696</v>
      </c>
      <c r="G819" s="28" t="s">
        <v>1203</v>
      </c>
      <c r="H819" s="28">
        <v>1.0</v>
      </c>
      <c r="I819" s="28">
        <v>0.042704626334519574</v>
      </c>
      <c r="J819" s="28">
        <v>1.0</v>
      </c>
      <c r="K819" s="28" t="s">
        <v>57</v>
      </c>
      <c r="L819" s="28" t="s">
        <v>57</v>
      </c>
    </row>
    <row r="820" ht="15.75" customHeight="1">
      <c r="A820" s="28" t="s">
        <v>114</v>
      </c>
      <c r="B820" s="28" t="s">
        <v>1000</v>
      </c>
      <c r="D820" s="28" t="s">
        <v>1196</v>
      </c>
      <c r="E820" s="28" t="s">
        <v>1697</v>
      </c>
      <c r="F820" s="28" t="s">
        <v>1698</v>
      </c>
      <c r="G820" s="28" t="s">
        <v>167</v>
      </c>
      <c r="H820" s="28">
        <v>1.0</v>
      </c>
      <c r="I820" s="28">
        <v>0.18081180811808117</v>
      </c>
      <c r="J820" s="28">
        <v>2.0</v>
      </c>
      <c r="K820" s="28" t="s">
        <v>57</v>
      </c>
      <c r="L820" s="28" t="s">
        <v>57</v>
      </c>
    </row>
    <row r="821" ht="15.75" customHeight="1">
      <c r="A821" s="28" t="s">
        <v>114</v>
      </c>
      <c r="B821" s="28" t="s">
        <v>1000</v>
      </c>
      <c r="D821" s="28" t="s">
        <v>1196</v>
      </c>
      <c r="E821" s="28" t="s">
        <v>1699</v>
      </c>
      <c r="F821" s="28" t="s">
        <v>1700</v>
      </c>
      <c r="G821" s="28" t="s">
        <v>73</v>
      </c>
      <c r="H821" s="28">
        <v>1.0</v>
      </c>
      <c r="I821" s="28">
        <v>0.33827160493827163</v>
      </c>
      <c r="J821" s="28">
        <v>3.0</v>
      </c>
      <c r="K821" s="28" t="s">
        <v>57</v>
      </c>
      <c r="L821" s="28" t="s">
        <v>57</v>
      </c>
    </row>
    <row r="822" ht="15.75" customHeight="1">
      <c r="A822" s="28" t="s">
        <v>114</v>
      </c>
      <c r="B822" s="28" t="s">
        <v>1000</v>
      </c>
      <c r="D822" s="28" t="s">
        <v>1196</v>
      </c>
      <c r="E822" s="28" t="s">
        <v>1701</v>
      </c>
      <c r="F822" s="28" t="s">
        <v>1702</v>
      </c>
      <c r="G822" s="28" t="s">
        <v>123</v>
      </c>
      <c r="H822" s="28">
        <v>1.0</v>
      </c>
      <c r="I822" s="28">
        <v>0.35424354243542433</v>
      </c>
      <c r="J822" s="28">
        <v>6.0</v>
      </c>
      <c r="K822" s="28" t="s">
        <v>57</v>
      </c>
      <c r="L822" s="28" t="s">
        <v>57</v>
      </c>
    </row>
    <row r="823" ht="15.75" customHeight="1">
      <c r="A823" s="28" t="s">
        <v>114</v>
      </c>
      <c r="B823" s="28" t="s">
        <v>1000</v>
      </c>
      <c r="D823" s="28" t="s">
        <v>1196</v>
      </c>
      <c r="E823" s="28" t="s">
        <v>1703</v>
      </c>
      <c r="F823" s="28" t="s">
        <v>1704</v>
      </c>
      <c r="G823" s="28" t="s">
        <v>1185</v>
      </c>
      <c r="H823" s="28">
        <v>1.0</v>
      </c>
      <c r="I823" s="28">
        <v>0.5055350553505535</v>
      </c>
      <c r="J823" s="28">
        <v>0.0</v>
      </c>
      <c r="K823" s="28" t="s">
        <v>57</v>
      </c>
      <c r="L823" s="28" t="s">
        <v>57</v>
      </c>
    </row>
    <row r="824" ht="15.75" customHeight="1">
      <c r="A824" s="28" t="s">
        <v>114</v>
      </c>
      <c r="B824" s="28" t="s">
        <v>1000</v>
      </c>
      <c r="D824" s="28" t="s">
        <v>1185</v>
      </c>
      <c r="E824" s="28" t="s">
        <v>1705</v>
      </c>
      <c r="F824" s="28" t="s">
        <v>1663</v>
      </c>
      <c r="G824" s="28" t="s">
        <v>123</v>
      </c>
      <c r="H824" s="28">
        <v>1.0</v>
      </c>
      <c r="I824" s="28">
        <v>0.29347826086956524</v>
      </c>
      <c r="J824" s="28">
        <v>5.0</v>
      </c>
      <c r="K824" s="28" t="s">
        <v>57</v>
      </c>
      <c r="L824" s="28" t="s">
        <v>57</v>
      </c>
    </row>
    <row r="825" ht="15.75" customHeight="1">
      <c r="A825" s="28" t="s">
        <v>114</v>
      </c>
      <c r="B825" s="28" t="s">
        <v>1000</v>
      </c>
      <c r="D825" s="28" t="s">
        <v>1185</v>
      </c>
      <c r="E825" s="28" t="s">
        <v>1706</v>
      </c>
      <c r="F825" s="28" t="s">
        <v>1666</v>
      </c>
      <c r="G825" s="28" t="s">
        <v>167</v>
      </c>
      <c r="H825" s="28">
        <v>1.0</v>
      </c>
      <c r="I825" s="28">
        <v>0.40611353711790393</v>
      </c>
      <c r="J825" s="28">
        <v>1.0</v>
      </c>
      <c r="K825" s="28" t="s">
        <v>57</v>
      </c>
      <c r="L825" s="28" t="s">
        <v>57</v>
      </c>
    </row>
    <row r="826" ht="15.75" customHeight="1">
      <c r="A826" s="28" t="s">
        <v>114</v>
      </c>
      <c r="B826" s="28" t="s">
        <v>1000</v>
      </c>
      <c r="D826" s="28" t="s">
        <v>1185</v>
      </c>
      <c r="E826" s="28" t="s">
        <v>1707</v>
      </c>
      <c r="F826" s="28" t="s">
        <v>1668</v>
      </c>
      <c r="G826" s="28" t="s">
        <v>1203</v>
      </c>
      <c r="H826" s="28">
        <v>1.0</v>
      </c>
      <c r="I826" s="28">
        <v>0.5160142348754448</v>
      </c>
      <c r="J826" s="28">
        <v>0.0</v>
      </c>
      <c r="K826" s="28" t="s">
        <v>57</v>
      </c>
      <c r="L826" s="28" t="s">
        <v>57</v>
      </c>
    </row>
    <row r="827" ht="15.75" customHeight="1">
      <c r="A827" s="28" t="s">
        <v>114</v>
      </c>
      <c r="B827" s="28" t="s">
        <v>1000</v>
      </c>
      <c r="D827" s="28" t="s">
        <v>1185</v>
      </c>
      <c r="E827" s="28" t="s">
        <v>1708</v>
      </c>
      <c r="F827" s="28" t="s">
        <v>1671</v>
      </c>
      <c r="G827" s="28" t="s">
        <v>73</v>
      </c>
      <c r="H827" s="28">
        <v>1.0</v>
      </c>
      <c r="I827" s="28">
        <v>0.6666666666666666</v>
      </c>
      <c r="J827" s="28">
        <v>2.0</v>
      </c>
      <c r="K827" s="28" t="s">
        <v>57</v>
      </c>
      <c r="L827" s="28" t="s">
        <v>57</v>
      </c>
    </row>
    <row r="828" ht="15.75" customHeight="1">
      <c r="A828" s="28" t="s">
        <v>114</v>
      </c>
      <c r="B828" s="28" t="s">
        <v>1000</v>
      </c>
      <c r="D828" s="28" t="s">
        <v>1203</v>
      </c>
      <c r="E828" s="28" t="s">
        <v>1709</v>
      </c>
      <c r="F828" s="28" t="s">
        <v>1698</v>
      </c>
      <c r="G828" s="28" t="s">
        <v>167</v>
      </c>
      <c r="H828" s="28">
        <v>1.0</v>
      </c>
      <c r="I828" s="28">
        <v>0.199288256227758</v>
      </c>
      <c r="J828" s="28">
        <v>0.0</v>
      </c>
      <c r="K828" s="28" t="s">
        <v>57</v>
      </c>
      <c r="L828" s="28" t="s">
        <v>57</v>
      </c>
    </row>
    <row r="829" ht="15.75" customHeight="1">
      <c r="A829" s="28" t="s">
        <v>114</v>
      </c>
      <c r="B829" s="28" t="s">
        <v>1000</v>
      </c>
      <c r="D829" s="28" t="s">
        <v>1203</v>
      </c>
      <c r="E829" s="28" t="s">
        <v>1710</v>
      </c>
      <c r="F829" s="28" t="s">
        <v>1700</v>
      </c>
      <c r="G829" s="28" t="s">
        <v>73</v>
      </c>
      <c r="H829" s="28">
        <v>1.0</v>
      </c>
      <c r="I829" s="28">
        <v>0.3530864197530864</v>
      </c>
      <c r="J829" s="28">
        <v>1.0</v>
      </c>
      <c r="K829" s="28" t="s">
        <v>57</v>
      </c>
      <c r="L829" s="28" t="s">
        <v>57</v>
      </c>
    </row>
    <row r="830" ht="15.75" customHeight="1">
      <c r="A830" s="28" t="s">
        <v>114</v>
      </c>
      <c r="B830" s="28" t="s">
        <v>1000</v>
      </c>
      <c r="D830" s="28" t="s">
        <v>1203</v>
      </c>
      <c r="E830" s="28" t="s">
        <v>1711</v>
      </c>
      <c r="F830" s="28" t="s">
        <v>1702</v>
      </c>
      <c r="G830" s="28" t="s">
        <v>123</v>
      </c>
      <c r="H830" s="28">
        <v>1.0</v>
      </c>
      <c r="I830" s="28">
        <v>0.3665480427046263</v>
      </c>
      <c r="J830" s="28">
        <v>4.0</v>
      </c>
      <c r="K830" s="28" t="s">
        <v>57</v>
      </c>
      <c r="L830" s="28" t="s">
        <v>57</v>
      </c>
    </row>
    <row r="831" ht="15.75" customHeight="1">
      <c r="A831" s="28" t="s">
        <v>114</v>
      </c>
      <c r="B831" s="28" t="s">
        <v>1000</v>
      </c>
      <c r="D831" s="28" t="s">
        <v>167</v>
      </c>
      <c r="E831" s="28" t="s">
        <v>1712</v>
      </c>
      <c r="F831" s="28" t="s">
        <v>1713</v>
      </c>
      <c r="G831" s="28" t="s">
        <v>123</v>
      </c>
      <c r="H831" s="28">
        <v>1.0</v>
      </c>
      <c r="I831" s="28">
        <v>0.23580786026200873</v>
      </c>
      <c r="J831" s="28">
        <v>3.0</v>
      </c>
      <c r="K831" s="28" t="s">
        <v>57</v>
      </c>
      <c r="L831" s="28" t="s">
        <v>57</v>
      </c>
    </row>
    <row r="832" ht="15.75" customHeight="1">
      <c r="A832" s="28" t="s">
        <v>114</v>
      </c>
      <c r="B832" s="28" t="s">
        <v>1000</v>
      </c>
      <c r="D832" s="28" t="s">
        <v>167</v>
      </c>
      <c r="E832" s="28" t="s">
        <v>1714</v>
      </c>
      <c r="F832" s="28" t="s">
        <v>1715</v>
      </c>
      <c r="G832" s="28" t="s">
        <v>73</v>
      </c>
      <c r="H832" s="28">
        <v>1.0</v>
      </c>
      <c r="I832" s="28">
        <v>0.4469135802469136</v>
      </c>
      <c r="J832" s="28">
        <v>0.0</v>
      </c>
      <c r="K832" s="28" t="s">
        <v>57</v>
      </c>
      <c r="L832" s="28" t="s">
        <v>57</v>
      </c>
    </row>
    <row r="833" ht="15.75" customHeight="1">
      <c r="A833" s="28" t="s">
        <v>114</v>
      </c>
      <c r="B833" s="28" t="s">
        <v>1000</v>
      </c>
      <c r="D833" s="28" t="s">
        <v>73</v>
      </c>
      <c r="E833" s="28" t="s">
        <v>1716</v>
      </c>
      <c r="F833" s="28" t="s">
        <v>1717</v>
      </c>
      <c r="G833" s="28" t="s">
        <v>123</v>
      </c>
      <c r="H833" s="28">
        <v>1.0</v>
      </c>
      <c r="I833" s="28">
        <v>0.5679012345679012</v>
      </c>
      <c r="J833" s="28">
        <v>2.0</v>
      </c>
      <c r="K833" s="28" t="s">
        <v>57</v>
      </c>
      <c r="L833" s="28" t="s">
        <v>57</v>
      </c>
    </row>
    <row r="834" ht="15.75" customHeight="1">
      <c r="A834" s="28" t="s">
        <v>1718</v>
      </c>
      <c r="B834" s="28" t="s">
        <v>1000</v>
      </c>
      <c r="D834" s="28" t="s">
        <v>134</v>
      </c>
      <c r="E834" s="28" t="s">
        <v>1719</v>
      </c>
      <c r="F834" s="28" t="s">
        <v>1720</v>
      </c>
      <c r="G834" s="28" t="s">
        <v>329</v>
      </c>
      <c r="H834" s="28">
        <v>1.0</v>
      </c>
      <c r="I834" s="28">
        <v>0.16477272727272727</v>
      </c>
      <c r="J834" s="28">
        <v>0.0</v>
      </c>
      <c r="K834" s="28" t="s">
        <v>57</v>
      </c>
      <c r="L834" s="28" t="s">
        <v>57</v>
      </c>
    </row>
    <row r="835" ht="15.75" customHeight="1">
      <c r="A835" s="28" t="s">
        <v>907</v>
      </c>
      <c r="B835" s="28" t="s">
        <v>1000</v>
      </c>
      <c r="D835" s="28" t="s">
        <v>908</v>
      </c>
      <c r="E835" s="28" t="s">
        <v>1721</v>
      </c>
      <c r="F835" s="28" t="s">
        <v>1722</v>
      </c>
      <c r="G835" s="28" t="s">
        <v>911</v>
      </c>
      <c r="H835" s="28">
        <v>1.0</v>
      </c>
      <c r="I835" s="28">
        <v>0.024242424242424242</v>
      </c>
      <c r="J835" s="28">
        <v>0.0</v>
      </c>
      <c r="K835" s="28" t="s">
        <v>57</v>
      </c>
      <c r="L835" s="28" t="s">
        <v>57</v>
      </c>
    </row>
    <row r="836" ht="15.75" customHeight="1">
      <c r="A836" s="28" t="s">
        <v>1723</v>
      </c>
      <c r="B836" s="28" t="s">
        <v>1000</v>
      </c>
      <c r="D836" s="28" t="s">
        <v>1724</v>
      </c>
      <c r="E836" s="28" t="s">
        <v>1725</v>
      </c>
      <c r="F836" s="28" t="s">
        <v>1726</v>
      </c>
      <c r="G836" s="28" t="s">
        <v>1727</v>
      </c>
      <c r="H836" s="28">
        <v>1.0</v>
      </c>
      <c r="I836" s="28">
        <v>0.1566579634464752</v>
      </c>
      <c r="J836" s="28">
        <v>1.0</v>
      </c>
      <c r="K836" s="28" t="s">
        <v>57</v>
      </c>
      <c r="L836" s="28" t="s">
        <v>57</v>
      </c>
    </row>
    <row r="837" ht="15.75" customHeight="1">
      <c r="A837" s="28" t="s">
        <v>1723</v>
      </c>
      <c r="B837" s="28" t="s">
        <v>1000</v>
      </c>
      <c r="D837" s="28" t="s">
        <v>1724</v>
      </c>
      <c r="E837" s="28" t="s">
        <v>1728</v>
      </c>
      <c r="F837" s="28" t="s">
        <v>1729</v>
      </c>
      <c r="G837" s="28" t="s">
        <v>1730</v>
      </c>
      <c r="H837" s="28">
        <v>0.8333333333333334</v>
      </c>
      <c r="I837" s="28">
        <v>0.3076923076923077</v>
      </c>
      <c r="J837" s="28">
        <v>0.0</v>
      </c>
      <c r="K837" s="28" t="s">
        <v>57</v>
      </c>
      <c r="L837" s="28" t="s">
        <v>1731</v>
      </c>
    </row>
    <row r="838" ht="15.75" customHeight="1">
      <c r="A838" s="28" t="s">
        <v>1723</v>
      </c>
      <c r="B838" s="28" t="s">
        <v>1000</v>
      </c>
      <c r="D838" s="28" t="s">
        <v>1724</v>
      </c>
      <c r="E838" s="28" t="s">
        <v>1732</v>
      </c>
      <c r="F838" s="28" t="s">
        <v>1729</v>
      </c>
      <c r="G838" s="28" t="s">
        <v>1733</v>
      </c>
      <c r="H838" s="28">
        <v>0.8333333333333334</v>
      </c>
      <c r="I838" s="28">
        <v>0.38726790450928383</v>
      </c>
      <c r="J838" s="28">
        <v>2.0</v>
      </c>
      <c r="K838" s="28" t="s">
        <v>57</v>
      </c>
      <c r="L838" s="28" t="s">
        <v>1731</v>
      </c>
    </row>
    <row r="839" ht="15.75" customHeight="1">
      <c r="A839" s="28" t="s">
        <v>1723</v>
      </c>
      <c r="B839" s="28" t="s">
        <v>1000</v>
      </c>
      <c r="D839" s="28" t="s">
        <v>1730</v>
      </c>
      <c r="E839" s="28" t="s">
        <v>1734</v>
      </c>
      <c r="F839" s="28" t="s">
        <v>1735</v>
      </c>
      <c r="G839" s="28" t="s">
        <v>1733</v>
      </c>
      <c r="H839" s="28">
        <v>1.0</v>
      </c>
      <c r="I839" s="28">
        <v>0.17263843648208468</v>
      </c>
      <c r="J839" s="28">
        <v>1.0</v>
      </c>
      <c r="K839" s="28" t="s">
        <v>57</v>
      </c>
      <c r="L839" s="28" t="s">
        <v>57</v>
      </c>
    </row>
    <row r="840" ht="15.75" customHeight="1">
      <c r="A840" s="28" t="s">
        <v>1723</v>
      </c>
      <c r="B840" s="28" t="s">
        <v>1000</v>
      </c>
      <c r="D840" s="28" t="s">
        <v>1730</v>
      </c>
      <c r="E840" s="28" t="s">
        <v>1736</v>
      </c>
      <c r="F840" s="28" t="s">
        <v>1737</v>
      </c>
      <c r="G840" s="28" t="s">
        <v>1727</v>
      </c>
      <c r="H840" s="28">
        <v>0.8333333333333334</v>
      </c>
      <c r="I840" s="28">
        <v>0.4281984334203655</v>
      </c>
      <c r="J840" s="28">
        <v>0.0</v>
      </c>
      <c r="K840" s="28" t="s">
        <v>57</v>
      </c>
      <c r="L840" s="28" t="s">
        <v>1731</v>
      </c>
    </row>
    <row r="841" ht="15.75" customHeight="1">
      <c r="A841" s="28" t="s">
        <v>1723</v>
      </c>
      <c r="B841" s="28" t="s">
        <v>1000</v>
      </c>
      <c r="D841" s="28" t="s">
        <v>1727</v>
      </c>
      <c r="E841" s="28" t="s">
        <v>1738</v>
      </c>
      <c r="F841" s="28" t="s">
        <v>1729</v>
      </c>
      <c r="G841" s="28" t="s">
        <v>1733</v>
      </c>
      <c r="H841" s="28">
        <v>0.8333333333333334</v>
      </c>
      <c r="I841" s="28">
        <v>0.3028720626631854</v>
      </c>
      <c r="J841" s="28">
        <v>0.0</v>
      </c>
      <c r="K841" s="28" t="s">
        <v>57</v>
      </c>
      <c r="L841" s="28" t="s">
        <v>1731</v>
      </c>
    </row>
    <row r="842" ht="15.75" customHeight="1">
      <c r="A842" s="28" t="s">
        <v>1739</v>
      </c>
      <c r="B842" s="28" t="s">
        <v>1000</v>
      </c>
      <c r="D842" s="28" t="s">
        <v>1138</v>
      </c>
      <c r="E842" s="28" t="s">
        <v>1156</v>
      </c>
      <c r="F842" s="28" t="s">
        <v>1157</v>
      </c>
      <c r="G842" s="28" t="s">
        <v>1141</v>
      </c>
      <c r="H842" s="28">
        <v>0.9090909090909091</v>
      </c>
      <c r="I842" s="28">
        <v>0.04071246819338423</v>
      </c>
      <c r="J842" s="28">
        <v>3.0</v>
      </c>
      <c r="K842" s="28" t="s">
        <v>57</v>
      </c>
      <c r="L842" s="28" t="s">
        <v>1158</v>
      </c>
    </row>
    <row r="843" ht="15.75" customHeight="1">
      <c r="A843" s="28" t="s">
        <v>1739</v>
      </c>
      <c r="B843" s="28" t="s">
        <v>1000</v>
      </c>
      <c r="D843" s="28" t="s">
        <v>1138</v>
      </c>
      <c r="E843" s="28" t="s">
        <v>1159</v>
      </c>
      <c r="F843" s="28" t="s">
        <v>1160</v>
      </c>
      <c r="G843" s="28" t="s">
        <v>1143</v>
      </c>
      <c r="H843" s="28">
        <v>0.9090909090909091</v>
      </c>
      <c r="I843" s="28">
        <v>0.04314720812182741</v>
      </c>
      <c r="J843" s="28">
        <v>1.0</v>
      </c>
      <c r="K843" s="28" t="s">
        <v>57</v>
      </c>
      <c r="L843" s="28" t="s">
        <v>1161</v>
      </c>
    </row>
    <row r="844" ht="15.75" customHeight="1">
      <c r="A844" s="28" t="s">
        <v>1739</v>
      </c>
      <c r="B844" s="28" t="s">
        <v>1000</v>
      </c>
      <c r="D844" s="28" t="s">
        <v>1138</v>
      </c>
      <c r="E844" s="28" t="s">
        <v>1162</v>
      </c>
      <c r="F844" s="28" t="s">
        <v>1157</v>
      </c>
      <c r="G844" s="28" t="s">
        <v>1145</v>
      </c>
      <c r="H844" s="28">
        <v>0.9090909090909091</v>
      </c>
      <c r="I844" s="28">
        <v>0.045454545454545456</v>
      </c>
      <c r="J844" s="28">
        <v>2.0</v>
      </c>
      <c r="K844" s="28" t="s">
        <v>57</v>
      </c>
      <c r="L844" s="28" t="s">
        <v>1158</v>
      </c>
    </row>
    <row r="845" ht="15.75" customHeight="1">
      <c r="A845" s="28" t="s">
        <v>1739</v>
      </c>
      <c r="B845" s="28" t="s">
        <v>1000</v>
      </c>
      <c r="D845" s="28" t="s">
        <v>1138</v>
      </c>
      <c r="E845" s="28" t="s">
        <v>1163</v>
      </c>
      <c r="F845" s="28" t="s">
        <v>1160</v>
      </c>
      <c r="G845" s="28" t="s">
        <v>1147</v>
      </c>
      <c r="H845" s="28">
        <v>0.9090909090909091</v>
      </c>
      <c r="I845" s="28">
        <v>0.04785894206549118</v>
      </c>
      <c r="J845" s="28">
        <v>0.0</v>
      </c>
      <c r="K845" s="28" t="s">
        <v>57</v>
      </c>
      <c r="L845" s="28" t="s">
        <v>1161</v>
      </c>
    </row>
    <row r="846" ht="15.75" customHeight="1">
      <c r="A846" s="28" t="s">
        <v>1739</v>
      </c>
      <c r="B846" s="28" t="s">
        <v>1000</v>
      </c>
      <c r="D846" s="28" t="s">
        <v>1138</v>
      </c>
      <c r="E846" s="28" t="s">
        <v>1740</v>
      </c>
      <c r="F846" s="28" t="s">
        <v>1140</v>
      </c>
      <c r="G846" s="28" t="s">
        <v>1165</v>
      </c>
      <c r="H846" s="28">
        <v>0.8333333333333334</v>
      </c>
      <c r="I846" s="28">
        <v>0.06583850931677018</v>
      </c>
      <c r="J846" s="28">
        <v>4.0</v>
      </c>
      <c r="K846" s="28" t="s">
        <v>57</v>
      </c>
      <c r="L846" s="28" t="s">
        <v>1128</v>
      </c>
    </row>
    <row r="847" ht="15.75" customHeight="1">
      <c r="A847" s="28" t="s">
        <v>1739</v>
      </c>
      <c r="B847" s="28" t="s">
        <v>1000</v>
      </c>
      <c r="D847" s="28" t="s">
        <v>1147</v>
      </c>
      <c r="E847" s="28" t="s">
        <v>1166</v>
      </c>
      <c r="F847" s="28" t="s">
        <v>1167</v>
      </c>
      <c r="G847" s="28" t="s">
        <v>1143</v>
      </c>
      <c r="H847" s="28">
        <v>1.0</v>
      </c>
      <c r="I847" s="28">
        <v>0.007556675062972292</v>
      </c>
      <c r="J847" s="28">
        <v>0.0</v>
      </c>
      <c r="K847" s="28" t="s">
        <v>57</v>
      </c>
      <c r="L847" s="28" t="s">
        <v>57</v>
      </c>
    </row>
    <row r="848" ht="15.75" customHeight="1">
      <c r="A848" s="28" t="s">
        <v>1739</v>
      </c>
      <c r="B848" s="28" t="s">
        <v>1000</v>
      </c>
      <c r="D848" s="28" t="s">
        <v>1147</v>
      </c>
      <c r="E848" s="28" t="s">
        <v>1168</v>
      </c>
      <c r="F848" s="28" t="s">
        <v>1169</v>
      </c>
      <c r="G848" s="28" t="s">
        <v>1145</v>
      </c>
      <c r="H848" s="28">
        <v>0.8333333333333334</v>
      </c>
      <c r="I848" s="28">
        <v>0.007556675062972292</v>
      </c>
      <c r="J848" s="28">
        <v>1.0</v>
      </c>
      <c r="K848" s="28" t="s">
        <v>57</v>
      </c>
      <c r="L848" s="28" t="s">
        <v>1128</v>
      </c>
    </row>
    <row r="849" ht="15.75" customHeight="1">
      <c r="A849" s="28" t="s">
        <v>1739</v>
      </c>
      <c r="B849" s="28" t="s">
        <v>1000</v>
      </c>
      <c r="D849" s="28" t="s">
        <v>1147</v>
      </c>
      <c r="E849" s="28" t="s">
        <v>1170</v>
      </c>
      <c r="F849" s="28" t="s">
        <v>1169</v>
      </c>
      <c r="G849" s="28" t="s">
        <v>1141</v>
      </c>
      <c r="H849" s="28">
        <v>0.8333333333333334</v>
      </c>
      <c r="I849" s="28">
        <v>0.015113350125944584</v>
      </c>
      <c r="J849" s="28">
        <v>2.0</v>
      </c>
      <c r="K849" s="28" t="s">
        <v>57</v>
      </c>
      <c r="L849" s="28" t="s">
        <v>1128</v>
      </c>
    </row>
    <row r="850" ht="15.75" customHeight="1">
      <c r="A850" s="28" t="s">
        <v>1739</v>
      </c>
      <c r="B850" s="28" t="s">
        <v>1000</v>
      </c>
      <c r="D850" s="28" t="s">
        <v>1147</v>
      </c>
      <c r="E850" s="28" t="s">
        <v>1741</v>
      </c>
      <c r="F850" s="28" t="s">
        <v>1172</v>
      </c>
      <c r="G850" s="28" t="s">
        <v>1165</v>
      </c>
      <c r="H850" s="28">
        <v>0.9166666666666666</v>
      </c>
      <c r="I850" s="28">
        <v>0.043478260869565216</v>
      </c>
      <c r="J850" s="28">
        <v>3.0</v>
      </c>
      <c r="K850" s="28" t="s">
        <v>57</v>
      </c>
      <c r="L850" s="28" t="s">
        <v>1158</v>
      </c>
    </row>
    <row r="851" ht="15.75" customHeight="1">
      <c r="A851" s="28" t="s">
        <v>1739</v>
      </c>
      <c r="B851" s="28" t="s">
        <v>1000</v>
      </c>
      <c r="D851" s="28" t="s">
        <v>1143</v>
      </c>
      <c r="E851" s="28" t="s">
        <v>1173</v>
      </c>
      <c r="F851" s="28" t="s">
        <v>1169</v>
      </c>
      <c r="G851" s="28" t="s">
        <v>1141</v>
      </c>
      <c r="H851" s="28">
        <v>0.8333333333333334</v>
      </c>
      <c r="I851" s="28">
        <v>0.01015228426395939</v>
      </c>
      <c r="J851" s="28">
        <v>1.0</v>
      </c>
      <c r="K851" s="28" t="s">
        <v>57</v>
      </c>
      <c r="L851" s="28" t="s">
        <v>1128</v>
      </c>
    </row>
    <row r="852" ht="15.75" customHeight="1">
      <c r="A852" s="28" t="s">
        <v>1739</v>
      </c>
      <c r="B852" s="28" t="s">
        <v>1000</v>
      </c>
      <c r="D852" s="28" t="s">
        <v>1143</v>
      </c>
      <c r="E852" s="28" t="s">
        <v>1174</v>
      </c>
      <c r="F852" s="28" t="s">
        <v>1169</v>
      </c>
      <c r="G852" s="28" t="s">
        <v>1145</v>
      </c>
      <c r="H852" s="28">
        <v>0.8333333333333334</v>
      </c>
      <c r="I852" s="28">
        <v>0.015151515151515152</v>
      </c>
      <c r="J852" s="28">
        <v>0.0</v>
      </c>
      <c r="K852" s="28" t="s">
        <v>57</v>
      </c>
      <c r="L852" s="28" t="s">
        <v>1128</v>
      </c>
    </row>
    <row r="853" ht="15.75" customHeight="1">
      <c r="A853" s="28" t="s">
        <v>1739</v>
      </c>
      <c r="B853" s="28" t="s">
        <v>1000</v>
      </c>
      <c r="D853" s="28" t="s">
        <v>1143</v>
      </c>
      <c r="E853" s="28" t="s">
        <v>1742</v>
      </c>
      <c r="F853" s="28" t="s">
        <v>1172</v>
      </c>
      <c r="G853" s="28" t="s">
        <v>1165</v>
      </c>
      <c r="H853" s="28">
        <v>0.9166666666666666</v>
      </c>
      <c r="I853" s="28">
        <v>0.03602484472049689</v>
      </c>
      <c r="J853" s="28">
        <v>2.0</v>
      </c>
      <c r="K853" s="28" t="s">
        <v>57</v>
      </c>
      <c r="L853" s="28" t="s">
        <v>1158</v>
      </c>
    </row>
    <row r="854" ht="15.75" customHeight="1">
      <c r="A854" s="28" t="s">
        <v>1739</v>
      </c>
      <c r="B854" s="28" t="s">
        <v>1000</v>
      </c>
      <c r="D854" s="28" t="s">
        <v>1145</v>
      </c>
      <c r="E854" s="28" t="s">
        <v>1176</v>
      </c>
      <c r="F854" s="28" t="s">
        <v>1177</v>
      </c>
      <c r="G854" s="28" t="s">
        <v>1141</v>
      </c>
      <c r="H854" s="28">
        <v>1.0</v>
      </c>
      <c r="I854" s="28">
        <v>0.007575757575757576</v>
      </c>
      <c r="J854" s="28">
        <v>0.0</v>
      </c>
      <c r="K854" s="28" t="s">
        <v>57</v>
      </c>
      <c r="L854" s="28" t="s">
        <v>57</v>
      </c>
    </row>
    <row r="855" ht="15.75" customHeight="1">
      <c r="A855" s="28" t="s">
        <v>1739</v>
      </c>
      <c r="B855" s="28" t="s">
        <v>1000</v>
      </c>
      <c r="D855" s="28" t="s">
        <v>1145</v>
      </c>
      <c r="E855" s="28" t="s">
        <v>1743</v>
      </c>
      <c r="F855" s="28" t="s">
        <v>1179</v>
      </c>
      <c r="G855" s="28" t="s">
        <v>1165</v>
      </c>
      <c r="H855" s="28">
        <v>0.9166666666666666</v>
      </c>
      <c r="I855" s="28">
        <v>0.043478260869565216</v>
      </c>
      <c r="J855" s="28">
        <v>1.0</v>
      </c>
      <c r="K855" s="28" t="s">
        <v>57</v>
      </c>
      <c r="L855" s="28" t="s">
        <v>1161</v>
      </c>
    </row>
    <row r="856" ht="15.75" customHeight="1">
      <c r="A856" s="28" t="s">
        <v>1739</v>
      </c>
      <c r="B856" s="28" t="s">
        <v>1000</v>
      </c>
      <c r="D856" s="28" t="s">
        <v>1141</v>
      </c>
      <c r="E856" s="28" t="s">
        <v>1744</v>
      </c>
      <c r="F856" s="28" t="s">
        <v>1179</v>
      </c>
      <c r="G856" s="28" t="s">
        <v>1165</v>
      </c>
      <c r="H856" s="28">
        <v>0.9166666666666666</v>
      </c>
      <c r="I856" s="28">
        <v>0.03602484472049689</v>
      </c>
      <c r="J856" s="28">
        <v>0.0</v>
      </c>
      <c r="K856" s="28" t="s">
        <v>57</v>
      </c>
      <c r="L856" s="28" t="s">
        <v>1161</v>
      </c>
    </row>
    <row r="857" ht="15.75" customHeight="1">
      <c r="A857" s="28" t="s">
        <v>920</v>
      </c>
      <c r="B857" s="28" t="s">
        <v>1000</v>
      </c>
      <c r="D857" s="28" t="s">
        <v>921</v>
      </c>
      <c r="E857" s="28" t="s">
        <v>922</v>
      </c>
      <c r="F857" s="28" t="s">
        <v>180</v>
      </c>
      <c r="G857" s="28" t="s">
        <v>923</v>
      </c>
      <c r="H857" s="28">
        <v>1.0</v>
      </c>
      <c r="I857" s="28">
        <v>0.16666666666666666</v>
      </c>
      <c r="J857" s="28">
        <v>4.0</v>
      </c>
      <c r="K857" s="28" t="s">
        <v>57</v>
      </c>
      <c r="L857" s="28" t="s">
        <v>57</v>
      </c>
    </row>
    <row r="858" ht="15.75" customHeight="1">
      <c r="A858" s="28" t="s">
        <v>920</v>
      </c>
      <c r="B858" s="28" t="s">
        <v>1000</v>
      </c>
      <c r="D858" s="28" t="s">
        <v>921</v>
      </c>
      <c r="E858" s="28" t="s">
        <v>924</v>
      </c>
      <c r="F858" s="28" t="s">
        <v>180</v>
      </c>
      <c r="G858" s="28" t="s">
        <v>925</v>
      </c>
      <c r="H858" s="28">
        <v>1.0</v>
      </c>
      <c r="I858" s="28">
        <v>0.16666666666666666</v>
      </c>
      <c r="J858" s="28">
        <v>3.0</v>
      </c>
      <c r="K858" s="28" t="s">
        <v>57</v>
      </c>
      <c r="L858" s="28" t="s">
        <v>57</v>
      </c>
    </row>
    <row r="859" ht="15.75" customHeight="1">
      <c r="A859" s="28" t="s">
        <v>920</v>
      </c>
      <c r="B859" s="28" t="s">
        <v>1000</v>
      </c>
      <c r="D859" s="28" t="s">
        <v>921</v>
      </c>
      <c r="E859" s="28" t="s">
        <v>1745</v>
      </c>
      <c r="F859" s="28" t="s">
        <v>1746</v>
      </c>
      <c r="G859" s="28" t="s">
        <v>929</v>
      </c>
      <c r="H859" s="28">
        <v>0.75</v>
      </c>
      <c r="I859" s="28">
        <v>0.1949685534591195</v>
      </c>
      <c r="J859" s="28">
        <v>1.0</v>
      </c>
      <c r="K859" s="28" t="s">
        <v>57</v>
      </c>
      <c r="L859" s="28" t="s">
        <v>1747</v>
      </c>
    </row>
    <row r="860" ht="15.75" customHeight="1">
      <c r="A860" s="28" t="s">
        <v>920</v>
      </c>
      <c r="B860" s="28" t="s">
        <v>1000</v>
      </c>
      <c r="D860" s="28" t="s">
        <v>921</v>
      </c>
      <c r="E860" s="28" t="s">
        <v>1748</v>
      </c>
      <c r="F860" s="28" t="s">
        <v>1746</v>
      </c>
      <c r="G860" s="28" t="s">
        <v>926</v>
      </c>
      <c r="H860" s="28">
        <v>0.75</v>
      </c>
      <c r="I860" s="28">
        <v>0.1949685534591195</v>
      </c>
      <c r="J860" s="28">
        <v>0.0</v>
      </c>
      <c r="K860" s="28" t="s">
        <v>57</v>
      </c>
      <c r="L860" s="28" t="s">
        <v>1747</v>
      </c>
    </row>
    <row r="861" ht="15.75" customHeight="1">
      <c r="A861" s="28" t="s">
        <v>920</v>
      </c>
      <c r="B861" s="28" t="s">
        <v>1000</v>
      </c>
      <c r="D861" s="28" t="s">
        <v>926</v>
      </c>
      <c r="E861" s="28" t="s">
        <v>1749</v>
      </c>
      <c r="F861" s="28" t="s">
        <v>1750</v>
      </c>
      <c r="G861" s="28" t="s">
        <v>929</v>
      </c>
      <c r="H861" s="28">
        <v>1.0</v>
      </c>
      <c r="I861" s="28">
        <v>0.025157232704402517</v>
      </c>
      <c r="J861" s="28">
        <v>0.0</v>
      </c>
      <c r="K861" s="28" t="s">
        <v>57</v>
      </c>
      <c r="L861" s="28" t="s">
        <v>57</v>
      </c>
    </row>
    <row r="862" ht="15.75" customHeight="1">
      <c r="A862" s="28" t="s">
        <v>920</v>
      </c>
      <c r="B862" s="28" t="s">
        <v>1000</v>
      </c>
      <c r="D862" s="28" t="s">
        <v>926</v>
      </c>
      <c r="E862" s="28" t="s">
        <v>1751</v>
      </c>
      <c r="F862" s="28" t="s">
        <v>1752</v>
      </c>
      <c r="G862" s="28" t="s">
        <v>925</v>
      </c>
      <c r="H862" s="28">
        <v>0.75</v>
      </c>
      <c r="I862" s="28">
        <v>0.16352201257861634</v>
      </c>
      <c r="J862" s="28">
        <v>2.0</v>
      </c>
      <c r="K862" s="28" t="s">
        <v>57</v>
      </c>
      <c r="L862" s="28" t="s">
        <v>1747</v>
      </c>
    </row>
    <row r="863" ht="15.75" customHeight="1">
      <c r="A863" s="28" t="s">
        <v>920</v>
      </c>
      <c r="B863" s="28" t="s">
        <v>1000</v>
      </c>
      <c r="D863" s="28" t="s">
        <v>926</v>
      </c>
      <c r="E863" s="28" t="s">
        <v>1753</v>
      </c>
      <c r="F863" s="28" t="s">
        <v>1752</v>
      </c>
      <c r="G863" s="28" t="s">
        <v>923</v>
      </c>
      <c r="H863" s="28">
        <v>0.75</v>
      </c>
      <c r="I863" s="28">
        <v>0.18867924528301888</v>
      </c>
      <c r="J863" s="28">
        <v>3.0</v>
      </c>
      <c r="K863" s="28" t="s">
        <v>57</v>
      </c>
      <c r="L863" s="28" t="s">
        <v>1747</v>
      </c>
    </row>
    <row r="864" ht="15.75" customHeight="1">
      <c r="A864" s="28" t="s">
        <v>920</v>
      </c>
      <c r="B864" s="28" t="s">
        <v>1000</v>
      </c>
      <c r="D864" s="28" t="s">
        <v>929</v>
      </c>
      <c r="E864" s="28" t="s">
        <v>1754</v>
      </c>
      <c r="F864" s="28" t="s">
        <v>1752</v>
      </c>
      <c r="G864" s="28" t="s">
        <v>923</v>
      </c>
      <c r="H864" s="28">
        <v>0.75</v>
      </c>
      <c r="I864" s="28">
        <v>0.16352201257861634</v>
      </c>
      <c r="J864" s="28">
        <v>2.0</v>
      </c>
      <c r="K864" s="28" t="s">
        <v>57</v>
      </c>
      <c r="L864" s="28" t="s">
        <v>1747</v>
      </c>
    </row>
    <row r="865" ht="15.75" customHeight="1">
      <c r="A865" s="28" t="s">
        <v>920</v>
      </c>
      <c r="B865" s="28" t="s">
        <v>1000</v>
      </c>
      <c r="D865" s="28" t="s">
        <v>929</v>
      </c>
      <c r="E865" s="28" t="s">
        <v>1755</v>
      </c>
      <c r="F865" s="28" t="s">
        <v>1752</v>
      </c>
      <c r="G865" s="28" t="s">
        <v>925</v>
      </c>
      <c r="H865" s="28">
        <v>0.75</v>
      </c>
      <c r="I865" s="28">
        <v>0.18867924528301888</v>
      </c>
      <c r="J865" s="28">
        <v>1.0</v>
      </c>
      <c r="K865" s="28" t="s">
        <v>57</v>
      </c>
      <c r="L865" s="28" t="s">
        <v>1747</v>
      </c>
    </row>
    <row r="866" ht="15.75" customHeight="1">
      <c r="A866" s="28" t="s">
        <v>920</v>
      </c>
      <c r="B866" s="28" t="s">
        <v>1000</v>
      </c>
      <c r="D866" s="28" t="s">
        <v>925</v>
      </c>
      <c r="E866" s="28" t="s">
        <v>930</v>
      </c>
      <c r="F866" s="28" t="s">
        <v>180</v>
      </c>
      <c r="G866" s="28" t="s">
        <v>923</v>
      </c>
      <c r="H866" s="28">
        <v>1.0</v>
      </c>
      <c r="I866" s="28">
        <v>0.02564102564102564</v>
      </c>
      <c r="J866" s="28">
        <v>0.0</v>
      </c>
      <c r="K866" s="28" t="s">
        <v>57</v>
      </c>
      <c r="L866" s="28" t="s">
        <v>57</v>
      </c>
    </row>
    <row r="867" ht="15.75" customHeight="1">
      <c r="A867" s="28" t="s">
        <v>931</v>
      </c>
      <c r="B867" s="28" t="s">
        <v>1000</v>
      </c>
      <c r="D867" s="28" t="s">
        <v>1756</v>
      </c>
      <c r="E867" s="28" t="s">
        <v>1757</v>
      </c>
      <c r="F867" s="28" t="s">
        <v>1758</v>
      </c>
      <c r="G867" s="28" t="s">
        <v>935</v>
      </c>
      <c r="H867" s="28">
        <v>0.75</v>
      </c>
      <c r="I867" s="28">
        <v>0.2037037037037037</v>
      </c>
      <c r="J867" s="28">
        <v>1.0</v>
      </c>
      <c r="K867" s="28" t="s">
        <v>57</v>
      </c>
      <c r="L867" s="28" t="s">
        <v>1759</v>
      </c>
    </row>
    <row r="868" ht="15.75" customHeight="1">
      <c r="A868" s="28" t="s">
        <v>931</v>
      </c>
      <c r="B868" s="28" t="s">
        <v>1000</v>
      </c>
      <c r="D868" s="28" t="s">
        <v>1756</v>
      </c>
      <c r="E868" s="28" t="s">
        <v>1760</v>
      </c>
      <c r="F868" s="28" t="s">
        <v>1758</v>
      </c>
      <c r="G868" s="28" t="s">
        <v>932</v>
      </c>
      <c r="H868" s="28">
        <v>0.75</v>
      </c>
      <c r="I868" s="28">
        <v>0.2037037037037037</v>
      </c>
      <c r="J868" s="28">
        <v>0.0</v>
      </c>
      <c r="K868" s="28" t="s">
        <v>57</v>
      </c>
      <c r="L868" s="28" t="s">
        <v>1759</v>
      </c>
    </row>
    <row r="869" ht="15.75" customHeight="1">
      <c r="A869" s="28" t="s">
        <v>931</v>
      </c>
      <c r="B869" s="28" t="s">
        <v>1000</v>
      </c>
      <c r="D869" s="28" t="s">
        <v>932</v>
      </c>
      <c r="E869" s="28" t="s">
        <v>1761</v>
      </c>
      <c r="F869" s="28" t="s">
        <v>1762</v>
      </c>
      <c r="G869" s="28" t="s">
        <v>935</v>
      </c>
      <c r="H869" s="28">
        <v>1.0</v>
      </c>
      <c r="I869" s="28">
        <v>0.024691358024691357</v>
      </c>
      <c r="J869" s="28">
        <v>0.0</v>
      </c>
      <c r="K869" s="28" t="s">
        <v>57</v>
      </c>
      <c r="L869" s="28" t="s">
        <v>57</v>
      </c>
    </row>
    <row r="870" ht="15.75" customHeight="1">
      <c r="A870" s="28" t="s">
        <v>1763</v>
      </c>
      <c r="B870" s="28" t="s">
        <v>1000</v>
      </c>
      <c r="D870" s="28" t="s">
        <v>1764</v>
      </c>
      <c r="E870" s="28" t="s">
        <v>1765</v>
      </c>
      <c r="F870" s="28" t="s">
        <v>1766</v>
      </c>
      <c r="G870" s="28" t="s">
        <v>1767</v>
      </c>
      <c r="H870" s="28">
        <v>1.0</v>
      </c>
      <c r="I870" s="28">
        <v>0.022082018927444796</v>
      </c>
      <c r="J870" s="28">
        <v>0.0</v>
      </c>
      <c r="K870" s="28" t="s">
        <v>57</v>
      </c>
      <c r="L870" s="28" t="s">
        <v>57</v>
      </c>
    </row>
    <row r="871" ht="15.75" customHeight="1">
      <c r="A871" s="28" t="s">
        <v>1763</v>
      </c>
      <c r="B871" s="28" t="s">
        <v>1000</v>
      </c>
      <c r="D871" s="28" t="s">
        <v>1764</v>
      </c>
      <c r="E871" s="28" t="s">
        <v>1768</v>
      </c>
      <c r="F871" s="28" t="s">
        <v>1766</v>
      </c>
      <c r="G871" s="28" t="s">
        <v>1769</v>
      </c>
      <c r="H871" s="28">
        <v>1.0</v>
      </c>
      <c r="I871" s="28">
        <v>0.037037037037037035</v>
      </c>
      <c r="J871" s="28">
        <v>1.0</v>
      </c>
      <c r="K871" s="28" t="s">
        <v>57</v>
      </c>
      <c r="L871" s="28" t="s">
        <v>57</v>
      </c>
    </row>
    <row r="872" ht="15.75" customHeight="1">
      <c r="A872" s="28" t="s">
        <v>1763</v>
      </c>
      <c r="B872" s="28" t="s">
        <v>1000</v>
      </c>
      <c r="D872" s="28" t="s">
        <v>1764</v>
      </c>
      <c r="E872" s="28" t="s">
        <v>1770</v>
      </c>
      <c r="F872" s="28" t="s">
        <v>1766</v>
      </c>
      <c r="G872" s="28" t="s">
        <v>1771</v>
      </c>
      <c r="H872" s="28">
        <v>1.0</v>
      </c>
      <c r="I872" s="28">
        <v>0.05740181268882175</v>
      </c>
      <c r="J872" s="28">
        <v>2.0</v>
      </c>
      <c r="K872" s="28" t="s">
        <v>57</v>
      </c>
      <c r="L872" s="28" t="s">
        <v>57</v>
      </c>
    </row>
    <row r="873" ht="15.75" customHeight="1">
      <c r="A873" s="28" t="s">
        <v>1763</v>
      </c>
      <c r="B873" s="28" t="s">
        <v>1000</v>
      </c>
      <c r="D873" s="28" t="s">
        <v>1767</v>
      </c>
      <c r="E873" s="28" t="s">
        <v>1772</v>
      </c>
      <c r="F873" s="28" t="s">
        <v>1766</v>
      </c>
      <c r="G873" s="28" t="s">
        <v>1769</v>
      </c>
      <c r="H873" s="28">
        <v>1.0</v>
      </c>
      <c r="I873" s="28">
        <v>0.021604938271604937</v>
      </c>
      <c r="J873" s="28">
        <v>0.0</v>
      </c>
      <c r="K873" s="28" t="s">
        <v>57</v>
      </c>
      <c r="L873" s="28" t="s">
        <v>57</v>
      </c>
    </row>
    <row r="874" ht="15.75" customHeight="1">
      <c r="A874" s="28" t="s">
        <v>1763</v>
      </c>
      <c r="B874" s="28" t="s">
        <v>1000</v>
      </c>
      <c r="D874" s="28" t="s">
        <v>1767</v>
      </c>
      <c r="E874" s="28" t="s">
        <v>1773</v>
      </c>
      <c r="F874" s="28" t="s">
        <v>1766</v>
      </c>
      <c r="G874" s="28" t="s">
        <v>1771</v>
      </c>
      <c r="H874" s="28">
        <v>1.0</v>
      </c>
      <c r="I874" s="28">
        <v>0.04229607250755287</v>
      </c>
      <c r="J874" s="28">
        <v>1.0</v>
      </c>
      <c r="K874" s="28" t="s">
        <v>57</v>
      </c>
      <c r="L874" s="28" t="s">
        <v>57</v>
      </c>
    </row>
    <row r="875" ht="15.75" customHeight="1">
      <c r="A875" s="28" t="s">
        <v>1763</v>
      </c>
      <c r="B875" s="28" t="s">
        <v>1000</v>
      </c>
      <c r="D875" s="28" t="s">
        <v>1769</v>
      </c>
      <c r="E875" s="28" t="s">
        <v>1774</v>
      </c>
      <c r="F875" s="28" t="s">
        <v>1766</v>
      </c>
      <c r="G875" s="28" t="s">
        <v>1771</v>
      </c>
      <c r="H875" s="28">
        <v>1.0</v>
      </c>
      <c r="I875" s="28">
        <v>0.021148036253776436</v>
      </c>
      <c r="J875" s="28">
        <v>0.0</v>
      </c>
      <c r="K875" s="28" t="s">
        <v>57</v>
      </c>
      <c r="L875" s="28" t="s">
        <v>57</v>
      </c>
    </row>
    <row r="876" ht="15.75" customHeight="1">
      <c r="A876" s="28" t="s">
        <v>1775</v>
      </c>
      <c r="B876" s="28" t="s">
        <v>1000</v>
      </c>
      <c r="D876" s="28" t="s">
        <v>1124</v>
      </c>
      <c r="E876" s="28" t="s">
        <v>1776</v>
      </c>
      <c r="F876" s="28" t="s">
        <v>1777</v>
      </c>
      <c r="G876" s="28" t="s">
        <v>1127</v>
      </c>
      <c r="H876" s="28">
        <v>0.8333333333333334</v>
      </c>
      <c r="I876" s="28">
        <v>0.19728729963008632</v>
      </c>
      <c r="J876" s="28">
        <v>2.0</v>
      </c>
      <c r="K876" s="28" t="s">
        <v>57</v>
      </c>
      <c r="L876" s="28" t="s">
        <v>1128</v>
      </c>
    </row>
    <row r="877" ht="15.75" customHeight="1">
      <c r="A877" s="28" t="s">
        <v>1775</v>
      </c>
      <c r="B877" s="28" t="s">
        <v>1000</v>
      </c>
      <c r="D877" s="28" t="s">
        <v>1124</v>
      </c>
      <c r="E877" s="28" t="s">
        <v>1778</v>
      </c>
      <c r="F877" s="28" t="s">
        <v>1777</v>
      </c>
      <c r="G877" s="28" t="s">
        <v>1130</v>
      </c>
      <c r="H877" s="28">
        <v>0.8333333333333334</v>
      </c>
      <c r="I877" s="28">
        <v>0.19852034525277434</v>
      </c>
      <c r="J877" s="28">
        <v>1.0</v>
      </c>
      <c r="K877" s="28" t="s">
        <v>57</v>
      </c>
      <c r="L877" s="28" t="s">
        <v>1128</v>
      </c>
    </row>
    <row r="878" ht="15.75" customHeight="1">
      <c r="A878" s="28" t="s">
        <v>1775</v>
      </c>
      <c r="B878" s="28" t="s">
        <v>1000</v>
      </c>
      <c r="D878" s="28" t="s">
        <v>1124</v>
      </c>
      <c r="E878" s="28" t="s">
        <v>1779</v>
      </c>
      <c r="F878" s="28" t="s">
        <v>1777</v>
      </c>
      <c r="G878" s="28" t="s">
        <v>1132</v>
      </c>
      <c r="H878" s="28">
        <v>0.8333333333333334</v>
      </c>
      <c r="I878" s="28">
        <v>0.20838471023427868</v>
      </c>
      <c r="J878" s="28">
        <v>0.0</v>
      </c>
      <c r="K878" s="28" t="s">
        <v>57</v>
      </c>
      <c r="L878" s="28" t="s">
        <v>1128</v>
      </c>
    </row>
    <row r="879" ht="15.75" customHeight="1">
      <c r="A879" s="28" t="s">
        <v>1775</v>
      </c>
      <c r="B879" s="28" t="s">
        <v>1000</v>
      </c>
      <c r="D879" s="28" t="s">
        <v>1132</v>
      </c>
      <c r="E879" s="28" t="s">
        <v>1780</v>
      </c>
      <c r="F879" s="28" t="s">
        <v>1781</v>
      </c>
      <c r="G879" s="28" t="s">
        <v>1130</v>
      </c>
      <c r="H879" s="28">
        <v>1.0</v>
      </c>
      <c r="I879" s="28">
        <v>0.018891687657430732</v>
      </c>
      <c r="J879" s="28">
        <v>0.0</v>
      </c>
      <c r="K879" s="28" t="s">
        <v>57</v>
      </c>
      <c r="L879" s="28" t="s">
        <v>57</v>
      </c>
    </row>
    <row r="880" ht="15.75" customHeight="1">
      <c r="A880" s="28" t="s">
        <v>1775</v>
      </c>
      <c r="B880" s="28" t="s">
        <v>1000</v>
      </c>
      <c r="D880" s="28" t="s">
        <v>1132</v>
      </c>
      <c r="E880" s="28" t="s">
        <v>1782</v>
      </c>
      <c r="F880" s="28" t="s">
        <v>1781</v>
      </c>
      <c r="G880" s="28" t="s">
        <v>1127</v>
      </c>
      <c r="H880" s="28">
        <v>1.0</v>
      </c>
      <c r="I880" s="28">
        <v>0.02518891687657431</v>
      </c>
      <c r="J880" s="28">
        <v>1.0</v>
      </c>
      <c r="K880" s="28" t="s">
        <v>57</v>
      </c>
      <c r="L880" s="28" t="s">
        <v>57</v>
      </c>
    </row>
    <row r="881" ht="15.75" customHeight="1">
      <c r="A881" s="28" t="s">
        <v>1775</v>
      </c>
      <c r="B881" s="28" t="s">
        <v>1000</v>
      </c>
      <c r="D881" s="28" t="s">
        <v>1130</v>
      </c>
      <c r="E881" s="28" t="s">
        <v>1783</v>
      </c>
      <c r="F881" s="28" t="s">
        <v>1781</v>
      </c>
      <c r="G881" s="28" t="s">
        <v>1127</v>
      </c>
      <c r="H881" s="28">
        <v>1.0</v>
      </c>
      <c r="I881" s="28">
        <v>0.006418485237483954</v>
      </c>
      <c r="J881" s="28">
        <v>0.0</v>
      </c>
      <c r="K881" s="28" t="s">
        <v>57</v>
      </c>
      <c r="L881" s="28" t="s">
        <v>57</v>
      </c>
    </row>
    <row r="882" ht="15.75" customHeight="1">
      <c r="A882" s="28" t="s">
        <v>1775</v>
      </c>
      <c r="B882" s="28" t="s">
        <v>1000</v>
      </c>
      <c r="D882" s="28" t="s">
        <v>1784</v>
      </c>
      <c r="E882" s="28" t="s">
        <v>1785</v>
      </c>
      <c r="F882" s="28" t="s">
        <v>1786</v>
      </c>
      <c r="G882" s="28" t="s">
        <v>1787</v>
      </c>
      <c r="H882" s="28">
        <v>0.875</v>
      </c>
      <c r="I882" s="28">
        <v>0.11577424023154848</v>
      </c>
      <c r="J882" s="28">
        <v>0.0</v>
      </c>
      <c r="K882" s="28" t="s">
        <v>57</v>
      </c>
      <c r="L882" s="28" t="s">
        <v>1788</v>
      </c>
    </row>
    <row r="883" ht="15.75" customHeight="1">
      <c r="A883" s="28" t="s">
        <v>1775</v>
      </c>
      <c r="B883" s="28" t="s">
        <v>1000</v>
      </c>
      <c r="D883" s="28" t="s">
        <v>1784</v>
      </c>
      <c r="E883" s="28" t="s">
        <v>1789</v>
      </c>
      <c r="F883" s="28" t="s">
        <v>1790</v>
      </c>
      <c r="G883" s="28" t="s">
        <v>1791</v>
      </c>
      <c r="H883" s="28">
        <v>0.875</v>
      </c>
      <c r="I883" s="28">
        <v>0.19131614654002713</v>
      </c>
      <c r="J883" s="28">
        <v>1.0</v>
      </c>
      <c r="K883" s="28" t="s">
        <v>57</v>
      </c>
      <c r="L883" s="28" t="s">
        <v>1788</v>
      </c>
    </row>
    <row r="884" ht="15.75" customHeight="1">
      <c r="A884" s="28" t="s">
        <v>1775</v>
      </c>
      <c r="B884" s="28" t="s">
        <v>1000</v>
      </c>
      <c r="D884" s="28" t="s">
        <v>1784</v>
      </c>
      <c r="E884" s="28" t="s">
        <v>1792</v>
      </c>
      <c r="F884" s="28" t="s">
        <v>1790</v>
      </c>
      <c r="G884" s="28" t="s">
        <v>1793</v>
      </c>
      <c r="H884" s="28">
        <v>0.875</v>
      </c>
      <c r="I884" s="28">
        <v>0.19157608695652173</v>
      </c>
      <c r="J884" s="28">
        <v>2.0</v>
      </c>
      <c r="K884" s="28" t="s">
        <v>57</v>
      </c>
      <c r="L884" s="28" t="s">
        <v>1788</v>
      </c>
    </row>
    <row r="885" ht="15.75" customHeight="1">
      <c r="A885" s="28" t="s">
        <v>1775</v>
      </c>
      <c r="B885" s="28" t="s">
        <v>1000</v>
      </c>
      <c r="D885" s="28" t="s">
        <v>1787</v>
      </c>
      <c r="E885" s="28" t="s">
        <v>1794</v>
      </c>
      <c r="F885" s="28" t="s">
        <v>1795</v>
      </c>
      <c r="G885" s="28" t="s">
        <v>1791</v>
      </c>
      <c r="H885" s="28">
        <v>1.0</v>
      </c>
      <c r="I885" s="28">
        <v>0.09090909090909091</v>
      </c>
      <c r="J885" s="28">
        <v>0.0</v>
      </c>
      <c r="K885" s="28" t="s">
        <v>57</v>
      </c>
      <c r="L885" s="28" t="s">
        <v>57</v>
      </c>
    </row>
    <row r="886" ht="15.75" customHeight="1">
      <c r="A886" s="28" t="s">
        <v>1775</v>
      </c>
      <c r="B886" s="28" t="s">
        <v>1000</v>
      </c>
      <c r="D886" s="28" t="s">
        <v>1787</v>
      </c>
      <c r="E886" s="28" t="s">
        <v>1796</v>
      </c>
      <c r="F886" s="28" t="s">
        <v>1795</v>
      </c>
      <c r="G886" s="28" t="s">
        <v>1793</v>
      </c>
      <c r="H886" s="28">
        <v>1.0</v>
      </c>
      <c r="I886" s="28">
        <v>0.09103260869565218</v>
      </c>
      <c r="J886" s="28">
        <v>1.0</v>
      </c>
      <c r="K886" s="28" t="s">
        <v>57</v>
      </c>
      <c r="L886" s="28" t="s">
        <v>57</v>
      </c>
    </row>
    <row r="887" ht="15.75" customHeight="1">
      <c r="A887" s="28" t="s">
        <v>1775</v>
      </c>
      <c r="B887" s="28" t="s">
        <v>1000</v>
      </c>
      <c r="D887" s="28" t="s">
        <v>1791</v>
      </c>
      <c r="E887" s="28" t="s">
        <v>1797</v>
      </c>
      <c r="F887" s="28" t="s">
        <v>1798</v>
      </c>
      <c r="G887" s="28" t="s">
        <v>1793</v>
      </c>
      <c r="H887" s="28">
        <v>1.0</v>
      </c>
      <c r="I887" s="28">
        <v>0.005427408412483039</v>
      </c>
      <c r="J887" s="28">
        <v>0.0</v>
      </c>
      <c r="K887" s="28" t="s">
        <v>57</v>
      </c>
      <c r="L887" s="28" t="s">
        <v>57</v>
      </c>
    </row>
    <row r="888" ht="15.75" customHeight="1">
      <c r="A888" s="28" t="s">
        <v>131</v>
      </c>
      <c r="B888" s="28" t="s">
        <v>1799</v>
      </c>
      <c r="D888" s="28" t="s">
        <v>134</v>
      </c>
      <c r="E888" s="28" t="s">
        <v>1800</v>
      </c>
      <c r="F888" s="28" t="s">
        <v>276</v>
      </c>
      <c r="G888" s="28" t="s">
        <v>329</v>
      </c>
      <c r="H888" s="28">
        <v>1.0</v>
      </c>
      <c r="I888" s="28">
        <v>0.13592233009708737</v>
      </c>
      <c r="J888" s="28">
        <v>0.0</v>
      </c>
      <c r="K888" s="28" t="s">
        <v>57</v>
      </c>
      <c r="L888" s="28" t="s">
        <v>57</v>
      </c>
    </row>
    <row r="889" ht="15.75" customHeight="1">
      <c r="A889" s="28" t="s">
        <v>131</v>
      </c>
      <c r="B889" s="28" t="s">
        <v>1799</v>
      </c>
      <c r="D889" s="28" t="s">
        <v>134</v>
      </c>
      <c r="E889" s="28" t="s">
        <v>1801</v>
      </c>
      <c r="F889" s="28" t="s">
        <v>276</v>
      </c>
      <c r="G889" s="28" t="s">
        <v>334</v>
      </c>
      <c r="H889" s="28">
        <v>1.0</v>
      </c>
      <c r="I889" s="28">
        <v>0.1796116504854369</v>
      </c>
      <c r="J889" s="28">
        <v>6.0</v>
      </c>
      <c r="K889" s="28" t="s">
        <v>57</v>
      </c>
      <c r="L889" s="28" t="s">
        <v>57</v>
      </c>
    </row>
    <row r="890" ht="15.75" customHeight="1">
      <c r="A890" s="28" t="s">
        <v>131</v>
      </c>
      <c r="B890" s="28" t="s">
        <v>1799</v>
      </c>
      <c r="D890" s="28" t="s">
        <v>134</v>
      </c>
      <c r="E890" s="28" t="s">
        <v>1802</v>
      </c>
      <c r="F890" s="28" t="s">
        <v>276</v>
      </c>
      <c r="G890" s="28" t="s">
        <v>339</v>
      </c>
      <c r="H890" s="28">
        <v>1.0</v>
      </c>
      <c r="I890" s="28">
        <v>0.1941747572815534</v>
      </c>
      <c r="J890" s="28">
        <v>7.0</v>
      </c>
      <c r="K890" s="28" t="s">
        <v>57</v>
      </c>
      <c r="L890" s="28" t="s">
        <v>57</v>
      </c>
    </row>
    <row r="891" ht="15.75" customHeight="1">
      <c r="A891" s="28" t="s">
        <v>131</v>
      </c>
      <c r="B891" s="28" t="s">
        <v>1799</v>
      </c>
      <c r="D891" s="28" t="s">
        <v>134</v>
      </c>
      <c r="E891" s="28" t="s">
        <v>1803</v>
      </c>
      <c r="F891" s="28" t="s">
        <v>276</v>
      </c>
      <c r="G891" s="28" t="s">
        <v>378</v>
      </c>
      <c r="H891" s="28">
        <v>1.0</v>
      </c>
      <c r="I891" s="28">
        <v>0.24537037037037038</v>
      </c>
      <c r="J891" s="28">
        <v>13.0</v>
      </c>
      <c r="K891" s="28" t="s">
        <v>57</v>
      </c>
      <c r="L891" s="28" t="s">
        <v>57</v>
      </c>
    </row>
    <row r="892" ht="15.75" customHeight="1">
      <c r="A892" s="28" t="s">
        <v>131</v>
      </c>
      <c r="B892" s="28" t="s">
        <v>1799</v>
      </c>
      <c r="D892" s="28" t="s">
        <v>134</v>
      </c>
      <c r="E892" s="28" t="s">
        <v>1804</v>
      </c>
      <c r="F892" s="28" t="s">
        <v>260</v>
      </c>
      <c r="G892" s="28" t="s">
        <v>262</v>
      </c>
      <c r="H892" s="28">
        <v>1.0</v>
      </c>
      <c r="I892" s="28">
        <v>0.32524271844660196</v>
      </c>
      <c r="J892" s="28">
        <v>11.0</v>
      </c>
      <c r="K892" s="28" t="s">
        <v>57</v>
      </c>
      <c r="L892" s="28" t="s">
        <v>57</v>
      </c>
    </row>
    <row r="893" ht="15.75" customHeight="1">
      <c r="A893" s="28" t="s">
        <v>131</v>
      </c>
      <c r="B893" s="28" t="s">
        <v>1799</v>
      </c>
      <c r="D893" s="28" t="s">
        <v>134</v>
      </c>
      <c r="E893" s="28" t="s">
        <v>1805</v>
      </c>
      <c r="F893" s="28" t="s">
        <v>276</v>
      </c>
      <c r="G893" s="28" t="s">
        <v>256</v>
      </c>
      <c r="H893" s="28">
        <v>1.0</v>
      </c>
      <c r="I893" s="28">
        <v>0.34951456310679613</v>
      </c>
      <c r="J893" s="28">
        <v>1.0</v>
      </c>
      <c r="K893" s="28" t="s">
        <v>57</v>
      </c>
      <c r="L893" s="28" t="s">
        <v>57</v>
      </c>
    </row>
    <row r="894" ht="15.75" customHeight="1">
      <c r="A894" s="28" t="s">
        <v>131</v>
      </c>
      <c r="B894" s="28" t="s">
        <v>1799</v>
      </c>
      <c r="D894" s="28" t="s">
        <v>134</v>
      </c>
      <c r="E894" s="28" t="s">
        <v>1806</v>
      </c>
      <c r="F894" s="28" t="s">
        <v>396</v>
      </c>
      <c r="G894" s="28" t="s">
        <v>398</v>
      </c>
      <c r="H894" s="28">
        <v>1.0</v>
      </c>
      <c r="I894" s="28">
        <v>0.3548387096774194</v>
      </c>
      <c r="J894" s="28">
        <v>29.0</v>
      </c>
      <c r="K894" s="28" t="s">
        <v>57</v>
      </c>
      <c r="L894" s="28" t="s">
        <v>696</v>
      </c>
    </row>
    <row r="895" ht="15.75" customHeight="1">
      <c r="A895" s="28" t="s">
        <v>131</v>
      </c>
      <c r="B895" s="28" t="s">
        <v>1799</v>
      </c>
      <c r="D895" s="28" t="s">
        <v>134</v>
      </c>
      <c r="E895" s="28" t="s">
        <v>1807</v>
      </c>
      <c r="F895" s="28" t="s">
        <v>276</v>
      </c>
      <c r="G895" s="28" t="s">
        <v>385</v>
      </c>
      <c r="H895" s="28">
        <v>1.0</v>
      </c>
      <c r="I895" s="28">
        <v>0.3640776699029126</v>
      </c>
      <c r="J895" s="28">
        <v>14.0</v>
      </c>
      <c r="K895" s="28" t="s">
        <v>57</v>
      </c>
      <c r="L895" s="28" t="s">
        <v>57</v>
      </c>
    </row>
    <row r="896" ht="15.75" customHeight="1">
      <c r="A896" s="28" t="s">
        <v>131</v>
      </c>
      <c r="B896" s="28" t="s">
        <v>1799</v>
      </c>
      <c r="D896" s="28" t="s">
        <v>134</v>
      </c>
      <c r="E896" s="28" t="s">
        <v>1808</v>
      </c>
      <c r="F896" s="28" t="s">
        <v>260</v>
      </c>
      <c r="G896" s="28" t="s">
        <v>392</v>
      </c>
      <c r="H896" s="28">
        <v>1.0</v>
      </c>
      <c r="I896" s="28">
        <v>0.36893203883495146</v>
      </c>
      <c r="J896" s="28">
        <v>28.0</v>
      </c>
      <c r="K896" s="28" t="s">
        <v>57</v>
      </c>
      <c r="L896" s="28" t="s">
        <v>57</v>
      </c>
    </row>
    <row r="897" ht="15.75" customHeight="1">
      <c r="A897" s="28" t="s">
        <v>131</v>
      </c>
      <c r="B897" s="28" t="s">
        <v>1799</v>
      </c>
      <c r="D897" s="28" t="s">
        <v>134</v>
      </c>
      <c r="E897" s="28" t="s">
        <v>1809</v>
      </c>
      <c r="F897" s="28" t="s">
        <v>276</v>
      </c>
      <c r="G897" s="28" t="s">
        <v>310</v>
      </c>
      <c r="H897" s="28">
        <v>1.0</v>
      </c>
      <c r="I897" s="28">
        <v>0.4029126213592233</v>
      </c>
      <c r="J897" s="28">
        <v>24.0</v>
      </c>
      <c r="K897" s="28" t="s">
        <v>57</v>
      </c>
      <c r="L897" s="28" t="s">
        <v>57</v>
      </c>
    </row>
    <row r="898" ht="15.75" customHeight="1">
      <c r="A898" s="28" t="s">
        <v>131</v>
      </c>
      <c r="B898" s="28" t="s">
        <v>1799</v>
      </c>
      <c r="D898" s="28" t="s">
        <v>134</v>
      </c>
      <c r="E898" s="28" t="s">
        <v>1810</v>
      </c>
      <c r="F898" s="28" t="s">
        <v>276</v>
      </c>
      <c r="G898" s="28" t="s">
        <v>278</v>
      </c>
      <c r="H898" s="28">
        <v>1.0</v>
      </c>
      <c r="I898" s="28">
        <v>0.4077669902912621</v>
      </c>
      <c r="J898" s="28">
        <v>20.0</v>
      </c>
      <c r="K898" s="28" t="s">
        <v>57</v>
      </c>
      <c r="L898" s="28" t="s">
        <v>57</v>
      </c>
    </row>
    <row r="899" ht="15.75" customHeight="1">
      <c r="A899" s="28" t="s">
        <v>131</v>
      </c>
      <c r="B899" s="28" t="s">
        <v>1799</v>
      </c>
      <c r="D899" s="28" t="s">
        <v>134</v>
      </c>
      <c r="E899" s="28" t="s">
        <v>1811</v>
      </c>
      <c r="F899" s="28" t="s">
        <v>687</v>
      </c>
      <c r="G899" s="28" t="s">
        <v>364</v>
      </c>
      <c r="H899" s="28">
        <v>1.0</v>
      </c>
      <c r="I899" s="28">
        <v>0.4563106796116505</v>
      </c>
      <c r="J899" s="28">
        <v>26.0</v>
      </c>
      <c r="K899" s="28" t="s">
        <v>57</v>
      </c>
      <c r="L899" s="28" t="s">
        <v>57</v>
      </c>
    </row>
    <row r="900" ht="15.75" customHeight="1">
      <c r="A900" s="28" t="s">
        <v>131</v>
      </c>
      <c r="B900" s="28" t="s">
        <v>1799</v>
      </c>
      <c r="D900" s="28" t="s">
        <v>134</v>
      </c>
      <c r="E900" s="28" t="s">
        <v>1812</v>
      </c>
      <c r="F900" s="28" t="s">
        <v>687</v>
      </c>
      <c r="G900" s="28" t="s">
        <v>295</v>
      </c>
      <c r="H900" s="28">
        <v>1.0</v>
      </c>
      <c r="I900" s="28">
        <v>0.46116504854368934</v>
      </c>
      <c r="J900" s="28">
        <v>25.0</v>
      </c>
      <c r="K900" s="28" t="s">
        <v>57</v>
      </c>
      <c r="L900" s="28" t="s">
        <v>57</v>
      </c>
    </row>
    <row r="901" ht="15.75" customHeight="1">
      <c r="A901" s="28" t="s">
        <v>131</v>
      </c>
      <c r="B901" s="28" t="s">
        <v>1799</v>
      </c>
      <c r="D901" s="28" t="s">
        <v>134</v>
      </c>
      <c r="E901" s="28" t="s">
        <v>1813</v>
      </c>
      <c r="F901" s="28" t="s">
        <v>691</v>
      </c>
      <c r="G901" s="28" t="s">
        <v>345</v>
      </c>
      <c r="H901" s="28">
        <v>1.0</v>
      </c>
      <c r="I901" s="28">
        <v>0.5120274914089347</v>
      </c>
      <c r="J901" s="28">
        <v>12.0</v>
      </c>
      <c r="K901" s="28" t="s">
        <v>57</v>
      </c>
      <c r="L901" s="28" t="s">
        <v>57</v>
      </c>
    </row>
    <row r="902" ht="15.75" customHeight="1">
      <c r="A902" s="28" t="s">
        <v>131</v>
      </c>
      <c r="B902" s="28" t="s">
        <v>1799</v>
      </c>
      <c r="D902" s="28" t="s">
        <v>134</v>
      </c>
      <c r="E902" s="28" t="s">
        <v>1814</v>
      </c>
      <c r="F902" s="28" t="s">
        <v>691</v>
      </c>
      <c r="G902" s="28" t="s">
        <v>252</v>
      </c>
      <c r="H902" s="28">
        <v>1.0</v>
      </c>
      <c r="I902" s="28">
        <v>0.5136986301369864</v>
      </c>
      <c r="J902" s="28">
        <v>9.0</v>
      </c>
      <c r="K902" s="28" t="s">
        <v>57</v>
      </c>
      <c r="L902" s="28" t="s">
        <v>57</v>
      </c>
    </row>
    <row r="903" ht="15.75" customHeight="1">
      <c r="A903" s="28" t="s">
        <v>131</v>
      </c>
      <c r="B903" s="28" t="s">
        <v>1799</v>
      </c>
      <c r="D903" s="28" t="s">
        <v>134</v>
      </c>
      <c r="E903" s="28" t="s">
        <v>1815</v>
      </c>
      <c r="F903" s="28" t="s">
        <v>1375</v>
      </c>
      <c r="G903" s="28" t="s">
        <v>370</v>
      </c>
      <c r="H903" s="28">
        <v>1.0</v>
      </c>
      <c r="I903" s="28">
        <v>0.5171102661596958</v>
      </c>
      <c r="J903" s="28">
        <v>27.0</v>
      </c>
      <c r="K903" s="28" t="s">
        <v>57</v>
      </c>
      <c r="L903" s="28" t="s">
        <v>57</v>
      </c>
    </row>
    <row r="904" ht="15.75" customHeight="1">
      <c r="A904" s="28" t="s">
        <v>131</v>
      </c>
      <c r="B904" s="28" t="s">
        <v>1799</v>
      </c>
      <c r="D904" s="28" t="s">
        <v>134</v>
      </c>
      <c r="E904" s="28" t="s">
        <v>1816</v>
      </c>
      <c r="F904" s="28" t="s">
        <v>691</v>
      </c>
      <c r="G904" s="28" t="s">
        <v>270</v>
      </c>
      <c r="H904" s="28">
        <v>1.0</v>
      </c>
      <c r="I904" s="28">
        <v>0.5186440677966102</v>
      </c>
      <c r="J904" s="28">
        <v>10.0</v>
      </c>
      <c r="K904" s="28" t="s">
        <v>57</v>
      </c>
      <c r="L904" s="28" t="s">
        <v>57</v>
      </c>
    </row>
    <row r="905" ht="15.75" customHeight="1">
      <c r="A905" s="28" t="s">
        <v>131</v>
      </c>
      <c r="B905" s="28" t="s">
        <v>1799</v>
      </c>
      <c r="D905" s="28" t="s">
        <v>134</v>
      </c>
      <c r="E905" s="28" t="s">
        <v>1817</v>
      </c>
      <c r="F905" s="28" t="s">
        <v>695</v>
      </c>
      <c r="G905" s="28" t="s">
        <v>213</v>
      </c>
      <c r="H905" s="28">
        <v>1.0</v>
      </c>
      <c r="I905" s="28">
        <v>0.5837696335078534</v>
      </c>
      <c r="J905" s="28">
        <v>8.0</v>
      </c>
      <c r="K905" s="28" t="s">
        <v>57</v>
      </c>
      <c r="L905" s="28" t="s">
        <v>696</v>
      </c>
    </row>
    <row r="906" ht="15.75" customHeight="1">
      <c r="A906" s="28" t="s">
        <v>131</v>
      </c>
      <c r="B906" s="28" t="s">
        <v>1799</v>
      </c>
      <c r="D906" s="28" t="s">
        <v>134</v>
      </c>
      <c r="E906" s="28" t="s">
        <v>1818</v>
      </c>
      <c r="F906" s="28" t="s">
        <v>698</v>
      </c>
      <c r="G906" s="28" t="s">
        <v>287</v>
      </c>
      <c r="H906" s="28">
        <v>1.0</v>
      </c>
      <c r="I906" s="28">
        <v>0.6563245823389021</v>
      </c>
      <c r="J906" s="28">
        <v>23.0</v>
      </c>
      <c r="K906" s="28" t="s">
        <v>57</v>
      </c>
      <c r="L906" s="28" t="s">
        <v>57</v>
      </c>
    </row>
    <row r="907" ht="15.75" customHeight="1">
      <c r="A907" s="28" t="s">
        <v>131</v>
      </c>
      <c r="B907" s="28" t="s">
        <v>1799</v>
      </c>
      <c r="D907" s="28" t="s">
        <v>134</v>
      </c>
      <c r="E907" s="28" t="s">
        <v>1819</v>
      </c>
      <c r="F907" s="28" t="s">
        <v>138</v>
      </c>
      <c r="G907" s="28" t="s">
        <v>140</v>
      </c>
      <c r="H907" s="28">
        <v>1.0</v>
      </c>
      <c r="I907" s="28">
        <v>0.6903846153846154</v>
      </c>
      <c r="J907" s="28">
        <v>4.0</v>
      </c>
      <c r="K907" s="28" t="s">
        <v>57</v>
      </c>
      <c r="L907" s="28" t="s">
        <v>696</v>
      </c>
    </row>
    <row r="908" ht="15.75" customHeight="1">
      <c r="A908" s="28" t="s">
        <v>131</v>
      </c>
      <c r="B908" s="28" t="s">
        <v>1799</v>
      </c>
      <c r="D908" s="28" t="s">
        <v>134</v>
      </c>
      <c r="E908" s="28" t="s">
        <v>1820</v>
      </c>
      <c r="F908" s="28" t="s">
        <v>701</v>
      </c>
      <c r="G908" s="28" t="s">
        <v>303</v>
      </c>
      <c r="H908" s="28">
        <v>1.0</v>
      </c>
      <c r="I908" s="28">
        <v>0.7676348547717843</v>
      </c>
      <c r="J908" s="28">
        <v>21.0</v>
      </c>
      <c r="K908" s="28" t="s">
        <v>57</v>
      </c>
      <c r="L908" s="28" t="s">
        <v>57</v>
      </c>
    </row>
    <row r="909" ht="15.75" customHeight="1">
      <c r="A909" s="28" t="s">
        <v>131</v>
      </c>
      <c r="B909" s="28" t="s">
        <v>1799</v>
      </c>
      <c r="D909" s="28" t="s">
        <v>134</v>
      </c>
      <c r="E909" s="28" t="s">
        <v>1821</v>
      </c>
      <c r="F909" s="28" t="s">
        <v>703</v>
      </c>
      <c r="G909" s="28" t="s">
        <v>149</v>
      </c>
      <c r="H909" s="28">
        <v>1.0</v>
      </c>
      <c r="I909" s="28">
        <v>0.7748344370860927</v>
      </c>
      <c r="J909" s="28">
        <v>5.0</v>
      </c>
      <c r="K909" s="28" t="s">
        <v>57</v>
      </c>
      <c r="L909" s="28" t="s">
        <v>696</v>
      </c>
    </row>
    <row r="910" ht="15.75" customHeight="1">
      <c r="A910" s="28" t="s">
        <v>131</v>
      </c>
      <c r="B910" s="28" t="s">
        <v>1799</v>
      </c>
      <c r="D910" s="28" t="s">
        <v>134</v>
      </c>
      <c r="E910" s="28" t="s">
        <v>1822</v>
      </c>
      <c r="F910" s="28" t="s">
        <v>705</v>
      </c>
      <c r="G910" s="28" t="s">
        <v>241</v>
      </c>
      <c r="H910" s="28">
        <v>1.0</v>
      </c>
      <c r="I910" s="28">
        <v>0.8624296057924377</v>
      </c>
      <c r="J910" s="28">
        <v>19.0</v>
      </c>
      <c r="K910" s="28" t="s">
        <v>57</v>
      </c>
      <c r="L910" s="28" t="s">
        <v>57</v>
      </c>
    </row>
    <row r="911" ht="15.75" customHeight="1">
      <c r="A911" s="28" t="s">
        <v>131</v>
      </c>
      <c r="B911" s="28" t="s">
        <v>1799</v>
      </c>
      <c r="D911" s="28" t="s">
        <v>329</v>
      </c>
      <c r="E911" s="28" t="s">
        <v>1823</v>
      </c>
      <c r="F911" s="28" t="s">
        <v>276</v>
      </c>
      <c r="G911" s="28" t="s">
        <v>334</v>
      </c>
      <c r="H911" s="28">
        <v>1.0</v>
      </c>
      <c r="I911" s="28">
        <v>0.055865921787709494</v>
      </c>
      <c r="J911" s="28">
        <v>5.0</v>
      </c>
      <c r="K911" s="28" t="s">
        <v>57</v>
      </c>
      <c r="L911" s="28" t="s">
        <v>57</v>
      </c>
    </row>
    <row r="912" ht="15.75" customHeight="1">
      <c r="A912" s="28" t="s">
        <v>131</v>
      </c>
      <c r="B912" s="28" t="s">
        <v>1799</v>
      </c>
      <c r="D912" s="28" t="s">
        <v>329</v>
      </c>
      <c r="E912" s="28" t="s">
        <v>1824</v>
      </c>
      <c r="F912" s="28" t="s">
        <v>276</v>
      </c>
      <c r="G912" s="28" t="s">
        <v>339</v>
      </c>
      <c r="H912" s="28">
        <v>1.0</v>
      </c>
      <c r="I912" s="28">
        <v>0.07262569832402235</v>
      </c>
      <c r="J912" s="28">
        <v>6.0</v>
      </c>
      <c r="K912" s="28" t="s">
        <v>57</v>
      </c>
      <c r="L912" s="28" t="s">
        <v>57</v>
      </c>
    </row>
    <row r="913" ht="15.75" customHeight="1">
      <c r="A913" s="28" t="s">
        <v>131</v>
      </c>
      <c r="B913" s="28" t="s">
        <v>1799</v>
      </c>
      <c r="D913" s="28" t="s">
        <v>329</v>
      </c>
      <c r="E913" s="28" t="s">
        <v>1825</v>
      </c>
      <c r="F913" s="28" t="s">
        <v>276</v>
      </c>
      <c r="G913" s="28" t="s">
        <v>378</v>
      </c>
      <c r="H913" s="28">
        <v>1.0</v>
      </c>
      <c r="I913" s="28">
        <v>0.25462962962962965</v>
      </c>
      <c r="J913" s="28">
        <v>12.0</v>
      </c>
      <c r="K913" s="28" t="s">
        <v>57</v>
      </c>
      <c r="L913" s="28" t="s">
        <v>57</v>
      </c>
    </row>
    <row r="914" ht="15.75" customHeight="1">
      <c r="A914" s="28" t="s">
        <v>131</v>
      </c>
      <c r="B914" s="28" t="s">
        <v>1799</v>
      </c>
      <c r="D914" s="28" t="s">
        <v>329</v>
      </c>
      <c r="E914" s="28" t="s">
        <v>1826</v>
      </c>
      <c r="F914" s="28" t="s">
        <v>276</v>
      </c>
      <c r="G914" s="28" t="s">
        <v>385</v>
      </c>
      <c r="H914" s="28">
        <v>1.0</v>
      </c>
      <c r="I914" s="28">
        <v>0.2737430167597765</v>
      </c>
      <c r="J914" s="28">
        <v>13.0</v>
      </c>
      <c r="K914" s="28" t="s">
        <v>57</v>
      </c>
      <c r="L914" s="28" t="s">
        <v>57</v>
      </c>
    </row>
    <row r="915" ht="15.75" customHeight="1">
      <c r="A915" s="28" t="s">
        <v>131</v>
      </c>
      <c r="B915" s="28" t="s">
        <v>1799</v>
      </c>
      <c r="D915" s="28" t="s">
        <v>329</v>
      </c>
      <c r="E915" s="28" t="s">
        <v>1827</v>
      </c>
      <c r="F915" s="28" t="s">
        <v>276</v>
      </c>
      <c r="G915" s="28" t="s">
        <v>310</v>
      </c>
      <c r="H915" s="28">
        <v>1.0</v>
      </c>
      <c r="I915" s="28">
        <v>0.31843575418994413</v>
      </c>
      <c r="J915" s="28">
        <v>23.0</v>
      </c>
      <c r="K915" s="28" t="s">
        <v>57</v>
      </c>
      <c r="L915" s="28" t="s">
        <v>57</v>
      </c>
    </row>
    <row r="916" ht="15.75" customHeight="1">
      <c r="A916" s="28" t="s">
        <v>131</v>
      </c>
      <c r="B916" s="28" t="s">
        <v>1799</v>
      </c>
      <c r="D916" s="28" t="s">
        <v>329</v>
      </c>
      <c r="E916" s="28" t="s">
        <v>1828</v>
      </c>
      <c r="F916" s="28" t="s">
        <v>276</v>
      </c>
      <c r="G916" s="28" t="s">
        <v>278</v>
      </c>
      <c r="H916" s="28">
        <v>1.0</v>
      </c>
      <c r="I916" s="28">
        <v>0.31843575418994413</v>
      </c>
      <c r="J916" s="28">
        <v>19.0</v>
      </c>
      <c r="K916" s="28" t="s">
        <v>57</v>
      </c>
      <c r="L916" s="28" t="s">
        <v>57</v>
      </c>
    </row>
    <row r="917" ht="15.75" customHeight="1">
      <c r="A917" s="28" t="s">
        <v>131</v>
      </c>
      <c r="B917" s="28" t="s">
        <v>1799</v>
      </c>
      <c r="D917" s="28" t="s">
        <v>329</v>
      </c>
      <c r="E917" s="28" t="s">
        <v>1829</v>
      </c>
      <c r="F917" s="28" t="s">
        <v>260</v>
      </c>
      <c r="G917" s="28" t="s">
        <v>262</v>
      </c>
      <c r="H917" s="28">
        <v>1.0</v>
      </c>
      <c r="I917" s="28">
        <v>0.36312849162011174</v>
      </c>
      <c r="J917" s="28">
        <v>10.0</v>
      </c>
      <c r="K917" s="28" t="s">
        <v>57</v>
      </c>
      <c r="L917" s="28" t="s">
        <v>57</v>
      </c>
    </row>
    <row r="918" ht="15.75" customHeight="1">
      <c r="A918" s="28" t="s">
        <v>131</v>
      </c>
      <c r="B918" s="28" t="s">
        <v>1799</v>
      </c>
      <c r="D918" s="28" t="s">
        <v>329</v>
      </c>
      <c r="E918" s="28" t="s">
        <v>1830</v>
      </c>
      <c r="F918" s="28" t="s">
        <v>276</v>
      </c>
      <c r="G918" s="28" t="s">
        <v>256</v>
      </c>
      <c r="H918" s="28">
        <v>1.0</v>
      </c>
      <c r="I918" s="28">
        <v>0.39106145251396646</v>
      </c>
      <c r="J918" s="28">
        <v>0.0</v>
      </c>
      <c r="K918" s="28" t="s">
        <v>57</v>
      </c>
      <c r="L918" s="28" t="s">
        <v>57</v>
      </c>
    </row>
    <row r="919" ht="15.75" customHeight="1">
      <c r="A919" s="28" t="s">
        <v>131</v>
      </c>
      <c r="B919" s="28" t="s">
        <v>1799</v>
      </c>
      <c r="D919" s="28" t="s">
        <v>329</v>
      </c>
      <c r="E919" s="28" t="s">
        <v>1831</v>
      </c>
      <c r="F919" s="28" t="s">
        <v>260</v>
      </c>
      <c r="G919" s="28" t="s">
        <v>392</v>
      </c>
      <c r="H919" s="28">
        <v>1.0</v>
      </c>
      <c r="I919" s="28">
        <v>0.4022346368715084</v>
      </c>
      <c r="J919" s="28">
        <v>27.0</v>
      </c>
      <c r="K919" s="28" t="s">
        <v>57</v>
      </c>
      <c r="L919" s="28" t="s">
        <v>57</v>
      </c>
    </row>
    <row r="920" ht="15.75" customHeight="1">
      <c r="A920" s="28" t="s">
        <v>131</v>
      </c>
      <c r="B920" s="28" t="s">
        <v>1799</v>
      </c>
      <c r="D920" s="28" t="s">
        <v>329</v>
      </c>
      <c r="E920" s="28" t="s">
        <v>1832</v>
      </c>
      <c r="F920" s="28" t="s">
        <v>396</v>
      </c>
      <c r="G920" s="28" t="s">
        <v>398</v>
      </c>
      <c r="H920" s="28">
        <v>1.0</v>
      </c>
      <c r="I920" s="28">
        <v>0.4121863799283154</v>
      </c>
      <c r="J920" s="28">
        <v>28.0</v>
      </c>
      <c r="K920" s="28" t="s">
        <v>57</v>
      </c>
      <c r="L920" s="28" t="s">
        <v>696</v>
      </c>
    </row>
    <row r="921" ht="15.75" customHeight="1">
      <c r="A921" s="28" t="s">
        <v>131</v>
      </c>
      <c r="B921" s="28" t="s">
        <v>1799</v>
      </c>
      <c r="D921" s="28" t="s">
        <v>329</v>
      </c>
      <c r="E921" s="28" t="s">
        <v>1833</v>
      </c>
      <c r="F921" s="28" t="s">
        <v>687</v>
      </c>
      <c r="G921" s="28" t="s">
        <v>364</v>
      </c>
      <c r="H921" s="28">
        <v>1.0</v>
      </c>
      <c r="I921" s="28">
        <v>0.44</v>
      </c>
      <c r="J921" s="28">
        <v>25.0</v>
      </c>
      <c r="K921" s="28" t="s">
        <v>57</v>
      </c>
      <c r="L921" s="28" t="s">
        <v>57</v>
      </c>
    </row>
    <row r="922" ht="15.75" customHeight="1">
      <c r="A922" s="28" t="s">
        <v>131</v>
      </c>
      <c r="B922" s="28" t="s">
        <v>1799</v>
      </c>
      <c r="D922" s="28" t="s">
        <v>329</v>
      </c>
      <c r="E922" s="28" t="s">
        <v>1834</v>
      </c>
      <c r="F922" s="28" t="s">
        <v>687</v>
      </c>
      <c r="G922" s="28" t="s">
        <v>295</v>
      </c>
      <c r="H922" s="28">
        <v>1.0</v>
      </c>
      <c r="I922" s="28">
        <v>0.44221105527638194</v>
      </c>
      <c r="J922" s="28">
        <v>24.0</v>
      </c>
      <c r="K922" s="28" t="s">
        <v>57</v>
      </c>
      <c r="L922" s="28" t="s">
        <v>57</v>
      </c>
    </row>
    <row r="923" ht="15.75" customHeight="1">
      <c r="A923" s="28" t="s">
        <v>131</v>
      </c>
      <c r="B923" s="28" t="s">
        <v>1799</v>
      </c>
      <c r="D923" s="28" t="s">
        <v>329</v>
      </c>
      <c r="E923" s="28" t="s">
        <v>1835</v>
      </c>
      <c r="F923" s="28" t="s">
        <v>1375</v>
      </c>
      <c r="G923" s="28" t="s">
        <v>370</v>
      </c>
      <c r="H923" s="28">
        <v>1.0</v>
      </c>
      <c r="I923" s="28">
        <v>0.5399239543726235</v>
      </c>
      <c r="J923" s="28">
        <v>26.0</v>
      </c>
      <c r="K923" s="28" t="s">
        <v>57</v>
      </c>
      <c r="L923" s="28" t="s">
        <v>57</v>
      </c>
    </row>
    <row r="924" ht="15.75" customHeight="1">
      <c r="A924" s="28" t="s">
        <v>131</v>
      </c>
      <c r="B924" s="28" t="s">
        <v>1799</v>
      </c>
      <c r="D924" s="28" t="s">
        <v>329</v>
      </c>
      <c r="E924" s="28" t="s">
        <v>1836</v>
      </c>
      <c r="F924" s="28" t="s">
        <v>691</v>
      </c>
      <c r="G924" s="28" t="s">
        <v>345</v>
      </c>
      <c r="H924" s="28">
        <v>1.0</v>
      </c>
      <c r="I924" s="28">
        <v>0.5463917525773195</v>
      </c>
      <c r="J924" s="28">
        <v>11.0</v>
      </c>
      <c r="K924" s="28" t="s">
        <v>57</v>
      </c>
      <c r="L924" s="28" t="s">
        <v>57</v>
      </c>
    </row>
    <row r="925" ht="15.75" customHeight="1">
      <c r="A925" s="28" t="s">
        <v>131</v>
      </c>
      <c r="B925" s="28" t="s">
        <v>1799</v>
      </c>
      <c r="D925" s="28" t="s">
        <v>329</v>
      </c>
      <c r="E925" s="28" t="s">
        <v>1837</v>
      </c>
      <c r="F925" s="28" t="s">
        <v>691</v>
      </c>
      <c r="G925" s="28" t="s">
        <v>252</v>
      </c>
      <c r="H925" s="28">
        <v>1.0</v>
      </c>
      <c r="I925" s="28">
        <v>0.547945205479452</v>
      </c>
      <c r="J925" s="28">
        <v>8.0</v>
      </c>
      <c r="K925" s="28" t="s">
        <v>57</v>
      </c>
      <c r="L925" s="28" t="s">
        <v>57</v>
      </c>
    </row>
    <row r="926" ht="15.75" customHeight="1">
      <c r="A926" s="28" t="s">
        <v>131</v>
      </c>
      <c r="B926" s="28" t="s">
        <v>1799</v>
      </c>
      <c r="D926" s="28" t="s">
        <v>329</v>
      </c>
      <c r="E926" s="28" t="s">
        <v>1838</v>
      </c>
      <c r="F926" s="28" t="s">
        <v>691</v>
      </c>
      <c r="G926" s="28" t="s">
        <v>270</v>
      </c>
      <c r="H926" s="28">
        <v>1.0</v>
      </c>
      <c r="I926" s="28">
        <v>0.5525423728813559</v>
      </c>
      <c r="J926" s="28">
        <v>9.0</v>
      </c>
      <c r="K926" s="28" t="s">
        <v>57</v>
      </c>
      <c r="L926" s="28" t="s">
        <v>57</v>
      </c>
    </row>
    <row r="927" ht="15.75" customHeight="1">
      <c r="A927" s="28" t="s">
        <v>131</v>
      </c>
      <c r="B927" s="28" t="s">
        <v>1799</v>
      </c>
      <c r="D927" s="28" t="s">
        <v>329</v>
      </c>
      <c r="E927" s="28" t="s">
        <v>1839</v>
      </c>
      <c r="F927" s="28" t="s">
        <v>695</v>
      </c>
      <c r="G927" s="28" t="s">
        <v>213</v>
      </c>
      <c r="H927" s="28">
        <v>1.0</v>
      </c>
      <c r="I927" s="28">
        <v>0.6151832460732984</v>
      </c>
      <c r="J927" s="28">
        <v>7.0</v>
      </c>
      <c r="K927" s="28" t="s">
        <v>57</v>
      </c>
      <c r="L927" s="28" t="s">
        <v>696</v>
      </c>
    </row>
    <row r="928" ht="15.75" customHeight="1">
      <c r="A928" s="28" t="s">
        <v>131</v>
      </c>
      <c r="B928" s="28" t="s">
        <v>1799</v>
      </c>
      <c r="D928" s="28" t="s">
        <v>329</v>
      </c>
      <c r="E928" s="28" t="s">
        <v>1840</v>
      </c>
      <c r="F928" s="28" t="s">
        <v>698</v>
      </c>
      <c r="G928" s="28" t="s">
        <v>287</v>
      </c>
      <c r="H928" s="28">
        <v>1.0</v>
      </c>
      <c r="I928" s="28">
        <v>0.6778042959427207</v>
      </c>
      <c r="J928" s="28">
        <v>22.0</v>
      </c>
      <c r="K928" s="28" t="s">
        <v>57</v>
      </c>
      <c r="L928" s="28" t="s">
        <v>57</v>
      </c>
    </row>
    <row r="929" ht="15.75" customHeight="1">
      <c r="A929" s="28" t="s">
        <v>131</v>
      </c>
      <c r="B929" s="28" t="s">
        <v>1799</v>
      </c>
      <c r="D929" s="28" t="s">
        <v>329</v>
      </c>
      <c r="E929" s="28" t="s">
        <v>1841</v>
      </c>
      <c r="F929" s="28" t="s">
        <v>138</v>
      </c>
      <c r="G929" s="28" t="s">
        <v>140</v>
      </c>
      <c r="H929" s="28">
        <v>1.0</v>
      </c>
      <c r="I929" s="28">
        <v>0.7115384615384616</v>
      </c>
      <c r="J929" s="28">
        <v>3.0</v>
      </c>
      <c r="K929" s="28" t="s">
        <v>57</v>
      </c>
      <c r="L929" s="28" t="s">
        <v>696</v>
      </c>
    </row>
    <row r="930" ht="15.75" customHeight="1">
      <c r="A930" s="28" t="s">
        <v>131</v>
      </c>
      <c r="B930" s="28" t="s">
        <v>1799</v>
      </c>
      <c r="D930" s="28" t="s">
        <v>329</v>
      </c>
      <c r="E930" s="28" t="s">
        <v>1842</v>
      </c>
      <c r="F930" s="28" t="s">
        <v>701</v>
      </c>
      <c r="G930" s="28" t="s">
        <v>303</v>
      </c>
      <c r="H930" s="28">
        <v>1.0</v>
      </c>
      <c r="I930" s="28">
        <v>0.7856154910096819</v>
      </c>
      <c r="J930" s="28">
        <v>20.0</v>
      </c>
      <c r="K930" s="28" t="s">
        <v>57</v>
      </c>
      <c r="L930" s="28" t="s">
        <v>57</v>
      </c>
    </row>
    <row r="931" ht="15.75" customHeight="1">
      <c r="A931" s="28" t="s">
        <v>131</v>
      </c>
      <c r="B931" s="28" t="s">
        <v>1799</v>
      </c>
      <c r="D931" s="28" t="s">
        <v>329</v>
      </c>
      <c r="E931" s="28" t="s">
        <v>1843</v>
      </c>
      <c r="F931" s="28" t="s">
        <v>703</v>
      </c>
      <c r="G931" s="28" t="s">
        <v>149</v>
      </c>
      <c r="H931" s="28">
        <v>1.0</v>
      </c>
      <c r="I931" s="28">
        <v>0.7960264900662252</v>
      </c>
      <c r="J931" s="28">
        <v>4.0</v>
      </c>
      <c r="K931" s="28" t="s">
        <v>57</v>
      </c>
      <c r="L931" s="28" t="s">
        <v>696</v>
      </c>
    </row>
    <row r="932" ht="15.75" customHeight="1">
      <c r="A932" s="28" t="s">
        <v>131</v>
      </c>
      <c r="B932" s="28" t="s">
        <v>1799</v>
      </c>
      <c r="D932" s="28" t="s">
        <v>329</v>
      </c>
      <c r="E932" s="28" t="s">
        <v>1844</v>
      </c>
      <c r="F932" s="28" t="s">
        <v>705</v>
      </c>
      <c r="G932" s="28" t="s">
        <v>241</v>
      </c>
      <c r="H932" s="28">
        <v>1.0</v>
      </c>
      <c r="I932" s="28">
        <v>0.8744971842316975</v>
      </c>
      <c r="J932" s="28">
        <v>18.0</v>
      </c>
      <c r="K932" s="28" t="s">
        <v>57</v>
      </c>
      <c r="L932" s="28" t="s">
        <v>57</v>
      </c>
    </row>
    <row r="933" ht="15.75" customHeight="1">
      <c r="A933" s="28" t="s">
        <v>131</v>
      </c>
      <c r="B933" s="28" t="s">
        <v>1799</v>
      </c>
      <c r="D933" s="28" t="s">
        <v>256</v>
      </c>
      <c r="E933" s="28" t="s">
        <v>1845</v>
      </c>
      <c r="F933" s="28" t="s">
        <v>260</v>
      </c>
      <c r="G933" s="28" t="s">
        <v>392</v>
      </c>
      <c r="H933" s="28">
        <v>1.0</v>
      </c>
      <c r="I933" s="28">
        <v>0.21341463414634146</v>
      </c>
      <c r="J933" s="28">
        <v>26.0</v>
      </c>
      <c r="K933" s="28" t="s">
        <v>57</v>
      </c>
      <c r="L933" s="28" t="s">
        <v>57</v>
      </c>
    </row>
    <row r="934" ht="15.75" customHeight="1">
      <c r="A934" s="28" t="s">
        <v>131</v>
      </c>
      <c r="B934" s="28" t="s">
        <v>1799</v>
      </c>
      <c r="D934" s="28" t="s">
        <v>256</v>
      </c>
      <c r="E934" s="28" t="s">
        <v>1846</v>
      </c>
      <c r="F934" s="28" t="s">
        <v>276</v>
      </c>
      <c r="G934" s="28" t="s">
        <v>310</v>
      </c>
      <c r="H934" s="28">
        <v>1.0</v>
      </c>
      <c r="I934" s="28">
        <v>0.225</v>
      </c>
      <c r="J934" s="28">
        <v>22.0</v>
      </c>
      <c r="K934" s="28" t="s">
        <v>57</v>
      </c>
      <c r="L934" s="28" t="s">
        <v>57</v>
      </c>
    </row>
    <row r="935" ht="15.75" customHeight="1">
      <c r="A935" s="28" t="s">
        <v>131</v>
      </c>
      <c r="B935" s="28" t="s">
        <v>1799</v>
      </c>
      <c r="D935" s="28" t="s">
        <v>256</v>
      </c>
      <c r="E935" s="28" t="s">
        <v>1847</v>
      </c>
      <c r="F935" s="28" t="s">
        <v>276</v>
      </c>
      <c r="G935" s="28" t="s">
        <v>278</v>
      </c>
      <c r="H935" s="28">
        <v>1.0</v>
      </c>
      <c r="I935" s="28">
        <v>0.225</v>
      </c>
      <c r="J935" s="28">
        <v>18.0</v>
      </c>
      <c r="K935" s="28" t="s">
        <v>57</v>
      </c>
      <c r="L935" s="28" t="s">
        <v>57</v>
      </c>
    </row>
    <row r="936" ht="15.75" customHeight="1">
      <c r="A936" s="28" t="s">
        <v>131</v>
      </c>
      <c r="B936" s="28" t="s">
        <v>1799</v>
      </c>
      <c r="D936" s="28" t="s">
        <v>256</v>
      </c>
      <c r="E936" s="28" t="s">
        <v>1848</v>
      </c>
      <c r="F936" s="28" t="s">
        <v>260</v>
      </c>
      <c r="G936" s="28" t="s">
        <v>262</v>
      </c>
      <c r="H936" s="28">
        <v>1.0</v>
      </c>
      <c r="I936" s="28">
        <v>0.2441860465116279</v>
      </c>
      <c r="J936" s="28">
        <v>9.0</v>
      </c>
      <c r="K936" s="28" t="s">
        <v>57</v>
      </c>
      <c r="L936" s="28" t="s">
        <v>57</v>
      </c>
    </row>
    <row r="937" ht="15.75" customHeight="1">
      <c r="A937" s="28" t="s">
        <v>131</v>
      </c>
      <c r="B937" s="28" t="s">
        <v>1799</v>
      </c>
      <c r="D937" s="28" t="s">
        <v>256</v>
      </c>
      <c r="E937" s="28" t="s">
        <v>1849</v>
      </c>
      <c r="F937" s="28" t="s">
        <v>276</v>
      </c>
      <c r="G937" s="28" t="s">
        <v>385</v>
      </c>
      <c r="H937" s="28">
        <v>1.0</v>
      </c>
      <c r="I937" s="28">
        <v>0.25625</v>
      </c>
      <c r="J937" s="28">
        <v>12.0</v>
      </c>
      <c r="K937" s="28" t="s">
        <v>57</v>
      </c>
      <c r="L937" s="28" t="s">
        <v>57</v>
      </c>
    </row>
    <row r="938" ht="15.75" customHeight="1">
      <c r="A938" s="28" t="s">
        <v>131</v>
      </c>
      <c r="B938" s="28" t="s">
        <v>1799</v>
      </c>
      <c r="D938" s="28" t="s">
        <v>256</v>
      </c>
      <c r="E938" s="28" t="s">
        <v>1850</v>
      </c>
      <c r="F938" s="28" t="s">
        <v>687</v>
      </c>
      <c r="G938" s="28" t="s">
        <v>364</v>
      </c>
      <c r="H938" s="28">
        <v>1.0</v>
      </c>
      <c r="I938" s="28">
        <v>0.315</v>
      </c>
      <c r="J938" s="28">
        <v>24.0</v>
      </c>
      <c r="K938" s="28" t="s">
        <v>57</v>
      </c>
      <c r="L938" s="28" t="s">
        <v>57</v>
      </c>
    </row>
    <row r="939" ht="15.75" customHeight="1">
      <c r="A939" s="28" t="s">
        <v>131</v>
      </c>
      <c r="B939" s="28" t="s">
        <v>1799</v>
      </c>
      <c r="D939" s="28" t="s">
        <v>256</v>
      </c>
      <c r="E939" s="28" t="s">
        <v>1851</v>
      </c>
      <c r="F939" s="28" t="s">
        <v>687</v>
      </c>
      <c r="G939" s="28" t="s">
        <v>295</v>
      </c>
      <c r="H939" s="28">
        <v>1.0</v>
      </c>
      <c r="I939" s="28">
        <v>0.3165829145728643</v>
      </c>
      <c r="J939" s="28">
        <v>23.0</v>
      </c>
      <c r="K939" s="28" t="s">
        <v>57</v>
      </c>
      <c r="L939" s="28" t="s">
        <v>57</v>
      </c>
    </row>
    <row r="940" ht="15.75" customHeight="1">
      <c r="A940" s="28" t="s">
        <v>131</v>
      </c>
      <c r="B940" s="28" t="s">
        <v>1799</v>
      </c>
      <c r="D940" s="28" t="s">
        <v>256</v>
      </c>
      <c r="E940" s="28" t="s">
        <v>1852</v>
      </c>
      <c r="F940" s="28" t="s">
        <v>276</v>
      </c>
      <c r="G940" s="28" t="s">
        <v>334</v>
      </c>
      <c r="H940" s="28">
        <v>1.0</v>
      </c>
      <c r="I940" s="28">
        <v>0.38636363636363635</v>
      </c>
      <c r="J940" s="28">
        <v>4.0</v>
      </c>
      <c r="K940" s="28" t="s">
        <v>57</v>
      </c>
      <c r="L940" s="28" t="s">
        <v>57</v>
      </c>
    </row>
    <row r="941" ht="15.75" customHeight="1">
      <c r="A941" s="28" t="s">
        <v>131</v>
      </c>
      <c r="B941" s="28" t="s">
        <v>1799</v>
      </c>
      <c r="D941" s="28" t="s">
        <v>256</v>
      </c>
      <c r="E941" s="28" t="s">
        <v>1853</v>
      </c>
      <c r="F941" s="28" t="s">
        <v>276</v>
      </c>
      <c r="G941" s="28" t="s">
        <v>339</v>
      </c>
      <c r="H941" s="28">
        <v>1.0</v>
      </c>
      <c r="I941" s="28">
        <v>0.39664804469273746</v>
      </c>
      <c r="J941" s="28">
        <v>5.0</v>
      </c>
      <c r="K941" s="28" t="s">
        <v>57</v>
      </c>
      <c r="L941" s="28" t="s">
        <v>57</v>
      </c>
    </row>
    <row r="942" ht="15.75" customHeight="1">
      <c r="A942" s="28" t="s">
        <v>131</v>
      </c>
      <c r="B942" s="28" t="s">
        <v>1799</v>
      </c>
      <c r="D942" s="28" t="s">
        <v>256</v>
      </c>
      <c r="E942" s="28" t="s">
        <v>1854</v>
      </c>
      <c r="F942" s="28" t="s">
        <v>1375</v>
      </c>
      <c r="G942" s="28" t="s">
        <v>370</v>
      </c>
      <c r="H942" s="28">
        <v>1.0</v>
      </c>
      <c r="I942" s="28">
        <v>0.4068441064638783</v>
      </c>
      <c r="J942" s="28">
        <v>25.0</v>
      </c>
      <c r="K942" s="28" t="s">
        <v>57</v>
      </c>
      <c r="L942" s="28" t="s">
        <v>57</v>
      </c>
    </row>
    <row r="943" ht="15.75" customHeight="1">
      <c r="A943" s="28" t="s">
        <v>131</v>
      </c>
      <c r="B943" s="28" t="s">
        <v>1799</v>
      </c>
      <c r="D943" s="28" t="s">
        <v>256</v>
      </c>
      <c r="E943" s="28" t="s">
        <v>1855</v>
      </c>
      <c r="F943" s="28" t="s">
        <v>276</v>
      </c>
      <c r="G943" s="28" t="s">
        <v>378</v>
      </c>
      <c r="H943" s="28">
        <v>1.0</v>
      </c>
      <c r="I943" s="28">
        <v>0.4398148148148148</v>
      </c>
      <c r="J943" s="28">
        <v>11.0</v>
      </c>
      <c r="K943" s="28" t="s">
        <v>57</v>
      </c>
      <c r="L943" s="28" t="s">
        <v>57</v>
      </c>
    </row>
    <row r="944" ht="15.75" customHeight="1">
      <c r="A944" s="28" t="s">
        <v>131</v>
      </c>
      <c r="B944" s="28" t="s">
        <v>1799</v>
      </c>
      <c r="D944" s="28" t="s">
        <v>256</v>
      </c>
      <c r="E944" s="28" t="s">
        <v>1856</v>
      </c>
      <c r="F944" s="28" t="s">
        <v>691</v>
      </c>
      <c r="G944" s="28" t="s">
        <v>345</v>
      </c>
      <c r="H944" s="28">
        <v>1.0</v>
      </c>
      <c r="I944" s="28">
        <v>0.5154639175257731</v>
      </c>
      <c r="J944" s="28">
        <v>10.0</v>
      </c>
      <c r="K944" s="28" t="s">
        <v>57</v>
      </c>
      <c r="L944" s="28" t="s">
        <v>57</v>
      </c>
    </row>
    <row r="945" ht="15.75" customHeight="1">
      <c r="A945" s="28" t="s">
        <v>131</v>
      </c>
      <c r="B945" s="28" t="s">
        <v>1799</v>
      </c>
      <c r="D945" s="28" t="s">
        <v>256</v>
      </c>
      <c r="E945" s="28" t="s">
        <v>1857</v>
      </c>
      <c r="F945" s="28" t="s">
        <v>691</v>
      </c>
      <c r="G945" s="28" t="s">
        <v>252</v>
      </c>
      <c r="H945" s="28">
        <v>1.0</v>
      </c>
      <c r="I945" s="28">
        <v>0.5273972602739726</v>
      </c>
      <c r="J945" s="28">
        <v>7.0</v>
      </c>
      <c r="K945" s="28" t="s">
        <v>57</v>
      </c>
      <c r="L945" s="28" t="s">
        <v>57</v>
      </c>
    </row>
    <row r="946" ht="15.75" customHeight="1">
      <c r="A946" s="28" t="s">
        <v>131</v>
      </c>
      <c r="B946" s="28" t="s">
        <v>1799</v>
      </c>
      <c r="D946" s="28" t="s">
        <v>256</v>
      </c>
      <c r="E946" s="28" t="s">
        <v>1858</v>
      </c>
      <c r="F946" s="28" t="s">
        <v>691</v>
      </c>
      <c r="G946" s="28" t="s">
        <v>270</v>
      </c>
      <c r="H946" s="28">
        <v>1.0</v>
      </c>
      <c r="I946" s="28">
        <v>0.5322033898305085</v>
      </c>
      <c r="J946" s="28">
        <v>8.0</v>
      </c>
      <c r="K946" s="28" t="s">
        <v>57</v>
      </c>
      <c r="L946" s="28" t="s">
        <v>57</v>
      </c>
    </row>
    <row r="947" ht="15.75" customHeight="1">
      <c r="A947" s="28" t="s">
        <v>131</v>
      </c>
      <c r="B947" s="28" t="s">
        <v>1799</v>
      </c>
      <c r="D947" s="28" t="s">
        <v>256</v>
      </c>
      <c r="E947" s="28" t="s">
        <v>1859</v>
      </c>
      <c r="F947" s="28" t="s">
        <v>396</v>
      </c>
      <c r="G947" s="28" t="s">
        <v>398</v>
      </c>
      <c r="H947" s="28">
        <v>1.0</v>
      </c>
      <c r="I947" s="28">
        <v>0.5519713261648745</v>
      </c>
      <c r="J947" s="28">
        <v>27.0</v>
      </c>
      <c r="K947" s="28" t="s">
        <v>57</v>
      </c>
      <c r="L947" s="28" t="s">
        <v>696</v>
      </c>
    </row>
    <row r="948" ht="15.75" customHeight="1">
      <c r="A948" s="28" t="s">
        <v>131</v>
      </c>
      <c r="B948" s="28" t="s">
        <v>1799</v>
      </c>
      <c r="D948" s="28" t="s">
        <v>256</v>
      </c>
      <c r="E948" s="28" t="s">
        <v>1860</v>
      </c>
      <c r="F948" s="28" t="s">
        <v>695</v>
      </c>
      <c r="G948" s="28" t="s">
        <v>213</v>
      </c>
      <c r="H948" s="28">
        <v>1.0</v>
      </c>
      <c r="I948" s="28">
        <v>0.6492146596858639</v>
      </c>
      <c r="J948" s="28">
        <v>6.0</v>
      </c>
      <c r="K948" s="28" t="s">
        <v>57</v>
      </c>
      <c r="L948" s="28" t="s">
        <v>696</v>
      </c>
    </row>
    <row r="949" ht="15.75" customHeight="1">
      <c r="A949" s="28" t="s">
        <v>131</v>
      </c>
      <c r="B949" s="28" t="s">
        <v>1799</v>
      </c>
      <c r="D949" s="28" t="s">
        <v>256</v>
      </c>
      <c r="E949" s="28" t="s">
        <v>1861</v>
      </c>
      <c r="F949" s="28" t="s">
        <v>698</v>
      </c>
      <c r="G949" s="28" t="s">
        <v>287</v>
      </c>
      <c r="H949" s="28">
        <v>1.0</v>
      </c>
      <c r="I949" s="28">
        <v>0.6587112171837709</v>
      </c>
      <c r="J949" s="28">
        <v>21.0</v>
      </c>
      <c r="K949" s="28" t="s">
        <v>57</v>
      </c>
      <c r="L949" s="28" t="s">
        <v>57</v>
      </c>
    </row>
    <row r="950" ht="15.75" customHeight="1">
      <c r="A950" s="28" t="s">
        <v>131</v>
      </c>
      <c r="B950" s="28" t="s">
        <v>1799</v>
      </c>
      <c r="D950" s="28" t="s">
        <v>256</v>
      </c>
      <c r="E950" s="28" t="s">
        <v>1862</v>
      </c>
      <c r="F950" s="28" t="s">
        <v>138</v>
      </c>
      <c r="G950" s="28" t="s">
        <v>140</v>
      </c>
      <c r="H950" s="28">
        <v>1.0</v>
      </c>
      <c r="I950" s="28">
        <v>0.725</v>
      </c>
      <c r="J950" s="28">
        <v>2.0</v>
      </c>
      <c r="K950" s="28" t="s">
        <v>57</v>
      </c>
      <c r="L950" s="28" t="s">
        <v>696</v>
      </c>
    </row>
    <row r="951" ht="15.75" customHeight="1">
      <c r="A951" s="28" t="s">
        <v>131</v>
      </c>
      <c r="B951" s="28" t="s">
        <v>1799</v>
      </c>
      <c r="D951" s="28" t="s">
        <v>256</v>
      </c>
      <c r="E951" s="28" t="s">
        <v>1863</v>
      </c>
      <c r="F951" s="28" t="s">
        <v>703</v>
      </c>
      <c r="G951" s="28" t="s">
        <v>149</v>
      </c>
      <c r="H951" s="28">
        <v>1.0</v>
      </c>
      <c r="I951" s="28">
        <v>0.8</v>
      </c>
      <c r="J951" s="28">
        <v>3.0</v>
      </c>
      <c r="K951" s="28" t="s">
        <v>57</v>
      </c>
      <c r="L951" s="28" t="s">
        <v>696</v>
      </c>
    </row>
    <row r="952" ht="15.75" customHeight="1">
      <c r="A952" s="28" t="s">
        <v>131</v>
      </c>
      <c r="B952" s="28" t="s">
        <v>1799</v>
      </c>
      <c r="D952" s="28" t="s">
        <v>256</v>
      </c>
      <c r="E952" s="28" t="s">
        <v>1864</v>
      </c>
      <c r="F952" s="28" t="s">
        <v>701</v>
      </c>
      <c r="G952" s="28" t="s">
        <v>303</v>
      </c>
      <c r="H952" s="28">
        <v>1.0</v>
      </c>
      <c r="I952" s="28">
        <v>0.8049792531120332</v>
      </c>
      <c r="J952" s="28">
        <v>19.0</v>
      </c>
      <c r="K952" s="28" t="s">
        <v>57</v>
      </c>
      <c r="L952" s="28" t="s">
        <v>57</v>
      </c>
    </row>
    <row r="953" ht="15.75" customHeight="1">
      <c r="A953" s="28" t="s">
        <v>131</v>
      </c>
      <c r="B953" s="28" t="s">
        <v>1799</v>
      </c>
      <c r="D953" s="28" t="s">
        <v>256</v>
      </c>
      <c r="E953" s="28" t="s">
        <v>1865</v>
      </c>
      <c r="F953" s="28" t="s">
        <v>705</v>
      </c>
      <c r="G953" s="28" t="s">
        <v>241</v>
      </c>
      <c r="H953" s="28">
        <v>1.0</v>
      </c>
      <c r="I953" s="28">
        <v>0.8841512469831054</v>
      </c>
      <c r="J953" s="28">
        <v>17.0</v>
      </c>
      <c r="K953" s="28" t="s">
        <v>57</v>
      </c>
      <c r="L953" s="28" t="s">
        <v>57</v>
      </c>
    </row>
    <row r="954" ht="15.75" customHeight="1">
      <c r="A954" s="28" t="s">
        <v>131</v>
      </c>
      <c r="B954" s="28" t="s">
        <v>1799</v>
      </c>
      <c r="D954" s="28" t="s">
        <v>140</v>
      </c>
      <c r="E954" s="28" t="s">
        <v>1866</v>
      </c>
      <c r="F954" s="28" t="s">
        <v>740</v>
      </c>
      <c r="G954" s="28" t="s">
        <v>287</v>
      </c>
      <c r="H954" s="28">
        <v>1.0</v>
      </c>
      <c r="I954" s="28">
        <v>0.25384615384615383</v>
      </c>
      <c r="J954" s="28">
        <v>18.0</v>
      </c>
      <c r="K954" s="28" t="s">
        <v>57</v>
      </c>
      <c r="L954" s="28" t="s">
        <v>696</v>
      </c>
    </row>
    <row r="955" ht="15.75" customHeight="1">
      <c r="A955" s="28" t="s">
        <v>131</v>
      </c>
      <c r="B955" s="28" t="s">
        <v>1799</v>
      </c>
      <c r="D955" s="28" t="s">
        <v>140</v>
      </c>
      <c r="E955" s="28" t="s">
        <v>1429</v>
      </c>
      <c r="F955" s="28" t="s">
        <v>147</v>
      </c>
      <c r="G955" s="28" t="s">
        <v>149</v>
      </c>
      <c r="H955" s="28">
        <v>1.0</v>
      </c>
      <c r="I955" s="28">
        <v>0.3708609271523179</v>
      </c>
      <c r="J955" s="28">
        <v>0.0</v>
      </c>
      <c r="K955" s="28" t="s">
        <v>57</v>
      </c>
      <c r="L955" s="28" t="s">
        <v>57</v>
      </c>
    </row>
    <row r="956" ht="15.75" customHeight="1">
      <c r="A956" s="28" t="s">
        <v>131</v>
      </c>
      <c r="B956" s="28" t="s">
        <v>1799</v>
      </c>
      <c r="D956" s="28" t="s">
        <v>140</v>
      </c>
      <c r="E956" s="28" t="s">
        <v>1430</v>
      </c>
      <c r="F956" s="28" t="s">
        <v>211</v>
      </c>
      <c r="G956" s="28" t="s">
        <v>213</v>
      </c>
      <c r="H956" s="28">
        <v>1.0</v>
      </c>
      <c r="I956" s="28">
        <v>0.3903846153846154</v>
      </c>
      <c r="J956" s="28">
        <v>3.0</v>
      </c>
      <c r="K956" s="28" t="s">
        <v>57</v>
      </c>
      <c r="L956" s="28" t="s">
        <v>57</v>
      </c>
    </row>
    <row r="957" ht="15.75" customHeight="1">
      <c r="A957" s="28" t="s">
        <v>131</v>
      </c>
      <c r="B957" s="28" t="s">
        <v>1799</v>
      </c>
      <c r="D957" s="28" t="s">
        <v>140</v>
      </c>
      <c r="E957" s="28" t="s">
        <v>1867</v>
      </c>
      <c r="F957" s="28" t="s">
        <v>742</v>
      </c>
      <c r="G957" s="28" t="s">
        <v>303</v>
      </c>
      <c r="H957" s="28">
        <v>1.0</v>
      </c>
      <c r="I957" s="28">
        <v>0.4024896265560166</v>
      </c>
      <c r="J957" s="28">
        <v>16.0</v>
      </c>
      <c r="K957" s="28" t="s">
        <v>57</v>
      </c>
      <c r="L957" s="28" t="s">
        <v>696</v>
      </c>
    </row>
    <row r="958" ht="15.75" customHeight="1">
      <c r="A958" s="28" t="s">
        <v>131</v>
      </c>
      <c r="B958" s="28" t="s">
        <v>1799</v>
      </c>
      <c r="D958" s="28" t="s">
        <v>140</v>
      </c>
      <c r="E958" s="28" t="s">
        <v>1868</v>
      </c>
      <c r="F958" s="28" t="s">
        <v>744</v>
      </c>
      <c r="G958" s="28" t="s">
        <v>252</v>
      </c>
      <c r="H958" s="28">
        <v>1.0</v>
      </c>
      <c r="I958" s="28">
        <v>0.49423076923076925</v>
      </c>
      <c r="J958" s="28">
        <v>4.0</v>
      </c>
      <c r="K958" s="28" t="s">
        <v>57</v>
      </c>
      <c r="L958" s="28" t="s">
        <v>696</v>
      </c>
    </row>
    <row r="959" ht="15.75" customHeight="1">
      <c r="A959" s="28" t="s">
        <v>131</v>
      </c>
      <c r="B959" s="28" t="s">
        <v>1799</v>
      </c>
      <c r="D959" s="28" t="s">
        <v>140</v>
      </c>
      <c r="E959" s="28" t="s">
        <v>1869</v>
      </c>
      <c r="F959" s="28" t="s">
        <v>744</v>
      </c>
      <c r="G959" s="28" t="s">
        <v>345</v>
      </c>
      <c r="H959" s="28">
        <v>1.0</v>
      </c>
      <c r="I959" s="28">
        <v>0.4980769230769231</v>
      </c>
      <c r="J959" s="28">
        <v>7.0</v>
      </c>
      <c r="K959" s="28" t="s">
        <v>57</v>
      </c>
      <c r="L959" s="28" t="s">
        <v>696</v>
      </c>
    </row>
    <row r="960" ht="15.75" customHeight="1">
      <c r="A960" s="28" t="s">
        <v>131</v>
      </c>
      <c r="B960" s="28" t="s">
        <v>1799</v>
      </c>
      <c r="D960" s="28" t="s">
        <v>140</v>
      </c>
      <c r="E960" s="28" t="s">
        <v>1870</v>
      </c>
      <c r="F960" s="28" t="s">
        <v>744</v>
      </c>
      <c r="G960" s="28" t="s">
        <v>270</v>
      </c>
      <c r="H960" s="28">
        <v>1.0</v>
      </c>
      <c r="I960" s="28">
        <v>0.5</v>
      </c>
      <c r="J960" s="28">
        <v>5.0</v>
      </c>
      <c r="K960" s="28" t="s">
        <v>57</v>
      </c>
      <c r="L960" s="28" t="s">
        <v>696</v>
      </c>
    </row>
    <row r="961" ht="15.75" customHeight="1">
      <c r="A961" s="28" t="s">
        <v>131</v>
      </c>
      <c r="B961" s="28" t="s">
        <v>1799</v>
      </c>
      <c r="D961" s="28" t="s">
        <v>140</v>
      </c>
      <c r="E961" s="28" t="s">
        <v>1871</v>
      </c>
      <c r="F961" s="28" t="s">
        <v>1436</v>
      </c>
      <c r="G961" s="28" t="s">
        <v>370</v>
      </c>
      <c r="H961" s="28">
        <v>1.0</v>
      </c>
      <c r="I961" s="28">
        <v>0.5326923076923077</v>
      </c>
      <c r="J961" s="28">
        <v>22.0</v>
      </c>
      <c r="K961" s="28" t="s">
        <v>57</v>
      </c>
      <c r="L961" s="28" t="s">
        <v>696</v>
      </c>
    </row>
    <row r="962" ht="15.75" customHeight="1">
      <c r="A962" s="28" t="s">
        <v>131</v>
      </c>
      <c r="B962" s="28" t="s">
        <v>1799</v>
      </c>
      <c r="D962" s="28" t="s">
        <v>140</v>
      </c>
      <c r="E962" s="28" t="s">
        <v>1872</v>
      </c>
      <c r="F962" s="28" t="s">
        <v>750</v>
      </c>
      <c r="G962" s="28" t="s">
        <v>241</v>
      </c>
      <c r="H962" s="28">
        <v>1.0</v>
      </c>
      <c r="I962" s="28">
        <v>0.6106194690265486</v>
      </c>
      <c r="J962" s="28">
        <v>14.0</v>
      </c>
      <c r="K962" s="28" t="s">
        <v>57</v>
      </c>
      <c r="L962" s="28" t="s">
        <v>696</v>
      </c>
    </row>
    <row r="963" ht="15.75" customHeight="1">
      <c r="A963" s="28" t="s">
        <v>131</v>
      </c>
      <c r="B963" s="28" t="s">
        <v>1799</v>
      </c>
      <c r="D963" s="28" t="s">
        <v>140</v>
      </c>
      <c r="E963" s="28" t="s">
        <v>1873</v>
      </c>
      <c r="F963" s="28" t="s">
        <v>1439</v>
      </c>
      <c r="G963" s="28" t="s">
        <v>398</v>
      </c>
      <c r="H963" s="28">
        <v>1.0</v>
      </c>
      <c r="I963" s="28">
        <v>0.6230769230769231</v>
      </c>
      <c r="J963" s="28">
        <v>24.0</v>
      </c>
      <c r="K963" s="28" t="s">
        <v>57</v>
      </c>
      <c r="L963" s="28" t="s">
        <v>57</v>
      </c>
    </row>
    <row r="964" ht="15.75" customHeight="1">
      <c r="A964" s="28" t="s">
        <v>131</v>
      </c>
      <c r="B964" s="28" t="s">
        <v>1799</v>
      </c>
      <c r="D964" s="28" t="s">
        <v>140</v>
      </c>
      <c r="E964" s="28" t="s">
        <v>1874</v>
      </c>
      <c r="F964" s="28" t="s">
        <v>748</v>
      </c>
      <c r="G964" s="28" t="s">
        <v>364</v>
      </c>
      <c r="H964" s="28">
        <v>1.0</v>
      </c>
      <c r="I964" s="28">
        <v>0.6307692307692307</v>
      </c>
      <c r="J964" s="28">
        <v>21.0</v>
      </c>
      <c r="K964" s="28" t="s">
        <v>57</v>
      </c>
      <c r="L964" s="28" t="s">
        <v>696</v>
      </c>
    </row>
    <row r="965" ht="15.75" customHeight="1">
      <c r="A965" s="28" t="s">
        <v>131</v>
      </c>
      <c r="B965" s="28" t="s">
        <v>1799</v>
      </c>
      <c r="D965" s="28" t="s">
        <v>140</v>
      </c>
      <c r="E965" s="28" t="s">
        <v>1875</v>
      </c>
      <c r="F965" s="28" t="s">
        <v>748</v>
      </c>
      <c r="G965" s="28" t="s">
        <v>295</v>
      </c>
      <c r="H965" s="28">
        <v>1.0</v>
      </c>
      <c r="I965" s="28">
        <v>0.6365384615384615</v>
      </c>
      <c r="J965" s="28">
        <v>20.0</v>
      </c>
      <c r="K965" s="28" t="s">
        <v>57</v>
      </c>
      <c r="L965" s="28" t="s">
        <v>696</v>
      </c>
    </row>
    <row r="966" ht="15.75" customHeight="1">
      <c r="A966" s="28" t="s">
        <v>131</v>
      </c>
      <c r="B966" s="28" t="s">
        <v>1799</v>
      </c>
      <c r="D966" s="28" t="s">
        <v>140</v>
      </c>
      <c r="E966" s="28" t="s">
        <v>1876</v>
      </c>
      <c r="F966" s="28" t="s">
        <v>754</v>
      </c>
      <c r="G966" s="28" t="s">
        <v>392</v>
      </c>
      <c r="H966" s="28">
        <v>1.0</v>
      </c>
      <c r="I966" s="28">
        <v>0.6903846153846154</v>
      </c>
      <c r="J966" s="28">
        <v>23.0</v>
      </c>
      <c r="K966" s="28" t="s">
        <v>57</v>
      </c>
      <c r="L966" s="28" t="s">
        <v>696</v>
      </c>
    </row>
    <row r="967" ht="15.75" customHeight="1">
      <c r="A967" s="28" t="s">
        <v>131</v>
      </c>
      <c r="B967" s="28" t="s">
        <v>1799</v>
      </c>
      <c r="D967" s="28" t="s">
        <v>140</v>
      </c>
      <c r="E967" s="28" t="s">
        <v>1877</v>
      </c>
      <c r="F967" s="28" t="s">
        <v>754</v>
      </c>
      <c r="G967" s="28" t="s">
        <v>262</v>
      </c>
      <c r="H967" s="28">
        <v>1.0</v>
      </c>
      <c r="I967" s="28">
        <v>0.6961538461538461</v>
      </c>
      <c r="J967" s="28">
        <v>6.0</v>
      </c>
      <c r="K967" s="28" t="s">
        <v>57</v>
      </c>
      <c r="L967" s="28" t="s">
        <v>696</v>
      </c>
    </row>
    <row r="968" ht="15.75" customHeight="1">
      <c r="A968" s="28" t="s">
        <v>131</v>
      </c>
      <c r="B968" s="28" t="s">
        <v>1799</v>
      </c>
      <c r="D968" s="28" t="s">
        <v>140</v>
      </c>
      <c r="E968" s="28" t="s">
        <v>1878</v>
      </c>
      <c r="F968" s="28" t="s">
        <v>756</v>
      </c>
      <c r="G968" s="28" t="s">
        <v>378</v>
      </c>
      <c r="H968" s="28">
        <v>1.0</v>
      </c>
      <c r="I968" s="28">
        <v>0.7230769230769231</v>
      </c>
      <c r="J968" s="28">
        <v>8.0</v>
      </c>
      <c r="K968" s="28" t="s">
        <v>57</v>
      </c>
      <c r="L968" s="28" t="s">
        <v>696</v>
      </c>
    </row>
    <row r="969" ht="15.75" customHeight="1">
      <c r="A969" s="28" t="s">
        <v>131</v>
      </c>
      <c r="B969" s="28" t="s">
        <v>1799</v>
      </c>
      <c r="D969" s="28" t="s">
        <v>140</v>
      </c>
      <c r="E969" s="28" t="s">
        <v>1879</v>
      </c>
      <c r="F969" s="28" t="s">
        <v>756</v>
      </c>
      <c r="G969" s="28" t="s">
        <v>334</v>
      </c>
      <c r="H969" s="28">
        <v>1.0</v>
      </c>
      <c r="I969" s="28">
        <v>0.725</v>
      </c>
      <c r="J969" s="28">
        <v>1.0</v>
      </c>
      <c r="K969" s="28" t="s">
        <v>57</v>
      </c>
      <c r="L969" s="28" t="s">
        <v>696</v>
      </c>
    </row>
    <row r="970" ht="15.75" customHeight="1">
      <c r="A970" s="28" t="s">
        <v>131</v>
      </c>
      <c r="B970" s="28" t="s">
        <v>1799</v>
      </c>
      <c r="D970" s="28" t="s">
        <v>140</v>
      </c>
      <c r="E970" s="28" t="s">
        <v>1880</v>
      </c>
      <c r="F970" s="28" t="s">
        <v>756</v>
      </c>
      <c r="G970" s="28" t="s">
        <v>339</v>
      </c>
      <c r="H970" s="28">
        <v>1.0</v>
      </c>
      <c r="I970" s="28">
        <v>0.7269230769230769</v>
      </c>
      <c r="J970" s="28">
        <v>2.0</v>
      </c>
      <c r="K970" s="28" t="s">
        <v>57</v>
      </c>
      <c r="L970" s="28" t="s">
        <v>696</v>
      </c>
    </row>
    <row r="971" ht="15.75" customHeight="1">
      <c r="A971" s="28" t="s">
        <v>131</v>
      </c>
      <c r="B971" s="28" t="s">
        <v>1799</v>
      </c>
      <c r="D971" s="28" t="s">
        <v>140</v>
      </c>
      <c r="E971" s="28" t="s">
        <v>1881</v>
      </c>
      <c r="F971" s="28" t="s">
        <v>756</v>
      </c>
      <c r="G971" s="28" t="s">
        <v>385</v>
      </c>
      <c r="H971" s="28">
        <v>1.0</v>
      </c>
      <c r="I971" s="28">
        <v>0.7615384615384615</v>
      </c>
      <c r="J971" s="28">
        <v>9.0</v>
      </c>
      <c r="K971" s="28" t="s">
        <v>57</v>
      </c>
      <c r="L971" s="28" t="s">
        <v>696</v>
      </c>
    </row>
    <row r="972" ht="15.75" customHeight="1">
      <c r="A972" s="28" t="s">
        <v>131</v>
      </c>
      <c r="B972" s="28" t="s">
        <v>1799</v>
      </c>
      <c r="D972" s="28" t="s">
        <v>140</v>
      </c>
      <c r="E972" s="28" t="s">
        <v>1882</v>
      </c>
      <c r="F972" s="28" t="s">
        <v>756</v>
      </c>
      <c r="G972" s="28" t="s">
        <v>310</v>
      </c>
      <c r="H972" s="28">
        <v>1.0</v>
      </c>
      <c r="I972" s="28">
        <v>0.7634615384615384</v>
      </c>
      <c r="J972" s="28">
        <v>19.0</v>
      </c>
      <c r="K972" s="28" t="s">
        <v>57</v>
      </c>
      <c r="L972" s="28" t="s">
        <v>696</v>
      </c>
    </row>
    <row r="973" ht="15.75" customHeight="1">
      <c r="A973" s="28" t="s">
        <v>131</v>
      </c>
      <c r="B973" s="28" t="s">
        <v>1799</v>
      </c>
      <c r="D973" s="28" t="s">
        <v>140</v>
      </c>
      <c r="E973" s="28" t="s">
        <v>1883</v>
      </c>
      <c r="F973" s="28" t="s">
        <v>756</v>
      </c>
      <c r="G973" s="28" t="s">
        <v>278</v>
      </c>
      <c r="H973" s="28">
        <v>1.0</v>
      </c>
      <c r="I973" s="28">
        <v>0.7653846153846153</v>
      </c>
      <c r="J973" s="28">
        <v>15.0</v>
      </c>
      <c r="K973" s="28" t="s">
        <v>57</v>
      </c>
      <c r="L973" s="28" t="s">
        <v>696</v>
      </c>
    </row>
    <row r="974" ht="15.75" customHeight="1">
      <c r="A974" s="28" t="s">
        <v>131</v>
      </c>
      <c r="B974" s="28" t="s">
        <v>1799</v>
      </c>
      <c r="D974" s="28" t="s">
        <v>149</v>
      </c>
      <c r="E974" s="28" t="s">
        <v>1884</v>
      </c>
      <c r="F974" s="28" t="s">
        <v>761</v>
      </c>
      <c r="G974" s="28" t="s">
        <v>303</v>
      </c>
      <c r="H974" s="28">
        <v>1.0</v>
      </c>
      <c r="I974" s="28">
        <v>0.26225165562913905</v>
      </c>
      <c r="J974" s="28">
        <v>15.0</v>
      </c>
      <c r="K974" s="28" t="s">
        <v>57</v>
      </c>
      <c r="L974" s="28" t="s">
        <v>696</v>
      </c>
    </row>
    <row r="975" ht="15.75" customHeight="1">
      <c r="A975" s="28" t="s">
        <v>131</v>
      </c>
      <c r="B975" s="28" t="s">
        <v>1799</v>
      </c>
      <c r="D975" s="28" t="s">
        <v>149</v>
      </c>
      <c r="E975" s="28" t="s">
        <v>1885</v>
      </c>
      <c r="F975" s="28" t="s">
        <v>239</v>
      </c>
      <c r="G975" s="28" t="s">
        <v>241</v>
      </c>
      <c r="H975" s="28">
        <v>1.0</v>
      </c>
      <c r="I975" s="28">
        <v>0.4585679806918745</v>
      </c>
      <c r="J975" s="28">
        <v>13.0</v>
      </c>
      <c r="K975" s="28" t="s">
        <v>57</v>
      </c>
      <c r="L975" s="28" t="s">
        <v>696</v>
      </c>
    </row>
    <row r="976" ht="15.75" customHeight="1">
      <c r="A976" s="28" t="s">
        <v>131</v>
      </c>
      <c r="B976" s="28" t="s">
        <v>1799</v>
      </c>
      <c r="D976" s="28" t="s">
        <v>149</v>
      </c>
      <c r="E976" s="28" t="s">
        <v>1886</v>
      </c>
      <c r="F976" s="28" t="s">
        <v>763</v>
      </c>
      <c r="G976" s="28" t="s">
        <v>287</v>
      </c>
      <c r="H976" s="28">
        <v>1.0</v>
      </c>
      <c r="I976" s="28">
        <v>0.47152317880794703</v>
      </c>
      <c r="J976" s="28">
        <v>17.0</v>
      </c>
      <c r="K976" s="28" t="s">
        <v>57</v>
      </c>
      <c r="L976" s="28" t="s">
        <v>696</v>
      </c>
    </row>
    <row r="977" ht="15.75" customHeight="1">
      <c r="A977" s="28" t="s">
        <v>131</v>
      </c>
      <c r="B977" s="28" t="s">
        <v>1799</v>
      </c>
      <c r="D977" s="28" t="s">
        <v>149</v>
      </c>
      <c r="E977" s="28" t="s">
        <v>1453</v>
      </c>
      <c r="F977" s="28" t="s">
        <v>765</v>
      </c>
      <c r="G977" s="28" t="s">
        <v>213</v>
      </c>
      <c r="H977" s="28">
        <v>1.0</v>
      </c>
      <c r="I977" s="28">
        <v>0.5324503311258278</v>
      </c>
      <c r="J977" s="28">
        <v>2.0</v>
      </c>
      <c r="K977" s="28" t="s">
        <v>57</v>
      </c>
      <c r="L977" s="28" t="s">
        <v>57</v>
      </c>
    </row>
    <row r="978" ht="15.75" customHeight="1">
      <c r="A978" s="28" t="s">
        <v>131</v>
      </c>
      <c r="B978" s="28" t="s">
        <v>1799</v>
      </c>
      <c r="D978" s="28" t="s">
        <v>149</v>
      </c>
      <c r="E978" s="28" t="s">
        <v>1887</v>
      </c>
      <c r="F978" s="28" t="s">
        <v>767</v>
      </c>
      <c r="G978" s="28" t="s">
        <v>345</v>
      </c>
      <c r="H978" s="28">
        <v>1.0</v>
      </c>
      <c r="I978" s="28">
        <v>0.6410596026490066</v>
      </c>
      <c r="J978" s="28">
        <v>6.0</v>
      </c>
      <c r="K978" s="28" t="s">
        <v>57</v>
      </c>
      <c r="L978" s="28" t="s">
        <v>696</v>
      </c>
    </row>
    <row r="979" ht="15.75" customHeight="1">
      <c r="A979" s="28" t="s">
        <v>131</v>
      </c>
      <c r="B979" s="28" t="s">
        <v>1799</v>
      </c>
      <c r="D979" s="28" t="s">
        <v>149</v>
      </c>
      <c r="E979" s="28" t="s">
        <v>1888</v>
      </c>
      <c r="F979" s="28" t="s">
        <v>767</v>
      </c>
      <c r="G979" s="28" t="s">
        <v>252</v>
      </c>
      <c r="H979" s="28">
        <v>1.0</v>
      </c>
      <c r="I979" s="28">
        <v>0.6410596026490066</v>
      </c>
      <c r="J979" s="28">
        <v>3.0</v>
      </c>
      <c r="K979" s="28" t="s">
        <v>57</v>
      </c>
      <c r="L979" s="28" t="s">
        <v>696</v>
      </c>
    </row>
    <row r="980" ht="15.75" customHeight="1">
      <c r="A980" s="28" t="s">
        <v>131</v>
      </c>
      <c r="B980" s="28" t="s">
        <v>1799</v>
      </c>
      <c r="D980" s="28" t="s">
        <v>149</v>
      </c>
      <c r="E980" s="28" t="s">
        <v>1889</v>
      </c>
      <c r="F980" s="28" t="s">
        <v>767</v>
      </c>
      <c r="G980" s="28" t="s">
        <v>270</v>
      </c>
      <c r="H980" s="28">
        <v>1.0</v>
      </c>
      <c r="I980" s="28">
        <v>0.6450331125827815</v>
      </c>
      <c r="J980" s="28">
        <v>4.0</v>
      </c>
      <c r="K980" s="28" t="s">
        <v>57</v>
      </c>
      <c r="L980" s="28" t="s">
        <v>696</v>
      </c>
    </row>
    <row r="981" ht="15.75" customHeight="1">
      <c r="A981" s="28" t="s">
        <v>131</v>
      </c>
      <c r="B981" s="28" t="s">
        <v>1799</v>
      </c>
      <c r="D981" s="28" t="s">
        <v>149</v>
      </c>
      <c r="E981" s="28" t="s">
        <v>1890</v>
      </c>
      <c r="F981" s="28" t="s">
        <v>1458</v>
      </c>
      <c r="G981" s="28" t="s">
        <v>370</v>
      </c>
      <c r="H981" s="28">
        <v>1.0</v>
      </c>
      <c r="I981" s="28">
        <v>0.6649006622516557</v>
      </c>
      <c r="J981" s="28">
        <v>21.0</v>
      </c>
      <c r="K981" s="28" t="s">
        <v>57</v>
      </c>
      <c r="L981" s="28" t="s">
        <v>696</v>
      </c>
    </row>
    <row r="982" ht="15.75" customHeight="1">
      <c r="A982" s="28" t="s">
        <v>131</v>
      </c>
      <c r="B982" s="28" t="s">
        <v>1799</v>
      </c>
      <c r="D982" s="28" t="s">
        <v>149</v>
      </c>
      <c r="E982" s="28" t="s">
        <v>1891</v>
      </c>
      <c r="F982" s="28" t="s">
        <v>1460</v>
      </c>
      <c r="G982" s="28" t="s">
        <v>398</v>
      </c>
      <c r="H982" s="28">
        <v>1.0</v>
      </c>
      <c r="I982" s="28">
        <v>0.7086092715231788</v>
      </c>
      <c r="J982" s="28">
        <v>23.0</v>
      </c>
      <c r="K982" s="28" t="s">
        <v>57</v>
      </c>
      <c r="L982" s="28" t="s">
        <v>57</v>
      </c>
    </row>
    <row r="983" ht="15.75" customHeight="1">
      <c r="A983" s="28" t="s">
        <v>131</v>
      </c>
      <c r="B983" s="28" t="s">
        <v>1799</v>
      </c>
      <c r="D983" s="28" t="s">
        <v>149</v>
      </c>
      <c r="E983" s="28" t="s">
        <v>1892</v>
      </c>
      <c r="F983" s="28" t="s">
        <v>771</v>
      </c>
      <c r="G983" s="28" t="s">
        <v>364</v>
      </c>
      <c r="H983" s="28">
        <v>1.0</v>
      </c>
      <c r="I983" s="28">
        <v>0.7417218543046358</v>
      </c>
      <c r="J983" s="28">
        <v>20.0</v>
      </c>
      <c r="K983" s="28" t="s">
        <v>57</v>
      </c>
      <c r="L983" s="28" t="s">
        <v>696</v>
      </c>
    </row>
    <row r="984" ht="15.75" customHeight="1">
      <c r="A984" s="28" t="s">
        <v>131</v>
      </c>
      <c r="B984" s="28" t="s">
        <v>1799</v>
      </c>
      <c r="D984" s="28" t="s">
        <v>149</v>
      </c>
      <c r="E984" s="28" t="s">
        <v>1893</v>
      </c>
      <c r="F984" s="28" t="s">
        <v>771</v>
      </c>
      <c r="G984" s="28" t="s">
        <v>295</v>
      </c>
      <c r="H984" s="28">
        <v>1.0</v>
      </c>
      <c r="I984" s="28">
        <v>0.743046357615894</v>
      </c>
      <c r="J984" s="28">
        <v>19.0</v>
      </c>
      <c r="K984" s="28" t="s">
        <v>57</v>
      </c>
      <c r="L984" s="28" t="s">
        <v>696</v>
      </c>
    </row>
    <row r="985" ht="15.75" customHeight="1">
      <c r="A985" s="28" t="s">
        <v>131</v>
      </c>
      <c r="B985" s="28" t="s">
        <v>1799</v>
      </c>
      <c r="D985" s="28" t="s">
        <v>149</v>
      </c>
      <c r="E985" s="28" t="s">
        <v>1894</v>
      </c>
      <c r="F985" s="28" t="s">
        <v>775</v>
      </c>
      <c r="G985" s="28" t="s">
        <v>262</v>
      </c>
      <c r="H985" s="28">
        <v>1.0</v>
      </c>
      <c r="I985" s="28">
        <v>0.7788079470198676</v>
      </c>
      <c r="J985" s="28">
        <v>5.0</v>
      </c>
      <c r="K985" s="28" t="s">
        <v>57</v>
      </c>
      <c r="L985" s="28" t="s">
        <v>696</v>
      </c>
    </row>
    <row r="986" ht="15.75" customHeight="1">
      <c r="A986" s="28" t="s">
        <v>131</v>
      </c>
      <c r="B986" s="28" t="s">
        <v>1799</v>
      </c>
      <c r="D986" s="28" t="s">
        <v>149</v>
      </c>
      <c r="E986" s="28" t="s">
        <v>1895</v>
      </c>
      <c r="F986" s="28" t="s">
        <v>777</v>
      </c>
      <c r="G986" s="28" t="s">
        <v>378</v>
      </c>
      <c r="H986" s="28">
        <v>1.0</v>
      </c>
      <c r="I986" s="28">
        <v>0.7827814569536424</v>
      </c>
      <c r="J986" s="28">
        <v>7.0</v>
      </c>
      <c r="K986" s="28" t="s">
        <v>57</v>
      </c>
      <c r="L986" s="28" t="s">
        <v>696</v>
      </c>
    </row>
    <row r="987" ht="15.75" customHeight="1">
      <c r="A987" s="28" t="s">
        <v>131</v>
      </c>
      <c r="B987" s="28" t="s">
        <v>1799</v>
      </c>
      <c r="D987" s="28" t="s">
        <v>149</v>
      </c>
      <c r="E987" s="28" t="s">
        <v>1896</v>
      </c>
      <c r="F987" s="28" t="s">
        <v>775</v>
      </c>
      <c r="G987" s="28" t="s">
        <v>392</v>
      </c>
      <c r="H987" s="28">
        <v>1.0</v>
      </c>
      <c r="I987" s="28">
        <v>0.7880794701986755</v>
      </c>
      <c r="J987" s="28">
        <v>22.0</v>
      </c>
      <c r="K987" s="28" t="s">
        <v>57</v>
      </c>
      <c r="L987" s="28" t="s">
        <v>696</v>
      </c>
    </row>
    <row r="988" ht="15.75" customHeight="1">
      <c r="A988" s="28" t="s">
        <v>131</v>
      </c>
      <c r="B988" s="28" t="s">
        <v>1799</v>
      </c>
      <c r="D988" s="28" t="s">
        <v>149</v>
      </c>
      <c r="E988" s="28" t="s">
        <v>1897</v>
      </c>
      <c r="F988" s="28" t="s">
        <v>777</v>
      </c>
      <c r="G988" s="28" t="s">
        <v>334</v>
      </c>
      <c r="H988" s="28">
        <v>1.0</v>
      </c>
      <c r="I988" s="28">
        <v>0.8052980132450331</v>
      </c>
      <c r="J988" s="28">
        <v>0.0</v>
      </c>
      <c r="K988" s="28" t="s">
        <v>57</v>
      </c>
      <c r="L988" s="28" t="s">
        <v>696</v>
      </c>
    </row>
    <row r="989" ht="15.75" customHeight="1">
      <c r="A989" s="28" t="s">
        <v>131</v>
      </c>
      <c r="B989" s="28" t="s">
        <v>1799</v>
      </c>
      <c r="D989" s="28" t="s">
        <v>149</v>
      </c>
      <c r="E989" s="28" t="s">
        <v>1898</v>
      </c>
      <c r="F989" s="28" t="s">
        <v>777</v>
      </c>
      <c r="G989" s="28" t="s">
        <v>339</v>
      </c>
      <c r="H989" s="28">
        <v>1.0</v>
      </c>
      <c r="I989" s="28">
        <v>0.8079470198675497</v>
      </c>
      <c r="J989" s="28">
        <v>1.0</v>
      </c>
      <c r="K989" s="28" t="s">
        <v>57</v>
      </c>
      <c r="L989" s="28" t="s">
        <v>696</v>
      </c>
    </row>
    <row r="990" ht="15.75" customHeight="1">
      <c r="A990" s="28" t="s">
        <v>131</v>
      </c>
      <c r="B990" s="28" t="s">
        <v>1799</v>
      </c>
      <c r="D990" s="28" t="s">
        <v>149</v>
      </c>
      <c r="E990" s="28" t="s">
        <v>1899</v>
      </c>
      <c r="F990" s="28" t="s">
        <v>777</v>
      </c>
      <c r="G990" s="28" t="s">
        <v>385</v>
      </c>
      <c r="H990" s="28">
        <v>1.0</v>
      </c>
      <c r="I990" s="28">
        <v>0.8304635761589404</v>
      </c>
      <c r="J990" s="28">
        <v>8.0</v>
      </c>
      <c r="K990" s="28" t="s">
        <v>57</v>
      </c>
      <c r="L990" s="28" t="s">
        <v>696</v>
      </c>
    </row>
    <row r="991" ht="15.75" customHeight="1">
      <c r="A991" s="28" t="s">
        <v>131</v>
      </c>
      <c r="B991" s="28" t="s">
        <v>1799</v>
      </c>
      <c r="D991" s="28" t="s">
        <v>149</v>
      </c>
      <c r="E991" s="28" t="s">
        <v>1900</v>
      </c>
      <c r="F991" s="28" t="s">
        <v>777</v>
      </c>
      <c r="G991" s="28" t="s">
        <v>310</v>
      </c>
      <c r="H991" s="28">
        <v>1.0</v>
      </c>
      <c r="I991" s="28">
        <v>0.83841059602649</v>
      </c>
      <c r="J991" s="28">
        <v>18.0</v>
      </c>
      <c r="K991" s="28" t="s">
        <v>57</v>
      </c>
      <c r="L991" s="28" t="s">
        <v>696</v>
      </c>
    </row>
    <row r="992" ht="15.75" customHeight="1">
      <c r="A992" s="28" t="s">
        <v>131</v>
      </c>
      <c r="B992" s="28" t="s">
        <v>1799</v>
      </c>
      <c r="D992" s="28" t="s">
        <v>149</v>
      </c>
      <c r="E992" s="28" t="s">
        <v>1901</v>
      </c>
      <c r="F992" s="28" t="s">
        <v>777</v>
      </c>
      <c r="G992" s="28" t="s">
        <v>278</v>
      </c>
      <c r="H992" s="28">
        <v>1.0</v>
      </c>
      <c r="I992" s="28">
        <v>0.83841059602649</v>
      </c>
      <c r="J992" s="28">
        <v>14.0</v>
      </c>
      <c r="K992" s="28" t="s">
        <v>57</v>
      </c>
      <c r="L992" s="28" t="s">
        <v>696</v>
      </c>
    </row>
    <row r="993" ht="15.75" customHeight="1">
      <c r="A993" s="28" t="s">
        <v>131</v>
      </c>
      <c r="B993" s="28" t="s">
        <v>1799</v>
      </c>
      <c r="D993" s="28" t="s">
        <v>334</v>
      </c>
      <c r="E993" s="28" t="s">
        <v>1902</v>
      </c>
      <c r="F993" s="28" t="s">
        <v>276</v>
      </c>
      <c r="G993" s="28" t="s">
        <v>339</v>
      </c>
      <c r="H993" s="28">
        <v>1.0</v>
      </c>
      <c r="I993" s="28">
        <v>0.027932960893854747</v>
      </c>
      <c r="J993" s="28">
        <v>0.0</v>
      </c>
      <c r="K993" s="28" t="s">
        <v>57</v>
      </c>
      <c r="L993" s="28" t="s">
        <v>57</v>
      </c>
    </row>
    <row r="994" ht="15.75" customHeight="1">
      <c r="A994" s="28" t="s">
        <v>131</v>
      </c>
      <c r="B994" s="28" t="s">
        <v>1799</v>
      </c>
      <c r="D994" s="28" t="s">
        <v>334</v>
      </c>
      <c r="E994" s="28" t="s">
        <v>1903</v>
      </c>
      <c r="F994" s="28" t="s">
        <v>276</v>
      </c>
      <c r="G994" s="28" t="s">
        <v>378</v>
      </c>
      <c r="H994" s="28">
        <v>1.0</v>
      </c>
      <c r="I994" s="28">
        <v>0.24537037037037038</v>
      </c>
      <c r="J994" s="28">
        <v>6.0</v>
      </c>
      <c r="K994" s="28" t="s">
        <v>57</v>
      </c>
      <c r="L994" s="28" t="s">
        <v>57</v>
      </c>
    </row>
    <row r="995" ht="15.75" customHeight="1">
      <c r="A995" s="28" t="s">
        <v>131</v>
      </c>
      <c r="B995" s="28" t="s">
        <v>1799</v>
      </c>
      <c r="D995" s="28" t="s">
        <v>334</v>
      </c>
      <c r="E995" s="28" t="s">
        <v>1904</v>
      </c>
      <c r="F995" s="28" t="s">
        <v>276</v>
      </c>
      <c r="G995" s="28" t="s">
        <v>385</v>
      </c>
      <c r="H995" s="28">
        <v>1.0</v>
      </c>
      <c r="I995" s="28">
        <v>0.26136363636363635</v>
      </c>
      <c r="J995" s="28">
        <v>7.0</v>
      </c>
      <c r="K995" s="28" t="s">
        <v>57</v>
      </c>
      <c r="L995" s="28" t="s">
        <v>57</v>
      </c>
    </row>
    <row r="996" ht="15.75" customHeight="1">
      <c r="A996" s="28" t="s">
        <v>131</v>
      </c>
      <c r="B996" s="28" t="s">
        <v>1799</v>
      </c>
      <c r="D996" s="28" t="s">
        <v>334</v>
      </c>
      <c r="E996" s="28" t="s">
        <v>1905</v>
      </c>
      <c r="F996" s="28" t="s">
        <v>276</v>
      </c>
      <c r="G996" s="28" t="s">
        <v>278</v>
      </c>
      <c r="H996" s="28">
        <v>1.0</v>
      </c>
      <c r="I996" s="28">
        <v>0.29545454545454547</v>
      </c>
      <c r="J996" s="28">
        <v>13.0</v>
      </c>
      <c r="K996" s="28" t="s">
        <v>57</v>
      </c>
      <c r="L996" s="28" t="s">
        <v>57</v>
      </c>
    </row>
    <row r="997" ht="15.75" customHeight="1">
      <c r="A997" s="28" t="s">
        <v>131</v>
      </c>
      <c r="B997" s="28" t="s">
        <v>1799</v>
      </c>
      <c r="D997" s="28" t="s">
        <v>334</v>
      </c>
      <c r="E997" s="28" t="s">
        <v>1906</v>
      </c>
      <c r="F997" s="28" t="s">
        <v>276</v>
      </c>
      <c r="G997" s="28" t="s">
        <v>310</v>
      </c>
      <c r="H997" s="28">
        <v>1.0</v>
      </c>
      <c r="I997" s="28">
        <v>0.30113636363636365</v>
      </c>
      <c r="J997" s="28">
        <v>17.0</v>
      </c>
      <c r="K997" s="28" t="s">
        <v>57</v>
      </c>
      <c r="L997" s="28" t="s">
        <v>57</v>
      </c>
    </row>
    <row r="998" ht="15.75" customHeight="1">
      <c r="A998" s="28" t="s">
        <v>131</v>
      </c>
      <c r="B998" s="28" t="s">
        <v>1799</v>
      </c>
      <c r="D998" s="28" t="s">
        <v>334</v>
      </c>
      <c r="E998" s="28" t="s">
        <v>1907</v>
      </c>
      <c r="F998" s="28" t="s">
        <v>260</v>
      </c>
      <c r="G998" s="28" t="s">
        <v>262</v>
      </c>
      <c r="H998" s="28">
        <v>1.0</v>
      </c>
      <c r="I998" s="28">
        <v>0.35795454545454547</v>
      </c>
      <c r="J998" s="28">
        <v>4.0</v>
      </c>
      <c r="K998" s="28" t="s">
        <v>57</v>
      </c>
      <c r="L998" s="28" t="s">
        <v>57</v>
      </c>
    </row>
    <row r="999" ht="15.75" customHeight="1">
      <c r="A999" s="28" t="s">
        <v>131</v>
      </c>
      <c r="B999" s="28" t="s">
        <v>1799</v>
      </c>
      <c r="D999" s="28" t="s">
        <v>334</v>
      </c>
      <c r="E999" s="28" t="s">
        <v>1908</v>
      </c>
      <c r="F999" s="28" t="s">
        <v>260</v>
      </c>
      <c r="G999" s="28" t="s">
        <v>392</v>
      </c>
      <c r="H999" s="28">
        <v>1.0</v>
      </c>
      <c r="I999" s="28">
        <v>0.4034090909090909</v>
      </c>
      <c r="J999" s="28">
        <v>21.0</v>
      </c>
      <c r="K999" s="28" t="s">
        <v>57</v>
      </c>
      <c r="L999" s="28" t="s">
        <v>57</v>
      </c>
    </row>
    <row r="1000" ht="15.75" customHeight="1">
      <c r="A1000" s="28" t="s">
        <v>131</v>
      </c>
      <c r="B1000" s="28" t="s">
        <v>1799</v>
      </c>
      <c r="D1000" s="28" t="s">
        <v>334</v>
      </c>
      <c r="E1000" s="28" t="s">
        <v>1909</v>
      </c>
      <c r="F1000" s="28" t="s">
        <v>396</v>
      </c>
      <c r="G1000" s="28" t="s">
        <v>398</v>
      </c>
      <c r="H1000" s="28">
        <v>1.0</v>
      </c>
      <c r="I1000" s="28">
        <v>0.43727598566308246</v>
      </c>
      <c r="J1000" s="28">
        <v>22.0</v>
      </c>
      <c r="K1000" s="28" t="s">
        <v>57</v>
      </c>
      <c r="L1000" s="28" t="s">
        <v>696</v>
      </c>
    </row>
    <row r="1001" ht="15.75" customHeight="1">
      <c r="A1001" s="28" t="s">
        <v>131</v>
      </c>
      <c r="B1001" s="28" t="s">
        <v>1799</v>
      </c>
      <c r="D1001" s="28" t="s">
        <v>334</v>
      </c>
      <c r="E1001" s="28" t="s">
        <v>1910</v>
      </c>
      <c r="F1001" s="28" t="s">
        <v>687</v>
      </c>
      <c r="G1001" s="28" t="s">
        <v>295</v>
      </c>
      <c r="H1001" s="28">
        <v>1.0</v>
      </c>
      <c r="I1001" s="28">
        <v>0.44221105527638194</v>
      </c>
      <c r="J1001" s="28">
        <v>18.0</v>
      </c>
      <c r="K1001" s="28" t="s">
        <v>57</v>
      </c>
      <c r="L1001" s="28" t="s">
        <v>57</v>
      </c>
    </row>
    <row r="1002" ht="15.75" customHeight="1">
      <c r="A1002" s="28" t="s">
        <v>131</v>
      </c>
      <c r="B1002" s="28" t="s">
        <v>1799</v>
      </c>
      <c r="D1002" s="28" t="s">
        <v>334</v>
      </c>
      <c r="E1002" s="28" t="s">
        <v>1911</v>
      </c>
      <c r="F1002" s="28" t="s">
        <v>687</v>
      </c>
      <c r="G1002" s="28" t="s">
        <v>364</v>
      </c>
      <c r="H1002" s="28">
        <v>1.0</v>
      </c>
      <c r="I1002" s="28">
        <v>0.445</v>
      </c>
      <c r="J1002" s="28">
        <v>19.0</v>
      </c>
      <c r="K1002" s="28" t="s">
        <v>57</v>
      </c>
      <c r="L1002" s="28" t="s">
        <v>57</v>
      </c>
    </row>
    <row r="1003" ht="15.75" customHeight="1">
      <c r="A1003" s="28" t="s">
        <v>131</v>
      </c>
      <c r="B1003" s="28" t="s">
        <v>1799</v>
      </c>
      <c r="D1003" s="28" t="s">
        <v>334</v>
      </c>
      <c r="E1003" s="28" t="s">
        <v>1912</v>
      </c>
      <c r="F1003" s="28" t="s">
        <v>1375</v>
      </c>
      <c r="G1003" s="28" t="s">
        <v>370</v>
      </c>
      <c r="H1003" s="28">
        <v>1.0</v>
      </c>
      <c r="I1003" s="28">
        <v>0.5361216730038023</v>
      </c>
      <c r="J1003" s="28">
        <v>20.0</v>
      </c>
      <c r="K1003" s="28" t="s">
        <v>57</v>
      </c>
      <c r="L1003" s="28" t="s">
        <v>57</v>
      </c>
    </row>
    <row r="1004" ht="15.75" customHeight="1">
      <c r="A1004" s="28" t="s">
        <v>131</v>
      </c>
      <c r="B1004" s="28" t="s">
        <v>1799</v>
      </c>
      <c r="D1004" s="28" t="s">
        <v>334</v>
      </c>
      <c r="E1004" s="28" t="s">
        <v>1913</v>
      </c>
      <c r="F1004" s="28" t="s">
        <v>691</v>
      </c>
      <c r="G1004" s="28" t="s">
        <v>270</v>
      </c>
      <c r="H1004" s="28">
        <v>1.0</v>
      </c>
      <c r="I1004" s="28">
        <v>0.5423728813559322</v>
      </c>
      <c r="J1004" s="28">
        <v>3.0</v>
      </c>
      <c r="K1004" s="28" t="s">
        <v>57</v>
      </c>
      <c r="L1004" s="28" t="s">
        <v>57</v>
      </c>
    </row>
    <row r="1005" ht="15.75" customHeight="1">
      <c r="A1005" s="28" t="s">
        <v>131</v>
      </c>
      <c r="B1005" s="28" t="s">
        <v>1799</v>
      </c>
      <c r="D1005" s="28" t="s">
        <v>334</v>
      </c>
      <c r="E1005" s="28" t="s">
        <v>1914</v>
      </c>
      <c r="F1005" s="28" t="s">
        <v>691</v>
      </c>
      <c r="G1005" s="28" t="s">
        <v>345</v>
      </c>
      <c r="H1005" s="28">
        <v>1.0</v>
      </c>
      <c r="I1005" s="28">
        <v>0.5463917525773195</v>
      </c>
      <c r="J1005" s="28">
        <v>5.0</v>
      </c>
      <c r="K1005" s="28" t="s">
        <v>57</v>
      </c>
      <c r="L1005" s="28" t="s">
        <v>57</v>
      </c>
    </row>
    <row r="1006" ht="15.75" customHeight="1">
      <c r="A1006" s="28" t="s">
        <v>131</v>
      </c>
      <c r="B1006" s="28" t="s">
        <v>1799</v>
      </c>
      <c r="D1006" s="28" t="s">
        <v>334</v>
      </c>
      <c r="E1006" s="28" t="s">
        <v>1915</v>
      </c>
      <c r="F1006" s="28" t="s">
        <v>691</v>
      </c>
      <c r="G1006" s="28" t="s">
        <v>252</v>
      </c>
      <c r="H1006" s="28">
        <v>1.0</v>
      </c>
      <c r="I1006" s="28">
        <v>0.547945205479452</v>
      </c>
      <c r="J1006" s="28">
        <v>2.0</v>
      </c>
      <c r="K1006" s="28" t="s">
        <v>57</v>
      </c>
      <c r="L1006" s="28" t="s">
        <v>57</v>
      </c>
    </row>
    <row r="1007" ht="15.75" customHeight="1">
      <c r="A1007" s="28" t="s">
        <v>131</v>
      </c>
      <c r="B1007" s="28" t="s">
        <v>1799</v>
      </c>
      <c r="D1007" s="28" t="s">
        <v>334</v>
      </c>
      <c r="E1007" s="28" t="s">
        <v>1916</v>
      </c>
      <c r="F1007" s="28" t="s">
        <v>695</v>
      </c>
      <c r="G1007" s="28" t="s">
        <v>213</v>
      </c>
      <c r="H1007" s="28">
        <v>1.0</v>
      </c>
      <c r="I1007" s="28">
        <v>0.6204188481675392</v>
      </c>
      <c r="J1007" s="28">
        <v>1.0</v>
      </c>
      <c r="K1007" s="28" t="s">
        <v>57</v>
      </c>
      <c r="L1007" s="28" t="s">
        <v>696</v>
      </c>
    </row>
    <row r="1008" ht="15.75" customHeight="1">
      <c r="A1008" s="28" t="s">
        <v>131</v>
      </c>
      <c r="B1008" s="28" t="s">
        <v>1799</v>
      </c>
      <c r="D1008" s="28" t="s">
        <v>334</v>
      </c>
      <c r="E1008" s="28" t="s">
        <v>1917</v>
      </c>
      <c r="F1008" s="28" t="s">
        <v>698</v>
      </c>
      <c r="G1008" s="28" t="s">
        <v>287</v>
      </c>
      <c r="H1008" s="28">
        <v>1.0</v>
      </c>
      <c r="I1008" s="28">
        <v>0.684964200477327</v>
      </c>
      <c r="J1008" s="28">
        <v>16.0</v>
      </c>
      <c r="K1008" s="28" t="s">
        <v>57</v>
      </c>
      <c r="L1008" s="28" t="s">
        <v>57</v>
      </c>
    </row>
    <row r="1009" ht="15.75" customHeight="1">
      <c r="A1009" s="28" t="s">
        <v>131</v>
      </c>
      <c r="B1009" s="28" t="s">
        <v>1799</v>
      </c>
      <c r="D1009" s="28" t="s">
        <v>334</v>
      </c>
      <c r="E1009" s="28" t="s">
        <v>1918</v>
      </c>
      <c r="F1009" s="28" t="s">
        <v>701</v>
      </c>
      <c r="G1009" s="28" t="s">
        <v>303</v>
      </c>
      <c r="H1009" s="28">
        <v>1.0</v>
      </c>
      <c r="I1009" s="28">
        <v>0.7925311203319502</v>
      </c>
      <c r="J1009" s="28">
        <v>14.0</v>
      </c>
      <c r="K1009" s="28" t="s">
        <v>57</v>
      </c>
      <c r="L1009" s="28" t="s">
        <v>57</v>
      </c>
    </row>
    <row r="1010" ht="15.75" customHeight="1">
      <c r="A1010" s="28" t="s">
        <v>131</v>
      </c>
      <c r="B1010" s="28" t="s">
        <v>1799</v>
      </c>
      <c r="D1010" s="28" t="s">
        <v>334</v>
      </c>
      <c r="E1010" s="28" t="s">
        <v>1919</v>
      </c>
      <c r="F1010" s="28" t="s">
        <v>705</v>
      </c>
      <c r="G1010" s="28" t="s">
        <v>241</v>
      </c>
      <c r="H1010" s="28">
        <v>1.0</v>
      </c>
      <c r="I1010" s="28">
        <v>0.8793242156074015</v>
      </c>
      <c r="J1010" s="28">
        <v>12.0</v>
      </c>
      <c r="K1010" s="28" t="s">
        <v>57</v>
      </c>
      <c r="L1010" s="28" t="s">
        <v>57</v>
      </c>
    </row>
    <row r="1011" ht="15.75" customHeight="1">
      <c r="A1011" s="28" t="s">
        <v>131</v>
      </c>
      <c r="B1011" s="28" t="s">
        <v>1799</v>
      </c>
      <c r="D1011" s="28" t="s">
        <v>339</v>
      </c>
      <c r="E1011" s="28" t="s">
        <v>1920</v>
      </c>
      <c r="F1011" s="28" t="s">
        <v>276</v>
      </c>
      <c r="G1011" s="28" t="s">
        <v>378</v>
      </c>
      <c r="H1011" s="28">
        <v>1.0</v>
      </c>
      <c r="I1011" s="28">
        <v>0.25925925925925924</v>
      </c>
      <c r="J1011" s="28">
        <v>5.0</v>
      </c>
      <c r="K1011" s="28" t="s">
        <v>57</v>
      </c>
      <c r="L1011" s="28" t="s">
        <v>57</v>
      </c>
    </row>
    <row r="1012" ht="15.75" customHeight="1">
      <c r="A1012" s="28" t="s">
        <v>131</v>
      </c>
      <c r="B1012" s="28" t="s">
        <v>1799</v>
      </c>
      <c r="D1012" s="28" t="s">
        <v>339</v>
      </c>
      <c r="E1012" s="28" t="s">
        <v>1921</v>
      </c>
      <c r="F1012" s="28" t="s">
        <v>276</v>
      </c>
      <c r="G1012" s="28" t="s">
        <v>385</v>
      </c>
      <c r="H1012" s="28">
        <v>1.0</v>
      </c>
      <c r="I1012" s="28">
        <v>0.2737430167597765</v>
      </c>
      <c r="J1012" s="28">
        <v>6.0</v>
      </c>
      <c r="K1012" s="28" t="s">
        <v>57</v>
      </c>
      <c r="L1012" s="28" t="s">
        <v>57</v>
      </c>
    </row>
    <row r="1013" ht="15.75" customHeight="1">
      <c r="A1013" s="28" t="s">
        <v>131</v>
      </c>
      <c r="B1013" s="28" t="s">
        <v>1799</v>
      </c>
      <c r="D1013" s="28" t="s">
        <v>339</v>
      </c>
      <c r="E1013" s="28" t="s">
        <v>1922</v>
      </c>
      <c r="F1013" s="28" t="s">
        <v>276</v>
      </c>
      <c r="G1013" s="28" t="s">
        <v>278</v>
      </c>
      <c r="H1013" s="28">
        <v>1.0</v>
      </c>
      <c r="I1013" s="28">
        <v>0.30726256983240224</v>
      </c>
      <c r="J1013" s="28">
        <v>12.0</v>
      </c>
      <c r="K1013" s="28" t="s">
        <v>57</v>
      </c>
      <c r="L1013" s="28" t="s">
        <v>57</v>
      </c>
    </row>
    <row r="1014" ht="15.75" customHeight="1">
      <c r="A1014" s="28" t="s">
        <v>131</v>
      </c>
      <c r="B1014" s="28" t="s">
        <v>1799</v>
      </c>
      <c r="D1014" s="28" t="s">
        <v>339</v>
      </c>
      <c r="E1014" s="28" t="s">
        <v>1923</v>
      </c>
      <c r="F1014" s="28" t="s">
        <v>276</v>
      </c>
      <c r="G1014" s="28" t="s">
        <v>310</v>
      </c>
      <c r="H1014" s="28">
        <v>1.0</v>
      </c>
      <c r="I1014" s="28">
        <v>0.3128491620111732</v>
      </c>
      <c r="J1014" s="28">
        <v>16.0</v>
      </c>
      <c r="K1014" s="28" t="s">
        <v>57</v>
      </c>
      <c r="L1014" s="28" t="s">
        <v>57</v>
      </c>
    </row>
    <row r="1015" ht="15.75" customHeight="1">
      <c r="A1015" s="28" t="s">
        <v>131</v>
      </c>
      <c r="B1015" s="28" t="s">
        <v>1799</v>
      </c>
      <c r="D1015" s="28" t="s">
        <v>339</v>
      </c>
      <c r="E1015" s="28" t="s">
        <v>1924</v>
      </c>
      <c r="F1015" s="28" t="s">
        <v>260</v>
      </c>
      <c r="G1015" s="28" t="s">
        <v>262</v>
      </c>
      <c r="H1015" s="28">
        <v>1.0</v>
      </c>
      <c r="I1015" s="28">
        <v>0.3687150837988827</v>
      </c>
      <c r="J1015" s="28">
        <v>3.0</v>
      </c>
      <c r="K1015" s="28" t="s">
        <v>57</v>
      </c>
      <c r="L1015" s="28" t="s">
        <v>57</v>
      </c>
    </row>
    <row r="1016" ht="15.75" customHeight="1">
      <c r="A1016" s="28" t="s">
        <v>131</v>
      </c>
      <c r="B1016" s="28" t="s">
        <v>1799</v>
      </c>
      <c r="D1016" s="28" t="s">
        <v>339</v>
      </c>
      <c r="E1016" s="28" t="s">
        <v>1925</v>
      </c>
      <c r="F1016" s="28" t="s">
        <v>260</v>
      </c>
      <c r="G1016" s="28" t="s">
        <v>392</v>
      </c>
      <c r="H1016" s="28">
        <v>1.0</v>
      </c>
      <c r="I1016" s="28">
        <v>0.4134078212290503</v>
      </c>
      <c r="J1016" s="28">
        <v>20.0</v>
      </c>
      <c r="K1016" s="28" t="s">
        <v>57</v>
      </c>
      <c r="L1016" s="28" t="s">
        <v>57</v>
      </c>
    </row>
    <row r="1017" ht="15.75" customHeight="1">
      <c r="A1017" s="28" t="s">
        <v>131</v>
      </c>
      <c r="B1017" s="28" t="s">
        <v>1799</v>
      </c>
      <c r="D1017" s="28" t="s">
        <v>339</v>
      </c>
      <c r="E1017" s="28" t="s">
        <v>1926</v>
      </c>
      <c r="F1017" s="28" t="s">
        <v>396</v>
      </c>
      <c r="G1017" s="28" t="s">
        <v>398</v>
      </c>
      <c r="H1017" s="28">
        <v>1.0</v>
      </c>
      <c r="I1017" s="28">
        <v>0.44802867383512546</v>
      </c>
      <c r="J1017" s="28">
        <v>21.0</v>
      </c>
      <c r="K1017" s="28" t="s">
        <v>57</v>
      </c>
      <c r="L1017" s="28" t="s">
        <v>696</v>
      </c>
    </row>
    <row r="1018" ht="15.75" customHeight="1">
      <c r="A1018" s="28" t="s">
        <v>131</v>
      </c>
      <c r="B1018" s="28" t="s">
        <v>1799</v>
      </c>
      <c r="D1018" s="28" t="s">
        <v>339</v>
      </c>
      <c r="E1018" s="28" t="s">
        <v>1927</v>
      </c>
      <c r="F1018" s="28" t="s">
        <v>687</v>
      </c>
      <c r="G1018" s="28" t="s">
        <v>295</v>
      </c>
      <c r="H1018" s="28">
        <v>1.0</v>
      </c>
      <c r="I1018" s="28">
        <v>0.457286432160804</v>
      </c>
      <c r="J1018" s="28">
        <v>17.0</v>
      </c>
      <c r="K1018" s="28" t="s">
        <v>57</v>
      </c>
      <c r="L1018" s="28" t="s">
        <v>57</v>
      </c>
    </row>
    <row r="1019" ht="15.75" customHeight="1">
      <c r="A1019" s="28" t="s">
        <v>131</v>
      </c>
      <c r="B1019" s="28" t="s">
        <v>1799</v>
      </c>
      <c r="D1019" s="28" t="s">
        <v>339</v>
      </c>
      <c r="E1019" s="28" t="s">
        <v>1928</v>
      </c>
      <c r="F1019" s="28" t="s">
        <v>687</v>
      </c>
      <c r="G1019" s="28" t="s">
        <v>364</v>
      </c>
      <c r="H1019" s="28">
        <v>1.0</v>
      </c>
      <c r="I1019" s="28">
        <v>0.46</v>
      </c>
      <c r="J1019" s="28">
        <v>18.0</v>
      </c>
      <c r="K1019" s="28" t="s">
        <v>57</v>
      </c>
      <c r="L1019" s="28" t="s">
        <v>57</v>
      </c>
    </row>
    <row r="1020" ht="15.75" customHeight="1">
      <c r="A1020" s="28" t="s">
        <v>131</v>
      </c>
      <c r="B1020" s="28" t="s">
        <v>1799</v>
      </c>
      <c r="D1020" s="28" t="s">
        <v>339</v>
      </c>
      <c r="E1020" s="28" t="s">
        <v>1929</v>
      </c>
      <c r="F1020" s="28" t="s">
        <v>1375</v>
      </c>
      <c r="G1020" s="28" t="s">
        <v>370</v>
      </c>
      <c r="H1020" s="28">
        <v>1.0</v>
      </c>
      <c r="I1020" s="28">
        <v>0.5475285171102662</v>
      </c>
      <c r="J1020" s="28">
        <v>19.0</v>
      </c>
      <c r="K1020" s="28" t="s">
        <v>57</v>
      </c>
      <c r="L1020" s="28" t="s">
        <v>57</v>
      </c>
    </row>
    <row r="1021" ht="15.75" customHeight="1">
      <c r="A1021" s="28" t="s">
        <v>131</v>
      </c>
      <c r="B1021" s="28" t="s">
        <v>1799</v>
      </c>
      <c r="D1021" s="28" t="s">
        <v>339</v>
      </c>
      <c r="E1021" s="28" t="s">
        <v>1930</v>
      </c>
      <c r="F1021" s="28" t="s">
        <v>691</v>
      </c>
      <c r="G1021" s="28" t="s">
        <v>270</v>
      </c>
      <c r="H1021" s="28">
        <v>1.0</v>
      </c>
      <c r="I1021" s="28">
        <v>0.5491525423728814</v>
      </c>
      <c r="J1021" s="28">
        <v>2.0</v>
      </c>
      <c r="K1021" s="28" t="s">
        <v>57</v>
      </c>
      <c r="L1021" s="28" t="s">
        <v>57</v>
      </c>
    </row>
    <row r="1022" ht="15.75" customHeight="1">
      <c r="A1022" s="28" t="s">
        <v>131</v>
      </c>
      <c r="B1022" s="28" t="s">
        <v>1799</v>
      </c>
      <c r="D1022" s="28" t="s">
        <v>339</v>
      </c>
      <c r="E1022" s="28" t="s">
        <v>1931</v>
      </c>
      <c r="F1022" s="28" t="s">
        <v>691</v>
      </c>
      <c r="G1022" s="28" t="s">
        <v>345</v>
      </c>
      <c r="H1022" s="28">
        <v>1.0</v>
      </c>
      <c r="I1022" s="28">
        <v>0.5567010309278351</v>
      </c>
      <c r="J1022" s="28">
        <v>4.0</v>
      </c>
      <c r="K1022" s="28" t="s">
        <v>57</v>
      </c>
      <c r="L1022" s="28" t="s">
        <v>57</v>
      </c>
    </row>
    <row r="1023" ht="15.75" customHeight="1">
      <c r="A1023" s="28" t="s">
        <v>131</v>
      </c>
      <c r="B1023" s="28" t="s">
        <v>1799</v>
      </c>
      <c r="D1023" s="28" t="s">
        <v>339</v>
      </c>
      <c r="E1023" s="28" t="s">
        <v>1932</v>
      </c>
      <c r="F1023" s="28" t="s">
        <v>691</v>
      </c>
      <c r="G1023" s="28" t="s">
        <v>252</v>
      </c>
      <c r="H1023" s="28">
        <v>1.0</v>
      </c>
      <c r="I1023" s="28">
        <v>0.5582191780821918</v>
      </c>
      <c r="J1023" s="28">
        <v>1.0</v>
      </c>
      <c r="K1023" s="28" t="s">
        <v>57</v>
      </c>
      <c r="L1023" s="28" t="s">
        <v>57</v>
      </c>
    </row>
    <row r="1024" ht="15.75" customHeight="1">
      <c r="A1024" s="28" t="s">
        <v>131</v>
      </c>
      <c r="B1024" s="28" t="s">
        <v>1799</v>
      </c>
      <c r="D1024" s="28" t="s">
        <v>339</v>
      </c>
      <c r="E1024" s="28" t="s">
        <v>1933</v>
      </c>
      <c r="F1024" s="28" t="s">
        <v>695</v>
      </c>
      <c r="G1024" s="28" t="s">
        <v>213</v>
      </c>
      <c r="H1024" s="28">
        <v>1.0</v>
      </c>
      <c r="I1024" s="28">
        <v>0.6256544502617801</v>
      </c>
      <c r="J1024" s="28">
        <v>0.0</v>
      </c>
      <c r="K1024" s="28" t="s">
        <v>57</v>
      </c>
      <c r="L1024" s="28" t="s">
        <v>696</v>
      </c>
    </row>
    <row r="1025" ht="15.75" customHeight="1">
      <c r="A1025" s="28" t="s">
        <v>131</v>
      </c>
      <c r="B1025" s="28" t="s">
        <v>1799</v>
      </c>
      <c r="D1025" s="28" t="s">
        <v>339</v>
      </c>
      <c r="E1025" s="28" t="s">
        <v>1934</v>
      </c>
      <c r="F1025" s="28" t="s">
        <v>698</v>
      </c>
      <c r="G1025" s="28" t="s">
        <v>287</v>
      </c>
      <c r="H1025" s="28">
        <v>1.0</v>
      </c>
      <c r="I1025" s="28">
        <v>0.6921241050119332</v>
      </c>
      <c r="J1025" s="28">
        <v>15.0</v>
      </c>
      <c r="K1025" s="28" t="s">
        <v>57</v>
      </c>
      <c r="L1025" s="28" t="s">
        <v>57</v>
      </c>
    </row>
    <row r="1026" ht="15.75" customHeight="1">
      <c r="A1026" s="28" t="s">
        <v>131</v>
      </c>
      <c r="B1026" s="28" t="s">
        <v>1799</v>
      </c>
      <c r="D1026" s="28" t="s">
        <v>339</v>
      </c>
      <c r="E1026" s="28" t="s">
        <v>1935</v>
      </c>
      <c r="F1026" s="28" t="s">
        <v>701</v>
      </c>
      <c r="G1026" s="28" t="s">
        <v>303</v>
      </c>
      <c r="H1026" s="28">
        <v>1.0</v>
      </c>
      <c r="I1026" s="28">
        <v>0.7966804979253111</v>
      </c>
      <c r="J1026" s="28">
        <v>13.0</v>
      </c>
      <c r="K1026" s="28" t="s">
        <v>57</v>
      </c>
      <c r="L1026" s="28" t="s">
        <v>57</v>
      </c>
    </row>
    <row r="1027" ht="15.75" customHeight="1">
      <c r="A1027" s="28" t="s">
        <v>131</v>
      </c>
      <c r="B1027" s="28" t="s">
        <v>1799</v>
      </c>
      <c r="D1027" s="28" t="s">
        <v>339</v>
      </c>
      <c r="E1027" s="28" t="s">
        <v>1936</v>
      </c>
      <c r="F1027" s="28" t="s">
        <v>705</v>
      </c>
      <c r="G1027" s="28" t="s">
        <v>241</v>
      </c>
      <c r="H1027" s="28">
        <v>1.0</v>
      </c>
      <c r="I1027" s="28">
        <v>0.8793242156074015</v>
      </c>
      <c r="J1027" s="28">
        <v>11.0</v>
      </c>
      <c r="K1027" s="28" t="s">
        <v>57</v>
      </c>
      <c r="L1027" s="28" t="s">
        <v>57</v>
      </c>
    </row>
    <row r="1028" ht="15.75" customHeight="1">
      <c r="A1028" s="28" t="s">
        <v>131</v>
      </c>
      <c r="B1028" s="28" t="s">
        <v>1799</v>
      </c>
      <c r="D1028" s="28" t="s">
        <v>213</v>
      </c>
      <c r="E1028" s="28" t="s">
        <v>1937</v>
      </c>
      <c r="F1028" s="28" t="s">
        <v>250</v>
      </c>
      <c r="G1028" s="28" t="s">
        <v>345</v>
      </c>
      <c r="H1028" s="28">
        <v>1.0</v>
      </c>
      <c r="I1028" s="28">
        <v>0.2905759162303665</v>
      </c>
      <c r="J1028" s="28">
        <v>3.0</v>
      </c>
      <c r="K1028" s="28" t="s">
        <v>57</v>
      </c>
      <c r="L1028" s="28" t="s">
        <v>696</v>
      </c>
    </row>
    <row r="1029" ht="15.75" customHeight="1">
      <c r="A1029" s="28" t="s">
        <v>131</v>
      </c>
      <c r="B1029" s="28" t="s">
        <v>1799</v>
      </c>
      <c r="D1029" s="28" t="s">
        <v>213</v>
      </c>
      <c r="E1029" s="28" t="s">
        <v>1938</v>
      </c>
      <c r="F1029" s="28" t="s">
        <v>250</v>
      </c>
      <c r="G1029" s="28" t="s">
        <v>252</v>
      </c>
      <c r="H1029" s="28">
        <v>1.0</v>
      </c>
      <c r="I1029" s="28">
        <v>0.29581151832460734</v>
      </c>
      <c r="J1029" s="28">
        <v>0.0</v>
      </c>
      <c r="K1029" s="28" t="s">
        <v>57</v>
      </c>
      <c r="L1029" s="28" t="s">
        <v>696</v>
      </c>
    </row>
    <row r="1030" ht="15.75" customHeight="1">
      <c r="A1030" s="28" t="s">
        <v>131</v>
      </c>
      <c r="B1030" s="28" t="s">
        <v>1799</v>
      </c>
      <c r="D1030" s="28" t="s">
        <v>213</v>
      </c>
      <c r="E1030" s="28" t="s">
        <v>1939</v>
      </c>
      <c r="F1030" s="28" t="s">
        <v>250</v>
      </c>
      <c r="G1030" s="28" t="s">
        <v>270</v>
      </c>
      <c r="H1030" s="28">
        <v>1.0</v>
      </c>
      <c r="I1030" s="28">
        <v>0.3036649214659686</v>
      </c>
      <c r="J1030" s="28">
        <v>1.0</v>
      </c>
      <c r="K1030" s="28" t="s">
        <v>57</v>
      </c>
      <c r="L1030" s="28" t="s">
        <v>696</v>
      </c>
    </row>
    <row r="1031" ht="15.75" customHeight="1">
      <c r="A1031" s="28" t="s">
        <v>131</v>
      </c>
      <c r="B1031" s="28" t="s">
        <v>1799</v>
      </c>
      <c r="D1031" s="28" t="s">
        <v>213</v>
      </c>
      <c r="E1031" s="28" t="s">
        <v>1940</v>
      </c>
      <c r="F1031" s="28" t="s">
        <v>811</v>
      </c>
      <c r="G1031" s="28" t="s">
        <v>287</v>
      </c>
      <c r="H1031" s="28">
        <v>1.0</v>
      </c>
      <c r="I1031" s="28">
        <v>0.3054892601431981</v>
      </c>
      <c r="J1031" s="28">
        <v>14.0</v>
      </c>
      <c r="K1031" s="28" t="s">
        <v>57</v>
      </c>
      <c r="L1031" s="28" t="s">
        <v>696</v>
      </c>
    </row>
    <row r="1032" ht="15.75" customHeight="1">
      <c r="A1032" s="28" t="s">
        <v>131</v>
      </c>
      <c r="B1032" s="28" t="s">
        <v>1799</v>
      </c>
      <c r="D1032" s="28" t="s">
        <v>213</v>
      </c>
      <c r="E1032" s="28" t="s">
        <v>1941</v>
      </c>
      <c r="F1032" s="28" t="s">
        <v>1511</v>
      </c>
      <c r="G1032" s="28" t="s">
        <v>370</v>
      </c>
      <c r="H1032" s="28">
        <v>1.0</v>
      </c>
      <c r="I1032" s="28">
        <v>0.4005235602094241</v>
      </c>
      <c r="J1032" s="28">
        <v>18.0</v>
      </c>
      <c r="K1032" s="28" t="s">
        <v>57</v>
      </c>
      <c r="L1032" s="28" t="s">
        <v>696</v>
      </c>
    </row>
    <row r="1033" ht="15.75" customHeight="1">
      <c r="A1033" s="28" t="s">
        <v>131</v>
      </c>
      <c r="B1033" s="28" t="s">
        <v>1799</v>
      </c>
      <c r="D1033" s="28" t="s">
        <v>213</v>
      </c>
      <c r="E1033" s="28" t="s">
        <v>1942</v>
      </c>
      <c r="F1033" s="28" t="s">
        <v>815</v>
      </c>
      <c r="G1033" s="28" t="s">
        <v>303</v>
      </c>
      <c r="H1033" s="28">
        <v>1.0</v>
      </c>
      <c r="I1033" s="28">
        <v>0.49377593360995853</v>
      </c>
      <c r="J1033" s="28">
        <v>12.0</v>
      </c>
      <c r="K1033" s="28" t="s">
        <v>57</v>
      </c>
      <c r="L1033" s="28" t="s">
        <v>696</v>
      </c>
    </row>
    <row r="1034" ht="15.75" customHeight="1">
      <c r="A1034" s="28" t="s">
        <v>131</v>
      </c>
      <c r="B1034" s="28" t="s">
        <v>1799</v>
      </c>
      <c r="D1034" s="28" t="s">
        <v>213</v>
      </c>
      <c r="E1034" s="28" t="s">
        <v>1943</v>
      </c>
      <c r="F1034" s="28" t="s">
        <v>813</v>
      </c>
      <c r="G1034" s="28" t="s">
        <v>295</v>
      </c>
      <c r="H1034" s="28">
        <v>1.0</v>
      </c>
      <c r="I1034" s="28">
        <v>0.5</v>
      </c>
      <c r="J1034" s="28">
        <v>16.0</v>
      </c>
      <c r="K1034" s="28" t="s">
        <v>57</v>
      </c>
      <c r="L1034" s="28" t="s">
        <v>696</v>
      </c>
    </row>
    <row r="1035" ht="15.75" customHeight="1">
      <c r="A1035" s="28" t="s">
        <v>131</v>
      </c>
      <c r="B1035" s="28" t="s">
        <v>1799</v>
      </c>
      <c r="D1035" s="28" t="s">
        <v>213</v>
      </c>
      <c r="E1035" s="28" t="s">
        <v>1944</v>
      </c>
      <c r="F1035" s="28" t="s">
        <v>813</v>
      </c>
      <c r="G1035" s="28" t="s">
        <v>364</v>
      </c>
      <c r="H1035" s="28">
        <v>1.0</v>
      </c>
      <c r="I1035" s="28">
        <v>0.5130890052356021</v>
      </c>
      <c r="J1035" s="28">
        <v>17.0</v>
      </c>
      <c r="K1035" s="28" t="s">
        <v>57</v>
      </c>
      <c r="L1035" s="28" t="s">
        <v>696</v>
      </c>
    </row>
    <row r="1036" ht="15.75" customHeight="1">
      <c r="A1036" s="28" t="s">
        <v>131</v>
      </c>
      <c r="B1036" s="28" t="s">
        <v>1799</v>
      </c>
      <c r="D1036" s="28" t="s">
        <v>213</v>
      </c>
      <c r="E1036" s="28" t="s">
        <v>1945</v>
      </c>
      <c r="F1036" s="28" t="s">
        <v>1516</v>
      </c>
      <c r="G1036" s="28" t="s">
        <v>398</v>
      </c>
      <c r="H1036" s="28">
        <v>1.0</v>
      </c>
      <c r="I1036" s="28">
        <v>0.5314136125654451</v>
      </c>
      <c r="J1036" s="28">
        <v>20.0</v>
      </c>
      <c r="K1036" s="28" t="s">
        <v>57</v>
      </c>
      <c r="L1036" s="28" t="s">
        <v>57</v>
      </c>
    </row>
    <row r="1037" ht="15.75" customHeight="1">
      <c r="A1037" s="28" t="s">
        <v>131</v>
      </c>
      <c r="B1037" s="28" t="s">
        <v>1799</v>
      </c>
      <c r="D1037" s="28" t="s">
        <v>213</v>
      </c>
      <c r="E1037" s="28" t="s">
        <v>1946</v>
      </c>
      <c r="F1037" s="28" t="s">
        <v>819</v>
      </c>
      <c r="G1037" s="28" t="s">
        <v>262</v>
      </c>
      <c r="H1037" s="28">
        <v>1.0</v>
      </c>
      <c r="I1037" s="28">
        <v>0.5602094240837696</v>
      </c>
      <c r="J1037" s="28">
        <v>2.0</v>
      </c>
      <c r="K1037" s="28" t="s">
        <v>57</v>
      </c>
      <c r="L1037" s="28" t="s">
        <v>696</v>
      </c>
    </row>
    <row r="1038" ht="15.75" customHeight="1">
      <c r="A1038" s="28" t="s">
        <v>131</v>
      </c>
      <c r="B1038" s="28" t="s">
        <v>1799</v>
      </c>
      <c r="D1038" s="28" t="s">
        <v>213</v>
      </c>
      <c r="E1038" s="28" t="s">
        <v>1947</v>
      </c>
      <c r="F1038" s="28" t="s">
        <v>819</v>
      </c>
      <c r="G1038" s="28" t="s">
        <v>392</v>
      </c>
      <c r="H1038" s="28">
        <v>1.0</v>
      </c>
      <c r="I1038" s="28">
        <v>0.5942408376963351</v>
      </c>
      <c r="J1038" s="28">
        <v>19.0</v>
      </c>
      <c r="K1038" s="28" t="s">
        <v>57</v>
      </c>
      <c r="L1038" s="28" t="s">
        <v>696</v>
      </c>
    </row>
    <row r="1039" ht="15.75" customHeight="1">
      <c r="A1039" s="28" t="s">
        <v>131</v>
      </c>
      <c r="B1039" s="28" t="s">
        <v>1799</v>
      </c>
      <c r="D1039" s="28" t="s">
        <v>213</v>
      </c>
      <c r="E1039" s="28" t="s">
        <v>1948</v>
      </c>
      <c r="F1039" s="28" t="s">
        <v>821</v>
      </c>
      <c r="G1039" s="28" t="s">
        <v>378</v>
      </c>
      <c r="H1039" s="28">
        <v>1.0</v>
      </c>
      <c r="I1039" s="28">
        <v>0.6256544502617801</v>
      </c>
      <c r="J1039" s="28">
        <v>4.0</v>
      </c>
      <c r="K1039" s="28" t="s">
        <v>57</v>
      </c>
      <c r="L1039" s="28" t="s">
        <v>696</v>
      </c>
    </row>
    <row r="1040" ht="15.75" customHeight="1">
      <c r="A1040" s="28" t="s">
        <v>131</v>
      </c>
      <c r="B1040" s="28" t="s">
        <v>1799</v>
      </c>
      <c r="D1040" s="28" t="s">
        <v>213</v>
      </c>
      <c r="E1040" s="28" t="s">
        <v>1949</v>
      </c>
      <c r="F1040" s="28" t="s">
        <v>821</v>
      </c>
      <c r="G1040" s="28" t="s">
        <v>385</v>
      </c>
      <c r="H1040" s="28">
        <v>1.0</v>
      </c>
      <c r="I1040" s="28">
        <v>0.6649214659685864</v>
      </c>
      <c r="J1040" s="28">
        <v>5.0</v>
      </c>
      <c r="K1040" s="28" t="s">
        <v>57</v>
      </c>
      <c r="L1040" s="28" t="s">
        <v>696</v>
      </c>
    </row>
    <row r="1041" ht="15.75" customHeight="1">
      <c r="A1041" s="28" t="s">
        <v>131</v>
      </c>
      <c r="B1041" s="28" t="s">
        <v>1799</v>
      </c>
      <c r="D1041" s="28" t="s">
        <v>213</v>
      </c>
      <c r="E1041" s="28" t="s">
        <v>1950</v>
      </c>
      <c r="F1041" s="28" t="s">
        <v>821</v>
      </c>
      <c r="G1041" s="28" t="s">
        <v>310</v>
      </c>
      <c r="H1041" s="28">
        <v>1.0</v>
      </c>
      <c r="I1041" s="28">
        <v>0.6832460732984293</v>
      </c>
      <c r="J1041" s="28">
        <v>15.0</v>
      </c>
      <c r="K1041" s="28" t="s">
        <v>57</v>
      </c>
      <c r="L1041" s="28" t="s">
        <v>696</v>
      </c>
    </row>
    <row r="1042" ht="15.75" customHeight="1">
      <c r="A1042" s="28" t="s">
        <v>131</v>
      </c>
      <c r="B1042" s="28" t="s">
        <v>1799</v>
      </c>
      <c r="D1042" s="28" t="s">
        <v>213</v>
      </c>
      <c r="E1042" s="28" t="s">
        <v>1951</v>
      </c>
      <c r="F1042" s="28" t="s">
        <v>821</v>
      </c>
      <c r="G1042" s="28" t="s">
        <v>278</v>
      </c>
      <c r="H1042" s="28">
        <v>1.0</v>
      </c>
      <c r="I1042" s="28">
        <v>0.6832460732984293</v>
      </c>
      <c r="J1042" s="28">
        <v>11.0</v>
      </c>
      <c r="K1042" s="28" t="s">
        <v>57</v>
      </c>
      <c r="L1042" s="28" t="s">
        <v>696</v>
      </c>
    </row>
    <row r="1043" ht="15.75" customHeight="1">
      <c r="A1043" s="28" t="s">
        <v>131</v>
      </c>
      <c r="B1043" s="28" t="s">
        <v>1799</v>
      </c>
      <c r="D1043" s="28" t="s">
        <v>213</v>
      </c>
      <c r="E1043" s="28" t="s">
        <v>1952</v>
      </c>
      <c r="F1043" s="28" t="s">
        <v>824</v>
      </c>
      <c r="G1043" s="28" t="s">
        <v>241</v>
      </c>
      <c r="H1043" s="28">
        <v>1.0</v>
      </c>
      <c r="I1043" s="28">
        <v>0.7160096540627514</v>
      </c>
      <c r="J1043" s="28">
        <v>10.0</v>
      </c>
      <c r="K1043" s="28" t="s">
        <v>57</v>
      </c>
      <c r="L1043" s="28" t="s">
        <v>696</v>
      </c>
    </row>
    <row r="1044" ht="15.75" customHeight="1">
      <c r="A1044" s="28" t="s">
        <v>131</v>
      </c>
      <c r="B1044" s="28" t="s">
        <v>1799</v>
      </c>
      <c r="D1044" s="28" t="s">
        <v>252</v>
      </c>
      <c r="E1044" s="28" t="s">
        <v>1953</v>
      </c>
      <c r="F1044" s="28" t="s">
        <v>268</v>
      </c>
      <c r="G1044" s="28" t="s">
        <v>270</v>
      </c>
      <c r="H1044" s="28">
        <v>1.0</v>
      </c>
      <c r="I1044" s="28">
        <v>0.010169491525423728</v>
      </c>
      <c r="J1044" s="28">
        <v>0.0</v>
      </c>
      <c r="K1044" s="28" t="s">
        <v>57</v>
      </c>
      <c r="L1044" s="28" t="s">
        <v>57</v>
      </c>
    </row>
    <row r="1045" ht="15.75" customHeight="1">
      <c r="A1045" s="28" t="s">
        <v>131</v>
      </c>
      <c r="B1045" s="28" t="s">
        <v>1799</v>
      </c>
      <c r="D1045" s="28" t="s">
        <v>252</v>
      </c>
      <c r="E1045" s="28" t="s">
        <v>1954</v>
      </c>
      <c r="F1045" s="28" t="s">
        <v>268</v>
      </c>
      <c r="G1045" s="28" t="s">
        <v>345</v>
      </c>
      <c r="H1045" s="28">
        <v>1.0</v>
      </c>
      <c r="I1045" s="28">
        <v>0.023972602739726026</v>
      </c>
      <c r="J1045" s="28">
        <v>2.0</v>
      </c>
      <c r="K1045" s="28" t="s">
        <v>57</v>
      </c>
      <c r="L1045" s="28" t="s">
        <v>57</v>
      </c>
    </row>
    <row r="1046" ht="15.75" customHeight="1">
      <c r="A1046" s="28" t="s">
        <v>131</v>
      </c>
      <c r="B1046" s="28" t="s">
        <v>1799</v>
      </c>
      <c r="D1046" s="28" t="s">
        <v>252</v>
      </c>
      <c r="E1046" s="28" t="s">
        <v>1955</v>
      </c>
      <c r="F1046" s="28" t="s">
        <v>1527</v>
      </c>
      <c r="G1046" s="28" t="s">
        <v>370</v>
      </c>
      <c r="H1046" s="28">
        <v>1.0</v>
      </c>
      <c r="I1046" s="28">
        <v>0.2191780821917808</v>
      </c>
      <c r="J1046" s="28">
        <v>17.0</v>
      </c>
      <c r="K1046" s="28" t="s">
        <v>57</v>
      </c>
      <c r="L1046" s="28" t="s">
        <v>57</v>
      </c>
    </row>
    <row r="1047" ht="15.75" customHeight="1">
      <c r="A1047" s="28" t="s">
        <v>131</v>
      </c>
      <c r="B1047" s="28" t="s">
        <v>1799</v>
      </c>
      <c r="D1047" s="28" t="s">
        <v>252</v>
      </c>
      <c r="E1047" s="28" t="s">
        <v>1956</v>
      </c>
      <c r="F1047" s="28" t="s">
        <v>826</v>
      </c>
      <c r="G1047" s="28" t="s">
        <v>295</v>
      </c>
      <c r="H1047" s="28">
        <v>1.0</v>
      </c>
      <c r="I1047" s="28">
        <v>0.3424657534246575</v>
      </c>
      <c r="J1047" s="28">
        <v>15.0</v>
      </c>
      <c r="K1047" s="28" t="s">
        <v>57</v>
      </c>
      <c r="L1047" s="28" t="s">
        <v>57</v>
      </c>
    </row>
    <row r="1048" ht="15.75" customHeight="1">
      <c r="A1048" s="28" t="s">
        <v>131</v>
      </c>
      <c r="B1048" s="28" t="s">
        <v>1799</v>
      </c>
      <c r="D1048" s="28" t="s">
        <v>252</v>
      </c>
      <c r="E1048" s="28" t="s">
        <v>1957</v>
      </c>
      <c r="F1048" s="28" t="s">
        <v>826</v>
      </c>
      <c r="G1048" s="28" t="s">
        <v>364</v>
      </c>
      <c r="H1048" s="28">
        <v>1.0</v>
      </c>
      <c r="I1048" s="28">
        <v>0.3595890410958904</v>
      </c>
      <c r="J1048" s="28">
        <v>16.0</v>
      </c>
      <c r="K1048" s="28" t="s">
        <v>57</v>
      </c>
      <c r="L1048" s="28" t="s">
        <v>57</v>
      </c>
    </row>
    <row r="1049" ht="15.75" customHeight="1">
      <c r="A1049" s="28" t="s">
        <v>131</v>
      </c>
      <c r="B1049" s="28" t="s">
        <v>1799</v>
      </c>
      <c r="D1049" s="28" t="s">
        <v>252</v>
      </c>
      <c r="E1049" s="28" t="s">
        <v>1958</v>
      </c>
      <c r="F1049" s="28" t="s">
        <v>830</v>
      </c>
      <c r="G1049" s="28" t="s">
        <v>287</v>
      </c>
      <c r="H1049" s="28">
        <v>1.0</v>
      </c>
      <c r="I1049" s="28">
        <v>0.36515513126491644</v>
      </c>
      <c r="J1049" s="28">
        <v>13.0</v>
      </c>
      <c r="K1049" s="28" t="s">
        <v>57</v>
      </c>
      <c r="L1049" s="28" t="s">
        <v>57</v>
      </c>
    </row>
    <row r="1050" ht="15.75" customHeight="1">
      <c r="A1050" s="28" t="s">
        <v>131</v>
      </c>
      <c r="B1050" s="28" t="s">
        <v>1799</v>
      </c>
      <c r="D1050" s="28" t="s">
        <v>252</v>
      </c>
      <c r="E1050" s="28" t="s">
        <v>1959</v>
      </c>
      <c r="F1050" s="28" t="s">
        <v>832</v>
      </c>
      <c r="G1050" s="28" t="s">
        <v>262</v>
      </c>
      <c r="H1050" s="28">
        <v>1.0</v>
      </c>
      <c r="I1050" s="28">
        <v>0.4178082191780822</v>
      </c>
      <c r="J1050" s="28">
        <v>1.0</v>
      </c>
      <c r="K1050" s="28" t="s">
        <v>57</v>
      </c>
      <c r="L1050" s="28" t="s">
        <v>57</v>
      </c>
    </row>
    <row r="1051" ht="15.75" customHeight="1">
      <c r="A1051" s="28" t="s">
        <v>131</v>
      </c>
      <c r="B1051" s="28" t="s">
        <v>1799</v>
      </c>
      <c r="D1051" s="28" t="s">
        <v>252</v>
      </c>
      <c r="E1051" s="28" t="s">
        <v>1960</v>
      </c>
      <c r="F1051" s="28" t="s">
        <v>1533</v>
      </c>
      <c r="G1051" s="28" t="s">
        <v>398</v>
      </c>
      <c r="H1051" s="28">
        <v>1.0</v>
      </c>
      <c r="I1051" s="28">
        <v>0.4417808219178082</v>
      </c>
      <c r="J1051" s="28">
        <v>19.0</v>
      </c>
      <c r="K1051" s="28" t="s">
        <v>57</v>
      </c>
      <c r="L1051" s="28" t="s">
        <v>696</v>
      </c>
    </row>
    <row r="1052" ht="15.75" customHeight="1">
      <c r="A1052" s="28" t="s">
        <v>131</v>
      </c>
      <c r="B1052" s="28" t="s">
        <v>1799</v>
      </c>
      <c r="D1052" s="28" t="s">
        <v>252</v>
      </c>
      <c r="E1052" s="28" t="s">
        <v>1961</v>
      </c>
      <c r="F1052" s="28" t="s">
        <v>832</v>
      </c>
      <c r="G1052" s="28" t="s">
        <v>392</v>
      </c>
      <c r="H1052" s="28">
        <v>1.0</v>
      </c>
      <c r="I1052" s="28">
        <v>0.4657534246575342</v>
      </c>
      <c r="J1052" s="28">
        <v>18.0</v>
      </c>
      <c r="K1052" s="28" t="s">
        <v>57</v>
      </c>
      <c r="L1052" s="28" t="s">
        <v>57</v>
      </c>
    </row>
    <row r="1053" ht="15.75" customHeight="1">
      <c r="A1053" s="28" t="s">
        <v>131</v>
      </c>
      <c r="B1053" s="28" t="s">
        <v>1799</v>
      </c>
      <c r="D1053" s="28" t="s">
        <v>252</v>
      </c>
      <c r="E1053" s="28" t="s">
        <v>1962</v>
      </c>
      <c r="F1053" s="28" t="s">
        <v>834</v>
      </c>
      <c r="G1053" s="28" t="s">
        <v>378</v>
      </c>
      <c r="H1053" s="28">
        <v>1.0</v>
      </c>
      <c r="I1053" s="28">
        <v>0.547945205479452</v>
      </c>
      <c r="J1053" s="28">
        <v>3.0</v>
      </c>
      <c r="K1053" s="28" t="s">
        <v>57</v>
      </c>
      <c r="L1053" s="28" t="s">
        <v>57</v>
      </c>
    </row>
    <row r="1054" ht="15.75" customHeight="1">
      <c r="A1054" s="28" t="s">
        <v>131</v>
      </c>
      <c r="B1054" s="28" t="s">
        <v>1799</v>
      </c>
      <c r="D1054" s="28" t="s">
        <v>252</v>
      </c>
      <c r="E1054" s="28" t="s">
        <v>1963</v>
      </c>
      <c r="F1054" s="28" t="s">
        <v>834</v>
      </c>
      <c r="G1054" s="28" t="s">
        <v>385</v>
      </c>
      <c r="H1054" s="28">
        <v>1.0</v>
      </c>
      <c r="I1054" s="28">
        <v>0.5547945205479452</v>
      </c>
      <c r="J1054" s="28">
        <v>4.0</v>
      </c>
      <c r="K1054" s="28" t="s">
        <v>57</v>
      </c>
      <c r="L1054" s="28" t="s">
        <v>57</v>
      </c>
    </row>
    <row r="1055" ht="15.75" customHeight="1">
      <c r="A1055" s="28" t="s">
        <v>131</v>
      </c>
      <c r="B1055" s="28" t="s">
        <v>1799</v>
      </c>
      <c r="D1055" s="28" t="s">
        <v>252</v>
      </c>
      <c r="E1055" s="28" t="s">
        <v>1964</v>
      </c>
      <c r="F1055" s="28" t="s">
        <v>834</v>
      </c>
      <c r="G1055" s="28" t="s">
        <v>310</v>
      </c>
      <c r="H1055" s="28">
        <v>1.0</v>
      </c>
      <c r="I1055" s="28">
        <v>0.5787671232876712</v>
      </c>
      <c r="J1055" s="28">
        <v>14.0</v>
      </c>
      <c r="K1055" s="28" t="s">
        <v>57</v>
      </c>
      <c r="L1055" s="28" t="s">
        <v>57</v>
      </c>
    </row>
    <row r="1056" ht="15.75" customHeight="1">
      <c r="A1056" s="28" t="s">
        <v>131</v>
      </c>
      <c r="B1056" s="28" t="s">
        <v>1799</v>
      </c>
      <c r="D1056" s="28" t="s">
        <v>252</v>
      </c>
      <c r="E1056" s="28" t="s">
        <v>1965</v>
      </c>
      <c r="F1056" s="28" t="s">
        <v>834</v>
      </c>
      <c r="G1056" s="28" t="s">
        <v>278</v>
      </c>
      <c r="H1056" s="28">
        <v>1.0</v>
      </c>
      <c r="I1056" s="28">
        <v>0.5787671232876712</v>
      </c>
      <c r="J1056" s="28">
        <v>10.0</v>
      </c>
      <c r="K1056" s="28" t="s">
        <v>57</v>
      </c>
      <c r="L1056" s="28" t="s">
        <v>57</v>
      </c>
    </row>
    <row r="1057" ht="15.75" customHeight="1">
      <c r="A1057" s="28" t="s">
        <v>131</v>
      </c>
      <c r="B1057" s="28" t="s">
        <v>1799</v>
      </c>
      <c r="D1057" s="28" t="s">
        <v>252</v>
      </c>
      <c r="E1057" s="28" t="s">
        <v>1966</v>
      </c>
      <c r="F1057" s="28" t="s">
        <v>837</v>
      </c>
      <c r="G1057" s="28" t="s">
        <v>303</v>
      </c>
      <c r="H1057" s="28">
        <v>1.0</v>
      </c>
      <c r="I1057" s="28">
        <v>0.598893499308437</v>
      </c>
      <c r="J1057" s="28">
        <v>11.0</v>
      </c>
      <c r="K1057" s="28" t="s">
        <v>57</v>
      </c>
      <c r="L1057" s="28" t="s">
        <v>57</v>
      </c>
    </row>
    <row r="1058" ht="15.75" customHeight="1">
      <c r="A1058" s="28" t="s">
        <v>131</v>
      </c>
      <c r="B1058" s="28" t="s">
        <v>1799</v>
      </c>
      <c r="D1058" s="28" t="s">
        <v>252</v>
      </c>
      <c r="E1058" s="28" t="s">
        <v>1967</v>
      </c>
      <c r="F1058" s="28" t="s">
        <v>839</v>
      </c>
      <c r="G1058" s="28" t="s">
        <v>241</v>
      </c>
      <c r="H1058" s="28">
        <v>1.0</v>
      </c>
      <c r="I1058" s="28">
        <v>0.7731295253419147</v>
      </c>
      <c r="J1058" s="28">
        <v>9.0</v>
      </c>
      <c r="K1058" s="28" t="s">
        <v>57</v>
      </c>
      <c r="L1058" s="28" t="s">
        <v>57</v>
      </c>
    </row>
    <row r="1059" ht="15.75" customHeight="1">
      <c r="A1059" s="28" t="s">
        <v>131</v>
      </c>
      <c r="B1059" s="28" t="s">
        <v>1799</v>
      </c>
      <c r="D1059" s="28" t="s">
        <v>270</v>
      </c>
      <c r="E1059" s="28" t="s">
        <v>1968</v>
      </c>
      <c r="F1059" s="28" t="s">
        <v>268</v>
      </c>
      <c r="G1059" s="28" t="s">
        <v>345</v>
      </c>
      <c r="H1059" s="28">
        <v>1.0</v>
      </c>
      <c r="I1059" s="28">
        <v>0.03389830508474576</v>
      </c>
      <c r="J1059" s="28">
        <v>1.0</v>
      </c>
      <c r="K1059" s="28" t="s">
        <v>57</v>
      </c>
      <c r="L1059" s="28" t="s">
        <v>57</v>
      </c>
    </row>
    <row r="1060" ht="15.75" customHeight="1">
      <c r="A1060" s="28" t="s">
        <v>131</v>
      </c>
      <c r="B1060" s="28" t="s">
        <v>1799</v>
      </c>
      <c r="D1060" s="28" t="s">
        <v>270</v>
      </c>
      <c r="E1060" s="28" t="s">
        <v>1969</v>
      </c>
      <c r="F1060" s="28" t="s">
        <v>1527</v>
      </c>
      <c r="G1060" s="28" t="s">
        <v>370</v>
      </c>
      <c r="H1060" s="28">
        <v>1.0</v>
      </c>
      <c r="I1060" s="28">
        <v>0.2271186440677966</v>
      </c>
      <c r="J1060" s="28">
        <v>16.0</v>
      </c>
      <c r="K1060" s="28" t="s">
        <v>57</v>
      </c>
      <c r="L1060" s="28" t="s">
        <v>57</v>
      </c>
    </row>
    <row r="1061" ht="15.75" customHeight="1">
      <c r="A1061" s="28" t="s">
        <v>131</v>
      </c>
      <c r="B1061" s="28" t="s">
        <v>1799</v>
      </c>
      <c r="D1061" s="28" t="s">
        <v>270</v>
      </c>
      <c r="E1061" s="28" t="s">
        <v>1970</v>
      </c>
      <c r="F1061" s="28" t="s">
        <v>826</v>
      </c>
      <c r="G1061" s="28" t="s">
        <v>295</v>
      </c>
      <c r="H1061" s="28">
        <v>1.0</v>
      </c>
      <c r="I1061" s="28">
        <v>0.34915254237288135</v>
      </c>
      <c r="J1061" s="28">
        <v>14.0</v>
      </c>
      <c r="K1061" s="28" t="s">
        <v>57</v>
      </c>
      <c r="L1061" s="28" t="s">
        <v>57</v>
      </c>
    </row>
    <row r="1062" ht="15.75" customHeight="1">
      <c r="A1062" s="28" t="s">
        <v>131</v>
      </c>
      <c r="B1062" s="28" t="s">
        <v>1799</v>
      </c>
      <c r="D1062" s="28" t="s">
        <v>270</v>
      </c>
      <c r="E1062" s="28" t="s">
        <v>1971</v>
      </c>
      <c r="F1062" s="28" t="s">
        <v>826</v>
      </c>
      <c r="G1062" s="28" t="s">
        <v>364</v>
      </c>
      <c r="H1062" s="28">
        <v>1.0</v>
      </c>
      <c r="I1062" s="28">
        <v>0.36610169491525424</v>
      </c>
      <c r="J1062" s="28">
        <v>15.0</v>
      </c>
      <c r="K1062" s="28" t="s">
        <v>57</v>
      </c>
      <c r="L1062" s="28" t="s">
        <v>57</v>
      </c>
    </row>
    <row r="1063" ht="15.75" customHeight="1">
      <c r="A1063" s="28" t="s">
        <v>131</v>
      </c>
      <c r="B1063" s="28" t="s">
        <v>1799</v>
      </c>
      <c r="D1063" s="28" t="s">
        <v>270</v>
      </c>
      <c r="E1063" s="28" t="s">
        <v>1972</v>
      </c>
      <c r="F1063" s="28" t="s">
        <v>830</v>
      </c>
      <c r="G1063" s="28" t="s">
        <v>287</v>
      </c>
      <c r="H1063" s="28">
        <v>1.0</v>
      </c>
      <c r="I1063" s="28">
        <v>0.3723150357995227</v>
      </c>
      <c r="J1063" s="28">
        <v>12.0</v>
      </c>
      <c r="K1063" s="28" t="s">
        <v>57</v>
      </c>
      <c r="L1063" s="28" t="s">
        <v>57</v>
      </c>
    </row>
    <row r="1064" ht="15.75" customHeight="1">
      <c r="A1064" s="28" t="s">
        <v>131</v>
      </c>
      <c r="B1064" s="28" t="s">
        <v>1799</v>
      </c>
      <c r="D1064" s="28" t="s">
        <v>270</v>
      </c>
      <c r="E1064" s="28" t="s">
        <v>1973</v>
      </c>
      <c r="F1064" s="28" t="s">
        <v>832</v>
      </c>
      <c r="G1064" s="28" t="s">
        <v>262</v>
      </c>
      <c r="H1064" s="28">
        <v>1.0</v>
      </c>
      <c r="I1064" s="28">
        <v>0.423728813559322</v>
      </c>
      <c r="J1064" s="28">
        <v>0.0</v>
      </c>
      <c r="K1064" s="28" t="s">
        <v>57</v>
      </c>
      <c r="L1064" s="28" t="s">
        <v>57</v>
      </c>
    </row>
    <row r="1065" ht="15.75" customHeight="1">
      <c r="A1065" s="28" t="s">
        <v>131</v>
      </c>
      <c r="B1065" s="28" t="s">
        <v>1799</v>
      </c>
      <c r="D1065" s="28" t="s">
        <v>270</v>
      </c>
      <c r="E1065" s="28" t="s">
        <v>1974</v>
      </c>
      <c r="F1065" s="28" t="s">
        <v>1533</v>
      </c>
      <c r="G1065" s="28" t="s">
        <v>398</v>
      </c>
      <c r="H1065" s="28">
        <v>1.0</v>
      </c>
      <c r="I1065" s="28">
        <v>0.4406779661016949</v>
      </c>
      <c r="J1065" s="28">
        <v>18.0</v>
      </c>
      <c r="K1065" s="28" t="s">
        <v>57</v>
      </c>
      <c r="L1065" s="28" t="s">
        <v>696</v>
      </c>
    </row>
    <row r="1066" ht="15.75" customHeight="1">
      <c r="A1066" s="28" t="s">
        <v>131</v>
      </c>
      <c r="B1066" s="28" t="s">
        <v>1799</v>
      </c>
      <c r="D1066" s="28" t="s">
        <v>270</v>
      </c>
      <c r="E1066" s="28" t="s">
        <v>1975</v>
      </c>
      <c r="F1066" s="28" t="s">
        <v>832</v>
      </c>
      <c r="G1066" s="28" t="s">
        <v>392</v>
      </c>
      <c r="H1066" s="28">
        <v>1.0</v>
      </c>
      <c r="I1066" s="28">
        <v>0.4711864406779661</v>
      </c>
      <c r="J1066" s="28">
        <v>17.0</v>
      </c>
      <c r="K1066" s="28" t="s">
        <v>57</v>
      </c>
      <c r="L1066" s="28" t="s">
        <v>57</v>
      </c>
    </row>
    <row r="1067" ht="15.75" customHeight="1">
      <c r="A1067" s="28" t="s">
        <v>131</v>
      </c>
      <c r="B1067" s="28" t="s">
        <v>1799</v>
      </c>
      <c r="D1067" s="28" t="s">
        <v>270</v>
      </c>
      <c r="E1067" s="28" t="s">
        <v>1976</v>
      </c>
      <c r="F1067" s="28" t="s">
        <v>834</v>
      </c>
      <c r="G1067" s="28" t="s">
        <v>378</v>
      </c>
      <c r="H1067" s="28">
        <v>1.0</v>
      </c>
      <c r="I1067" s="28">
        <v>0.5525423728813559</v>
      </c>
      <c r="J1067" s="28">
        <v>2.0</v>
      </c>
      <c r="K1067" s="28" t="s">
        <v>57</v>
      </c>
      <c r="L1067" s="28" t="s">
        <v>57</v>
      </c>
    </row>
    <row r="1068" ht="15.75" customHeight="1">
      <c r="A1068" s="28" t="s">
        <v>131</v>
      </c>
      <c r="B1068" s="28" t="s">
        <v>1799</v>
      </c>
      <c r="D1068" s="28" t="s">
        <v>270</v>
      </c>
      <c r="E1068" s="28" t="s">
        <v>1977</v>
      </c>
      <c r="F1068" s="28" t="s">
        <v>834</v>
      </c>
      <c r="G1068" s="28" t="s">
        <v>385</v>
      </c>
      <c r="H1068" s="28">
        <v>1.0</v>
      </c>
      <c r="I1068" s="28">
        <v>0.559322033898305</v>
      </c>
      <c r="J1068" s="28">
        <v>3.0</v>
      </c>
      <c r="K1068" s="28" t="s">
        <v>57</v>
      </c>
      <c r="L1068" s="28" t="s">
        <v>57</v>
      </c>
    </row>
    <row r="1069" ht="15.75" customHeight="1">
      <c r="A1069" s="28" t="s">
        <v>131</v>
      </c>
      <c r="B1069" s="28" t="s">
        <v>1799</v>
      </c>
      <c r="D1069" s="28" t="s">
        <v>270</v>
      </c>
      <c r="E1069" s="28" t="s">
        <v>1978</v>
      </c>
      <c r="F1069" s="28" t="s">
        <v>834</v>
      </c>
      <c r="G1069" s="28" t="s">
        <v>310</v>
      </c>
      <c r="H1069" s="28">
        <v>1.0</v>
      </c>
      <c r="I1069" s="28">
        <v>0.5830508474576271</v>
      </c>
      <c r="J1069" s="28">
        <v>13.0</v>
      </c>
      <c r="K1069" s="28" t="s">
        <v>57</v>
      </c>
      <c r="L1069" s="28" t="s">
        <v>57</v>
      </c>
    </row>
    <row r="1070" ht="15.75" customHeight="1">
      <c r="A1070" s="28" t="s">
        <v>131</v>
      </c>
      <c r="B1070" s="28" t="s">
        <v>1799</v>
      </c>
      <c r="D1070" s="28" t="s">
        <v>270</v>
      </c>
      <c r="E1070" s="28" t="s">
        <v>1979</v>
      </c>
      <c r="F1070" s="28" t="s">
        <v>834</v>
      </c>
      <c r="G1070" s="28" t="s">
        <v>278</v>
      </c>
      <c r="H1070" s="28">
        <v>1.0</v>
      </c>
      <c r="I1070" s="28">
        <v>0.5830508474576271</v>
      </c>
      <c r="J1070" s="28">
        <v>9.0</v>
      </c>
      <c r="K1070" s="28" t="s">
        <v>57</v>
      </c>
      <c r="L1070" s="28" t="s">
        <v>57</v>
      </c>
    </row>
    <row r="1071" ht="15.75" customHeight="1">
      <c r="A1071" s="28" t="s">
        <v>131</v>
      </c>
      <c r="B1071" s="28" t="s">
        <v>1799</v>
      </c>
      <c r="D1071" s="28" t="s">
        <v>270</v>
      </c>
      <c r="E1071" s="28" t="s">
        <v>1980</v>
      </c>
      <c r="F1071" s="28" t="s">
        <v>837</v>
      </c>
      <c r="G1071" s="28" t="s">
        <v>303</v>
      </c>
      <c r="H1071" s="28">
        <v>1.0</v>
      </c>
      <c r="I1071" s="28">
        <v>0.603042876901798</v>
      </c>
      <c r="J1071" s="28">
        <v>10.0</v>
      </c>
      <c r="K1071" s="28" t="s">
        <v>57</v>
      </c>
      <c r="L1071" s="28" t="s">
        <v>57</v>
      </c>
    </row>
    <row r="1072" ht="15.75" customHeight="1">
      <c r="A1072" s="28" t="s">
        <v>131</v>
      </c>
      <c r="B1072" s="28" t="s">
        <v>1799</v>
      </c>
      <c r="D1072" s="28" t="s">
        <v>270</v>
      </c>
      <c r="E1072" s="28" t="s">
        <v>1981</v>
      </c>
      <c r="F1072" s="28" t="s">
        <v>839</v>
      </c>
      <c r="G1072" s="28" t="s">
        <v>241</v>
      </c>
      <c r="H1072" s="28">
        <v>1.0</v>
      </c>
      <c r="I1072" s="28">
        <v>0.7747385358004827</v>
      </c>
      <c r="J1072" s="28">
        <v>8.0</v>
      </c>
      <c r="K1072" s="28" t="s">
        <v>57</v>
      </c>
      <c r="L1072" s="28" t="s">
        <v>57</v>
      </c>
    </row>
    <row r="1073" ht="15.75" customHeight="1">
      <c r="A1073" s="28" t="s">
        <v>131</v>
      </c>
      <c r="B1073" s="28" t="s">
        <v>1799</v>
      </c>
      <c r="D1073" s="28" t="s">
        <v>262</v>
      </c>
      <c r="E1073" s="28" t="s">
        <v>1982</v>
      </c>
      <c r="F1073" s="28" t="s">
        <v>293</v>
      </c>
      <c r="G1073" s="28" t="s">
        <v>392</v>
      </c>
      <c r="H1073" s="28">
        <v>1.0</v>
      </c>
      <c r="I1073" s="28">
        <v>0.11046511627906977</v>
      </c>
      <c r="J1073" s="28">
        <v>16.0</v>
      </c>
      <c r="K1073" s="28" t="s">
        <v>57</v>
      </c>
      <c r="L1073" s="28" t="s">
        <v>57</v>
      </c>
    </row>
    <row r="1074" ht="15.75" customHeight="1">
      <c r="A1074" s="28" t="s">
        <v>131</v>
      </c>
      <c r="B1074" s="28" t="s">
        <v>1799</v>
      </c>
      <c r="D1074" s="28" t="s">
        <v>262</v>
      </c>
      <c r="E1074" s="28" t="s">
        <v>1983</v>
      </c>
      <c r="F1074" s="28" t="s">
        <v>851</v>
      </c>
      <c r="G1074" s="28" t="s">
        <v>295</v>
      </c>
      <c r="H1074" s="28">
        <v>1.0</v>
      </c>
      <c r="I1074" s="28">
        <v>0.22613065326633167</v>
      </c>
      <c r="J1074" s="28">
        <v>13.0</v>
      </c>
      <c r="K1074" s="28" t="s">
        <v>57</v>
      </c>
      <c r="L1074" s="28" t="s">
        <v>57</v>
      </c>
    </row>
    <row r="1075" ht="15.75" customHeight="1">
      <c r="A1075" s="28" t="s">
        <v>131</v>
      </c>
      <c r="B1075" s="28" t="s">
        <v>1799</v>
      </c>
      <c r="D1075" s="28" t="s">
        <v>262</v>
      </c>
      <c r="E1075" s="28" t="s">
        <v>1984</v>
      </c>
      <c r="F1075" s="28" t="s">
        <v>854</v>
      </c>
      <c r="G1075" s="28" t="s">
        <v>385</v>
      </c>
      <c r="H1075" s="28">
        <v>1.0</v>
      </c>
      <c r="I1075" s="28">
        <v>0.23837209302325582</v>
      </c>
      <c r="J1075" s="28">
        <v>2.0</v>
      </c>
      <c r="K1075" s="28" t="s">
        <v>57</v>
      </c>
      <c r="L1075" s="28" t="s">
        <v>57</v>
      </c>
    </row>
    <row r="1076" ht="15.75" customHeight="1">
      <c r="A1076" s="28" t="s">
        <v>131</v>
      </c>
      <c r="B1076" s="28" t="s">
        <v>1799</v>
      </c>
      <c r="D1076" s="28" t="s">
        <v>262</v>
      </c>
      <c r="E1076" s="28" t="s">
        <v>1985</v>
      </c>
      <c r="F1076" s="28" t="s">
        <v>851</v>
      </c>
      <c r="G1076" s="28" t="s">
        <v>364</v>
      </c>
      <c r="H1076" s="28">
        <v>1.0</v>
      </c>
      <c r="I1076" s="28">
        <v>0.245</v>
      </c>
      <c r="J1076" s="28">
        <v>14.0</v>
      </c>
      <c r="K1076" s="28" t="s">
        <v>57</v>
      </c>
      <c r="L1076" s="28" t="s">
        <v>57</v>
      </c>
    </row>
    <row r="1077" ht="15.75" customHeight="1">
      <c r="A1077" s="28" t="s">
        <v>131</v>
      </c>
      <c r="B1077" s="28" t="s">
        <v>1799</v>
      </c>
      <c r="D1077" s="28" t="s">
        <v>262</v>
      </c>
      <c r="E1077" s="28" t="s">
        <v>1986</v>
      </c>
      <c r="F1077" s="28" t="s">
        <v>854</v>
      </c>
      <c r="G1077" s="28" t="s">
        <v>310</v>
      </c>
      <c r="H1077" s="28">
        <v>1.0</v>
      </c>
      <c r="I1077" s="28">
        <v>0.27906976744186046</v>
      </c>
      <c r="J1077" s="28">
        <v>12.0</v>
      </c>
      <c r="K1077" s="28" t="s">
        <v>57</v>
      </c>
      <c r="L1077" s="28" t="s">
        <v>57</v>
      </c>
    </row>
    <row r="1078" ht="15.75" customHeight="1">
      <c r="A1078" s="28" t="s">
        <v>131</v>
      </c>
      <c r="B1078" s="28" t="s">
        <v>1799</v>
      </c>
      <c r="D1078" s="28" t="s">
        <v>262</v>
      </c>
      <c r="E1078" s="28" t="s">
        <v>1987</v>
      </c>
      <c r="F1078" s="28" t="s">
        <v>854</v>
      </c>
      <c r="G1078" s="28" t="s">
        <v>278</v>
      </c>
      <c r="H1078" s="28">
        <v>1.0</v>
      </c>
      <c r="I1078" s="28">
        <v>0.28488372093023256</v>
      </c>
      <c r="J1078" s="28">
        <v>8.0</v>
      </c>
      <c r="K1078" s="28" t="s">
        <v>57</v>
      </c>
      <c r="L1078" s="28" t="s">
        <v>57</v>
      </c>
    </row>
    <row r="1079" ht="15.75" customHeight="1">
      <c r="A1079" s="28" t="s">
        <v>131</v>
      </c>
      <c r="B1079" s="28" t="s">
        <v>1799</v>
      </c>
      <c r="D1079" s="28" t="s">
        <v>262</v>
      </c>
      <c r="E1079" s="28" t="s">
        <v>1988</v>
      </c>
      <c r="F1079" s="28" t="s">
        <v>1562</v>
      </c>
      <c r="G1079" s="28" t="s">
        <v>370</v>
      </c>
      <c r="H1079" s="28">
        <v>1.0</v>
      </c>
      <c r="I1079" s="28">
        <v>0.39923954372623577</v>
      </c>
      <c r="J1079" s="28">
        <v>15.0</v>
      </c>
      <c r="K1079" s="28" t="s">
        <v>57</v>
      </c>
      <c r="L1079" s="28" t="s">
        <v>57</v>
      </c>
    </row>
    <row r="1080" ht="15.75" customHeight="1">
      <c r="A1080" s="28" t="s">
        <v>131</v>
      </c>
      <c r="B1080" s="28" t="s">
        <v>1799</v>
      </c>
      <c r="D1080" s="28" t="s">
        <v>262</v>
      </c>
      <c r="E1080" s="28" t="s">
        <v>1989</v>
      </c>
      <c r="F1080" s="28" t="s">
        <v>858</v>
      </c>
      <c r="G1080" s="28" t="s">
        <v>345</v>
      </c>
      <c r="H1080" s="28">
        <v>1.0</v>
      </c>
      <c r="I1080" s="28">
        <v>0.41924398625429554</v>
      </c>
      <c r="J1080" s="28">
        <v>0.0</v>
      </c>
      <c r="K1080" s="28" t="s">
        <v>57</v>
      </c>
      <c r="L1080" s="28" t="s">
        <v>57</v>
      </c>
    </row>
    <row r="1081" ht="15.75" customHeight="1">
      <c r="A1081" s="28" t="s">
        <v>131</v>
      </c>
      <c r="B1081" s="28" t="s">
        <v>1799</v>
      </c>
      <c r="D1081" s="28" t="s">
        <v>262</v>
      </c>
      <c r="E1081" s="28" t="s">
        <v>1990</v>
      </c>
      <c r="F1081" s="28" t="s">
        <v>854</v>
      </c>
      <c r="G1081" s="28" t="s">
        <v>378</v>
      </c>
      <c r="H1081" s="28">
        <v>1.0</v>
      </c>
      <c r="I1081" s="28">
        <v>0.42592592592592593</v>
      </c>
      <c r="J1081" s="28">
        <v>1.0</v>
      </c>
      <c r="K1081" s="28" t="s">
        <v>57</v>
      </c>
      <c r="L1081" s="28" t="s">
        <v>57</v>
      </c>
    </row>
    <row r="1082" ht="15.75" customHeight="1">
      <c r="A1082" s="28" t="s">
        <v>131</v>
      </c>
      <c r="B1082" s="28" t="s">
        <v>1799</v>
      </c>
      <c r="D1082" s="28" t="s">
        <v>262</v>
      </c>
      <c r="E1082" s="28" t="s">
        <v>1991</v>
      </c>
      <c r="F1082" s="28" t="s">
        <v>987</v>
      </c>
      <c r="G1082" s="28" t="s">
        <v>398</v>
      </c>
      <c r="H1082" s="28">
        <v>1.0</v>
      </c>
      <c r="I1082" s="28">
        <v>0.4444444444444444</v>
      </c>
      <c r="J1082" s="28">
        <v>17.0</v>
      </c>
      <c r="K1082" s="28" t="s">
        <v>57</v>
      </c>
      <c r="L1082" s="28" t="s">
        <v>696</v>
      </c>
    </row>
    <row r="1083" ht="15.75" customHeight="1">
      <c r="A1083" s="28" t="s">
        <v>131</v>
      </c>
      <c r="B1083" s="28" t="s">
        <v>1799</v>
      </c>
      <c r="D1083" s="28" t="s">
        <v>262</v>
      </c>
      <c r="E1083" s="28" t="s">
        <v>1992</v>
      </c>
      <c r="F1083" s="28" t="s">
        <v>860</v>
      </c>
      <c r="G1083" s="28" t="s">
        <v>287</v>
      </c>
      <c r="H1083" s="28">
        <v>1.0</v>
      </c>
      <c r="I1083" s="28">
        <v>0.6133651551312649</v>
      </c>
      <c r="J1083" s="28">
        <v>11.0</v>
      </c>
      <c r="K1083" s="28" t="s">
        <v>57</v>
      </c>
      <c r="L1083" s="28" t="s">
        <v>57</v>
      </c>
    </row>
    <row r="1084" ht="15.75" customHeight="1">
      <c r="A1084" s="28" t="s">
        <v>131</v>
      </c>
      <c r="B1084" s="28" t="s">
        <v>1799</v>
      </c>
      <c r="D1084" s="28" t="s">
        <v>262</v>
      </c>
      <c r="E1084" s="28" t="s">
        <v>1993</v>
      </c>
      <c r="F1084" s="28" t="s">
        <v>862</v>
      </c>
      <c r="G1084" s="28" t="s">
        <v>303</v>
      </c>
      <c r="H1084" s="28">
        <v>1.0</v>
      </c>
      <c r="I1084" s="28">
        <v>0.7648686030428768</v>
      </c>
      <c r="J1084" s="28">
        <v>9.0</v>
      </c>
      <c r="K1084" s="28" t="s">
        <v>57</v>
      </c>
      <c r="L1084" s="28" t="s">
        <v>57</v>
      </c>
    </row>
    <row r="1085" ht="15.75" customHeight="1">
      <c r="A1085" s="28" t="s">
        <v>131</v>
      </c>
      <c r="B1085" s="28" t="s">
        <v>1799</v>
      </c>
      <c r="D1085" s="28" t="s">
        <v>262</v>
      </c>
      <c r="E1085" s="28" t="s">
        <v>1994</v>
      </c>
      <c r="F1085" s="28" t="s">
        <v>864</v>
      </c>
      <c r="G1085" s="28" t="s">
        <v>241</v>
      </c>
      <c r="H1085" s="28">
        <v>1.0</v>
      </c>
      <c r="I1085" s="28">
        <v>0.8672566371681416</v>
      </c>
      <c r="J1085" s="28">
        <v>7.0</v>
      </c>
      <c r="K1085" s="28" t="s">
        <v>57</v>
      </c>
      <c r="L1085" s="28" t="s">
        <v>57</v>
      </c>
    </row>
    <row r="1086" ht="15.75" customHeight="1">
      <c r="A1086" s="28" t="s">
        <v>131</v>
      </c>
      <c r="B1086" s="28" t="s">
        <v>1799</v>
      </c>
      <c r="D1086" s="28" t="s">
        <v>345</v>
      </c>
      <c r="E1086" s="28" t="s">
        <v>1995</v>
      </c>
      <c r="F1086" s="28" t="s">
        <v>1527</v>
      </c>
      <c r="G1086" s="28" t="s">
        <v>370</v>
      </c>
      <c r="H1086" s="28">
        <v>1.0</v>
      </c>
      <c r="I1086" s="28">
        <v>0.2027491408934708</v>
      </c>
      <c r="J1086" s="28">
        <v>14.0</v>
      </c>
      <c r="K1086" s="28" t="s">
        <v>57</v>
      </c>
      <c r="L1086" s="28" t="s">
        <v>57</v>
      </c>
    </row>
    <row r="1087" ht="15.75" customHeight="1">
      <c r="A1087" s="28" t="s">
        <v>131</v>
      </c>
      <c r="B1087" s="28" t="s">
        <v>1799</v>
      </c>
      <c r="D1087" s="28" t="s">
        <v>345</v>
      </c>
      <c r="E1087" s="28" t="s">
        <v>1996</v>
      </c>
      <c r="F1087" s="28" t="s">
        <v>826</v>
      </c>
      <c r="G1087" s="28" t="s">
        <v>295</v>
      </c>
      <c r="H1087" s="28">
        <v>1.0</v>
      </c>
      <c r="I1087" s="28">
        <v>0.3402061855670103</v>
      </c>
      <c r="J1087" s="28">
        <v>12.0</v>
      </c>
      <c r="K1087" s="28" t="s">
        <v>57</v>
      </c>
      <c r="L1087" s="28" t="s">
        <v>57</v>
      </c>
    </row>
    <row r="1088" ht="15.75" customHeight="1">
      <c r="A1088" s="28" t="s">
        <v>131</v>
      </c>
      <c r="B1088" s="28" t="s">
        <v>1799</v>
      </c>
      <c r="D1088" s="28" t="s">
        <v>345</v>
      </c>
      <c r="E1088" s="28" t="s">
        <v>1997</v>
      </c>
      <c r="F1088" s="28" t="s">
        <v>826</v>
      </c>
      <c r="G1088" s="28" t="s">
        <v>364</v>
      </c>
      <c r="H1088" s="28">
        <v>1.0</v>
      </c>
      <c r="I1088" s="28">
        <v>0.3436426116838488</v>
      </c>
      <c r="J1088" s="28">
        <v>13.0</v>
      </c>
      <c r="K1088" s="28" t="s">
        <v>57</v>
      </c>
      <c r="L1088" s="28" t="s">
        <v>57</v>
      </c>
    </row>
    <row r="1089" ht="15.75" customHeight="1">
      <c r="A1089" s="28" t="s">
        <v>131</v>
      </c>
      <c r="B1089" s="28" t="s">
        <v>1799</v>
      </c>
      <c r="D1089" s="28" t="s">
        <v>345</v>
      </c>
      <c r="E1089" s="28" t="s">
        <v>1998</v>
      </c>
      <c r="F1089" s="28" t="s">
        <v>830</v>
      </c>
      <c r="G1089" s="28" t="s">
        <v>287</v>
      </c>
      <c r="H1089" s="28">
        <v>1.0</v>
      </c>
      <c r="I1089" s="28">
        <v>0.36515513126491644</v>
      </c>
      <c r="J1089" s="28">
        <v>10.0</v>
      </c>
      <c r="K1089" s="28" t="s">
        <v>57</v>
      </c>
      <c r="L1089" s="28" t="s">
        <v>57</v>
      </c>
    </row>
    <row r="1090" ht="15.75" customHeight="1">
      <c r="A1090" s="28" t="s">
        <v>131</v>
      </c>
      <c r="B1090" s="28" t="s">
        <v>1799</v>
      </c>
      <c r="D1090" s="28" t="s">
        <v>345</v>
      </c>
      <c r="E1090" s="28" t="s">
        <v>1999</v>
      </c>
      <c r="F1090" s="28" t="s">
        <v>1533</v>
      </c>
      <c r="G1090" s="28" t="s">
        <v>398</v>
      </c>
      <c r="H1090" s="28">
        <v>1.0</v>
      </c>
      <c r="I1090" s="28">
        <v>0.43986254295532645</v>
      </c>
      <c r="J1090" s="28">
        <v>16.0</v>
      </c>
      <c r="K1090" s="28" t="s">
        <v>57</v>
      </c>
      <c r="L1090" s="28" t="s">
        <v>696</v>
      </c>
    </row>
    <row r="1091" ht="15.75" customHeight="1">
      <c r="A1091" s="28" t="s">
        <v>131</v>
      </c>
      <c r="B1091" s="28" t="s">
        <v>1799</v>
      </c>
      <c r="D1091" s="28" t="s">
        <v>345</v>
      </c>
      <c r="E1091" s="28" t="s">
        <v>2000</v>
      </c>
      <c r="F1091" s="28" t="s">
        <v>832</v>
      </c>
      <c r="G1091" s="28" t="s">
        <v>392</v>
      </c>
      <c r="H1091" s="28">
        <v>1.0</v>
      </c>
      <c r="I1091" s="28">
        <v>0.46048109965635736</v>
      </c>
      <c r="J1091" s="28">
        <v>15.0</v>
      </c>
      <c r="K1091" s="28" t="s">
        <v>57</v>
      </c>
      <c r="L1091" s="28" t="s">
        <v>57</v>
      </c>
    </row>
    <row r="1092" ht="15.75" customHeight="1">
      <c r="A1092" s="28" t="s">
        <v>131</v>
      </c>
      <c r="B1092" s="28" t="s">
        <v>1799</v>
      </c>
      <c r="D1092" s="28" t="s">
        <v>345</v>
      </c>
      <c r="E1092" s="28" t="s">
        <v>2001</v>
      </c>
      <c r="F1092" s="28" t="s">
        <v>834</v>
      </c>
      <c r="G1092" s="28" t="s">
        <v>378</v>
      </c>
      <c r="H1092" s="28">
        <v>1.0</v>
      </c>
      <c r="I1092" s="28">
        <v>0.5498281786941581</v>
      </c>
      <c r="J1092" s="28">
        <v>0.0</v>
      </c>
      <c r="K1092" s="28" t="s">
        <v>57</v>
      </c>
      <c r="L1092" s="28" t="s">
        <v>57</v>
      </c>
    </row>
    <row r="1093" ht="15.75" customHeight="1">
      <c r="A1093" s="28" t="s">
        <v>131</v>
      </c>
      <c r="B1093" s="28" t="s">
        <v>1799</v>
      </c>
      <c r="D1093" s="28" t="s">
        <v>345</v>
      </c>
      <c r="E1093" s="28" t="s">
        <v>2002</v>
      </c>
      <c r="F1093" s="28" t="s">
        <v>834</v>
      </c>
      <c r="G1093" s="28" t="s">
        <v>385</v>
      </c>
      <c r="H1093" s="28">
        <v>1.0</v>
      </c>
      <c r="I1093" s="28">
        <v>0.5498281786941581</v>
      </c>
      <c r="J1093" s="28">
        <v>1.0</v>
      </c>
      <c r="K1093" s="28" t="s">
        <v>57</v>
      </c>
      <c r="L1093" s="28" t="s">
        <v>57</v>
      </c>
    </row>
    <row r="1094" ht="15.75" customHeight="1">
      <c r="A1094" s="28" t="s">
        <v>131</v>
      </c>
      <c r="B1094" s="28" t="s">
        <v>1799</v>
      </c>
      <c r="D1094" s="28" t="s">
        <v>345</v>
      </c>
      <c r="E1094" s="28" t="s">
        <v>2003</v>
      </c>
      <c r="F1094" s="28" t="s">
        <v>834</v>
      </c>
      <c r="G1094" s="28" t="s">
        <v>278</v>
      </c>
      <c r="H1094" s="28">
        <v>1.0</v>
      </c>
      <c r="I1094" s="28">
        <v>0.5773195876288659</v>
      </c>
      <c r="J1094" s="28">
        <v>7.0</v>
      </c>
      <c r="K1094" s="28" t="s">
        <v>57</v>
      </c>
      <c r="L1094" s="28" t="s">
        <v>57</v>
      </c>
    </row>
    <row r="1095" ht="15.75" customHeight="1">
      <c r="A1095" s="28" t="s">
        <v>131</v>
      </c>
      <c r="B1095" s="28" t="s">
        <v>1799</v>
      </c>
      <c r="D1095" s="28" t="s">
        <v>345</v>
      </c>
      <c r="E1095" s="28" t="s">
        <v>2004</v>
      </c>
      <c r="F1095" s="28" t="s">
        <v>834</v>
      </c>
      <c r="G1095" s="28" t="s">
        <v>310</v>
      </c>
      <c r="H1095" s="28">
        <v>1.0</v>
      </c>
      <c r="I1095" s="28">
        <v>0.5807560137457045</v>
      </c>
      <c r="J1095" s="28">
        <v>11.0</v>
      </c>
      <c r="K1095" s="28" t="s">
        <v>57</v>
      </c>
      <c r="L1095" s="28" t="s">
        <v>57</v>
      </c>
    </row>
    <row r="1096" ht="15.75" customHeight="1">
      <c r="A1096" s="28" t="s">
        <v>131</v>
      </c>
      <c r="B1096" s="28" t="s">
        <v>1799</v>
      </c>
      <c r="D1096" s="28" t="s">
        <v>345</v>
      </c>
      <c r="E1096" s="28" t="s">
        <v>2005</v>
      </c>
      <c r="F1096" s="28" t="s">
        <v>837</v>
      </c>
      <c r="G1096" s="28" t="s">
        <v>303</v>
      </c>
      <c r="H1096" s="28">
        <v>1.0</v>
      </c>
      <c r="I1096" s="28">
        <v>0.6016597510373444</v>
      </c>
      <c r="J1096" s="28">
        <v>8.0</v>
      </c>
      <c r="K1096" s="28" t="s">
        <v>57</v>
      </c>
      <c r="L1096" s="28" t="s">
        <v>57</v>
      </c>
    </row>
    <row r="1097" ht="15.75" customHeight="1">
      <c r="A1097" s="28" t="s">
        <v>131</v>
      </c>
      <c r="B1097" s="28" t="s">
        <v>1799</v>
      </c>
      <c r="D1097" s="28" t="s">
        <v>345</v>
      </c>
      <c r="E1097" s="28" t="s">
        <v>2006</v>
      </c>
      <c r="F1097" s="28" t="s">
        <v>839</v>
      </c>
      <c r="G1097" s="28" t="s">
        <v>241</v>
      </c>
      <c r="H1097" s="28">
        <v>1.0</v>
      </c>
      <c r="I1097" s="28">
        <v>0.7731295253419147</v>
      </c>
      <c r="J1097" s="28">
        <v>6.0</v>
      </c>
      <c r="K1097" s="28" t="s">
        <v>57</v>
      </c>
      <c r="L1097" s="28" t="s">
        <v>57</v>
      </c>
    </row>
    <row r="1098" ht="15.75" customHeight="1">
      <c r="A1098" s="28" t="s">
        <v>131</v>
      </c>
      <c r="B1098" s="28" t="s">
        <v>1799</v>
      </c>
      <c r="D1098" s="28" t="s">
        <v>378</v>
      </c>
      <c r="E1098" s="28" t="s">
        <v>2007</v>
      </c>
      <c r="F1098" s="28" t="s">
        <v>276</v>
      </c>
      <c r="G1098" s="28" t="s">
        <v>385</v>
      </c>
      <c r="H1098" s="28">
        <v>1.0</v>
      </c>
      <c r="I1098" s="28">
        <v>0.4212962962962963</v>
      </c>
      <c r="J1098" s="28">
        <v>0.0</v>
      </c>
      <c r="K1098" s="28" t="s">
        <v>57</v>
      </c>
      <c r="L1098" s="28" t="s">
        <v>57</v>
      </c>
    </row>
    <row r="1099" ht="15.75" customHeight="1">
      <c r="A1099" s="28" t="s">
        <v>131</v>
      </c>
      <c r="B1099" s="28" t="s">
        <v>1799</v>
      </c>
      <c r="D1099" s="28" t="s">
        <v>378</v>
      </c>
      <c r="E1099" s="28" t="s">
        <v>2008</v>
      </c>
      <c r="F1099" s="28" t="s">
        <v>396</v>
      </c>
      <c r="G1099" s="28" t="s">
        <v>398</v>
      </c>
      <c r="H1099" s="28">
        <v>1.0</v>
      </c>
      <c r="I1099" s="28">
        <v>0.45161290322580644</v>
      </c>
      <c r="J1099" s="28">
        <v>15.0</v>
      </c>
      <c r="K1099" s="28" t="s">
        <v>57</v>
      </c>
      <c r="L1099" s="28" t="s">
        <v>696</v>
      </c>
    </row>
    <row r="1100" ht="15.75" customHeight="1">
      <c r="A1100" s="28" t="s">
        <v>131</v>
      </c>
      <c r="B1100" s="28" t="s">
        <v>1799</v>
      </c>
      <c r="D1100" s="28" t="s">
        <v>378</v>
      </c>
      <c r="E1100" s="28" t="s">
        <v>2009</v>
      </c>
      <c r="F1100" s="28" t="s">
        <v>260</v>
      </c>
      <c r="G1100" s="28" t="s">
        <v>392</v>
      </c>
      <c r="H1100" s="28">
        <v>1.0</v>
      </c>
      <c r="I1100" s="28">
        <v>0.4583333333333333</v>
      </c>
      <c r="J1100" s="28">
        <v>14.0</v>
      </c>
      <c r="K1100" s="28" t="s">
        <v>57</v>
      </c>
      <c r="L1100" s="28" t="s">
        <v>57</v>
      </c>
    </row>
    <row r="1101" ht="15.75" customHeight="1">
      <c r="A1101" s="28" t="s">
        <v>131</v>
      </c>
      <c r="B1101" s="28" t="s">
        <v>1799</v>
      </c>
      <c r="D1101" s="28" t="s">
        <v>378</v>
      </c>
      <c r="E1101" s="28" t="s">
        <v>2010</v>
      </c>
      <c r="F1101" s="28" t="s">
        <v>276</v>
      </c>
      <c r="G1101" s="28" t="s">
        <v>278</v>
      </c>
      <c r="H1101" s="28">
        <v>1.0</v>
      </c>
      <c r="I1101" s="28">
        <v>0.4583333333333333</v>
      </c>
      <c r="J1101" s="28">
        <v>6.0</v>
      </c>
      <c r="K1101" s="28" t="s">
        <v>57</v>
      </c>
      <c r="L1101" s="28" t="s">
        <v>57</v>
      </c>
    </row>
    <row r="1102" ht="15.75" customHeight="1">
      <c r="A1102" s="28" t="s">
        <v>131</v>
      </c>
      <c r="B1102" s="28" t="s">
        <v>1799</v>
      </c>
      <c r="D1102" s="28" t="s">
        <v>378</v>
      </c>
      <c r="E1102" s="28" t="s">
        <v>2011</v>
      </c>
      <c r="F1102" s="28" t="s">
        <v>276</v>
      </c>
      <c r="G1102" s="28" t="s">
        <v>310</v>
      </c>
      <c r="H1102" s="28">
        <v>1.0</v>
      </c>
      <c r="I1102" s="28">
        <v>0.46296296296296297</v>
      </c>
      <c r="J1102" s="28">
        <v>10.0</v>
      </c>
      <c r="K1102" s="28" t="s">
        <v>57</v>
      </c>
      <c r="L1102" s="28" t="s">
        <v>57</v>
      </c>
    </row>
    <row r="1103" ht="15.75" customHeight="1">
      <c r="A1103" s="28" t="s">
        <v>131</v>
      </c>
      <c r="B1103" s="28" t="s">
        <v>1799</v>
      </c>
      <c r="D1103" s="28" t="s">
        <v>378</v>
      </c>
      <c r="E1103" s="28" t="s">
        <v>2012</v>
      </c>
      <c r="F1103" s="28" t="s">
        <v>687</v>
      </c>
      <c r="G1103" s="28" t="s">
        <v>295</v>
      </c>
      <c r="H1103" s="28">
        <v>1.0</v>
      </c>
      <c r="I1103" s="28">
        <v>0.5416666666666666</v>
      </c>
      <c r="J1103" s="28">
        <v>11.0</v>
      </c>
      <c r="K1103" s="28" t="s">
        <v>57</v>
      </c>
      <c r="L1103" s="28" t="s">
        <v>57</v>
      </c>
    </row>
    <row r="1104" ht="15.75" customHeight="1">
      <c r="A1104" s="28" t="s">
        <v>131</v>
      </c>
      <c r="B1104" s="28" t="s">
        <v>1799</v>
      </c>
      <c r="D1104" s="28" t="s">
        <v>378</v>
      </c>
      <c r="E1104" s="28" t="s">
        <v>2013</v>
      </c>
      <c r="F1104" s="28" t="s">
        <v>687</v>
      </c>
      <c r="G1104" s="28" t="s">
        <v>364</v>
      </c>
      <c r="H1104" s="28">
        <v>1.0</v>
      </c>
      <c r="I1104" s="28">
        <v>0.5416666666666666</v>
      </c>
      <c r="J1104" s="28">
        <v>12.0</v>
      </c>
      <c r="K1104" s="28" t="s">
        <v>57</v>
      </c>
      <c r="L1104" s="28" t="s">
        <v>57</v>
      </c>
    </row>
    <row r="1105" ht="15.75" customHeight="1">
      <c r="A1105" s="28" t="s">
        <v>131</v>
      </c>
      <c r="B1105" s="28" t="s">
        <v>1799</v>
      </c>
      <c r="D1105" s="28" t="s">
        <v>378</v>
      </c>
      <c r="E1105" s="28" t="s">
        <v>2014</v>
      </c>
      <c r="F1105" s="28" t="s">
        <v>1375</v>
      </c>
      <c r="G1105" s="28" t="s">
        <v>370</v>
      </c>
      <c r="H1105" s="28">
        <v>1.0</v>
      </c>
      <c r="I1105" s="28">
        <v>0.5513307984790875</v>
      </c>
      <c r="J1105" s="28">
        <v>13.0</v>
      </c>
      <c r="K1105" s="28" t="s">
        <v>57</v>
      </c>
      <c r="L1105" s="28" t="s">
        <v>57</v>
      </c>
    </row>
    <row r="1106" ht="15.75" customHeight="1">
      <c r="A1106" s="28" t="s">
        <v>131</v>
      </c>
      <c r="B1106" s="28" t="s">
        <v>1799</v>
      </c>
      <c r="D1106" s="28" t="s">
        <v>378</v>
      </c>
      <c r="E1106" s="28" t="s">
        <v>2015</v>
      </c>
      <c r="F1106" s="28" t="s">
        <v>698</v>
      </c>
      <c r="G1106" s="28" t="s">
        <v>287</v>
      </c>
      <c r="H1106" s="28">
        <v>1.0</v>
      </c>
      <c r="I1106" s="28">
        <v>0.6587112171837709</v>
      </c>
      <c r="J1106" s="28">
        <v>9.0</v>
      </c>
      <c r="K1106" s="28" t="s">
        <v>57</v>
      </c>
      <c r="L1106" s="28" t="s">
        <v>57</v>
      </c>
    </row>
    <row r="1107" ht="15.75" customHeight="1">
      <c r="A1107" s="28" t="s">
        <v>131</v>
      </c>
      <c r="B1107" s="28" t="s">
        <v>1799</v>
      </c>
      <c r="D1107" s="28" t="s">
        <v>378</v>
      </c>
      <c r="E1107" s="28" t="s">
        <v>2016</v>
      </c>
      <c r="F1107" s="28" t="s">
        <v>701</v>
      </c>
      <c r="G1107" s="28" t="s">
        <v>303</v>
      </c>
      <c r="H1107" s="28">
        <v>1.0</v>
      </c>
      <c r="I1107" s="28">
        <v>0.7704011065006916</v>
      </c>
      <c r="J1107" s="28">
        <v>7.0</v>
      </c>
      <c r="K1107" s="28" t="s">
        <v>57</v>
      </c>
      <c r="L1107" s="28" t="s">
        <v>57</v>
      </c>
    </row>
    <row r="1108" ht="15.75" customHeight="1">
      <c r="A1108" s="28" t="s">
        <v>131</v>
      </c>
      <c r="B1108" s="28" t="s">
        <v>1799</v>
      </c>
      <c r="D1108" s="28" t="s">
        <v>378</v>
      </c>
      <c r="E1108" s="28" t="s">
        <v>2017</v>
      </c>
      <c r="F1108" s="28" t="s">
        <v>705</v>
      </c>
      <c r="G1108" s="28" t="s">
        <v>241</v>
      </c>
      <c r="H1108" s="28">
        <v>1.0</v>
      </c>
      <c r="I1108" s="28">
        <v>0.8608205953338697</v>
      </c>
      <c r="J1108" s="28">
        <v>5.0</v>
      </c>
      <c r="K1108" s="28" t="s">
        <v>57</v>
      </c>
      <c r="L1108" s="28" t="s">
        <v>57</v>
      </c>
    </row>
    <row r="1109" ht="15.75" customHeight="1">
      <c r="A1109" s="28" t="s">
        <v>131</v>
      </c>
      <c r="B1109" s="28" t="s">
        <v>1799</v>
      </c>
      <c r="D1109" s="28" t="s">
        <v>385</v>
      </c>
      <c r="E1109" s="28" t="s">
        <v>2018</v>
      </c>
      <c r="F1109" s="28" t="s">
        <v>276</v>
      </c>
      <c r="G1109" s="28" t="s">
        <v>310</v>
      </c>
      <c r="H1109" s="28">
        <v>1.0</v>
      </c>
      <c r="I1109" s="28">
        <v>0.07518796992481203</v>
      </c>
      <c r="J1109" s="28">
        <v>9.0</v>
      </c>
      <c r="K1109" s="28" t="s">
        <v>57</v>
      </c>
      <c r="L1109" s="28" t="s">
        <v>57</v>
      </c>
    </row>
    <row r="1110" ht="15.75" customHeight="1">
      <c r="A1110" s="28" t="s">
        <v>131</v>
      </c>
      <c r="B1110" s="28" t="s">
        <v>1799</v>
      </c>
      <c r="D1110" s="28" t="s">
        <v>385</v>
      </c>
      <c r="E1110" s="28" t="s">
        <v>2019</v>
      </c>
      <c r="F1110" s="28" t="s">
        <v>276</v>
      </c>
      <c r="G1110" s="28" t="s">
        <v>278</v>
      </c>
      <c r="H1110" s="28">
        <v>1.0</v>
      </c>
      <c r="I1110" s="28">
        <v>0.08270676691729323</v>
      </c>
      <c r="J1110" s="28">
        <v>5.0</v>
      </c>
      <c r="K1110" s="28" t="s">
        <v>57</v>
      </c>
      <c r="L1110" s="28" t="s">
        <v>57</v>
      </c>
    </row>
    <row r="1111" ht="15.75" customHeight="1">
      <c r="A1111" s="28" t="s">
        <v>131</v>
      </c>
      <c r="B1111" s="28" t="s">
        <v>1799</v>
      </c>
      <c r="D1111" s="28" t="s">
        <v>385</v>
      </c>
      <c r="E1111" s="28" t="s">
        <v>2020</v>
      </c>
      <c r="F1111" s="28" t="s">
        <v>260</v>
      </c>
      <c r="G1111" s="28" t="s">
        <v>392</v>
      </c>
      <c r="H1111" s="28">
        <v>1.0</v>
      </c>
      <c r="I1111" s="28">
        <v>0.2804878048780488</v>
      </c>
      <c r="J1111" s="28">
        <v>13.0</v>
      </c>
      <c r="K1111" s="28" t="s">
        <v>57</v>
      </c>
      <c r="L1111" s="28" t="s">
        <v>57</v>
      </c>
    </row>
    <row r="1112" ht="15.75" customHeight="1">
      <c r="A1112" s="28" t="s">
        <v>131</v>
      </c>
      <c r="B1112" s="28" t="s">
        <v>1799</v>
      </c>
      <c r="D1112" s="28" t="s">
        <v>385</v>
      </c>
      <c r="E1112" s="28" t="s">
        <v>2021</v>
      </c>
      <c r="F1112" s="28" t="s">
        <v>687</v>
      </c>
      <c r="G1112" s="28" t="s">
        <v>295</v>
      </c>
      <c r="H1112" s="28">
        <v>1.0</v>
      </c>
      <c r="I1112" s="28">
        <v>0.3869346733668342</v>
      </c>
      <c r="J1112" s="28">
        <v>10.0</v>
      </c>
      <c r="K1112" s="28" t="s">
        <v>57</v>
      </c>
      <c r="L1112" s="28" t="s">
        <v>57</v>
      </c>
    </row>
    <row r="1113" ht="15.75" customHeight="1">
      <c r="A1113" s="28" t="s">
        <v>131</v>
      </c>
      <c r="B1113" s="28" t="s">
        <v>1799</v>
      </c>
      <c r="D1113" s="28" t="s">
        <v>385</v>
      </c>
      <c r="E1113" s="28" t="s">
        <v>2022</v>
      </c>
      <c r="F1113" s="28" t="s">
        <v>687</v>
      </c>
      <c r="G1113" s="28" t="s">
        <v>364</v>
      </c>
      <c r="H1113" s="28">
        <v>1.0</v>
      </c>
      <c r="I1113" s="28">
        <v>0.39</v>
      </c>
      <c r="J1113" s="28">
        <v>11.0</v>
      </c>
      <c r="K1113" s="28" t="s">
        <v>57</v>
      </c>
      <c r="L1113" s="28" t="s">
        <v>57</v>
      </c>
    </row>
    <row r="1114" ht="15.75" customHeight="1">
      <c r="A1114" s="28" t="s">
        <v>131</v>
      </c>
      <c r="B1114" s="28" t="s">
        <v>1799</v>
      </c>
      <c r="D1114" s="28" t="s">
        <v>385</v>
      </c>
      <c r="E1114" s="28" t="s">
        <v>2023</v>
      </c>
      <c r="F1114" s="28" t="s">
        <v>1375</v>
      </c>
      <c r="G1114" s="28" t="s">
        <v>370</v>
      </c>
      <c r="H1114" s="28">
        <v>1.0</v>
      </c>
      <c r="I1114" s="28">
        <v>0.5285171102661597</v>
      </c>
      <c r="J1114" s="28">
        <v>12.0</v>
      </c>
      <c r="K1114" s="28" t="s">
        <v>57</v>
      </c>
      <c r="L1114" s="28" t="s">
        <v>57</v>
      </c>
    </row>
    <row r="1115" ht="15.75" customHeight="1">
      <c r="A1115" s="28" t="s">
        <v>131</v>
      </c>
      <c r="B1115" s="28" t="s">
        <v>1799</v>
      </c>
      <c r="D1115" s="28" t="s">
        <v>385</v>
      </c>
      <c r="E1115" s="28" t="s">
        <v>2024</v>
      </c>
      <c r="F1115" s="28" t="s">
        <v>396</v>
      </c>
      <c r="G1115" s="28" t="s">
        <v>398</v>
      </c>
      <c r="H1115" s="28">
        <v>1.0</v>
      </c>
      <c r="I1115" s="28">
        <v>0.5555555555555556</v>
      </c>
      <c r="J1115" s="28">
        <v>14.0</v>
      </c>
      <c r="K1115" s="28" t="s">
        <v>57</v>
      </c>
      <c r="L1115" s="28" t="s">
        <v>696</v>
      </c>
    </row>
    <row r="1116" ht="15.75" customHeight="1">
      <c r="A1116" s="28" t="s">
        <v>131</v>
      </c>
      <c r="B1116" s="28" t="s">
        <v>1799</v>
      </c>
      <c r="D1116" s="28" t="s">
        <v>385</v>
      </c>
      <c r="E1116" s="28" t="s">
        <v>2025</v>
      </c>
      <c r="F1116" s="28" t="s">
        <v>698</v>
      </c>
      <c r="G1116" s="28" t="s">
        <v>287</v>
      </c>
      <c r="H1116" s="28">
        <v>1.0</v>
      </c>
      <c r="I1116" s="28">
        <v>0.7016706443914081</v>
      </c>
      <c r="J1116" s="28">
        <v>8.0</v>
      </c>
      <c r="K1116" s="28" t="s">
        <v>57</v>
      </c>
      <c r="L1116" s="28" t="s">
        <v>57</v>
      </c>
    </row>
    <row r="1117" ht="15.75" customHeight="1">
      <c r="A1117" s="28" t="s">
        <v>131</v>
      </c>
      <c r="B1117" s="28" t="s">
        <v>1799</v>
      </c>
      <c r="D1117" s="28" t="s">
        <v>385</v>
      </c>
      <c r="E1117" s="28" t="s">
        <v>2026</v>
      </c>
      <c r="F1117" s="28" t="s">
        <v>701</v>
      </c>
      <c r="G1117" s="28" t="s">
        <v>303</v>
      </c>
      <c r="H1117" s="28">
        <v>1.0</v>
      </c>
      <c r="I1117" s="28">
        <v>0.8201936376210235</v>
      </c>
      <c r="J1117" s="28">
        <v>6.0</v>
      </c>
      <c r="K1117" s="28" t="s">
        <v>57</v>
      </c>
      <c r="L1117" s="28" t="s">
        <v>57</v>
      </c>
    </row>
    <row r="1118" ht="15.75" customHeight="1">
      <c r="A1118" s="28" t="s">
        <v>131</v>
      </c>
      <c r="B1118" s="28" t="s">
        <v>1799</v>
      </c>
      <c r="D1118" s="28" t="s">
        <v>385</v>
      </c>
      <c r="E1118" s="28" t="s">
        <v>2027</v>
      </c>
      <c r="F1118" s="28" t="s">
        <v>705</v>
      </c>
      <c r="G1118" s="28" t="s">
        <v>241</v>
      </c>
      <c r="H1118" s="28">
        <v>1.0</v>
      </c>
      <c r="I1118" s="28">
        <v>0.8986323411102172</v>
      </c>
      <c r="J1118" s="28">
        <v>4.0</v>
      </c>
      <c r="K1118" s="28" t="s">
        <v>57</v>
      </c>
      <c r="L1118" s="28" t="s">
        <v>57</v>
      </c>
    </row>
    <row r="1119" ht="15.75" customHeight="1">
      <c r="A1119" s="28" t="s">
        <v>131</v>
      </c>
      <c r="B1119" s="28" t="s">
        <v>1799</v>
      </c>
      <c r="D1119" s="28" t="s">
        <v>991</v>
      </c>
      <c r="E1119" s="28" t="s">
        <v>2028</v>
      </c>
      <c r="F1119" s="28" t="s">
        <v>2029</v>
      </c>
      <c r="G1119" s="28" t="s">
        <v>994</v>
      </c>
      <c r="H1119" s="28">
        <v>1.0</v>
      </c>
      <c r="I1119" s="28">
        <v>0.08055555555555556</v>
      </c>
      <c r="J1119" s="28">
        <v>0.0</v>
      </c>
      <c r="K1119" s="28" t="s">
        <v>57</v>
      </c>
      <c r="L1119" s="28" t="s">
        <v>57</v>
      </c>
    </row>
    <row r="1120" ht="15.75" customHeight="1">
      <c r="A1120" s="28" t="s">
        <v>131</v>
      </c>
      <c r="B1120" s="28" t="s">
        <v>1799</v>
      </c>
      <c r="D1120" s="28" t="s">
        <v>241</v>
      </c>
      <c r="E1120" s="28" t="s">
        <v>2030</v>
      </c>
      <c r="F1120" s="28" t="s">
        <v>874</v>
      </c>
      <c r="G1120" s="28" t="s">
        <v>303</v>
      </c>
      <c r="H1120" s="28">
        <v>1.0</v>
      </c>
      <c r="I1120" s="28">
        <v>0.46419951729686243</v>
      </c>
      <c r="J1120" s="28">
        <v>1.0</v>
      </c>
      <c r="K1120" s="28" t="s">
        <v>57</v>
      </c>
      <c r="L1120" s="28" t="s">
        <v>57</v>
      </c>
    </row>
    <row r="1121" ht="15.75" customHeight="1">
      <c r="A1121" s="28" t="s">
        <v>131</v>
      </c>
      <c r="B1121" s="28" t="s">
        <v>1799</v>
      </c>
      <c r="D1121" s="28" t="s">
        <v>241</v>
      </c>
      <c r="E1121" s="28" t="s">
        <v>2031</v>
      </c>
      <c r="F1121" s="28" t="s">
        <v>876</v>
      </c>
      <c r="G1121" s="28" t="s">
        <v>287</v>
      </c>
      <c r="H1121" s="28">
        <v>1.0</v>
      </c>
      <c r="I1121" s="28">
        <v>0.668543845534996</v>
      </c>
      <c r="J1121" s="28">
        <v>3.0</v>
      </c>
      <c r="K1121" s="28" t="s">
        <v>57</v>
      </c>
      <c r="L1121" s="28" t="s">
        <v>57</v>
      </c>
    </row>
    <row r="1122" ht="15.75" customHeight="1">
      <c r="A1122" s="28" t="s">
        <v>131</v>
      </c>
      <c r="B1122" s="28" t="s">
        <v>1799</v>
      </c>
      <c r="D1122" s="28" t="s">
        <v>241</v>
      </c>
      <c r="E1122" s="28" t="s">
        <v>2032</v>
      </c>
      <c r="F1122" s="28" t="s">
        <v>1605</v>
      </c>
      <c r="G1122" s="28" t="s">
        <v>370</v>
      </c>
      <c r="H1122" s="28">
        <v>1.0</v>
      </c>
      <c r="I1122" s="28">
        <v>0.8012872083668544</v>
      </c>
      <c r="J1122" s="28">
        <v>7.0</v>
      </c>
      <c r="K1122" s="28" t="s">
        <v>57</v>
      </c>
      <c r="L1122" s="28" t="s">
        <v>57</v>
      </c>
    </row>
    <row r="1123" ht="15.75" customHeight="1">
      <c r="A1123" s="28" t="s">
        <v>131</v>
      </c>
      <c r="B1123" s="28" t="s">
        <v>1799</v>
      </c>
      <c r="D1123" s="28" t="s">
        <v>241</v>
      </c>
      <c r="E1123" s="28" t="s">
        <v>2033</v>
      </c>
      <c r="F1123" s="28" t="s">
        <v>1607</v>
      </c>
      <c r="G1123" s="28" t="s">
        <v>398</v>
      </c>
      <c r="H1123" s="28">
        <v>1.0</v>
      </c>
      <c r="I1123" s="28">
        <v>0.8189863234111022</v>
      </c>
      <c r="J1123" s="28">
        <v>9.0</v>
      </c>
      <c r="K1123" s="28" t="s">
        <v>57</v>
      </c>
      <c r="L1123" s="28" t="s">
        <v>696</v>
      </c>
    </row>
    <row r="1124" ht="15.75" customHeight="1">
      <c r="A1124" s="28" t="s">
        <v>131</v>
      </c>
      <c r="B1124" s="28" t="s">
        <v>1799</v>
      </c>
      <c r="D1124" s="28" t="s">
        <v>241</v>
      </c>
      <c r="E1124" s="28" t="s">
        <v>2034</v>
      </c>
      <c r="F1124" s="28" t="s">
        <v>878</v>
      </c>
      <c r="G1124" s="28" t="s">
        <v>295</v>
      </c>
      <c r="H1124" s="28">
        <v>1.0</v>
      </c>
      <c r="I1124" s="28">
        <v>0.8415124698310539</v>
      </c>
      <c r="J1124" s="28">
        <v>5.0</v>
      </c>
      <c r="K1124" s="28" t="s">
        <v>57</v>
      </c>
      <c r="L1124" s="28" t="s">
        <v>57</v>
      </c>
    </row>
    <row r="1125" ht="15.75" customHeight="1">
      <c r="A1125" s="28" t="s">
        <v>131</v>
      </c>
      <c r="B1125" s="28" t="s">
        <v>1799</v>
      </c>
      <c r="D1125" s="28" t="s">
        <v>241</v>
      </c>
      <c r="E1125" s="28" t="s">
        <v>2035</v>
      </c>
      <c r="F1125" s="28" t="s">
        <v>878</v>
      </c>
      <c r="G1125" s="28" t="s">
        <v>364</v>
      </c>
      <c r="H1125" s="28">
        <v>1.0</v>
      </c>
      <c r="I1125" s="28">
        <v>0.8415124698310539</v>
      </c>
      <c r="J1125" s="28">
        <v>6.0</v>
      </c>
      <c r="K1125" s="28" t="s">
        <v>57</v>
      </c>
      <c r="L1125" s="28" t="s">
        <v>57</v>
      </c>
    </row>
    <row r="1126" ht="15.75" customHeight="1">
      <c r="A1126" s="28" t="s">
        <v>131</v>
      </c>
      <c r="B1126" s="28" t="s">
        <v>1799</v>
      </c>
      <c r="D1126" s="28" t="s">
        <v>241</v>
      </c>
      <c r="E1126" s="28" t="s">
        <v>2036</v>
      </c>
      <c r="F1126" s="28" t="s">
        <v>1611</v>
      </c>
      <c r="G1126" s="28" t="s">
        <v>392</v>
      </c>
      <c r="H1126" s="28">
        <v>1.0</v>
      </c>
      <c r="I1126" s="28">
        <v>0.8704746580852776</v>
      </c>
      <c r="J1126" s="28">
        <v>8.0</v>
      </c>
      <c r="K1126" s="28" t="s">
        <v>57</v>
      </c>
      <c r="L1126" s="28" t="s">
        <v>57</v>
      </c>
    </row>
    <row r="1127" ht="15.75" customHeight="1">
      <c r="A1127" s="28" t="s">
        <v>131</v>
      </c>
      <c r="B1127" s="28" t="s">
        <v>1799</v>
      </c>
      <c r="D1127" s="28" t="s">
        <v>241</v>
      </c>
      <c r="E1127" s="28" t="s">
        <v>2037</v>
      </c>
      <c r="F1127" s="28" t="s">
        <v>882</v>
      </c>
      <c r="G1127" s="28" t="s">
        <v>310</v>
      </c>
      <c r="H1127" s="28">
        <v>1.0</v>
      </c>
      <c r="I1127" s="28">
        <v>0.9002413515687852</v>
      </c>
      <c r="J1127" s="28">
        <v>4.0</v>
      </c>
      <c r="K1127" s="28" t="s">
        <v>57</v>
      </c>
      <c r="L1127" s="28" t="s">
        <v>57</v>
      </c>
    </row>
    <row r="1128" ht="15.75" customHeight="1">
      <c r="A1128" s="28" t="s">
        <v>131</v>
      </c>
      <c r="B1128" s="28" t="s">
        <v>1799</v>
      </c>
      <c r="D1128" s="28" t="s">
        <v>241</v>
      </c>
      <c r="E1128" s="28" t="s">
        <v>2038</v>
      </c>
      <c r="F1128" s="28" t="s">
        <v>882</v>
      </c>
      <c r="G1128" s="28" t="s">
        <v>278</v>
      </c>
      <c r="H1128" s="28">
        <v>1.0</v>
      </c>
      <c r="I1128" s="28">
        <v>0.9002413515687852</v>
      </c>
      <c r="J1128" s="28">
        <v>0.0</v>
      </c>
      <c r="K1128" s="28" t="s">
        <v>57</v>
      </c>
      <c r="L1128" s="28" t="s">
        <v>57</v>
      </c>
    </row>
    <row r="1129" ht="15.75" customHeight="1">
      <c r="A1129" s="28" t="s">
        <v>131</v>
      </c>
      <c r="B1129" s="28" t="s">
        <v>1799</v>
      </c>
      <c r="D1129" s="28" t="s">
        <v>278</v>
      </c>
      <c r="E1129" s="28" t="s">
        <v>2039</v>
      </c>
      <c r="F1129" s="28" t="s">
        <v>276</v>
      </c>
      <c r="G1129" s="28" t="s">
        <v>310</v>
      </c>
      <c r="H1129" s="28">
        <v>1.0</v>
      </c>
      <c r="I1129" s="28">
        <v>0.015748031496062992</v>
      </c>
      <c r="J1129" s="28">
        <v>3.0</v>
      </c>
      <c r="K1129" s="28" t="s">
        <v>57</v>
      </c>
      <c r="L1129" s="28" t="s">
        <v>57</v>
      </c>
    </row>
    <row r="1130" ht="15.75" customHeight="1">
      <c r="A1130" s="28" t="s">
        <v>131</v>
      </c>
      <c r="B1130" s="28" t="s">
        <v>1799</v>
      </c>
      <c r="D1130" s="28" t="s">
        <v>278</v>
      </c>
      <c r="E1130" s="28" t="s">
        <v>2040</v>
      </c>
      <c r="F1130" s="28" t="s">
        <v>260</v>
      </c>
      <c r="G1130" s="28" t="s">
        <v>392</v>
      </c>
      <c r="H1130" s="28">
        <v>1.0</v>
      </c>
      <c r="I1130" s="28">
        <v>0.24390243902439024</v>
      </c>
      <c r="J1130" s="28">
        <v>7.0</v>
      </c>
      <c r="K1130" s="28" t="s">
        <v>57</v>
      </c>
      <c r="L1130" s="28" t="s">
        <v>57</v>
      </c>
    </row>
    <row r="1131" ht="15.75" customHeight="1">
      <c r="A1131" s="28" t="s">
        <v>131</v>
      </c>
      <c r="B1131" s="28" t="s">
        <v>1799</v>
      </c>
      <c r="D1131" s="28" t="s">
        <v>278</v>
      </c>
      <c r="E1131" s="28" t="s">
        <v>2041</v>
      </c>
      <c r="F1131" s="28" t="s">
        <v>687</v>
      </c>
      <c r="G1131" s="28" t="s">
        <v>295</v>
      </c>
      <c r="H1131" s="28">
        <v>1.0</v>
      </c>
      <c r="I1131" s="28">
        <v>0.37185929648241206</v>
      </c>
      <c r="J1131" s="28">
        <v>4.0</v>
      </c>
      <c r="K1131" s="28" t="s">
        <v>57</v>
      </c>
      <c r="L1131" s="28" t="s">
        <v>57</v>
      </c>
    </row>
    <row r="1132" ht="15.75" customHeight="1">
      <c r="A1132" s="28" t="s">
        <v>131</v>
      </c>
      <c r="B1132" s="28" t="s">
        <v>1799</v>
      </c>
      <c r="D1132" s="28" t="s">
        <v>278</v>
      </c>
      <c r="E1132" s="28" t="s">
        <v>2042</v>
      </c>
      <c r="F1132" s="28" t="s">
        <v>687</v>
      </c>
      <c r="G1132" s="28" t="s">
        <v>364</v>
      </c>
      <c r="H1132" s="28">
        <v>1.0</v>
      </c>
      <c r="I1132" s="28">
        <v>0.38</v>
      </c>
      <c r="J1132" s="28">
        <v>5.0</v>
      </c>
      <c r="K1132" s="28" t="s">
        <v>57</v>
      </c>
      <c r="L1132" s="28" t="s">
        <v>57</v>
      </c>
    </row>
    <row r="1133" ht="15.75" customHeight="1">
      <c r="A1133" s="28" t="s">
        <v>131</v>
      </c>
      <c r="B1133" s="28" t="s">
        <v>1799</v>
      </c>
      <c r="D1133" s="28" t="s">
        <v>278</v>
      </c>
      <c r="E1133" s="28" t="s">
        <v>2043</v>
      </c>
      <c r="F1133" s="28" t="s">
        <v>1375</v>
      </c>
      <c r="G1133" s="28" t="s">
        <v>370</v>
      </c>
      <c r="H1133" s="28">
        <v>1.0</v>
      </c>
      <c r="I1133" s="28">
        <v>0.5247148288973384</v>
      </c>
      <c r="J1133" s="28">
        <v>6.0</v>
      </c>
      <c r="K1133" s="28" t="s">
        <v>57</v>
      </c>
      <c r="L1133" s="28" t="s">
        <v>57</v>
      </c>
    </row>
    <row r="1134" ht="15.75" customHeight="1">
      <c r="A1134" s="28" t="s">
        <v>131</v>
      </c>
      <c r="B1134" s="28" t="s">
        <v>1799</v>
      </c>
      <c r="D1134" s="28" t="s">
        <v>278</v>
      </c>
      <c r="E1134" s="28" t="s">
        <v>2044</v>
      </c>
      <c r="F1134" s="28" t="s">
        <v>396</v>
      </c>
      <c r="G1134" s="28" t="s">
        <v>398</v>
      </c>
      <c r="H1134" s="28">
        <v>1.0</v>
      </c>
      <c r="I1134" s="28">
        <v>0.5842293906810035</v>
      </c>
      <c r="J1134" s="28">
        <v>8.0</v>
      </c>
      <c r="K1134" s="28" t="s">
        <v>57</v>
      </c>
      <c r="L1134" s="28" t="s">
        <v>696</v>
      </c>
    </row>
    <row r="1135" ht="15.75" customHeight="1">
      <c r="A1135" s="28" t="s">
        <v>131</v>
      </c>
      <c r="B1135" s="28" t="s">
        <v>1799</v>
      </c>
      <c r="D1135" s="28" t="s">
        <v>278</v>
      </c>
      <c r="E1135" s="28" t="s">
        <v>2045</v>
      </c>
      <c r="F1135" s="28" t="s">
        <v>698</v>
      </c>
      <c r="G1135" s="28" t="s">
        <v>287</v>
      </c>
      <c r="H1135" s="28">
        <v>1.0</v>
      </c>
      <c r="I1135" s="28">
        <v>0.7016706443914081</v>
      </c>
      <c r="J1135" s="28">
        <v>2.0</v>
      </c>
      <c r="K1135" s="28" t="s">
        <v>57</v>
      </c>
      <c r="L1135" s="28" t="s">
        <v>57</v>
      </c>
    </row>
    <row r="1136" ht="15.75" customHeight="1">
      <c r="A1136" s="28" t="s">
        <v>131</v>
      </c>
      <c r="B1136" s="28" t="s">
        <v>1799</v>
      </c>
      <c r="D1136" s="28" t="s">
        <v>278</v>
      </c>
      <c r="E1136" s="28" t="s">
        <v>2046</v>
      </c>
      <c r="F1136" s="28" t="s">
        <v>701</v>
      </c>
      <c r="G1136" s="28" t="s">
        <v>303</v>
      </c>
      <c r="H1136" s="28">
        <v>1.0</v>
      </c>
      <c r="I1136" s="28">
        <v>0.8284923928077456</v>
      </c>
      <c r="J1136" s="28">
        <v>0.0</v>
      </c>
      <c r="K1136" s="28" t="s">
        <v>57</v>
      </c>
      <c r="L1136" s="28" t="s">
        <v>57</v>
      </c>
    </row>
    <row r="1137" ht="15.75" customHeight="1">
      <c r="A1137" s="28" t="s">
        <v>131</v>
      </c>
      <c r="B1137" s="28" t="s">
        <v>1799</v>
      </c>
      <c r="D1137" s="28" t="s">
        <v>303</v>
      </c>
      <c r="E1137" s="28" t="s">
        <v>2047</v>
      </c>
      <c r="F1137" s="28" t="s">
        <v>890</v>
      </c>
      <c r="G1137" s="28" t="s">
        <v>287</v>
      </c>
      <c r="H1137" s="28">
        <v>1.0</v>
      </c>
      <c r="I1137" s="28">
        <v>0.43568464730290457</v>
      </c>
      <c r="J1137" s="28">
        <v>1.0</v>
      </c>
      <c r="K1137" s="28" t="s">
        <v>57</v>
      </c>
      <c r="L1137" s="28" t="s">
        <v>57</v>
      </c>
    </row>
    <row r="1138" ht="15.75" customHeight="1">
      <c r="A1138" s="28" t="s">
        <v>131</v>
      </c>
      <c r="B1138" s="28" t="s">
        <v>1799</v>
      </c>
      <c r="D1138" s="28" t="s">
        <v>303</v>
      </c>
      <c r="E1138" s="28" t="s">
        <v>2048</v>
      </c>
      <c r="F1138" s="28" t="s">
        <v>1624</v>
      </c>
      <c r="G1138" s="28" t="s">
        <v>370</v>
      </c>
      <c r="H1138" s="28">
        <v>1.0</v>
      </c>
      <c r="I1138" s="28">
        <v>0.6639004149377593</v>
      </c>
      <c r="J1138" s="28">
        <v>5.0</v>
      </c>
      <c r="K1138" s="28" t="s">
        <v>57</v>
      </c>
      <c r="L1138" s="28" t="s">
        <v>57</v>
      </c>
    </row>
    <row r="1139" ht="15.75" customHeight="1">
      <c r="A1139" s="28" t="s">
        <v>131</v>
      </c>
      <c r="B1139" s="28" t="s">
        <v>1799</v>
      </c>
      <c r="D1139" s="28" t="s">
        <v>303</v>
      </c>
      <c r="E1139" s="28" t="s">
        <v>2049</v>
      </c>
      <c r="F1139" s="28" t="s">
        <v>1626</v>
      </c>
      <c r="G1139" s="28" t="s">
        <v>398</v>
      </c>
      <c r="H1139" s="28">
        <v>1.0</v>
      </c>
      <c r="I1139" s="28">
        <v>0.6887966804979253</v>
      </c>
      <c r="J1139" s="28">
        <v>7.0</v>
      </c>
      <c r="K1139" s="28" t="s">
        <v>57</v>
      </c>
      <c r="L1139" s="28" t="s">
        <v>696</v>
      </c>
    </row>
    <row r="1140" ht="15.75" customHeight="1">
      <c r="A1140" s="28" t="s">
        <v>131</v>
      </c>
      <c r="B1140" s="28" t="s">
        <v>1799</v>
      </c>
      <c r="D1140" s="28" t="s">
        <v>303</v>
      </c>
      <c r="E1140" s="28" t="s">
        <v>2050</v>
      </c>
      <c r="F1140" s="28" t="s">
        <v>892</v>
      </c>
      <c r="G1140" s="28" t="s">
        <v>295</v>
      </c>
      <c r="H1140" s="28">
        <v>1.0</v>
      </c>
      <c r="I1140" s="28">
        <v>0.7330567081604425</v>
      </c>
      <c r="J1140" s="28">
        <v>3.0</v>
      </c>
      <c r="K1140" s="28" t="s">
        <v>57</v>
      </c>
      <c r="L1140" s="28" t="s">
        <v>57</v>
      </c>
    </row>
    <row r="1141" ht="15.75" customHeight="1">
      <c r="A1141" s="28" t="s">
        <v>131</v>
      </c>
      <c r="B1141" s="28" t="s">
        <v>1799</v>
      </c>
      <c r="D1141" s="28" t="s">
        <v>303</v>
      </c>
      <c r="E1141" s="28" t="s">
        <v>2051</v>
      </c>
      <c r="F1141" s="28" t="s">
        <v>892</v>
      </c>
      <c r="G1141" s="28" t="s">
        <v>364</v>
      </c>
      <c r="H1141" s="28">
        <v>1.0</v>
      </c>
      <c r="I1141" s="28">
        <v>0.7330567081604425</v>
      </c>
      <c r="J1141" s="28">
        <v>4.0</v>
      </c>
      <c r="K1141" s="28" t="s">
        <v>57</v>
      </c>
      <c r="L1141" s="28" t="s">
        <v>57</v>
      </c>
    </row>
    <row r="1142" ht="15.75" customHeight="1">
      <c r="A1142" s="28" t="s">
        <v>131</v>
      </c>
      <c r="B1142" s="28" t="s">
        <v>1799</v>
      </c>
      <c r="D1142" s="28" t="s">
        <v>303</v>
      </c>
      <c r="E1142" s="28" t="s">
        <v>2052</v>
      </c>
      <c r="F1142" s="28" t="s">
        <v>1630</v>
      </c>
      <c r="G1142" s="28" t="s">
        <v>392</v>
      </c>
      <c r="H1142" s="28">
        <v>1.0</v>
      </c>
      <c r="I1142" s="28">
        <v>0.7800829875518672</v>
      </c>
      <c r="J1142" s="28">
        <v>6.0</v>
      </c>
      <c r="K1142" s="28" t="s">
        <v>57</v>
      </c>
      <c r="L1142" s="28" t="s">
        <v>57</v>
      </c>
    </row>
    <row r="1143" ht="15.75" customHeight="1">
      <c r="A1143" s="28" t="s">
        <v>131</v>
      </c>
      <c r="B1143" s="28" t="s">
        <v>1799</v>
      </c>
      <c r="D1143" s="28" t="s">
        <v>303</v>
      </c>
      <c r="E1143" s="28" t="s">
        <v>2053</v>
      </c>
      <c r="F1143" s="28" t="s">
        <v>896</v>
      </c>
      <c r="G1143" s="28" t="s">
        <v>310</v>
      </c>
      <c r="H1143" s="28">
        <v>1.0</v>
      </c>
      <c r="I1143" s="28">
        <v>0.8298755186721992</v>
      </c>
      <c r="J1143" s="28">
        <v>2.0</v>
      </c>
      <c r="K1143" s="28" t="s">
        <v>57</v>
      </c>
      <c r="L1143" s="28" t="s">
        <v>57</v>
      </c>
    </row>
    <row r="1144" ht="15.75" customHeight="1">
      <c r="A1144" s="28" t="s">
        <v>131</v>
      </c>
      <c r="B1144" s="28" t="s">
        <v>1799</v>
      </c>
      <c r="D1144" s="28" t="s">
        <v>287</v>
      </c>
      <c r="E1144" s="28" t="s">
        <v>2054</v>
      </c>
      <c r="F1144" s="28" t="s">
        <v>1633</v>
      </c>
      <c r="G1144" s="28" t="s">
        <v>370</v>
      </c>
      <c r="H1144" s="28">
        <v>1.0</v>
      </c>
      <c r="I1144" s="28">
        <v>0.4224343675417661</v>
      </c>
      <c r="J1144" s="28">
        <v>3.0</v>
      </c>
      <c r="K1144" s="28" t="s">
        <v>57</v>
      </c>
      <c r="L1144" s="28" t="s">
        <v>57</v>
      </c>
    </row>
    <row r="1145" ht="15.75" customHeight="1">
      <c r="A1145" s="28" t="s">
        <v>131</v>
      </c>
      <c r="B1145" s="28" t="s">
        <v>1799</v>
      </c>
      <c r="D1145" s="28" t="s">
        <v>287</v>
      </c>
      <c r="E1145" s="28" t="s">
        <v>2055</v>
      </c>
      <c r="F1145" s="28" t="s">
        <v>898</v>
      </c>
      <c r="G1145" s="28" t="s">
        <v>295</v>
      </c>
      <c r="H1145" s="28">
        <v>1.0</v>
      </c>
      <c r="I1145" s="28">
        <v>0.5298329355608592</v>
      </c>
      <c r="J1145" s="28">
        <v>1.0</v>
      </c>
      <c r="K1145" s="28" t="s">
        <v>57</v>
      </c>
      <c r="L1145" s="28" t="s">
        <v>57</v>
      </c>
    </row>
    <row r="1146" ht="15.75" customHeight="1">
      <c r="A1146" s="28" t="s">
        <v>131</v>
      </c>
      <c r="B1146" s="28" t="s">
        <v>1799</v>
      </c>
      <c r="D1146" s="28" t="s">
        <v>287</v>
      </c>
      <c r="E1146" s="28" t="s">
        <v>2056</v>
      </c>
      <c r="F1146" s="28" t="s">
        <v>898</v>
      </c>
      <c r="G1146" s="28" t="s">
        <v>364</v>
      </c>
      <c r="H1146" s="28">
        <v>1.0</v>
      </c>
      <c r="I1146" s="28">
        <v>0.5322195704057279</v>
      </c>
      <c r="J1146" s="28">
        <v>2.0</v>
      </c>
      <c r="K1146" s="28" t="s">
        <v>57</v>
      </c>
      <c r="L1146" s="28" t="s">
        <v>57</v>
      </c>
    </row>
    <row r="1147" ht="15.75" customHeight="1">
      <c r="A1147" s="28" t="s">
        <v>131</v>
      </c>
      <c r="B1147" s="28" t="s">
        <v>1799</v>
      </c>
      <c r="D1147" s="28" t="s">
        <v>287</v>
      </c>
      <c r="E1147" s="28" t="s">
        <v>2057</v>
      </c>
      <c r="F1147" s="28" t="s">
        <v>1637</v>
      </c>
      <c r="G1147" s="28" t="s">
        <v>398</v>
      </c>
      <c r="H1147" s="28">
        <v>1.0</v>
      </c>
      <c r="I1147" s="28">
        <v>0.5727923627684964</v>
      </c>
      <c r="J1147" s="28">
        <v>5.0</v>
      </c>
      <c r="K1147" s="28" t="s">
        <v>57</v>
      </c>
      <c r="L1147" s="28" t="s">
        <v>696</v>
      </c>
    </row>
    <row r="1148" ht="15.75" customHeight="1">
      <c r="A1148" s="28" t="s">
        <v>131</v>
      </c>
      <c r="B1148" s="28" t="s">
        <v>1799</v>
      </c>
      <c r="D1148" s="28" t="s">
        <v>287</v>
      </c>
      <c r="E1148" s="28" t="s">
        <v>2058</v>
      </c>
      <c r="F1148" s="28" t="s">
        <v>1639</v>
      </c>
      <c r="G1148" s="28" t="s">
        <v>392</v>
      </c>
      <c r="H1148" s="28">
        <v>1.0</v>
      </c>
      <c r="I1148" s="28">
        <v>0.6157517899761337</v>
      </c>
      <c r="J1148" s="28">
        <v>4.0</v>
      </c>
      <c r="K1148" s="28" t="s">
        <v>57</v>
      </c>
      <c r="L1148" s="28" t="s">
        <v>57</v>
      </c>
    </row>
    <row r="1149" ht="15.75" customHeight="1">
      <c r="A1149" s="28" t="s">
        <v>131</v>
      </c>
      <c r="B1149" s="28" t="s">
        <v>1799</v>
      </c>
      <c r="D1149" s="28" t="s">
        <v>287</v>
      </c>
      <c r="E1149" s="28" t="s">
        <v>2059</v>
      </c>
      <c r="F1149" s="28" t="s">
        <v>902</v>
      </c>
      <c r="G1149" s="28" t="s">
        <v>310</v>
      </c>
      <c r="H1149" s="28">
        <v>1.0</v>
      </c>
      <c r="I1149" s="28">
        <v>0.7016706443914081</v>
      </c>
      <c r="J1149" s="28">
        <v>0.0</v>
      </c>
      <c r="K1149" s="28" t="s">
        <v>57</v>
      </c>
      <c r="L1149" s="28" t="s">
        <v>57</v>
      </c>
    </row>
    <row r="1150" ht="15.75" customHeight="1">
      <c r="A1150" s="28" t="s">
        <v>131</v>
      </c>
      <c r="B1150" s="28" t="s">
        <v>1799</v>
      </c>
      <c r="D1150" s="28" t="s">
        <v>310</v>
      </c>
      <c r="E1150" s="28" t="s">
        <v>2060</v>
      </c>
      <c r="F1150" s="28" t="s">
        <v>260</v>
      </c>
      <c r="G1150" s="28" t="s">
        <v>392</v>
      </c>
      <c r="H1150" s="28">
        <v>1.0</v>
      </c>
      <c r="I1150" s="28">
        <v>0.23780487804878048</v>
      </c>
      <c r="J1150" s="28">
        <v>3.0</v>
      </c>
      <c r="K1150" s="28" t="s">
        <v>57</v>
      </c>
      <c r="L1150" s="28" t="s">
        <v>57</v>
      </c>
    </row>
    <row r="1151" ht="15.75" customHeight="1">
      <c r="A1151" s="28" t="s">
        <v>131</v>
      </c>
      <c r="B1151" s="28" t="s">
        <v>1799</v>
      </c>
      <c r="D1151" s="28" t="s">
        <v>310</v>
      </c>
      <c r="E1151" s="28" t="s">
        <v>2061</v>
      </c>
      <c r="F1151" s="28" t="s">
        <v>687</v>
      </c>
      <c r="G1151" s="28" t="s">
        <v>295</v>
      </c>
      <c r="H1151" s="28">
        <v>1.0</v>
      </c>
      <c r="I1151" s="28">
        <v>0.36683417085427134</v>
      </c>
      <c r="J1151" s="28">
        <v>0.0</v>
      </c>
      <c r="K1151" s="28" t="s">
        <v>57</v>
      </c>
      <c r="L1151" s="28" t="s">
        <v>57</v>
      </c>
    </row>
    <row r="1152" ht="15.75" customHeight="1">
      <c r="A1152" s="28" t="s">
        <v>131</v>
      </c>
      <c r="B1152" s="28" t="s">
        <v>1799</v>
      </c>
      <c r="D1152" s="28" t="s">
        <v>310</v>
      </c>
      <c r="E1152" s="28" t="s">
        <v>2062</v>
      </c>
      <c r="F1152" s="28" t="s">
        <v>687</v>
      </c>
      <c r="G1152" s="28" t="s">
        <v>364</v>
      </c>
      <c r="H1152" s="28">
        <v>1.0</v>
      </c>
      <c r="I1152" s="28">
        <v>0.38</v>
      </c>
      <c r="J1152" s="28">
        <v>1.0</v>
      </c>
      <c r="K1152" s="28" t="s">
        <v>57</v>
      </c>
      <c r="L1152" s="28" t="s">
        <v>57</v>
      </c>
    </row>
    <row r="1153" ht="15.75" customHeight="1">
      <c r="A1153" s="28" t="s">
        <v>131</v>
      </c>
      <c r="B1153" s="28" t="s">
        <v>1799</v>
      </c>
      <c r="D1153" s="28" t="s">
        <v>310</v>
      </c>
      <c r="E1153" s="28" t="s">
        <v>2063</v>
      </c>
      <c r="F1153" s="28" t="s">
        <v>1375</v>
      </c>
      <c r="G1153" s="28" t="s">
        <v>370</v>
      </c>
      <c r="H1153" s="28">
        <v>1.0</v>
      </c>
      <c r="I1153" s="28">
        <v>0.5285171102661597</v>
      </c>
      <c r="J1153" s="28">
        <v>2.0</v>
      </c>
      <c r="K1153" s="28" t="s">
        <v>57</v>
      </c>
      <c r="L1153" s="28" t="s">
        <v>57</v>
      </c>
    </row>
    <row r="1154" ht="15.75" customHeight="1">
      <c r="A1154" s="28" t="s">
        <v>131</v>
      </c>
      <c r="B1154" s="28" t="s">
        <v>1799</v>
      </c>
      <c r="D1154" s="28" t="s">
        <v>310</v>
      </c>
      <c r="E1154" s="28" t="s">
        <v>2064</v>
      </c>
      <c r="F1154" s="28" t="s">
        <v>396</v>
      </c>
      <c r="G1154" s="28" t="s">
        <v>398</v>
      </c>
      <c r="H1154" s="28">
        <v>1.0</v>
      </c>
      <c r="I1154" s="28">
        <v>0.5842293906810035</v>
      </c>
      <c r="J1154" s="28">
        <v>4.0</v>
      </c>
      <c r="K1154" s="28" t="s">
        <v>57</v>
      </c>
      <c r="L1154" s="28" t="s">
        <v>696</v>
      </c>
    </row>
    <row r="1155" ht="15.75" customHeight="1">
      <c r="A1155" s="28" t="s">
        <v>131</v>
      </c>
      <c r="B1155" s="28" t="s">
        <v>1799</v>
      </c>
      <c r="D1155" s="28" t="s">
        <v>295</v>
      </c>
      <c r="E1155" s="28" t="s">
        <v>2065</v>
      </c>
      <c r="F1155" s="28" t="s">
        <v>362</v>
      </c>
      <c r="G1155" s="28" t="s">
        <v>364</v>
      </c>
      <c r="H1155" s="28">
        <v>1.0</v>
      </c>
      <c r="I1155" s="28">
        <v>0.03</v>
      </c>
      <c r="J1155" s="28">
        <v>0.0</v>
      </c>
      <c r="K1155" s="28" t="s">
        <v>57</v>
      </c>
      <c r="L1155" s="28" t="s">
        <v>57</v>
      </c>
    </row>
    <row r="1156" ht="15.75" customHeight="1">
      <c r="A1156" s="28" t="s">
        <v>131</v>
      </c>
      <c r="B1156" s="28" t="s">
        <v>1799</v>
      </c>
      <c r="D1156" s="28" t="s">
        <v>295</v>
      </c>
      <c r="E1156" s="28" t="s">
        <v>2066</v>
      </c>
      <c r="F1156" s="28" t="s">
        <v>1648</v>
      </c>
      <c r="G1156" s="28" t="s">
        <v>392</v>
      </c>
      <c r="H1156" s="28">
        <v>1.0</v>
      </c>
      <c r="I1156" s="28">
        <v>0.19095477386934673</v>
      </c>
      <c r="J1156" s="28">
        <v>2.0</v>
      </c>
      <c r="K1156" s="28" t="s">
        <v>57</v>
      </c>
      <c r="L1156" s="28" t="s">
        <v>57</v>
      </c>
    </row>
    <row r="1157" ht="15.75" customHeight="1">
      <c r="A1157" s="28" t="s">
        <v>131</v>
      </c>
      <c r="B1157" s="28" t="s">
        <v>1799</v>
      </c>
      <c r="D1157" s="28" t="s">
        <v>295</v>
      </c>
      <c r="E1157" s="28" t="s">
        <v>2067</v>
      </c>
      <c r="F1157" s="28" t="s">
        <v>1650</v>
      </c>
      <c r="G1157" s="28" t="s">
        <v>370</v>
      </c>
      <c r="H1157" s="28">
        <v>1.0</v>
      </c>
      <c r="I1157" s="28">
        <v>0.25475285171102663</v>
      </c>
      <c r="J1157" s="28">
        <v>1.0</v>
      </c>
      <c r="K1157" s="28" t="s">
        <v>57</v>
      </c>
      <c r="L1157" s="28" t="s">
        <v>57</v>
      </c>
    </row>
    <row r="1158" ht="15.75" customHeight="1">
      <c r="A1158" s="28" t="s">
        <v>131</v>
      </c>
      <c r="B1158" s="28" t="s">
        <v>1799</v>
      </c>
      <c r="D1158" s="28" t="s">
        <v>295</v>
      </c>
      <c r="E1158" s="28" t="s">
        <v>2068</v>
      </c>
      <c r="F1158" s="28" t="s">
        <v>1652</v>
      </c>
      <c r="G1158" s="28" t="s">
        <v>398</v>
      </c>
      <c r="H1158" s="28">
        <v>1.0</v>
      </c>
      <c r="I1158" s="28">
        <v>0.44802867383512546</v>
      </c>
      <c r="J1158" s="28">
        <v>3.0</v>
      </c>
      <c r="K1158" s="28" t="s">
        <v>57</v>
      </c>
      <c r="L1158" s="28" t="s">
        <v>696</v>
      </c>
    </row>
    <row r="1159" ht="15.75" customHeight="1">
      <c r="A1159" s="28" t="s">
        <v>131</v>
      </c>
      <c r="B1159" s="28" t="s">
        <v>1799</v>
      </c>
      <c r="D1159" s="28" t="s">
        <v>364</v>
      </c>
      <c r="E1159" s="28" t="s">
        <v>2069</v>
      </c>
      <c r="F1159" s="28" t="s">
        <v>1648</v>
      </c>
      <c r="G1159" s="28" t="s">
        <v>392</v>
      </c>
      <c r="H1159" s="28">
        <v>1.0</v>
      </c>
      <c r="I1159" s="28">
        <v>0.195</v>
      </c>
      <c r="J1159" s="28">
        <v>1.0</v>
      </c>
      <c r="K1159" s="28" t="s">
        <v>57</v>
      </c>
      <c r="L1159" s="28" t="s">
        <v>57</v>
      </c>
    </row>
    <row r="1160" ht="15.75" customHeight="1">
      <c r="A1160" s="28" t="s">
        <v>131</v>
      </c>
      <c r="B1160" s="28" t="s">
        <v>1799</v>
      </c>
      <c r="D1160" s="28" t="s">
        <v>364</v>
      </c>
      <c r="E1160" s="28" t="s">
        <v>2070</v>
      </c>
      <c r="F1160" s="28" t="s">
        <v>1650</v>
      </c>
      <c r="G1160" s="28" t="s">
        <v>370</v>
      </c>
      <c r="H1160" s="28">
        <v>1.0</v>
      </c>
      <c r="I1160" s="28">
        <v>0.2509505703422053</v>
      </c>
      <c r="J1160" s="28">
        <v>0.0</v>
      </c>
      <c r="K1160" s="28" t="s">
        <v>57</v>
      </c>
      <c r="L1160" s="28" t="s">
        <v>57</v>
      </c>
    </row>
    <row r="1161" ht="15.75" customHeight="1">
      <c r="A1161" s="28" t="s">
        <v>131</v>
      </c>
      <c r="B1161" s="28" t="s">
        <v>1799</v>
      </c>
      <c r="D1161" s="28" t="s">
        <v>364</v>
      </c>
      <c r="E1161" s="28" t="s">
        <v>2071</v>
      </c>
      <c r="F1161" s="28" t="s">
        <v>1652</v>
      </c>
      <c r="G1161" s="28" t="s">
        <v>398</v>
      </c>
      <c r="H1161" s="28">
        <v>1.0</v>
      </c>
      <c r="I1161" s="28">
        <v>0.4336917562724014</v>
      </c>
      <c r="J1161" s="28">
        <v>2.0</v>
      </c>
      <c r="K1161" s="28" t="s">
        <v>57</v>
      </c>
      <c r="L1161" s="28" t="s">
        <v>696</v>
      </c>
    </row>
    <row r="1162" ht="15.75" customHeight="1">
      <c r="A1162" s="28" t="s">
        <v>131</v>
      </c>
      <c r="B1162" s="28" t="s">
        <v>1799</v>
      </c>
      <c r="D1162" s="28" t="s">
        <v>370</v>
      </c>
      <c r="E1162" s="28" t="s">
        <v>2072</v>
      </c>
      <c r="F1162" s="28" t="s">
        <v>1657</v>
      </c>
      <c r="G1162" s="28" t="s">
        <v>392</v>
      </c>
      <c r="H1162" s="28">
        <v>1.0</v>
      </c>
      <c r="I1162" s="28">
        <v>0.3916349809885932</v>
      </c>
      <c r="J1162" s="28">
        <v>0.0</v>
      </c>
      <c r="K1162" s="28" t="s">
        <v>57</v>
      </c>
      <c r="L1162" s="28" t="s">
        <v>57</v>
      </c>
    </row>
    <row r="1163" ht="15.75" customHeight="1">
      <c r="A1163" s="28" t="s">
        <v>131</v>
      </c>
      <c r="B1163" s="28" t="s">
        <v>1799</v>
      </c>
      <c r="D1163" s="28" t="s">
        <v>370</v>
      </c>
      <c r="E1163" s="28" t="s">
        <v>2073</v>
      </c>
      <c r="F1163" s="28" t="s">
        <v>1659</v>
      </c>
      <c r="G1163" s="28" t="s">
        <v>398</v>
      </c>
      <c r="H1163" s="28">
        <v>1.0</v>
      </c>
      <c r="I1163" s="28">
        <v>0.46236559139784944</v>
      </c>
      <c r="J1163" s="28">
        <v>1.0</v>
      </c>
      <c r="K1163" s="28" t="s">
        <v>57</v>
      </c>
      <c r="L1163" s="28" t="s">
        <v>696</v>
      </c>
    </row>
    <row r="1164" ht="15.75" customHeight="1">
      <c r="A1164" s="28" t="s">
        <v>131</v>
      </c>
      <c r="B1164" s="28" t="s">
        <v>1799</v>
      </c>
      <c r="D1164" s="28" t="s">
        <v>392</v>
      </c>
      <c r="E1164" s="28" t="s">
        <v>2074</v>
      </c>
      <c r="F1164" s="28" t="s">
        <v>987</v>
      </c>
      <c r="G1164" s="28" t="s">
        <v>398</v>
      </c>
      <c r="H1164" s="28">
        <v>1.0</v>
      </c>
      <c r="I1164" s="28">
        <v>0.4731182795698925</v>
      </c>
      <c r="J1164" s="28">
        <v>0.0</v>
      </c>
      <c r="K1164" s="28" t="s">
        <v>57</v>
      </c>
      <c r="L1164" s="28" t="s">
        <v>696</v>
      </c>
    </row>
    <row r="1165" ht="15.75" customHeight="1">
      <c r="A1165" s="28" t="s">
        <v>576</v>
      </c>
      <c r="B1165" s="28" t="s">
        <v>2075</v>
      </c>
      <c r="D1165" s="28" t="s">
        <v>578</v>
      </c>
      <c r="E1165" s="28" t="s">
        <v>2076</v>
      </c>
      <c r="F1165" s="28" t="s">
        <v>580</v>
      </c>
      <c r="G1165" s="28" t="s">
        <v>581</v>
      </c>
      <c r="H1165" s="28">
        <v>1.0</v>
      </c>
      <c r="I1165" s="28">
        <v>0.4915254237288136</v>
      </c>
      <c r="J1165" s="28">
        <v>0.0</v>
      </c>
      <c r="K1165" s="28" t="s">
        <v>57</v>
      </c>
      <c r="L1165" s="28" t="s">
        <v>57</v>
      </c>
    </row>
    <row r="1166" ht="15.75" customHeight="1">
      <c r="A1166" s="28" t="s">
        <v>576</v>
      </c>
      <c r="B1166" s="28" t="s">
        <v>2075</v>
      </c>
      <c r="D1166" s="28" t="s">
        <v>583</v>
      </c>
      <c r="E1166" s="28" t="s">
        <v>2077</v>
      </c>
      <c r="F1166" s="28" t="s">
        <v>2078</v>
      </c>
      <c r="G1166" s="28" t="s">
        <v>586</v>
      </c>
      <c r="H1166" s="28">
        <v>1.0</v>
      </c>
      <c r="I1166" s="28">
        <v>0.008968609865470852</v>
      </c>
      <c r="J1166" s="28">
        <v>0.0</v>
      </c>
      <c r="K1166" s="28" t="s">
        <v>57</v>
      </c>
      <c r="L1166" s="28" t="s">
        <v>57</v>
      </c>
    </row>
    <row r="1167" ht="15.75" customHeight="1">
      <c r="A1167" s="28" t="s">
        <v>576</v>
      </c>
      <c r="B1167" s="28" t="s">
        <v>2075</v>
      </c>
      <c r="D1167" s="28" t="s">
        <v>587</v>
      </c>
      <c r="E1167" s="28" t="s">
        <v>2079</v>
      </c>
      <c r="F1167" s="28" t="s">
        <v>2080</v>
      </c>
      <c r="G1167" s="28" t="s">
        <v>590</v>
      </c>
      <c r="H1167" s="28">
        <v>1.0</v>
      </c>
      <c r="I1167" s="28">
        <v>0.010830324909747292</v>
      </c>
      <c r="J1167" s="28">
        <v>0.0</v>
      </c>
      <c r="K1167" s="28" t="s">
        <v>57</v>
      </c>
      <c r="L1167" s="28" t="s">
        <v>57</v>
      </c>
    </row>
    <row r="1168" ht="15.75" customHeight="1">
      <c r="A1168" s="28" t="s">
        <v>576</v>
      </c>
      <c r="B1168" s="28" t="s">
        <v>2075</v>
      </c>
      <c r="D1168" s="28" t="s">
        <v>587</v>
      </c>
      <c r="E1168" s="28" t="s">
        <v>2081</v>
      </c>
      <c r="F1168" s="28" t="s">
        <v>2080</v>
      </c>
      <c r="G1168" s="28" t="s">
        <v>592</v>
      </c>
      <c r="H1168" s="28">
        <v>1.0</v>
      </c>
      <c r="I1168" s="28">
        <v>0.014388489208633094</v>
      </c>
      <c r="J1168" s="28">
        <v>1.0</v>
      </c>
      <c r="K1168" s="28" t="s">
        <v>57</v>
      </c>
      <c r="L1168" s="28" t="s">
        <v>57</v>
      </c>
    </row>
    <row r="1169" ht="15.75" customHeight="1">
      <c r="A1169" s="28" t="s">
        <v>576</v>
      </c>
      <c r="B1169" s="28" t="s">
        <v>2075</v>
      </c>
      <c r="D1169" s="28" t="s">
        <v>590</v>
      </c>
      <c r="E1169" s="28" t="s">
        <v>2082</v>
      </c>
      <c r="F1169" s="28" t="s">
        <v>2080</v>
      </c>
      <c r="G1169" s="28" t="s">
        <v>592</v>
      </c>
      <c r="H1169" s="28">
        <v>1.0</v>
      </c>
      <c r="I1169" s="28">
        <v>0.007194244604316547</v>
      </c>
      <c r="J1169" s="28">
        <v>0.0</v>
      </c>
      <c r="K1169" s="28" t="s">
        <v>57</v>
      </c>
      <c r="L1169" s="28" t="s">
        <v>57</v>
      </c>
    </row>
    <row r="1170" ht="15.75" customHeight="1">
      <c r="A1170" s="28" t="s">
        <v>45</v>
      </c>
      <c r="B1170" s="28" t="s">
        <v>2083</v>
      </c>
      <c r="D1170" s="28" t="s">
        <v>176</v>
      </c>
      <c r="E1170" s="28" t="s">
        <v>1181</v>
      </c>
      <c r="F1170" s="28" t="s">
        <v>1182</v>
      </c>
      <c r="G1170" s="28" t="s">
        <v>1183</v>
      </c>
      <c r="H1170" s="28">
        <v>1.0</v>
      </c>
      <c r="I1170" s="28">
        <v>0.14473684210526316</v>
      </c>
      <c r="J1170" s="28">
        <v>19.0</v>
      </c>
      <c r="K1170" s="28" t="s">
        <v>57</v>
      </c>
      <c r="L1170" s="28" t="s">
        <v>57</v>
      </c>
    </row>
    <row r="1171" ht="15.75" customHeight="1">
      <c r="A1171" s="28" t="s">
        <v>45</v>
      </c>
      <c r="B1171" s="28" t="s">
        <v>2083</v>
      </c>
      <c r="D1171" s="28" t="s">
        <v>176</v>
      </c>
      <c r="E1171" s="28" t="s">
        <v>1184</v>
      </c>
      <c r="F1171" s="28" t="s">
        <v>1182</v>
      </c>
      <c r="G1171" s="28" t="s">
        <v>1185</v>
      </c>
      <c r="H1171" s="28">
        <v>1.0</v>
      </c>
      <c r="I1171" s="28">
        <v>0.175</v>
      </c>
      <c r="J1171" s="28">
        <v>3.0</v>
      </c>
      <c r="K1171" s="28" t="s">
        <v>57</v>
      </c>
      <c r="L1171" s="28" t="s">
        <v>57</v>
      </c>
    </row>
    <row r="1172" ht="15.75" customHeight="1">
      <c r="A1172" s="28" t="s">
        <v>45</v>
      </c>
      <c r="B1172" s="28" t="s">
        <v>2083</v>
      </c>
      <c r="D1172" s="28" t="s">
        <v>176</v>
      </c>
      <c r="E1172" s="28" t="s">
        <v>1186</v>
      </c>
      <c r="F1172" s="28" t="s">
        <v>1187</v>
      </c>
      <c r="G1172" s="28" t="s">
        <v>205</v>
      </c>
      <c r="H1172" s="28">
        <v>1.0</v>
      </c>
      <c r="I1172" s="28">
        <v>0.4298245614035088</v>
      </c>
      <c r="J1172" s="28">
        <v>5.0</v>
      </c>
      <c r="K1172" s="28" t="s">
        <v>57</v>
      </c>
      <c r="L1172" s="28" t="s">
        <v>1188</v>
      </c>
    </row>
    <row r="1173" ht="15.75" customHeight="1">
      <c r="A1173" s="28" t="s">
        <v>45</v>
      </c>
      <c r="B1173" s="28" t="s">
        <v>2083</v>
      </c>
      <c r="D1173" s="28" t="s">
        <v>176</v>
      </c>
      <c r="E1173" s="28" t="s">
        <v>1189</v>
      </c>
      <c r="F1173" s="28" t="s">
        <v>1187</v>
      </c>
      <c r="G1173" s="28" t="s">
        <v>117</v>
      </c>
      <c r="H1173" s="28">
        <v>1.0</v>
      </c>
      <c r="I1173" s="28">
        <v>0.43902439024390244</v>
      </c>
      <c r="J1173" s="28">
        <v>0.0</v>
      </c>
      <c r="K1173" s="28" t="s">
        <v>57</v>
      </c>
      <c r="L1173" s="28" t="s">
        <v>1188</v>
      </c>
    </row>
    <row r="1174" ht="15.75" customHeight="1">
      <c r="A1174" s="28" t="s">
        <v>45</v>
      </c>
      <c r="B1174" s="28" t="s">
        <v>2083</v>
      </c>
      <c r="D1174" s="28" t="s">
        <v>176</v>
      </c>
      <c r="E1174" s="28" t="s">
        <v>1190</v>
      </c>
      <c r="F1174" s="28" t="s">
        <v>1187</v>
      </c>
      <c r="G1174" s="28" t="s">
        <v>234</v>
      </c>
      <c r="H1174" s="28">
        <v>1.0</v>
      </c>
      <c r="I1174" s="28">
        <v>0.4608695652173913</v>
      </c>
      <c r="J1174" s="28">
        <v>6.0</v>
      </c>
      <c r="K1174" s="28" t="s">
        <v>57</v>
      </c>
      <c r="L1174" s="28" t="s">
        <v>1188</v>
      </c>
    </row>
    <row r="1175" ht="15.75" customHeight="1">
      <c r="A1175" s="28" t="s">
        <v>45</v>
      </c>
      <c r="B1175" s="28" t="s">
        <v>2083</v>
      </c>
      <c r="D1175" s="28" t="s">
        <v>176</v>
      </c>
      <c r="E1175" s="28" t="s">
        <v>1191</v>
      </c>
      <c r="F1175" s="28" t="s">
        <v>1192</v>
      </c>
      <c r="G1175" s="28" t="s">
        <v>167</v>
      </c>
      <c r="H1175" s="28">
        <v>1.0</v>
      </c>
      <c r="I1175" s="28">
        <v>0.564935064935065</v>
      </c>
      <c r="J1175" s="28">
        <v>8.0</v>
      </c>
      <c r="K1175" s="28" t="s">
        <v>57</v>
      </c>
      <c r="L1175" s="28" t="s">
        <v>1188</v>
      </c>
    </row>
    <row r="1176" ht="15.75" customHeight="1">
      <c r="A1176" s="28" t="s">
        <v>45</v>
      </c>
      <c r="B1176" s="28" t="s">
        <v>2083</v>
      </c>
      <c r="D1176" s="28" t="s">
        <v>176</v>
      </c>
      <c r="E1176" s="28" t="s">
        <v>1193</v>
      </c>
      <c r="F1176" s="28" t="s">
        <v>1192</v>
      </c>
      <c r="G1176" s="28" t="s">
        <v>173</v>
      </c>
      <c r="H1176" s="28">
        <v>1.0</v>
      </c>
      <c r="I1176" s="28">
        <v>0.591715976331361</v>
      </c>
      <c r="J1176" s="28">
        <v>12.0</v>
      </c>
      <c r="K1176" s="28" t="s">
        <v>57</v>
      </c>
      <c r="L1176" s="28" t="s">
        <v>1188</v>
      </c>
    </row>
    <row r="1177" ht="15.75" customHeight="1">
      <c r="A1177" s="28" t="s">
        <v>45</v>
      </c>
      <c r="B1177" s="28" t="s">
        <v>2083</v>
      </c>
      <c r="D1177" s="28" t="s">
        <v>176</v>
      </c>
      <c r="E1177" s="28" t="s">
        <v>1194</v>
      </c>
      <c r="F1177" s="28" t="s">
        <v>1195</v>
      </c>
      <c r="G1177" s="28" t="s">
        <v>1196</v>
      </c>
      <c r="H1177" s="28">
        <v>1.0</v>
      </c>
      <c r="I1177" s="28">
        <v>0.6329787234042553</v>
      </c>
      <c r="J1177" s="28">
        <v>2.0</v>
      </c>
      <c r="K1177" s="28" t="s">
        <v>57</v>
      </c>
      <c r="L1177" s="28" t="s">
        <v>1188</v>
      </c>
    </row>
    <row r="1178" ht="15.75" customHeight="1">
      <c r="A1178" s="28" t="s">
        <v>45</v>
      </c>
      <c r="B1178" s="28" t="s">
        <v>2083</v>
      </c>
      <c r="D1178" s="28" t="s">
        <v>176</v>
      </c>
      <c r="E1178" s="28" t="s">
        <v>1197</v>
      </c>
      <c r="F1178" s="28" t="s">
        <v>1198</v>
      </c>
      <c r="G1178" s="28" t="s">
        <v>79</v>
      </c>
      <c r="H1178" s="28">
        <v>1.0</v>
      </c>
      <c r="I1178" s="28">
        <v>0.7013574660633484</v>
      </c>
      <c r="J1178" s="28">
        <v>15.0</v>
      </c>
      <c r="K1178" s="28" t="s">
        <v>57</v>
      </c>
      <c r="L1178" s="28" t="s">
        <v>1188</v>
      </c>
    </row>
    <row r="1179" ht="15.75" customHeight="1">
      <c r="A1179" s="28" t="s">
        <v>45</v>
      </c>
      <c r="B1179" s="28" t="s">
        <v>2083</v>
      </c>
      <c r="D1179" s="28" t="s">
        <v>176</v>
      </c>
      <c r="E1179" s="28" t="s">
        <v>1199</v>
      </c>
      <c r="F1179" s="28" t="s">
        <v>1182</v>
      </c>
      <c r="G1179" s="28" t="s">
        <v>1200</v>
      </c>
      <c r="H1179" s="28">
        <v>1.0</v>
      </c>
      <c r="I1179" s="28">
        <v>0.7033492822966507</v>
      </c>
      <c r="J1179" s="28">
        <v>16.0</v>
      </c>
      <c r="K1179" s="28" t="s">
        <v>57</v>
      </c>
      <c r="L1179" s="28" t="s">
        <v>57</v>
      </c>
    </row>
    <row r="1180" ht="15.75" customHeight="1">
      <c r="A1180" s="28" t="s">
        <v>45</v>
      </c>
      <c r="B1180" s="28" t="s">
        <v>2083</v>
      </c>
      <c r="D1180" s="28" t="s">
        <v>176</v>
      </c>
      <c r="E1180" s="28" t="s">
        <v>1201</v>
      </c>
      <c r="F1180" s="28" t="s">
        <v>1202</v>
      </c>
      <c r="G1180" s="28" t="s">
        <v>1203</v>
      </c>
      <c r="H1180" s="28">
        <v>1.0</v>
      </c>
      <c r="I1180" s="28">
        <v>0.775974025974026</v>
      </c>
      <c r="J1180" s="28">
        <v>4.0</v>
      </c>
      <c r="K1180" s="28" t="s">
        <v>57</v>
      </c>
      <c r="L1180" s="28" t="s">
        <v>1188</v>
      </c>
    </row>
    <row r="1181" ht="15.75" customHeight="1">
      <c r="A1181" s="28" t="s">
        <v>45</v>
      </c>
      <c r="B1181" s="28" t="s">
        <v>2083</v>
      </c>
      <c r="D1181" s="28" t="s">
        <v>176</v>
      </c>
      <c r="E1181" s="28" t="s">
        <v>1204</v>
      </c>
      <c r="F1181" s="28" t="s">
        <v>1205</v>
      </c>
      <c r="G1181" s="28" t="s">
        <v>48</v>
      </c>
      <c r="H1181" s="28">
        <v>1.0</v>
      </c>
      <c r="I1181" s="28">
        <v>0.7927927927927928</v>
      </c>
      <c r="J1181" s="28">
        <v>1.0</v>
      </c>
      <c r="K1181" s="28" t="s">
        <v>57</v>
      </c>
      <c r="L1181" s="28" t="s">
        <v>1188</v>
      </c>
    </row>
    <row r="1182" ht="15.75" customHeight="1">
      <c r="A1182" s="28" t="s">
        <v>45</v>
      </c>
      <c r="B1182" s="28" t="s">
        <v>2083</v>
      </c>
      <c r="D1182" s="28" t="s">
        <v>176</v>
      </c>
      <c r="E1182" s="28" t="s">
        <v>1206</v>
      </c>
      <c r="F1182" s="28" t="s">
        <v>1207</v>
      </c>
      <c r="G1182" s="28" t="s">
        <v>73</v>
      </c>
      <c r="H1182" s="28">
        <v>1.0</v>
      </c>
      <c r="I1182" s="28">
        <v>0.8150134048257373</v>
      </c>
      <c r="J1182" s="28">
        <v>9.0</v>
      </c>
      <c r="K1182" s="28" t="s">
        <v>57</v>
      </c>
      <c r="L1182" s="28" t="s">
        <v>1188</v>
      </c>
    </row>
    <row r="1183" ht="15.75" customHeight="1">
      <c r="A1183" s="28" t="s">
        <v>45</v>
      </c>
      <c r="B1183" s="28" t="s">
        <v>2083</v>
      </c>
      <c r="D1183" s="28" t="s">
        <v>176</v>
      </c>
      <c r="E1183" s="28" t="s">
        <v>1208</v>
      </c>
      <c r="F1183" s="28" t="s">
        <v>1209</v>
      </c>
      <c r="G1183" s="28" t="s">
        <v>54</v>
      </c>
      <c r="H1183" s="28">
        <v>1.0</v>
      </c>
      <c r="I1183" s="28">
        <v>0.969306049822064</v>
      </c>
      <c r="J1183" s="28">
        <v>13.0</v>
      </c>
      <c r="K1183" s="28" t="s">
        <v>57</v>
      </c>
      <c r="L1183" s="28" t="s">
        <v>1188</v>
      </c>
    </row>
    <row r="1184" ht="15.75" customHeight="1">
      <c r="A1184" s="28" t="s">
        <v>45</v>
      </c>
      <c r="B1184" s="28" t="s">
        <v>2083</v>
      </c>
      <c r="D1184" s="28" t="s">
        <v>117</v>
      </c>
      <c r="E1184" s="28" t="s">
        <v>1210</v>
      </c>
      <c r="F1184" s="28" t="s">
        <v>203</v>
      </c>
      <c r="G1184" s="28" t="s">
        <v>205</v>
      </c>
      <c r="H1184" s="28">
        <v>1.0</v>
      </c>
      <c r="I1184" s="28">
        <v>0.21951219512195122</v>
      </c>
      <c r="J1184" s="28">
        <v>4.0</v>
      </c>
      <c r="K1184" s="28" t="s">
        <v>57</v>
      </c>
      <c r="L1184" s="28" t="s">
        <v>57</v>
      </c>
    </row>
    <row r="1185" ht="15.75" customHeight="1">
      <c r="A1185" s="28" t="s">
        <v>45</v>
      </c>
      <c r="B1185" s="28" t="s">
        <v>2083</v>
      </c>
      <c r="D1185" s="28" t="s">
        <v>117</v>
      </c>
      <c r="E1185" s="28" t="s">
        <v>1211</v>
      </c>
      <c r="F1185" s="28" t="s">
        <v>203</v>
      </c>
      <c r="G1185" s="28" t="s">
        <v>234</v>
      </c>
      <c r="H1185" s="28">
        <v>1.0</v>
      </c>
      <c r="I1185" s="28">
        <v>0.25203252032520324</v>
      </c>
      <c r="J1185" s="28">
        <v>5.0</v>
      </c>
      <c r="K1185" s="28" t="s">
        <v>57</v>
      </c>
      <c r="L1185" s="28" t="s">
        <v>57</v>
      </c>
    </row>
    <row r="1186" ht="15.75" customHeight="1">
      <c r="A1186" s="28" t="s">
        <v>45</v>
      </c>
      <c r="B1186" s="28" t="s">
        <v>2083</v>
      </c>
      <c r="D1186" s="28" t="s">
        <v>117</v>
      </c>
      <c r="E1186" s="28" t="s">
        <v>1212</v>
      </c>
      <c r="F1186" s="28" t="s">
        <v>1213</v>
      </c>
      <c r="G1186" s="28" t="s">
        <v>167</v>
      </c>
      <c r="H1186" s="28">
        <v>1.0</v>
      </c>
      <c r="I1186" s="28">
        <v>0.3051948051948052</v>
      </c>
      <c r="J1186" s="28">
        <v>7.0</v>
      </c>
      <c r="K1186" s="28" t="s">
        <v>57</v>
      </c>
      <c r="L1186" s="28" t="s">
        <v>57</v>
      </c>
    </row>
    <row r="1187" ht="15.75" customHeight="1">
      <c r="A1187" s="28" t="s">
        <v>45</v>
      </c>
      <c r="B1187" s="28" t="s">
        <v>2083</v>
      </c>
      <c r="D1187" s="28" t="s">
        <v>117</v>
      </c>
      <c r="E1187" s="28" t="s">
        <v>1214</v>
      </c>
      <c r="F1187" s="28" t="s">
        <v>1213</v>
      </c>
      <c r="G1187" s="28" t="s">
        <v>173</v>
      </c>
      <c r="H1187" s="28">
        <v>1.0</v>
      </c>
      <c r="I1187" s="28">
        <v>0.3727810650887574</v>
      </c>
      <c r="J1187" s="28">
        <v>11.0</v>
      </c>
      <c r="K1187" s="28" t="s">
        <v>57</v>
      </c>
      <c r="L1187" s="28" t="s">
        <v>57</v>
      </c>
    </row>
    <row r="1188" ht="15.75" customHeight="1">
      <c r="A1188" s="28" t="s">
        <v>45</v>
      </c>
      <c r="B1188" s="28" t="s">
        <v>2083</v>
      </c>
      <c r="D1188" s="28" t="s">
        <v>117</v>
      </c>
      <c r="E1188" s="28" t="s">
        <v>1215</v>
      </c>
      <c r="F1188" s="28" t="s">
        <v>1216</v>
      </c>
      <c r="G1188" s="28" t="s">
        <v>1185</v>
      </c>
      <c r="H1188" s="28">
        <v>1.0</v>
      </c>
      <c r="I1188" s="28">
        <v>0.3983739837398374</v>
      </c>
      <c r="J1188" s="28">
        <v>2.0</v>
      </c>
      <c r="K1188" s="28" t="s">
        <v>57</v>
      </c>
      <c r="L1188" s="28" t="s">
        <v>1188</v>
      </c>
    </row>
    <row r="1189" ht="15.75" customHeight="1">
      <c r="A1189" s="28" t="s">
        <v>45</v>
      </c>
      <c r="B1189" s="28" t="s">
        <v>2083</v>
      </c>
      <c r="D1189" s="28" t="s">
        <v>117</v>
      </c>
      <c r="E1189" s="28" t="s">
        <v>1217</v>
      </c>
      <c r="F1189" s="28" t="s">
        <v>1218</v>
      </c>
      <c r="G1189" s="28" t="s">
        <v>1196</v>
      </c>
      <c r="H1189" s="28">
        <v>1.0</v>
      </c>
      <c r="I1189" s="28">
        <v>0.425531914893617</v>
      </c>
      <c r="J1189" s="28">
        <v>1.0</v>
      </c>
      <c r="K1189" s="28" t="s">
        <v>57</v>
      </c>
      <c r="L1189" s="28" t="s">
        <v>57</v>
      </c>
    </row>
    <row r="1190" ht="15.75" customHeight="1">
      <c r="A1190" s="28" t="s">
        <v>45</v>
      </c>
      <c r="B1190" s="28" t="s">
        <v>2083</v>
      </c>
      <c r="D1190" s="28" t="s">
        <v>117</v>
      </c>
      <c r="E1190" s="28" t="s">
        <v>1219</v>
      </c>
      <c r="F1190" s="28" t="s">
        <v>1216</v>
      </c>
      <c r="G1190" s="28" t="s">
        <v>1183</v>
      </c>
      <c r="H1190" s="28">
        <v>1.0</v>
      </c>
      <c r="I1190" s="28">
        <v>0.43089430894308944</v>
      </c>
      <c r="J1190" s="28">
        <v>18.0</v>
      </c>
      <c r="K1190" s="28" t="s">
        <v>57</v>
      </c>
      <c r="L1190" s="28" t="s">
        <v>1188</v>
      </c>
    </row>
    <row r="1191" ht="15.75" customHeight="1">
      <c r="A1191" s="28" t="s">
        <v>45</v>
      </c>
      <c r="B1191" s="28" t="s">
        <v>2083</v>
      </c>
      <c r="D1191" s="28" t="s">
        <v>117</v>
      </c>
      <c r="E1191" s="28" t="s">
        <v>1220</v>
      </c>
      <c r="F1191" s="28" t="s">
        <v>1221</v>
      </c>
      <c r="G1191" s="28" t="s">
        <v>79</v>
      </c>
      <c r="H1191" s="28">
        <v>1.0</v>
      </c>
      <c r="I1191" s="28">
        <v>0.5158371040723982</v>
      </c>
      <c r="J1191" s="28">
        <v>14.0</v>
      </c>
      <c r="K1191" s="28" t="s">
        <v>57</v>
      </c>
      <c r="L1191" s="28" t="s">
        <v>57</v>
      </c>
    </row>
    <row r="1192" ht="15.75" customHeight="1">
      <c r="A1192" s="28" t="s">
        <v>45</v>
      </c>
      <c r="B1192" s="28" t="s">
        <v>2083</v>
      </c>
      <c r="D1192" s="28" t="s">
        <v>117</v>
      </c>
      <c r="E1192" s="28" t="s">
        <v>1222</v>
      </c>
      <c r="F1192" s="28" t="s">
        <v>1223</v>
      </c>
      <c r="G1192" s="28" t="s">
        <v>1203</v>
      </c>
      <c r="H1192" s="28">
        <v>1.0</v>
      </c>
      <c r="I1192" s="28">
        <v>0.6266233766233766</v>
      </c>
      <c r="J1192" s="28">
        <v>3.0</v>
      </c>
      <c r="K1192" s="28" t="s">
        <v>57</v>
      </c>
      <c r="L1192" s="28" t="s">
        <v>57</v>
      </c>
    </row>
    <row r="1193" ht="15.75" customHeight="1">
      <c r="A1193" s="28" t="s">
        <v>45</v>
      </c>
      <c r="B1193" s="28" t="s">
        <v>2083</v>
      </c>
      <c r="D1193" s="28" t="s">
        <v>117</v>
      </c>
      <c r="E1193" s="28" t="s">
        <v>1224</v>
      </c>
      <c r="F1193" s="28" t="s">
        <v>1225</v>
      </c>
      <c r="G1193" s="28" t="s">
        <v>48</v>
      </c>
      <c r="H1193" s="28">
        <v>1.0</v>
      </c>
      <c r="I1193" s="28">
        <v>0.6606606606606606</v>
      </c>
      <c r="J1193" s="28">
        <v>0.0</v>
      </c>
      <c r="K1193" s="28" t="s">
        <v>57</v>
      </c>
      <c r="L1193" s="28" t="s">
        <v>57</v>
      </c>
    </row>
    <row r="1194" ht="15.75" customHeight="1">
      <c r="A1194" s="28" t="s">
        <v>45</v>
      </c>
      <c r="B1194" s="28" t="s">
        <v>2083</v>
      </c>
      <c r="D1194" s="28" t="s">
        <v>117</v>
      </c>
      <c r="E1194" s="28" t="s">
        <v>1226</v>
      </c>
      <c r="F1194" s="28" t="s">
        <v>1227</v>
      </c>
      <c r="G1194" s="28" t="s">
        <v>73</v>
      </c>
      <c r="H1194" s="28">
        <v>1.0</v>
      </c>
      <c r="I1194" s="28">
        <v>0.6863270777479893</v>
      </c>
      <c r="J1194" s="28">
        <v>8.0</v>
      </c>
      <c r="K1194" s="28" t="s">
        <v>57</v>
      </c>
      <c r="L1194" s="28" t="s">
        <v>57</v>
      </c>
    </row>
    <row r="1195" ht="15.75" customHeight="1">
      <c r="A1195" s="28" t="s">
        <v>45</v>
      </c>
      <c r="B1195" s="28" t="s">
        <v>2083</v>
      </c>
      <c r="D1195" s="28" t="s">
        <v>117</v>
      </c>
      <c r="E1195" s="28" t="s">
        <v>1228</v>
      </c>
      <c r="F1195" s="28" t="s">
        <v>1216</v>
      </c>
      <c r="G1195" s="28" t="s">
        <v>1200</v>
      </c>
      <c r="H1195" s="28">
        <v>1.0</v>
      </c>
      <c r="I1195" s="28">
        <v>0.722488038277512</v>
      </c>
      <c r="J1195" s="28">
        <v>15.0</v>
      </c>
      <c r="K1195" s="28" t="s">
        <v>57</v>
      </c>
      <c r="L1195" s="28" t="s">
        <v>1188</v>
      </c>
    </row>
    <row r="1196" ht="15.75" customHeight="1">
      <c r="A1196" s="28" t="s">
        <v>45</v>
      </c>
      <c r="B1196" s="28" t="s">
        <v>2083</v>
      </c>
      <c r="D1196" s="28" t="s">
        <v>117</v>
      </c>
      <c r="E1196" s="28" t="s">
        <v>1229</v>
      </c>
      <c r="F1196" s="28" t="s">
        <v>1230</v>
      </c>
      <c r="G1196" s="28" t="s">
        <v>54</v>
      </c>
      <c r="H1196" s="28">
        <v>1.0</v>
      </c>
      <c r="I1196" s="28">
        <v>0.9483985765124555</v>
      </c>
      <c r="J1196" s="28">
        <v>12.0</v>
      </c>
      <c r="K1196" s="28" t="s">
        <v>57</v>
      </c>
      <c r="L1196" s="28" t="s">
        <v>57</v>
      </c>
    </row>
    <row r="1197" ht="15.75" customHeight="1">
      <c r="A1197" s="28" t="s">
        <v>45</v>
      </c>
      <c r="B1197" s="28" t="s">
        <v>2083</v>
      </c>
      <c r="D1197" s="28" t="s">
        <v>48</v>
      </c>
      <c r="E1197" s="28" t="s">
        <v>1231</v>
      </c>
      <c r="F1197" s="28" t="s">
        <v>1232</v>
      </c>
      <c r="G1197" s="28" t="s">
        <v>73</v>
      </c>
      <c r="H1197" s="28">
        <v>1.0</v>
      </c>
      <c r="I1197" s="28">
        <v>0.16353887399463807</v>
      </c>
      <c r="J1197" s="28">
        <v>7.0</v>
      </c>
      <c r="K1197" s="28" t="s">
        <v>57</v>
      </c>
      <c r="L1197" s="28" t="s">
        <v>57</v>
      </c>
    </row>
    <row r="1198" ht="15.75" customHeight="1">
      <c r="A1198" s="28" t="s">
        <v>45</v>
      </c>
      <c r="B1198" s="28" t="s">
        <v>2083</v>
      </c>
      <c r="D1198" s="28" t="s">
        <v>48</v>
      </c>
      <c r="E1198" s="28" t="s">
        <v>1233</v>
      </c>
      <c r="F1198" s="28" t="s">
        <v>1234</v>
      </c>
      <c r="G1198" s="28" t="s">
        <v>1203</v>
      </c>
      <c r="H1198" s="28">
        <v>1.0</v>
      </c>
      <c r="I1198" s="28">
        <v>0.16816816816816818</v>
      </c>
      <c r="J1198" s="28">
        <v>2.0</v>
      </c>
      <c r="K1198" s="28" t="s">
        <v>57</v>
      </c>
      <c r="L1198" s="28" t="s">
        <v>57</v>
      </c>
    </row>
    <row r="1199" ht="15.75" customHeight="1">
      <c r="A1199" s="28" t="s">
        <v>45</v>
      </c>
      <c r="B1199" s="28" t="s">
        <v>2083</v>
      </c>
      <c r="D1199" s="28" t="s">
        <v>48</v>
      </c>
      <c r="E1199" s="28" t="s">
        <v>1235</v>
      </c>
      <c r="F1199" s="28" t="s">
        <v>1236</v>
      </c>
      <c r="G1199" s="28" t="s">
        <v>79</v>
      </c>
      <c r="H1199" s="28">
        <v>1.0</v>
      </c>
      <c r="I1199" s="28">
        <v>0.35435435435435436</v>
      </c>
      <c r="J1199" s="28">
        <v>13.0</v>
      </c>
      <c r="K1199" s="28" t="s">
        <v>57</v>
      </c>
      <c r="L1199" s="28" t="s">
        <v>57</v>
      </c>
    </row>
    <row r="1200" ht="15.75" customHeight="1">
      <c r="A1200" s="28" t="s">
        <v>45</v>
      </c>
      <c r="B1200" s="28" t="s">
        <v>2083</v>
      </c>
      <c r="D1200" s="28" t="s">
        <v>48</v>
      </c>
      <c r="E1200" s="28" t="s">
        <v>1237</v>
      </c>
      <c r="F1200" s="28" t="s">
        <v>1238</v>
      </c>
      <c r="G1200" s="28" t="s">
        <v>1196</v>
      </c>
      <c r="H1200" s="28">
        <v>1.0</v>
      </c>
      <c r="I1200" s="28">
        <v>0.45045045045045046</v>
      </c>
      <c r="J1200" s="28">
        <v>0.0</v>
      </c>
      <c r="K1200" s="28" t="s">
        <v>57</v>
      </c>
      <c r="L1200" s="28" t="s">
        <v>57</v>
      </c>
    </row>
    <row r="1201" ht="15.75" customHeight="1">
      <c r="A1201" s="28" t="s">
        <v>45</v>
      </c>
      <c r="B1201" s="28" t="s">
        <v>2083</v>
      </c>
      <c r="D1201" s="28" t="s">
        <v>48</v>
      </c>
      <c r="E1201" s="28" t="s">
        <v>1239</v>
      </c>
      <c r="F1201" s="28" t="s">
        <v>1240</v>
      </c>
      <c r="G1201" s="28" t="s">
        <v>173</v>
      </c>
      <c r="H1201" s="28">
        <v>1.0</v>
      </c>
      <c r="I1201" s="28">
        <v>0.5255255255255256</v>
      </c>
      <c r="J1201" s="28">
        <v>10.0</v>
      </c>
      <c r="K1201" s="28" t="s">
        <v>57</v>
      </c>
      <c r="L1201" s="28" t="s">
        <v>57</v>
      </c>
    </row>
    <row r="1202" ht="15.75" customHeight="1">
      <c r="A1202" s="28" t="s">
        <v>45</v>
      </c>
      <c r="B1202" s="28" t="s">
        <v>2083</v>
      </c>
      <c r="D1202" s="28" t="s">
        <v>48</v>
      </c>
      <c r="E1202" s="28" t="s">
        <v>1241</v>
      </c>
      <c r="F1202" s="28" t="s">
        <v>1240</v>
      </c>
      <c r="G1202" s="28" t="s">
        <v>167</v>
      </c>
      <c r="H1202" s="28">
        <v>1.0</v>
      </c>
      <c r="I1202" s="28">
        <v>0.5555555555555556</v>
      </c>
      <c r="J1202" s="28">
        <v>6.0</v>
      </c>
      <c r="K1202" s="28" t="s">
        <v>57</v>
      </c>
      <c r="L1202" s="28" t="s">
        <v>57</v>
      </c>
    </row>
    <row r="1203" ht="15.75" customHeight="1">
      <c r="A1203" s="28" t="s">
        <v>45</v>
      </c>
      <c r="B1203" s="28" t="s">
        <v>2083</v>
      </c>
      <c r="D1203" s="28" t="s">
        <v>48</v>
      </c>
      <c r="E1203" s="28" t="s">
        <v>1242</v>
      </c>
      <c r="F1203" s="28" t="s">
        <v>1243</v>
      </c>
      <c r="G1203" s="28" t="s">
        <v>234</v>
      </c>
      <c r="H1203" s="28">
        <v>1.0</v>
      </c>
      <c r="I1203" s="28">
        <v>0.6906906906906907</v>
      </c>
      <c r="J1203" s="28">
        <v>4.0</v>
      </c>
      <c r="K1203" s="28" t="s">
        <v>57</v>
      </c>
      <c r="L1203" s="28" t="s">
        <v>57</v>
      </c>
    </row>
    <row r="1204" ht="15.75" customHeight="1">
      <c r="A1204" s="28" t="s">
        <v>45</v>
      </c>
      <c r="B1204" s="28" t="s">
        <v>2083</v>
      </c>
      <c r="D1204" s="28" t="s">
        <v>48</v>
      </c>
      <c r="E1204" s="28" t="s">
        <v>1244</v>
      </c>
      <c r="F1204" s="28" t="s">
        <v>1243</v>
      </c>
      <c r="G1204" s="28" t="s">
        <v>205</v>
      </c>
      <c r="H1204" s="28">
        <v>1.0</v>
      </c>
      <c r="I1204" s="28">
        <v>0.6936936936936937</v>
      </c>
      <c r="J1204" s="28">
        <v>3.0</v>
      </c>
      <c r="K1204" s="28" t="s">
        <v>57</v>
      </c>
      <c r="L1204" s="28" t="s">
        <v>57</v>
      </c>
    </row>
    <row r="1205" ht="15.75" customHeight="1">
      <c r="A1205" s="28" t="s">
        <v>45</v>
      </c>
      <c r="B1205" s="28" t="s">
        <v>2083</v>
      </c>
      <c r="D1205" s="28" t="s">
        <v>48</v>
      </c>
      <c r="E1205" s="28" t="s">
        <v>1245</v>
      </c>
      <c r="F1205" s="28" t="s">
        <v>1246</v>
      </c>
      <c r="G1205" s="28" t="s">
        <v>1200</v>
      </c>
      <c r="H1205" s="28">
        <v>1.0</v>
      </c>
      <c r="I1205" s="28">
        <v>0.7297297297297297</v>
      </c>
      <c r="J1205" s="28">
        <v>14.0</v>
      </c>
      <c r="K1205" s="28" t="s">
        <v>57</v>
      </c>
      <c r="L1205" s="28" t="s">
        <v>1188</v>
      </c>
    </row>
    <row r="1206" ht="15.75" customHeight="1">
      <c r="A1206" s="28" t="s">
        <v>45</v>
      </c>
      <c r="B1206" s="28" t="s">
        <v>2083</v>
      </c>
      <c r="D1206" s="28" t="s">
        <v>48</v>
      </c>
      <c r="E1206" s="28" t="s">
        <v>1247</v>
      </c>
      <c r="F1206" s="28" t="s">
        <v>1246</v>
      </c>
      <c r="G1206" s="28" t="s">
        <v>1185</v>
      </c>
      <c r="H1206" s="28">
        <v>1.0</v>
      </c>
      <c r="I1206" s="28">
        <v>0.7777777777777778</v>
      </c>
      <c r="J1206" s="28">
        <v>1.0</v>
      </c>
      <c r="K1206" s="28" t="s">
        <v>57</v>
      </c>
      <c r="L1206" s="28" t="s">
        <v>1188</v>
      </c>
    </row>
    <row r="1207" ht="15.75" customHeight="1">
      <c r="A1207" s="28" t="s">
        <v>45</v>
      </c>
      <c r="B1207" s="28" t="s">
        <v>2083</v>
      </c>
      <c r="D1207" s="28" t="s">
        <v>48</v>
      </c>
      <c r="E1207" s="28" t="s">
        <v>1248</v>
      </c>
      <c r="F1207" s="28" t="s">
        <v>1246</v>
      </c>
      <c r="G1207" s="28" t="s">
        <v>1183</v>
      </c>
      <c r="H1207" s="28">
        <v>1.0</v>
      </c>
      <c r="I1207" s="28">
        <v>0.7837837837837838</v>
      </c>
      <c r="J1207" s="28">
        <v>17.0</v>
      </c>
      <c r="K1207" s="28" t="s">
        <v>57</v>
      </c>
      <c r="L1207" s="28" t="s">
        <v>1188</v>
      </c>
    </row>
    <row r="1208" ht="15.75" customHeight="1">
      <c r="A1208" s="28" t="s">
        <v>45</v>
      </c>
      <c r="B1208" s="28" t="s">
        <v>2083</v>
      </c>
      <c r="D1208" s="28" t="s">
        <v>48</v>
      </c>
      <c r="E1208" s="28" t="s">
        <v>1249</v>
      </c>
      <c r="F1208" s="28" t="s">
        <v>1250</v>
      </c>
      <c r="G1208" s="28" t="s">
        <v>54</v>
      </c>
      <c r="H1208" s="28">
        <v>1.0</v>
      </c>
      <c r="I1208" s="28">
        <v>0.8540925266903915</v>
      </c>
      <c r="J1208" s="28">
        <v>11.0</v>
      </c>
      <c r="K1208" s="28" t="s">
        <v>57</v>
      </c>
      <c r="L1208" s="28" t="s">
        <v>57</v>
      </c>
    </row>
    <row r="1209" ht="15.75" customHeight="1">
      <c r="A1209" s="28" t="s">
        <v>45</v>
      </c>
      <c r="B1209" s="28" t="s">
        <v>2083</v>
      </c>
      <c r="D1209" s="28" t="s">
        <v>1196</v>
      </c>
      <c r="E1209" s="28" t="s">
        <v>1251</v>
      </c>
      <c r="F1209" s="28" t="s">
        <v>1252</v>
      </c>
      <c r="G1209" s="28" t="s">
        <v>167</v>
      </c>
      <c r="H1209" s="28">
        <v>1.0</v>
      </c>
      <c r="I1209" s="28">
        <v>0.2127659574468085</v>
      </c>
      <c r="J1209" s="28">
        <v>5.0</v>
      </c>
      <c r="K1209" s="28" t="s">
        <v>57</v>
      </c>
      <c r="L1209" s="28" t="s">
        <v>57</v>
      </c>
    </row>
    <row r="1210" ht="15.75" customHeight="1">
      <c r="A1210" s="28" t="s">
        <v>45</v>
      </c>
      <c r="B1210" s="28" t="s">
        <v>2083</v>
      </c>
      <c r="D1210" s="28" t="s">
        <v>1196</v>
      </c>
      <c r="E1210" s="28" t="s">
        <v>1253</v>
      </c>
      <c r="F1210" s="28" t="s">
        <v>1254</v>
      </c>
      <c r="G1210" s="28" t="s">
        <v>79</v>
      </c>
      <c r="H1210" s="28">
        <v>1.0</v>
      </c>
      <c r="I1210" s="28">
        <v>0.23076923076923078</v>
      </c>
      <c r="J1210" s="28">
        <v>12.0</v>
      </c>
      <c r="K1210" s="28" t="s">
        <v>57</v>
      </c>
      <c r="L1210" s="28" t="s">
        <v>57</v>
      </c>
    </row>
    <row r="1211" ht="15.75" customHeight="1">
      <c r="A1211" s="28" t="s">
        <v>45</v>
      </c>
      <c r="B1211" s="28" t="s">
        <v>2083</v>
      </c>
      <c r="D1211" s="28" t="s">
        <v>1196</v>
      </c>
      <c r="E1211" s="28" t="s">
        <v>1255</v>
      </c>
      <c r="F1211" s="28" t="s">
        <v>1252</v>
      </c>
      <c r="G1211" s="28" t="s">
        <v>173</v>
      </c>
      <c r="H1211" s="28">
        <v>1.0</v>
      </c>
      <c r="I1211" s="28">
        <v>0.25</v>
      </c>
      <c r="J1211" s="28">
        <v>9.0</v>
      </c>
      <c r="K1211" s="28" t="s">
        <v>57</v>
      </c>
      <c r="L1211" s="28" t="s">
        <v>57</v>
      </c>
    </row>
    <row r="1212" ht="15.75" customHeight="1">
      <c r="A1212" s="28" t="s">
        <v>45</v>
      </c>
      <c r="B1212" s="28" t="s">
        <v>2083</v>
      </c>
      <c r="D1212" s="28" t="s">
        <v>1196</v>
      </c>
      <c r="E1212" s="28" t="s">
        <v>1256</v>
      </c>
      <c r="F1212" s="28" t="s">
        <v>1257</v>
      </c>
      <c r="G1212" s="28" t="s">
        <v>1203</v>
      </c>
      <c r="H1212" s="28">
        <v>1.0</v>
      </c>
      <c r="I1212" s="28">
        <v>0.3961038961038961</v>
      </c>
      <c r="J1212" s="28">
        <v>1.0</v>
      </c>
      <c r="K1212" s="28" t="s">
        <v>57</v>
      </c>
      <c r="L1212" s="28" t="s">
        <v>57</v>
      </c>
    </row>
    <row r="1213" ht="15.75" customHeight="1">
      <c r="A1213" s="28" t="s">
        <v>45</v>
      </c>
      <c r="B1213" s="28" t="s">
        <v>2083</v>
      </c>
      <c r="D1213" s="28" t="s">
        <v>1196</v>
      </c>
      <c r="E1213" s="28" t="s">
        <v>1258</v>
      </c>
      <c r="F1213" s="28" t="s">
        <v>1259</v>
      </c>
      <c r="G1213" s="28" t="s">
        <v>234</v>
      </c>
      <c r="H1213" s="28">
        <v>1.0</v>
      </c>
      <c r="I1213" s="28">
        <v>0.4521276595744681</v>
      </c>
      <c r="J1213" s="28">
        <v>3.0</v>
      </c>
      <c r="K1213" s="28" t="s">
        <v>57</v>
      </c>
      <c r="L1213" s="28" t="s">
        <v>57</v>
      </c>
    </row>
    <row r="1214" ht="15.75" customHeight="1">
      <c r="A1214" s="28" t="s">
        <v>45</v>
      </c>
      <c r="B1214" s="28" t="s">
        <v>2083</v>
      </c>
      <c r="D1214" s="28" t="s">
        <v>1196</v>
      </c>
      <c r="E1214" s="28" t="s">
        <v>1260</v>
      </c>
      <c r="F1214" s="28" t="s">
        <v>1259</v>
      </c>
      <c r="G1214" s="28" t="s">
        <v>205</v>
      </c>
      <c r="H1214" s="28">
        <v>1.0</v>
      </c>
      <c r="I1214" s="28">
        <v>0.4734042553191489</v>
      </c>
      <c r="J1214" s="28">
        <v>2.0</v>
      </c>
      <c r="K1214" s="28" t="s">
        <v>57</v>
      </c>
      <c r="L1214" s="28" t="s">
        <v>57</v>
      </c>
    </row>
    <row r="1215" ht="15.75" customHeight="1">
      <c r="A1215" s="28" t="s">
        <v>45</v>
      </c>
      <c r="B1215" s="28" t="s">
        <v>2083</v>
      </c>
      <c r="D1215" s="28" t="s">
        <v>1196</v>
      </c>
      <c r="E1215" s="28" t="s">
        <v>1261</v>
      </c>
      <c r="F1215" s="28" t="s">
        <v>1262</v>
      </c>
      <c r="G1215" s="28" t="s">
        <v>73</v>
      </c>
      <c r="H1215" s="28">
        <v>1.0</v>
      </c>
      <c r="I1215" s="28">
        <v>0.5093833780160858</v>
      </c>
      <c r="J1215" s="28">
        <v>6.0</v>
      </c>
      <c r="K1215" s="28" t="s">
        <v>57</v>
      </c>
      <c r="L1215" s="28" t="s">
        <v>57</v>
      </c>
    </row>
    <row r="1216" ht="15.75" customHeight="1">
      <c r="A1216" s="28" t="s">
        <v>45</v>
      </c>
      <c r="B1216" s="28" t="s">
        <v>2083</v>
      </c>
      <c r="D1216" s="28" t="s">
        <v>1196</v>
      </c>
      <c r="E1216" s="28" t="s">
        <v>1263</v>
      </c>
      <c r="F1216" s="28" t="s">
        <v>1264</v>
      </c>
      <c r="G1216" s="28" t="s">
        <v>1185</v>
      </c>
      <c r="H1216" s="28">
        <v>1.0</v>
      </c>
      <c r="I1216" s="28">
        <v>0.5904255319148937</v>
      </c>
      <c r="J1216" s="28">
        <v>0.0</v>
      </c>
      <c r="K1216" s="28" t="s">
        <v>57</v>
      </c>
      <c r="L1216" s="28" t="s">
        <v>1188</v>
      </c>
    </row>
    <row r="1217" ht="15.75" customHeight="1">
      <c r="A1217" s="28" t="s">
        <v>45</v>
      </c>
      <c r="B1217" s="28" t="s">
        <v>2083</v>
      </c>
      <c r="D1217" s="28" t="s">
        <v>1196</v>
      </c>
      <c r="E1217" s="28" t="s">
        <v>1265</v>
      </c>
      <c r="F1217" s="28" t="s">
        <v>1264</v>
      </c>
      <c r="G1217" s="28" t="s">
        <v>1183</v>
      </c>
      <c r="H1217" s="28">
        <v>1.0</v>
      </c>
      <c r="I1217" s="28">
        <v>0.6329787234042553</v>
      </c>
      <c r="J1217" s="28">
        <v>16.0</v>
      </c>
      <c r="K1217" s="28" t="s">
        <v>57</v>
      </c>
      <c r="L1217" s="28" t="s">
        <v>1188</v>
      </c>
    </row>
    <row r="1218" ht="15.75" customHeight="1">
      <c r="A1218" s="28" t="s">
        <v>45</v>
      </c>
      <c r="B1218" s="28" t="s">
        <v>2083</v>
      </c>
      <c r="D1218" s="28" t="s">
        <v>1196</v>
      </c>
      <c r="E1218" s="28" t="s">
        <v>1266</v>
      </c>
      <c r="F1218" s="28" t="s">
        <v>1264</v>
      </c>
      <c r="G1218" s="28" t="s">
        <v>1200</v>
      </c>
      <c r="H1218" s="28">
        <v>1.0</v>
      </c>
      <c r="I1218" s="28">
        <v>0.645933014354067</v>
      </c>
      <c r="J1218" s="28">
        <v>13.0</v>
      </c>
      <c r="K1218" s="28" t="s">
        <v>57</v>
      </c>
      <c r="L1218" s="28" t="s">
        <v>1188</v>
      </c>
    </row>
    <row r="1219" ht="15.75" customHeight="1">
      <c r="A1219" s="28" t="s">
        <v>45</v>
      </c>
      <c r="B1219" s="28" t="s">
        <v>2083</v>
      </c>
      <c r="D1219" s="28" t="s">
        <v>1196</v>
      </c>
      <c r="E1219" s="28" t="s">
        <v>1267</v>
      </c>
      <c r="F1219" s="28" t="s">
        <v>1268</v>
      </c>
      <c r="G1219" s="28" t="s">
        <v>54</v>
      </c>
      <c r="H1219" s="28">
        <v>1.0</v>
      </c>
      <c r="I1219" s="28">
        <v>0.9185943060498221</v>
      </c>
      <c r="J1219" s="28">
        <v>10.0</v>
      </c>
      <c r="K1219" s="28" t="s">
        <v>57</v>
      </c>
      <c r="L1219" s="28" t="s">
        <v>57</v>
      </c>
    </row>
    <row r="1220" ht="15.75" customHeight="1">
      <c r="A1220" s="28" t="s">
        <v>45</v>
      </c>
      <c r="B1220" s="28" t="s">
        <v>2083</v>
      </c>
      <c r="D1220" s="28" t="s">
        <v>1185</v>
      </c>
      <c r="E1220" s="28" t="s">
        <v>1269</v>
      </c>
      <c r="F1220" s="28" t="s">
        <v>1182</v>
      </c>
      <c r="G1220" s="28" t="s">
        <v>1183</v>
      </c>
      <c r="H1220" s="28">
        <v>1.0</v>
      </c>
      <c r="I1220" s="28">
        <v>0.1875</v>
      </c>
      <c r="J1220" s="28">
        <v>15.0</v>
      </c>
      <c r="K1220" s="28" t="s">
        <v>57</v>
      </c>
      <c r="L1220" s="28" t="s">
        <v>57</v>
      </c>
    </row>
    <row r="1221" ht="15.75" customHeight="1">
      <c r="A1221" s="28" t="s">
        <v>45</v>
      </c>
      <c r="B1221" s="28" t="s">
        <v>2083</v>
      </c>
      <c r="D1221" s="28" t="s">
        <v>1185</v>
      </c>
      <c r="E1221" s="28" t="s">
        <v>1270</v>
      </c>
      <c r="F1221" s="28" t="s">
        <v>1187</v>
      </c>
      <c r="G1221" s="28" t="s">
        <v>234</v>
      </c>
      <c r="H1221" s="28">
        <v>1.0</v>
      </c>
      <c r="I1221" s="28">
        <v>0.40869565217391307</v>
      </c>
      <c r="J1221" s="28">
        <v>2.0</v>
      </c>
      <c r="K1221" s="28" t="s">
        <v>57</v>
      </c>
      <c r="L1221" s="28" t="s">
        <v>1188</v>
      </c>
    </row>
    <row r="1222" ht="15.75" customHeight="1">
      <c r="A1222" s="28" t="s">
        <v>45</v>
      </c>
      <c r="B1222" s="28" t="s">
        <v>2083</v>
      </c>
      <c r="D1222" s="28" t="s">
        <v>1185</v>
      </c>
      <c r="E1222" s="28" t="s">
        <v>1271</v>
      </c>
      <c r="F1222" s="28" t="s">
        <v>1187</v>
      </c>
      <c r="G1222" s="28" t="s">
        <v>205</v>
      </c>
      <c r="H1222" s="28">
        <v>1.0</v>
      </c>
      <c r="I1222" s="28">
        <v>0.4473684210526316</v>
      </c>
      <c r="J1222" s="28">
        <v>1.0</v>
      </c>
      <c r="K1222" s="28" t="s">
        <v>57</v>
      </c>
      <c r="L1222" s="28" t="s">
        <v>1188</v>
      </c>
    </row>
    <row r="1223" ht="15.75" customHeight="1">
      <c r="A1223" s="28" t="s">
        <v>45</v>
      </c>
      <c r="B1223" s="28" t="s">
        <v>2083</v>
      </c>
      <c r="D1223" s="28" t="s">
        <v>1185</v>
      </c>
      <c r="E1223" s="28" t="s">
        <v>1272</v>
      </c>
      <c r="F1223" s="28" t="s">
        <v>1192</v>
      </c>
      <c r="G1223" s="28" t="s">
        <v>167</v>
      </c>
      <c r="H1223" s="28">
        <v>1.0</v>
      </c>
      <c r="I1223" s="28">
        <v>0.5064935064935064</v>
      </c>
      <c r="J1223" s="28">
        <v>4.0</v>
      </c>
      <c r="K1223" s="28" t="s">
        <v>57</v>
      </c>
      <c r="L1223" s="28" t="s">
        <v>1188</v>
      </c>
    </row>
    <row r="1224" ht="15.75" customHeight="1">
      <c r="A1224" s="28" t="s">
        <v>45</v>
      </c>
      <c r="B1224" s="28" t="s">
        <v>2083</v>
      </c>
      <c r="D1224" s="28" t="s">
        <v>1185</v>
      </c>
      <c r="E1224" s="28" t="s">
        <v>1273</v>
      </c>
      <c r="F1224" s="28" t="s">
        <v>1192</v>
      </c>
      <c r="G1224" s="28" t="s">
        <v>173</v>
      </c>
      <c r="H1224" s="28">
        <v>1.0</v>
      </c>
      <c r="I1224" s="28">
        <v>0.5562130177514792</v>
      </c>
      <c r="J1224" s="28">
        <v>8.0</v>
      </c>
      <c r="K1224" s="28" t="s">
        <v>57</v>
      </c>
      <c r="L1224" s="28" t="s">
        <v>1188</v>
      </c>
    </row>
    <row r="1225" ht="15.75" customHeight="1">
      <c r="A1225" s="28" t="s">
        <v>45</v>
      </c>
      <c r="B1225" s="28" t="s">
        <v>2083</v>
      </c>
      <c r="D1225" s="28" t="s">
        <v>1185</v>
      </c>
      <c r="E1225" s="28" t="s">
        <v>1274</v>
      </c>
      <c r="F1225" s="28" t="s">
        <v>1198</v>
      </c>
      <c r="G1225" s="28" t="s">
        <v>79</v>
      </c>
      <c r="H1225" s="28">
        <v>1.0</v>
      </c>
      <c r="I1225" s="28">
        <v>0.6787330316742082</v>
      </c>
      <c r="J1225" s="28">
        <v>11.0</v>
      </c>
      <c r="K1225" s="28" t="s">
        <v>57</v>
      </c>
      <c r="L1225" s="28" t="s">
        <v>1188</v>
      </c>
    </row>
    <row r="1226" ht="15.75" customHeight="1">
      <c r="A1226" s="28" t="s">
        <v>45</v>
      </c>
      <c r="B1226" s="28" t="s">
        <v>2083</v>
      </c>
      <c r="D1226" s="28" t="s">
        <v>1185</v>
      </c>
      <c r="E1226" s="28" t="s">
        <v>1275</v>
      </c>
      <c r="F1226" s="28" t="s">
        <v>1182</v>
      </c>
      <c r="G1226" s="28" t="s">
        <v>1200</v>
      </c>
      <c r="H1226" s="28">
        <v>1.0</v>
      </c>
      <c r="I1226" s="28">
        <v>0.6842105263157895</v>
      </c>
      <c r="J1226" s="28">
        <v>12.0</v>
      </c>
      <c r="K1226" s="28" t="s">
        <v>57</v>
      </c>
      <c r="L1226" s="28" t="s">
        <v>57</v>
      </c>
    </row>
    <row r="1227" ht="15.75" customHeight="1">
      <c r="A1227" s="28" t="s">
        <v>45</v>
      </c>
      <c r="B1227" s="28" t="s">
        <v>2083</v>
      </c>
      <c r="D1227" s="28" t="s">
        <v>1185</v>
      </c>
      <c r="E1227" s="28" t="s">
        <v>1276</v>
      </c>
      <c r="F1227" s="28" t="s">
        <v>1202</v>
      </c>
      <c r="G1227" s="28" t="s">
        <v>1203</v>
      </c>
      <c r="H1227" s="28">
        <v>1.0</v>
      </c>
      <c r="I1227" s="28">
        <v>0.7532467532467533</v>
      </c>
      <c r="J1227" s="28">
        <v>0.0</v>
      </c>
      <c r="K1227" s="28" t="s">
        <v>57</v>
      </c>
      <c r="L1227" s="28" t="s">
        <v>1188</v>
      </c>
    </row>
    <row r="1228" ht="15.75" customHeight="1">
      <c r="A1228" s="28" t="s">
        <v>45</v>
      </c>
      <c r="B1228" s="28" t="s">
        <v>2083</v>
      </c>
      <c r="D1228" s="28" t="s">
        <v>1185</v>
      </c>
      <c r="E1228" s="28" t="s">
        <v>1277</v>
      </c>
      <c r="F1228" s="28" t="s">
        <v>1207</v>
      </c>
      <c r="G1228" s="28" t="s">
        <v>73</v>
      </c>
      <c r="H1228" s="28">
        <v>1.0</v>
      </c>
      <c r="I1228" s="28">
        <v>0.7962466487935657</v>
      </c>
      <c r="J1228" s="28">
        <v>5.0</v>
      </c>
      <c r="K1228" s="28" t="s">
        <v>57</v>
      </c>
      <c r="L1228" s="28" t="s">
        <v>1188</v>
      </c>
    </row>
    <row r="1229" ht="15.75" customHeight="1">
      <c r="A1229" s="28" t="s">
        <v>45</v>
      </c>
      <c r="B1229" s="28" t="s">
        <v>2083</v>
      </c>
      <c r="D1229" s="28" t="s">
        <v>1185</v>
      </c>
      <c r="E1229" s="28" t="s">
        <v>1278</v>
      </c>
      <c r="F1229" s="28" t="s">
        <v>1209</v>
      </c>
      <c r="G1229" s="28" t="s">
        <v>54</v>
      </c>
      <c r="H1229" s="28">
        <v>1.0</v>
      </c>
      <c r="I1229" s="28">
        <v>0.9670818505338078</v>
      </c>
      <c r="J1229" s="28">
        <v>9.0</v>
      </c>
      <c r="K1229" s="28" t="s">
        <v>57</v>
      </c>
      <c r="L1229" s="28" t="s">
        <v>1188</v>
      </c>
    </row>
    <row r="1230" ht="15.75" customHeight="1">
      <c r="A1230" s="28" t="s">
        <v>45</v>
      </c>
      <c r="B1230" s="28" t="s">
        <v>2083</v>
      </c>
      <c r="D1230" s="28" t="s">
        <v>1203</v>
      </c>
      <c r="E1230" s="28" t="s">
        <v>1279</v>
      </c>
      <c r="F1230" s="28" t="s">
        <v>1280</v>
      </c>
      <c r="G1230" s="28" t="s">
        <v>73</v>
      </c>
      <c r="H1230" s="28">
        <v>1.0</v>
      </c>
      <c r="I1230" s="28">
        <v>0.23324396782841822</v>
      </c>
      <c r="J1230" s="28">
        <v>4.0</v>
      </c>
      <c r="K1230" s="28" t="s">
        <v>57</v>
      </c>
      <c r="L1230" s="28" t="s">
        <v>57</v>
      </c>
    </row>
    <row r="1231" ht="15.75" customHeight="1">
      <c r="A1231" s="28" t="s">
        <v>45</v>
      </c>
      <c r="B1231" s="28" t="s">
        <v>2083</v>
      </c>
      <c r="D1231" s="28" t="s">
        <v>1203</v>
      </c>
      <c r="E1231" s="28" t="s">
        <v>1281</v>
      </c>
      <c r="F1231" s="28" t="s">
        <v>1282</v>
      </c>
      <c r="G1231" s="28" t="s">
        <v>79</v>
      </c>
      <c r="H1231" s="28">
        <v>1.0</v>
      </c>
      <c r="I1231" s="28">
        <v>0.3181818181818182</v>
      </c>
      <c r="J1231" s="28">
        <v>10.0</v>
      </c>
      <c r="K1231" s="28" t="s">
        <v>57</v>
      </c>
      <c r="L1231" s="28" t="s">
        <v>57</v>
      </c>
    </row>
    <row r="1232" ht="15.75" customHeight="1">
      <c r="A1232" s="28" t="s">
        <v>45</v>
      </c>
      <c r="B1232" s="28" t="s">
        <v>2083</v>
      </c>
      <c r="D1232" s="28" t="s">
        <v>1203</v>
      </c>
      <c r="E1232" s="28" t="s">
        <v>1283</v>
      </c>
      <c r="F1232" s="28" t="s">
        <v>1284</v>
      </c>
      <c r="G1232" s="28" t="s">
        <v>173</v>
      </c>
      <c r="H1232" s="28">
        <v>1.0</v>
      </c>
      <c r="I1232" s="28">
        <v>0.4805194805194805</v>
      </c>
      <c r="J1232" s="28">
        <v>7.0</v>
      </c>
      <c r="K1232" s="28" t="s">
        <v>57</v>
      </c>
      <c r="L1232" s="28" t="s">
        <v>57</v>
      </c>
    </row>
    <row r="1233" ht="15.75" customHeight="1">
      <c r="A1233" s="28" t="s">
        <v>45</v>
      </c>
      <c r="B1233" s="28" t="s">
        <v>2083</v>
      </c>
      <c r="D1233" s="28" t="s">
        <v>1203</v>
      </c>
      <c r="E1233" s="28" t="s">
        <v>1285</v>
      </c>
      <c r="F1233" s="28" t="s">
        <v>1284</v>
      </c>
      <c r="G1233" s="28" t="s">
        <v>167</v>
      </c>
      <c r="H1233" s="28">
        <v>1.0</v>
      </c>
      <c r="I1233" s="28">
        <v>0.5097402597402597</v>
      </c>
      <c r="J1233" s="28">
        <v>3.0</v>
      </c>
      <c r="K1233" s="28" t="s">
        <v>57</v>
      </c>
      <c r="L1233" s="28" t="s">
        <v>57</v>
      </c>
    </row>
    <row r="1234" ht="15.75" customHeight="1">
      <c r="A1234" s="28" t="s">
        <v>45</v>
      </c>
      <c r="B1234" s="28" t="s">
        <v>2083</v>
      </c>
      <c r="D1234" s="28" t="s">
        <v>1203</v>
      </c>
      <c r="E1234" s="28" t="s">
        <v>1286</v>
      </c>
      <c r="F1234" s="28" t="s">
        <v>1287</v>
      </c>
      <c r="G1234" s="28" t="s">
        <v>234</v>
      </c>
      <c r="H1234" s="28">
        <v>1.0</v>
      </c>
      <c r="I1234" s="28">
        <v>0.6655844155844156</v>
      </c>
      <c r="J1234" s="28">
        <v>1.0</v>
      </c>
      <c r="K1234" s="28" t="s">
        <v>57</v>
      </c>
      <c r="L1234" s="28" t="s">
        <v>57</v>
      </c>
    </row>
    <row r="1235" ht="15.75" customHeight="1">
      <c r="A1235" s="28" t="s">
        <v>45</v>
      </c>
      <c r="B1235" s="28" t="s">
        <v>2083</v>
      </c>
      <c r="D1235" s="28" t="s">
        <v>1203</v>
      </c>
      <c r="E1235" s="28" t="s">
        <v>1288</v>
      </c>
      <c r="F1235" s="28" t="s">
        <v>1287</v>
      </c>
      <c r="G1235" s="28" t="s">
        <v>205</v>
      </c>
      <c r="H1235" s="28">
        <v>1.0</v>
      </c>
      <c r="I1235" s="28">
        <v>0.672077922077922</v>
      </c>
      <c r="J1235" s="28">
        <v>0.0</v>
      </c>
      <c r="K1235" s="28" t="s">
        <v>57</v>
      </c>
      <c r="L1235" s="28" t="s">
        <v>57</v>
      </c>
    </row>
    <row r="1236" ht="15.75" customHeight="1">
      <c r="A1236" s="28" t="s">
        <v>45</v>
      </c>
      <c r="B1236" s="28" t="s">
        <v>2083</v>
      </c>
      <c r="D1236" s="28" t="s">
        <v>1203</v>
      </c>
      <c r="E1236" s="28" t="s">
        <v>1289</v>
      </c>
      <c r="F1236" s="28" t="s">
        <v>1290</v>
      </c>
      <c r="G1236" s="28" t="s">
        <v>1200</v>
      </c>
      <c r="H1236" s="28">
        <v>1.0</v>
      </c>
      <c r="I1236" s="28">
        <v>0.6948051948051948</v>
      </c>
      <c r="J1236" s="28">
        <v>11.0</v>
      </c>
      <c r="K1236" s="28" t="s">
        <v>57</v>
      </c>
      <c r="L1236" s="28" t="s">
        <v>1188</v>
      </c>
    </row>
    <row r="1237" ht="15.75" customHeight="1">
      <c r="A1237" s="28" t="s">
        <v>45</v>
      </c>
      <c r="B1237" s="28" t="s">
        <v>2083</v>
      </c>
      <c r="D1237" s="28" t="s">
        <v>1203</v>
      </c>
      <c r="E1237" s="28" t="s">
        <v>1291</v>
      </c>
      <c r="F1237" s="28" t="s">
        <v>1290</v>
      </c>
      <c r="G1237" s="28" t="s">
        <v>1183</v>
      </c>
      <c r="H1237" s="28">
        <v>1.0</v>
      </c>
      <c r="I1237" s="28">
        <v>0.7662337662337663</v>
      </c>
      <c r="J1237" s="28">
        <v>14.0</v>
      </c>
      <c r="K1237" s="28" t="s">
        <v>57</v>
      </c>
      <c r="L1237" s="28" t="s">
        <v>1188</v>
      </c>
    </row>
    <row r="1238" ht="15.75" customHeight="1">
      <c r="A1238" s="28" t="s">
        <v>45</v>
      </c>
      <c r="B1238" s="28" t="s">
        <v>2083</v>
      </c>
      <c r="D1238" s="28" t="s">
        <v>1203</v>
      </c>
      <c r="E1238" s="28" t="s">
        <v>1292</v>
      </c>
      <c r="F1238" s="28" t="s">
        <v>1293</v>
      </c>
      <c r="G1238" s="28" t="s">
        <v>54</v>
      </c>
      <c r="H1238" s="28">
        <v>1.0</v>
      </c>
      <c r="I1238" s="28">
        <v>0.8669928825622776</v>
      </c>
      <c r="J1238" s="28">
        <v>8.0</v>
      </c>
      <c r="K1238" s="28" t="s">
        <v>57</v>
      </c>
      <c r="L1238" s="28" t="s">
        <v>57</v>
      </c>
    </row>
    <row r="1239" ht="15.75" customHeight="1">
      <c r="A1239" s="28" t="s">
        <v>45</v>
      </c>
      <c r="B1239" s="28" t="s">
        <v>2083</v>
      </c>
      <c r="D1239" s="28" t="s">
        <v>205</v>
      </c>
      <c r="E1239" s="28" t="s">
        <v>1294</v>
      </c>
      <c r="F1239" s="28" t="s">
        <v>203</v>
      </c>
      <c r="G1239" s="28" t="s">
        <v>234</v>
      </c>
      <c r="H1239" s="28">
        <v>1.0</v>
      </c>
      <c r="I1239" s="28">
        <v>0.06086956521739131</v>
      </c>
      <c r="J1239" s="28">
        <v>0.0</v>
      </c>
      <c r="K1239" s="28" t="s">
        <v>57</v>
      </c>
      <c r="L1239" s="28" t="s">
        <v>57</v>
      </c>
    </row>
    <row r="1240" ht="15.75" customHeight="1">
      <c r="A1240" s="28" t="s">
        <v>45</v>
      </c>
      <c r="B1240" s="28" t="s">
        <v>2083</v>
      </c>
      <c r="D1240" s="28" t="s">
        <v>205</v>
      </c>
      <c r="E1240" s="28" t="s">
        <v>1295</v>
      </c>
      <c r="F1240" s="28" t="s">
        <v>1213</v>
      </c>
      <c r="G1240" s="28" t="s">
        <v>167</v>
      </c>
      <c r="H1240" s="28">
        <v>1.0</v>
      </c>
      <c r="I1240" s="28">
        <v>0.35714285714285715</v>
      </c>
      <c r="J1240" s="28">
        <v>2.0</v>
      </c>
      <c r="K1240" s="28" t="s">
        <v>57</v>
      </c>
      <c r="L1240" s="28" t="s">
        <v>57</v>
      </c>
    </row>
    <row r="1241" ht="15.75" customHeight="1">
      <c r="A1241" s="28" t="s">
        <v>45</v>
      </c>
      <c r="B1241" s="28" t="s">
        <v>2083</v>
      </c>
      <c r="D1241" s="28" t="s">
        <v>205</v>
      </c>
      <c r="E1241" s="28" t="s">
        <v>1296</v>
      </c>
      <c r="F1241" s="28" t="s">
        <v>1216</v>
      </c>
      <c r="G1241" s="28" t="s">
        <v>1183</v>
      </c>
      <c r="H1241" s="28">
        <v>1.0</v>
      </c>
      <c r="I1241" s="28">
        <v>0.37719298245614036</v>
      </c>
      <c r="J1241" s="28">
        <v>13.0</v>
      </c>
      <c r="K1241" s="28" t="s">
        <v>57</v>
      </c>
      <c r="L1241" s="28" t="s">
        <v>1188</v>
      </c>
    </row>
    <row r="1242" ht="15.75" customHeight="1">
      <c r="A1242" s="28" t="s">
        <v>45</v>
      </c>
      <c r="B1242" s="28" t="s">
        <v>2083</v>
      </c>
      <c r="D1242" s="28" t="s">
        <v>205</v>
      </c>
      <c r="E1242" s="28" t="s">
        <v>1297</v>
      </c>
      <c r="F1242" s="28" t="s">
        <v>1213</v>
      </c>
      <c r="G1242" s="28" t="s">
        <v>173</v>
      </c>
      <c r="H1242" s="28">
        <v>1.0</v>
      </c>
      <c r="I1242" s="28">
        <v>0.42011834319526625</v>
      </c>
      <c r="J1242" s="28">
        <v>6.0</v>
      </c>
      <c r="K1242" s="28" t="s">
        <v>57</v>
      </c>
      <c r="L1242" s="28" t="s">
        <v>57</v>
      </c>
    </row>
    <row r="1243" ht="15.75" customHeight="1">
      <c r="A1243" s="28" t="s">
        <v>45</v>
      </c>
      <c r="B1243" s="28" t="s">
        <v>2083</v>
      </c>
      <c r="D1243" s="28" t="s">
        <v>205</v>
      </c>
      <c r="E1243" s="28" t="s">
        <v>1298</v>
      </c>
      <c r="F1243" s="28" t="s">
        <v>1221</v>
      </c>
      <c r="G1243" s="28" t="s">
        <v>79</v>
      </c>
      <c r="H1243" s="28">
        <v>1.0</v>
      </c>
      <c r="I1243" s="28">
        <v>0.5475113122171946</v>
      </c>
      <c r="J1243" s="28">
        <v>9.0</v>
      </c>
      <c r="K1243" s="28" t="s">
        <v>57</v>
      </c>
      <c r="L1243" s="28" t="s">
        <v>57</v>
      </c>
    </row>
    <row r="1244" ht="15.75" customHeight="1">
      <c r="A1244" s="28" t="s">
        <v>45</v>
      </c>
      <c r="B1244" s="28" t="s">
        <v>2083</v>
      </c>
      <c r="D1244" s="28" t="s">
        <v>205</v>
      </c>
      <c r="E1244" s="28" t="s">
        <v>1299</v>
      </c>
      <c r="F1244" s="28" t="s">
        <v>1216</v>
      </c>
      <c r="G1244" s="28" t="s">
        <v>1200</v>
      </c>
      <c r="H1244" s="28">
        <v>1.0</v>
      </c>
      <c r="I1244" s="28">
        <v>0.6602870813397129</v>
      </c>
      <c r="J1244" s="28">
        <v>10.0</v>
      </c>
      <c r="K1244" s="28" t="s">
        <v>57</v>
      </c>
      <c r="L1244" s="28" t="s">
        <v>1188</v>
      </c>
    </row>
    <row r="1245" ht="15.75" customHeight="1">
      <c r="A1245" s="28" t="s">
        <v>45</v>
      </c>
      <c r="B1245" s="28" t="s">
        <v>2083</v>
      </c>
      <c r="D1245" s="28" t="s">
        <v>205</v>
      </c>
      <c r="E1245" s="28" t="s">
        <v>1300</v>
      </c>
      <c r="F1245" s="28" t="s">
        <v>1227</v>
      </c>
      <c r="G1245" s="28" t="s">
        <v>73</v>
      </c>
      <c r="H1245" s="28">
        <v>1.0</v>
      </c>
      <c r="I1245" s="28">
        <v>0.7292225201072386</v>
      </c>
      <c r="J1245" s="28">
        <v>3.0</v>
      </c>
      <c r="K1245" s="28" t="s">
        <v>57</v>
      </c>
      <c r="L1245" s="28" t="s">
        <v>57</v>
      </c>
    </row>
    <row r="1246" ht="15.75" customHeight="1">
      <c r="A1246" s="28" t="s">
        <v>45</v>
      </c>
      <c r="B1246" s="28" t="s">
        <v>2083</v>
      </c>
      <c r="D1246" s="28" t="s">
        <v>205</v>
      </c>
      <c r="E1246" s="28" t="s">
        <v>1301</v>
      </c>
      <c r="F1246" s="28" t="s">
        <v>1230</v>
      </c>
      <c r="G1246" s="28" t="s">
        <v>54</v>
      </c>
      <c r="H1246" s="28">
        <v>1.0</v>
      </c>
      <c r="I1246" s="28">
        <v>0.9546263345195729</v>
      </c>
      <c r="J1246" s="28">
        <v>7.0</v>
      </c>
      <c r="K1246" s="28" t="s">
        <v>57</v>
      </c>
      <c r="L1246" s="28" t="s">
        <v>57</v>
      </c>
    </row>
    <row r="1247" ht="15.75" customHeight="1">
      <c r="A1247" s="28" t="s">
        <v>45</v>
      </c>
      <c r="B1247" s="28" t="s">
        <v>2083</v>
      </c>
      <c r="D1247" s="28" t="s">
        <v>234</v>
      </c>
      <c r="E1247" s="28" t="s">
        <v>1302</v>
      </c>
      <c r="F1247" s="28" t="s">
        <v>1213</v>
      </c>
      <c r="G1247" s="28" t="s">
        <v>167</v>
      </c>
      <c r="H1247" s="28">
        <v>1.0</v>
      </c>
      <c r="I1247" s="28">
        <v>0.33766233766233766</v>
      </c>
      <c r="J1247" s="28">
        <v>1.0</v>
      </c>
      <c r="K1247" s="28" t="s">
        <v>57</v>
      </c>
      <c r="L1247" s="28" t="s">
        <v>57</v>
      </c>
    </row>
    <row r="1248" ht="15.75" customHeight="1">
      <c r="A1248" s="28" t="s">
        <v>45</v>
      </c>
      <c r="B1248" s="28" t="s">
        <v>2083</v>
      </c>
      <c r="D1248" s="28" t="s">
        <v>234</v>
      </c>
      <c r="E1248" s="28" t="s">
        <v>1303</v>
      </c>
      <c r="F1248" s="28" t="s">
        <v>1213</v>
      </c>
      <c r="G1248" s="28" t="s">
        <v>173</v>
      </c>
      <c r="H1248" s="28">
        <v>1.0</v>
      </c>
      <c r="I1248" s="28">
        <v>0.39644970414201186</v>
      </c>
      <c r="J1248" s="28">
        <v>5.0</v>
      </c>
      <c r="K1248" s="28" t="s">
        <v>57</v>
      </c>
      <c r="L1248" s="28" t="s">
        <v>57</v>
      </c>
    </row>
    <row r="1249" ht="15.75" customHeight="1">
      <c r="A1249" s="28" t="s">
        <v>45</v>
      </c>
      <c r="B1249" s="28" t="s">
        <v>2083</v>
      </c>
      <c r="D1249" s="28" t="s">
        <v>234</v>
      </c>
      <c r="E1249" s="28" t="s">
        <v>1304</v>
      </c>
      <c r="F1249" s="28" t="s">
        <v>1216</v>
      </c>
      <c r="G1249" s="28" t="s">
        <v>1183</v>
      </c>
      <c r="H1249" s="28">
        <v>1.0</v>
      </c>
      <c r="I1249" s="28">
        <v>0.40869565217391307</v>
      </c>
      <c r="J1249" s="28">
        <v>12.0</v>
      </c>
      <c r="K1249" s="28" t="s">
        <v>57</v>
      </c>
      <c r="L1249" s="28" t="s">
        <v>1188</v>
      </c>
    </row>
    <row r="1250" ht="15.75" customHeight="1">
      <c r="A1250" s="28" t="s">
        <v>45</v>
      </c>
      <c r="B1250" s="28" t="s">
        <v>2083</v>
      </c>
      <c r="D1250" s="28" t="s">
        <v>234</v>
      </c>
      <c r="E1250" s="28" t="s">
        <v>1305</v>
      </c>
      <c r="F1250" s="28" t="s">
        <v>1221</v>
      </c>
      <c r="G1250" s="28" t="s">
        <v>79</v>
      </c>
      <c r="H1250" s="28">
        <v>1.0</v>
      </c>
      <c r="I1250" s="28">
        <v>0.5384615384615384</v>
      </c>
      <c r="J1250" s="28">
        <v>8.0</v>
      </c>
      <c r="K1250" s="28" t="s">
        <v>57</v>
      </c>
      <c r="L1250" s="28" t="s">
        <v>57</v>
      </c>
    </row>
    <row r="1251" ht="15.75" customHeight="1">
      <c r="A1251" s="28" t="s">
        <v>45</v>
      </c>
      <c r="B1251" s="28" t="s">
        <v>2083</v>
      </c>
      <c r="D1251" s="28" t="s">
        <v>234</v>
      </c>
      <c r="E1251" s="28" t="s">
        <v>1306</v>
      </c>
      <c r="F1251" s="28" t="s">
        <v>1216</v>
      </c>
      <c r="G1251" s="28" t="s">
        <v>1200</v>
      </c>
      <c r="H1251" s="28">
        <v>1.0</v>
      </c>
      <c r="I1251" s="28">
        <v>0.6698564593301436</v>
      </c>
      <c r="J1251" s="28">
        <v>9.0</v>
      </c>
      <c r="K1251" s="28" t="s">
        <v>57</v>
      </c>
      <c r="L1251" s="28" t="s">
        <v>1188</v>
      </c>
    </row>
    <row r="1252" ht="15.75" customHeight="1">
      <c r="A1252" s="28" t="s">
        <v>45</v>
      </c>
      <c r="B1252" s="28" t="s">
        <v>2083</v>
      </c>
      <c r="D1252" s="28" t="s">
        <v>234</v>
      </c>
      <c r="E1252" s="28" t="s">
        <v>1307</v>
      </c>
      <c r="F1252" s="28" t="s">
        <v>1227</v>
      </c>
      <c r="G1252" s="28" t="s">
        <v>73</v>
      </c>
      <c r="H1252" s="28">
        <v>1.0</v>
      </c>
      <c r="I1252" s="28">
        <v>0.7265415549597856</v>
      </c>
      <c r="J1252" s="28">
        <v>2.0</v>
      </c>
      <c r="K1252" s="28" t="s">
        <v>57</v>
      </c>
      <c r="L1252" s="28" t="s">
        <v>57</v>
      </c>
    </row>
    <row r="1253" ht="15.75" customHeight="1">
      <c r="A1253" s="28" t="s">
        <v>45</v>
      </c>
      <c r="B1253" s="28" t="s">
        <v>2083</v>
      </c>
      <c r="D1253" s="28" t="s">
        <v>234</v>
      </c>
      <c r="E1253" s="28" t="s">
        <v>1308</v>
      </c>
      <c r="F1253" s="28" t="s">
        <v>1230</v>
      </c>
      <c r="G1253" s="28" t="s">
        <v>54</v>
      </c>
      <c r="H1253" s="28">
        <v>1.0</v>
      </c>
      <c r="I1253" s="28">
        <v>0.9541814946619217</v>
      </c>
      <c r="J1253" s="28">
        <v>6.0</v>
      </c>
      <c r="K1253" s="28" t="s">
        <v>57</v>
      </c>
      <c r="L1253" s="28" t="s">
        <v>57</v>
      </c>
    </row>
    <row r="1254" ht="15.75" customHeight="1">
      <c r="A1254" s="28" t="s">
        <v>45</v>
      </c>
      <c r="B1254" s="28" t="s">
        <v>2083</v>
      </c>
      <c r="D1254" s="28" t="s">
        <v>167</v>
      </c>
      <c r="E1254" s="28" t="s">
        <v>1309</v>
      </c>
      <c r="F1254" s="28" t="s">
        <v>171</v>
      </c>
      <c r="G1254" s="28" t="s">
        <v>173</v>
      </c>
      <c r="H1254" s="28">
        <v>1.0</v>
      </c>
      <c r="I1254" s="28">
        <v>0.14792899408284024</v>
      </c>
      <c r="J1254" s="28">
        <v>3.0</v>
      </c>
      <c r="K1254" s="28" t="s">
        <v>57</v>
      </c>
      <c r="L1254" s="28" t="s">
        <v>57</v>
      </c>
    </row>
    <row r="1255" ht="15.75" customHeight="1">
      <c r="A1255" s="28" t="s">
        <v>45</v>
      </c>
      <c r="B1255" s="28" t="s">
        <v>2083</v>
      </c>
      <c r="D1255" s="28" t="s">
        <v>167</v>
      </c>
      <c r="E1255" s="28" t="s">
        <v>1310</v>
      </c>
      <c r="F1255" s="28" t="s">
        <v>1311</v>
      </c>
      <c r="G1255" s="28" t="s">
        <v>79</v>
      </c>
      <c r="H1255" s="28">
        <v>1.0</v>
      </c>
      <c r="I1255" s="28">
        <v>0.3755656108597285</v>
      </c>
      <c r="J1255" s="28">
        <v>6.0</v>
      </c>
      <c r="K1255" s="28" t="s">
        <v>57</v>
      </c>
      <c r="L1255" s="28" t="s">
        <v>57</v>
      </c>
    </row>
    <row r="1256" ht="15.75" customHeight="1">
      <c r="A1256" s="28" t="s">
        <v>45</v>
      </c>
      <c r="B1256" s="28" t="s">
        <v>2083</v>
      </c>
      <c r="D1256" s="28" t="s">
        <v>167</v>
      </c>
      <c r="E1256" s="28" t="s">
        <v>1312</v>
      </c>
      <c r="F1256" s="28" t="s">
        <v>1313</v>
      </c>
      <c r="G1256" s="28" t="s">
        <v>1183</v>
      </c>
      <c r="H1256" s="28">
        <v>1.0</v>
      </c>
      <c r="I1256" s="28">
        <v>0.5584415584415584</v>
      </c>
      <c r="J1256" s="28">
        <v>10.0</v>
      </c>
      <c r="K1256" s="28" t="s">
        <v>57</v>
      </c>
      <c r="L1256" s="28" t="s">
        <v>1188</v>
      </c>
    </row>
    <row r="1257" ht="15.75" customHeight="1">
      <c r="A1257" s="28" t="s">
        <v>45</v>
      </c>
      <c r="B1257" s="28" t="s">
        <v>2083</v>
      </c>
      <c r="D1257" s="28" t="s">
        <v>167</v>
      </c>
      <c r="E1257" s="28" t="s">
        <v>1314</v>
      </c>
      <c r="F1257" s="28" t="s">
        <v>1315</v>
      </c>
      <c r="G1257" s="28" t="s">
        <v>73</v>
      </c>
      <c r="H1257" s="28">
        <v>1.0</v>
      </c>
      <c r="I1257" s="28">
        <v>0.5978552278820375</v>
      </c>
      <c r="J1257" s="28">
        <v>0.0</v>
      </c>
      <c r="K1257" s="28" t="s">
        <v>57</v>
      </c>
      <c r="L1257" s="28" t="s">
        <v>57</v>
      </c>
    </row>
    <row r="1258" ht="15.75" customHeight="1">
      <c r="A1258" s="28" t="s">
        <v>45</v>
      </c>
      <c r="B1258" s="28" t="s">
        <v>2083</v>
      </c>
      <c r="D1258" s="28" t="s">
        <v>167</v>
      </c>
      <c r="E1258" s="28" t="s">
        <v>1316</v>
      </c>
      <c r="F1258" s="28" t="s">
        <v>1313</v>
      </c>
      <c r="G1258" s="28" t="s">
        <v>1200</v>
      </c>
      <c r="H1258" s="28">
        <v>1.0</v>
      </c>
      <c r="I1258" s="28">
        <v>0.645933014354067</v>
      </c>
      <c r="J1258" s="28">
        <v>7.0</v>
      </c>
      <c r="K1258" s="28" t="s">
        <v>57</v>
      </c>
      <c r="L1258" s="28" t="s">
        <v>1188</v>
      </c>
    </row>
    <row r="1259" ht="15.75" customHeight="1">
      <c r="A1259" s="28" t="s">
        <v>45</v>
      </c>
      <c r="B1259" s="28" t="s">
        <v>2083</v>
      </c>
      <c r="D1259" s="28" t="s">
        <v>167</v>
      </c>
      <c r="E1259" s="28" t="s">
        <v>1317</v>
      </c>
      <c r="F1259" s="28" t="s">
        <v>1318</v>
      </c>
      <c r="G1259" s="28" t="s">
        <v>54</v>
      </c>
      <c r="H1259" s="28">
        <v>1.0</v>
      </c>
      <c r="I1259" s="28">
        <v>0.9341637010676157</v>
      </c>
      <c r="J1259" s="28">
        <v>4.0</v>
      </c>
      <c r="K1259" s="28" t="s">
        <v>57</v>
      </c>
      <c r="L1259" s="28" t="s">
        <v>57</v>
      </c>
    </row>
    <row r="1260" ht="15.75" customHeight="1">
      <c r="A1260" s="28" t="s">
        <v>45</v>
      </c>
      <c r="B1260" s="28" t="s">
        <v>2083</v>
      </c>
      <c r="D1260" s="28" t="s">
        <v>73</v>
      </c>
      <c r="E1260" s="28" t="s">
        <v>1319</v>
      </c>
      <c r="F1260" s="28" t="s">
        <v>1320</v>
      </c>
      <c r="G1260" s="28" t="s">
        <v>79</v>
      </c>
      <c r="H1260" s="28">
        <v>1.0</v>
      </c>
      <c r="I1260" s="28">
        <v>0.4450402144772118</v>
      </c>
      <c r="J1260" s="28">
        <v>5.0</v>
      </c>
      <c r="K1260" s="28" t="s">
        <v>57</v>
      </c>
      <c r="L1260" s="28" t="s">
        <v>57</v>
      </c>
    </row>
    <row r="1261" ht="15.75" customHeight="1">
      <c r="A1261" s="28" t="s">
        <v>45</v>
      </c>
      <c r="B1261" s="28" t="s">
        <v>2083</v>
      </c>
      <c r="D1261" s="28" t="s">
        <v>73</v>
      </c>
      <c r="E1261" s="28" t="s">
        <v>1321</v>
      </c>
      <c r="F1261" s="28" t="s">
        <v>1322</v>
      </c>
      <c r="G1261" s="28" t="s">
        <v>173</v>
      </c>
      <c r="H1261" s="28">
        <v>1.0</v>
      </c>
      <c r="I1261" s="28">
        <v>0.5710455764075067</v>
      </c>
      <c r="J1261" s="28">
        <v>2.0</v>
      </c>
      <c r="K1261" s="28" t="s">
        <v>57</v>
      </c>
      <c r="L1261" s="28" t="s">
        <v>57</v>
      </c>
    </row>
    <row r="1262" ht="15.75" customHeight="1">
      <c r="A1262" s="28" t="s">
        <v>45</v>
      </c>
      <c r="B1262" s="28" t="s">
        <v>2083</v>
      </c>
      <c r="D1262" s="28" t="s">
        <v>73</v>
      </c>
      <c r="E1262" s="28" t="s">
        <v>1323</v>
      </c>
      <c r="F1262" s="28" t="s">
        <v>1324</v>
      </c>
      <c r="G1262" s="28" t="s">
        <v>1200</v>
      </c>
      <c r="H1262" s="28">
        <v>1.0</v>
      </c>
      <c r="I1262" s="28">
        <v>0.7319034852546917</v>
      </c>
      <c r="J1262" s="28">
        <v>6.0</v>
      </c>
      <c r="K1262" s="28" t="s">
        <v>57</v>
      </c>
      <c r="L1262" s="28" t="s">
        <v>1188</v>
      </c>
    </row>
    <row r="1263" ht="15.75" customHeight="1">
      <c r="A1263" s="28" t="s">
        <v>45</v>
      </c>
      <c r="B1263" s="28" t="s">
        <v>2083</v>
      </c>
      <c r="D1263" s="28" t="s">
        <v>73</v>
      </c>
      <c r="E1263" s="28" t="s">
        <v>1325</v>
      </c>
      <c r="F1263" s="28" t="s">
        <v>1324</v>
      </c>
      <c r="G1263" s="28" t="s">
        <v>1183</v>
      </c>
      <c r="H1263" s="28">
        <v>1.0</v>
      </c>
      <c r="I1263" s="28">
        <v>0.806970509383378</v>
      </c>
      <c r="J1263" s="28">
        <v>9.0</v>
      </c>
      <c r="K1263" s="28" t="s">
        <v>57</v>
      </c>
      <c r="L1263" s="28" t="s">
        <v>1188</v>
      </c>
    </row>
    <row r="1264" ht="15.75" customHeight="1">
      <c r="A1264" s="28" t="s">
        <v>45</v>
      </c>
      <c r="B1264" s="28" t="s">
        <v>2083</v>
      </c>
      <c r="D1264" s="28" t="s">
        <v>73</v>
      </c>
      <c r="E1264" s="28" t="s">
        <v>1326</v>
      </c>
      <c r="F1264" s="28" t="s">
        <v>1327</v>
      </c>
      <c r="G1264" s="28" t="s">
        <v>54</v>
      </c>
      <c r="H1264" s="28">
        <v>1.0</v>
      </c>
      <c r="I1264" s="28">
        <v>0.8362989323843416</v>
      </c>
      <c r="J1264" s="28">
        <v>3.0</v>
      </c>
      <c r="K1264" s="28" t="s">
        <v>57</v>
      </c>
      <c r="L1264" s="28" t="s">
        <v>57</v>
      </c>
    </row>
    <row r="1265" ht="15.75" customHeight="1">
      <c r="A1265" s="28" t="s">
        <v>45</v>
      </c>
      <c r="B1265" s="28" t="s">
        <v>2083</v>
      </c>
      <c r="D1265" s="28" t="s">
        <v>123</v>
      </c>
      <c r="E1265" s="28" t="s">
        <v>2084</v>
      </c>
      <c r="F1265" s="28" t="s">
        <v>317</v>
      </c>
      <c r="G1265" s="28" t="s">
        <v>324</v>
      </c>
      <c r="H1265" s="28">
        <v>1.0</v>
      </c>
      <c r="I1265" s="28">
        <v>0.6506666666666666</v>
      </c>
      <c r="J1265" s="28">
        <v>6.0</v>
      </c>
      <c r="K1265" s="28" t="s">
        <v>57</v>
      </c>
      <c r="L1265" s="28" t="s">
        <v>1329</v>
      </c>
    </row>
    <row r="1266" ht="15.75" customHeight="1">
      <c r="A1266" s="28" t="s">
        <v>45</v>
      </c>
      <c r="B1266" s="28" t="s">
        <v>2083</v>
      </c>
      <c r="D1266" s="28" t="s">
        <v>123</v>
      </c>
      <c r="E1266" s="28" t="s">
        <v>2085</v>
      </c>
      <c r="F1266" s="28" t="s">
        <v>317</v>
      </c>
      <c r="G1266" s="28" t="s">
        <v>182</v>
      </c>
      <c r="H1266" s="28">
        <v>1.0</v>
      </c>
      <c r="I1266" s="28">
        <v>0.656</v>
      </c>
      <c r="J1266" s="28">
        <v>5.0</v>
      </c>
      <c r="K1266" s="28" t="s">
        <v>57</v>
      </c>
      <c r="L1266" s="28" t="s">
        <v>1329</v>
      </c>
    </row>
    <row r="1267" ht="15.75" customHeight="1">
      <c r="A1267" s="28" t="s">
        <v>45</v>
      </c>
      <c r="B1267" s="28" t="s">
        <v>2083</v>
      </c>
      <c r="D1267" s="28" t="s">
        <v>173</v>
      </c>
      <c r="E1267" s="28" t="s">
        <v>1331</v>
      </c>
      <c r="F1267" s="28" t="s">
        <v>1311</v>
      </c>
      <c r="G1267" s="28" t="s">
        <v>79</v>
      </c>
      <c r="H1267" s="28">
        <v>1.0</v>
      </c>
      <c r="I1267" s="28">
        <v>0.3755656108597285</v>
      </c>
      <c r="J1267" s="28">
        <v>2.0</v>
      </c>
      <c r="K1267" s="28" t="s">
        <v>57</v>
      </c>
      <c r="L1267" s="28" t="s">
        <v>57</v>
      </c>
    </row>
    <row r="1268" ht="15.75" customHeight="1">
      <c r="A1268" s="28" t="s">
        <v>45</v>
      </c>
      <c r="B1268" s="28" t="s">
        <v>2083</v>
      </c>
      <c r="D1268" s="28" t="s">
        <v>173</v>
      </c>
      <c r="E1268" s="28" t="s">
        <v>1332</v>
      </c>
      <c r="F1268" s="28" t="s">
        <v>1313</v>
      </c>
      <c r="G1268" s="28" t="s">
        <v>1183</v>
      </c>
      <c r="H1268" s="28">
        <v>1.0</v>
      </c>
      <c r="I1268" s="28">
        <v>0.5976331360946746</v>
      </c>
      <c r="J1268" s="28">
        <v>6.0</v>
      </c>
      <c r="K1268" s="28" t="s">
        <v>57</v>
      </c>
      <c r="L1268" s="28" t="s">
        <v>1188</v>
      </c>
    </row>
    <row r="1269" ht="15.75" customHeight="1">
      <c r="A1269" s="28" t="s">
        <v>45</v>
      </c>
      <c r="B1269" s="28" t="s">
        <v>2083</v>
      </c>
      <c r="D1269" s="28" t="s">
        <v>173</v>
      </c>
      <c r="E1269" s="28" t="s">
        <v>1333</v>
      </c>
      <c r="F1269" s="28" t="s">
        <v>1313</v>
      </c>
      <c r="G1269" s="28" t="s">
        <v>1200</v>
      </c>
      <c r="H1269" s="28">
        <v>1.0</v>
      </c>
      <c r="I1269" s="28">
        <v>0.6602870813397129</v>
      </c>
      <c r="J1269" s="28">
        <v>3.0</v>
      </c>
      <c r="K1269" s="28" t="s">
        <v>57</v>
      </c>
      <c r="L1269" s="28" t="s">
        <v>1188</v>
      </c>
    </row>
    <row r="1270" ht="15.75" customHeight="1">
      <c r="A1270" s="28" t="s">
        <v>45</v>
      </c>
      <c r="B1270" s="28" t="s">
        <v>2083</v>
      </c>
      <c r="D1270" s="28" t="s">
        <v>173</v>
      </c>
      <c r="E1270" s="28" t="s">
        <v>1334</v>
      </c>
      <c r="F1270" s="28" t="s">
        <v>1318</v>
      </c>
      <c r="G1270" s="28" t="s">
        <v>54</v>
      </c>
      <c r="H1270" s="28">
        <v>1.0</v>
      </c>
      <c r="I1270" s="28">
        <v>0.9279359430604982</v>
      </c>
      <c r="J1270" s="28">
        <v>0.0</v>
      </c>
      <c r="K1270" s="28" t="s">
        <v>57</v>
      </c>
      <c r="L1270" s="28" t="s">
        <v>57</v>
      </c>
    </row>
    <row r="1271" ht="15.75" customHeight="1">
      <c r="A1271" s="28" t="s">
        <v>45</v>
      </c>
      <c r="B1271" s="28" t="s">
        <v>2083</v>
      </c>
      <c r="D1271" s="28" t="s">
        <v>54</v>
      </c>
      <c r="E1271" s="28" t="s">
        <v>1335</v>
      </c>
      <c r="F1271" s="28" t="s">
        <v>1336</v>
      </c>
      <c r="G1271" s="28" t="s">
        <v>79</v>
      </c>
      <c r="H1271" s="28">
        <v>1.0</v>
      </c>
      <c r="I1271" s="28">
        <v>0.9034697508896797</v>
      </c>
      <c r="J1271" s="28">
        <v>1.0</v>
      </c>
      <c r="K1271" s="28" t="s">
        <v>57</v>
      </c>
      <c r="L1271" s="28" t="s">
        <v>57</v>
      </c>
    </row>
    <row r="1272" ht="15.75" customHeight="1">
      <c r="A1272" s="28" t="s">
        <v>45</v>
      </c>
      <c r="B1272" s="28" t="s">
        <v>2083</v>
      </c>
      <c r="D1272" s="28" t="s">
        <v>54</v>
      </c>
      <c r="E1272" s="28" t="s">
        <v>1337</v>
      </c>
      <c r="F1272" s="28" t="s">
        <v>1338</v>
      </c>
      <c r="G1272" s="28" t="s">
        <v>1200</v>
      </c>
      <c r="H1272" s="28">
        <v>1.0</v>
      </c>
      <c r="I1272" s="28">
        <v>0.9190391459074733</v>
      </c>
      <c r="J1272" s="28">
        <v>2.0</v>
      </c>
      <c r="K1272" s="28" t="s">
        <v>57</v>
      </c>
      <c r="L1272" s="28" t="s">
        <v>1188</v>
      </c>
    </row>
    <row r="1273" ht="15.75" customHeight="1">
      <c r="A1273" s="28" t="s">
        <v>45</v>
      </c>
      <c r="B1273" s="28" t="s">
        <v>2083</v>
      </c>
      <c r="D1273" s="28" t="s">
        <v>54</v>
      </c>
      <c r="E1273" s="28" t="s">
        <v>1339</v>
      </c>
      <c r="F1273" s="28" t="s">
        <v>1338</v>
      </c>
      <c r="G1273" s="28" t="s">
        <v>1183</v>
      </c>
      <c r="H1273" s="28">
        <v>1.0</v>
      </c>
      <c r="I1273" s="28">
        <v>0.9679715302491103</v>
      </c>
      <c r="J1273" s="28">
        <v>5.0</v>
      </c>
      <c r="K1273" s="28" t="s">
        <v>57</v>
      </c>
      <c r="L1273" s="28" t="s">
        <v>1188</v>
      </c>
    </row>
    <row r="1274" ht="15.75" customHeight="1">
      <c r="A1274" s="28" t="s">
        <v>45</v>
      </c>
      <c r="B1274" s="28" t="s">
        <v>2083</v>
      </c>
      <c r="D1274" s="28" t="s">
        <v>79</v>
      </c>
      <c r="E1274" s="28" t="s">
        <v>1340</v>
      </c>
      <c r="F1274" s="28" t="s">
        <v>1341</v>
      </c>
      <c r="G1274" s="28" t="s">
        <v>1200</v>
      </c>
      <c r="H1274" s="28">
        <v>1.0</v>
      </c>
      <c r="I1274" s="28">
        <v>0.6199095022624435</v>
      </c>
      <c r="J1274" s="28">
        <v>0.0</v>
      </c>
      <c r="K1274" s="28" t="s">
        <v>57</v>
      </c>
      <c r="L1274" s="28" t="s">
        <v>1188</v>
      </c>
    </row>
    <row r="1275" ht="15.75" customHeight="1">
      <c r="A1275" s="28" t="s">
        <v>45</v>
      </c>
      <c r="B1275" s="28" t="s">
        <v>2083</v>
      </c>
      <c r="D1275" s="28" t="s">
        <v>79</v>
      </c>
      <c r="E1275" s="28" t="s">
        <v>1342</v>
      </c>
      <c r="F1275" s="28" t="s">
        <v>1341</v>
      </c>
      <c r="G1275" s="28" t="s">
        <v>1183</v>
      </c>
      <c r="H1275" s="28">
        <v>1.0</v>
      </c>
      <c r="I1275" s="28">
        <v>0.669683257918552</v>
      </c>
      <c r="J1275" s="28">
        <v>3.0</v>
      </c>
      <c r="K1275" s="28" t="s">
        <v>57</v>
      </c>
      <c r="L1275" s="28" t="s">
        <v>1188</v>
      </c>
    </row>
    <row r="1276" ht="15.75" customHeight="1">
      <c r="A1276" s="28" t="s">
        <v>45</v>
      </c>
      <c r="B1276" s="28" t="s">
        <v>2083</v>
      </c>
      <c r="D1276" s="28" t="s">
        <v>1200</v>
      </c>
      <c r="E1276" s="28" t="s">
        <v>1343</v>
      </c>
      <c r="F1276" s="28" t="s">
        <v>1182</v>
      </c>
      <c r="G1276" s="28" t="s">
        <v>1183</v>
      </c>
      <c r="H1276" s="28">
        <v>1.0</v>
      </c>
      <c r="I1276" s="28">
        <v>0.6602870813397129</v>
      </c>
      <c r="J1276" s="28">
        <v>2.0</v>
      </c>
      <c r="K1276" s="28" t="s">
        <v>57</v>
      </c>
      <c r="L1276" s="28" t="s">
        <v>57</v>
      </c>
    </row>
    <row r="1277" ht="15.75" customHeight="1">
      <c r="A1277" s="28" t="s">
        <v>45</v>
      </c>
      <c r="B1277" s="28" t="s">
        <v>2083</v>
      </c>
      <c r="D1277" s="28" t="s">
        <v>182</v>
      </c>
      <c r="E1277" s="28" t="s">
        <v>2086</v>
      </c>
      <c r="F1277" s="28" t="s">
        <v>608</v>
      </c>
      <c r="G1277" s="28" t="s">
        <v>324</v>
      </c>
      <c r="H1277" s="28">
        <v>1.0</v>
      </c>
      <c r="I1277" s="28">
        <v>0.1</v>
      </c>
      <c r="J1277" s="28">
        <v>0.0</v>
      </c>
      <c r="K1277" s="28" t="s">
        <v>57</v>
      </c>
      <c r="L1277" s="28" t="s">
        <v>57</v>
      </c>
    </row>
    <row r="1278" ht="15.75" customHeight="1">
      <c r="A1278" s="28" t="s">
        <v>45</v>
      </c>
      <c r="B1278" s="28" t="s">
        <v>2083</v>
      </c>
      <c r="D1278" s="28" t="s">
        <v>991</v>
      </c>
      <c r="E1278" s="28" t="s">
        <v>2087</v>
      </c>
      <c r="F1278" s="28" t="s">
        <v>2029</v>
      </c>
      <c r="G1278" s="28" t="s">
        <v>994</v>
      </c>
      <c r="H1278" s="28">
        <v>1.0</v>
      </c>
      <c r="I1278" s="28">
        <v>0.003105590062111801</v>
      </c>
      <c r="J1278" s="28">
        <v>0.0</v>
      </c>
      <c r="K1278" s="28" t="s">
        <v>57</v>
      </c>
      <c r="L1278" s="28" t="s">
        <v>57</v>
      </c>
    </row>
    <row r="1279" ht="15.75" customHeight="1">
      <c r="A1279" s="28" t="s">
        <v>402</v>
      </c>
      <c r="B1279" s="28" t="s">
        <v>2088</v>
      </c>
      <c r="D1279" s="28" t="s">
        <v>938</v>
      </c>
      <c r="E1279" s="28" t="s">
        <v>2089</v>
      </c>
      <c r="F1279" s="28" t="s">
        <v>2090</v>
      </c>
      <c r="G1279" s="28" t="s">
        <v>941</v>
      </c>
      <c r="H1279" s="28">
        <v>1.0</v>
      </c>
      <c r="I1279" s="28">
        <v>0.05514705882352941</v>
      </c>
      <c r="J1279" s="28">
        <v>2.0</v>
      </c>
      <c r="K1279" s="28" t="s">
        <v>57</v>
      </c>
      <c r="L1279" s="28" t="s">
        <v>57</v>
      </c>
    </row>
    <row r="1280" ht="15.75" customHeight="1">
      <c r="A1280" s="28" t="s">
        <v>402</v>
      </c>
      <c r="B1280" s="28" t="s">
        <v>2088</v>
      </c>
      <c r="D1280" s="28" t="s">
        <v>938</v>
      </c>
      <c r="E1280" s="28" t="s">
        <v>2091</v>
      </c>
      <c r="F1280" s="28" t="s">
        <v>2090</v>
      </c>
      <c r="G1280" s="28" t="s">
        <v>943</v>
      </c>
      <c r="H1280" s="28">
        <v>1.0</v>
      </c>
      <c r="I1280" s="28">
        <v>0.05776173285198556</v>
      </c>
      <c r="J1280" s="28">
        <v>1.0</v>
      </c>
      <c r="K1280" s="28" t="s">
        <v>57</v>
      </c>
      <c r="L1280" s="28" t="s">
        <v>57</v>
      </c>
    </row>
    <row r="1281" ht="15.75" customHeight="1">
      <c r="A1281" s="28" t="s">
        <v>402</v>
      </c>
      <c r="B1281" s="28" t="s">
        <v>2088</v>
      </c>
      <c r="D1281" s="28" t="s">
        <v>938</v>
      </c>
      <c r="E1281" s="28" t="s">
        <v>2092</v>
      </c>
      <c r="F1281" s="28" t="s">
        <v>2090</v>
      </c>
      <c r="G1281" s="28" t="s">
        <v>945</v>
      </c>
      <c r="H1281" s="28">
        <v>1.0</v>
      </c>
      <c r="I1281" s="28">
        <v>0.058823529411764705</v>
      </c>
      <c r="J1281" s="28">
        <v>0.0</v>
      </c>
      <c r="K1281" s="28" t="s">
        <v>57</v>
      </c>
      <c r="L1281" s="28" t="s">
        <v>57</v>
      </c>
    </row>
    <row r="1282" ht="15.75" customHeight="1">
      <c r="A1282" s="28" t="s">
        <v>402</v>
      </c>
      <c r="B1282" s="28" t="s">
        <v>2088</v>
      </c>
      <c r="D1282" s="28" t="s">
        <v>945</v>
      </c>
      <c r="E1282" s="28" t="s">
        <v>2093</v>
      </c>
      <c r="F1282" s="28" t="s">
        <v>2090</v>
      </c>
      <c r="G1282" s="28" t="s">
        <v>941</v>
      </c>
      <c r="H1282" s="28">
        <v>1.0</v>
      </c>
      <c r="I1282" s="28">
        <v>0.051470588235294115</v>
      </c>
      <c r="J1282" s="28">
        <v>1.0</v>
      </c>
      <c r="K1282" s="28" t="s">
        <v>57</v>
      </c>
      <c r="L1282" s="28" t="s">
        <v>57</v>
      </c>
    </row>
    <row r="1283" ht="15.75" customHeight="1">
      <c r="A1283" s="28" t="s">
        <v>402</v>
      </c>
      <c r="B1283" s="28" t="s">
        <v>2088</v>
      </c>
      <c r="D1283" s="28" t="s">
        <v>945</v>
      </c>
      <c r="E1283" s="28" t="s">
        <v>2094</v>
      </c>
      <c r="F1283" s="28" t="s">
        <v>2090</v>
      </c>
      <c r="G1283" s="28" t="s">
        <v>943</v>
      </c>
      <c r="H1283" s="28">
        <v>1.0</v>
      </c>
      <c r="I1283" s="28">
        <v>0.061371841155234655</v>
      </c>
      <c r="J1283" s="28">
        <v>0.0</v>
      </c>
      <c r="K1283" s="28" t="s">
        <v>57</v>
      </c>
      <c r="L1283" s="28" t="s">
        <v>57</v>
      </c>
    </row>
    <row r="1284" ht="15.75" customHeight="1">
      <c r="A1284" s="28" t="s">
        <v>402</v>
      </c>
      <c r="B1284" s="28" t="s">
        <v>2088</v>
      </c>
      <c r="D1284" s="28" t="s">
        <v>943</v>
      </c>
      <c r="E1284" s="28" t="s">
        <v>2095</v>
      </c>
      <c r="F1284" s="28" t="s">
        <v>2090</v>
      </c>
      <c r="G1284" s="28" t="s">
        <v>941</v>
      </c>
      <c r="H1284" s="28">
        <v>1.0</v>
      </c>
      <c r="I1284" s="28">
        <v>0.06498194945848375</v>
      </c>
      <c r="J1284" s="28">
        <v>0.0</v>
      </c>
      <c r="K1284" s="28" t="s">
        <v>57</v>
      </c>
      <c r="L1284" s="28" t="s">
        <v>57</v>
      </c>
    </row>
    <row r="1285" ht="15.75" customHeight="1">
      <c r="A1285" s="28" t="s">
        <v>402</v>
      </c>
      <c r="B1285" s="28" t="s">
        <v>2088</v>
      </c>
      <c r="D1285" s="28" t="s">
        <v>950</v>
      </c>
      <c r="E1285" s="28" t="s">
        <v>2096</v>
      </c>
      <c r="F1285" s="28" t="s">
        <v>952</v>
      </c>
      <c r="G1285" s="28" t="s">
        <v>953</v>
      </c>
      <c r="H1285" s="28">
        <v>1.0</v>
      </c>
      <c r="I1285" s="28">
        <v>0.03067484662576687</v>
      </c>
      <c r="J1285" s="28">
        <v>2.0</v>
      </c>
      <c r="K1285" s="28" t="s">
        <v>57</v>
      </c>
      <c r="L1285" s="28" t="s">
        <v>57</v>
      </c>
    </row>
    <row r="1286" ht="15.75" customHeight="1">
      <c r="A1286" s="28" t="s">
        <v>402</v>
      </c>
      <c r="B1286" s="28" t="s">
        <v>2088</v>
      </c>
      <c r="D1286" s="28" t="s">
        <v>955</v>
      </c>
      <c r="E1286" s="28" t="s">
        <v>2097</v>
      </c>
      <c r="F1286" s="28" t="s">
        <v>957</v>
      </c>
      <c r="G1286" s="28" t="s">
        <v>958</v>
      </c>
      <c r="H1286" s="28">
        <v>1.0</v>
      </c>
      <c r="I1286" s="28">
        <v>0.032</v>
      </c>
      <c r="J1286" s="28">
        <v>2.0</v>
      </c>
      <c r="K1286" s="28" t="s">
        <v>57</v>
      </c>
      <c r="L1286" s="28" t="s">
        <v>57</v>
      </c>
    </row>
    <row r="1287" ht="15.75" customHeight="1">
      <c r="A1287" s="28" t="s">
        <v>402</v>
      </c>
      <c r="B1287" s="28" t="s">
        <v>2088</v>
      </c>
      <c r="D1287" s="28" t="s">
        <v>955</v>
      </c>
      <c r="E1287" s="28" t="s">
        <v>2098</v>
      </c>
      <c r="F1287" s="28" t="s">
        <v>960</v>
      </c>
      <c r="G1287" s="28" t="s">
        <v>961</v>
      </c>
      <c r="H1287" s="28">
        <v>1.0</v>
      </c>
      <c r="I1287" s="28">
        <v>0.2708333333333333</v>
      </c>
      <c r="J1287" s="28">
        <v>3.0</v>
      </c>
      <c r="K1287" s="28" t="s">
        <v>57</v>
      </c>
      <c r="L1287" s="28" t="s">
        <v>962</v>
      </c>
    </row>
    <row r="1288" ht="15.75" customHeight="1">
      <c r="A1288" s="28" t="s">
        <v>402</v>
      </c>
      <c r="B1288" s="28" t="s">
        <v>2088</v>
      </c>
      <c r="D1288" s="28" t="s">
        <v>955</v>
      </c>
      <c r="E1288" s="28" t="s">
        <v>2099</v>
      </c>
      <c r="F1288" s="28" t="s">
        <v>960</v>
      </c>
      <c r="G1288" s="28" t="s">
        <v>964</v>
      </c>
      <c r="H1288" s="28">
        <v>1.0</v>
      </c>
      <c r="I1288" s="28">
        <v>0.27761194029850744</v>
      </c>
      <c r="J1288" s="28">
        <v>0.0</v>
      </c>
      <c r="K1288" s="28" t="s">
        <v>57</v>
      </c>
      <c r="L1288" s="28" t="s">
        <v>962</v>
      </c>
    </row>
    <row r="1289" ht="15.75" customHeight="1">
      <c r="A1289" s="28" t="s">
        <v>402</v>
      </c>
      <c r="B1289" s="28" t="s">
        <v>2088</v>
      </c>
      <c r="D1289" s="28" t="s">
        <v>964</v>
      </c>
      <c r="E1289" s="28" t="s">
        <v>2100</v>
      </c>
      <c r="F1289" s="28" t="s">
        <v>966</v>
      </c>
      <c r="G1289" s="28" t="s">
        <v>961</v>
      </c>
      <c r="H1289" s="28">
        <v>1.0</v>
      </c>
      <c r="I1289" s="28">
        <v>0.026785714285714284</v>
      </c>
      <c r="J1289" s="28">
        <v>2.0</v>
      </c>
      <c r="K1289" s="28" t="s">
        <v>57</v>
      </c>
      <c r="L1289" s="28" t="s">
        <v>57</v>
      </c>
    </row>
    <row r="1290" ht="15.75" customHeight="1">
      <c r="A1290" s="28" t="s">
        <v>402</v>
      </c>
      <c r="B1290" s="28" t="s">
        <v>2088</v>
      </c>
      <c r="D1290" s="28" t="s">
        <v>964</v>
      </c>
      <c r="E1290" s="28" t="s">
        <v>2101</v>
      </c>
      <c r="F1290" s="28" t="s">
        <v>968</v>
      </c>
      <c r="G1290" s="28" t="s">
        <v>958</v>
      </c>
      <c r="H1290" s="28">
        <v>1.0</v>
      </c>
      <c r="I1290" s="28">
        <v>0.2626865671641791</v>
      </c>
      <c r="J1290" s="28">
        <v>1.0</v>
      </c>
      <c r="K1290" s="28" t="s">
        <v>57</v>
      </c>
      <c r="L1290" s="28" t="s">
        <v>962</v>
      </c>
    </row>
    <row r="1291" ht="15.75" customHeight="1">
      <c r="A1291" s="28" t="s">
        <v>402</v>
      </c>
      <c r="B1291" s="28" t="s">
        <v>2088</v>
      </c>
      <c r="D1291" s="28" t="s">
        <v>958</v>
      </c>
      <c r="E1291" s="28" t="s">
        <v>2102</v>
      </c>
      <c r="F1291" s="28" t="s">
        <v>960</v>
      </c>
      <c r="G1291" s="28" t="s">
        <v>961</v>
      </c>
      <c r="H1291" s="28">
        <v>1.0</v>
      </c>
      <c r="I1291" s="28">
        <v>0.27380952380952384</v>
      </c>
      <c r="J1291" s="28">
        <v>0.0</v>
      </c>
      <c r="K1291" s="28" t="s">
        <v>57</v>
      </c>
      <c r="L1291" s="28" t="s">
        <v>962</v>
      </c>
    </row>
    <row r="1292" ht="15.75" customHeight="1">
      <c r="A1292" s="28" t="s">
        <v>402</v>
      </c>
      <c r="B1292" s="28" t="s">
        <v>2088</v>
      </c>
      <c r="D1292" s="28" t="s">
        <v>970</v>
      </c>
      <c r="E1292" s="28" t="s">
        <v>2103</v>
      </c>
      <c r="F1292" s="28" t="s">
        <v>972</v>
      </c>
      <c r="G1292" s="28" t="s">
        <v>973</v>
      </c>
      <c r="H1292" s="28">
        <v>1.0</v>
      </c>
      <c r="I1292" s="28">
        <v>0.3581267217630854</v>
      </c>
      <c r="J1292" s="28">
        <v>0.0</v>
      </c>
      <c r="K1292" s="28" t="s">
        <v>57</v>
      </c>
      <c r="L1292" s="28" t="s">
        <v>962</v>
      </c>
    </row>
    <row r="1293" ht="15.75" customHeight="1">
      <c r="A1293" s="28" t="s">
        <v>402</v>
      </c>
      <c r="B1293" s="28" t="s">
        <v>2088</v>
      </c>
      <c r="D1293" s="28" t="s">
        <v>970</v>
      </c>
      <c r="E1293" s="28" t="s">
        <v>2104</v>
      </c>
      <c r="F1293" s="28" t="s">
        <v>975</v>
      </c>
      <c r="G1293" s="28" t="s">
        <v>976</v>
      </c>
      <c r="H1293" s="28">
        <v>1.0</v>
      </c>
      <c r="I1293" s="28">
        <v>0.42355889724310775</v>
      </c>
      <c r="J1293" s="28">
        <v>1.0</v>
      </c>
      <c r="K1293" s="28" t="s">
        <v>57</v>
      </c>
      <c r="L1293" s="28" t="s">
        <v>962</v>
      </c>
    </row>
    <row r="1294" ht="15.75" customHeight="1">
      <c r="A1294" s="28" t="s">
        <v>402</v>
      </c>
      <c r="B1294" s="28" t="s">
        <v>2088</v>
      </c>
      <c r="D1294" s="28" t="s">
        <v>970</v>
      </c>
      <c r="E1294" s="28" t="s">
        <v>2105</v>
      </c>
      <c r="F1294" s="28" t="s">
        <v>978</v>
      </c>
      <c r="G1294" s="28" t="s">
        <v>979</v>
      </c>
      <c r="H1294" s="28">
        <v>1.0</v>
      </c>
      <c r="I1294" s="28">
        <v>0.5145833333333333</v>
      </c>
      <c r="J1294" s="28">
        <v>2.0</v>
      </c>
      <c r="K1294" s="28" t="s">
        <v>57</v>
      </c>
      <c r="L1294" s="28" t="s">
        <v>962</v>
      </c>
    </row>
    <row r="1295" ht="15.75" customHeight="1">
      <c r="A1295" s="28" t="s">
        <v>402</v>
      </c>
      <c r="B1295" s="28" t="s">
        <v>2088</v>
      </c>
      <c r="D1295" s="28" t="s">
        <v>973</v>
      </c>
      <c r="E1295" s="28" t="s">
        <v>2106</v>
      </c>
      <c r="F1295" s="28" t="s">
        <v>981</v>
      </c>
      <c r="G1295" s="28" t="s">
        <v>976</v>
      </c>
      <c r="H1295" s="28">
        <v>1.0</v>
      </c>
      <c r="I1295" s="28">
        <v>0.2781954887218045</v>
      </c>
      <c r="J1295" s="28">
        <v>0.0</v>
      </c>
      <c r="K1295" s="28" t="s">
        <v>57</v>
      </c>
      <c r="L1295" s="28" t="s">
        <v>57</v>
      </c>
    </row>
    <row r="1296" ht="15.75" customHeight="1">
      <c r="A1296" s="28" t="s">
        <v>402</v>
      </c>
      <c r="B1296" s="28" t="s">
        <v>2088</v>
      </c>
      <c r="D1296" s="28" t="s">
        <v>973</v>
      </c>
      <c r="E1296" s="28" t="s">
        <v>2107</v>
      </c>
      <c r="F1296" s="28" t="s">
        <v>983</v>
      </c>
      <c r="G1296" s="28" t="s">
        <v>979</v>
      </c>
      <c r="H1296" s="28">
        <v>1.0</v>
      </c>
      <c r="I1296" s="28">
        <v>0.35208333333333336</v>
      </c>
      <c r="J1296" s="28">
        <v>1.0</v>
      </c>
      <c r="K1296" s="28" t="s">
        <v>57</v>
      </c>
      <c r="L1296" s="28" t="s">
        <v>57</v>
      </c>
    </row>
    <row r="1297" ht="15.75" customHeight="1">
      <c r="A1297" s="28" t="s">
        <v>402</v>
      </c>
      <c r="B1297" s="28" t="s">
        <v>2088</v>
      </c>
      <c r="D1297" s="28" t="s">
        <v>976</v>
      </c>
      <c r="E1297" s="28" t="s">
        <v>2108</v>
      </c>
      <c r="F1297" s="28" t="s">
        <v>985</v>
      </c>
      <c r="G1297" s="28" t="s">
        <v>979</v>
      </c>
      <c r="H1297" s="28">
        <v>1.0</v>
      </c>
      <c r="I1297" s="28">
        <v>0.18125</v>
      </c>
      <c r="J1297" s="28">
        <v>0.0</v>
      </c>
      <c r="K1297" s="28" t="s">
        <v>57</v>
      </c>
      <c r="L1297" s="28" t="s">
        <v>57</v>
      </c>
    </row>
    <row r="1298" ht="15.75" customHeight="1">
      <c r="A1298" s="28" t="s">
        <v>402</v>
      </c>
      <c r="B1298" s="28" t="s">
        <v>2088</v>
      </c>
      <c r="D1298" s="28" t="s">
        <v>405</v>
      </c>
      <c r="E1298" s="28" t="s">
        <v>2109</v>
      </c>
      <c r="F1298" s="28" t="s">
        <v>409</v>
      </c>
      <c r="G1298" s="28" t="s">
        <v>411</v>
      </c>
      <c r="H1298" s="28">
        <v>0.5</v>
      </c>
      <c r="I1298" s="28">
        <v>0.07246376811594203</v>
      </c>
      <c r="J1298" s="28">
        <v>1.0</v>
      </c>
      <c r="K1298" s="28" t="s">
        <v>57</v>
      </c>
      <c r="L1298" s="28" t="s">
        <v>2110</v>
      </c>
    </row>
    <row r="1299" ht="15.75" customHeight="1">
      <c r="A1299" s="28" t="s">
        <v>131</v>
      </c>
      <c r="B1299" s="28" t="s">
        <v>2111</v>
      </c>
      <c r="D1299" s="28" t="s">
        <v>134</v>
      </c>
      <c r="E1299" s="28" t="s">
        <v>1800</v>
      </c>
      <c r="F1299" s="28" t="s">
        <v>276</v>
      </c>
      <c r="G1299" s="28" t="s">
        <v>329</v>
      </c>
      <c r="H1299" s="28">
        <v>1.0</v>
      </c>
      <c r="I1299" s="28">
        <v>0.13592233009708737</v>
      </c>
      <c r="J1299" s="28">
        <v>0.0</v>
      </c>
      <c r="K1299" s="28" t="s">
        <v>57</v>
      </c>
      <c r="L1299" s="28" t="s">
        <v>57</v>
      </c>
    </row>
    <row r="1300" ht="15.75" customHeight="1">
      <c r="A1300" s="28" t="s">
        <v>131</v>
      </c>
      <c r="B1300" s="28" t="s">
        <v>2111</v>
      </c>
      <c r="D1300" s="28" t="s">
        <v>134</v>
      </c>
      <c r="E1300" s="28" t="s">
        <v>1801</v>
      </c>
      <c r="F1300" s="28" t="s">
        <v>276</v>
      </c>
      <c r="G1300" s="28" t="s">
        <v>334</v>
      </c>
      <c r="H1300" s="28">
        <v>1.0</v>
      </c>
      <c r="I1300" s="28">
        <v>0.1796116504854369</v>
      </c>
      <c r="J1300" s="28">
        <v>6.0</v>
      </c>
      <c r="K1300" s="28" t="s">
        <v>57</v>
      </c>
      <c r="L1300" s="28" t="s">
        <v>57</v>
      </c>
    </row>
    <row r="1301" ht="15.75" customHeight="1">
      <c r="A1301" s="28" t="s">
        <v>131</v>
      </c>
      <c r="B1301" s="28" t="s">
        <v>2111</v>
      </c>
      <c r="D1301" s="28" t="s">
        <v>134</v>
      </c>
      <c r="E1301" s="28" t="s">
        <v>1802</v>
      </c>
      <c r="F1301" s="28" t="s">
        <v>276</v>
      </c>
      <c r="G1301" s="28" t="s">
        <v>339</v>
      </c>
      <c r="H1301" s="28">
        <v>1.0</v>
      </c>
      <c r="I1301" s="28">
        <v>0.1941747572815534</v>
      </c>
      <c r="J1301" s="28">
        <v>7.0</v>
      </c>
      <c r="K1301" s="28" t="s">
        <v>57</v>
      </c>
      <c r="L1301" s="28" t="s">
        <v>57</v>
      </c>
    </row>
    <row r="1302" ht="15.75" customHeight="1">
      <c r="A1302" s="28" t="s">
        <v>131</v>
      </c>
      <c r="B1302" s="28" t="s">
        <v>2111</v>
      </c>
      <c r="D1302" s="28" t="s">
        <v>134</v>
      </c>
      <c r="E1302" s="28" t="s">
        <v>1803</v>
      </c>
      <c r="F1302" s="28" t="s">
        <v>276</v>
      </c>
      <c r="G1302" s="28" t="s">
        <v>378</v>
      </c>
      <c r="H1302" s="28">
        <v>1.0</v>
      </c>
      <c r="I1302" s="28">
        <v>0.24537037037037038</v>
      </c>
      <c r="J1302" s="28">
        <v>13.0</v>
      </c>
      <c r="K1302" s="28" t="s">
        <v>57</v>
      </c>
      <c r="L1302" s="28" t="s">
        <v>57</v>
      </c>
    </row>
    <row r="1303" ht="15.75" customHeight="1">
      <c r="A1303" s="28" t="s">
        <v>131</v>
      </c>
      <c r="B1303" s="28" t="s">
        <v>2111</v>
      </c>
      <c r="D1303" s="28" t="s">
        <v>134</v>
      </c>
      <c r="E1303" s="28" t="s">
        <v>1804</v>
      </c>
      <c r="F1303" s="28" t="s">
        <v>260</v>
      </c>
      <c r="G1303" s="28" t="s">
        <v>262</v>
      </c>
      <c r="H1303" s="28">
        <v>1.0</v>
      </c>
      <c r="I1303" s="28">
        <v>0.32524271844660196</v>
      </c>
      <c r="J1303" s="28">
        <v>11.0</v>
      </c>
      <c r="K1303" s="28" t="s">
        <v>57</v>
      </c>
      <c r="L1303" s="28" t="s">
        <v>57</v>
      </c>
    </row>
    <row r="1304" ht="15.75" customHeight="1">
      <c r="A1304" s="28" t="s">
        <v>131</v>
      </c>
      <c r="B1304" s="28" t="s">
        <v>2111</v>
      </c>
      <c r="D1304" s="28" t="s">
        <v>134</v>
      </c>
      <c r="E1304" s="28" t="s">
        <v>1805</v>
      </c>
      <c r="F1304" s="28" t="s">
        <v>276</v>
      </c>
      <c r="G1304" s="28" t="s">
        <v>256</v>
      </c>
      <c r="H1304" s="28">
        <v>1.0</v>
      </c>
      <c r="I1304" s="28">
        <v>0.34951456310679613</v>
      </c>
      <c r="J1304" s="28">
        <v>1.0</v>
      </c>
      <c r="K1304" s="28" t="s">
        <v>57</v>
      </c>
      <c r="L1304" s="28" t="s">
        <v>57</v>
      </c>
    </row>
    <row r="1305" ht="15.75" customHeight="1">
      <c r="A1305" s="28" t="s">
        <v>131</v>
      </c>
      <c r="B1305" s="28" t="s">
        <v>2111</v>
      </c>
      <c r="D1305" s="28" t="s">
        <v>134</v>
      </c>
      <c r="E1305" s="28" t="s">
        <v>1806</v>
      </c>
      <c r="F1305" s="28" t="s">
        <v>396</v>
      </c>
      <c r="G1305" s="28" t="s">
        <v>398</v>
      </c>
      <c r="H1305" s="28">
        <v>1.0</v>
      </c>
      <c r="I1305" s="28">
        <v>0.3548387096774194</v>
      </c>
      <c r="J1305" s="28">
        <v>29.0</v>
      </c>
      <c r="K1305" s="28" t="s">
        <v>57</v>
      </c>
      <c r="L1305" s="28" t="s">
        <v>696</v>
      </c>
    </row>
    <row r="1306" ht="15.75" customHeight="1">
      <c r="A1306" s="28" t="s">
        <v>131</v>
      </c>
      <c r="B1306" s="28" t="s">
        <v>2111</v>
      </c>
      <c r="D1306" s="28" t="s">
        <v>134</v>
      </c>
      <c r="E1306" s="28" t="s">
        <v>1807</v>
      </c>
      <c r="F1306" s="28" t="s">
        <v>276</v>
      </c>
      <c r="G1306" s="28" t="s">
        <v>385</v>
      </c>
      <c r="H1306" s="28">
        <v>1.0</v>
      </c>
      <c r="I1306" s="28">
        <v>0.3640776699029126</v>
      </c>
      <c r="J1306" s="28">
        <v>14.0</v>
      </c>
      <c r="K1306" s="28" t="s">
        <v>57</v>
      </c>
      <c r="L1306" s="28" t="s">
        <v>57</v>
      </c>
    </row>
    <row r="1307" ht="15.75" customHeight="1">
      <c r="A1307" s="28" t="s">
        <v>131</v>
      </c>
      <c r="B1307" s="28" t="s">
        <v>2111</v>
      </c>
      <c r="D1307" s="28" t="s">
        <v>134</v>
      </c>
      <c r="E1307" s="28" t="s">
        <v>1808</v>
      </c>
      <c r="F1307" s="28" t="s">
        <v>260</v>
      </c>
      <c r="G1307" s="28" t="s">
        <v>392</v>
      </c>
      <c r="H1307" s="28">
        <v>1.0</v>
      </c>
      <c r="I1307" s="28">
        <v>0.36893203883495146</v>
      </c>
      <c r="J1307" s="28">
        <v>28.0</v>
      </c>
      <c r="K1307" s="28" t="s">
        <v>57</v>
      </c>
      <c r="L1307" s="28" t="s">
        <v>57</v>
      </c>
    </row>
    <row r="1308" ht="15.75" customHeight="1">
      <c r="A1308" s="28" t="s">
        <v>131</v>
      </c>
      <c r="B1308" s="28" t="s">
        <v>2111</v>
      </c>
      <c r="D1308" s="28" t="s">
        <v>134</v>
      </c>
      <c r="E1308" s="28" t="s">
        <v>1809</v>
      </c>
      <c r="F1308" s="28" t="s">
        <v>276</v>
      </c>
      <c r="G1308" s="28" t="s">
        <v>310</v>
      </c>
      <c r="H1308" s="28">
        <v>1.0</v>
      </c>
      <c r="I1308" s="28">
        <v>0.4029126213592233</v>
      </c>
      <c r="J1308" s="28">
        <v>24.0</v>
      </c>
      <c r="K1308" s="28" t="s">
        <v>57</v>
      </c>
      <c r="L1308" s="28" t="s">
        <v>57</v>
      </c>
    </row>
    <row r="1309" ht="15.75" customHeight="1">
      <c r="A1309" s="28" t="s">
        <v>131</v>
      </c>
      <c r="B1309" s="28" t="s">
        <v>2111</v>
      </c>
      <c r="D1309" s="28" t="s">
        <v>134</v>
      </c>
      <c r="E1309" s="28" t="s">
        <v>1810</v>
      </c>
      <c r="F1309" s="28" t="s">
        <v>276</v>
      </c>
      <c r="G1309" s="28" t="s">
        <v>278</v>
      </c>
      <c r="H1309" s="28">
        <v>1.0</v>
      </c>
      <c r="I1309" s="28">
        <v>0.4077669902912621</v>
      </c>
      <c r="J1309" s="28">
        <v>20.0</v>
      </c>
      <c r="K1309" s="28" t="s">
        <v>57</v>
      </c>
      <c r="L1309" s="28" t="s">
        <v>57</v>
      </c>
    </row>
    <row r="1310" ht="15.75" customHeight="1">
      <c r="A1310" s="28" t="s">
        <v>131</v>
      </c>
      <c r="B1310" s="28" t="s">
        <v>2111</v>
      </c>
      <c r="D1310" s="28" t="s">
        <v>134</v>
      </c>
      <c r="E1310" s="28" t="s">
        <v>1811</v>
      </c>
      <c r="F1310" s="28" t="s">
        <v>687</v>
      </c>
      <c r="G1310" s="28" t="s">
        <v>364</v>
      </c>
      <c r="H1310" s="28">
        <v>1.0</v>
      </c>
      <c r="I1310" s="28">
        <v>0.4563106796116505</v>
      </c>
      <c r="J1310" s="28">
        <v>26.0</v>
      </c>
      <c r="K1310" s="28" t="s">
        <v>57</v>
      </c>
      <c r="L1310" s="28" t="s">
        <v>57</v>
      </c>
    </row>
    <row r="1311" ht="15.75" customHeight="1">
      <c r="A1311" s="28" t="s">
        <v>131</v>
      </c>
      <c r="B1311" s="28" t="s">
        <v>2111</v>
      </c>
      <c r="D1311" s="28" t="s">
        <v>134</v>
      </c>
      <c r="E1311" s="28" t="s">
        <v>1812</v>
      </c>
      <c r="F1311" s="28" t="s">
        <v>687</v>
      </c>
      <c r="G1311" s="28" t="s">
        <v>295</v>
      </c>
      <c r="H1311" s="28">
        <v>1.0</v>
      </c>
      <c r="I1311" s="28">
        <v>0.46116504854368934</v>
      </c>
      <c r="J1311" s="28">
        <v>25.0</v>
      </c>
      <c r="K1311" s="28" t="s">
        <v>57</v>
      </c>
      <c r="L1311" s="28" t="s">
        <v>57</v>
      </c>
    </row>
    <row r="1312" ht="15.75" customHeight="1">
      <c r="A1312" s="28" t="s">
        <v>131</v>
      </c>
      <c r="B1312" s="28" t="s">
        <v>2111</v>
      </c>
      <c r="D1312" s="28" t="s">
        <v>134</v>
      </c>
      <c r="E1312" s="28" t="s">
        <v>1813</v>
      </c>
      <c r="F1312" s="28" t="s">
        <v>691</v>
      </c>
      <c r="G1312" s="28" t="s">
        <v>345</v>
      </c>
      <c r="H1312" s="28">
        <v>1.0</v>
      </c>
      <c r="I1312" s="28">
        <v>0.5120274914089347</v>
      </c>
      <c r="J1312" s="28">
        <v>12.0</v>
      </c>
      <c r="K1312" s="28" t="s">
        <v>57</v>
      </c>
      <c r="L1312" s="28" t="s">
        <v>57</v>
      </c>
    </row>
    <row r="1313" ht="15.75" customHeight="1">
      <c r="A1313" s="28" t="s">
        <v>131</v>
      </c>
      <c r="B1313" s="28" t="s">
        <v>2111</v>
      </c>
      <c r="D1313" s="28" t="s">
        <v>134</v>
      </c>
      <c r="E1313" s="28" t="s">
        <v>1814</v>
      </c>
      <c r="F1313" s="28" t="s">
        <v>691</v>
      </c>
      <c r="G1313" s="28" t="s">
        <v>252</v>
      </c>
      <c r="H1313" s="28">
        <v>1.0</v>
      </c>
      <c r="I1313" s="28">
        <v>0.5136986301369864</v>
      </c>
      <c r="J1313" s="28">
        <v>9.0</v>
      </c>
      <c r="K1313" s="28" t="s">
        <v>57</v>
      </c>
      <c r="L1313" s="28" t="s">
        <v>57</v>
      </c>
    </row>
    <row r="1314" ht="15.75" customHeight="1">
      <c r="A1314" s="28" t="s">
        <v>131</v>
      </c>
      <c r="B1314" s="28" t="s">
        <v>2111</v>
      </c>
      <c r="D1314" s="28" t="s">
        <v>134</v>
      </c>
      <c r="E1314" s="28" t="s">
        <v>1815</v>
      </c>
      <c r="F1314" s="28" t="s">
        <v>1375</v>
      </c>
      <c r="G1314" s="28" t="s">
        <v>370</v>
      </c>
      <c r="H1314" s="28">
        <v>1.0</v>
      </c>
      <c r="I1314" s="28">
        <v>0.5171102661596958</v>
      </c>
      <c r="J1314" s="28">
        <v>27.0</v>
      </c>
      <c r="K1314" s="28" t="s">
        <v>57</v>
      </c>
      <c r="L1314" s="28" t="s">
        <v>57</v>
      </c>
    </row>
    <row r="1315" ht="15.75" customHeight="1">
      <c r="A1315" s="28" t="s">
        <v>131</v>
      </c>
      <c r="B1315" s="28" t="s">
        <v>2111</v>
      </c>
      <c r="D1315" s="28" t="s">
        <v>134</v>
      </c>
      <c r="E1315" s="28" t="s">
        <v>1816</v>
      </c>
      <c r="F1315" s="28" t="s">
        <v>691</v>
      </c>
      <c r="G1315" s="28" t="s">
        <v>270</v>
      </c>
      <c r="H1315" s="28">
        <v>1.0</v>
      </c>
      <c r="I1315" s="28">
        <v>0.5186440677966102</v>
      </c>
      <c r="J1315" s="28">
        <v>10.0</v>
      </c>
      <c r="K1315" s="28" t="s">
        <v>57</v>
      </c>
      <c r="L1315" s="28" t="s">
        <v>57</v>
      </c>
    </row>
    <row r="1316" ht="15.75" customHeight="1">
      <c r="A1316" s="28" t="s">
        <v>131</v>
      </c>
      <c r="B1316" s="28" t="s">
        <v>2111</v>
      </c>
      <c r="D1316" s="28" t="s">
        <v>134</v>
      </c>
      <c r="E1316" s="28" t="s">
        <v>1817</v>
      </c>
      <c r="F1316" s="28" t="s">
        <v>695</v>
      </c>
      <c r="G1316" s="28" t="s">
        <v>213</v>
      </c>
      <c r="H1316" s="28">
        <v>1.0</v>
      </c>
      <c r="I1316" s="28">
        <v>0.5837696335078534</v>
      </c>
      <c r="J1316" s="28">
        <v>8.0</v>
      </c>
      <c r="K1316" s="28" t="s">
        <v>57</v>
      </c>
      <c r="L1316" s="28" t="s">
        <v>696</v>
      </c>
    </row>
    <row r="1317" ht="15.75" customHeight="1">
      <c r="A1317" s="28" t="s">
        <v>131</v>
      </c>
      <c r="B1317" s="28" t="s">
        <v>2111</v>
      </c>
      <c r="D1317" s="28" t="s">
        <v>134</v>
      </c>
      <c r="E1317" s="28" t="s">
        <v>1818</v>
      </c>
      <c r="F1317" s="28" t="s">
        <v>698</v>
      </c>
      <c r="G1317" s="28" t="s">
        <v>287</v>
      </c>
      <c r="H1317" s="28">
        <v>1.0</v>
      </c>
      <c r="I1317" s="28">
        <v>0.6563245823389021</v>
      </c>
      <c r="J1317" s="28">
        <v>23.0</v>
      </c>
      <c r="K1317" s="28" t="s">
        <v>57</v>
      </c>
      <c r="L1317" s="28" t="s">
        <v>57</v>
      </c>
    </row>
    <row r="1318" ht="15.75" customHeight="1">
      <c r="A1318" s="28" t="s">
        <v>131</v>
      </c>
      <c r="B1318" s="28" t="s">
        <v>2111</v>
      </c>
      <c r="D1318" s="28" t="s">
        <v>134</v>
      </c>
      <c r="E1318" s="28" t="s">
        <v>1819</v>
      </c>
      <c r="F1318" s="28" t="s">
        <v>138</v>
      </c>
      <c r="G1318" s="28" t="s">
        <v>140</v>
      </c>
      <c r="H1318" s="28">
        <v>1.0</v>
      </c>
      <c r="I1318" s="28">
        <v>0.6903846153846154</v>
      </c>
      <c r="J1318" s="28">
        <v>4.0</v>
      </c>
      <c r="K1318" s="28" t="s">
        <v>57</v>
      </c>
      <c r="L1318" s="28" t="s">
        <v>696</v>
      </c>
    </row>
    <row r="1319" ht="15.75" customHeight="1">
      <c r="A1319" s="28" t="s">
        <v>131</v>
      </c>
      <c r="B1319" s="28" t="s">
        <v>2111</v>
      </c>
      <c r="D1319" s="28" t="s">
        <v>134</v>
      </c>
      <c r="E1319" s="28" t="s">
        <v>1820</v>
      </c>
      <c r="F1319" s="28" t="s">
        <v>701</v>
      </c>
      <c r="G1319" s="28" t="s">
        <v>303</v>
      </c>
      <c r="H1319" s="28">
        <v>1.0</v>
      </c>
      <c r="I1319" s="28">
        <v>0.7676348547717843</v>
      </c>
      <c r="J1319" s="28">
        <v>21.0</v>
      </c>
      <c r="K1319" s="28" t="s">
        <v>57</v>
      </c>
      <c r="L1319" s="28" t="s">
        <v>57</v>
      </c>
    </row>
    <row r="1320" ht="15.75" customHeight="1">
      <c r="A1320" s="28" t="s">
        <v>131</v>
      </c>
      <c r="B1320" s="28" t="s">
        <v>2111</v>
      </c>
      <c r="D1320" s="28" t="s">
        <v>134</v>
      </c>
      <c r="E1320" s="28" t="s">
        <v>1821</v>
      </c>
      <c r="F1320" s="28" t="s">
        <v>703</v>
      </c>
      <c r="G1320" s="28" t="s">
        <v>149</v>
      </c>
      <c r="H1320" s="28">
        <v>1.0</v>
      </c>
      <c r="I1320" s="28">
        <v>0.7748344370860927</v>
      </c>
      <c r="J1320" s="28">
        <v>5.0</v>
      </c>
      <c r="K1320" s="28" t="s">
        <v>57</v>
      </c>
      <c r="L1320" s="28" t="s">
        <v>696</v>
      </c>
    </row>
    <row r="1321" ht="15.75" customHeight="1">
      <c r="A1321" s="28" t="s">
        <v>131</v>
      </c>
      <c r="B1321" s="28" t="s">
        <v>2111</v>
      </c>
      <c r="D1321" s="28" t="s">
        <v>134</v>
      </c>
      <c r="E1321" s="28" t="s">
        <v>1822</v>
      </c>
      <c r="F1321" s="28" t="s">
        <v>705</v>
      </c>
      <c r="G1321" s="28" t="s">
        <v>241</v>
      </c>
      <c r="H1321" s="28">
        <v>1.0</v>
      </c>
      <c r="I1321" s="28">
        <v>0.8624296057924377</v>
      </c>
      <c r="J1321" s="28">
        <v>19.0</v>
      </c>
      <c r="K1321" s="28" t="s">
        <v>57</v>
      </c>
      <c r="L1321" s="28" t="s">
        <v>57</v>
      </c>
    </row>
    <row r="1322" ht="15.75" customHeight="1">
      <c r="A1322" s="28" t="s">
        <v>131</v>
      </c>
      <c r="B1322" s="28" t="s">
        <v>2111</v>
      </c>
      <c r="D1322" s="28" t="s">
        <v>329</v>
      </c>
      <c r="E1322" s="28" t="s">
        <v>1823</v>
      </c>
      <c r="F1322" s="28" t="s">
        <v>276</v>
      </c>
      <c r="G1322" s="28" t="s">
        <v>334</v>
      </c>
      <c r="H1322" s="28">
        <v>1.0</v>
      </c>
      <c r="I1322" s="28">
        <v>0.055865921787709494</v>
      </c>
      <c r="J1322" s="28">
        <v>5.0</v>
      </c>
      <c r="K1322" s="28" t="s">
        <v>57</v>
      </c>
      <c r="L1322" s="28" t="s">
        <v>57</v>
      </c>
    </row>
    <row r="1323" ht="15.75" customHeight="1">
      <c r="A1323" s="28" t="s">
        <v>131</v>
      </c>
      <c r="B1323" s="28" t="s">
        <v>2111</v>
      </c>
      <c r="D1323" s="28" t="s">
        <v>329</v>
      </c>
      <c r="E1323" s="28" t="s">
        <v>1824</v>
      </c>
      <c r="F1323" s="28" t="s">
        <v>276</v>
      </c>
      <c r="G1323" s="28" t="s">
        <v>339</v>
      </c>
      <c r="H1323" s="28">
        <v>1.0</v>
      </c>
      <c r="I1323" s="28">
        <v>0.07262569832402235</v>
      </c>
      <c r="J1323" s="28">
        <v>6.0</v>
      </c>
      <c r="K1323" s="28" t="s">
        <v>57</v>
      </c>
      <c r="L1323" s="28" t="s">
        <v>57</v>
      </c>
    </row>
    <row r="1324" ht="15.75" customHeight="1">
      <c r="A1324" s="28" t="s">
        <v>131</v>
      </c>
      <c r="B1324" s="28" t="s">
        <v>2111</v>
      </c>
      <c r="D1324" s="28" t="s">
        <v>329</v>
      </c>
      <c r="E1324" s="28" t="s">
        <v>1825</v>
      </c>
      <c r="F1324" s="28" t="s">
        <v>276</v>
      </c>
      <c r="G1324" s="28" t="s">
        <v>378</v>
      </c>
      <c r="H1324" s="28">
        <v>1.0</v>
      </c>
      <c r="I1324" s="28">
        <v>0.25462962962962965</v>
      </c>
      <c r="J1324" s="28">
        <v>12.0</v>
      </c>
      <c r="K1324" s="28" t="s">
        <v>57</v>
      </c>
      <c r="L1324" s="28" t="s">
        <v>57</v>
      </c>
    </row>
    <row r="1325" ht="15.75" customHeight="1">
      <c r="A1325" s="28" t="s">
        <v>131</v>
      </c>
      <c r="B1325" s="28" t="s">
        <v>2111</v>
      </c>
      <c r="D1325" s="28" t="s">
        <v>329</v>
      </c>
      <c r="E1325" s="28" t="s">
        <v>1826</v>
      </c>
      <c r="F1325" s="28" t="s">
        <v>276</v>
      </c>
      <c r="G1325" s="28" t="s">
        <v>385</v>
      </c>
      <c r="H1325" s="28">
        <v>1.0</v>
      </c>
      <c r="I1325" s="28">
        <v>0.2737430167597765</v>
      </c>
      <c r="J1325" s="28">
        <v>13.0</v>
      </c>
      <c r="K1325" s="28" t="s">
        <v>57</v>
      </c>
      <c r="L1325" s="28" t="s">
        <v>57</v>
      </c>
    </row>
    <row r="1326" ht="15.75" customHeight="1">
      <c r="A1326" s="28" t="s">
        <v>131</v>
      </c>
      <c r="B1326" s="28" t="s">
        <v>2111</v>
      </c>
      <c r="D1326" s="28" t="s">
        <v>329</v>
      </c>
      <c r="E1326" s="28" t="s">
        <v>1827</v>
      </c>
      <c r="F1326" s="28" t="s">
        <v>276</v>
      </c>
      <c r="G1326" s="28" t="s">
        <v>310</v>
      </c>
      <c r="H1326" s="28">
        <v>1.0</v>
      </c>
      <c r="I1326" s="28">
        <v>0.31843575418994413</v>
      </c>
      <c r="J1326" s="28">
        <v>23.0</v>
      </c>
      <c r="K1326" s="28" t="s">
        <v>57</v>
      </c>
      <c r="L1326" s="28" t="s">
        <v>57</v>
      </c>
    </row>
    <row r="1327" ht="15.75" customHeight="1">
      <c r="A1327" s="28" t="s">
        <v>131</v>
      </c>
      <c r="B1327" s="28" t="s">
        <v>2111</v>
      </c>
      <c r="D1327" s="28" t="s">
        <v>329</v>
      </c>
      <c r="E1327" s="28" t="s">
        <v>1828</v>
      </c>
      <c r="F1327" s="28" t="s">
        <v>276</v>
      </c>
      <c r="G1327" s="28" t="s">
        <v>278</v>
      </c>
      <c r="H1327" s="28">
        <v>1.0</v>
      </c>
      <c r="I1327" s="28">
        <v>0.31843575418994413</v>
      </c>
      <c r="J1327" s="28">
        <v>19.0</v>
      </c>
      <c r="K1327" s="28" t="s">
        <v>57</v>
      </c>
      <c r="L1327" s="28" t="s">
        <v>57</v>
      </c>
    </row>
    <row r="1328" ht="15.75" customHeight="1">
      <c r="A1328" s="28" t="s">
        <v>131</v>
      </c>
      <c r="B1328" s="28" t="s">
        <v>2111</v>
      </c>
      <c r="D1328" s="28" t="s">
        <v>329</v>
      </c>
      <c r="E1328" s="28" t="s">
        <v>1829</v>
      </c>
      <c r="F1328" s="28" t="s">
        <v>260</v>
      </c>
      <c r="G1328" s="28" t="s">
        <v>262</v>
      </c>
      <c r="H1328" s="28">
        <v>1.0</v>
      </c>
      <c r="I1328" s="28">
        <v>0.36312849162011174</v>
      </c>
      <c r="J1328" s="28">
        <v>10.0</v>
      </c>
      <c r="K1328" s="28" t="s">
        <v>57</v>
      </c>
      <c r="L1328" s="28" t="s">
        <v>57</v>
      </c>
    </row>
    <row r="1329" ht="15.75" customHeight="1">
      <c r="A1329" s="28" t="s">
        <v>131</v>
      </c>
      <c r="B1329" s="28" t="s">
        <v>2111</v>
      </c>
      <c r="D1329" s="28" t="s">
        <v>329</v>
      </c>
      <c r="E1329" s="28" t="s">
        <v>1830</v>
      </c>
      <c r="F1329" s="28" t="s">
        <v>276</v>
      </c>
      <c r="G1329" s="28" t="s">
        <v>256</v>
      </c>
      <c r="H1329" s="28">
        <v>1.0</v>
      </c>
      <c r="I1329" s="28">
        <v>0.39106145251396646</v>
      </c>
      <c r="J1329" s="28">
        <v>0.0</v>
      </c>
      <c r="K1329" s="28" t="s">
        <v>57</v>
      </c>
      <c r="L1329" s="28" t="s">
        <v>57</v>
      </c>
    </row>
    <row r="1330" ht="15.75" customHeight="1">
      <c r="A1330" s="28" t="s">
        <v>131</v>
      </c>
      <c r="B1330" s="28" t="s">
        <v>2111</v>
      </c>
      <c r="D1330" s="28" t="s">
        <v>329</v>
      </c>
      <c r="E1330" s="28" t="s">
        <v>1831</v>
      </c>
      <c r="F1330" s="28" t="s">
        <v>260</v>
      </c>
      <c r="G1330" s="28" t="s">
        <v>392</v>
      </c>
      <c r="H1330" s="28">
        <v>1.0</v>
      </c>
      <c r="I1330" s="28">
        <v>0.4022346368715084</v>
      </c>
      <c r="J1330" s="28">
        <v>27.0</v>
      </c>
      <c r="K1330" s="28" t="s">
        <v>57</v>
      </c>
      <c r="L1330" s="28" t="s">
        <v>57</v>
      </c>
    </row>
    <row r="1331" ht="15.75" customHeight="1">
      <c r="A1331" s="28" t="s">
        <v>131</v>
      </c>
      <c r="B1331" s="28" t="s">
        <v>2111</v>
      </c>
      <c r="D1331" s="28" t="s">
        <v>329</v>
      </c>
      <c r="E1331" s="28" t="s">
        <v>1832</v>
      </c>
      <c r="F1331" s="28" t="s">
        <v>396</v>
      </c>
      <c r="G1331" s="28" t="s">
        <v>398</v>
      </c>
      <c r="H1331" s="28">
        <v>1.0</v>
      </c>
      <c r="I1331" s="28">
        <v>0.4121863799283154</v>
      </c>
      <c r="J1331" s="28">
        <v>28.0</v>
      </c>
      <c r="K1331" s="28" t="s">
        <v>57</v>
      </c>
      <c r="L1331" s="28" t="s">
        <v>696</v>
      </c>
    </row>
    <row r="1332" ht="15.75" customHeight="1">
      <c r="A1332" s="28" t="s">
        <v>131</v>
      </c>
      <c r="B1332" s="28" t="s">
        <v>2111</v>
      </c>
      <c r="D1332" s="28" t="s">
        <v>329</v>
      </c>
      <c r="E1332" s="28" t="s">
        <v>1833</v>
      </c>
      <c r="F1332" s="28" t="s">
        <v>687</v>
      </c>
      <c r="G1332" s="28" t="s">
        <v>364</v>
      </c>
      <c r="H1332" s="28">
        <v>1.0</v>
      </c>
      <c r="I1332" s="28">
        <v>0.44</v>
      </c>
      <c r="J1332" s="28">
        <v>25.0</v>
      </c>
      <c r="K1332" s="28" t="s">
        <v>57</v>
      </c>
      <c r="L1332" s="28" t="s">
        <v>57</v>
      </c>
    </row>
    <row r="1333" ht="15.75" customHeight="1">
      <c r="A1333" s="28" t="s">
        <v>131</v>
      </c>
      <c r="B1333" s="28" t="s">
        <v>2111</v>
      </c>
      <c r="D1333" s="28" t="s">
        <v>329</v>
      </c>
      <c r="E1333" s="28" t="s">
        <v>1834</v>
      </c>
      <c r="F1333" s="28" t="s">
        <v>687</v>
      </c>
      <c r="G1333" s="28" t="s">
        <v>295</v>
      </c>
      <c r="H1333" s="28">
        <v>1.0</v>
      </c>
      <c r="I1333" s="28">
        <v>0.44221105527638194</v>
      </c>
      <c r="J1333" s="28">
        <v>24.0</v>
      </c>
      <c r="K1333" s="28" t="s">
        <v>57</v>
      </c>
      <c r="L1333" s="28" t="s">
        <v>57</v>
      </c>
    </row>
    <row r="1334" ht="15.75" customHeight="1">
      <c r="A1334" s="28" t="s">
        <v>131</v>
      </c>
      <c r="B1334" s="28" t="s">
        <v>2111</v>
      </c>
      <c r="D1334" s="28" t="s">
        <v>329</v>
      </c>
      <c r="E1334" s="28" t="s">
        <v>1835</v>
      </c>
      <c r="F1334" s="28" t="s">
        <v>1375</v>
      </c>
      <c r="G1334" s="28" t="s">
        <v>370</v>
      </c>
      <c r="H1334" s="28">
        <v>1.0</v>
      </c>
      <c r="I1334" s="28">
        <v>0.5399239543726235</v>
      </c>
      <c r="J1334" s="28">
        <v>26.0</v>
      </c>
      <c r="K1334" s="28" t="s">
        <v>57</v>
      </c>
      <c r="L1334" s="28" t="s">
        <v>57</v>
      </c>
    </row>
    <row r="1335" ht="15.75" customHeight="1">
      <c r="A1335" s="28" t="s">
        <v>131</v>
      </c>
      <c r="B1335" s="28" t="s">
        <v>2111</v>
      </c>
      <c r="D1335" s="28" t="s">
        <v>329</v>
      </c>
      <c r="E1335" s="28" t="s">
        <v>1836</v>
      </c>
      <c r="F1335" s="28" t="s">
        <v>691</v>
      </c>
      <c r="G1335" s="28" t="s">
        <v>345</v>
      </c>
      <c r="H1335" s="28">
        <v>1.0</v>
      </c>
      <c r="I1335" s="28">
        <v>0.5463917525773195</v>
      </c>
      <c r="J1335" s="28">
        <v>11.0</v>
      </c>
      <c r="K1335" s="28" t="s">
        <v>57</v>
      </c>
      <c r="L1335" s="28" t="s">
        <v>57</v>
      </c>
    </row>
    <row r="1336" ht="15.75" customHeight="1">
      <c r="A1336" s="28" t="s">
        <v>131</v>
      </c>
      <c r="B1336" s="28" t="s">
        <v>2111</v>
      </c>
      <c r="D1336" s="28" t="s">
        <v>329</v>
      </c>
      <c r="E1336" s="28" t="s">
        <v>1837</v>
      </c>
      <c r="F1336" s="28" t="s">
        <v>691</v>
      </c>
      <c r="G1336" s="28" t="s">
        <v>252</v>
      </c>
      <c r="H1336" s="28">
        <v>1.0</v>
      </c>
      <c r="I1336" s="28">
        <v>0.547945205479452</v>
      </c>
      <c r="J1336" s="28">
        <v>8.0</v>
      </c>
      <c r="K1336" s="28" t="s">
        <v>57</v>
      </c>
      <c r="L1336" s="28" t="s">
        <v>57</v>
      </c>
    </row>
    <row r="1337" ht="15.75" customHeight="1">
      <c r="A1337" s="28" t="s">
        <v>131</v>
      </c>
      <c r="B1337" s="28" t="s">
        <v>2111</v>
      </c>
      <c r="D1337" s="28" t="s">
        <v>329</v>
      </c>
      <c r="E1337" s="28" t="s">
        <v>1838</v>
      </c>
      <c r="F1337" s="28" t="s">
        <v>691</v>
      </c>
      <c r="G1337" s="28" t="s">
        <v>270</v>
      </c>
      <c r="H1337" s="28">
        <v>1.0</v>
      </c>
      <c r="I1337" s="28">
        <v>0.5525423728813559</v>
      </c>
      <c r="J1337" s="28">
        <v>9.0</v>
      </c>
      <c r="K1337" s="28" t="s">
        <v>57</v>
      </c>
      <c r="L1337" s="28" t="s">
        <v>57</v>
      </c>
    </row>
    <row r="1338" ht="15.75" customHeight="1">
      <c r="A1338" s="28" t="s">
        <v>131</v>
      </c>
      <c r="B1338" s="28" t="s">
        <v>2111</v>
      </c>
      <c r="D1338" s="28" t="s">
        <v>329</v>
      </c>
      <c r="E1338" s="28" t="s">
        <v>1839</v>
      </c>
      <c r="F1338" s="28" t="s">
        <v>695</v>
      </c>
      <c r="G1338" s="28" t="s">
        <v>213</v>
      </c>
      <c r="H1338" s="28">
        <v>1.0</v>
      </c>
      <c r="I1338" s="28">
        <v>0.6151832460732984</v>
      </c>
      <c r="J1338" s="28">
        <v>7.0</v>
      </c>
      <c r="K1338" s="28" t="s">
        <v>57</v>
      </c>
      <c r="L1338" s="28" t="s">
        <v>696</v>
      </c>
    </row>
    <row r="1339" ht="15.75" customHeight="1">
      <c r="A1339" s="28" t="s">
        <v>131</v>
      </c>
      <c r="B1339" s="28" t="s">
        <v>2111</v>
      </c>
      <c r="D1339" s="28" t="s">
        <v>329</v>
      </c>
      <c r="E1339" s="28" t="s">
        <v>1840</v>
      </c>
      <c r="F1339" s="28" t="s">
        <v>698</v>
      </c>
      <c r="G1339" s="28" t="s">
        <v>287</v>
      </c>
      <c r="H1339" s="28">
        <v>1.0</v>
      </c>
      <c r="I1339" s="28">
        <v>0.6778042959427207</v>
      </c>
      <c r="J1339" s="28">
        <v>22.0</v>
      </c>
      <c r="K1339" s="28" t="s">
        <v>57</v>
      </c>
      <c r="L1339" s="28" t="s">
        <v>57</v>
      </c>
    </row>
    <row r="1340" ht="15.75" customHeight="1">
      <c r="A1340" s="28" t="s">
        <v>131</v>
      </c>
      <c r="B1340" s="28" t="s">
        <v>2111</v>
      </c>
      <c r="D1340" s="28" t="s">
        <v>329</v>
      </c>
      <c r="E1340" s="28" t="s">
        <v>1841</v>
      </c>
      <c r="F1340" s="28" t="s">
        <v>138</v>
      </c>
      <c r="G1340" s="28" t="s">
        <v>140</v>
      </c>
      <c r="H1340" s="28">
        <v>1.0</v>
      </c>
      <c r="I1340" s="28">
        <v>0.7115384615384616</v>
      </c>
      <c r="J1340" s="28">
        <v>3.0</v>
      </c>
      <c r="K1340" s="28" t="s">
        <v>57</v>
      </c>
      <c r="L1340" s="28" t="s">
        <v>696</v>
      </c>
    </row>
    <row r="1341" ht="15.75" customHeight="1">
      <c r="A1341" s="28" t="s">
        <v>131</v>
      </c>
      <c r="B1341" s="28" t="s">
        <v>2111</v>
      </c>
      <c r="D1341" s="28" t="s">
        <v>329</v>
      </c>
      <c r="E1341" s="28" t="s">
        <v>1842</v>
      </c>
      <c r="F1341" s="28" t="s">
        <v>701</v>
      </c>
      <c r="G1341" s="28" t="s">
        <v>303</v>
      </c>
      <c r="H1341" s="28">
        <v>1.0</v>
      </c>
      <c r="I1341" s="28">
        <v>0.7856154910096819</v>
      </c>
      <c r="J1341" s="28">
        <v>20.0</v>
      </c>
      <c r="K1341" s="28" t="s">
        <v>57</v>
      </c>
      <c r="L1341" s="28" t="s">
        <v>57</v>
      </c>
    </row>
    <row r="1342" ht="15.75" customHeight="1">
      <c r="A1342" s="28" t="s">
        <v>131</v>
      </c>
      <c r="B1342" s="28" t="s">
        <v>2111</v>
      </c>
      <c r="D1342" s="28" t="s">
        <v>329</v>
      </c>
      <c r="E1342" s="28" t="s">
        <v>1843</v>
      </c>
      <c r="F1342" s="28" t="s">
        <v>703</v>
      </c>
      <c r="G1342" s="28" t="s">
        <v>149</v>
      </c>
      <c r="H1342" s="28">
        <v>1.0</v>
      </c>
      <c r="I1342" s="28">
        <v>0.7960264900662252</v>
      </c>
      <c r="J1342" s="28">
        <v>4.0</v>
      </c>
      <c r="K1342" s="28" t="s">
        <v>57</v>
      </c>
      <c r="L1342" s="28" t="s">
        <v>696</v>
      </c>
    </row>
    <row r="1343" ht="15.75" customHeight="1">
      <c r="A1343" s="28" t="s">
        <v>131</v>
      </c>
      <c r="B1343" s="28" t="s">
        <v>2111</v>
      </c>
      <c r="D1343" s="28" t="s">
        <v>329</v>
      </c>
      <c r="E1343" s="28" t="s">
        <v>1844</v>
      </c>
      <c r="F1343" s="28" t="s">
        <v>705</v>
      </c>
      <c r="G1343" s="28" t="s">
        <v>241</v>
      </c>
      <c r="H1343" s="28">
        <v>1.0</v>
      </c>
      <c r="I1343" s="28">
        <v>0.8744971842316975</v>
      </c>
      <c r="J1343" s="28">
        <v>18.0</v>
      </c>
      <c r="K1343" s="28" t="s">
        <v>57</v>
      </c>
      <c r="L1343" s="28" t="s">
        <v>57</v>
      </c>
    </row>
    <row r="1344" ht="15.75" customHeight="1">
      <c r="A1344" s="28" t="s">
        <v>131</v>
      </c>
      <c r="B1344" s="28" t="s">
        <v>2111</v>
      </c>
      <c r="D1344" s="28" t="s">
        <v>256</v>
      </c>
      <c r="E1344" s="28" t="s">
        <v>1845</v>
      </c>
      <c r="F1344" s="28" t="s">
        <v>260</v>
      </c>
      <c r="G1344" s="28" t="s">
        <v>392</v>
      </c>
      <c r="H1344" s="28">
        <v>1.0</v>
      </c>
      <c r="I1344" s="28">
        <v>0.21341463414634146</v>
      </c>
      <c r="J1344" s="28">
        <v>26.0</v>
      </c>
      <c r="K1344" s="28" t="s">
        <v>57</v>
      </c>
      <c r="L1344" s="28" t="s">
        <v>57</v>
      </c>
    </row>
    <row r="1345" ht="15.75" customHeight="1">
      <c r="A1345" s="28" t="s">
        <v>131</v>
      </c>
      <c r="B1345" s="28" t="s">
        <v>2111</v>
      </c>
      <c r="D1345" s="28" t="s">
        <v>256</v>
      </c>
      <c r="E1345" s="28" t="s">
        <v>1846</v>
      </c>
      <c r="F1345" s="28" t="s">
        <v>276</v>
      </c>
      <c r="G1345" s="28" t="s">
        <v>310</v>
      </c>
      <c r="H1345" s="28">
        <v>1.0</v>
      </c>
      <c r="I1345" s="28">
        <v>0.225</v>
      </c>
      <c r="J1345" s="28">
        <v>22.0</v>
      </c>
      <c r="K1345" s="28" t="s">
        <v>57</v>
      </c>
      <c r="L1345" s="28" t="s">
        <v>57</v>
      </c>
    </row>
    <row r="1346" ht="15.75" customHeight="1">
      <c r="A1346" s="28" t="s">
        <v>131</v>
      </c>
      <c r="B1346" s="28" t="s">
        <v>2111</v>
      </c>
      <c r="D1346" s="28" t="s">
        <v>256</v>
      </c>
      <c r="E1346" s="28" t="s">
        <v>1847</v>
      </c>
      <c r="F1346" s="28" t="s">
        <v>276</v>
      </c>
      <c r="G1346" s="28" t="s">
        <v>278</v>
      </c>
      <c r="H1346" s="28">
        <v>1.0</v>
      </c>
      <c r="I1346" s="28">
        <v>0.225</v>
      </c>
      <c r="J1346" s="28">
        <v>18.0</v>
      </c>
      <c r="K1346" s="28" t="s">
        <v>57</v>
      </c>
      <c r="L1346" s="28" t="s">
        <v>57</v>
      </c>
    </row>
    <row r="1347" ht="15.75" customHeight="1">
      <c r="A1347" s="28" t="s">
        <v>131</v>
      </c>
      <c r="B1347" s="28" t="s">
        <v>2111</v>
      </c>
      <c r="D1347" s="28" t="s">
        <v>256</v>
      </c>
      <c r="E1347" s="28" t="s">
        <v>1848</v>
      </c>
      <c r="F1347" s="28" t="s">
        <v>260</v>
      </c>
      <c r="G1347" s="28" t="s">
        <v>262</v>
      </c>
      <c r="H1347" s="28">
        <v>1.0</v>
      </c>
      <c r="I1347" s="28">
        <v>0.2441860465116279</v>
      </c>
      <c r="J1347" s="28">
        <v>9.0</v>
      </c>
      <c r="K1347" s="28" t="s">
        <v>57</v>
      </c>
      <c r="L1347" s="28" t="s">
        <v>57</v>
      </c>
    </row>
    <row r="1348" ht="15.75" customHeight="1">
      <c r="A1348" s="28" t="s">
        <v>131</v>
      </c>
      <c r="B1348" s="28" t="s">
        <v>2111</v>
      </c>
      <c r="D1348" s="28" t="s">
        <v>256</v>
      </c>
      <c r="E1348" s="28" t="s">
        <v>1849</v>
      </c>
      <c r="F1348" s="28" t="s">
        <v>276</v>
      </c>
      <c r="G1348" s="28" t="s">
        <v>385</v>
      </c>
      <c r="H1348" s="28">
        <v>1.0</v>
      </c>
      <c r="I1348" s="28">
        <v>0.25625</v>
      </c>
      <c r="J1348" s="28">
        <v>12.0</v>
      </c>
      <c r="K1348" s="28" t="s">
        <v>57</v>
      </c>
      <c r="L1348" s="28" t="s">
        <v>57</v>
      </c>
    </row>
    <row r="1349" ht="15.75" customHeight="1">
      <c r="A1349" s="28" t="s">
        <v>131</v>
      </c>
      <c r="B1349" s="28" t="s">
        <v>2111</v>
      </c>
      <c r="D1349" s="28" t="s">
        <v>256</v>
      </c>
      <c r="E1349" s="28" t="s">
        <v>1850</v>
      </c>
      <c r="F1349" s="28" t="s">
        <v>687</v>
      </c>
      <c r="G1349" s="28" t="s">
        <v>364</v>
      </c>
      <c r="H1349" s="28">
        <v>1.0</v>
      </c>
      <c r="I1349" s="28">
        <v>0.315</v>
      </c>
      <c r="J1349" s="28">
        <v>24.0</v>
      </c>
      <c r="K1349" s="28" t="s">
        <v>57</v>
      </c>
      <c r="L1349" s="28" t="s">
        <v>57</v>
      </c>
    </row>
    <row r="1350" ht="15.75" customHeight="1">
      <c r="A1350" s="28" t="s">
        <v>131</v>
      </c>
      <c r="B1350" s="28" t="s">
        <v>2111</v>
      </c>
      <c r="D1350" s="28" t="s">
        <v>256</v>
      </c>
      <c r="E1350" s="28" t="s">
        <v>1851</v>
      </c>
      <c r="F1350" s="28" t="s">
        <v>687</v>
      </c>
      <c r="G1350" s="28" t="s">
        <v>295</v>
      </c>
      <c r="H1350" s="28">
        <v>1.0</v>
      </c>
      <c r="I1350" s="28">
        <v>0.3165829145728643</v>
      </c>
      <c r="J1350" s="28">
        <v>23.0</v>
      </c>
      <c r="K1350" s="28" t="s">
        <v>57</v>
      </c>
      <c r="L1350" s="28" t="s">
        <v>57</v>
      </c>
    </row>
    <row r="1351" ht="15.75" customHeight="1">
      <c r="A1351" s="28" t="s">
        <v>131</v>
      </c>
      <c r="B1351" s="28" t="s">
        <v>2111</v>
      </c>
      <c r="D1351" s="28" t="s">
        <v>256</v>
      </c>
      <c r="E1351" s="28" t="s">
        <v>1852</v>
      </c>
      <c r="F1351" s="28" t="s">
        <v>276</v>
      </c>
      <c r="G1351" s="28" t="s">
        <v>334</v>
      </c>
      <c r="H1351" s="28">
        <v>1.0</v>
      </c>
      <c r="I1351" s="28">
        <v>0.38636363636363635</v>
      </c>
      <c r="J1351" s="28">
        <v>4.0</v>
      </c>
      <c r="K1351" s="28" t="s">
        <v>57</v>
      </c>
      <c r="L1351" s="28" t="s">
        <v>57</v>
      </c>
    </row>
    <row r="1352" ht="15.75" customHeight="1">
      <c r="A1352" s="28" t="s">
        <v>131</v>
      </c>
      <c r="B1352" s="28" t="s">
        <v>2111</v>
      </c>
      <c r="D1352" s="28" t="s">
        <v>256</v>
      </c>
      <c r="E1352" s="28" t="s">
        <v>1853</v>
      </c>
      <c r="F1352" s="28" t="s">
        <v>276</v>
      </c>
      <c r="G1352" s="28" t="s">
        <v>339</v>
      </c>
      <c r="H1352" s="28">
        <v>1.0</v>
      </c>
      <c r="I1352" s="28">
        <v>0.39664804469273746</v>
      </c>
      <c r="J1352" s="28">
        <v>5.0</v>
      </c>
      <c r="K1352" s="28" t="s">
        <v>57</v>
      </c>
      <c r="L1352" s="28" t="s">
        <v>57</v>
      </c>
    </row>
    <row r="1353" ht="15.75" customHeight="1">
      <c r="A1353" s="28" t="s">
        <v>131</v>
      </c>
      <c r="B1353" s="28" t="s">
        <v>2111</v>
      </c>
      <c r="D1353" s="28" t="s">
        <v>256</v>
      </c>
      <c r="E1353" s="28" t="s">
        <v>1854</v>
      </c>
      <c r="F1353" s="28" t="s">
        <v>1375</v>
      </c>
      <c r="G1353" s="28" t="s">
        <v>370</v>
      </c>
      <c r="H1353" s="28">
        <v>1.0</v>
      </c>
      <c r="I1353" s="28">
        <v>0.4068441064638783</v>
      </c>
      <c r="J1353" s="28">
        <v>25.0</v>
      </c>
      <c r="K1353" s="28" t="s">
        <v>57</v>
      </c>
      <c r="L1353" s="28" t="s">
        <v>57</v>
      </c>
    </row>
    <row r="1354" ht="15.75" customHeight="1">
      <c r="A1354" s="28" t="s">
        <v>131</v>
      </c>
      <c r="B1354" s="28" t="s">
        <v>2111</v>
      </c>
      <c r="D1354" s="28" t="s">
        <v>256</v>
      </c>
      <c r="E1354" s="28" t="s">
        <v>1855</v>
      </c>
      <c r="F1354" s="28" t="s">
        <v>276</v>
      </c>
      <c r="G1354" s="28" t="s">
        <v>378</v>
      </c>
      <c r="H1354" s="28">
        <v>1.0</v>
      </c>
      <c r="I1354" s="28">
        <v>0.4398148148148148</v>
      </c>
      <c r="J1354" s="28">
        <v>11.0</v>
      </c>
      <c r="K1354" s="28" t="s">
        <v>57</v>
      </c>
      <c r="L1354" s="28" t="s">
        <v>57</v>
      </c>
    </row>
    <row r="1355" ht="15.75" customHeight="1">
      <c r="A1355" s="28" t="s">
        <v>131</v>
      </c>
      <c r="B1355" s="28" t="s">
        <v>2111</v>
      </c>
      <c r="D1355" s="28" t="s">
        <v>256</v>
      </c>
      <c r="E1355" s="28" t="s">
        <v>1856</v>
      </c>
      <c r="F1355" s="28" t="s">
        <v>691</v>
      </c>
      <c r="G1355" s="28" t="s">
        <v>345</v>
      </c>
      <c r="H1355" s="28">
        <v>1.0</v>
      </c>
      <c r="I1355" s="28">
        <v>0.5154639175257731</v>
      </c>
      <c r="J1355" s="28">
        <v>10.0</v>
      </c>
      <c r="K1355" s="28" t="s">
        <v>57</v>
      </c>
      <c r="L1355" s="28" t="s">
        <v>57</v>
      </c>
    </row>
    <row r="1356" ht="15.75" customHeight="1">
      <c r="A1356" s="28" t="s">
        <v>131</v>
      </c>
      <c r="B1356" s="28" t="s">
        <v>2111</v>
      </c>
      <c r="D1356" s="28" t="s">
        <v>256</v>
      </c>
      <c r="E1356" s="28" t="s">
        <v>1857</v>
      </c>
      <c r="F1356" s="28" t="s">
        <v>691</v>
      </c>
      <c r="G1356" s="28" t="s">
        <v>252</v>
      </c>
      <c r="H1356" s="28">
        <v>1.0</v>
      </c>
      <c r="I1356" s="28">
        <v>0.5273972602739726</v>
      </c>
      <c r="J1356" s="28">
        <v>7.0</v>
      </c>
      <c r="K1356" s="28" t="s">
        <v>57</v>
      </c>
      <c r="L1356" s="28" t="s">
        <v>57</v>
      </c>
    </row>
    <row r="1357" ht="15.75" customHeight="1">
      <c r="A1357" s="28" t="s">
        <v>131</v>
      </c>
      <c r="B1357" s="28" t="s">
        <v>2111</v>
      </c>
      <c r="D1357" s="28" t="s">
        <v>256</v>
      </c>
      <c r="E1357" s="28" t="s">
        <v>1858</v>
      </c>
      <c r="F1357" s="28" t="s">
        <v>691</v>
      </c>
      <c r="G1357" s="28" t="s">
        <v>270</v>
      </c>
      <c r="H1357" s="28">
        <v>1.0</v>
      </c>
      <c r="I1357" s="28">
        <v>0.5322033898305085</v>
      </c>
      <c r="J1357" s="28">
        <v>8.0</v>
      </c>
      <c r="K1357" s="28" t="s">
        <v>57</v>
      </c>
      <c r="L1357" s="28" t="s">
        <v>57</v>
      </c>
    </row>
    <row r="1358" ht="15.75" customHeight="1">
      <c r="A1358" s="28" t="s">
        <v>131</v>
      </c>
      <c r="B1358" s="28" t="s">
        <v>2111</v>
      </c>
      <c r="D1358" s="28" t="s">
        <v>256</v>
      </c>
      <c r="E1358" s="28" t="s">
        <v>1859</v>
      </c>
      <c r="F1358" s="28" t="s">
        <v>396</v>
      </c>
      <c r="G1358" s="28" t="s">
        <v>398</v>
      </c>
      <c r="H1358" s="28">
        <v>1.0</v>
      </c>
      <c r="I1358" s="28">
        <v>0.5519713261648745</v>
      </c>
      <c r="J1358" s="28">
        <v>27.0</v>
      </c>
      <c r="K1358" s="28" t="s">
        <v>57</v>
      </c>
      <c r="L1358" s="28" t="s">
        <v>696</v>
      </c>
    </row>
    <row r="1359" ht="15.75" customHeight="1">
      <c r="A1359" s="28" t="s">
        <v>131</v>
      </c>
      <c r="B1359" s="28" t="s">
        <v>2111</v>
      </c>
      <c r="D1359" s="28" t="s">
        <v>256</v>
      </c>
      <c r="E1359" s="28" t="s">
        <v>1860</v>
      </c>
      <c r="F1359" s="28" t="s">
        <v>695</v>
      </c>
      <c r="G1359" s="28" t="s">
        <v>213</v>
      </c>
      <c r="H1359" s="28">
        <v>1.0</v>
      </c>
      <c r="I1359" s="28">
        <v>0.6492146596858639</v>
      </c>
      <c r="J1359" s="28">
        <v>6.0</v>
      </c>
      <c r="K1359" s="28" t="s">
        <v>57</v>
      </c>
      <c r="L1359" s="28" t="s">
        <v>696</v>
      </c>
    </row>
    <row r="1360" ht="15.75" customHeight="1">
      <c r="A1360" s="28" t="s">
        <v>131</v>
      </c>
      <c r="B1360" s="28" t="s">
        <v>2111</v>
      </c>
      <c r="D1360" s="28" t="s">
        <v>256</v>
      </c>
      <c r="E1360" s="28" t="s">
        <v>1861</v>
      </c>
      <c r="F1360" s="28" t="s">
        <v>698</v>
      </c>
      <c r="G1360" s="28" t="s">
        <v>287</v>
      </c>
      <c r="H1360" s="28">
        <v>1.0</v>
      </c>
      <c r="I1360" s="28">
        <v>0.6587112171837709</v>
      </c>
      <c r="J1360" s="28">
        <v>21.0</v>
      </c>
      <c r="K1360" s="28" t="s">
        <v>57</v>
      </c>
      <c r="L1360" s="28" t="s">
        <v>57</v>
      </c>
    </row>
    <row r="1361" ht="15.75" customHeight="1">
      <c r="A1361" s="28" t="s">
        <v>131</v>
      </c>
      <c r="B1361" s="28" t="s">
        <v>2111</v>
      </c>
      <c r="D1361" s="28" t="s">
        <v>256</v>
      </c>
      <c r="E1361" s="28" t="s">
        <v>1862</v>
      </c>
      <c r="F1361" s="28" t="s">
        <v>138</v>
      </c>
      <c r="G1361" s="28" t="s">
        <v>140</v>
      </c>
      <c r="H1361" s="28">
        <v>1.0</v>
      </c>
      <c r="I1361" s="28">
        <v>0.725</v>
      </c>
      <c r="J1361" s="28">
        <v>2.0</v>
      </c>
      <c r="K1361" s="28" t="s">
        <v>57</v>
      </c>
      <c r="L1361" s="28" t="s">
        <v>696</v>
      </c>
    </row>
    <row r="1362" ht="15.75" customHeight="1">
      <c r="A1362" s="28" t="s">
        <v>131</v>
      </c>
      <c r="B1362" s="28" t="s">
        <v>2111</v>
      </c>
      <c r="D1362" s="28" t="s">
        <v>256</v>
      </c>
      <c r="E1362" s="28" t="s">
        <v>1863</v>
      </c>
      <c r="F1362" s="28" t="s">
        <v>703</v>
      </c>
      <c r="G1362" s="28" t="s">
        <v>149</v>
      </c>
      <c r="H1362" s="28">
        <v>1.0</v>
      </c>
      <c r="I1362" s="28">
        <v>0.8</v>
      </c>
      <c r="J1362" s="28">
        <v>3.0</v>
      </c>
      <c r="K1362" s="28" t="s">
        <v>57</v>
      </c>
      <c r="L1362" s="28" t="s">
        <v>696</v>
      </c>
    </row>
    <row r="1363" ht="15.75" customHeight="1">
      <c r="A1363" s="28" t="s">
        <v>131</v>
      </c>
      <c r="B1363" s="28" t="s">
        <v>2111</v>
      </c>
      <c r="D1363" s="28" t="s">
        <v>256</v>
      </c>
      <c r="E1363" s="28" t="s">
        <v>1864</v>
      </c>
      <c r="F1363" s="28" t="s">
        <v>701</v>
      </c>
      <c r="G1363" s="28" t="s">
        <v>303</v>
      </c>
      <c r="H1363" s="28">
        <v>1.0</v>
      </c>
      <c r="I1363" s="28">
        <v>0.8049792531120332</v>
      </c>
      <c r="J1363" s="28">
        <v>19.0</v>
      </c>
      <c r="K1363" s="28" t="s">
        <v>57</v>
      </c>
      <c r="L1363" s="28" t="s">
        <v>57</v>
      </c>
    </row>
    <row r="1364" ht="15.75" customHeight="1">
      <c r="A1364" s="28" t="s">
        <v>131</v>
      </c>
      <c r="B1364" s="28" t="s">
        <v>2111</v>
      </c>
      <c r="D1364" s="28" t="s">
        <v>256</v>
      </c>
      <c r="E1364" s="28" t="s">
        <v>1865</v>
      </c>
      <c r="F1364" s="28" t="s">
        <v>705</v>
      </c>
      <c r="G1364" s="28" t="s">
        <v>241</v>
      </c>
      <c r="H1364" s="28">
        <v>1.0</v>
      </c>
      <c r="I1364" s="28">
        <v>0.8841512469831054</v>
      </c>
      <c r="J1364" s="28">
        <v>17.0</v>
      </c>
      <c r="K1364" s="28" t="s">
        <v>57</v>
      </c>
      <c r="L1364" s="28" t="s">
        <v>57</v>
      </c>
    </row>
    <row r="1365" ht="15.75" customHeight="1">
      <c r="A1365" s="28" t="s">
        <v>131</v>
      </c>
      <c r="B1365" s="28" t="s">
        <v>2111</v>
      </c>
      <c r="D1365" s="28" t="s">
        <v>140</v>
      </c>
      <c r="E1365" s="28" t="s">
        <v>1866</v>
      </c>
      <c r="F1365" s="28" t="s">
        <v>740</v>
      </c>
      <c r="G1365" s="28" t="s">
        <v>287</v>
      </c>
      <c r="H1365" s="28">
        <v>1.0</v>
      </c>
      <c r="I1365" s="28">
        <v>0.25384615384615383</v>
      </c>
      <c r="J1365" s="28">
        <v>18.0</v>
      </c>
      <c r="K1365" s="28" t="s">
        <v>57</v>
      </c>
      <c r="L1365" s="28" t="s">
        <v>696</v>
      </c>
    </row>
    <row r="1366" ht="15.75" customHeight="1">
      <c r="A1366" s="28" t="s">
        <v>131</v>
      </c>
      <c r="B1366" s="28" t="s">
        <v>2111</v>
      </c>
      <c r="D1366" s="28" t="s">
        <v>140</v>
      </c>
      <c r="E1366" s="28" t="s">
        <v>1429</v>
      </c>
      <c r="F1366" s="28" t="s">
        <v>147</v>
      </c>
      <c r="G1366" s="28" t="s">
        <v>149</v>
      </c>
      <c r="H1366" s="28">
        <v>1.0</v>
      </c>
      <c r="I1366" s="28">
        <v>0.3708609271523179</v>
      </c>
      <c r="J1366" s="28">
        <v>0.0</v>
      </c>
      <c r="K1366" s="28" t="s">
        <v>57</v>
      </c>
      <c r="L1366" s="28" t="s">
        <v>57</v>
      </c>
    </row>
    <row r="1367" ht="15.75" customHeight="1">
      <c r="A1367" s="28" t="s">
        <v>131</v>
      </c>
      <c r="B1367" s="28" t="s">
        <v>2111</v>
      </c>
      <c r="D1367" s="28" t="s">
        <v>140</v>
      </c>
      <c r="E1367" s="28" t="s">
        <v>1430</v>
      </c>
      <c r="F1367" s="28" t="s">
        <v>211</v>
      </c>
      <c r="G1367" s="28" t="s">
        <v>213</v>
      </c>
      <c r="H1367" s="28">
        <v>1.0</v>
      </c>
      <c r="I1367" s="28">
        <v>0.3903846153846154</v>
      </c>
      <c r="J1367" s="28">
        <v>3.0</v>
      </c>
      <c r="K1367" s="28" t="s">
        <v>57</v>
      </c>
      <c r="L1367" s="28" t="s">
        <v>57</v>
      </c>
    </row>
    <row r="1368" ht="15.75" customHeight="1">
      <c r="A1368" s="28" t="s">
        <v>131</v>
      </c>
      <c r="B1368" s="28" t="s">
        <v>2111</v>
      </c>
      <c r="D1368" s="28" t="s">
        <v>140</v>
      </c>
      <c r="E1368" s="28" t="s">
        <v>1867</v>
      </c>
      <c r="F1368" s="28" t="s">
        <v>742</v>
      </c>
      <c r="G1368" s="28" t="s">
        <v>303</v>
      </c>
      <c r="H1368" s="28">
        <v>1.0</v>
      </c>
      <c r="I1368" s="28">
        <v>0.4024896265560166</v>
      </c>
      <c r="J1368" s="28">
        <v>16.0</v>
      </c>
      <c r="K1368" s="28" t="s">
        <v>57</v>
      </c>
      <c r="L1368" s="28" t="s">
        <v>696</v>
      </c>
    </row>
    <row r="1369" ht="15.75" customHeight="1">
      <c r="A1369" s="28" t="s">
        <v>131</v>
      </c>
      <c r="B1369" s="28" t="s">
        <v>2111</v>
      </c>
      <c r="D1369" s="28" t="s">
        <v>140</v>
      </c>
      <c r="E1369" s="28" t="s">
        <v>1868</v>
      </c>
      <c r="F1369" s="28" t="s">
        <v>744</v>
      </c>
      <c r="G1369" s="28" t="s">
        <v>252</v>
      </c>
      <c r="H1369" s="28">
        <v>1.0</v>
      </c>
      <c r="I1369" s="28">
        <v>0.49423076923076925</v>
      </c>
      <c r="J1369" s="28">
        <v>4.0</v>
      </c>
      <c r="K1369" s="28" t="s">
        <v>57</v>
      </c>
      <c r="L1369" s="28" t="s">
        <v>696</v>
      </c>
    </row>
    <row r="1370" ht="15.75" customHeight="1">
      <c r="A1370" s="28" t="s">
        <v>131</v>
      </c>
      <c r="B1370" s="28" t="s">
        <v>2111</v>
      </c>
      <c r="D1370" s="28" t="s">
        <v>140</v>
      </c>
      <c r="E1370" s="28" t="s">
        <v>1869</v>
      </c>
      <c r="F1370" s="28" t="s">
        <v>744</v>
      </c>
      <c r="G1370" s="28" t="s">
        <v>345</v>
      </c>
      <c r="H1370" s="28">
        <v>1.0</v>
      </c>
      <c r="I1370" s="28">
        <v>0.4980769230769231</v>
      </c>
      <c r="J1370" s="28">
        <v>7.0</v>
      </c>
      <c r="K1370" s="28" t="s">
        <v>57</v>
      </c>
      <c r="L1370" s="28" t="s">
        <v>696</v>
      </c>
    </row>
    <row r="1371" ht="15.75" customHeight="1">
      <c r="A1371" s="28" t="s">
        <v>131</v>
      </c>
      <c r="B1371" s="28" t="s">
        <v>2111</v>
      </c>
      <c r="D1371" s="28" t="s">
        <v>140</v>
      </c>
      <c r="E1371" s="28" t="s">
        <v>1870</v>
      </c>
      <c r="F1371" s="28" t="s">
        <v>744</v>
      </c>
      <c r="G1371" s="28" t="s">
        <v>270</v>
      </c>
      <c r="H1371" s="28">
        <v>1.0</v>
      </c>
      <c r="I1371" s="28">
        <v>0.5</v>
      </c>
      <c r="J1371" s="28">
        <v>5.0</v>
      </c>
      <c r="K1371" s="28" t="s">
        <v>57</v>
      </c>
      <c r="L1371" s="28" t="s">
        <v>696</v>
      </c>
    </row>
    <row r="1372" ht="15.75" customHeight="1">
      <c r="A1372" s="28" t="s">
        <v>131</v>
      </c>
      <c r="B1372" s="28" t="s">
        <v>2111</v>
      </c>
      <c r="D1372" s="28" t="s">
        <v>140</v>
      </c>
      <c r="E1372" s="28" t="s">
        <v>1871</v>
      </c>
      <c r="F1372" s="28" t="s">
        <v>1436</v>
      </c>
      <c r="G1372" s="28" t="s">
        <v>370</v>
      </c>
      <c r="H1372" s="28">
        <v>1.0</v>
      </c>
      <c r="I1372" s="28">
        <v>0.5326923076923077</v>
      </c>
      <c r="J1372" s="28">
        <v>22.0</v>
      </c>
      <c r="K1372" s="28" t="s">
        <v>57</v>
      </c>
      <c r="L1372" s="28" t="s">
        <v>696</v>
      </c>
    </row>
    <row r="1373" ht="15.75" customHeight="1">
      <c r="A1373" s="28" t="s">
        <v>131</v>
      </c>
      <c r="B1373" s="28" t="s">
        <v>2111</v>
      </c>
      <c r="D1373" s="28" t="s">
        <v>140</v>
      </c>
      <c r="E1373" s="28" t="s">
        <v>1872</v>
      </c>
      <c r="F1373" s="28" t="s">
        <v>750</v>
      </c>
      <c r="G1373" s="28" t="s">
        <v>241</v>
      </c>
      <c r="H1373" s="28">
        <v>1.0</v>
      </c>
      <c r="I1373" s="28">
        <v>0.6106194690265486</v>
      </c>
      <c r="J1373" s="28">
        <v>14.0</v>
      </c>
      <c r="K1373" s="28" t="s">
        <v>57</v>
      </c>
      <c r="L1373" s="28" t="s">
        <v>696</v>
      </c>
    </row>
    <row r="1374" ht="15.75" customHeight="1">
      <c r="A1374" s="28" t="s">
        <v>131</v>
      </c>
      <c r="B1374" s="28" t="s">
        <v>2111</v>
      </c>
      <c r="D1374" s="28" t="s">
        <v>140</v>
      </c>
      <c r="E1374" s="28" t="s">
        <v>1873</v>
      </c>
      <c r="F1374" s="28" t="s">
        <v>1439</v>
      </c>
      <c r="G1374" s="28" t="s">
        <v>398</v>
      </c>
      <c r="H1374" s="28">
        <v>1.0</v>
      </c>
      <c r="I1374" s="28">
        <v>0.6230769230769231</v>
      </c>
      <c r="J1374" s="28">
        <v>24.0</v>
      </c>
      <c r="K1374" s="28" t="s">
        <v>57</v>
      </c>
      <c r="L1374" s="28" t="s">
        <v>57</v>
      </c>
    </row>
    <row r="1375" ht="15.75" customHeight="1">
      <c r="A1375" s="28" t="s">
        <v>131</v>
      </c>
      <c r="B1375" s="28" t="s">
        <v>2111</v>
      </c>
      <c r="D1375" s="28" t="s">
        <v>140</v>
      </c>
      <c r="E1375" s="28" t="s">
        <v>1874</v>
      </c>
      <c r="F1375" s="28" t="s">
        <v>748</v>
      </c>
      <c r="G1375" s="28" t="s">
        <v>364</v>
      </c>
      <c r="H1375" s="28">
        <v>1.0</v>
      </c>
      <c r="I1375" s="28">
        <v>0.6307692307692307</v>
      </c>
      <c r="J1375" s="28">
        <v>21.0</v>
      </c>
      <c r="K1375" s="28" t="s">
        <v>57</v>
      </c>
      <c r="L1375" s="28" t="s">
        <v>696</v>
      </c>
    </row>
    <row r="1376" ht="15.75" customHeight="1">
      <c r="A1376" s="28" t="s">
        <v>131</v>
      </c>
      <c r="B1376" s="28" t="s">
        <v>2111</v>
      </c>
      <c r="D1376" s="28" t="s">
        <v>140</v>
      </c>
      <c r="E1376" s="28" t="s">
        <v>1875</v>
      </c>
      <c r="F1376" s="28" t="s">
        <v>748</v>
      </c>
      <c r="G1376" s="28" t="s">
        <v>295</v>
      </c>
      <c r="H1376" s="28">
        <v>1.0</v>
      </c>
      <c r="I1376" s="28">
        <v>0.6365384615384615</v>
      </c>
      <c r="J1376" s="28">
        <v>20.0</v>
      </c>
      <c r="K1376" s="28" t="s">
        <v>57</v>
      </c>
      <c r="L1376" s="28" t="s">
        <v>696</v>
      </c>
    </row>
    <row r="1377" ht="15.75" customHeight="1">
      <c r="A1377" s="28" t="s">
        <v>131</v>
      </c>
      <c r="B1377" s="28" t="s">
        <v>2111</v>
      </c>
      <c r="D1377" s="28" t="s">
        <v>140</v>
      </c>
      <c r="E1377" s="28" t="s">
        <v>1876</v>
      </c>
      <c r="F1377" s="28" t="s">
        <v>754</v>
      </c>
      <c r="G1377" s="28" t="s">
        <v>392</v>
      </c>
      <c r="H1377" s="28">
        <v>1.0</v>
      </c>
      <c r="I1377" s="28">
        <v>0.6903846153846154</v>
      </c>
      <c r="J1377" s="28">
        <v>23.0</v>
      </c>
      <c r="K1377" s="28" t="s">
        <v>57</v>
      </c>
      <c r="L1377" s="28" t="s">
        <v>696</v>
      </c>
    </row>
    <row r="1378" ht="15.75" customHeight="1">
      <c r="A1378" s="28" t="s">
        <v>131</v>
      </c>
      <c r="B1378" s="28" t="s">
        <v>2111</v>
      </c>
      <c r="D1378" s="28" t="s">
        <v>140</v>
      </c>
      <c r="E1378" s="28" t="s">
        <v>1877</v>
      </c>
      <c r="F1378" s="28" t="s">
        <v>754</v>
      </c>
      <c r="G1378" s="28" t="s">
        <v>262</v>
      </c>
      <c r="H1378" s="28">
        <v>1.0</v>
      </c>
      <c r="I1378" s="28">
        <v>0.6961538461538461</v>
      </c>
      <c r="J1378" s="28">
        <v>6.0</v>
      </c>
      <c r="K1378" s="28" t="s">
        <v>57</v>
      </c>
      <c r="L1378" s="28" t="s">
        <v>696</v>
      </c>
    </row>
    <row r="1379" ht="15.75" customHeight="1">
      <c r="A1379" s="28" t="s">
        <v>131</v>
      </c>
      <c r="B1379" s="28" t="s">
        <v>2111</v>
      </c>
      <c r="D1379" s="28" t="s">
        <v>140</v>
      </c>
      <c r="E1379" s="28" t="s">
        <v>1878</v>
      </c>
      <c r="F1379" s="28" t="s">
        <v>756</v>
      </c>
      <c r="G1379" s="28" t="s">
        <v>378</v>
      </c>
      <c r="H1379" s="28">
        <v>1.0</v>
      </c>
      <c r="I1379" s="28">
        <v>0.7230769230769231</v>
      </c>
      <c r="J1379" s="28">
        <v>8.0</v>
      </c>
      <c r="K1379" s="28" t="s">
        <v>57</v>
      </c>
      <c r="L1379" s="28" t="s">
        <v>696</v>
      </c>
    </row>
    <row r="1380" ht="15.75" customHeight="1">
      <c r="A1380" s="28" t="s">
        <v>131</v>
      </c>
      <c r="B1380" s="28" t="s">
        <v>2111</v>
      </c>
      <c r="D1380" s="28" t="s">
        <v>140</v>
      </c>
      <c r="E1380" s="28" t="s">
        <v>1879</v>
      </c>
      <c r="F1380" s="28" t="s">
        <v>756</v>
      </c>
      <c r="G1380" s="28" t="s">
        <v>334</v>
      </c>
      <c r="H1380" s="28">
        <v>1.0</v>
      </c>
      <c r="I1380" s="28">
        <v>0.725</v>
      </c>
      <c r="J1380" s="28">
        <v>1.0</v>
      </c>
      <c r="K1380" s="28" t="s">
        <v>57</v>
      </c>
      <c r="L1380" s="28" t="s">
        <v>696</v>
      </c>
    </row>
    <row r="1381" ht="15.75" customHeight="1">
      <c r="A1381" s="28" t="s">
        <v>131</v>
      </c>
      <c r="B1381" s="28" t="s">
        <v>2111</v>
      </c>
      <c r="D1381" s="28" t="s">
        <v>140</v>
      </c>
      <c r="E1381" s="28" t="s">
        <v>1880</v>
      </c>
      <c r="F1381" s="28" t="s">
        <v>756</v>
      </c>
      <c r="G1381" s="28" t="s">
        <v>339</v>
      </c>
      <c r="H1381" s="28">
        <v>1.0</v>
      </c>
      <c r="I1381" s="28">
        <v>0.7269230769230769</v>
      </c>
      <c r="J1381" s="28">
        <v>2.0</v>
      </c>
      <c r="K1381" s="28" t="s">
        <v>57</v>
      </c>
      <c r="L1381" s="28" t="s">
        <v>696</v>
      </c>
    </row>
    <row r="1382" ht="15.75" customHeight="1">
      <c r="A1382" s="28" t="s">
        <v>131</v>
      </c>
      <c r="B1382" s="28" t="s">
        <v>2111</v>
      </c>
      <c r="D1382" s="28" t="s">
        <v>140</v>
      </c>
      <c r="E1382" s="28" t="s">
        <v>1881</v>
      </c>
      <c r="F1382" s="28" t="s">
        <v>756</v>
      </c>
      <c r="G1382" s="28" t="s">
        <v>385</v>
      </c>
      <c r="H1382" s="28">
        <v>1.0</v>
      </c>
      <c r="I1382" s="28">
        <v>0.7615384615384615</v>
      </c>
      <c r="J1382" s="28">
        <v>9.0</v>
      </c>
      <c r="K1382" s="28" t="s">
        <v>57</v>
      </c>
      <c r="L1382" s="28" t="s">
        <v>696</v>
      </c>
    </row>
    <row r="1383" ht="15.75" customHeight="1">
      <c r="A1383" s="28" t="s">
        <v>131</v>
      </c>
      <c r="B1383" s="28" t="s">
        <v>2111</v>
      </c>
      <c r="D1383" s="28" t="s">
        <v>140</v>
      </c>
      <c r="E1383" s="28" t="s">
        <v>1882</v>
      </c>
      <c r="F1383" s="28" t="s">
        <v>756</v>
      </c>
      <c r="G1383" s="28" t="s">
        <v>310</v>
      </c>
      <c r="H1383" s="28">
        <v>1.0</v>
      </c>
      <c r="I1383" s="28">
        <v>0.7634615384615384</v>
      </c>
      <c r="J1383" s="28">
        <v>19.0</v>
      </c>
      <c r="K1383" s="28" t="s">
        <v>57</v>
      </c>
      <c r="L1383" s="28" t="s">
        <v>696</v>
      </c>
    </row>
    <row r="1384" ht="15.75" customHeight="1">
      <c r="A1384" s="28" t="s">
        <v>131</v>
      </c>
      <c r="B1384" s="28" t="s">
        <v>2111</v>
      </c>
      <c r="D1384" s="28" t="s">
        <v>140</v>
      </c>
      <c r="E1384" s="28" t="s">
        <v>1883</v>
      </c>
      <c r="F1384" s="28" t="s">
        <v>756</v>
      </c>
      <c r="G1384" s="28" t="s">
        <v>278</v>
      </c>
      <c r="H1384" s="28">
        <v>1.0</v>
      </c>
      <c r="I1384" s="28">
        <v>0.7653846153846153</v>
      </c>
      <c r="J1384" s="28">
        <v>15.0</v>
      </c>
      <c r="K1384" s="28" t="s">
        <v>57</v>
      </c>
      <c r="L1384" s="28" t="s">
        <v>696</v>
      </c>
    </row>
    <row r="1385" ht="15.75" customHeight="1">
      <c r="A1385" s="28" t="s">
        <v>131</v>
      </c>
      <c r="B1385" s="28" t="s">
        <v>2111</v>
      </c>
      <c r="D1385" s="28" t="s">
        <v>149</v>
      </c>
      <c r="E1385" s="28" t="s">
        <v>1884</v>
      </c>
      <c r="F1385" s="28" t="s">
        <v>761</v>
      </c>
      <c r="G1385" s="28" t="s">
        <v>303</v>
      </c>
      <c r="H1385" s="28">
        <v>1.0</v>
      </c>
      <c r="I1385" s="28">
        <v>0.26225165562913905</v>
      </c>
      <c r="J1385" s="28">
        <v>15.0</v>
      </c>
      <c r="K1385" s="28" t="s">
        <v>57</v>
      </c>
      <c r="L1385" s="28" t="s">
        <v>696</v>
      </c>
    </row>
    <row r="1386" ht="15.75" customHeight="1">
      <c r="A1386" s="28" t="s">
        <v>131</v>
      </c>
      <c r="B1386" s="28" t="s">
        <v>2111</v>
      </c>
      <c r="D1386" s="28" t="s">
        <v>149</v>
      </c>
      <c r="E1386" s="28" t="s">
        <v>1885</v>
      </c>
      <c r="F1386" s="28" t="s">
        <v>239</v>
      </c>
      <c r="G1386" s="28" t="s">
        <v>241</v>
      </c>
      <c r="H1386" s="28">
        <v>1.0</v>
      </c>
      <c r="I1386" s="28">
        <v>0.4585679806918745</v>
      </c>
      <c r="J1386" s="28">
        <v>13.0</v>
      </c>
      <c r="K1386" s="28" t="s">
        <v>57</v>
      </c>
      <c r="L1386" s="28" t="s">
        <v>696</v>
      </c>
    </row>
    <row r="1387" ht="15.75" customHeight="1">
      <c r="A1387" s="28" t="s">
        <v>131</v>
      </c>
      <c r="B1387" s="28" t="s">
        <v>2111</v>
      </c>
      <c r="D1387" s="28" t="s">
        <v>149</v>
      </c>
      <c r="E1387" s="28" t="s">
        <v>1886</v>
      </c>
      <c r="F1387" s="28" t="s">
        <v>763</v>
      </c>
      <c r="G1387" s="28" t="s">
        <v>287</v>
      </c>
      <c r="H1387" s="28">
        <v>1.0</v>
      </c>
      <c r="I1387" s="28">
        <v>0.47152317880794703</v>
      </c>
      <c r="J1387" s="28">
        <v>17.0</v>
      </c>
      <c r="K1387" s="28" t="s">
        <v>57</v>
      </c>
      <c r="L1387" s="28" t="s">
        <v>696</v>
      </c>
    </row>
    <row r="1388" ht="15.75" customHeight="1">
      <c r="A1388" s="28" t="s">
        <v>131</v>
      </c>
      <c r="B1388" s="28" t="s">
        <v>2111</v>
      </c>
      <c r="D1388" s="28" t="s">
        <v>149</v>
      </c>
      <c r="E1388" s="28" t="s">
        <v>1453</v>
      </c>
      <c r="F1388" s="28" t="s">
        <v>765</v>
      </c>
      <c r="G1388" s="28" t="s">
        <v>213</v>
      </c>
      <c r="H1388" s="28">
        <v>1.0</v>
      </c>
      <c r="I1388" s="28">
        <v>0.5324503311258278</v>
      </c>
      <c r="J1388" s="28">
        <v>2.0</v>
      </c>
      <c r="K1388" s="28" t="s">
        <v>57</v>
      </c>
      <c r="L1388" s="28" t="s">
        <v>57</v>
      </c>
    </row>
    <row r="1389" ht="15.75" customHeight="1">
      <c r="A1389" s="28" t="s">
        <v>131</v>
      </c>
      <c r="B1389" s="28" t="s">
        <v>2111</v>
      </c>
      <c r="D1389" s="28" t="s">
        <v>149</v>
      </c>
      <c r="E1389" s="28" t="s">
        <v>1887</v>
      </c>
      <c r="F1389" s="28" t="s">
        <v>767</v>
      </c>
      <c r="G1389" s="28" t="s">
        <v>345</v>
      </c>
      <c r="H1389" s="28">
        <v>1.0</v>
      </c>
      <c r="I1389" s="28">
        <v>0.6410596026490066</v>
      </c>
      <c r="J1389" s="28">
        <v>6.0</v>
      </c>
      <c r="K1389" s="28" t="s">
        <v>57</v>
      </c>
      <c r="L1389" s="28" t="s">
        <v>696</v>
      </c>
    </row>
    <row r="1390" ht="15.75" customHeight="1">
      <c r="A1390" s="28" t="s">
        <v>131</v>
      </c>
      <c r="B1390" s="28" t="s">
        <v>2111</v>
      </c>
      <c r="D1390" s="28" t="s">
        <v>149</v>
      </c>
      <c r="E1390" s="28" t="s">
        <v>1888</v>
      </c>
      <c r="F1390" s="28" t="s">
        <v>767</v>
      </c>
      <c r="G1390" s="28" t="s">
        <v>252</v>
      </c>
      <c r="H1390" s="28">
        <v>1.0</v>
      </c>
      <c r="I1390" s="28">
        <v>0.6410596026490066</v>
      </c>
      <c r="J1390" s="28">
        <v>3.0</v>
      </c>
      <c r="K1390" s="28" t="s">
        <v>57</v>
      </c>
      <c r="L1390" s="28" t="s">
        <v>696</v>
      </c>
    </row>
    <row r="1391" ht="15.75" customHeight="1">
      <c r="A1391" s="28" t="s">
        <v>131</v>
      </c>
      <c r="B1391" s="28" t="s">
        <v>2111</v>
      </c>
      <c r="D1391" s="28" t="s">
        <v>149</v>
      </c>
      <c r="E1391" s="28" t="s">
        <v>1889</v>
      </c>
      <c r="F1391" s="28" t="s">
        <v>767</v>
      </c>
      <c r="G1391" s="28" t="s">
        <v>270</v>
      </c>
      <c r="H1391" s="28">
        <v>1.0</v>
      </c>
      <c r="I1391" s="28">
        <v>0.6450331125827815</v>
      </c>
      <c r="J1391" s="28">
        <v>4.0</v>
      </c>
      <c r="K1391" s="28" t="s">
        <v>57</v>
      </c>
      <c r="L1391" s="28" t="s">
        <v>696</v>
      </c>
    </row>
    <row r="1392" ht="15.75" customHeight="1">
      <c r="A1392" s="28" t="s">
        <v>131</v>
      </c>
      <c r="B1392" s="28" t="s">
        <v>2111</v>
      </c>
      <c r="D1392" s="28" t="s">
        <v>149</v>
      </c>
      <c r="E1392" s="28" t="s">
        <v>1890</v>
      </c>
      <c r="F1392" s="28" t="s">
        <v>1458</v>
      </c>
      <c r="G1392" s="28" t="s">
        <v>370</v>
      </c>
      <c r="H1392" s="28">
        <v>1.0</v>
      </c>
      <c r="I1392" s="28">
        <v>0.6649006622516557</v>
      </c>
      <c r="J1392" s="28">
        <v>21.0</v>
      </c>
      <c r="K1392" s="28" t="s">
        <v>57</v>
      </c>
      <c r="L1392" s="28" t="s">
        <v>696</v>
      </c>
    </row>
    <row r="1393" ht="15.75" customHeight="1">
      <c r="A1393" s="28" t="s">
        <v>131</v>
      </c>
      <c r="B1393" s="28" t="s">
        <v>2111</v>
      </c>
      <c r="D1393" s="28" t="s">
        <v>149</v>
      </c>
      <c r="E1393" s="28" t="s">
        <v>1891</v>
      </c>
      <c r="F1393" s="28" t="s">
        <v>1460</v>
      </c>
      <c r="G1393" s="28" t="s">
        <v>398</v>
      </c>
      <c r="H1393" s="28">
        <v>1.0</v>
      </c>
      <c r="I1393" s="28">
        <v>0.7086092715231788</v>
      </c>
      <c r="J1393" s="28">
        <v>23.0</v>
      </c>
      <c r="K1393" s="28" t="s">
        <v>57</v>
      </c>
      <c r="L1393" s="28" t="s">
        <v>57</v>
      </c>
    </row>
    <row r="1394" ht="15.75" customHeight="1">
      <c r="A1394" s="28" t="s">
        <v>131</v>
      </c>
      <c r="B1394" s="28" t="s">
        <v>2111</v>
      </c>
      <c r="D1394" s="28" t="s">
        <v>149</v>
      </c>
      <c r="E1394" s="28" t="s">
        <v>1892</v>
      </c>
      <c r="F1394" s="28" t="s">
        <v>771</v>
      </c>
      <c r="G1394" s="28" t="s">
        <v>364</v>
      </c>
      <c r="H1394" s="28">
        <v>1.0</v>
      </c>
      <c r="I1394" s="28">
        <v>0.7417218543046358</v>
      </c>
      <c r="J1394" s="28">
        <v>20.0</v>
      </c>
      <c r="K1394" s="28" t="s">
        <v>57</v>
      </c>
      <c r="L1394" s="28" t="s">
        <v>696</v>
      </c>
    </row>
    <row r="1395" ht="15.75" customHeight="1">
      <c r="A1395" s="28" t="s">
        <v>131</v>
      </c>
      <c r="B1395" s="28" t="s">
        <v>2111</v>
      </c>
      <c r="D1395" s="28" t="s">
        <v>149</v>
      </c>
      <c r="E1395" s="28" t="s">
        <v>1893</v>
      </c>
      <c r="F1395" s="28" t="s">
        <v>771</v>
      </c>
      <c r="G1395" s="28" t="s">
        <v>295</v>
      </c>
      <c r="H1395" s="28">
        <v>1.0</v>
      </c>
      <c r="I1395" s="28">
        <v>0.743046357615894</v>
      </c>
      <c r="J1395" s="28">
        <v>19.0</v>
      </c>
      <c r="K1395" s="28" t="s">
        <v>57</v>
      </c>
      <c r="L1395" s="28" t="s">
        <v>696</v>
      </c>
    </row>
    <row r="1396" ht="15.75" customHeight="1">
      <c r="A1396" s="28" t="s">
        <v>131</v>
      </c>
      <c r="B1396" s="28" t="s">
        <v>2111</v>
      </c>
      <c r="D1396" s="28" t="s">
        <v>149</v>
      </c>
      <c r="E1396" s="28" t="s">
        <v>1894</v>
      </c>
      <c r="F1396" s="28" t="s">
        <v>775</v>
      </c>
      <c r="G1396" s="28" t="s">
        <v>262</v>
      </c>
      <c r="H1396" s="28">
        <v>1.0</v>
      </c>
      <c r="I1396" s="28">
        <v>0.7788079470198676</v>
      </c>
      <c r="J1396" s="28">
        <v>5.0</v>
      </c>
      <c r="K1396" s="28" t="s">
        <v>57</v>
      </c>
      <c r="L1396" s="28" t="s">
        <v>696</v>
      </c>
    </row>
    <row r="1397" ht="15.75" customHeight="1">
      <c r="A1397" s="28" t="s">
        <v>131</v>
      </c>
      <c r="B1397" s="28" t="s">
        <v>2111</v>
      </c>
      <c r="D1397" s="28" t="s">
        <v>149</v>
      </c>
      <c r="E1397" s="28" t="s">
        <v>1895</v>
      </c>
      <c r="F1397" s="28" t="s">
        <v>777</v>
      </c>
      <c r="G1397" s="28" t="s">
        <v>378</v>
      </c>
      <c r="H1397" s="28">
        <v>1.0</v>
      </c>
      <c r="I1397" s="28">
        <v>0.7827814569536424</v>
      </c>
      <c r="J1397" s="28">
        <v>7.0</v>
      </c>
      <c r="K1397" s="28" t="s">
        <v>57</v>
      </c>
      <c r="L1397" s="28" t="s">
        <v>696</v>
      </c>
    </row>
    <row r="1398" ht="15.75" customHeight="1">
      <c r="A1398" s="28" t="s">
        <v>131</v>
      </c>
      <c r="B1398" s="28" t="s">
        <v>2111</v>
      </c>
      <c r="D1398" s="28" t="s">
        <v>149</v>
      </c>
      <c r="E1398" s="28" t="s">
        <v>1896</v>
      </c>
      <c r="F1398" s="28" t="s">
        <v>775</v>
      </c>
      <c r="G1398" s="28" t="s">
        <v>392</v>
      </c>
      <c r="H1398" s="28">
        <v>1.0</v>
      </c>
      <c r="I1398" s="28">
        <v>0.7880794701986755</v>
      </c>
      <c r="J1398" s="28">
        <v>22.0</v>
      </c>
      <c r="K1398" s="28" t="s">
        <v>57</v>
      </c>
      <c r="L1398" s="28" t="s">
        <v>696</v>
      </c>
    </row>
    <row r="1399" ht="15.75" customHeight="1">
      <c r="A1399" s="28" t="s">
        <v>131</v>
      </c>
      <c r="B1399" s="28" t="s">
        <v>2111</v>
      </c>
      <c r="D1399" s="28" t="s">
        <v>149</v>
      </c>
      <c r="E1399" s="28" t="s">
        <v>1897</v>
      </c>
      <c r="F1399" s="28" t="s">
        <v>777</v>
      </c>
      <c r="G1399" s="28" t="s">
        <v>334</v>
      </c>
      <c r="H1399" s="28">
        <v>1.0</v>
      </c>
      <c r="I1399" s="28">
        <v>0.8052980132450331</v>
      </c>
      <c r="J1399" s="28">
        <v>0.0</v>
      </c>
      <c r="K1399" s="28" t="s">
        <v>57</v>
      </c>
      <c r="L1399" s="28" t="s">
        <v>696</v>
      </c>
    </row>
    <row r="1400" ht="15.75" customHeight="1">
      <c r="A1400" s="28" t="s">
        <v>131</v>
      </c>
      <c r="B1400" s="28" t="s">
        <v>2111</v>
      </c>
      <c r="D1400" s="28" t="s">
        <v>149</v>
      </c>
      <c r="E1400" s="28" t="s">
        <v>1898</v>
      </c>
      <c r="F1400" s="28" t="s">
        <v>777</v>
      </c>
      <c r="G1400" s="28" t="s">
        <v>339</v>
      </c>
      <c r="H1400" s="28">
        <v>1.0</v>
      </c>
      <c r="I1400" s="28">
        <v>0.8079470198675497</v>
      </c>
      <c r="J1400" s="28">
        <v>1.0</v>
      </c>
      <c r="K1400" s="28" t="s">
        <v>57</v>
      </c>
      <c r="L1400" s="28" t="s">
        <v>696</v>
      </c>
    </row>
    <row r="1401" ht="15.75" customHeight="1">
      <c r="A1401" s="28" t="s">
        <v>131</v>
      </c>
      <c r="B1401" s="28" t="s">
        <v>2111</v>
      </c>
      <c r="D1401" s="28" t="s">
        <v>149</v>
      </c>
      <c r="E1401" s="28" t="s">
        <v>1899</v>
      </c>
      <c r="F1401" s="28" t="s">
        <v>777</v>
      </c>
      <c r="G1401" s="28" t="s">
        <v>385</v>
      </c>
      <c r="H1401" s="28">
        <v>1.0</v>
      </c>
      <c r="I1401" s="28">
        <v>0.8304635761589404</v>
      </c>
      <c r="J1401" s="28">
        <v>8.0</v>
      </c>
      <c r="K1401" s="28" t="s">
        <v>57</v>
      </c>
      <c r="L1401" s="28" t="s">
        <v>696</v>
      </c>
    </row>
    <row r="1402" ht="15.75" customHeight="1">
      <c r="A1402" s="28" t="s">
        <v>131</v>
      </c>
      <c r="B1402" s="28" t="s">
        <v>2111</v>
      </c>
      <c r="D1402" s="28" t="s">
        <v>149</v>
      </c>
      <c r="E1402" s="28" t="s">
        <v>1900</v>
      </c>
      <c r="F1402" s="28" t="s">
        <v>777</v>
      </c>
      <c r="G1402" s="28" t="s">
        <v>310</v>
      </c>
      <c r="H1402" s="28">
        <v>1.0</v>
      </c>
      <c r="I1402" s="28">
        <v>0.83841059602649</v>
      </c>
      <c r="J1402" s="28">
        <v>18.0</v>
      </c>
      <c r="K1402" s="28" t="s">
        <v>57</v>
      </c>
      <c r="L1402" s="28" t="s">
        <v>696</v>
      </c>
    </row>
    <row r="1403" ht="15.75" customHeight="1">
      <c r="A1403" s="28" t="s">
        <v>131</v>
      </c>
      <c r="B1403" s="28" t="s">
        <v>2111</v>
      </c>
      <c r="D1403" s="28" t="s">
        <v>149</v>
      </c>
      <c r="E1403" s="28" t="s">
        <v>1901</v>
      </c>
      <c r="F1403" s="28" t="s">
        <v>777</v>
      </c>
      <c r="G1403" s="28" t="s">
        <v>278</v>
      </c>
      <c r="H1403" s="28">
        <v>1.0</v>
      </c>
      <c r="I1403" s="28">
        <v>0.83841059602649</v>
      </c>
      <c r="J1403" s="28">
        <v>14.0</v>
      </c>
      <c r="K1403" s="28" t="s">
        <v>57</v>
      </c>
      <c r="L1403" s="28" t="s">
        <v>696</v>
      </c>
    </row>
    <row r="1404" ht="15.75" customHeight="1">
      <c r="A1404" s="28" t="s">
        <v>131</v>
      </c>
      <c r="B1404" s="28" t="s">
        <v>2111</v>
      </c>
      <c r="D1404" s="28" t="s">
        <v>334</v>
      </c>
      <c r="E1404" s="28" t="s">
        <v>1902</v>
      </c>
      <c r="F1404" s="28" t="s">
        <v>276</v>
      </c>
      <c r="G1404" s="28" t="s">
        <v>339</v>
      </c>
      <c r="H1404" s="28">
        <v>1.0</v>
      </c>
      <c r="I1404" s="28">
        <v>0.027932960893854747</v>
      </c>
      <c r="J1404" s="28">
        <v>0.0</v>
      </c>
      <c r="K1404" s="28" t="s">
        <v>57</v>
      </c>
      <c r="L1404" s="28" t="s">
        <v>57</v>
      </c>
    </row>
    <row r="1405" ht="15.75" customHeight="1">
      <c r="A1405" s="28" t="s">
        <v>131</v>
      </c>
      <c r="B1405" s="28" t="s">
        <v>2111</v>
      </c>
      <c r="D1405" s="28" t="s">
        <v>334</v>
      </c>
      <c r="E1405" s="28" t="s">
        <v>1903</v>
      </c>
      <c r="F1405" s="28" t="s">
        <v>276</v>
      </c>
      <c r="G1405" s="28" t="s">
        <v>378</v>
      </c>
      <c r="H1405" s="28">
        <v>1.0</v>
      </c>
      <c r="I1405" s="28">
        <v>0.24537037037037038</v>
      </c>
      <c r="J1405" s="28">
        <v>6.0</v>
      </c>
      <c r="K1405" s="28" t="s">
        <v>57</v>
      </c>
      <c r="L1405" s="28" t="s">
        <v>57</v>
      </c>
    </row>
    <row r="1406" ht="15.75" customHeight="1">
      <c r="A1406" s="28" t="s">
        <v>131</v>
      </c>
      <c r="B1406" s="28" t="s">
        <v>2111</v>
      </c>
      <c r="D1406" s="28" t="s">
        <v>334</v>
      </c>
      <c r="E1406" s="28" t="s">
        <v>1904</v>
      </c>
      <c r="F1406" s="28" t="s">
        <v>276</v>
      </c>
      <c r="G1406" s="28" t="s">
        <v>385</v>
      </c>
      <c r="H1406" s="28">
        <v>1.0</v>
      </c>
      <c r="I1406" s="28">
        <v>0.26136363636363635</v>
      </c>
      <c r="J1406" s="28">
        <v>7.0</v>
      </c>
      <c r="K1406" s="28" t="s">
        <v>57</v>
      </c>
      <c r="L1406" s="28" t="s">
        <v>57</v>
      </c>
    </row>
    <row r="1407" ht="15.75" customHeight="1">
      <c r="A1407" s="28" t="s">
        <v>131</v>
      </c>
      <c r="B1407" s="28" t="s">
        <v>2111</v>
      </c>
      <c r="D1407" s="28" t="s">
        <v>334</v>
      </c>
      <c r="E1407" s="28" t="s">
        <v>1905</v>
      </c>
      <c r="F1407" s="28" t="s">
        <v>276</v>
      </c>
      <c r="G1407" s="28" t="s">
        <v>278</v>
      </c>
      <c r="H1407" s="28">
        <v>1.0</v>
      </c>
      <c r="I1407" s="28">
        <v>0.29545454545454547</v>
      </c>
      <c r="J1407" s="28">
        <v>13.0</v>
      </c>
      <c r="K1407" s="28" t="s">
        <v>57</v>
      </c>
      <c r="L1407" s="28" t="s">
        <v>57</v>
      </c>
    </row>
    <row r="1408" ht="15.75" customHeight="1">
      <c r="A1408" s="28" t="s">
        <v>131</v>
      </c>
      <c r="B1408" s="28" t="s">
        <v>2111</v>
      </c>
      <c r="D1408" s="28" t="s">
        <v>334</v>
      </c>
      <c r="E1408" s="28" t="s">
        <v>1906</v>
      </c>
      <c r="F1408" s="28" t="s">
        <v>276</v>
      </c>
      <c r="G1408" s="28" t="s">
        <v>310</v>
      </c>
      <c r="H1408" s="28">
        <v>1.0</v>
      </c>
      <c r="I1408" s="28">
        <v>0.30113636363636365</v>
      </c>
      <c r="J1408" s="28">
        <v>17.0</v>
      </c>
      <c r="K1408" s="28" t="s">
        <v>57</v>
      </c>
      <c r="L1408" s="28" t="s">
        <v>57</v>
      </c>
    </row>
    <row r="1409" ht="15.75" customHeight="1">
      <c r="A1409" s="28" t="s">
        <v>131</v>
      </c>
      <c r="B1409" s="28" t="s">
        <v>2111</v>
      </c>
      <c r="D1409" s="28" t="s">
        <v>334</v>
      </c>
      <c r="E1409" s="28" t="s">
        <v>1907</v>
      </c>
      <c r="F1409" s="28" t="s">
        <v>260</v>
      </c>
      <c r="G1409" s="28" t="s">
        <v>262</v>
      </c>
      <c r="H1409" s="28">
        <v>1.0</v>
      </c>
      <c r="I1409" s="28">
        <v>0.35795454545454547</v>
      </c>
      <c r="J1409" s="28">
        <v>4.0</v>
      </c>
      <c r="K1409" s="28" t="s">
        <v>57</v>
      </c>
      <c r="L1409" s="28" t="s">
        <v>57</v>
      </c>
    </row>
    <row r="1410" ht="15.75" customHeight="1">
      <c r="A1410" s="28" t="s">
        <v>131</v>
      </c>
      <c r="B1410" s="28" t="s">
        <v>2111</v>
      </c>
      <c r="D1410" s="28" t="s">
        <v>334</v>
      </c>
      <c r="E1410" s="28" t="s">
        <v>1908</v>
      </c>
      <c r="F1410" s="28" t="s">
        <v>260</v>
      </c>
      <c r="G1410" s="28" t="s">
        <v>392</v>
      </c>
      <c r="H1410" s="28">
        <v>1.0</v>
      </c>
      <c r="I1410" s="28">
        <v>0.4034090909090909</v>
      </c>
      <c r="J1410" s="28">
        <v>21.0</v>
      </c>
      <c r="K1410" s="28" t="s">
        <v>57</v>
      </c>
      <c r="L1410" s="28" t="s">
        <v>57</v>
      </c>
    </row>
    <row r="1411" ht="15.75" customHeight="1">
      <c r="A1411" s="28" t="s">
        <v>131</v>
      </c>
      <c r="B1411" s="28" t="s">
        <v>2111</v>
      </c>
      <c r="D1411" s="28" t="s">
        <v>334</v>
      </c>
      <c r="E1411" s="28" t="s">
        <v>1909</v>
      </c>
      <c r="F1411" s="28" t="s">
        <v>396</v>
      </c>
      <c r="G1411" s="28" t="s">
        <v>398</v>
      </c>
      <c r="H1411" s="28">
        <v>1.0</v>
      </c>
      <c r="I1411" s="28">
        <v>0.43727598566308246</v>
      </c>
      <c r="J1411" s="28">
        <v>22.0</v>
      </c>
      <c r="K1411" s="28" t="s">
        <v>57</v>
      </c>
      <c r="L1411" s="28" t="s">
        <v>696</v>
      </c>
    </row>
    <row r="1412" ht="15.75" customHeight="1">
      <c r="A1412" s="28" t="s">
        <v>131</v>
      </c>
      <c r="B1412" s="28" t="s">
        <v>2111</v>
      </c>
      <c r="D1412" s="28" t="s">
        <v>334</v>
      </c>
      <c r="E1412" s="28" t="s">
        <v>1910</v>
      </c>
      <c r="F1412" s="28" t="s">
        <v>687</v>
      </c>
      <c r="G1412" s="28" t="s">
        <v>295</v>
      </c>
      <c r="H1412" s="28">
        <v>1.0</v>
      </c>
      <c r="I1412" s="28">
        <v>0.44221105527638194</v>
      </c>
      <c r="J1412" s="28">
        <v>18.0</v>
      </c>
      <c r="K1412" s="28" t="s">
        <v>57</v>
      </c>
      <c r="L1412" s="28" t="s">
        <v>57</v>
      </c>
    </row>
    <row r="1413" ht="15.75" customHeight="1">
      <c r="A1413" s="28" t="s">
        <v>131</v>
      </c>
      <c r="B1413" s="28" t="s">
        <v>2111</v>
      </c>
      <c r="D1413" s="28" t="s">
        <v>334</v>
      </c>
      <c r="E1413" s="28" t="s">
        <v>1911</v>
      </c>
      <c r="F1413" s="28" t="s">
        <v>687</v>
      </c>
      <c r="G1413" s="28" t="s">
        <v>364</v>
      </c>
      <c r="H1413" s="28">
        <v>1.0</v>
      </c>
      <c r="I1413" s="28">
        <v>0.445</v>
      </c>
      <c r="J1413" s="28">
        <v>19.0</v>
      </c>
      <c r="K1413" s="28" t="s">
        <v>57</v>
      </c>
      <c r="L1413" s="28" t="s">
        <v>57</v>
      </c>
    </row>
    <row r="1414" ht="15.75" customHeight="1">
      <c r="A1414" s="28" t="s">
        <v>131</v>
      </c>
      <c r="B1414" s="28" t="s">
        <v>2111</v>
      </c>
      <c r="D1414" s="28" t="s">
        <v>334</v>
      </c>
      <c r="E1414" s="28" t="s">
        <v>1912</v>
      </c>
      <c r="F1414" s="28" t="s">
        <v>1375</v>
      </c>
      <c r="G1414" s="28" t="s">
        <v>370</v>
      </c>
      <c r="H1414" s="28">
        <v>1.0</v>
      </c>
      <c r="I1414" s="28">
        <v>0.5361216730038023</v>
      </c>
      <c r="J1414" s="28">
        <v>20.0</v>
      </c>
      <c r="K1414" s="28" t="s">
        <v>57</v>
      </c>
      <c r="L1414" s="28" t="s">
        <v>57</v>
      </c>
    </row>
    <row r="1415" ht="15.75" customHeight="1">
      <c r="A1415" s="28" t="s">
        <v>131</v>
      </c>
      <c r="B1415" s="28" t="s">
        <v>2111</v>
      </c>
      <c r="D1415" s="28" t="s">
        <v>334</v>
      </c>
      <c r="E1415" s="28" t="s">
        <v>1913</v>
      </c>
      <c r="F1415" s="28" t="s">
        <v>691</v>
      </c>
      <c r="G1415" s="28" t="s">
        <v>270</v>
      </c>
      <c r="H1415" s="28">
        <v>1.0</v>
      </c>
      <c r="I1415" s="28">
        <v>0.5423728813559322</v>
      </c>
      <c r="J1415" s="28">
        <v>3.0</v>
      </c>
      <c r="K1415" s="28" t="s">
        <v>57</v>
      </c>
      <c r="L1415" s="28" t="s">
        <v>57</v>
      </c>
    </row>
    <row r="1416" ht="15.75" customHeight="1">
      <c r="A1416" s="28" t="s">
        <v>131</v>
      </c>
      <c r="B1416" s="28" t="s">
        <v>2111</v>
      </c>
      <c r="D1416" s="28" t="s">
        <v>334</v>
      </c>
      <c r="E1416" s="28" t="s">
        <v>1914</v>
      </c>
      <c r="F1416" s="28" t="s">
        <v>691</v>
      </c>
      <c r="G1416" s="28" t="s">
        <v>345</v>
      </c>
      <c r="H1416" s="28">
        <v>1.0</v>
      </c>
      <c r="I1416" s="28">
        <v>0.5463917525773195</v>
      </c>
      <c r="J1416" s="28">
        <v>5.0</v>
      </c>
      <c r="K1416" s="28" t="s">
        <v>57</v>
      </c>
      <c r="L1416" s="28" t="s">
        <v>57</v>
      </c>
    </row>
    <row r="1417" ht="15.75" customHeight="1">
      <c r="A1417" s="28" t="s">
        <v>131</v>
      </c>
      <c r="B1417" s="28" t="s">
        <v>2111</v>
      </c>
      <c r="D1417" s="28" t="s">
        <v>334</v>
      </c>
      <c r="E1417" s="28" t="s">
        <v>1915</v>
      </c>
      <c r="F1417" s="28" t="s">
        <v>691</v>
      </c>
      <c r="G1417" s="28" t="s">
        <v>252</v>
      </c>
      <c r="H1417" s="28">
        <v>1.0</v>
      </c>
      <c r="I1417" s="28">
        <v>0.547945205479452</v>
      </c>
      <c r="J1417" s="28">
        <v>2.0</v>
      </c>
      <c r="K1417" s="28" t="s">
        <v>57</v>
      </c>
      <c r="L1417" s="28" t="s">
        <v>57</v>
      </c>
    </row>
    <row r="1418" ht="15.75" customHeight="1">
      <c r="A1418" s="28" t="s">
        <v>131</v>
      </c>
      <c r="B1418" s="28" t="s">
        <v>2111</v>
      </c>
      <c r="D1418" s="28" t="s">
        <v>334</v>
      </c>
      <c r="E1418" s="28" t="s">
        <v>1916</v>
      </c>
      <c r="F1418" s="28" t="s">
        <v>695</v>
      </c>
      <c r="G1418" s="28" t="s">
        <v>213</v>
      </c>
      <c r="H1418" s="28">
        <v>1.0</v>
      </c>
      <c r="I1418" s="28">
        <v>0.6204188481675392</v>
      </c>
      <c r="J1418" s="28">
        <v>1.0</v>
      </c>
      <c r="K1418" s="28" t="s">
        <v>57</v>
      </c>
      <c r="L1418" s="28" t="s">
        <v>696</v>
      </c>
    </row>
    <row r="1419" ht="15.75" customHeight="1">
      <c r="A1419" s="28" t="s">
        <v>131</v>
      </c>
      <c r="B1419" s="28" t="s">
        <v>2111</v>
      </c>
      <c r="D1419" s="28" t="s">
        <v>334</v>
      </c>
      <c r="E1419" s="28" t="s">
        <v>1917</v>
      </c>
      <c r="F1419" s="28" t="s">
        <v>698</v>
      </c>
      <c r="G1419" s="28" t="s">
        <v>287</v>
      </c>
      <c r="H1419" s="28">
        <v>1.0</v>
      </c>
      <c r="I1419" s="28">
        <v>0.684964200477327</v>
      </c>
      <c r="J1419" s="28">
        <v>16.0</v>
      </c>
      <c r="K1419" s="28" t="s">
        <v>57</v>
      </c>
      <c r="L1419" s="28" t="s">
        <v>57</v>
      </c>
    </row>
    <row r="1420" ht="15.75" customHeight="1">
      <c r="A1420" s="28" t="s">
        <v>131</v>
      </c>
      <c r="B1420" s="28" t="s">
        <v>2111</v>
      </c>
      <c r="D1420" s="28" t="s">
        <v>334</v>
      </c>
      <c r="E1420" s="28" t="s">
        <v>1918</v>
      </c>
      <c r="F1420" s="28" t="s">
        <v>701</v>
      </c>
      <c r="G1420" s="28" t="s">
        <v>303</v>
      </c>
      <c r="H1420" s="28">
        <v>1.0</v>
      </c>
      <c r="I1420" s="28">
        <v>0.7925311203319502</v>
      </c>
      <c r="J1420" s="28">
        <v>14.0</v>
      </c>
      <c r="K1420" s="28" t="s">
        <v>57</v>
      </c>
      <c r="L1420" s="28" t="s">
        <v>57</v>
      </c>
    </row>
    <row r="1421" ht="15.75" customHeight="1">
      <c r="A1421" s="28" t="s">
        <v>131</v>
      </c>
      <c r="B1421" s="28" t="s">
        <v>2111</v>
      </c>
      <c r="D1421" s="28" t="s">
        <v>334</v>
      </c>
      <c r="E1421" s="28" t="s">
        <v>1919</v>
      </c>
      <c r="F1421" s="28" t="s">
        <v>705</v>
      </c>
      <c r="G1421" s="28" t="s">
        <v>241</v>
      </c>
      <c r="H1421" s="28">
        <v>1.0</v>
      </c>
      <c r="I1421" s="28">
        <v>0.8793242156074015</v>
      </c>
      <c r="J1421" s="28">
        <v>12.0</v>
      </c>
      <c r="K1421" s="28" t="s">
        <v>57</v>
      </c>
      <c r="L1421" s="28" t="s">
        <v>57</v>
      </c>
    </row>
    <row r="1422" ht="15.75" customHeight="1">
      <c r="A1422" s="28" t="s">
        <v>131</v>
      </c>
      <c r="B1422" s="28" t="s">
        <v>2111</v>
      </c>
      <c r="D1422" s="28" t="s">
        <v>339</v>
      </c>
      <c r="E1422" s="28" t="s">
        <v>1920</v>
      </c>
      <c r="F1422" s="28" t="s">
        <v>276</v>
      </c>
      <c r="G1422" s="28" t="s">
        <v>378</v>
      </c>
      <c r="H1422" s="28">
        <v>1.0</v>
      </c>
      <c r="I1422" s="28">
        <v>0.25925925925925924</v>
      </c>
      <c r="J1422" s="28">
        <v>5.0</v>
      </c>
      <c r="K1422" s="28" t="s">
        <v>57</v>
      </c>
      <c r="L1422" s="28" t="s">
        <v>57</v>
      </c>
    </row>
    <row r="1423" ht="15.75" customHeight="1">
      <c r="A1423" s="28" t="s">
        <v>131</v>
      </c>
      <c r="B1423" s="28" t="s">
        <v>2111</v>
      </c>
      <c r="D1423" s="28" t="s">
        <v>339</v>
      </c>
      <c r="E1423" s="28" t="s">
        <v>1921</v>
      </c>
      <c r="F1423" s="28" t="s">
        <v>276</v>
      </c>
      <c r="G1423" s="28" t="s">
        <v>385</v>
      </c>
      <c r="H1423" s="28">
        <v>1.0</v>
      </c>
      <c r="I1423" s="28">
        <v>0.2737430167597765</v>
      </c>
      <c r="J1423" s="28">
        <v>6.0</v>
      </c>
      <c r="K1423" s="28" t="s">
        <v>57</v>
      </c>
      <c r="L1423" s="28" t="s">
        <v>57</v>
      </c>
    </row>
    <row r="1424" ht="15.75" customHeight="1">
      <c r="A1424" s="28" t="s">
        <v>131</v>
      </c>
      <c r="B1424" s="28" t="s">
        <v>2111</v>
      </c>
      <c r="D1424" s="28" t="s">
        <v>339</v>
      </c>
      <c r="E1424" s="28" t="s">
        <v>1922</v>
      </c>
      <c r="F1424" s="28" t="s">
        <v>276</v>
      </c>
      <c r="G1424" s="28" t="s">
        <v>278</v>
      </c>
      <c r="H1424" s="28">
        <v>1.0</v>
      </c>
      <c r="I1424" s="28">
        <v>0.30726256983240224</v>
      </c>
      <c r="J1424" s="28">
        <v>12.0</v>
      </c>
      <c r="K1424" s="28" t="s">
        <v>57</v>
      </c>
      <c r="L1424" s="28" t="s">
        <v>57</v>
      </c>
    </row>
    <row r="1425" ht="15.75" customHeight="1">
      <c r="A1425" s="28" t="s">
        <v>131</v>
      </c>
      <c r="B1425" s="28" t="s">
        <v>2111</v>
      </c>
      <c r="D1425" s="28" t="s">
        <v>339</v>
      </c>
      <c r="E1425" s="28" t="s">
        <v>1923</v>
      </c>
      <c r="F1425" s="28" t="s">
        <v>276</v>
      </c>
      <c r="G1425" s="28" t="s">
        <v>310</v>
      </c>
      <c r="H1425" s="28">
        <v>1.0</v>
      </c>
      <c r="I1425" s="28">
        <v>0.3128491620111732</v>
      </c>
      <c r="J1425" s="28">
        <v>16.0</v>
      </c>
      <c r="K1425" s="28" t="s">
        <v>57</v>
      </c>
      <c r="L1425" s="28" t="s">
        <v>57</v>
      </c>
    </row>
    <row r="1426" ht="15.75" customHeight="1">
      <c r="A1426" s="28" t="s">
        <v>131</v>
      </c>
      <c r="B1426" s="28" t="s">
        <v>2111</v>
      </c>
      <c r="D1426" s="28" t="s">
        <v>339</v>
      </c>
      <c r="E1426" s="28" t="s">
        <v>1924</v>
      </c>
      <c r="F1426" s="28" t="s">
        <v>260</v>
      </c>
      <c r="G1426" s="28" t="s">
        <v>262</v>
      </c>
      <c r="H1426" s="28">
        <v>1.0</v>
      </c>
      <c r="I1426" s="28">
        <v>0.3687150837988827</v>
      </c>
      <c r="J1426" s="28">
        <v>3.0</v>
      </c>
      <c r="K1426" s="28" t="s">
        <v>57</v>
      </c>
      <c r="L1426" s="28" t="s">
        <v>57</v>
      </c>
    </row>
    <row r="1427" ht="15.75" customHeight="1">
      <c r="A1427" s="28" t="s">
        <v>131</v>
      </c>
      <c r="B1427" s="28" t="s">
        <v>2111</v>
      </c>
      <c r="D1427" s="28" t="s">
        <v>339</v>
      </c>
      <c r="E1427" s="28" t="s">
        <v>1925</v>
      </c>
      <c r="F1427" s="28" t="s">
        <v>260</v>
      </c>
      <c r="G1427" s="28" t="s">
        <v>392</v>
      </c>
      <c r="H1427" s="28">
        <v>1.0</v>
      </c>
      <c r="I1427" s="28">
        <v>0.4134078212290503</v>
      </c>
      <c r="J1427" s="28">
        <v>20.0</v>
      </c>
      <c r="K1427" s="28" t="s">
        <v>57</v>
      </c>
      <c r="L1427" s="28" t="s">
        <v>57</v>
      </c>
    </row>
    <row r="1428" ht="15.75" customHeight="1">
      <c r="A1428" s="28" t="s">
        <v>131</v>
      </c>
      <c r="B1428" s="28" t="s">
        <v>2111</v>
      </c>
      <c r="D1428" s="28" t="s">
        <v>339</v>
      </c>
      <c r="E1428" s="28" t="s">
        <v>1926</v>
      </c>
      <c r="F1428" s="28" t="s">
        <v>396</v>
      </c>
      <c r="G1428" s="28" t="s">
        <v>398</v>
      </c>
      <c r="H1428" s="28">
        <v>1.0</v>
      </c>
      <c r="I1428" s="28">
        <v>0.44802867383512546</v>
      </c>
      <c r="J1428" s="28">
        <v>21.0</v>
      </c>
      <c r="K1428" s="28" t="s">
        <v>57</v>
      </c>
      <c r="L1428" s="28" t="s">
        <v>696</v>
      </c>
    </row>
    <row r="1429" ht="15.75" customHeight="1">
      <c r="A1429" s="28" t="s">
        <v>131</v>
      </c>
      <c r="B1429" s="28" t="s">
        <v>2111</v>
      </c>
      <c r="D1429" s="28" t="s">
        <v>339</v>
      </c>
      <c r="E1429" s="28" t="s">
        <v>1927</v>
      </c>
      <c r="F1429" s="28" t="s">
        <v>687</v>
      </c>
      <c r="G1429" s="28" t="s">
        <v>295</v>
      </c>
      <c r="H1429" s="28">
        <v>1.0</v>
      </c>
      <c r="I1429" s="28">
        <v>0.457286432160804</v>
      </c>
      <c r="J1429" s="28">
        <v>17.0</v>
      </c>
      <c r="K1429" s="28" t="s">
        <v>57</v>
      </c>
      <c r="L1429" s="28" t="s">
        <v>57</v>
      </c>
    </row>
    <row r="1430" ht="15.75" customHeight="1">
      <c r="A1430" s="28" t="s">
        <v>131</v>
      </c>
      <c r="B1430" s="28" t="s">
        <v>2111</v>
      </c>
      <c r="D1430" s="28" t="s">
        <v>339</v>
      </c>
      <c r="E1430" s="28" t="s">
        <v>1928</v>
      </c>
      <c r="F1430" s="28" t="s">
        <v>687</v>
      </c>
      <c r="G1430" s="28" t="s">
        <v>364</v>
      </c>
      <c r="H1430" s="28">
        <v>1.0</v>
      </c>
      <c r="I1430" s="28">
        <v>0.46</v>
      </c>
      <c r="J1430" s="28">
        <v>18.0</v>
      </c>
      <c r="K1430" s="28" t="s">
        <v>57</v>
      </c>
      <c r="L1430" s="28" t="s">
        <v>57</v>
      </c>
    </row>
    <row r="1431" ht="15.75" customHeight="1">
      <c r="A1431" s="28" t="s">
        <v>131</v>
      </c>
      <c r="B1431" s="28" t="s">
        <v>2111</v>
      </c>
      <c r="D1431" s="28" t="s">
        <v>339</v>
      </c>
      <c r="E1431" s="28" t="s">
        <v>1929</v>
      </c>
      <c r="F1431" s="28" t="s">
        <v>1375</v>
      </c>
      <c r="G1431" s="28" t="s">
        <v>370</v>
      </c>
      <c r="H1431" s="28">
        <v>1.0</v>
      </c>
      <c r="I1431" s="28">
        <v>0.5475285171102662</v>
      </c>
      <c r="J1431" s="28">
        <v>19.0</v>
      </c>
      <c r="K1431" s="28" t="s">
        <v>57</v>
      </c>
      <c r="L1431" s="28" t="s">
        <v>57</v>
      </c>
    </row>
    <row r="1432" ht="15.75" customHeight="1">
      <c r="A1432" s="28" t="s">
        <v>131</v>
      </c>
      <c r="B1432" s="28" t="s">
        <v>2111</v>
      </c>
      <c r="D1432" s="28" t="s">
        <v>339</v>
      </c>
      <c r="E1432" s="28" t="s">
        <v>1930</v>
      </c>
      <c r="F1432" s="28" t="s">
        <v>691</v>
      </c>
      <c r="G1432" s="28" t="s">
        <v>270</v>
      </c>
      <c r="H1432" s="28">
        <v>1.0</v>
      </c>
      <c r="I1432" s="28">
        <v>0.5491525423728814</v>
      </c>
      <c r="J1432" s="28">
        <v>2.0</v>
      </c>
      <c r="K1432" s="28" t="s">
        <v>57</v>
      </c>
      <c r="L1432" s="28" t="s">
        <v>57</v>
      </c>
    </row>
    <row r="1433" ht="15.75" customHeight="1">
      <c r="A1433" s="28" t="s">
        <v>131</v>
      </c>
      <c r="B1433" s="28" t="s">
        <v>2111</v>
      </c>
      <c r="D1433" s="28" t="s">
        <v>339</v>
      </c>
      <c r="E1433" s="28" t="s">
        <v>1931</v>
      </c>
      <c r="F1433" s="28" t="s">
        <v>691</v>
      </c>
      <c r="G1433" s="28" t="s">
        <v>345</v>
      </c>
      <c r="H1433" s="28">
        <v>1.0</v>
      </c>
      <c r="I1433" s="28">
        <v>0.5567010309278351</v>
      </c>
      <c r="J1433" s="28">
        <v>4.0</v>
      </c>
      <c r="K1433" s="28" t="s">
        <v>57</v>
      </c>
      <c r="L1433" s="28" t="s">
        <v>57</v>
      </c>
    </row>
    <row r="1434" ht="15.75" customHeight="1">
      <c r="A1434" s="28" t="s">
        <v>131</v>
      </c>
      <c r="B1434" s="28" t="s">
        <v>2111</v>
      </c>
      <c r="D1434" s="28" t="s">
        <v>339</v>
      </c>
      <c r="E1434" s="28" t="s">
        <v>1932</v>
      </c>
      <c r="F1434" s="28" t="s">
        <v>691</v>
      </c>
      <c r="G1434" s="28" t="s">
        <v>252</v>
      </c>
      <c r="H1434" s="28">
        <v>1.0</v>
      </c>
      <c r="I1434" s="28">
        <v>0.5582191780821918</v>
      </c>
      <c r="J1434" s="28">
        <v>1.0</v>
      </c>
      <c r="K1434" s="28" t="s">
        <v>57</v>
      </c>
      <c r="L1434" s="28" t="s">
        <v>57</v>
      </c>
    </row>
    <row r="1435" ht="15.75" customHeight="1">
      <c r="A1435" s="28" t="s">
        <v>131</v>
      </c>
      <c r="B1435" s="28" t="s">
        <v>2111</v>
      </c>
      <c r="D1435" s="28" t="s">
        <v>339</v>
      </c>
      <c r="E1435" s="28" t="s">
        <v>1933</v>
      </c>
      <c r="F1435" s="28" t="s">
        <v>695</v>
      </c>
      <c r="G1435" s="28" t="s">
        <v>213</v>
      </c>
      <c r="H1435" s="28">
        <v>1.0</v>
      </c>
      <c r="I1435" s="28">
        <v>0.6256544502617801</v>
      </c>
      <c r="J1435" s="28">
        <v>0.0</v>
      </c>
      <c r="K1435" s="28" t="s">
        <v>57</v>
      </c>
      <c r="L1435" s="28" t="s">
        <v>696</v>
      </c>
    </row>
    <row r="1436" ht="15.75" customHeight="1">
      <c r="A1436" s="28" t="s">
        <v>131</v>
      </c>
      <c r="B1436" s="28" t="s">
        <v>2111</v>
      </c>
      <c r="D1436" s="28" t="s">
        <v>339</v>
      </c>
      <c r="E1436" s="28" t="s">
        <v>1934</v>
      </c>
      <c r="F1436" s="28" t="s">
        <v>698</v>
      </c>
      <c r="G1436" s="28" t="s">
        <v>287</v>
      </c>
      <c r="H1436" s="28">
        <v>1.0</v>
      </c>
      <c r="I1436" s="28">
        <v>0.6921241050119332</v>
      </c>
      <c r="J1436" s="28">
        <v>15.0</v>
      </c>
      <c r="K1436" s="28" t="s">
        <v>57</v>
      </c>
      <c r="L1436" s="28" t="s">
        <v>57</v>
      </c>
    </row>
    <row r="1437" ht="15.75" customHeight="1">
      <c r="A1437" s="28" t="s">
        <v>131</v>
      </c>
      <c r="B1437" s="28" t="s">
        <v>2111</v>
      </c>
      <c r="D1437" s="28" t="s">
        <v>339</v>
      </c>
      <c r="E1437" s="28" t="s">
        <v>1935</v>
      </c>
      <c r="F1437" s="28" t="s">
        <v>701</v>
      </c>
      <c r="G1437" s="28" t="s">
        <v>303</v>
      </c>
      <c r="H1437" s="28">
        <v>1.0</v>
      </c>
      <c r="I1437" s="28">
        <v>0.7966804979253111</v>
      </c>
      <c r="J1437" s="28">
        <v>13.0</v>
      </c>
      <c r="K1437" s="28" t="s">
        <v>57</v>
      </c>
      <c r="L1437" s="28" t="s">
        <v>57</v>
      </c>
    </row>
    <row r="1438" ht="15.75" customHeight="1">
      <c r="A1438" s="28" t="s">
        <v>131</v>
      </c>
      <c r="B1438" s="28" t="s">
        <v>2111</v>
      </c>
      <c r="D1438" s="28" t="s">
        <v>339</v>
      </c>
      <c r="E1438" s="28" t="s">
        <v>1936</v>
      </c>
      <c r="F1438" s="28" t="s">
        <v>705</v>
      </c>
      <c r="G1438" s="28" t="s">
        <v>241</v>
      </c>
      <c r="H1438" s="28">
        <v>1.0</v>
      </c>
      <c r="I1438" s="28">
        <v>0.8793242156074015</v>
      </c>
      <c r="J1438" s="28">
        <v>11.0</v>
      </c>
      <c r="K1438" s="28" t="s">
        <v>57</v>
      </c>
      <c r="L1438" s="28" t="s">
        <v>57</v>
      </c>
    </row>
    <row r="1439" ht="15.75" customHeight="1">
      <c r="A1439" s="28" t="s">
        <v>131</v>
      </c>
      <c r="B1439" s="28" t="s">
        <v>2111</v>
      </c>
      <c r="D1439" s="28" t="s">
        <v>213</v>
      </c>
      <c r="E1439" s="28" t="s">
        <v>1937</v>
      </c>
      <c r="F1439" s="28" t="s">
        <v>250</v>
      </c>
      <c r="G1439" s="28" t="s">
        <v>345</v>
      </c>
      <c r="H1439" s="28">
        <v>1.0</v>
      </c>
      <c r="I1439" s="28">
        <v>0.2905759162303665</v>
      </c>
      <c r="J1439" s="28">
        <v>3.0</v>
      </c>
      <c r="K1439" s="28" t="s">
        <v>57</v>
      </c>
      <c r="L1439" s="28" t="s">
        <v>696</v>
      </c>
    </row>
    <row r="1440" ht="15.75" customHeight="1">
      <c r="A1440" s="28" t="s">
        <v>131</v>
      </c>
      <c r="B1440" s="28" t="s">
        <v>2111</v>
      </c>
      <c r="D1440" s="28" t="s">
        <v>213</v>
      </c>
      <c r="E1440" s="28" t="s">
        <v>1938</v>
      </c>
      <c r="F1440" s="28" t="s">
        <v>250</v>
      </c>
      <c r="G1440" s="28" t="s">
        <v>252</v>
      </c>
      <c r="H1440" s="28">
        <v>1.0</v>
      </c>
      <c r="I1440" s="28">
        <v>0.29581151832460734</v>
      </c>
      <c r="J1440" s="28">
        <v>0.0</v>
      </c>
      <c r="K1440" s="28" t="s">
        <v>57</v>
      </c>
      <c r="L1440" s="28" t="s">
        <v>696</v>
      </c>
    </row>
    <row r="1441" ht="15.75" customHeight="1">
      <c r="A1441" s="28" t="s">
        <v>131</v>
      </c>
      <c r="B1441" s="28" t="s">
        <v>2111</v>
      </c>
      <c r="D1441" s="28" t="s">
        <v>213</v>
      </c>
      <c r="E1441" s="28" t="s">
        <v>1939</v>
      </c>
      <c r="F1441" s="28" t="s">
        <v>250</v>
      </c>
      <c r="G1441" s="28" t="s">
        <v>270</v>
      </c>
      <c r="H1441" s="28">
        <v>1.0</v>
      </c>
      <c r="I1441" s="28">
        <v>0.3036649214659686</v>
      </c>
      <c r="J1441" s="28">
        <v>1.0</v>
      </c>
      <c r="K1441" s="28" t="s">
        <v>57</v>
      </c>
      <c r="L1441" s="28" t="s">
        <v>696</v>
      </c>
    </row>
    <row r="1442" ht="15.75" customHeight="1">
      <c r="A1442" s="28" t="s">
        <v>131</v>
      </c>
      <c r="B1442" s="28" t="s">
        <v>2111</v>
      </c>
      <c r="D1442" s="28" t="s">
        <v>213</v>
      </c>
      <c r="E1442" s="28" t="s">
        <v>1940</v>
      </c>
      <c r="F1442" s="28" t="s">
        <v>811</v>
      </c>
      <c r="G1442" s="28" t="s">
        <v>287</v>
      </c>
      <c r="H1442" s="28">
        <v>1.0</v>
      </c>
      <c r="I1442" s="28">
        <v>0.3054892601431981</v>
      </c>
      <c r="J1442" s="28">
        <v>14.0</v>
      </c>
      <c r="K1442" s="28" t="s">
        <v>57</v>
      </c>
      <c r="L1442" s="28" t="s">
        <v>696</v>
      </c>
    </row>
    <row r="1443" ht="15.75" customHeight="1">
      <c r="A1443" s="28" t="s">
        <v>131</v>
      </c>
      <c r="B1443" s="28" t="s">
        <v>2111</v>
      </c>
      <c r="D1443" s="28" t="s">
        <v>213</v>
      </c>
      <c r="E1443" s="28" t="s">
        <v>1941</v>
      </c>
      <c r="F1443" s="28" t="s">
        <v>1511</v>
      </c>
      <c r="G1443" s="28" t="s">
        <v>370</v>
      </c>
      <c r="H1443" s="28">
        <v>1.0</v>
      </c>
      <c r="I1443" s="28">
        <v>0.4005235602094241</v>
      </c>
      <c r="J1443" s="28">
        <v>18.0</v>
      </c>
      <c r="K1443" s="28" t="s">
        <v>57</v>
      </c>
      <c r="L1443" s="28" t="s">
        <v>696</v>
      </c>
    </row>
    <row r="1444" ht="15.75" customHeight="1">
      <c r="A1444" s="28" t="s">
        <v>131</v>
      </c>
      <c r="B1444" s="28" t="s">
        <v>2111</v>
      </c>
      <c r="D1444" s="28" t="s">
        <v>213</v>
      </c>
      <c r="E1444" s="28" t="s">
        <v>1942</v>
      </c>
      <c r="F1444" s="28" t="s">
        <v>815</v>
      </c>
      <c r="G1444" s="28" t="s">
        <v>303</v>
      </c>
      <c r="H1444" s="28">
        <v>1.0</v>
      </c>
      <c r="I1444" s="28">
        <v>0.49377593360995853</v>
      </c>
      <c r="J1444" s="28">
        <v>12.0</v>
      </c>
      <c r="K1444" s="28" t="s">
        <v>57</v>
      </c>
      <c r="L1444" s="28" t="s">
        <v>696</v>
      </c>
    </row>
    <row r="1445" ht="15.75" customHeight="1">
      <c r="A1445" s="28" t="s">
        <v>131</v>
      </c>
      <c r="B1445" s="28" t="s">
        <v>2111</v>
      </c>
      <c r="D1445" s="28" t="s">
        <v>213</v>
      </c>
      <c r="E1445" s="28" t="s">
        <v>1943</v>
      </c>
      <c r="F1445" s="28" t="s">
        <v>813</v>
      </c>
      <c r="G1445" s="28" t="s">
        <v>295</v>
      </c>
      <c r="H1445" s="28">
        <v>1.0</v>
      </c>
      <c r="I1445" s="28">
        <v>0.5</v>
      </c>
      <c r="J1445" s="28">
        <v>16.0</v>
      </c>
      <c r="K1445" s="28" t="s">
        <v>57</v>
      </c>
      <c r="L1445" s="28" t="s">
        <v>696</v>
      </c>
    </row>
    <row r="1446" ht="15.75" customHeight="1">
      <c r="A1446" s="28" t="s">
        <v>131</v>
      </c>
      <c r="B1446" s="28" t="s">
        <v>2111</v>
      </c>
      <c r="D1446" s="28" t="s">
        <v>213</v>
      </c>
      <c r="E1446" s="28" t="s">
        <v>1944</v>
      </c>
      <c r="F1446" s="28" t="s">
        <v>813</v>
      </c>
      <c r="G1446" s="28" t="s">
        <v>364</v>
      </c>
      <c r="H1446" s="28">
        <v>1.0</v>
      </c>
      <c r="I1446" s="28">
        <v>0.5130890052356021</v>
      </c>
      <c r="J1446" s="28">
        <v>17.0</v>
      </c>
      <c r="K1446" s="28" t="s">
        <v>57</v>
      </c>
      <c r="L1446" s="28" t="s">
        <v>696</v>
      </c>
    </row>
    <row r="1447" ht="15.75" customHeight="1">
      <c r="A1447" s="28" t="s">
        <v>131</v>
      </c>
      <c r="B1447" s="28" t="s">
        <v>2111</v>
      </c>
      <c r="D1447" s="28" t="s">
        <v>213</v>
      </c>
      <c r="E1447" s="28" t="s">
        <v>1945</v>
      </c>
      <c r="F1447" s="28" t="s">
        <v>1516</v>
      </c>
      <c r="G1447" s="28" t="s">
        <v>398</v>
      </c>
      <c r="H1447" s="28">
        <v>1.0</v>
      </c>
      <c r="I1447" s="28">
        <v>0.5314136125654451</v>
      </c>
      <c r="J1447" s="28">
        <v>20.0</v>
      </c>
      <c r="K1447" s="28" t="s">
        <v>57</v>
      </c>
      <c r="L1447" s="28" t="s">
        <v>57</v>
      </c>
    </row>
    <row r="1448" ht="15.75" customHeight="1">
      <c r="A1448" s="28" t="s">
        <v>131</v>
      </c>
      <c r="B1448" s="28" t="s">
        <v>2111</v>
      </c>
      <c r="D1448" s="28" t="s">
        <v>213</v>
      </c>
      <c r="E1448" s="28" t="s">
        <v>1946</v>
      </c>
      <c r="F1448" s="28" t="s">
        <v>819</v>
      </c>
      <c r="G1448" s="28" t="s">
        <v>262</v>
      </c>
      <c r="H1448" s="28">
        <v>1.0</v>
      </c>
      <c r="I1448" s="28">
        <v>0.5602094240837696</v>
      </c>
      <c r="J1448" s="28">
        <v>2.0</v>
      </c>
      <c r="K1448" s="28" t="s">
        <v>57</v>
      </c>
      <c r="L1448" s="28" t="s">
        <v>696</v>
      </c>
    </row>
    <row r="1449" ht="15.75" customHeight="1">
      <c r="A1449" s="28" t="s">
        <v>131</v>
      </c>
      <c r="B1449" s="28" t="s">
        <v>2111</v>
      </c>
      <c r="D1449" s="28" t="s">
        <v>213</v>
      </c>
      <c r="E1449" s="28" t="s">
        <v>1947</v>
      </c>
      <c r="F1449" s="28" t="s">
        <v>819</v>
      </c>
      <c r="G1449" s="28" t="s">
        <v>392</v>
      </c>
      <c r="H1449" s="28">
        <v>1.0</v>
      </c>
      <c r="I1449" s="28">
        <v>0.5942408376963351</v>
      </c>
      <c r="J1449" s="28">
        <v>19.0</v>
      </c>
      <c r="K1449" s="28" t="s">
        <v>57</v>
      </c>
      <c r="L1449" s="28" t="s">
        <v>696</v>
      </c>
    </row>
    <row r="1450" ht="15.75" customHeight="1">
      <c r="A1450" s="28" t="s">
        <v>131</v>
      </c>
      <c r="B1450" s="28" t="s">
        <v>2111</v>
      </c>
      <c r="D1450" s="28" t="s">
        <v>213</v>
      </c>
      <c r="E1450" s="28" t="s">
        <v>1948</v>
      </c>
      <c r="F1450" s="28" t="s">
        <v>821</v>
      </c>
      <c r="G1450" s="28" t="s">
        <v>378</v>
      </c>
      <c r="H1450" s="28">
        <v>1.0</v>
      </c>
      <c r="I1450" s="28">
        <v>0.6256544502617801</v>
      </c>
      <c r="J1450" s="28">
        <v>4.0</v>
      </c>
      <c r="K1450" s="28" t="s">
        <v>57</v>
      </c>
      <c r="L1450" s="28" t="s">
        <v>696</v>
      </c>
    </row>
    <row r="1451" ht="15.75" customHeight="1">
      <c r="A1451" s="28" t="s">
        <v>131</v>
      </c>
      <c r="B1451" s="28" t="s">
        <v>2111</v>
      </c>
      <c r="D1451" s="28" t="s">
        <v>213</v>
      </c>
      <c r="E1451" s="28" t="s">
        <v>1949</v>
      </c>
      <c r="F1451" s="28" t="s">
        <v>821</v>
      </c>
      <c r="G1451" s="28" t="s">
        <v>385</v>
      </c>
      <c r="H1451" s="28">
        <v>1.0</v>
      </c>
      <c r="I1451" s="28">
        <v>0.6649214659685864</v>
      </c>
      <c r="J1451" s="28">
        <v>5.0</v>
      </c>
      <c r="K1451" s="28" t="s">
        <v>57</v>
      </c>
      <c r="L1451" s="28" t="s">
        <v>696</v>
      </c>
    </row>
    <row r="1452" ht="15.75" customHeight="1">
      <c r="A1452" s="28" t="s">
        <v>131</v>
      </c>
      <c r="B1452" s="28" t="s">
        <v>2111</v>
      </c>
      <c r="D1452" s="28" t="s">
        <v>213</v>
      </c>
      <c r="E1452" s="28" t="s">
        <v>1950</v>
      </c>
      <c r="F1452" s="28" t="s">
        <v>821</v>
      </c>
      <c r="G1452" s="28" t="s">
        <v>310</v>
      </c>
      <c r="H1452" s="28">
        <v>1.0</v>
      </c>
      <c r="I1452" s="28">
        <v>0.6832460732984293</v>
      </c>
      <c r="J1452" s="28">
        <v>15.0</v>
      </c>
      <c r="K1452" s="28" t="s">
        <v>57</v>
      </c>
      <c r="L1452" s="28" t="s">
        <v>696</v>
      </c>
    </row>
    <row r="1453" ht="15.75" customHeight="1">
      <c r="A1453" s="28" t="s">
        <v>131</v>
      </c>
      <c r="B1453" s="28" t="s">
        <v>2111</v>
      </c>
      <c r="D1453" s="28" t="s">
        <v>213</v>
      </c>
      <c r="E1453" s="28" t="s">
        <v>1951</v>
      </c>
      <c r="F1453" s="28" t="s">
        <v>821</v>
      </c>
      <c r="G1453" s="28" t="s">
        <v>278</v>
      </c>
      <c r="H1453" s="28">
        <v>1.0</v>
      </c>
      <c r="I1453" s="28">
        <v>0.6832460732984293</v>
      </c>
      <c r="J1453" s="28">
        <v>11.0</v>
      </c>
      <c r="K1453" s="28" t="s">
        <v>57</v>
      </c>
      <c r="L1453" s="28" t="s">
        <v>696</v>
      </c>
    </row>
    <row r="1454" ht="15.75" customHeight="1">
      <c r="A1454" s="28" t="s">
        <v>131</v>
      </c>
      <c r="B1454" s="28" t="s">
        <v>2111</v>
      </c>
      <c r="D1454" s="28" t="s">
        <v>213</v>
      </c>
      <c r="E1454" s="28" t="s">
        <v>1952</v>
      </c>
      <c r="F1454" s="28" t="s">
        <v>824</v>
      </c>
      <c r="G1454" s="28" t="s">
        <v>241</v>
      </c>
      <c r="H1454" s="28">
        <v>1.0</v>
      </c>
      <c r="I1454" s="28">
        <v>0.7160096540627514</v>
      </c>
      <c r="J1454" s="28">
        <v>10.0</v>
      </c>
      <c r="K1454" s="28" t="s">
        <v>57</v>
      </c>
      <c r="L1454" s="28" t="s">
        <v>696</v>
      </c>
    </row>
    <row r="1455" ht="15.75" customHeight="1">
      <c r="A1455" s="28" t="s">
        <v>131</v>
      </c>
      <c r="B1455" s="28" t="s">
        <v>2111</v>
      </c>
      <c r="D1455" s="28" t="s">
        <v>252</v>
      </c>
      <c r="E1455" s="28" t="s">
        <v>1953</v>
      </c>
      <c r="F1455" s="28" t="s">
        <v>268</v>
      </c>
      <c r="G1455" s="28" t="s">
        <v>270</v>
      </c>
      <c r="H1455" s="28">
        <v>1.0</v>
      </c>
      <c r="I1455" s="28">
        <v>0.010169491525423728</v>
      </c>
      <c r="J1455" s="28">
        <v>0.0</v>
      </c>
      <c r="K1455" s="28" t="s">
        <v>57</v>
      </c>
      <c r="L1455" s="28" t="s">
        <v>57</v>
      </c>
    </row>
    <row r="1456" ht="15.75" customHeight="1">
      <c r="A1456" s="28" t="s">
        <v>131</v>
      </c>
      <c r="B1456" s="28" t="s">
        <v>2111</v>
      </c>
      <c r="D1456" s="28" t="s">
        <v>252</v>
      </c>
      <c r="E1456" s="28" t="s">
        <v>1954</v>
      </c>
      <c r="F1456" s="28" t="s">
        <v>268</v>
      </c>
      <c r="G1456" s="28" t="s">
        <v>345</v>
      </c>
      <c r="H1456" s="28">
        <v>1.0</v>
      </c>
      <c r="I1456" s="28">
        <v>0.023972602739726026</v>
      </c>
      <c r="J1456" s="28">
        <v>2.0</v>
      </c>
      <c r="K1456" s="28" t="s">
        <v>57</v>
      </c>
      <c r="L1456" s="28" t="s">
        <v>57</v>
      </c>
    </row>
    <row r="1457" ht="15.75" customHeight="1">
      <c r="A1457" s="28" t="s">
        <v>131</v>
      </c>
      <c r="B1457" s="28" t="s">
        <v>2111</v>
      </c>
      <c r="D1457" s="28" t="s">
        <v>252</v>
      </c>
      <c r="E1457" s="28" t="s">
        <v>1955</v>
      </c>
      <c r="F1457" s="28" t="s">
        <v>1527</v>
      </c>
      <c r="G1457" s="28" t="s">
        <v>370</v>
      </c>
      <c r="H1457" s="28">
        <v>1.0</v>
      </c>
      <c r="I1457" s="28">
        <v>0.2191780821917808</v>
      </c>
      <c r="J1457" s="28">
        <v>17.0</v>
      </c>
      <c r="K1457" s="28" t="s">
        <v>57</v>
      </c>
      <c r="L1457" s="28" t="s">
        <v>57</v>
      </c>
    </row>
    <row r="1458" ht="15.75" customHeight="1">
      <c r="A1458" s="28" t="s">
        <v>131</v>
      </c>
      <c r="B1458" s="28" t="s">
        <v>2111</v>
      </c>
      <c r="D1458" s="28" t="s">
        <v>252</v>
      </c>
      <c r="E1458" s="28" t="s">
        <v>1956</v>
      </c>
      <c r="F1458" s="28" t="s">
        <v>826</v>
      </c>
      <c r="G1458" s="28" t="s">
        <v>295</v>
      </c>
      <c r="H1458" s="28">
        <v>1.0</v>
      </c>
      <c r="I1458" s="28">
        <v>0.3424657534246575</v>
      </c>
      <c r="J1458" s="28">
        <v>15.0</v>
      </c>
      <c r="K1458" s="28" t="s">
        <v>57</v>
      </c>
      <c r="L1458" s="28" t="s">
        <v>57</v>
      </c>
    </row>
    <row r="1459" ht="15.75" customHeight="1">
      <c r="A1459" s="28" t="s">
        <v>131</v>
      </c>
      <c r="B1459" s="28" t="s">
        <v>2111</v>
      </c>
      <c r="D1459" s="28" t="s">
        <v>252</v>
      </c>
      <c r="E1459" s="28" t="s">
        <v>1957</v>
      </c>
      <c r="F1459" s="28" t="s">
        <v>826</v>
      </c>
      <c r="G1459" s="28" t="s">
        <v>364</v>
      </c>
      <c r="H1459" s="28">
        <v>1.0</v>
      </c>
      <c r="I1459" s="28">
        <v>0.3595890410958904</v>
      </c>
      <c r="J1459" s="28">
        <v>16.0</v>
      </c>
      <c r="K1459" s="28" t="s">
        <v>57</v>
      </c>
      <c r="L1459" s="28" t="s">
        <v>57</v>
      </c>
    </row>
    <row r="1460" ht="15.75" customHeight="1">
      <c r="A1460" s="28" t="s">
        <v>131</v>
      </c>
      <c r="B1460" s="28" t="s">
        <v>2111</v>
      </c>
      <c r="D1460" s="28" t="s">
        <v>252</v>
      </c>
      <c r="E1460" s="28" t="s">
        <v>1958</v>
      </c>
      <c r="F1460" s="28" t="s">
        <v>830</v>
      </c>
      <c r="G1460" s="28" t="s">
        <v>287</v>
      </c>
      <c r="H1460" s="28">
        <v>1.0</v>
      </c>
      <c r="I1460" s="28">
        <v>0.36515513126491644</v>
      </c>
      <c r="J1460" s="28">
        <v>13.0</v>
      </c>
      <c r="K1460" s="28" t="s">
        <v>57</v>
      </c>
      <c r="L1460" s="28" t="s">
        <v>57</v>
      </c>
    </row>
    <row r="1461" ht="15.75" customHeight="1">
      <c r="A1461" s="28" t="s">
        <v>131</v>
      </c>
      <c r="B1461" s="28" t="s">
        <v>2111</v>
      </c>
      <c r="D1461" s="28" t="s">
        <v>252</v>
      </c>
      <c r="E1461" s="28" t="s">
        <v>1959</v>
      </c>
      <c r="F1461" s="28" t="s">
        <v>832</v>
      </c>
      <c r="G1461" s="28" t="s">
        <v>262</v>
      </c>
      <c r="H1461" s="28">
        <v>1.0</v>
      </c>
      <c r="I1461" s="28">
        <v>0.4178082191780822</v>
      </c>
      <c r="J1461" s="28">
        <v>1.0</v>
      </c>
      <c r="K1461" s="28" t="s">
        <v>57</v>
      </c>
      <c r="L1461" s="28" t="s">
        <v>57</v>
      </c>
    </row>
    <row r="1462" ht="15.75" customHeight="1">
      <c r="A1462" s="28" t="s">
        <v>131</v>
      </c>
      <c r="B1462" s="28" t="s">
        <v>2111</v>
      </c>
      <c r="D1462" s="28" t="s">
        <v>252</v>
      </c>
      <c r="E1462" s="28" t="s">
        <v>1960</v>
      </c>
      <c r="F1462" s="28" t="s">
        <v>1533</v>
      </c>
      <c r="G1462" s="28" t="s">
        <v>398</v>
      </c>
      <c r="H1462" s="28">
        <v>1.0</v>
      </c>
      <c r="I1462" s="28">
        <v>0.4417808219178082</v>
      </c>
      <c r="J1462" s="28">
        <v>19.0</v>
      </c>
      <c r="K1462" s="28" t="s">
        <v>57</v>
      </c>
      <c r="L1462" s="28" t="s">
        <v>696</v>
      </c>
    </row>
    <row r="1463" ht="15.75" customHeight="1">
      <c r="A1463" s="28" t="s">
        <v>131</v>
      </c>
      <c r="B1463" s="28" t="s">
        <v>2111</v>
      </c>
      <c r="D1463" s="28" t="s">
        <v>252</v>
      </c>
      <c r="E1463" s="28" t="s">
        <v>1961</v>
      </c>
      <c r="F1463" s="28" t="s">
        <v>832</v>
      </c>
      <c r="G1463" s="28" t="s">
        <v>392</v>
      </c>
      <c r="H1463" s="28">
        <v>1.0</v>
      </c>
      <c r="I1463" s="28">
        <v>0.4657534246575342</v>
      </c>
      <c r="J1463" s="28">
        <v>18.0</v>
      </c>
      <c r="K1463" s="28" t="s">
        <v>57</v>
      </c>
      <c r="L1463" s="28" t="s">
        <v>57</v>
      </c>
    </row>
    <row r="1464" ht="15.75" customHeight="1">
      <c r="A1464" s="28" t="s">
        <v>131</v>
      </c>
      <c r="B1464" s="28" t="s">
        <v>2111</v>
      </c>
      <c r="D1464" s="28" t="s">
        <v>252</v>
      </c>
      <c r="E1464" s="28" t="s">
        <v>1962</v>
      </c>
      <c r="F1464" s="28" t="s">
        <v>834</v>
      </c>
      <c r="G1464" s="28" t="s">
        <v>378</v>
      </c>
      <c r="H1464" s="28">
        <v>1.0</v>
      </c>
      <c r="I1464" s="28">
        <v>0.547945205479452</v>
      </c>
      <c r="J1464" s="28">
        <v>3.0</v>
      </c>
      <c r="K1464" s="28" t="s">
        <v>57</v>
      </c>
      <c r="L1464" s="28" t="s">
        <v>57</v>
      </c>
    </row>
    <row r="1465" ht="15.75" customHeight="1">
      <c r="A1465" s="28" t="s">
        <v>131</v>
      </c>
      <c r="B1465" s="28" t="s">
        <v>2111</v>
      </c>
      <c r="D1465" s="28" t="s">
        <v>252</v>
      </c>
      <c r="E1465" s="28" t="s">
        <v>1963</v>
      </c>
      <c r="F1465" s="28" t="s">
        <v>834</v>
      </c>
      <c r="G1465" s="28" t="s">
        <v>385</v>
      </c>
      <c r="H1465" s="28">
        <v>1.0</v>
      </c>
      <c r="I1465" s="28">
        <v>0.5547945205479452</v>
      </c>
      <c r="J1465" s="28">
        <v>4.0</v>
      </c>
      <c r="K1465" s="28" t="s">
        <v>57</v>
      </c>
      <c r="L1465" s="28" t="s">
        <v>57</v>
      </c>
    </row>
    <row r="1466" ht="15.75" customHeight="1">
      <c r="A1466" s="28" t="s">
        <v>131</v>
      </c>
      <c r="B1466" s="28" t="s">
        <v>2111</v>
      </c>
      <c r="D1466" s="28" t="s">
        <v>252</v>
      </c>
      <c r="E1466" s="28" t="s">
        <v>1964</v>
      </c>
      <c r="F1466" s="28" t="s">
        <v>834</v>
      </c>
      <c r="G1466" s="28" t="s">
        <v>310</v>
      </c>
      <c r="H1466" s="28">
        <v>1.0</v>
      </c>
      <c r="I1466" s="28">
        <v>0.5787671232876712</v>
      </c>
      <c r="J1466" s="28">
        <v>14.0</v>
      </c>
      <c r="K1466" s="28" t="s">
        <v>57</v>
      </c>
      <c r="L1466" s="28" t="s">
        <v>57</v>
      </c>
    </row>
    <row r="1467" ht="15.75" customHeight="1">
      <c r="A1467" s="28" t="s">
        <v>131</v>
      </c>
      <c r="B1467" s="28" t="s">
        <v>2111</v>
      </c>
      <c r="D1467" s="28" t="s">
        <v>252</v>
      </c>
      <c r="E1467" s="28" t="s">
        <v>1965</v>
      </c>
      <c r="F1467" s="28" t="s">
        <v>834</v>
      </c>
      <c r="G1467" s="28" t="s">
        <v>278</v>
      </c>
      <c r="H1467" s="28">
        <v>1.0</v>
      </c>
      <c r="I1467" s="28">
        <v>0.5787671232876712</v>
      </c>
      <c r="J1467" s="28">
        <v>10.0</v>
      </c>
      <c r="K1467" s="28" t="s">
        <v>57</v>
      </c>
      <c r="L1467" s="28" t="s">
        <v>57</v>
      </c>
    </row>
    <row r="1468" ht="15.75" customHeight="1">
      <c r="A1468" s="28" t="s">
        <v>131</v>
      </c>
      <c r="B1468" s="28" t="s">
        <v>2111</v>
      </c>
      <c r="D1468" s="28" t="s">
        <v>252</v>
      </c>
      <c r="E1468" s="28" t="s">
        <v>1966</v>
      </c>
      <c r="F1468" s="28" t="s">
        <v>837</v>
      </c>
      <c r="G1468" s="28" t="s">
        <v>303</v>
      </c>
      <c r="H1468" s="28">
        <v>1.0</v>
      </c>
      <c r="I1468" s="28">
        <v>0.598893499308437</v>
      </c>
      <c r="J1468" s="28">
        <v>11.0</v>
      </c>
      <c r="K1468" s="28" t="s">
        <v>57</v>
      </c>
      <c r="L1468" s="28" t="s">
        <v>57</v>
      </c>
    </row>
    <row r="1469" ht="15.75" customHeight="1">
      <c r="A1469" s="28" t="s">
        <v>131</v>
      </c>
      <c r="B1469" s="28" t="s">
        <v>2111</v>
      </c>
      <c r="D1469" s="28" t="s">
        <v>252</v>
      </c>
      <c r="E1469" s="28" t="s">
        <v>1967</v>
      </c>
      <c r="F1469" s="28" t="s">
        <v>839</v>
      </c>
      <c r="G1469" s="28" t="s">
        <v>241</v>
      </c>
      <c r="H1469" s="28">
        <v>1.0</v>
      </c>
      <c r="I1469" s="28">
        <v>0.7731295253419147</v>
      </c>
      <c r="J1469" s="28">
        <v>9.0</v>
      </c>
      <c r="K1469" s="28" t="s">
        <v>57</v>
      </c>
      <c r="L1469" s="28" t="s">
        <v>57</v>
      </c>
    </row>
    <row r="1470" ht="15.75" customHeight="1">
      <c r="A1470" s="28" t="s">
        <v>131</v>
      </c>
      <c r="B1470" s="28" t="s">
        <v>2111</v>
      </c>
      <c r="D1470" s="28" t="s">
        <v>270</v>
      </c>
      <c r="E1470" s="28" t="s">
        <v>1968</v>
      </c>
      <c r="F1470" s="28" t="s">
        <v>268</v>
      </c>
      <c r="G1470" s="28" t="s">
        <v>345</v>
      </c>
      <c r="H1470" s="28">
        <v>1.0</v>
      </c>
      <c r="I1470" s="28">
        <v>0.03389830508474576</v>
      </c>
      <c r="J1470" s="28">
        <v>1.0</v>
      </c>
      <c r="K1470" s="28" t="s">
        <v>57</v>
      </c>
      <c r="L1470" s="28" t="s">
        <v>57</v>
      </c>
    </row>
    <row r="1471" ht="15.75" customHeight="1">
      <c r="A1471" s="28" t="s">
        <v>131</v>
      </c>
      <c r="B1471" s="28" t="s">
        <v>2111</v>
      </c>
      <c r="D1471" s="28" t="s">
        <v>270</v>
      </c>
      <c r="E1471" s="28" t="s">
        <v>1969</v>
      </c>
      <c r="F1471" s="28" t="s">
        <v>1527</v>
      </c>
      <c r="G1471" s="28" t="s">
        <v>370</v>
      </c>
      <c r="H1471" s="28">
        <v>1.0</v>
      </c>
      <c r="I1471" s="28">
        <v>0.2271186440677966</v>
      </c>
      <c r="J1471" s="28">
        <v>16.0</v>
      </c>
      <c r="K1471" s="28" t="s">
        <v>57</v>
      </c>
      <c r="L1471" s="28" t="s">
        <v>57</v>
      </c>
    </row>
    <row r="1472" ht="15.75" customHeight="1">
      <c r="A1472" s="28" t="s">
        <v>131</v>
      </c>
      <c r="B1472" s="28" t="s">
        <v>2111</v>
      </c>
      <c r="D1472" s="28" t="s">
        <v>270</v>
      </c>
      <c r="E1472" s="28" t="s">
        <v>1970</v>
      </c>
      <c r="F1472" s="28" t="s">
        <v>826</v>
      </c>
      <c r="G1472" s="28" t="s">
        <v>295</v>
      </c>
      <c r="H1472" s="28">
        <v>1.0</v>
      </c>
      <c r="I1472" s="28">
        <v>0.34915254237288135</v>
      </c>
      <c r="J1472" s="28">
        <v>14.0</v>
      </c>
      <c r="K1472" s="28" t="s">
        <v>57</v>
      </c>
      <c r="L1472" s="28" t="s">
        <v>57</v>
      </c>
    </row>
    <row r="1473" ht="15.75" customHeight="1">
      <c r="A1473" s="28" t="s">
        <v>131</v>
      </c>
      <c r="B1473" s="28" t="s">
        <v>2111</v>
      </c>
      <c r="D1473" s="28" t="s">
        <v>270</v>
      </c>
      <c r="E1473" s="28" t="s">
        <v>1971</v>
      </c>
      <c r="F1473" s="28" t="s">
        <v>826</v>
      </c>
      <c r="G1473" s="28" t="s">
        <v>364</v>
      </c>
      <c r="H1473" s="28">
        <v>1.0</v>
      </c>
      <c r="I1473" s="28">
        <v>0.36610169491525424</v>
      </c>
      <c r="J1473" s="28">
        <v>15.0</v>
      </c>
      <c r="K1473" s="28" t="s">
        <v>57</v>
      </c>
      <c r="L1473" s="28" t="s">
        <v>57</v>
      </c>
    </row>
    <row r="1474" ht="15.75" customHeight="1">
      <c r="A1474" s="28" t="s">
        <v>131</v>
      </c>
      <c r="B1474" s="28" t="s">
        <v>2111</v>
      </c>
      <c r="D1474" s="28" t="s">
        <v>270</v>
      </c>
      <c r="E1474" s="28" t="s">
        <v>1972</v>
      </c>
      <c r="F1474" s="28" t="s">
        <v>830</v>
      </c>
      <c r="G1474" s="28" t="s">
        <v>287</v>
      </c>
      <c r="H1474" s="28">
        <v>1.0</v>
      </c>
      <c r="I1474" s="28">
        <v>0.3723150357995227</v>
      </c>
      <c r="J1474" s="28">
        <v>12.0</v>
      </c>
      <c r="K1474" s="28" t="s">
        <v>57</v>
      </c>
      <c r="L1474" s="28" t="s">
        <v>57</v>
      </c>
    </row>
    <row r="1475" ht="15.75" customHeight="1">
      <c r="A1475" s="28" t="s">
        <v>131</v>
      </c>
      <c r="B1475" s="28" t="s">
        <v>2111</v>
      </c>
      <c r="D1475" s="28" t="s">
        <v>270</v>
      </c>
      <c r="E1475" s="28" t="s">
        <v>1973</v>
      </c>
      <c r="F1475" s="28" t="s">
        <v>832</v>
      </c>
      <c r="G1475" s="28" t="s">
        <v>262</v>
      </c>
      <c r="H1475" s="28">
        <v>1.0</v>
      </c>
      <c r="I1475" s="28">
        <v>0.423728813559322</v>
      </c>
      <c r="J1475" s="28">
        <v>0.0</v>
      </c>
      <c r="K1475" s="28" t="s">
        <v>57</v>
      </c>
      <c r="L1475" s="28" t="s">
        <v>57</v>
      </c>
    </row>
    <row r="1476" ht="15.75" customHeight="1">
      <c r="A1476" s="28" t="s">
        <v>131</v>
      </c>
      <c r="B1476" s="28" t="s">
        <v>2111</v>
      </c>
      <c r="D1476" s="28" t="s">
        <v>270</v>
      </c>
      <c r="E1476" s="28" t="s">
        <v>1974</v>
      </c>
      <c r="F1476" s="28" t="s">
        <v>1533</v>
      </c>
      <c r="G1476" s="28" t="s">
        <v>398</v>
      </c>
      <c r="H1476" s="28">
        <v>1.0</v>
      </c>
      <c r="I1476" s="28">
        <v>0.4406779661016949</v>
      </c>
      <c r="J1476" s="28">
        <v>18.0</v>
      </c>
      <c r="K1476" s="28" t="s">
        <v>57</v>
      </c>
      <c r="L1476" s="28" t="s">
        <v>696</v>
      </c>
    </row>
    <row r="1477" ht="15.75" customHeight="1">
      <c r="A1477" s="28" t="s">
        <v>131</v>
      </c>
      <c r="B1477" s="28" t="s">
        <v>2111</v>
      </c>
      <c r="D1477" s="28" t="s">
        <v>270</v>
      </c>
      <c r="E1477" s="28" t="s">
        <v>1975</v>
      </c>
      <c r="F1477" s="28" t="s">
        <v>832</v>
      </c>
      <c r="G1477" s="28" t="s">
        <v>392</v>
      </c>
      <c r="H1477" s="28">
        <v>1.0</v>
      </c>
      <c r="I1477" s="28">
        <v>0.4711864406779661</v>
      </c>
      <c r="J1477" s="28">
        <v>17.0</v>
      </c>
      <c r="K1477" s="28" t="s">
        <v>57</v>
      </c>
      <c r="L1477" s="28" t="s">
        <v>57</v>
      </c>
    </row>
    <row r="1478" ht="15.75" customHeight="1">
      <c r="A1478" s="28" t="s">
        <v>131</v>
      </c>
      <c r="B1478" s="28" t="s">
        <v>2111</v>
      </c>
      <c r="D1478" s="28" t="s">
        <v>270</v>
      </c>
      <c r="E1478" s="28" t="s">
        <v>1976</v>
      </c>
      <c r="F1478" s="28" t="s">
        <v>834</v>
      </c>
      <c r="G1478" s="28" t="s">
        <v>378</v>
      </c>
      <c r="H1478" s="28">
        <v>1.0</v>
      </c>
      <c r="I1478" s="28">
        <v>0.5525423728813559</v>
      </c>
      <c r="J1478" s="28">
        <v>2.0</v>
      </c>
      <c r="K1478" s="28" t="s">
        <v>57</v>
      </c>
      <c r="L1478" s="28" t="s">
        <v>57</v>
      </c>
    </row>
    <row r="1479" ht="15.75" customHeight="1">
      <c r="A1479" s="28" t="s">
        <v>131</v>
      </c>
      <c r="B1479" s="28" t="s">
        <v>2111</v>
      </c>
      <c r="D1479" s="28" t="s">
        <v>270</v>
      </c>
      <c r="E1479" s="28" t="s">
        <v>1977</v>
      </c>
      <c r="F1479" s="28" t="s">
        <v>834</v>
      </c>
      <c r="G1479" s="28" t="s">
        <v>385</v>
      </c>
      <c r="H1479" s="28">
        <v>1.0</v>
      </c>
      <c r="I1479" s="28">
        <v>0.559322033898305</v>
      </c>
      <c r="J1479" s="28">
        <v>3.0</v>
      </c>
      <c r="K1479" s="28" t="s">
        <v>57</v>
      </c>
      <c r="L1479" s="28" t="s">
        <v>57</v>
      </c>
    </row>
    <row r="1480" ht="15.75" customHeight="1">
      <c r="A1480" s="28" t="s">
        <v>131</v>
      </c>
      <c r="B1480" s="28" t="s">
        <v>2111</v>
      </c>
      <c r="D1480" s="28" t="s">
        <v>270</v>
      </c>
      <c r="E1480" s="28" t="s">
        <v>1978</v>
      </c>
      <c r="F1480" s="28" t="s">
        <v>834</v>
      </c>
      <c r="G1480" s="28" t="s">
        <v>310</v>
      </c>
      <c r="H1480" s="28">
        <v>1.0</v>
      </c>
      <c r="I1480" s="28">
        <v>0.5830508474576271</v>
      </c>
      <c r="J1480" s="28">
        <v>13.0</v>
      </c>
      <c r="K1480" s="28" t="s">
        <v>57</v>
      </c>
      <c r="L1480" s="28" t="s">
        <v>57</v>
      </c>
    </row>
    <row r="1481" ht="15.75" customHeight="1">
      <c r="A1481" s="28" t="s">
        <v>131</v>
      </c>
      <c r="B1481" s="28" t="s">
        <v>2111</v>
      </c>
      <c r="D1481" s="28" t="s">
        <v>270</v>
      </c>
      <c r="E1481" s="28" t="s">
        <v>1979</v>
      </c>
      <c r="F1481" s="28" t="s">
        <v>834</v>
      </c>
      <c r="G1481" s="28" t="s">
        <v>278</v>
      </c>
      <c r="H1481" s="28">
        <v>1.0</v>
      </c>
      <c r="I1481" s="28">
        <v>0.5830508474576271</v>
      </c>
      <c r="J1481" s="28">
        <v>9.0</v>
      </c>
      <c r="K1481" s="28" t="s">
        <v>57</v>
      </c>
      <c r="L1481" s="28" t="s">
        <v>57</v>
      </c>
    </row>
    <row r="1482" ht="15.75" customHeight="1">
      <c r="A1482" s="28" t="s">
        <v>131</v>
      </c>
      <c r="B1482" s="28" t="s">
        <v>2111</v>
      </c>
      <c r="D1482" s="28" t="s">
        <v>270</v>
      </c>
      <c r="E1482" s="28" t="s">
        <v>1980</v>
      </c>
      <c r="F1482" s="28" t="s">
        <v>837</v>
      </c>
      <c r="G1482" s="28" t="s">
        <v>303</v>
      </c>
      <c r="H1482" s="28">
        <v>1.0</v>
      </c>
      <c r="I1482" s="28">
        <v>0.603042876901798</v>
      </c>
      <c r="J1482" s="28">
        <v>10.0</v>
      </c>
      <c r="K1482" s="28" t="s">
        <v>57</v>
      </c>
      <c r="L1482" s="28" t="s">
        <v>57</v>
      </c>
    </row>
    <row r="1483" ht="15.75" customHeight="1">
      <c r="A1483" s="28" t="s">
        <v>131</v>
      </c>
      <c r="B1483" s="28" t="s">
        <v>2111</v>
      </c>
      <c r="D1483" s="28" t="s">
        <v>270</v>
      </c>
      <c r="E1483" s="28" t="s">
        <v>1981</v>
      </c>
      <c r="F1483" s="28" t="s">
        <v>839</v>
      </c>
      <c r="G1483" s="28" t="s">
        <v>241</v>
      </c>
      <c r="H1483" s="28">
        <v>1.0</v>
      </c>
      <c r="I1483" s="28">
        <v>0.7747385358004827</v>
      </c>
      <c r="J1483" s="28">
        <v>8.0</v>
      </c>
      <c r="K1483" s="28" t="s">
        <v>57</v>
      </c>
      <c r="L1483" s="28" t="s">
        <v>57</v>
      </c>
    </row>
    <row r="1484" ht="15.75" customHeight="1">
      <c r="A1484" s="28" t="s">
        <v>131</v>
      </c>
      <c r="B1484" s="28" t="s">
        <v>2111</v>
      </c>
      <c r="D1484" s="28" t="s">
        <v>262</v>
      </c>
      <c r="E1484" s="28" t="s">
        <v>1982</v>
      </c>
      <c r="F1484" s="28" t="s">
        <v>293</v>
      </c>
      <c r="G1484" s="28" t="s">
        <v>392</v>
      </c>
      <c r="H1484" s="28">
        <v>1.0</v>
      </c>
      <c r="I1484" s="28">
        <v>0.11046511627906977</v>
      </c>
      <c r="J1484" s="28">
        <v>16.0</v>
      </c>
      <c r="K1484" s="28" t="s">
        <v>57</v>
      </c>
      <c r="L1484" s="28" t="s">
        <v>57</v>
      </c>
    </row>
    <row r="1485" ht="15.75" customHeight="1">
      <c r="A1485" s="28" t="s">
        <v>131</v>
      </c>
      <c r="B1485" s="28" t="s">
        <v>2111</v>
      </c>
      <c r="D1485" s="28" t="s">
        <v>262</v>
      </c>
      <c r="E1485" s="28" t="s">
        <v>1983</v>
      </c>
      <c r="F1485" s="28" t="s">
        <v>851</v>
      </c>
      <c r="G1485" s="28" t="s">
        <v>295</v>
      </c>
      <c r="H1485" s="28">
        <v>1.0</v>
      </c>
      <c r="I1485" s="28">
        <v>0.22613065326633167</v>
      </c>
      <c r="J1485" s="28">
        <v>13.0</v>
      </c>
      <c r="K1485" s="28" t="s">
        <v>57</v>
      </c>
      <c r="L1485" s="28" t="s">
        <v>57</v>
      </c>
    </row>
    <row r="1486" ht="15.75" customHeight="1">
      <c r="A1486" s="28" t="s">
        <v>131</v>
      </c>
      <c r="B1486" s="28" t="s">
        <v>2111</v>
      </c>
      <c r="D1486" s="28" t="s">
        <v>262</v>
      </c>
      <c r="E1486" s="28" t="s">
        <v>1984</v>
      </c>
      <c r="F1486" s="28" t="s">
        <v>854</v>
      </c>
      <c r="G1486" s="28" t="s">
        <v>385</v>
      </c>
      <c r="H1486" s="28">
        <v>1.0</v>
      </c>
      <c r="I1486" s="28">
        <v>0.23837209302325582</v>
      </c>
      <c r="J1486" s="28">
        <v>2.0</v>
      </c>
      <c r="K1486" s="28" t="s">
        <v>57</v>
      </c>
      <c r="L1486" s="28" t="s">
        <v>57</v>
      </c>
    </row>
    <row r="1487" ht="15.75" customHeight="1">
      <c r="A1487" s="28" t="s">
        <v>131</v>
      </c>
      <c r="B1487" s="28" t="s">
        <v>2111</v>
      </c>
      <c r="D1487" s="28" t="s">
        <v>262</v>
      </c>
      <c r="E1487" s="28" t="s">
        <v>1985</v>
      </c>
      <c r="F1487" s="28" t="s">
        <v>851</v>
      </c>
      <c r="G1487" s="28" t="s">
        <v>364</v>
      </c>
      <c r="H1487" s="28">
        <v>1.0</v>
      </c>
      <c r="I1487" s="28">
        <v>0.245</v>
      </c>
      <c r="J1487" s="28">
        <v>14.0</v>
      </c>
      <c r="K1487" s="28" t="s">
        <v>57</v>
      </c>
      <c r="L1487" s="28" t="s">
        <v>57</v>
      </c>
    </row>
    <row r="1488" ht="15.75" customHeight="1">
      <c r="A1488" s="28" t="s">
        <v>131</v>
      </c>
      <c r="B1488" s="28" t="s">
        <v>2111</v>
      </c>
      <c r="D1488" s="28" t="s">
        <v>262</v>
      </c>
      <c r="E1488" s="28" t="s">
        <v>1986</v>
      </c>
      <c r="F1488" s="28" t="s">
        <v>854</v>
      </c>
      <c r="G1488" s="28" t="s">
        <v>310</v>
      </c>
      <c r="H1488" s="28">
        <v>1.0</v>
      </c>
      <c r="I1488" s="28">
        <v>0.27906976744186046</v>
      </c>
      <c r="J1488" s="28">
        <v>12.0</v>
      </c>
      <c r="K1488" s="28" t="s">
        <v>57</v>
      </c>
      <c r="L1488" s="28" t="s">
        <v>57</v>
      </c>
    </row>
    <row r="1489" ht="15.75" customHeight="1">
      <c r="A1489" s="28" t="s">
        <v>131</v>
      </c>
      <c r="B1489" s="28" t="s">
        <v>2111</v>
      </c>
      <c r="D1489" s="28" t="s">
        <v>262</v>
      </c>
      <c r="E1489" s="28" t="s">
        <v>1987</v>
      </c>
      <c r="F1489" s="28" t="s">
        <v>854</v>
      </c>
      <c r="G1489" s="28" t="s">
        <v>278</v>
      </c>
      <c r="H1489" s="28">
        <v>1.0</v>
      </c>
      <c r="I1489" s="28">
        <v>0.28488372093023256</v>
      </c>
      <c r="J1489" s="28">
        <v>8.0</v>
      </c>
      <c r="K1489" s="28" t="s">
        <v>57</v>
      </c>
      <c r="L1489" s="28" t="s">
        <v>57</v>
      </c>
    </row>
    <row r="1490" ht="15.75" customHeight="1">
      <c r="A1490" s="28" t="s">
        <v>131</v>
      </c>
      <c r="B1490" s="28" t="s">
        <v>2111</v>
      </c>
      <c r="D1490" s="28" t="s">
        <v>262</v>
      </c>
      <c r="E1490" s="28" t="s">
        <v>1988</v>
      </c>
      <c r="F1490" s="28" t="s">
        <v>1562</v>
      </c>
      <c r="G1490" s="28" t="s">
        <v>370</v>
      </c>
      <c r="H1490" s="28">
        <v>1.0</v>
      </c>
      <c r="I1490" s="28">
        <v>0.39923954372623577</v>
      </c>
      <c r="J1490" s="28">
        <v>15.0</v>
      </c>
      <c r="K1490" s="28" t="s">
        <v>57</v>
      </c>
      <c r="L1490" s="28" t="s">
        <v>57</v>
      </c>
    </row>
    <row r="1491" ht="15.75" customHeight="1">
      <c r="A1491" s="28" t="s">
        <v>131</v>
      </c>
      <c r="B1491" s="28" t="s">
        <v>2111</v>
      </c>
      <c r="D1491" s="28" t="s">
        <v>262</v>
      </c>
      <c r="E1491" s="28" t="s">
        <v>1989</v>
      </c>
      <c r="F1491" s="28" t="s">
        <v>858</v>
      </c>
      <c r="G1491" s="28" t="s">
        <v>345</v>
      </c>
      <c r="H1491" s="28">
        <v>1.0</v>
      </c>
      <c r="I1491" s="28">
        <v>0.41924398625429554</v>
      </c>
      <c r="J1491" s="28">
        <v>0.0</v>
      </c>
      <c r="K1491" s="28" t="s">
        <v>57</v>
      </c>
      <c r="L1491" s="28" t="s">
        <v>57</v>
      </c>
    </row>
    <row r="1492" ht="15.75" customHeight="1">
      <c r="A1492" s="28" t="s">
        <v>131</v>
      </c>
      <c r="B1492" s="28" t="s">
        <v>2111</v>
      </c>
      <c r="D1492" s="28" t="s">
        <v>262</v>
      </c>
      <c r="E1492" s="28" t="s">
        <v>1990</v>
      </c>
      <c r="F1492" s="28" t="s">
        <v>854</v>
      </c>
      <c r="G1492" s="28" t="s">
        <v>378</v>
      </c>
      <c r="H1492" s="28">
        <v>1.0</v>
      </c>
      <c r="I1492" s="28">
        <v>0.42592592592592593</v>
      </c>
      <c r="J1492" s="28">
        <v>1.0</v>
      </c>
      <c r="K1492" s="28" t="s">
        <v>57</v>
      </c>
      <c r="L1492" s="28" t="s">
        <v>57</v>
      </c>
    </row>
    <row r="1493" ht="15.75" customHeight="1">
      <c r="A1493" s="28" t="s">
        <v>131</v>
      </c>
      <c r="B1493" s="28" t="s">
        <v>2111</v>
      </c>
      <c r="D1493" s="28" t="s">
        <v>262</v>
      </c>
      <c r="E1493" s="28" t="s">
        <v>1991</v>
      </c>
      <c r="F1493" s="28" t="s">
        <v>987</v>
      </c>
      <c r="G1493" s="28" t="s">
        <v>398</v>
      </c>
      <c r="H1493" s="28">
        <v>1.0</v>
      </c>
      <c r="I1493" s="28">
        <v>0.4444444444444444</v>
      </c>
      <c r="J1493" s="28">
        <v>17.0</v>
      </c>
      <c r="K1493" s="28" t="s">
        <v>57</v>
      </c>
      <c r="L1493" s="28" t="s">
        <v>696</v>
      </c>
    </row>
    <row r="1494" ht="15.75" customHeight="1">
      <c r="A1494" s="28" t="s">
        <v>131</v>
      </c>
      <c r="B1494" s="28" t="s">
        <v>2111</v>
      </c>
      <c r="D1494" s="28" t="s">
        <v>262</v>
      </c>
      <c r="E1494" s="28" t="s">
        <v>1992</v>
      </c>
      <c r="F1494" s="28" t="s">
        <v>860</v>
      </c>
      <c r="G1494" s="28" t="s">
        <v>287</v>
      </c>
      <c r="H1494" s="28">
        <v>1.0</v>
      </c>
      <c r="I1494" s="28">
        <v>0.6133651551312649</v>
      </c>
      <c r="J1494" s="28">
        <v>11.0</v>
      </c>
      <c r="K1494" s="28" t="s">
        <v>57</v>
      </c>
      <c r="L1494" s="28" t="s">
        <v>57</v>
      </c>
    </row>
    <row r="1495" ht="15.75" customHeight="1">
      <c r="A1495" s="28" t="s">
        <v>131</v>
      </c>
      <c r="B1495" s="28" t="s">
        <v>2111</v>
      </c>
      <c r="D1495" s="28" t="s">
        <v>262</v>
      </c>
      <c r="E1495" s="28" t="s">
        <v>1993</v>
      </c>
      <c r="F1495" s="28" t="s">
        <v>862</v>
      </c>
      <c r="G1495" s="28" t="s">
        <v>303</v>
      </c>
      <c r="H1495" s="28">
        <v>1.0</v>
      </c>
      <c r="I1495" s="28">
        <v>0.7648686030428768</v>
      </c>
      <c r="J1495" s="28">
        <v>9.0</v>
      </c>
      <c r="K1495" s="28" t="s">
        <v>57</v>
      </c>
      <c r="L1495" s="28" t="s">
        <v>57</v>
      </c>
    </row>
    <row r="1496" ht="15.75" customHeight="1">
      <c r="A1496" s="28" t="s">
        <v>131</v>
      </c>
      <c r="B1496" s="28" t="s">
        <v>2111</v>
      </c>
      <c r="D1496" s="28" t="s">
        <v>262</v>
      </c>
      <c r="E1496" s="28" t="s">
        <v>1994</v>
      </c>
      <c r="F1496" s="28" t="s">
        <v>864</v>
      </c>
      <c r="G1496" s="28" t="s">
        <v>241</v>
      </c>
      <c r="H1496" s="28">
        <v>1.0</v>
      </c>
      <c r="I1496" s="28">
        <v>0.8672566371681416</v>
      </c>
      <c r="J1496" s="28">
        <v>7.0</v>
      </c>
      <c r="K1496" s="28" t="s">
        <v>57</v>
      </c>
      <c r="L1496" s="28" t="s">
        <v>57</v>
      </c>
    </row>
    <row r="1497" ht="15.75" customHeight="1">
      <c r="A1497" s="28" t="s">
        <v>131</v>
      </c>
      <c r="B1497" s="28" t="s">
        <v>2111</v>
      </c>
      <c r="D1497" s="28" t="s">
        <v>345</v>
      </c>
      <c r="E1497" s="28" t="s">
        <v>1995</v>
      </c>
      <c r="F1497" s="28" t="s">
        <v>1527</v>
      </c>
      <c r="G1497" s="28" t="s">
        <v>370</v>
      </c>
      <c r="H1497" s="28">
        <v>1.0</v>
      </c>
      <c r="I1497" s="28">
        <v>0.2027491408934708</v>
      </c>
      <c r="J1497" s="28">
        <v>14.0</v>
      </c>
      <c r="K1497" s="28" t="s">
        <v>57</v>
      </c>
      <c r="L1497" s="28" t="s">
        <v>57</v>
      </c>
    </row>
    <row r="1498" ht="15.75" customHeight="1">
      <c r="A1498" s="28" t="s">
        <v>131</v>
      </c>
      <c r="B1498" s="28" t="s">
        <v>2111</v>
      </c>
      <c r="D1498" s="28" t="s">
        <v>345</v>
      </c>
      <c r="E1498" s="28" t="s">
        <v>1996</v>
      </c>
      <c r="F1498" s="28" t="s">
        <v>826</v>
      </c>
      <c r="G1498" s="28" t="s">
        <v>295</v>
      </c>
      <c r="H1498" s="28">
        <v>1.0</v>
      </c>
      <c r="I1498" s="28">
        <v>0.3402061855670103</v>
      </c>
      <c r="J1498" s="28">
        <v>12.0</v>
      </c>
      <c r="K1498" s="28" t="s">
        <v>57</v>
      </c>
      <c r="L1498" s="28" t="s">
        <v>57</v>
      </c>
    </row>
    <row r="1499" ht="15.75" customHeight="1">
      <c r="A1499" s="28" t="s">
        <v>131</v>
      </c>
      <c r="B1499" s="28" t="s">
        <v>2111</v>
      </c>
      <c r="D1499" s="28" t="s">
        <v>345</v>
      </c>
      <c r="E1499" s="28" t="s">
        <v>1997</v>
      </c>
      <c r="F1499" s="28" t="s">
        <v>826</v>
      </c>
      <c r="G1499" s="28" t="s">
        <v>364</v>
      </c>
      <c r="H1499" s="28">
        <v>1.0</v>
      </c>
      <c r="I1499" s="28">
        <v>0.3436426116838488</v>
      </c>
      <c r="J1499" s="28">
        <v>13.0</v>
      </c>
      <c r="K1499" s="28" t="s">
        <v>57</v>
      </c>
      <c r="L1499" s="28" t="s">
        <v>57</v>
      </c>
    </row>
    <row r="1500" ht="15.75" customHeight="1">
      <c r="A1500" s="28" t="s">
        <v>131</v>
      </c>
      <c r="B1500" s="28" t="s">
        <v>2111</v>
      </c>
      <c r="D1500" s="28" t="s">
        <v>345</v>
      </c>
      <c r="E1500" s="28" t="s">
        <v>1998</v>
      </c>
      <c r="F1500" s="28" t="s">
        <v>830</v>
      </c>
      <c r="G1500" s="28" t="s">
        <v>287</v>
      </c>
      <c r="H1500" s="28">
        <v>1.0</v>
      </c>
      <c r="I1500" s="28">
        <v>0.36515513126491644</v>
      </c>
      <c r="J1500" s="28">
        <v>10.0</v>
      </c>
      <c r="K1500" s="28" t="s">
        <v>57</v>
      </c>
      <c r="L1500" s="28" t="s">
        <v>57</v>
      </c>
    </row>
    <row r="1501" ht="15.75" customHeight="1">
      <c r="A1501" s="28" t="s">
        <v>131</v>
      </c>
      <c r="B1501" s="28" t="s">
        <v>2111</v>
      </c>
      <c r="D1501" s="28" t="s">
        <v>345</v>
      </c>
      <c r="E1501" s="28" t="s">
        <v>1999</v>
      </c>
      <c r="F1501" s="28" t="s">
        <v>1533</v>
      </c>
      <c r="G1501" s="28" t="s">
        <v>398</v>
      </c>
      <c r="H1501" s="28">
        <v>1.0</v>
      </c>
      <c r="I1501" s="28">
        <v>0.43986254295532645</v>
      </c>
      <c r="J1501" s="28">
        <v>16.0</v>
      </c>
      <c r="K1501" s="28" t="s">
        <v>57</v>
      </c>
      <c r="L1501" s="28" t="s">
        <v>696</v>
      </c>
    </row>
    <row r="1502" ht="15.75" customHeight="1">
      <c r="A1502" s="28" t="s">
        <v>131</v>
      </c>
      <c r="B1502" s="28" t="s">
        <v>2111</v>
      </c>
      <c r="D1502" s="28" t="s">
        <v>345</v>
      </c>
      <c r="E1502" s="28" t="s">
        <v>2000</v>
      </c>
      <c r="F1502" s="28" t="s">
        <v>832</v>
      </c>
      <c r="G1502" s="28" t="s">
        <v>392</v>
      </c>
      <c r="H1502" s="28">
        <v>1.0</v>
      </c>
      <c r="I1502" s="28">
        <v>0.46048109965635736</v>
      </c>
      <c r="J1502" s="28">
        <v>15.0</v>
      </c>
      <c r="K1502" s="28" t="s">
        <v>57</v>
      </c>
      <c r="L1502" s="28" t="s">
        <v>57</v>
      </c>
    </row>
    <row r="1503" ht="15.75" customHeight="1">
      <c r="A1503" s="28" t="s">
        <v>131</v>
      </c>
      <c r="B1503" s="28" t="s">
        <v>2111</v>
      </c>
      <c r="D1503" s="28" t="s">
        <v>345</v>
      </c>
      <c r="E1503" s="28" t="s">
        <v>2001</v>
      </c>
      <c r="F1503" s="28" t="s">
        <v>834</v>
      </c>
      <c r="G1503" s="28" t="s">
        <v>378</v>
      </c>
      <c r="H1503" s="28">
        <v>1.0</v>
      </c>
      <c r="I1503" s="28">
        <v>0.5498281786941581</v>
      </c>
      <c r="J1503" s="28">
        <v>0.0</v>
      </c>
      <c r="K1503" s="28" t="s">
        <v>57</v>
      </c>
      <c r="L1503" s="28" t="s">
        <v>57</v>
      </c>
    </row>
    <row r="1504" ht="15.75" customHeight="1">
      <c r="A1504" s="28" t="s">
        <v>131</v>
      </c>
      <c r="B1504" s="28" t="s">
        <v>2111</v>
      </c>
      <c r="D1504" s="28" t="s">
        <v>345</v>
      </c>
      <c r="E1504" s="28" t="s">
        <v>2002</v>
      </c>
      <c r="F1504" s="28" t="s">
        <v>834</v>
      </c>
      <c r="G1504" s="28" t="s">
        <v>385</v>
      </c>
      <c r="H1504" s="28">
        <v>1.0</v>
      </c>
      <c r="I1504" s="28">
        <v>0.5498281786941581</v>
      </c>
      <c r="J1504" s="28">
        <v>1.0</v>
      </c>
      <c r="K1504" s="28" t="s">
        <v>57</v>
      </c>
      <c r="L1504" s="28" t="s">
        <v>57</v>
      </c>
    </row>
    <row r="1505" ht="15.75" customHeight="1">
      <c r="A1505" s="28" t="s">
        <v>131</v>
      </c>
      <c r="B1505" s="28" t="s">
        <v>2111</v>
      </c>
      <c r="D1505" s="28" t="s">
        <v>345</v>
      </c>
      <c r="E1505" s="28" t="s">
        <v>2003</v>
      </c>
      <c r="F1505" s="28" t="s">
        <v>834</v>
      </c>
      <c r="G1505" s="28" t="s">
        <v>278</v>
      </c>
      <c r="H1505" s="28">
        <v>1.0</v>
      </c>
      <c r="I1505" s="28">
        <v>0.5773195876288659</v>
      </c>
      <c r="J1505" s="28">
        <v>7.0</v>
      </c>
      <c r="K1505" s="28" t="s">
        <v>57</v>
      </c>
      <c r="L1505" s="28" t="s">
        <v>57</v>
      </c>
    </row>
    <row r="1506" ht="15.75" customHeight="1">
      <c r="A1506" s="28" t="s">
        <v>131</v>
      </c>
      <c r="B1506" s="28" t="s">
        <v>2111</v>
      </c>
      <c r="D1506" s="28" t="s">
        <v>345</v>
      </c>
      <c r="E1506" s="28" t="s">
        <v>2004</v>
      </c>
      <c r="F1506" s="28" t="s">
        <v>834</v>
      </c>
      <c r="G1506" s="28" t="s">
        <v>310</v>
      </c>
      <c r="H1506" s="28">
        <v>1.0</v>
      </c>
      <c r="I1506" s="28">
        <v>0.5807560137457045</v>
      </c>
      <c r="J1506" s="28">
        <v>11.0</v>
      </c>
      <c r="K1506" s="28" t="s">
        <v>57</v>
      </c>
      <c r="L1506" s="28" t="s">
        <v>57</v>
      </c>
    </row>
    <row r="1507" ht="15.75" customHeight="1">
      <c r="A1507" s="28" t="s">
        <v>131</v>
      </c>
      <c r="B1507" s="28" t="s">
        <v>2111</v>
      </c>
      <c r="D1507" s="28" t="s">
        <v>345</v>
      </c>
      <c r="E1507" s="28" t="s">
        <v>2005</v>
      </c>
      <c r="F1507" s="28" t="s">
        <v>837</v>
      </c>
      <c r="G1507" s="28" t="s">
        <v>303</v>
      </c>
      <c r="H1507" s="28">
        <v>1.0</v>
      </c>
      <c r="I1507" s="28">
        <v>0.6016597510373444</v>
      </c>
      <c r="J1507" s="28">
        <v>8.0</v>
      </c>
      <c r="K1507" s="28" t="s">
        <v>57</v>
      </c>
      <c r="L1507" s="28" t="s">
        <v>57</v>
      </c>
    </row>
    <row r="1508" ht="15.75" customHeight="1">
      <c r="A1508" s="28" t="s">
        <v>131</v>
      </c>
      <c r="B1508" s="28" t="s">
        <v>2111</v>
      </c>
      <c r="D1508" s="28" t="s">
        <v>345</v>
      </c>
      <c r="E1508" s="28" t="s">
        <v>2006</v>
      </c>
      <c r="F1508" s="28" t="s">
        <v>839</v>
      </c>
      <c r="G1508" s="28" t="s">
        <v>241</v>
      </c>
      <c r="H1508" s="28">
        <v>1.0</v>
      </c>
      <c r="I1508" s="28">
        <v>0.7731295253419147</v>
      </c>
      <c r="J1508" s="28">
        <v>6.0</v>
      </c>
      <c r="K1508" s="28" t="s">
        <v>57</v>
      </c>
      <c r="L1508" s="28" t="s">
        <v>57</v>
      </c>
    </row>
    <row r="1509" ht="15.75" customHeight="1">
      <c r="A1509" s="28" t="s">
        <v>131</v>
      </c>
      <c r="B1509" s="28" t="s">
        <v>2111</v>
      </c>
      <c r="D1509" s="28" t="s">
        <v>378</v>
      </c>
      <c r="E1509" s="28" t="s">
        <v>2007</v>
      </c>
      <c r="F1509" s="28" t="s">
        <v>276</v>
      </c>
      <c r="G1509" s="28" t="s">
        <v>385</v>
      </c>
      <c r="H1509" s="28">
        <v>1.0</v>
      </c>
      <c r="I1509" s="28">
        <v>0.4212962962962963</v>
      </c>
      <c r="J1509" s="28">
        <v>0.0</v>
      </c>
      <c r="K1509" s="28" t="s">
        <v>57</v>
      </c>
      <c r="L1509" s="28" t="s">
        <v>57</v>
      </c>
    </row>
    <row r="1510" ht="15.75" customHeight="1">
      <c r="A1510" s="28" t="s">
        <v>131</v>
      </c>
      <c r="B1510" s="28" t="s">
        <v>2111</v>
      </c>
      <c r="D1510" s="28" t="s">
        <v>378</v>
      </c>
      <c r="E1510" s="28" t="s">
        <v>2008</v>
      </c>
      <c r="F1510" s="28" t="s">
        <v>396</v>
      </c>
      <c r="G1510" s="28" t="s">
        <v>398</v>
      </c>
      <c r="H1510" s="28">
        <v>1.0</v>
      </c>
      <c r="I1510" s="28">
        <v>0.45161290322580644</v>
      </c>
      <c r="J1510" s="28">
        <v>15.0</v>
      </c>
      <c r="K1510" s="28" t="s">
        <v>57</v>
      </c>
      <c r="L1510" s="28" t="s">
        <v>696</v>
      </c>
    </row>
    <row r="1511" ht="15.75" customHeight="1">
      <c r="A1511" s="28" t="s">
        <v>131</v>
      </c>
      <c r="B1511" s="28" t="s">
        <v>2111</v>
      </c>
      <c r="D1511" s="28" t="s">
        <v>378</v>
      </c>
      <c r="E1511" s="28" t="s">
        <v>2009</v>
      </c>
      <c r="F1511" s="28" t="s">
        <v>260</v>
      </c>
      <c r="G1511" s="28" t="s">
        <v>392</v>
      </c>
      <c r="H1511" s="28">
        <v>1.0</v>
      </c>
      <c r="I1511" s="28">
        <v>0.4583333333333333</v>
      </c>
      <c r="J1511" s="28">
        <v>14.0</v>
      </c>
      <c r="K1511" s="28" t="s">
        <v>57</v>
      </c>
      <c r="L1511" s="28" t="s">
        <v>57</v>
      </c>
    </row>
    <row r="1512" ht="15.75" customHeight="1">
      <c r="A1512" s="28" t="s">
        <v>131</v>
      </c>
      <c r="B1512" s="28" t="s">
        <v>2111</v>
      </c>
      <c r="D1512" s="28" t="s">
        <v>378</v>
      </c>
      <c r="E1512" s="28" t="s">
        <v>2010</v>
      </c>
      <c r="F1512" s="28" t="s">
        <v>276</v>
      </c>
      <c r="G1512" s="28" t="s">
        <v>278</v>
      </c>
      <c r="H1512" s="28">
        <v>1.0</v>
      </c>
      <c r="I1512" s="28">
        <v>0.4583333333333333</v>
      </c>
      <c r="J1512" s="28">
        <v>6.0</v>
      </c>
      <c r="K1512" s="28" t="s">
        <v>57</v>
      </c>
      <c r="L1512" s="28" t="s">
        <v>57</v>
      </c>
    </row>
    <row r="1513" ht="15.75" customHeight="1">
      <c r="A1513" s="28" t="s">
        <v>131</v>
      </c>
      <c r="B1513" s="28" t="s">
        <v>2111</v>
      </c>
      <c r="D1513" s="28" t="s">
        <v>378</v>
      </c>
      <c r="E1513" s="28" t="s">
        <v>2011</v>
      </c>
      <c r="F1513" s="28" t="s">
        <v>276</v>
      </c>
      <c r="G1513" s="28" t="s">
        <v>310</v>
      </c>
      <c r="H1513" s="28">
        <v>1.0</v>
      </c>
      <c r="I1513" s="28">
        <v>0.46296296296296297</v>
      </c>
      <c r="J1513" s="28">
        <v>10.0</v>
      </c>
      <c r="K1513" s="28" t="s">
        <v>57</v>
      </c>
      <c r="L1513" s="28" t="s">
        <v>57</v>
      </c>
    </row>
    <row r="1514" ht="15.75" customHeight="1">
      <c r="A1514" s="28" t="s">
        <v>131</v>
      </c>
      <c r="B1514" s="28" t="s">
        <v>2111</v>
      </c>
      <c r="D1514" s="28" t="s">
        <v>378</v>
      </c>
      <c r="E1514" s="28" t="s">
        <v>2012</v>
      </c>
      <c r="F1514" s="28" t="s">
        <v>687</v>
      </c>
      <c r="G1514" s="28" t="s">
        <v>295</v>
      </c>
      <c r="H1514" s="28">
        <v>1.0</v>
      </c>
      <c r="I1514" s="28">
        <v>0.5416666666666666</v>
      </c>
      <c r="J1514" s="28">
        <v>11.0</v>
      </c>
      <c r="K1514" s="28" t="s">
        <v>57</v>
      </c>
      <c r="L1514" s="28" t="s">
        <v>57</v>
      </c>
    </row>
    <row r="1515" ht="15.75" customHeight="1">
      <c r="A1515" s="28" t="s">
        <v>131</v>
      </c>
      <c r="B1515" s="28" t="s">
        <v>2111</v>
      </c>
      <c r="D1515" s="28" t="s">
        <v>378</v>
      </c>
      <c r="E1515" s="28" t="s">
        <v>2013</v>
      </c>
      <c r="F1515" s="28" t="s">
        <v>687</v>
      </c>
      <c r="G1515" s="28" t="s">
        <v>364</v>
      </c>
      <c r="H1515" s="28">
        <v>1.0</v>
      </c>
      <c r="I1515" s="28">
        <v>0.5416666666666666</v>
      </c>
      <c r="J1515" s="28">
        <v>12.0</v>
      </c>
      <c r="K1515" s="28" t="s">
        <v>57</v>
      </c>
      <c r="L1515" s="28" t="s">
        <v>57</v>
      </c>
    </row>
    <row r="1516" ht="15.75" customHeight="1">
      <c r="A1516" s="28" t="s">
        <v>131</v>
      </c>
      <c r="B1516" s="28" t="s">
        <v>2111</v>
      </c>
      <c r="D1516" s="28" t="s">
        <v>378</v>
      </c>
      <c r="E1516" s="28" t="s">
        <v>2014</v>
      </c>
      <c r="F1516" s="28" t="s">
        <v>1375</v>
      </c>
      <c r="G1516" s="28" t="s">
        <v>370</v>
      </c>
      <c r="H1516" s="28">
        <v>1.0</v>
      </c>
      <c r="I1516" s="28">
        <v>0.5513307984790875</v>
      </c>
      <c r="J1516" s="28">
        <v>13.0</v>
      </c>
      <c r="K1516" s="28" t="s">
        <v>57</v>
      </c>
      <c r="L1516" s="28" t="s">
        <v>57</v>
      </c>
    </row>
    <row r="1517" ht="15.75" customHeight="1">
      <c r="A1517" s="28" t="s">
        <v>131</v>
      </c>
      <c r="B1517" s="28" t="s">
        <v>2111</v>
      </c>
      <c r="D1517" s="28" t="s">
        <v>378</v>
      </c>
      <c r="E1517" s="28" t="s">
        <v>2015</v>
      </c>
      <c r="F1517" s="28" t="s">
        <v>698</v>
      </c>
      <c r="G1517" s="28" t="s">
        <v>287</v>
      </c>
      <c r="H1517" s="28">
        <v>1.0</v>
      </c>
      <c r="I1517" s="28">
        <v>0.6587112171837709</v>
      </c>
      <c r="J1517" s="28">
        <v>9.0</v>
      </c>
      <c r="K1517" s="28" t="s">
        <v>57</v>
      </c>
      <c r="L1517" s="28" t="s">
        <v>57</v>
      </c>
    </row>
    <row r="1518" ht="15.75" customHeight="1">
      <c r="A1518" s="28" t="s">
        <v>131</v>
      </c>
      <c r="B1518" s="28" t="s">
        <v>2111</v>
      </c>
      <c r="D1518" s="28" t="s">
        <v>378</v>
      </c>
      <c r="E1518" s="28" t="s">
        <v>2016</v>
      </c>
      <c r="F1518" s="28" t="s">
        <v>701</v>
      </c>
      <c r="G1518" s="28" t="s">
        <v>303</v>
      </c>
      <c r="H1518" s="28">
        <v>1.0</v>
      </c>
      <c r="I1518" s="28">
        <v>0.7704011065006916</v>
      </c>
      <c r="J1518" s="28">
        <v>7.0</v>
      </c>
      <c r="K1518" s="28" t="s">
        <v>57</v>
      </c>
      <c r="L1518" s="28" t="s">
        <v>57</v>
      </c>
    </row>
    <row r="1519" ht="15.75" customHeight="1">
      <c r="A1519" s="28" t="s">
        <v>131</v>
      </c>
      <c r="B1519" s="28" t="s">
        <v>2111</v>
      </c>
      <c r="D1519" s="28" t="s">
        <v>378</v>
      </c>
      <c r="E1519" s="28" t="s">
        <v>2017</v>
      </c>
      <c r="F1519" s="28" t="s">
        <v>705</v>
      </c>
      <c r="G1519" s="28" t="s">
        <v>241</v>
      </c>
      <c r="H1519" s="28">
        <v>1.0</v>
      </c>
      <c r="I1519" s="28">
        <v>0.8608205953338697</v>
      </c>
      <c r="J1519" s="28">
        <v>5.0</v>
      </c>
      <c r="K1519" s="28" t="s">
        <v>57</v>
      </c>
      <c r="L1519" s="28" t="s">
        <v>57</v>
      </c>
    </row>
    <row r="1520" ht="15.75" customHeight="1">
      <c r="A1520" s="28" t="s">
        <v>131</v>
      </c>
      <c r="B1520" s="28" t="s">
        <v>2111</v>
      </c>
      <c r="D1520" s="28" t="s">
        <v>385</v>
      </c>
      <c r="E1520" s="28" t="s">
        <v>2018</v>
      </c>
      <c r="F1520" s="28" t="s">
        <v>276</v>
      </c>
      <c r="G1520" s="28" t="s">
        <v>310</v>
      </c>
      <c r="H1520" s="28">
        <v>1.0</v>
      </c>
      <c r="I1520" s="28">
        <v>0.07518796992481203</v>
      </c>
      <c r="J1520" s="28">
        <v>9.0</v>
      </c>
      <c r="K1520" s="28" t="s">
        <v>57</v>
      </c>
      <c r="L1520" s="28" t="s">
        <v>57</v>
      </c>
    </row>
    <row r="1521" ht="15.75" customHeight="1">
      <c r="A1521" s="28" t="s">
        <v>131</v>
      </c>
      <c r="B1521" s="28" t="s">
        <v>2111</v>
      </c>
      <c r="D1521" s="28" t="s">
        <v>385</v>
      </c>
      <c r="E1521" s="28" t="s">
        <v>2019</v>
      </c>
      <c r="F1521" s="28" t="s">
        <v>276</v>
      </c>
      <c r="G1521" s="28" t="s">
        <v>278</v>
      </c>
      <c r="H1521" s="28">
        <v>1.0</v>
      </c>
      <c r="I1521" s="28">
        <v>0.08270676691729323</v>
      </c>
      <c r="J1521" s="28">
        <v>5.0</v>
      </c>
      <c r="K1521" s="28" t="s">
        <v>57</v>
      </c>
      <c r="L1521" s="28" t="s">
        <v>57</v>
      </c>
    </row>
    <row r="1522" ht="15.75" customHeight="1">
      <c r="A1522" s="28" t="s">
        <v>131</v>
      </c>
      <c r="B1522" s="28" t="s">
        <v>2111</v>
      </c>
      <c r="D1522" s="28" t="s">
        <v>385</v>
      </c>
      <c r="E1522" s="28" t="s">
        <v>2020</v>
      </c>
      <c r="F1522" s="28" t="s">
        <v>260</v>
      </c>
      <c r="G1522" s="28" t="s">
        <v>392</v>
      </c>
      <c r="H1522" s="28">
        <v>1.0</v>
      </c>
      <c r="I1522" s="28">
        <v>0.2804878048780488</v>
      </c>
      <c r="J1522" s="28">
        <v>13.0</v>
      </c>
      <c r="K1522" s="28" t="s">
        <v>57</v>
      </c>
      <c r="L1522" s="28" t="s">
        <v>57</v>
      </c>
    </row>
    <row r="1523" ht="15.75" customHeight="1">
      <c r="A1523" s="28" t="s">
        <v>131</v>
      </c>
      <c r="B1523" s="28" t="s">
        <v>2111</v>
      </c>
      <c r="D1523" s="28" t="s">
        <v>385</v>
      </c>
      <c r="E1523" s="28" t="s">
        <v>2021</v>
      </c>
      <c r="F1523" s="28" t="s">
        <v>687</v>
      </c>
      <c r="G1523" s="28" t="s">
        <v>295</v>
      </c>
      <c r="H1523" s="28">
        <v>1.0</v>
      </c>
      <c r="I1523" s="28">
        <v>0.3869346733668342</v>
      </c>
      <c r="J1523" s="28">
        <v>10.0</v>
      </c>
      <c r="K1523" s="28" t="s">
        <v>57</v>
      </c>
      <c r="L1523" s="28" t="s">
        <v>57</v>
      </c>
    </row>
    <row r="1524" ht="15.75" customHeight="1">
      <c r="A1524" s="28" t="s">
        <v>131</v>
      </c>
      <c r="B1524" s="28" t="s">
        <v>2111</v>
      </c>
      <c r="D1524" s="28" t="s">
        <v>385</v>
      </c>
      <c r="E1524" s="28" t="s">
        <v>2022</v>
      </c>
      <c r="F1524" s="28" t="s">
        <v>687</v>
      </c>
      <c r="G1524" s="28" t="s">
        <v>364</v>
      </c>
      <c r="H1524" s="28">
        <v>1.0</v>
      </c>
      <c r="I1524" s="28">
        <v>0.39</v>
      </c>
      <c r="J1524" s="28">
        <v>11.0</v>
      </c>
      <c r="K1524" s="28" t="s">
        <v>57</v>
      </c>
      <c r="L1524" s="28" t="s">
        <v>57</v>
      </c>
    </row>
    <row r="1525" ht="15.75" customHeight="1">
      <c r="A1525" s="28" t="s">
        <v>131</v>
      </c>
      <c r="B1525" s="28" t="s">
        <v>2111</v>
      </c>
      <c r="D1525" s="28" t="s">
        <v>385</v>
      </c>
      <c r="E1525" s="28" t="s">
        <v>2023</v>
      </c>
      <c r="F1525" s="28" t="s">
        <v>1375</v>
      </c>
      <c r="G1525" s="28" t="s">
        <v>370</v>
      </c>
      <c r="H1525" s="28">
        <v>1.0</v>
      </c>
      <c r="I1525" s="28">
        <v>0.5285171102661597</v>
      </c>
      <c r="J1525" s="28">
        <v>12.0</v>
      </c>
      <c r="K1525" s="28" t="s">
        <v>57</v>
      </c>
      <c r="L1525" s="28" t="s">
        <v>57</v>
      </c>
    </row>
    <row r="1526" ht="15.75" customHeight="1">
      <c r="A1526" s="28" t="s">
        <v>131</v>
      </c>
      <c r="B1526" s="28" t="s">
        <v>2111</v>
      </c>
      <c r="D1526" s="28" t="s">
        <v>385</v>
      </c>
      <c r="E1526" s="28" t="s">
        <v>2024</v>
      </c>
      <c r="F1526" s="28" t="s">
        <v>396</v>
      </c>
      <c r="G1526" s="28" t="s">
        <v>398</v>
      </c>
      <c r="H1526" s="28">
        <v>1.0</v>
      </c>
      <c r="I1526" s="28">
        <v>0.5555555555555556</v>
      </c>
      <c r="J1526" s="28">
        <v>14.0</v>
      </c>
      <c r="K1526" s="28" t="s">
        <v>57</v>
      </c>
      <c r="L1526" s="28" t="s">
        <v>696</v>
      </c>
    </row>
    <row r="1527" ht="15.75" customHeight="1">
      <c r="A1527" s="28" t="s">
        <v>131</v>
      </c>
      <c r="B1527" s="28" t="s">
        <v>2111</v>
      </c>
      <c r="D1527" s="28" t="s">
        <v>385</v>
      </c>
      <c r="E1527" s="28" t="s">
        <v>2025</v>
      </c>
      <c r="F1527" s="28" t="s">
        <v>698</v>
      </c>
      <c r="G1527" s="28" t="s">
        <v>287</v>
      </c>
      <c r="H1527" s="28">
        <v>1.0</v>
      </c>
      <c r="I1527" s="28">
        <v>0.7016706443914081</v>
      </c>
      <c r="J1527" s="28">
        <v>8.0</v>
      </c>
      <c r="K1527" s="28" t="s">
        <v>57</v>
      </c>
      <c r="L1527" s="28" t="s">
        <v>57</v>
      </c>
    </row>
    <row r="1528" ht="15.75" customHeight="1">
      <c r="A1528" s="28" t="s">
        <v>131</v>
      </c>
      <c r="B1528" s="28" t="s">
        <v>2111</v>
      </c>
      <c r="D1528" s="28" t="s">
        <v>385</v>
      </c>
      <c r="E1528" s="28" t="s">
        <v>2026</v>
      </c>
      <c r="F1528" s="28" t="s">
        <v>701</v>
      </c>
      <c r="G1528" s="28" t="s">
        <v>303</v>
      </c>
      <c r="H1528" s="28">
        <v>1.0</v>
      </c>
      <c r="I1528" s="28">
        <v>0.8201936376210235</v>
      </c>
      <c r="J1528" s="28">
        <v>6.0</v>
      </c>
      <c r="K1528" s="28" t="s">
        <v>57</v>
      </c>
      <c r="L1528" s="28" t="s">
        <v>57</v>
      </c>
    </row>
    <row r="1529" ht="15.75" customHeight="1">
      <c r="A1529" s="28" t="s">
        <v>131</v>
      </c>
      <c r="B1529" s="28" t="s">
        <v>2111</v>
      </c>
      <c r="D1529" s="28" t="s">
        <v>385</v>
      </c>
      <c r="E1529" s="28" t="s">
        <v>2027</v>
      </c>
      <c r="F1529" s="28" t="s">
        <v>705</v>
      </c>
      <c r="G1529" s="28" t="s">
        <v>241</v>
      </c>
      <c r="H1529" s="28">
        <v>1.0</v>
      </c>
      <c r="I1529" s="28">
        <v>0.8986323411102172</v>
      </c>
      <c r="J1529" s="28">
        <v>4.0</v>
      </c>
      <c r="K1529" s="28" t="s">
        <v>57</v>
      </c>
      <c r="L1529" s="28" t="s">
        <v>57</v>
      </c>
    </row>
    <row r="1530" ht="15.75" customHeight="1">
      <c r="A1530" s="28" t="s">
        <v>131</v>
      </c>
      <c r="B1530" s="28" t="s">
        <v>2111</v>
      </c>
      <c r="D1530" s="28" t="s">
        <v>991</v>
      </c>
      <c r="E1530" s="28" t="s">
        <v>2028</v>
      </c>
      <c r="F1530" s="28" t="s">
        <v>2029</v>
      </c>
      <c r="G1530" s="28" t="s">
        <v>994</v>
      </c>
      <c r="H1530" s="28">
        <v>1.0</v>
      </c>
      <c r="I1530" s="28">
        <v>0.08055555555555556</v>
      </c>
      <c r="J1530" s="28">
        <v>0.0</v>
      </c>
      <c r="K1530" s="28" t="s">
        <v>57</v>
      </c>
      <c r="L1530" s="28" t="s">
        <v>57</v>
      </c>
    </row>
    <row r="1531" ht="15.75" customHeight="1">
      <c r="A1531" s="28" t="s">
        <v>131</v>
      </c>
      <c r="B1531" s="28" t="s">
        <v>2111</v>
      </c>
      <c r="D1531" s="28" t="s">
        <v>241</v>
      </c>
      <c r="E1531" s="28" t="s">
        <v>2030</v>
      </c>
      <c r="F1531" s="28" t="s">
        <v>874</v>
      </c>
      <c r="G1531" s="28" t="s">
        <v>303</v>
      </c>
      <c r="H1531" s="28">
        <v>1.0</v>
      </c>
      <c r="I1531" s="28">
        <v>0.46419951729686243</v>
      </c>
      <c r="J1531" s="28">
        <v>1.0</v>
      </c>
      <c r="K1531" s="28" t="s">
        <v>57</v>
      </c>
      <c r="L1531" s="28" t="s">
        <v>57</v>
      </c>
    </row>
    <row r="1532" ht="15.75" customHeight="1">
      <c r="A1532" s="28" t="s">
        <v>131</v>
      </c>
      <c r="B1532" s="28" t="s">
        <v>2111</v>
      </c>
      <c r="D1532" s="28" t="s">
        <v>241</v>
      </c>
      <c r="E1532" s="28" t="s">
        <v>2031</v>
      </c>
      <c r="F1532" s="28" t="s">
        <v>876</v>
      </c>
      <c r="G1532" s="28" t="s">
        <v>287</v>
      </c>
      <c r="H1532" s="28">
        <v>1.0</v>
      </c>
      <c r="I1532" s="28">
        <v>0.668543845534996</v>
      </c>
      <c r="J1532" s="28">
        <v>3.0</v>
      </c>
      <c r="K1532" s="28" t="s">
        <v>57</v>
      </c>
      <c r="L1532" s="28" t="s">
        <v>57</v>
      </c>
    </row>
    <row r="1533" ht="15.75" customHeight="1">
      <c r="A1533" s="28" t="s">
        <v>131</v>
      </c>
      <c r="B1533" s="28" t="s">
        <v>2111</v>
      </c>
      <c r="D1533" s="28" t="s">
        <v>241</v>
      </c>
      <c r="E1533" s="28" t="s">
        <v>2032</v>
      </c>
      <c r="F1533" s="28" t="s">
        <v>1605</v>
      </c>
      <c r="G1533" s="28" t="s">
        <v>370</v>
      </c>
      <c r="H1533" s="28">
        <v>1.0</v>
      </c>
      <c r="I1533" s="28">
        <v>0.8012872083668544</v>
      </c>
      <c r="J1533" s="28">
        <v>7.0</v>
      </c>
      <c r="K1533" s="28" t="s">
        <v>57</v>
      </c>
      <c r="L1533" s="28" t="s">
        <v>57</v>
      </c>
    </row>
    <row r="1534" ht="15.75" customHeight="1">
      <c r="A1534" s="28" t="s">
        <v>131</v>
      </c>
      <c r="B1534" s="28" t="s">
        <v>2111</v>
      </c>
      <c r="D1534" s="28" t="s">
        <v>241</v>
      </c>
      <c r="E1534" s="28" t="s">
        <v>2033</v>
      </c>
      <c r="F1534" s="28" t="s">
        <v>1607</v>
      </c>
      <c r="G1534" s="28" t="s">
        <v>398</v>
      </c>
      <c r="H1534" s="28">
        <v>1.0</v>
      </c>
      <c r="I1534" s="28">
        <v>0.8189863234111022</v>
      </c>
      <c r="J1534" s="28">
        <v>9.0</v>
      </c>
      <c r="K1534" s="28" t="s">
        <v>57</v>
      </c>
      <c r="L1534" s="28" t="s">
        <v>696</v>
      </c>
    </row>
    <row r="1535" ht="15.75" customHeight="1">
      <c r="A1535" s="28" t="s">
        <v>131</v>
      </c>
      <c r="B1535" s="28" t="s">
        <v>2111</v>
      </c>
      <c r="D1535" s="28" t="s">
        <v>241</v>
      </c>
      <c r="E1535" s="28" t="s">
        <v>2034</v>
      </c>
      <c r="F1535" s="28" t="s">
        <v>878</v>
      </c>
      <c r="G1535" s="28" t="s">
        <v>295</v>
      </c>
      <c r="H1535" s="28">
        <v>1.0</v>
      </c>
      <c r="I1535" s="28">
        <v>0.8415124698310539</v>
      </c>
      <c r="J1535" s="28">
        <v>5.0</v>
      </c>
      <c r="K1535" s="28" t="s">
        <v>57</v>
      </c>
      <c r="L1535" s="28" t="s">
        <v>57</v>
      </c>
    </row>
    <row r="1536" ht="15.75" customHeight="1">
      <c r="A1536" s="28" t="s">
        <v>131</v>
      </c>
      <c r="B1536" s="28" t="s">
        <v>2111</v>
      </c>
      <c r="D1536" s="28" t="s">
        <v>241</v>
      </c>
      <c r="E1536" s="28" t="s">
        <v>2035</v>
      </c>
      <c r="F1536" s="28" t="s">
        <v>878</v>
      </c>
      <c r="G1536" s="28" t="s">
        <v>364</v>
      </c>
      <c r="H1536" s="28">
        <v>1.0</v>
      </c>
      <c r="I1536" s="28">
        <v>0.8415124698310539</v>
      </c>
      <c r="J1536" s="28">
        <v>6.0</v>
      </c>
      <c r="K1536" s="28" t="s">
        <v>57</v>
      </c>
      <c r="L1536" s="28" t="s">
        <v>57</v>
      </c>
    </row>
    <row r="1537" ht="15.75" customHeight="1">
      <c r="A1537" s="28" t="s">
        <v>131</v>
      </c>
      <c r="B1537" s="28" t="s">
        <v>2111</v>
      </c>
      <c r="D1537" s="28" t="s">
        <v>241</v>
      </c>
      <c r="E1537" s="28" t="s">
        <v>2036</v>
      </c>
      <c r="F1537" s="28" t="s">
        <v>1611</v>
      </c>
      <c r="G1537" s="28" t="s">
        <v>392</v>
      </c>
      <c r="H1537" s="28">
        <v>1.0</v>
      </c>
      <c r="I1537" s="28">
        <v>0.8704746580852776</v>
      </c>
      <c r="J1537" s="28">
        <v>8.0</v>
      </c>
      <c r="K1537" s="28" t="s">
        <v>57</v>
      </c>
      <c r="L1537" s="28" t="s">
        <v>57</v>
      </c>
    </row>
    <row r="1538" ht="15.75" customHeight="1">
      <c r="A1538" s="28" t="s">
        <v>131</v>
      </c>
      <c r="B1538" s="28" t="s">
        <v>2111</v>
      </c>
      <c r="D1538" s="28" t="s">
        <v>241</v>
      </c>
      <c r="E1538" s="28" t="s">
        <v>2037</v>
      </c>
      <c r="F1538" s="28" t="s">
        <v>882</v>
      </c>
      <c r="G1538" s="28" t="s">
        <v>310</v>
      </c>
      <c r="H1538" s="28">
        <v>1.0</v>
      </c>
      <c r="I1538" s="28">
        <v>0.9002413515687852</v>
      </c>
      <c r="J1538" s="28">
        <v>4.0</v>
      </c>
      <c r="K1538" s="28" t="s">
        <v>57</v>
      </c>
      <c r="L1538" s="28" t="s">
        <v>57</v>
      </c>
    </row>
    <row r="1539" ht="15.75" customHeight="1">
      <c r="A1539" s="28" t="s">
        <v>131</v>
      </c>
      <c r="B1539" s="28" t="s">
        <v>2111</v>
      </c>
      <c r="D1539" s="28" t="s">
        <v>241</v>
      </c>
      <c r="E1539" s="28" t="s">
        <v>2038</v>
      </c>
      <c r="F1539" s="28" t="s">
        <v>882</v>
      </c>
      <c r="G1539" s="28" t="s">
        <v>278</v>
      </c>
      <c r="H1539" s="28">
        <v>1.0</v>
      </c>
      <c r="I1539" s="28">
        <v>0.9002413515687852</v>
      </c>
      <c r="J1539" s="28">
        <v>0.0</v>
      </c>
      <c r="K1539" s="28" t="s">
        <v>57</v>
      </c>
      <c r="L1539" s="28" t="s">
        <v>57</v>
      </c>
    </row>
    <row r="1540" ht="15.75" customHeight="1">
      <c r="A1540" s="28" t="s">
        <v>131</v>
      </c>
      <c r="B1540" s="28" t="s">
        <v>2111</v>
      </c>
      <c r="D1540" s="28" t="s">
        <v>278</v>
      </c>
      <c r="E1540" s="28" t="s">
        <v>2039</v>
      </c>
      <c r="F1540" s="28" t="s">
        <v>276</v>
      </c>
      <c r="G1540" s="28" t="s">
        <v>310</v>
      </c>
      <c r="H1540" s="28">
        <v>1.0</v>
      </c>
      <c r="I1540" s="28">
        <v>0.015748031496062992</v>
      </c>
      <c r="J1540" s="28">
        <v>3.0</v>
      </c>
      <c r="K1540" s="28" t="s">
        <v>57</v>
      </c>
      <c r="L1540" s="28" t="s">
        <v>57</v>
      </c>
    </row>
    <row r="1541" ht="15.75" customHeight="1">
      <c r="A1541" s="28" t="s">
        <v>131</v>
      </c>
      <c r="B1541" s="28" t="s">
        <v>2111</v>
      </c>
      <c r="D1541" s="28" t="s">
        <v>278</v>
      </c>
      <c r="E1541" s="28" t="s">
        <v>2040</v>
      </c>
      <c r="F1541" s="28" t="s">
        <v>260</v>
      </c>
      <c r="G1541" s="28" t="s">
        <v>392</v>
      </c>
      <c r="H1541" s="28">
        <v>1.0</v>
      </c>
      <c r="I1541" s="28">
        <v>0.24390243902439024</v>
      </c>
      <c r="J1541" s="28">
        <v>7.0</v>
      </c>
      <c r="K1541" s="28" t="s">
        <v>57</v>
      </c>
      <c r="L1541" s="28" t="s">
        <v>57</v>
      </c>
    </row>
    <row r="1542" ht="15.75" customHeight="1">
      <c r="A1542" s="28" t="s">
        <v>131</v>
      </c>
      <c r="B1542" s="28" t="s">
        <v>2111</v>
      </c>
      <c r="D1542" s="28" t="s">
        <v>278</v>
      </c>
      <c r="E1542" s="28" t="s">
        <v>2041</v>
      </c>
      <c r="F1542" s="28" t="s">
        <v>687</v>
      </c>
      <c r="G1542" s="28" t="s">
        <v>295</v>
      </c>
      <c r="H1542" s="28">
        <v>1.0</v>
      </c>
      <c r="I1542" s="28">
        <v>0.37185929648241206</v>
      </c>
      <c r="J1542" s="28">
        <v>4.0</v>
      </c>
      <c r="K1542" s="28" t="s">
        <v>57</v>
      </c>
      <c r="L1542" s="28" t="s">
        <v>57</v>
      </c>
    </row>
    <row r="1543" ht="15.75" customHeight="1">
      <c r="A1543" s="28" t="s">
        <v>131</v>
      </c>
      <c r="B1543" s="28" t="s">
        <v>2111</v>
      </c>
      <c r="D1543" s="28" t="s">
        <v>278</v>
      </c>
      <c r="E1543" s="28" t="s">
        <v>2042</v>
      </c>
      <c r="F1543" s="28" t="s">
        <v>687</v>
      </c>
      <c r="G1543" s="28" t="s">
        <v>364</v>
      </c>
      <c r="H1543" s="28">
        <v>1.0</v>
      </c>
      <c r="I1543" s="28">
        <v>0.38</v>
      </c>
      <c r="J1543" s="28">
        <v>5.0</v>
      </c>
      <c r="K1543" s="28" t="s">
        <v>57</v>
      </c>
      <c r="L1543" s="28" t="s">
        <v>57</v>
      </c>
    </row>
    <row r="1544" ht="15.75" customHeight="1">
      <c r="A1544" s="28" t="s">
        <v>131</v>
      </c>
      <c r="B1544" s="28" t="s">
        <v>2111</v>
      </c>
      <c r="D1544" s="28" t="s">
        <v>278</v>
      </c>
      <c r="E1544" s="28" t="s">
        <v>2043</v>
      </c>
      <c r="F1544" s="28" t="s">
        <v>1375</v>
      </c>
      <c r="G1544" s="28" t="s">
        <v>370</v>
      </c>
      <c r="H1544" s="28">
        <v>1.0</v>
      </c>
      <c r="I1544" s="28">
        <v>0.5247148288973384</v>
      </c>
      <c r="J1544" s="28">
        <v>6.0</v>
      </c>
      <c r="K1544" s="28" t="s">
        <v>57</v>
      </c>
      <c r="L1544" s="28" t="s">
        <v>57</v>
      </c>
    </row>
    <row r="1545" ht="15.75" customHeight="1">
      <c r="A1545" s="28" t="s">
        <v>131</v>
      </c>
      <c r="B1545" s="28" t="s">
        <v>2111</v>
      </c>
      <c r="D1545" s="28" t="s">
        <v>278</v>
      </c>
      <c r="E1545" s="28" t="s">
        <v>2044</v>
      </c>
      <c r="F1545" s="28" t="s">
        <v>396</v>
      </c>
      <c r="G1545" s="28" t="s">
        <v>398</v>
      </c>
      <c r="H1545" s="28">
        <v>1.0</v>
      </c>
      <c r="I1545" s="28">
        <v>0.5842293906810035</v>
      </c>
      <c r="J1545" s="28">
        <v>8.0</v>
      </c>
      <c r="K1545" s="28" t="s">
        <v>57</v>
      </c>
      <c r="L1545" s="28" t="s">
        <v>696</v>
      </c>
    </row>
    <row r="1546" ht="15.75" customHeight="1">
      <c r="A1546" s="28" t="s">
        <v>131</v>
      </c>
      <c r="B1546" s="28" t="s">
        <v>2111</v>
      </c>
      <c r="D1546" s="28" t="s">
        <v>278</v>
      </c>
      <c r="E1546" s="28" t="s">
        <v>2045</v>
      </c>
      <c r="F1546" s="28" t="s">
        <v>698</v>
      </c>
      <c r="G1546" s="28" t="s">
        <v>287</v>
      </c>
      <c r="H1546" s="28">
        <v>1.0</v>
      </c>
      <c r="I1546" s="28">
        <v>0.7016706443914081</v>
      </c>
      <c r="J1546" s="28">
        <v>2.0</v>
      </c>
      <c r="K1546" s="28" t="s">
        <v>57</v>
      </c>
      <c r="L1546" s="28" t="s">
        <v>57</v>
      </c>
    </row>
    <row r="1547" ht="15.75" customHeight="1">
      <c r="A1547" s="28" t="s">
        <v>131</v>
      </c>
      <c r="B1547" s="28" t="s">
        <v>2111</v>
      </c>
      <c r="D1547" s="28" t="s">
        <v>278</v>
      </c>
      <c r="E1547" s="28" t="s">
        <v>2046</v>
      </c>
      <c r="F1547" s="28" t="s">
        <v>701</v>
      </c>
      <c r="G1547" s="28" t="s">
        <v>303</v>
      </c>
      <c r="H1547" s="28">
        <v>1.0</v>
      </c>
      <c r="I1547" s="28">
        <v>0.8284923928077456</v>
      </c>
      <c r="J1547" s="28">
        <v>0.0</v>
      </c>
      <c r="K1547" s="28" t="s">
        <v>57</v>
      </c>
      <c r="L1547" s="28" t="s">
        <v>57</v>
      </c>
    </row>
    <row r="1548" ht="15.75" customHeight="1">
      <c r="A1548" s="28" t="s">
        <v>131</v>
      </c>
      <c r="B1548" s="28" t="s">
        <v>2111</v>
      </c>
      <c r="D1548" s="28" t="s">
        <v>303</v>
      </c>
      <c r="E1548" s="28" t="s">
        <v>2047</v>
      </c>
      <c r="F1548" s="28" t="s">
        <v>890</v>
      </c>
      <c r="G1548" s="28" t="s">
        <v>287</v>
      </c>
      <c r="H1548" s="28">
        <v>1.0</v>
      </c>
      <c r="I1548" s="28">
        <v>0.43568464730290457</v>
      </c>
      <c r="J1548" s="28">
        <v>1.0</v>
      </c>
      <c r="K1548" s="28" t="s">
        <v>57</v>
      </c>
      <c r="L1548" s="28" t="s">
        <v>57</v>
      </c>
    </row>
    <row r="1549" ht="15.75" customHeight="1">
      <c r="A1549" s="28" t="s">
        <v>131</v>
      </c>
      <c r="B1549" s="28" t="s">
        <v>2111</v>
      </c>
      <c r="D1549" s="28" t="s">
        <v>303</v>
      </c>
      <c r="E1549" s="28" t="s">
        <v>2048</v>
      </c>
      <c r="F1549" s="28" t="s">
        <v>1624</v>
      </c>
      <c r="G1549" s="28" t="s">
        <v>370</v>
      </c>
      <c r="H1549" s="28">
        <v>1.0</v>
      </c>
      <c r="I1549" s="28">
        <v>0.6639004149377593</v>
      </c>
      <c r="J1549" s="28">
        <v>5.0</v>
      </c>
      <c r="K1549" s="28" t="s">
        <v>57</v>
      </c>
      <c r="L1549" s="28" t="s">
        <v>57</v>
      </c>
    </row>
    <row r="1550" ht="15.75" customHeight="1">
      <c r="A1550" s="28" t="s">
        <v>131</v>
      </c>
      <c r="B1550" s="28" t="s">
        <v>2111</v>
      </c>
      <c r="D1550" s="28" t="s">
        <v>303</v>
      </c>
      <c r="E1550" s="28" t="s">
        <v>2049</v>
      </c>
      <c r="F1550" s="28" t="s">
        <v>1626</v>
      </c>
      <c r="G1550" s="28" t="s">
        <v>398</v>
      </c>
      <c r="H1550" s="28">
        <v>1.0</v>
      </c>
      <c r="I1550" s="28">
        <v>0.6887966804979253</v>
      </c>
      <c r="J1550" s="28">
        <v>7.0</v>
      </c>
      <c r="K1550" s="28" t="s">
        <v>57</v>
      </c>
      <c r="L1550" s="28" t="s">
        <v>696</v>
      </c>
    </row>
    <row r="1551" ht="15.75" customHeight="1">
      <c r="A1551" s="28" t="s">
        <v>131</v>
      </c>
      <c r="B1551" s="28" t="s">
        <v>2111</v>
      </c>
      <c r="D1551" s="28" t="s">
        <v>303</v>
      </c>
      <c r="E1551" s="28" t="s">
        <v>2050</v>
      </c>
      <c r="F1551" s="28" t="s">
        <v>892</v>
      </c>
      <c r="G1551" s="28" t="s">
        <v>295</v>
      </c>
      <c r="H1551" s="28">
        <v>1.0</v>
      </c>
      <c r="I1551" s="28">
        <v>0.7330567081604425</v>
      </c>
      <c r="J1551" s="28">
        <v>3.0</v>
      </c>
      <c r="K1551" s="28" t="s">
        <v>57</v>
      </c>
      <c r="L1551" s="28" t="s">
        <v>57</v>
      </c>
    </row>
    <row r="1552" ht="15.75" customHeight="1">
      <c r="A1552" s="28" t="s">
        <v>131</v>
      </c>
      <c r="B1552" s="28" t="s">
        <v>2111</v>
      </c>
      <c r="D1552" s="28" t="s">
        <v>303</v>
      </c>
      <c r="E1552" s="28" t="s">
        <v>2051</v>
      </c>
      <c r="F1552" s="28" t="s">
        <v>892</v>
      </c>
      <c r="G1552" s="28" t="s">
        <v>364</v>
      </c>
      <c r="H1552" s="28">
        <v>1.0</v>
      </c>
      <c r="I1552" s="28">
        <v>0.7330567081604425</v>
      </c>
      <c r="J1552" s="28">
        <v>4.0</v>
      </c>
      <c r="K1552" s="28" t="s">
        <v>57</v>
      </c>
      <c r="L1552" s="28" t="s">
        <v>57</v>
      </c>
    </row>
    <row r="1553" ht="15.75" customHeight="1">
      <c r="A1553" s="28" t="s">
        <v>131</v>
      </c>
      <c r="B1553" s="28" t="s">
        <v>2111</v>
      </c>
      <c r="D1553" s="28" t="s">
        <v>303</v>
      </c>
      <c r="E1553" s="28" t="s">
        <v>2052</v>
      </c>
      <c r="F1553" s="28" t="s">
        <v>1630</v>
      </c>
      <c r="G1553" s="28" t="s">
        <v>392</v>
      </c>
      <c r="H1553" s="28">
        <v>1.0</v>
      </c>
      <c r="I1553" s="28">
        <v>0.7800829875518672</v>
      </c>
      <c r="J1553" s="28">
        <v>6.0</v>
      </c>
      <c r="K1553" s="28" t="s">
        <v>57</v>
      </c>
      <c r="L1553" s="28" t="s">
        <v>57</v>
      </c>
    </row>
    <row r="1554" ht="15.75" customHeight="1">
      <c r="A1554" s="28" t="s">
        <v>131</v>
      </c>
      <c r="B1554" s="28" t="s">
        <v>2111</v>
      </c>
      <c r="D1554" s="28" t="s">
        <v>303</v>
      </c>
      <c r="E1554" s="28" t="s">
        <v>2053</v>
      </c>
      <c r="F1554" s="28" t="s">
        <v>896</v>
      </c>
      <c r="G1554" s="28" t="s">
        <v>310</v>
      </c>
      <c r="H1554" s="28">
        <v>1.0</v>
      </c>
      <c r="I1554" s="28">
        <v>0.8298755186721992</v>
      </c>
      <c r="J1554" s="28">
        <v>2.0</v>
      </c>
      <c r="K1554" s="28" t="s">
        <v>57</v>
      </c>
      <c r="L1554" s="28" t="s">
        <v>57</v>
      </c>
    </row>
    <row r="1555" ht="15.75" customHeight="1">
      <c r="A1555" s="28" t="s">
        <v>131</v>
      </c>
      <c r="B1555" s="28" t="s">
        <v>2111</v>
      </c>
      <c r="D1555" s="28" t="s">
        <v>287</v>
      </c>
      <c r="E1555" s="28" t="s">
        <v>2054</v>
      </c>
      <c r="F1555" s="28" t="s">
        <v>1633</v>
      </c>
      <c r="G1555" s="28" t="s">
        <v>370</v>
      </c>
      <c r="H1555" s="28">
        <v>1.0</v>
      </c>
      <c r="I1555" s="28">
        <v>0.4224343675417661</v>
      </c>
      <c r="J1555" s="28">
        <v>3.0</v>
      </c>
      <c r="K1555" s="28" t="s">
        <v>57</v>
      </c>
      <c r="L1555" s="28" t="s">
        <v>57</v>
      </c>
    </row>
    <row r="1556" ht="15.75" customHeight="1">
      <c r="A1556" s="28" t="s">
        <v>131</v>
      </c>
      <c r="B1556" s="28" t="s">
        <v>2111</v>
      </c>
      <c r="D1556" s="28" t="s">
        <v>287</v>
      </c>
      <c r="E1556" s="28" t="s">
        <v>2055</v>
      </c>
      <c r="F1556" s="28" t="s">
        <v>898</v>
      </c>
      <c r="G1556" s="28" t="s">
        <v>295</v>
      </c>
      <c r="H1556" s="28">
        <v>1.0</v>
      </c>
      <c r="I1556" s="28">
        <v>0.5298329355608592</v>
      </c>
      <c r="J1556" s="28">
        <v>1.0</v>
      </c>
      <c r="K1556" s="28" t="s">
        <v>57</v>
      </c>
      <c r="L1556" s="28" t="s">
        <v>57</v>
      </c>
    </row>
    <row r="1557" ht="15.75" customHeight="1">
      <c r="A1557" s="28" t="s">
        <v>131</v>
      </c>
      <c r="B1557" s="28" t="s">
        <v>2111</v>
      </c>
      <c r="D1557" s="28" t="s">
        <v>287</v>
      </c>
      <c r="E1557" s="28" t="s">
        <v>2056</v>
      </c>
      <c r="F1557" s="28" t="s">
        <v>898</v>
      </c>
      <c r="G1557" s="28" t="s">
        <v>364</v>
      </c>
      <c r="H1557" s="28">
        <v>1.0</v>
      </c>
      <c r="I1557" s="28">
        <v>0.5322195704057279</v>
      </c>
      <c r="J1557" s="28">
        <v>2.0</v>
      </c>
      <c r="K1557" s="28" t="s">
        <v>57</v>
      </c>
      <c r="L1557" s="28" t="s">
        <v>57</v>
      </c>
    </row>
    <row r="1558" ht="15.75" customHeight="1">
      <c r="A1558" s="28" t="s">
        <v>131</v>
      </c>
      <c r="B1558" s="28" t="s">
        <v>2111</v>
      </c>
      <c r="D1558" s="28" t="s">
        <v>287</v>
      </c>
      <c r="E1558" s="28" t="s">
        <v>2057</v>
      </c>
      <c r="F1558" s="28" t="s">
        <v>1637</v>
      </c>
      <c r="G1558" s="28" t="s">
        <v>398</v>
      </c>
      <c r="H1558" s="28">
        <v>1.0</v>
      </c>
      <c r="I1558" s="28">
        <v>0.5727923627684964</v>
      </c>
      <c r="J1558" s="28">
        <v>5.0</v>
      </c>
      <c r="K1558" s="28" t="s">
        <v>57</v>
      </c>
      <c r="L1558" s="28" t="s">
        <v>696</v>
      </c>
    </row>
    <row r="1559" ht="15.75" customHeight="1">
      <c r="A1559" s="28" t="s">
        <v>131</v>
      </c>
      <c r="B1559" s="28" t="s">
        <v>2111</v>
      </c>
      <c r="D1559" s="28" t="s">
        <v>287</v>
      </c>
      <c r="E1559" s="28" t="s">
        <v>2058</v>
      </c>
      <c r="F1559" s="28" t="s">
        <v>1639</v>
      </c>
      <c r="G1559" s="28" t="s">
        <v>392</v>
      </c>
      <c r="H1559" s="28">
        <v>1.0</v>
      </c>
      <c r="I1559" s="28">
        <v>0.6157517899761337</v>
      </c>
      <c r="J1559" s="28">
        <v>4.0</v>
      </c>
      <c r="K1559" s="28" t="s">
        <v>57</v>
      </c>
      <c r="L1559" s="28" t="s">
        <v>57</v>
      </c>
    </row>
    <row r="1560" ht="15.75" customHeight="1">
      <c r="A1560" s="28" t="s">
        <v>131</v>
      </c>
      <c r="B1560" s="28" t="s">
        <v>2111</v>
      </c>
      <c r="D1560" s="28" t="s">
        <v>287</v>
      </c>
      <c r="E1560" s="28" t="s">
        <v>2059</v>
      </c>
      <c r="F1560" s="28" t="s">
        <v>902</v>
      </c>
      <c r="G1560" s="28" t="s">
        <v>310</v>
      </c>
      <c r="H1560" s="28">
        <v>1.0</v>
      </c>
      <c r="I1560" s="28">
        <v>0.7016706443914081</v>
      </c>
      <c r="J1560" s="28">
        <v>0.0</v>
      </c>
      <c r="K1560" s="28" t="s">
        <v>57</v>
      </c>
      <c r="L1560" s="28" t="s">
        <v>57</v>
      </c>
    </row>
    <row r="1561" ht="15.75" customHeight="1">
      <c r="A1561" s="28" t="s">
        <v>131</v>
      </c>
      <c r="B1561" s="28" t="s">
        <v>2111</v>
      </c>
      <c r="D1561" s="28" t="s">
        <v>310</v>
      </c>
      <c r="E1561" s="28" t="s">
        <v>2060</v>
      </c>
      <c r="F1561" s="28" t="s">
        <v>260</v>
      </c>
      <c r="G1561" s="28" t="s">
        <v>392</v>
      </c>
      <c r="H1561" s="28">
        <v>1.0</v>
      </c>
      <c r="I1561" s="28">
        <v>0.23780487804878048</v>
      </c>
      <c r="J1561" s="28">
        <v>3.0</v>
      </c>
      <c r="K1561" s="28" t="s">
        <v>57</v>
      </c>
      <c r="L1561" s="28" t="s">
        <v>57</v>
      </c>
    </row>
    <row r="1562" ht="15.75" customHeight="1">
      <c r="A1562" s="28" t="s">
        <v>131</v>
      </c>
      <c r="B1562" s="28" t="s">
        <v>2111</v>
      </c>
      <c r="D1562" s="28" t="s">
        <v>310</v>
      </c>
      <c r="E1562" s="28" t="s">
        <v>2061</v>
      </c>
      <c r="F1562" s="28" t="s">
        <v>687</v>
      </c>
      <c r="G1562" s="28" t="s">
        <v>295</v>
      </c>
      <c r="H1562" s="28">
        <v>1.0</v>
      </c>
      <c r="I1562" s="28">
        <v>0.36683417085427134</v>
      </c>
      <c r="J1562" s="28">
        <v>0.0</v>
      </c>
      <c r="K1562" s="28" t="s">
        <v>57</v>
      </c>
      <c r="L1562" s="28" t="s">
        <v>57</v>
      </c>
    </row>
    <row r="1563" ht="15.75" customHeight="1">
      <c r="A1563" s="28" t="s">
        <v>131</v>
      </c>
      <c r="B1563" s="28" t="s">
        <v>2111</v>
      </c>
      <c r="D1563" s="28" t="s">
        <v>310</v>
      </c>
      <c r="E1563" s="28" t="s">
        <v>2062</v>
      </c>
      <c r="F1563" s="28" t="s">
        <v>687</v>
      </c>
      <c r="G1563" s="28" t="s">
        <v>364</v>
      </c>
      <c r="H1563" s="28">
        <v>1.0</v>
      </c>
      <c r="I1563" s="28">
        <v>0.38</v>
      </c>
      <c r="J1563" s="28">
        <v>1.0</v>
      </c>
      <c r="K1563" s="28" t="s">
        <v>57</v>
      </c>
      <c r="L1563" s="28" t="s">
        <v>57</v>
      </c>
    </row>
    <row r="1564" ht="15.75" customHeight="1">
      <c r="A1564" s="28" t="s">
        <v>131</v>
      </c>
      <c r="B1564" s="28" t="s">
        <v>2111</v>
      </c>
      <c r="D1564" s="28" t="s">
        <v>310</v>
      </c>
      <c r="E1564" s="28" t="s">
        <v>2063</v>
      </c>
      <c r="F1564" s="28" t="s">
        <v>1375</v>
      </c>
      <c r="G1564" s="28" t="s">
        <v>370</v>
      </c>
      <c r="H1564" s="28">
        <v>1.0</v>
      </c>
      <c r="I1564" s="28">
        <v>0.5285171102661597</v>
      </c>
      <c r="J1564" s="28">
        <v>2.0</v>
      </c>
      <c r="K1564" s="28" t="s">
        <v>57</v>
      </c>
      <c r="L1564" s="28" t="s">
        <v>57</v>
      </c>
    </row>
    <row r="1565" ht="15.75" customHeight="1">
      <c r="A1565" s="28" t="s">
        <v>131</v>
      </c>
      <c r="B1565" s="28" t="s">
        <v>2111</v>
      </c>
      <c r="D1565" s="28" t="s">
        <v>310</v>
      </c>
      <c r="E1565" s="28" t="s">
        <v>2064</v>
      </c>
      <c r="F1565" s="28" t="s">
        <v>396</v>
      </c>
      <c r="G1565" s="28" t="s">
        <v>398</v>
      </c>
      <c r="H1565" s="28">
        <v>1.0</v>
      </c>
      <c r="I1565" s="28">
        <v>0.5842293906810035</v>
      </c>
      <c r="J1565" s="28">
        <v>4.0</v>
      </c>
      <c r="K1565" s="28" t="s">
        <v>57</v>
      </c>
      <c r="L1565" s="28" t="s">
        <v>696</v>
      </c>
    </row>
    <row r="1566" ht="15.75" customHeight="1">
      <c r="A1566" s="28" t="s">
        <v>131</v>
      </c>
      <c r="B1566" s="28" t="s">
        <v>2111</v>
      </c>
      <c r="D1566" s="28" t="s">
        <v>295</v>
      </c>
      <c r="E1566" s="28" t="s">
        <v>2065</v>
      </c>
      <c r="F1566" s="28" t="s">
        <v>362</v>
      </c>
      <c r="G1566" s="28" t="s">
        <v>364</v>
      </c>
      <c r="H1566" s="28">
        <v>1.0</v>
      </c>
      <c r="I1566" s="28">
        <v>0.03</v>
      </c>
      <c r="J1566" s="28">
        <v>0.0</v>
      </c>
      <c r="K1566" s="28" t="s">
        <v>57</v>
      </c>
      <c r="L1566" s="28" t="s">
        <v>57</v>
      </c>
    </row>
    <row r="1567" ht="15.75" customHeight="1">
      <c r="A1567" s="28" t="s">
        <v>131</v>
      </c>
      <c r="B1567" s="28" t="s">
        <v>2111</v>
      </c>
      <c r="D1567" s="28" t="s">
        <v>295</v>
      </c>
      <c r="E1567" s="28" t="s">
        <v>2066</v>
      </c>
      <c r="F1567" s="28" t="s">
        <v>1648</v>
      </c>
      <c r="G1567" s="28" t="s">
        <v>392</v>
      </c>
      <c r="H1567" s="28">
        <v>1.0</v>
      </c>
      <c r="I1567" s="28">
        <v>0.19095477386934673</v>
      </c>
      <c r="J1567" s="28">
        <v>2.0</v>
      </c>
      <c r="K1567" s="28" t="s">
        <v>57</v>
      </c>
      <c r="L1567" s="28" t="s">
        <v>57</v>
      </c>
    </row>
    <row r="1568" ht="15.75" customHeight="1">
      <c r="A1568" s="28" t="s">
        <v>131</v>
      </c>
      <c r="B1568" s="28" t="s">
        <v>2111</v>
      </c>
      <c r="D1568" s="28" t="s">
        <v>295</v>
      </c>
      <c r="E1568" s="28" t="s">
        <v>2067</v>
      </c>
      <c r="F1568" s="28" t="s">
        <v>1650</v>
      </c>
      <c r="G1568" s="28" t="s">
        <v>370</v>
      </c>
      <c r="H1568" s="28">
        <v>1.0</v>
      </c>
      <c r="I1568" s="28">
        <v>0.25475285171102663</v>
      </c>
      <c r="J1568" s="28">
        <v>1.0</v>
      </c>
      <c r="K1568" s="28" t="s">
        <v>57</v>
      </c>
      <c r="L1568" s="28" t="s">
        <v>57</v>
      </c>
    </row>
    <row r="1569" ht="15.75" customHeight="1">
      <c r="A1569" s="28" t="s">
        <v>131</v>
      </c>
      <c r="B1569" s="28" t="s">
        <v>2111</v>
      </c>
      <c r="D1569" s="28" t="s">
        <v>295</v>
      </c>
      <c r="E1569" s="28" t="s">
        <v>2068</v>
      </c>
      <c r="F1569" s="28" t="s">
        <v>1652</v>
      </c>
      <c r="G1569" s="28" t="s">
        <v>398</v>
      </c>
      <c r="H1569" s="28">
        <v>1.0</v>
      </c>
      <c r="I1569" s="28">
        <v>0.44802867383512546</v>
      </c>
      <c r="J1569" s="28">
        <v>3.0</v>
      </c>
      <c r="K1569" s="28" t="s">
        <v>57</v>
      </c>
      <c r="L1569" s="28" t="s">
        <v>696</v>
      </c>
    </row>
    <row r="1570" ht="15.75" customHeight="1">
      <c r="A1570" s="28" t="s">
        <v>131</v>
      </c>
      <c r="B1570" s="28" t="s">
        <v>2111</v>
      </c>
      <c r="D1570" s="28" t="s">
        <v>364</v>
      </c>
      <c r="E1570" s="28" t="s">
        <v>2069</v>
      </c>
      <c r="F1570" s="28" t="s">
        <v>1648</v>
      </c>
      <c r="G1570" s="28" t="s">
        <v>392</v>
      </c>
      <c r="H1570" s="28">
        <v>1.0</v>
      </c>
      <c r="I1570" s="28">
        <v>0.195</v>
      </c>
      <c r="J1570" s="28">
        <v>1.0</v>
      </c>
      <c r="K1570" s="28" t="s">
        <v>57</v>
      </c>
      <c r="L1570" s="28" t="s">
        <v>57</v>
      </c>
    </row>
    <row r="1571" ht="15.75" customHeight="1">
      <c r="A1571" s="28" t="s">
        <v>131</v>
      </c>
      <c r="B1571" s="28" t="s">
        <v>2111</v>
      </c>
      <c r="D1571" s="28" t="s">
        <v>364</v>
      </c>
      <c r="E1571" s="28" t="s">
        <v>2070</v>
      </c>
      <c r="F1571" s="28" t="s">
        <v>1650</v>
      </c>
      <c r="G1571" s="28" t="s">
        <v>370</v>
      </c>
      <c r="H1571" s="28">
        <v>1.0</v>
      </c>
      <c r="I1571" s="28">
        <v>0.2509505703422053</v>
      </c>
      <c r="J1571" s="28">
        <v>0.0</v>
      </c>
      <c r="K1571" s="28" t="s">
        <v>57</v>
      </c>
      <c r="L1571" s="28" t="s">
        <v>57</v>
      </c>
    </row>
    <row r="1572" ht="15.75" customHeight="1">
      <c r="A1572" s="28" t="s">
        <v>131</v>
      </c>
      <c r="B1572" s="28" t="s">
        <v>2111</v>
      </c>
      <c r="D1572" s="28" t="s">
        <v>364</v>
      </c>
      <c r="E1572" s="28" t="s">
        <v>2071</v>
      </c>
      <c r="F1572" s="28" t="s">
        <v>1652</v>
      </c>
      <c r="G1572" s="28" t="s">
        <v>398</v>
      </c>
      <c r="H1572" s="28">
        <v>1.0</v>
      </c>
      <c r="I1572" s="28">
        <v>0.4336917562724014</v>
      </c>
      <c r="J1572" s="28">
        <v>2.0</v>
      </c>
      <c r="K1572" s="28" t="s">
        <v>57</v>
      </c>
      <c r="L1572" s="28" t="s">
        <v>696</v>
      </c>
    </row>
    <row r="1573" ht="15.75" customHeight="1">
      <c r="A1573" s="28" t="s">
        <v>131</v>
      </c>
      <c r="B1573" s="28" t="s">
        <v>2111</v>
      </c>
      <c r="D1573" s="28" t="s">
        <v>370</v>
      </c>
      <c r="E1573" s="28" t="s">
        <v>2072</v>
      </c>
      <c r="F1573" s="28" t="s">
        <v>1657</v>
      </c>
      <c r="G1573" s="28" t="s">
        <v>392</v>
      </c>
      <c r="H1573" s="28">
        <v>1.0</v>
      </c>
      <c r="I1573" s="28">
        <v>0.3916349809885932</v>
      </c>
      <c r="J1573" s="28">
        <v>0.0</v>
      </c>
      <c r="K1573" s="28" t="s">
        <v>57</v>
      </c>
      <c r="L1573" s="28" t="s">
        <v>57</v>
      </c>
    </row>
    <row r="1574" ht="15.75" customHeight="1">
      <c r="A1574" s="28" t="s">
        <v>131</v>
      </c>
      <c r="B1574" s="28" t="s">
        <v>2111</v>
      </c>
      <c r="D1574" s="28" t="s">
        <v>370</v>
      </c>
      <c r="E1574" s="28" t="s">
        <v>2073</v>
      </c>
      <c r="F1574" s="28" t="s">
        <v>1659</v>
      </c>
      <c r="G1574" s="28" t="s">
        <v>398</v>
      </c>
      <c r="H1574" s="28">
        <v>1.0</v>
      </c>
      <c r="I1574" s="28">
        <v>0.46236559139784944</v>
      </c>
      <c r="J1574" s="28">
        <v>1.0</v>
      </c>
      <c r="K1574" s="28" t="s">
        <v>57</v>
      </c>
      <c r="L1574" s="28" t="s">
        <v>696</v>
      </c>
    </row>
    <row r="1575" ht="15.75" customHeight="1">
      <c r="A1575" s="28" t="s">
        <v>131</v>
      </c>
      <c r="B1575" s="28" t="s">
        <v>2111</v>
      </c>
      <c r="D1575" s="28" t="s">
        <v>392</v>
      </c>
      <c r="E1575" s="28" t="s">
        <v>2074</v>
      </c>
      <c r="F1575" s="28" t="s">
        <v>987</v>
      </c>
      <c r="G1575" s="28" t="s">
        <v>398</v>
      </c>
      <c r="H1575" s="28">
        <v>1.0</v>
      </c>
      <c r="I1575" s="28">
        <v>0.4731182795698925</v>
      </c>
      <c r="J1575" s="28">
        <v>0.0</v>
      </c>
      <c r="K1575" s="28" t="s">
        <v>57</v>
      </c>
      <c r="L1575" s="28" t="s">
        <v>696</v>
      </c>
    </row>
    <row r="1576" ht="15.75" customHeight="1">
      <c r="A1576" s="28" t="s">
        <v>1002</v>
      </c>
      <c r="B1576" s="28" t="s">
        <v>2111</v>
      </c>
      <c r="D1576" s="28" t="s">
        <v>617</v>
      </c>
      <c r="E1576" s="28" t="s">
        <v>2112</v>
      </c>
      <c r="F1576" s="28" t="s">
        <v>1004</v>
      </c>
      <c r="G1576" s="28" t="s">
        <v>620</v>
      </c>
      <c r="H1576" s="28">
        <v>0.8888888888888888</v>
      </c>
      <c r="I1576" s="28">
        <v>0.520066889632107</v>
      </c>
      <c r="J1576" s="28">
        <v>0.0</v>
      </c>
      <c r="K1576" s="28" t="s">
        <v>57</v>
      </c>
      <c r="L1576" s="28" t="s">
        <v>1005</v>
      </c>
    </row>
    <row r="1577" ht="15.75" customHeight="1">
      <c r="A1577" s="28" t="s">
        <v>1002</v>
      </c>
      <c r="B1577" s="28" t="s">
        <v>2111</v>
      </c>
      <c r="D1577" s="28" t="s">
        <v>1006</v>
      </c>
      <c r="E1577" s="28" t="s">
        <v>2113</v>
      </c>
      <c r="F1577" s="28" t="s">
        <v>1008</v>
      </c>
      <c r="G1577" s="28" t="s">
        <v>1009</v>
      </c>
      <c r="H1577" s="28">
        <v>1.0</v>
      </c>
      <c r="I1577" s="28">
        <v>0.5632754342431762</v>
      </c>
      <c r="J1577" s="28">
        <v>0.0</v>
      </c>
      <c r="K1577" s="28" t="s">
        <v>57</v>
      </c>
      <c r="L1577" s="28" t="s">
        <v>1010</v>
      </c>
    </row>
    <row r="1578" ht="15.75" customHeight="1">
      <c r="A1578" s="28" t="s">
        <v>402</v>
      </c>
      <c r="B1578" s="28" t="s">
        <v>2111</v>
      </c>
      <c r="D1578" s="28" t="s">
        <v>938</v>
      </c>
      <c r="E1578" s="28" t="s">
        <v>2089</v>
      </c>
      <c r="F1578" s="28" t="s">
        <v>2090</v>
      </c>
      <c r="G1578" s="28" t="s">
        <v>941</v>
      </c>
      <c r="H1578" s="28">
        <v>1.0</v>
      </c>
      <c r="I1578" s="28">
        <v>0.05514705882352941</v>
      </c>
      <c r="J1578" s="28">
        <v>2.0</v>
      </c>
      <c r="K1578" s="28" t="s">
        <v>57</v>
      </c>
      <c r="L1578" s="28" t="s">
        <v>57</v>
      </c>
    </row>
    <row r="1579" ht="15.75" customHeight="1">
      <c r="A1579" s="28" t="s">
        <v>402</v>
      </c>
      <c r="B1579" s="28" t="s">
        <v>2111</v>
      </c>
      <c r="D1579" s="28" t="s">
        <v>938</v>
      </c>
      <c r="E1579" s="28" t="s">
        <v>2091</v>
      </c>
      <c r="F1579" s="28" t="s">
        <v>2090</v>
      </c>
      <c r="G1579" s="28" t="s">
        <v>943</v>
      </c>
      <c r="H1579" s="28">
        <v>1.0</v>
      </c>
      <c r="I1579" s="28">
        <v>0.05776173285198556</v>
      </c>
      <c r="J1579" s="28">
        <v>1.0</v>
      </c>
      <c r="K1579" s="28" t="s">
        <v>57</v>
      </c>
      <c r="L1579" s="28" t="s">
        <v>57</v>
      </c>
    </row>
    <row r="1580" ht="15.75" customHeight="1">
      <c r="A1580" s="28" t="s">
        <v>402</v>
      </c>
      <c r="B1580" s="28" t="s">
        <v>2111</v>
      </c>
      <c r="D1580" s="28" t="s">
        <v>938</v>
      </c>
      <c r="E1580" s="28" t="s">
        <v>2092</v>
      </c>
      <c r="F1580" s="28" t="s">
        <v>2090</v>
      </c>
      <c r="G1580" s="28" t="s">
        <v>945</v>
      </c>
      <c r="H1580" s="28">
        <v>1.0</v>
      </c>
      <c r="I1580" s="28">
        <v>0.058823529411764705</v>
      </c>
      <c r="J1580" s="28">
        <v>0.0</v>
      </c>
      <c r="K1580" s="28" t="s">
        <v>57</v>
      </c>
      <c r="L1580" s="28" t="s">
        <v>57</v>
      </c>
    </row>
    <row r="1581" ht="15.75" customHeight="1">
      <c r="A1581" s="28" t="s">
        <v>402</v>
      </c>
      <c r="B1581" s="28" t="s">
        <v>2111</v>
      </c>
      <c r="D1581" s="28" t="s">
        <v>945</v>
      </c>
      <c r="E1581" s="28" t="s">
        <v>2093</v>
      </c>
      <c r="F1581" s="28" t="s">
        <v>2090</v>
      </c>
      <c r="G1581" s="28" t="s">
        <v>941</v>
      </c>
      <c r="H1581" s="28">
        <v>1.0</v>
      </c>
      <c r="I1581" s="28">
        <v>0.051470588235294115</v>
      </c>
      <c r="J1581" s="28">
        <v>1.0</v>
      </c>
      <c r="K1581" s="28" t="s">
        <v>57</v>
      </c>
      <c r="L1581" s="28" t="s">
        <v>57</v>
      </c>
    </row>
    <row r="1582" ht="15.75" customHeight="1">
      <c r="A1582" s="28" t="s">
        <v>402</v>
      </c>
      <c r="B1582" s="28" t="s">
        <v>2111</v>
      </c>
      <c r="D1582" s="28" t="s">
        <v>945</v>
      </c>
      <c r="E1582" s="28" t="s">
        <v>2094</v>
      </c>
      <c r="F1582" s="28" t="s">
        <v>2090</v>
      </c>
      <c r="G1582" s="28" t="s">
        <v>943</v>
      </c>
      <c r="H1582" s="28">
        <v>1.0</v>
      </c>
      <c r="I1582" s="28">
        <v>0.061371841155234655</v>
      </c>
      <c r="J1582" s="28">
        <v>0.0</v>
      </c>
      <c r="K1582" s="28" t="s">
        <v>57</v>
      </c>
      <c r="L1582" s="28" t="s">
        <v>57</v>
      </c>
    </row>
    <row r="1583" ht="15.75" customHeight="1">
      <c r="A1583" s="28" t="s">
        <v>402</v>
      </c>
      <c r="B1583" s="28" t="s">
        <v>2111</v>
      </c>
      <c r="D1583" s="28" t="s">
        <v>943</v>
      </c>
      <c r="E1583" s="28" t="s">
        <v>2095</v>
      </c>
      <c r="F1583" s="28" t="s">
        <v>2090</v>
      </c>
      <c r="G1583" s="28" t="s">
        <v>941</v>
      </c>
      <c r="H1583" s="28">
        <v>1.0</v>
      </c>
      <c r="I1583" s="28">
        <v>0.06498194945848375</v>
      </c>
      <c r="J1583" s="28">
        <v>0.0</v>
      </c>
      <c r="K1583" s="28" t="s">
        <v>57</v>
      </c>
      <c r="L1583" s="28" t="s">
        <v>57</v>
      </c>
    </row>
    <row r="1584" ht="15.75" customHeight="1">
      <c r="A1584" s="28" t="s">
        <v>402</v>
      </c>
      <c r="B1584" s="28" t="s">
        <v>2111</v>
      </c>
      <c r="D1584" s="28" t="s">
        <v>950</v>
      </c>
      <c r="E1584" s="28" t="s">
        <v>2096</v>
      </c>
      <c r="F1584" s="28" t="s">
        <v>952</v>
      </c>
      <c r="G1584" s="28" t="s">
        <v>953</v>
      </c>
      <c r="H1584" s="28">
        <v>1.0</v>
      </c>
      <c r="I1584" s="28">
        <v>0.03067484662576687</v>
      </c>
      <c r="J1584" s="28">
        <v>2.0</v>
      </c>
      <c r="K1584" s="28" t="s">
        <v>57</v>
      </c>
      <c r="L1584" s="28" t="s">
        <v>57</v>
      </c>
    </row>
    <row r="1585" ht="15.75" customHeight="1">
      <c r="A1585" s="28" t="s">
        <v>402</v>
      </c>
      <c r="B1585" s="28" t="s">
        <v>2111</v>
      </c>
      <c r="D1585" s="28" t="s">
        <v>955</v>
      </c>
      <c r="E1585" s="28" t="s">
        <v>2097</v>
      </c>
      <c r="F1585" s="28" t="s">
        <v>957</v>
      </c>
      <c r="G1585" s="28" t="s">
        <v>958</v>
      </c>
      <c r="H1585" s="28">
        <v>1.0</v>
      </c>
      <c r="I1585" s="28">
        <v>0.032</v>
      </c>
      <c r="J1585" s="28">
        <v>2.0</v>
      </c>
      <c r="K1585" s="28" t="s">
        <v>57</v>
      </c>
      <c r="L1585" s="28" t="s">
        <v>57</v>
      </c>
    </row>
    <row r="1586" ht="15.75" customHeight="1">
      <c r="A1586" s="28" t="s">
        <v>402</v>
      </c>
      <c r="B1586" s="28" t="s">
        <v>2111</v>
      </c>
      <c r="D1586" s="28" t="s">
        <v>955</v>
      </c>
      <c r="E1586" s="28" t="s">
        <v>2098</v>
      </c>
      <c r="F1586" s="28" t="s">
        <v>960</v>
      </c>
      <c r="G1586" s="28" t="s">
        <v>961</v>
      </c>
      <c r="H1586" s="28">
        <v>1.0</v>
      </c>
      <c r="I1586" s="28">
        <v>0.2708333333333333</v>
      </c>
      <c r="J1586" s="28">
        <v>3.0</v>
      </c>
      <c r="K1586" s="28" t="s">
        <v>57</v>
      </c>
      <c r="L1586" s="28" t="s">
        <v>962</v>
      </c>
    </row>
    <row r="1587" ht="15.75" customHeight="1">
      <c r="A1587" s="28" t="s">
        <v>402</v>
      </c>
      <c r="B1587" s="28" t="s">
        <v>2111</v>
      </c>
      <c r="D1587" s="28" t="s">
        <v>955</v>
      </c>
      <c r="E1587" s="28" t="s">
        <v>2099</v>
      </c>
      <c r="F1587" s="28" t="s">
        <v>960</v>
      </c>
      <c r="G1587" s="28" t="s">
        <v>964</v>
      </c>
      <c r="H1587" s="28">
        <v>1.0</v>
      </c>
      <c r="I1587" s="28">
        <v>0.27761194029850744</v>
      </c>
      <c r="J1587" s="28">
        <v>0.0</v>
      </c>
      <c r="K1587" s="28" t="s">
        <v>57</v>
      </c>
      <c r="L1587" s="28" t="s">
        <v>962</v>
      </c>
    </row>
    <row r="1588" ht="15.75" customHeight="1">
      <c r="A1588" s="28" t="s">
        <v>402</v>
      </c>
      <c r="B1588" s="28" t="s">
        <v>2111</v>
      </c>
      <c r="D1588" s="28" t="s">
        <v>964</v>
      </c>
      <c r="E1588" s="28" t="s">
        <v>2100</v>
      </c>
      <c r="F1588" s="28" t="s">
        <v>966</v>
      </c>
      <c r="G1588" s="28" t="s">
        <v>961</v>
      </c>
      <c r="H1588" s="28">
        <v>1.0</v>
      </c>
      <c r="I1588" s="28">
        <v>0.026785714285714284</v>
      </c>
      <c r="J1588" s="28">
        <v>2.0</v>
      </c>
      <c r="K1588" s="28" t="s">
        <v>57</v>
      </c>
      <c r="L1588" s="28" t="s">
        <v>57</v>
      </c>
    </row>
    <row r="1589" ht="15.75" customHeight="1">
      <c r="A1589" s="28" t="s">
        <v>402</v>
      </c>
      <c r="B1589" s="28" t="s">
        <v>2111</v>
      </c>
      <c r="D1589" s="28" t="s">
        <v>964</v>
      </c>
      <c r="E1589" s="28" t="s">
        <v>2101</v>
      </c>
      <c r="F1589" s="28" t="s">
        <v>968</v>
      </c>
      <c r="G1589" s="28" t="s">
        <v>958</v>
      </c>
      <c r="H1589" s="28">
        <v>1.0</v>
      </c>
      <c r="I1589" s="28">
        <v>0.2626865671641791</v>
      </c>
      <c r="J1589" s="28">
        <v>1.0</v>
      </c>
      <c r="K1589" s="28" t="s">
        <v>57</v>
      </c>
      <c r="L1589" s="28" t="s">
        <v>962</v>
      </c>
    </row>
    <row r="1590" ht="15.75" customHeight="1">
      <c r="A1590" s="28" t="s">
        <v>402</v>
      </c>
      <c r="B1590" s="28" t="s">
        <v>2111</v>
      </c>
      <c r="D1590" s="28" t="s">
        <v>958</v>
      </c>
      <c r="E1590" s="28" t="s">
        <v>2102</v>
      </c>
      <c r="F1590" s="28" t="s">
        <v>960</v>
      </c>
      <c r="G1590" s="28" t="s">
        <v>961</v>
      </c>
      <c r="H1590" s="28">
        <v>1.0</v>
      </c>
      <c r="I1590" s="28">
        <v>0.27380952380952384</v>
      </c>
      <c r="J1590" s="28">
        <v>0.0</v>
      </c>
      <c r="K1590" s="28" t="s">
        <v>57</v>
      </c>
      <c r="L1590" s="28" t="s">
        <v>962</v>
      </c>
    </row>
    <row r="1591" ht="15.75" customHeight="1">
      <c r="A1591" s="28" t="s">
        <v>402</v>
      </c>
      <c r="B1591" s="28" t="s">
        <v>2111</v>
      </c>
      <c r="D1591" s="28" t="s">
        <v>970</v>
      </c>
      <c r="E1591" s="28" t="s">
        <v>2103</v>
      </c>
      <c r="F1591" s="28" t="s">
        <v>972</v>
      </c>
      <c r="G1591" s="28" t="s">
        <v>973</v>
      </c>
      <c r="H1591" s="28">
        <v>1.0</v>
      </c>
      <c r="I1591" s="28">
        <v>0.3581267217630854</v>
      </c>
      <c r="J1591" s="28">
        <v>0.0</v>
      </c>
      <c r="K1591" s="28" t="s">
        <v>57</v>
      </c>
      <c r="L1591" s="28" t="s">
        <v>962</v>
      </c>
    </row>
    <row r="1592" ht="15.75" customHeight="1">
      <c r="A1592" s="28" t="s">
        <v>402</v>
      </c>
      <c r="B1592" s="28" t="s">
        <v>2111</v>
      </c>
      <c r="D1592" s="28" t="s">
        <v>970</v>
      </c>
      <c r="E1592" s="28" t="s">
        <v>2104</v>
      </c>
      <c r="F1592" s="28" t="s">
        <v>975</v>
      </c>
      <c r="G1592" s="28" t="s">
        <v>976</v>
      </c>
      <c r="H1592" s="28">
        <v>1.0</v>
      </c>
      <c r="I1592" s="28">
        <v>0.42355889724310775</v>
      </c>
      <c r="J1592" s="28">
        <v>1.0</v>
      </c>
      <c r="K1592" s="28" t="s">
        <v>57</v>
      </c>
      <c r="L1592" s="28" t="s">
        <v>962</v>
      </c>
    </row>
    <row r="1593" ht="15.75" customHeight="1">
      <c r="A1593" s="28" t="s">
        <v>402</v>
      </c>
      <c r="B1593" s="28" t="s">
        <v>2111</v>
      </c>
      <c r="D1593" s="28" t="s">
        <v>970</v>
      </c>
      <c r="E1593" s="28" t="s">
        <v>2105</v>
      </c>
      <c r="F1593" s="28" t="s">
        <v>978</v>
      </c>
      <c r="G1593" s="28" t="s">
        <v>979</v>
      </c>
      <c r="H1593" s="28">
        <v>1.0</v>
      </c>
      <c r="I1593" s="28">
        <v>0.5145833333333333</v>
      </c>
      <c r="J1593" s="28">
        <v>2.0</v>
      </c>
      <c r="K1593" s="28" t="s">
        <v>57</v>
      </c>
      <c r="L1593" s="28" t="s">
        <v>962</v>
      </c>
    </row>
    <row r="1594" ht="15.75" customHeight="1">
      <c r="A1594" s="28" t="s">
        <v>402</v>
      </c>
      <c r="B1594" s="28" t="s">
        <v>2111</v>
      </c>
      <c r="D1594" s="28" t="s">
        <v>973</v>
      </c>
      <c r="E1594" s="28" t="s">
        <v>2106</v>
      </c>
      <c r="F1594" s="28" t="s">
        <v>981</v>
      </c>
      <c r="G1594" s="28" t="s">
        <v>976</v>
      </c>
      <c r="H1594" s="28">
        <v>1.0</v>
      </c>
      <c r="I1594" s="28">
        <v>0.2781954887218045</v>
      </c>
      <c r="J1594" s="28">
        <v>0.0</v>
      </c>
      <c r="K1594" s="28" t="s">
        <v>57</v>
      </c>
      <c r="L1594" s="28" t="s">
        <v>57</v>
      </c>
    </row>
    <row r="1595" ht="15.75" customHeight="1">
      <c r="A1595" s="28" t="s">
        <v>402</v>
      </c>
      <c r="B1595" s="28" t="s">
        <v>2111</v>
      </c>
      <c r="D1595" s="28" t="s">
        <v>973</v>
      </c>
      <c r="E1595" s="28" t="s">
        <v>2107</v>
      </c>
      <c r="F1595" s="28" t="s">
        <v>983</v>
      </c>
      <c r="G1595" s="28" t="s">
        <v>979</v>
      </c>
      <c r="H1595" s="28">
        <v>1.0</v>
      </c>
      <c r="I1595" s="28">
        <v>0.35208333333333336</v>
      </c>
      <c r="J1595" s="28">
        <v>1.0</v>
      </c>
      <c r="K1595" s="28" t="s">
        <v>57</v>
      </c>
      <c r="L1595" s="28" t="s">
        <v>57</v>
      </c>
    </row>
    <row r="1596" ht="15.75" customHeight="1">
      <c r="A1596" s="28" t="s">
        <v>402</v>
      </c>
      <c r="B1596" s="28" t="s">
        <v>2111</v>
      </c>
      <c r="D1596" s="28" t="s">
        <v>976</v>
      </c>
      <c r="E1596" s="28" t="s">
        <v>2108</v>
      </c>
      <c r="F1596" s="28" t="s">
        <v>985</v>
      </c>
      <c r="G1596" s="28" t="s">
        <v>979</v>
      </c>
      <c r="H1596" s="28">
        <v>1.0</v>
      </c>
      <c r="I1596" s="28">
        <v>0.18125</v>
      </c>
      <c r="J1596" s="28">
        <v>0.0</v>
      </c>
      <c r="K1596" s="28" t="s">
        <v>57</v>
      </c>
      <c r="L1596" s="28" t="s">
        <v>57</v>
      </c>
    </row>
    <row r="1597" ht="15.75" customHeight="1">
      <c r="A1597" s="28" t="s">
        <v>402</v>
      </c>
      <c r="B1597" s="28" t="s">
        <v>2111</v>
      </c>
      <c r="D1597" s="28" t="s">
        <v>405</v>
      </c>
      <c r="E1597" s="28" t="s">
        <v>2109</v>
      </c>
      <c r="F1597" s="28" t="s">
        <v>409</v>
      </c>
      <c r="G1597" s="28" t="s">
        <v>411</v>
      </c>
      <c r="H1597" s="28">
        <v>0.5</v>
      </c>
      <c r="I1597" s="28">
        <v>0.07246376811594203</v>
      </c>
      <c r="J1597" s="28">
        <v>1.0</v>
      </c>
      <c r="K1597" s="28" t="s">
        <v>57</v>
      </c>
      <c r="L1597" s="28" t="s">
        <v>2110</v>
      </c>
    </row>
    <row r="1598" ht="15.75" customHeight="1">
      <c r="A1598" s="28" t="s">
        <v>45</v>
      </c>
      <c r="B1598" s="28" t="s">
        <v>2111</v>
      </c>
      <c r="D1598" s="28" t="s">
        <v>176</v>
      </c>
      <c r="E1598" s="28" t="s">
        <v>1181</v>
      </c>
      <c r="F1598" s="28" t="s">
        <v>1182</v>
      </c>
      <c r="G1598" s="28" t="s">
        <v>1183</v>
      </c>
      <c r="H1598" s="28">
        <v>1.0</v>
      </c>
      <c r="I1598" s="28">
        <v>0.14473684210526316</v>
      </c>
      <c r="J1598" s="28">
        <v>19.0</v>
      </c>
      <c r="K1598" s="28" t="s">
        <v>57</v>
      </c>
      <c r="L1598" s="28" t="s">
        <v>57</v>
      </c>
    </row>
    <row r="1599" ht="15.75" customHeight="1">
      <c r="A1599" s="28" t="s">
        <v>45</v>
      </c>
      <c r="B1599" s="28" t="s">
        <v>2111</v>
      </c>
      <c r="D1599" s="28" t="s">
        <v>176</v>
      </c>
      <c r="E1599" s="28" t="s">
        <v>1184</v>
      </c>
      <c r="F1599" s="28" t="s">
        <v>1182</v>
      </c>
      <c r="G1599" s="28" t="s">
        <v>1185</v>
      </c>
      <c r="H1599" s="28">
        <v>1.0</v>
      </c>
      <c r="I1599" s="28">
        <v>0.175</v>
      </c>
      <c r="J1599" s="28">
        <v>3.0</v>
      </c>
      <c r="K1599" s="28" t="s">
        <v>57</v>
      </c>
      <c r="L1599" s="28" t="s">
        <v>57</v>
      </c>
    </row>
    <row r="1600" ht="15.75" customHeight="1">
      <c r="A1600" s="28" t="s">
        <v>45</v>
      </c>
      <c r="B1600" s="28" t="s">
        <v>2111</v>
      </c>
      <c r="D1600" s="28" t="s">
        <v>176</v>
      </c>
      <c r="E1600" s="28" t="s">
        <v>1186</v>
      </c>
      <c r="F1600" s="28" t="s">
        <v>1187</v>
      </c>
      <c r="G1600" s="28" t="s">
        <v>205</v>
      </c>
      <c r="H1600" s="28">
        <v>1.0</v>
      </c>
      <c r="I1600" s="28">
        <v>0.4298245614035088</v>
      </c>
      <c r="J1600" s="28">
        <v>5.0</v>
      </c>
      <c r="K1600" s="28" t="s">
        <v>57</v>
      </c>
      <c r="L1600" s="28" t="s">
        <v>1188</v>
      </c>
    </row>
    <row r="1601" ht="15.75" customHeight="1">
      <c r="A1601" s="28" t="s">
        <v>45</v>
      </c>
      <c r="B1601" s="28" t="s">
        <v>2111</v>
      </c>
      <c r="D1601" s="28" t="s">
        <v>176</v>
      </c>
      <c r="E1601" s="28" t="s">
        <v>1189</v>
      </c>
      <c r="F1601" s="28" t="s">
        <v>1187</v>
      </c>
      <c r="G1601" s="28" t="s">
        <v>117</v>
      </c>
      <c r="H1601" s="28">
        <v>1.0</v>
      </c>
      <c r="I1601" s="28">
        <v>0.43902439024390244</v>
      </c>
      <c r="J1601" s="28">
        <v>0.0</v>
      </c>
      <c r="K1601" s="28" t="s">
        <v>57</v>
      </c>
      <c r="L1601" s="28" t="s">
        <v>1188</v>
      </c>
    </row>
    <row r="1602" ht="15.75" customHeight="1">
      <c r="A1602" s="28" t="s">
        <v>45</v>
      </c>
      <c r="B1602" s="28" t="s">
        <v>2111</v>
      </c>
      <c r="D1602" s="28" t="s">
        <v>176</v>
      </c>
      <c r="E1602" s="28" t="s">
        <v>1190</v>
      </c>
      <c r="F1602" s="28" t="s">
        <v>1187</v>
      </c>
      <c r="G1602" s="28" t="s">
        <v>234</v>
      </c>
      <c r="H1602" s="28">
        <v>1.0</v>
      </c>
      <c r="I1602" s="28">
        <v>0.4608695652173913</v>
      </c>
      <c r="J1602" s="28">
        <v>6.0</v>
      </c>
      <c r="K1602" s="28" t="s">
        <v>57</v>
      </c>
      <c r="L1602" s="28" t="s">
        <v>1188</v>
      </c>
    </row>
    <row r="1603" ht="15.75" customHeight="1">
      <c r="A1603" s="28" t="s">
        <v>45</v>
      </c>
      <c r="B1603" s="28" t="s">
        <v>2111</v>
      </c>
      <c r="D1603" s="28" t="s">
        <v>176</v>
      </c>
      <c r="E1603" s="28" t="s">
        <v>1191</v>
      </c>
      <c r="F1603" s="28" t="s">
        <v>1192</v>
      </c>
      <c r="G1603" s="28" t="s">
        <v>167</v>
      </c>
      <c r="H1603" s="28">
        <v>1.0</v>
      </c>
      <c r="I1603" s="28">
        <v>0.564935064935065</v>
      </c>
      <c r="J1603" s="28">
        <v>8.0</v>
      </c>
      <c r="K1603" s="28" t="s">
        <v>57</v>
      </c>
      <c r="L1603" s="28" t="s">
        <v>1188</v>
      </c>
    </row>
    <row r="1604" ht="15.75" customHeight="1">
      <c r="A1604" s="28" t="s">
        <v>45</v>
      </c>
      <c r="B1604" s="28" t="s">
        <v>2111</v>
      </c>
      <c r="D1604" s="28" t="s">
        <v>176</v>
      </c>
      <c r="E1604" s="28" t="s">
        <v>1193</v>
      </c>
      <c r="F1604" s="28" t="s">
        <v>1192</v>
      </c>
      <c r="G1604" s="28" t="s">
        <v>173</v>
      </c>
      <c r="H1604" s="28">
        <v>1.0</v>
      </c>
      <c r="I1604" s="28">
        <v>0.591715976331361</v>
      </c>
      <c r="J1604" s="28">
        <v>12.0</v>
      </c>
      <c r="K1604" s="28" t="s">
        <v>57</v>
      </c>
      <c r="L1604" s="28" t="s">
        <v>1188</v>
      </c>
    </row>
    <row r="1605" ht="15.75" customHeight="1">
      <c r="A1605" s="28" t="s">
        <v>45</v>
      </c>
      <c r="B1605" s="28" t="s">
        <v>2111</v>
      </c>
      <c r="D1605" s="28" t="s">
        <v>176</v>
      </c>
      <c r="E1605" s="28" t="s">
        <v>1194</v>
      </c>
      <c r="F1605" s="28" t="s">
        <v>1195</v>
      </c>
      <c r="G1605" s="28" t="s">
        <v>1196</v>
      </c>
      <c r="H1605" s="28">
        <v>1.0</v>
      </c>
      <c r="I1605" s="28">
        <v>0.6329787234042553</v>
      </c>
      <c r="J1605" s="28">
        <v>2.0</v>
      </c>
      <c r="K1605" s="28" t="s">
        <v>57</v>
      </c>
      <c r="L1605" s="28" t="s">
        <v>1188</v>
      </c>
    </row>
    <row r="1606" ht="15.75" customHeight="1">
      <c r="A1606" s="28" t="s">
        <v>45</v>
      </c>
      <c r="B1606" s="28" t="s">
        <v>2111</v>
      </c>
      <c r="D1606" s="28" t="s">
        <v>176</v>
      </c>
      <c r="E1606" s="28" t="s">
        <v>1197</v>
      </c>
      <c r="F1606" s="28" t="s">
        <v>1198</v>
      </c>
      <c r="G1606" s="28" t="s">
        <v>79</v>
      </c>
      <c r="H1606" s="28">
        <v>1.0</v>
      </c>
      <c r="I1606" s="28">
        <v>0.7013574660633484</v>
      </c>
      <c r="J1606" s="28">
        <v>15.0</v>
      </c>
      <c r="K1606" s="28" t="s">
        <v>57</v>
      </c>
      <c r="L1606" s="28" t="s">
        <v>1188</v>
      </c>
    </row>
    <row r="1607" ht="15.75" customHeight="1">
      <c r="A1607" s="28" t="s">
        <v>45</v>
      </c>
      <c r="B1607" s="28" t="s">
        <v>2111</v>
      </c>
      <c r="D1607" s="28" t="s">
        <v>176</v>
      </c>
      <c r="E1607" s="28" t="s">
        <v>1199</v>
      </c>
      <c r="F1607" s="28" t="s">
        <v>1182</v>
      </c>
      <c r="G1607" s="28" t="s">
        <v>1200</v>
      </c>
      <c r="H1607" s="28">
        <v>1.0</v>
      </c>
      <c r="I1607" s="28">
        <v>0.7033492822966507</v>
      </c>
      <c r="J1607" s="28">
        <v>16.0</v>
      </c>
      <c r="K1607" s="28" t="s">
        <v>57</v>
      </c>
      <c r="L1607" s="28" t="s">
        <v>57</v>
      </c>
    </row>
    <row r="1608" ht="15.75" customHeight="1">
      <c r="A1608" s="28" t="s">
        <v>45</v>
      </c>
      <c r="B1608" s="28" t="s">
        <v>2111</v>
      </c>
      <c r="D1608" s="28" t="s">
        <v>176</v>
      </c>
      <c r="E1608" s="28" t="s">
        <v>1201</v>
      </c>
      <c r="F1608" s="28" t="s">
        <v>1202</v>
      </c>
      <c r="G1608" s="28" t="s">
        <v>1203</v>
      </c>
      <c r="H1608" s="28">
        <v>1.0</v>
      </c>
      <c r="I1608" s="28">
        <v>0.775974025974026</v>
      </c>
      <c r="J1608" s="28">
        <v>4.0</v>
      </c>
      <c r="K1608" s="28" t="s">
        <v>57</v>
      </c>
      <c r="L1608" s="28" t="s">
        <v>1188</v>
      </c>
    </row>
    <row r="1609" ht="15.75" customHeight="1">
      <c r="A1609" s="28" t="s">
        <v>45</v>
      </c>
      <c r="B1609" s="28" t="s">
        <v>2111</v>
      </c>
      <c r="D1609" s="28" t="s">
        <v>176</v>
      </c>
      <c r="E1609" s="28" t="s">
        <v>1204</v>
      </c>
      <c r="F1609" s="28" t="s">
        <v>1205</v>
      </c>
      <c r="G1609" s="28" t="s">
        <v>48</v>
      </c>
      <c r="H1609" s="28">
        <v>1.0</v>
      </c>
      <c r="I1609" s="28">
        <v>0.7927927927927928</v>
      </c>
      <c r="J1609" s="28">
        <v>1.0</v>
      </c>
      <c r="K1609" s="28" t="s">
        <v>57</v>
      </c>
      <c r="L1609" s="28" t="s">
        <v>1188</v>
      </c>
    </row>
    <row r="1610" ht="15.75" customHeight="1">
      <c r="A1610" s="28" t="s">
        <v>45</v>
      </c>
      <c r="B1610" s="28" t="s">
        <v>2111</v>
      </c>
      <c r="D1610" s="28" t="s">
        <v>176</v>
      </c>
      <c r="E1610" s="28" t="s">
        <v>1206</v>
      </c>
      <c r="F1610" s="28" t="s">
        <v>1207</v>
      </c>
      <c r="G1610" s="28" t="s">
        <v>73</v>
      </c>
      <c r="H1610" s="28">
        <v>1.0</v>
      </c>
      <c r="I1610" s="28">
        <v>0.8150134048257373</v>
      </c>
      <c r="J1610" s="28">
        <v>9.0</v>
      </c>
      <c r="K1610" s="28" t="s">
        <v>57</v>
      </c>
      <c r="L1610" s="28" t="s">
        <v>1188</v>
      </c>
    </row>
    <row r="1611" ht="15.75" customHeight="1">
      <c r="A1611" s="28" t="s">
        <v>45</v>
      </c>
      <c r="B1611" s="28" t="s">
        <v>2111</v>
      </c>
      <c r="D1611" s="28" t="s">
        <v>176</v>
      </c>
      <c r="E1611" s="28" t="s">
        <v>1208</v>
      </c>
      <c r="F1611" s="28" t="s">
        <v>1209</v>
      </c>
      <c r="G1611" s="28" t="s">
        <v>54</v>
      </c>
      <c r="H1611" s="28">
        <v>1.0</v>
      </c>
      <c r="I1611" s="28">
        <v>0.969306049822064</v>
      </c>
      <c r="J1611" s="28">
        <v>13.0</v>
      </c>
      <c r="K1611" s="28" t="s">
        <v>57</v>
      </c>
      <c r="L1611" s="28" t="s">
        <v>1188</v>
      </c>
    </row>
    <row r="1612" ht="15.75" customHeight="1">
      <c r="A1612" s="28" t="s">
        <v>45</v>
      </c>
      <c r="B1612" s="28" t="s">
        <v>2111</v>
      </c>
      <c r="D1612" s="28" t="s">
        <v>117</v>
      </c>
      <c r="E1612" s="28" t="s">
        <v>1210</v>
      </c>
      <c r="F1612" s="28" t="s">
        <v>203</v>
      </c>
      <c r="G1612" s="28" t="s">
        <v>205</v>
      </c>
      <c r="H1612" s="28">
        <v>1.0</v>
      </c>
      <c r="I1612" s="28">
        <v>0.21951219512195122</v>
      </c>
      <c r="J1612" s="28">
        <v>4.0</v>
      </c>
      <c r="K1612" s="28" t="s">
        <v>57</v>
      </c>
      <c r="L1612" s="28" t="s">
        <v>57</v>
      </c>
    </row>
    <row r="1613" ht="15.75" customHeight="1">
      <c r="A1613" s="28" t="s">
        <v>45</v>
      </c>
      <c r="B1613" s="28" t="s">
        <v>2111</v>
      </c>
      <c r="D1613" s="28" t="s">
        <v>117</v>
      </c>
      <c r="E1613" s="28" t="s">
        <v>1211</v>
      </c>
      <c r="F1613" s="28" t="s">
        <v>203</v>
      </c>
      <c r="G1613" s="28" t="s">
        <v>234</v>
      </c>
      <c r="H1613" s="28">
        <v>1.0</v>
      </c>
      <c r="I1613" s="28">
        <v>0.25203252032520324</v>
      </c>
      <c r="J1613" s="28">
        <v>5.0</v>
      </c>
      <c r="K1613" s="28" t="s">
        <v>57</v>
      </c>
      <c r="L1613" s="28" t="s">
        <v>57</v>
      </c>
    </row>
    <row r="1614" ht="15.75" customHeight="1">
      <c r="A1614" s="28" t="s">
        <v>45</v>
      </c>
      <c r="B1614" s="28" t="s">
        <v>2111</v>
      </c>
      <c r="D1614" s="28" t="s">
        <v>117</v>
      </c>
      <c r="E1614" s="28" t="s">
        <v>1212</v>
      </c>
      <c r="F1614" s="28" t="s">
        <v>1213</v>
      </c>
      <c r="G1614" s="28" t="s">
        <v>167</v>
      </c>
      <c r="H1614" s="28">
        <v>1.0</v>
      </c>
      <c r="I1614" s="28">
        <v>0.3051948051948052</v>
      </c>
      <c r="J1614" s="28">
        <v>7.0</v>
      </c>
      <c r="K1614" s="28" t="s">
        <v>57</v>
      </c>
      <c r="L1614" s="28" t="s">
        <v>57</v>
      </c>
    </row>
    <row r="1615" ht="15.75" customHeight="1">
      <c r="A1615" s="28" t="s">
        <v>45</v>
      </c>
      <c r="B1615" s="28" t="s">
        <v>2111</v>
      </c>
      <c r="D1615" s="28" t="s">
        <v>117</v>
      </c>
      <c r="E1615" s="28" t="s">
        <v>1214</v>
      </c>
      <c r="F1615" s="28" t="s">
        <v>1213</v>
      </c>
      <c r="G1615" s="28" t="s">
        <v>173</v>
      </c>
      <c r="H1615" s="28">
        <v>1.0</v>
      </c>
      <c r="I1615" s="28">
        <v>0.3727810650887574</v>
      </c>
      <c r="J1615" s="28">
        <v>11.0</v>
      </c>
      <c r="K1615" s="28" t="s">
        <v>57</v>
      </c>
      <c r="L1615" s="28" t="s">
        <v>57</v>
      </c>
    </row>
    <row r="1616" ht="15.75" customHeight="1">
      <c r="A1616" s="28" t="s">
        <v>45</v>
      </c>
      <c r="B1616" s="28" t="s">
        <v>2111</v>
      </c>
      <c r="D1616" s="28" t="s">
        <v>117</v>
      </c>
      <c r="E1616" s="28" t="s">
        <v>1215</v>
      </c>
      <c r="F1616" s="28" t="s">
        <v>1216</v>
      </c>
      <c r="G1616" s="28" t="s">
        <v>1185</v>
      </c>
      <c r="H1616" s="28">
        <v>1.0</v>
      </c>
      <c r="I1616" s="28">
        <v>0.3983739837398374</v>
      </c>
      <c r="J1616" s="28">
        <v>2.0</v>
      </c>
      <c r="K1616" s="28" t="s">
        <v>57</v>
      </c>
      <c r="L1616" s="28" t="s">
        <v>1188</v>
      </c>
    </row>
    <row r="1617" ht="15.75" customHeight="1">
      <c r="A1617" s="28" t="s">
        <v>45</v>
      </c>
      <c r="B1617" s="28" t="s">
        <v>2111</v>
      </c>
      <c r="D1617" s="28" t="s">
        <v>117</v>
      </c>
      <c r="E1617" s="28" t="s">
        <v>1217</v>
      </c>
      <c r="F1617" s="28" t="s">
        <v>1218</v>
      </c>
      <c r="G1617" s="28" t="s">
        <v>1196</v>
      </c>
      <c r="H1617" s="28">
        <v>1.0</v>
      </c>
      <c r="I1617" s="28">
        <v>0.425531914893617</v>
      </c>
      <c r="J1617" s="28">
        <v>1.0</v>
      </c>
      <c r="K1617" s="28" t="s">
        <v>57</v>
      </c>
      <c r="L1617" s="28" t="s">
        <v>57</v>
      </c>
    </row>
    <row r="1618" ht="15.75" customHeight="1">
      <c r="A1618" s="28" t="s">
        <v>45</v>
      </c>
      <c r="B1618" s="28" t="s">
        <v>2111</v>
      </c>
      <c r="D1618" s="28" t="s">
        <v>117</v>
      </c>
      <c r="E1618" s="28" t="s">
        <v>1219</v>
      </c>
      <c r="F1618" s="28" t="s">
        <v>1216</v>
      </c>
      <c r="G1618" s="28" t="s">
        <v>1183</v>
      </c>
      <c r="H1618" s="28">
        <v>1.0</v>
      </c>
      <c r="I1618" s="28">
        <v>0.43089430894308944</v>
      </c>
      <c r="J1618" s="28">
        <v>18.0</v>
      </c>
      <c r="K1618" s="28" t="s">
        <v>57</v>
      </c>
      <c r="L1618" s="28" t="s">
        <v>1188</v>
      </c>
    </row>
    <row r="1619" ht="15.75" customHeight="1">
      <c r="A1619" s="28" t="s">
        <v>45</v>
      </c>
      <c r="B1619" s="28" t="s">
        <v>2111</v>
      </c>
      <c r="D1619" s="28" t="s">
        <v>117</v>
      </c>
      <c r="E1619" s="28" t="s">
        <v>1220</v>
      </c>
      <c r="F1619" s="28" t="s">
        <v>1221</v>
      </c>
      <c r="G1619" s="28" t="s">
        <v>79</v>
      </c>
      <c r="H1619" s="28">
        <v>1.0</v>
      </c>
      <c r="I1619" s="28">
        <v>0.5158371040723982</v>
      </c>
      <c r="J1619" s="28">
        <v>14.0</v>
      </c>
      <c r="K1619" s="28" t="s">
        <v>57</v>
      </c>
      <c r="L1619" s="28" t="s">
        <v>57</v>
      </c>
    </row>
    <row r="1620" ht="15.75" customHeight="1">
      <c r="A1620" s="28" t="s">
        <v>45</v>
      </c>
      <c r="B1620" s="28" t="s">
        <v>2111</v>
      </c>
      <c r="D1620" s="28" t="s">
        <v>117</v>
      </c>
      <c r="E1620" s="28" t="s">
        <v>1222</v>
      </c>
      <c r="F1620" s="28" t="s">
        <v>1223</v>
      </c>
      <c r="G1620" s="28" t="s">
        <v>1203</v>
      </c>
      <c r="H1620" s="28">
        <v>1.0</v>
      </c>
      <c r="I1620" s="28">
        <v>0.6266233766233766</v>
      </c>
      <c r="J1620" s="28">
        <v>3.0</v>
      </c>
      <c r="K1620" s="28" t="s">
        <v>57</v>
      </c>
      <c r="L1620" s="28" t="s">
        <v>57</v>
      </c>
    </row>
    <row r="1621" ht="15.75" customHeight="1">
      <c r="A1621" s="28" t="s">
        <v>45</v>
      </c>
      <c r="B1621" s="28" t="s">
        <v>2111</v>
      </c>
      <c r="D1621" s="28" t="s">
        <v>117</v>
      </c>
      <c r="E1621" s="28" t="s">
        <v>1224</v>
      </c>
      <c r="F1621" s="28" t="s">
        <v>1225</v>
      </c>
      <c r="G1621" s="28" t="s">
        <v>48</v>
      </c>
      <c r="H1621" s="28">
        <v>1.0</v>
      </c>
      <c r="I1621" s="28">
        <v>0.6606606606606606</v>
      </c>
      <c r="J1621" s="28">
        <v>0.0</v>
      </c>
      <c r="K1621" s="28" t="s">
        <v>57</v>
      </c>
      <c r="L1621" s="28" t="s">
        <v>57</v>
      </c>
    </row>
    <row r="1622" ht="15.75" customHeight="1">
      <c r="A1622" s="28" t="s">
        <v>45</v>
      </c>
      <c r="B1622" s="28" t="s">
        <v>2111</v>
      </c>
      <c r="D1622" s="28" t="s">
        <v>117</v>
      </c>
      <c r="E1622" s="28" t="s">
        <v>1226</v>
      </c>
      <c r="F1622" s="28" t="s">
        <v>1227</v>
      </c>
      <c r="G1622" s="28" t="s">
        <v>73</v>
      </c>
      <c r="H1622" s="28">
        <v>1.0</v>
      </c>
      <c r="I1622" s="28">
        <v>0.6863270777479893</v>
      </c>
      <c r="J1622" s="28">
        <v>8.0</v>
      </c>
      <c r="K1622" s="28" t="s">
        <v>57</v>
      </c>
      <c r="L1622" s="28" t="s">
        <v>57</v>
      </c>
    </row>
    <row r="1623" ht="15.75" customHeight="1">
      <c r="A1623" s="28" t="s">
        <v>45</v>
      </c>
      <c r="B1623" s="28" t="s">
        <v>2111</v>
      </c>
      <c r="D1623" s="28" t="s">
        <v>117</v>
      </c>
      <c r="E1623" s="28" t="s">
        <v>1228</v>
      </c>
      <c r="F1623" s="28" t="s">
        <v>1216</v>
      </c>
      <c r="G1623" s="28" t="s">
        <v>1200</v>
      </c>
      <c r="H1623" s="28">
        <v>1.0</v>
      </c>
      <c r="I1623" s="28">
        <v>0.722488038277512</v>
      </c>
      <c r="J1623" s="28">
        <v>15.0</v>
      </c>
      <c r="K1623" s="28" t="s">
        <v>57</v>
      </c>
      <c r="L1623" s="28" t="s">
        <v>1188</v>
      </c>
    </row>
    <row r="1624" ht="15.75" customHeight="1">
      <c r="A1624" s="28" t="s">
        <v>45</v>
      </c>
      <c r="B1624" s="28" t="s">
        <v>2111</v>
      </c>
      <c r="D1624" s="28" t="s">
        <v>117</v>
      </c>
      <c r="E1624" s="28" t="s">
        <v>1229</v>
      </c>
      <c r="F1624" s="28" t="s">
        <v>1230</v>
      </c>
      <c r="G1624" s="28" t="s">
        <v>54</v>
      </c>
      <c r="H1624" s="28">
        <v>1.0</v>
      </c>
      <c r="I1624" s="28">
        <v>0.9483985765124555</v>
      </c>
      <c r="J1624" s="28">
        <v>12.0</v>
      </c>
      <c r="K1624" s="28" t="s">
        <v>57</v>
      </c>
      <c r="L1624" s="28" t="s">
        <v>57</v>
      </c>
    </row>
    <row r="1625" ht="15.75" customHeight="1">
      <c r="A1625" s="28" t="s">
        <v>45</v>
      </c>
      <c r="B1625" s="28" t="s">
        <v>2111</v>
      </c>
      <c r="D1625" s="28" t="s">
        <v>48</v>
      </c>
      <c r="E1625" s="28" t="s">
        <v>1231</v>
      </c>
      <c r="F1625" s="28" t="s">
        <v>1232</v>
      </c>
      <c r="G1625" s="28" t="s">
        <v>73</v>
      </c>
      <c r="H1625" s="28">
        <v>1.0</v>
      </c>
      <c r="I1625" s="28">
        <v>0.16353887399463807</v>
      </c>
      <c r="J1625" s="28">
        <v>7.0</v>
      </c>
      <c r="K1625" s="28" t="s">
        <v>57</v>
      </c>
      <c r="L1625" s="28" t="s">
        <v>57</v>
      </c>
    </row>
    <row r="1626" ht="15.75" customHeight="1">
      <c r="A1626" s="28" t="s">
        <v>45</v>
      </c>
      <c r="B1626" s="28" t="s">
        <v>2111</v>
      </c>
      <c r="D1626" s="28" t="s">
        <v>48</v>
      </c>
      <c r="E1626" s="28" t="s">
        <v>1233</v>
      </c>
      <c r="F1626" s="28" t="s">
        <v>1234</v>
      </c>
      <c r="G1626" s="28" t="s">
        <v>1203</v>
      </c>
      <c r="H1626" s="28">
        <v>1.0</v>
      </c>
      <c r="I1626" s="28">
        <v>0.16816816816816818</v>
      </c>
      <c r="J1626" s="28">
        <v>2.0</v>
      </c>
      <c r="K1626" s="28" t="s">
        <v>57</v>
      </c>
      <c r="L1626" s="28" t="s">
        <v>57</v>
      </c>
    </row>
    <row r="1627" ht="15.75" customHeight="1">
      <c r="A1627" s="28" t="s">
        <v>45</v>
      </c>
      <c r="B1627" s="28" t="s">
        <v>2111</v>
      </c>
      <c r="D1627" s="28" t="s">
        <v>48</v>
      </c>
      <c r="E1627" s="28" t="s">
        <v>1235</v>
      </c>
      <c r="F1627" s="28" t="s">
        <v>1236</v>
      </c>
      <c r="G1627" s="28" t="s">
        <v>79</v>
      </c>
      <c r="H1627" s="28">
        <v>1.0</v>
      </c>
      <c r="I1627" s="28">
        <v>0.35435435435435436</v>
      </c>
      <c r="J1627" s="28">
        <v>13.0</v>
      </c>
      <c r="K1627" s="28" t="s">
        <v>57</v>
      </c>
      <c r="L1627" s="28" t="s">
        <v>57</v>
      </c>
    </row>
    <row r="1628" ht="15.75" customHeight="1">
      <c r="A1628" s="28" t="s">
        <v>45</v>
      </c>
      <c r="B1628" s="28" t="s">
        <v>2111</v>
      </c>
      <c r="D1628" s="28" t="s">
        <v>48</v>
      </c>
      <c r="E1628" s="28" t="s">
        <v>1237</v>
      </c>
      <c r="F1628" s="28" t="s">
        <v>1238</v>
      </c>
      <c r="G1628" s="28" t="s">
        <v>1196</v>
      </c>
      <c r="H1628" s="28">
        <v>1.0</v>
      </c>
      <c r="I1628" s="28">
        <v>0.45045045045045046</v>
      </c>
      <c r="J1628" s="28">
        <v>0.0</v>
      </c>
      <c r="K1628" s="28" t="s">
        <v>57</v>
      </c>
      <c r="L1628" s="28" t="s">
        <v>57</v>
      </c>
    </row>
    <row r="1629" ht="15.75" customHeight="1">
      <c r="A1629" s="28" t="s">
        <v>45</v>
      </c>
      <c r="B1629" s="28" t="s">
        <v>2111</v>
      </c>
      <c r="D1629" s="28" t="s">
        <v>48</v>
      </c>
      <c r="E1629" s="28" t="s">
        <v>1239</v>
      </c>
      <c r="F1629" s="28" t="s">
        <v>1240</v>
      </c>
      <c r="G1629" s="28" t="s">
        <v>173</v>
      </c>
      <c r="H1629" s="28">
        <v>1.0</v>
      </c>
      <c r="I1629" s="28">
        <v>0.5255255255255256</v>
      </c>
      <c r="J1629" s="28">
        <v>10.0</v>
      </c>
      <c r="K1629" s="28" t="s">
        <v>57</v>
      </c>
      <c r="L1629" s="28" t="s">
        <v>57</v>
      </c>
    </row>
    <row r="1630" ht="15.75" customHeight="1">
      <c r="A1630" s="28" t="s">
        <v>45</v>
      </c>
      <c r="B1630" s="28" t="s">
        <v>2111</v>
      </c>
      <c r="D1630" s="28" t="s">
        <v>48</v>
      </c>
      <c r="E1630" s="28" t="s">
        <v>1241</v>
      </c>
      <c r="F1630" s="28" t="s">
        <v>1240</v>
      </c>
      <c r="G1630" s="28" t="s">
        <v>167</v>
      </c>
      <c r="H1630" s="28">
        <v>1.0</v>
      </c>
      <c r="I1630" s="28">
        <v>0.5555555555555556</v>
      </c>
      <c r="J1630" s="28">
        <v>6.0</v>
      </c>
      <c r="K1630" s="28" t="s">
        <v>57</v>
      </c>
      <c r="L1630" s="28" t="s">
        <v>57</v>
      </c>
    </row>
    <row r="1631" ht="15.75" customHeight="1">
      <c r="A1631" s="28" t="s">
        <v>45</v>
      </c>
      <c r="B1631" s="28" t="s">
        <v>2111</v>
      </c>
      <c r="D1631" s="28" t="s">
        <v>48</v>
      </c>
      <c r="E1631" s="28" t="s">
        <v>1242</v>
      </c>
      <c r="F1631" s="28" t="s">
        <v>1243</v>
      </c>
      <c r="G1631" s="28" t="s">
        <v>234</v>
      </c>
      <c r="H1631" s="28">
        <v>1.0</v>
      </c>
      <c r="I1631" s="28">
        <v>0.6906906906906907</v>
      </c>
      <c r="J1631" s="28">
        <v>4.0</v>
      </c>
      <c r="K1631" s="28" t="s">
        <v>57</v>
      </c>
      <c r="L1631" s="28" t="s">
        <v>57</v>
      </c>
    </row>
    <row r="1632" ht="15.75" customHeight="1">
      <c r="A1632" s="28" t="s">
        <v>45</v>
      </c>
      <c r="B1632" s="28" t="s">
        <v>2111</v>
      </c>
      <c r="D1632" s="28" t="s">
        <v>48</v>
      </c>
      <c r="E1632" s="28" t="s">
        <v>1244</v>
      </c>
      <c r="F1632" s="28" t="s">
        <v>1243</v>
      </c>
      <c r="G1632" s="28" t="s">
        <v>205</v>
      </c>
      <c r="H1632" s="28">
        <v>1.0</v>
      </c>
      <c r="I1632" s="28">
        <v>0.6936936936936937</v>
      </c>
      <c r="J1632" s="28">
        <v>3.0</v>
      </c>
      <c r="K1632" s="28" t="s">
        <v>57</v>
      </c>
      <c r="L1632" s="28" t="s">
        <v>57</v>
      </c>
    </row>
    <row r="1633" ht="15.75" customHeight="1">
      <c r="A1633" s="28" t="s">
        <v>45</v>
      </c>
      <c r="B1633" s="28" t="s">
        <v>2111</v>
      </c>
      <c r="D1633" s="28" t="s">
        <v>48</v>
      </c>
      <c r="E1633" s="28" t="s">
        <v>1245</v>
      </c>
      <c r="F1633" s="28" t="s">
        <v>1246</v>
      </c>
      <c r="G1633" s="28" t="s">
        <v>1200</v>
      </c>
      <c r="H1633" s="28">
        <v>1.0</v>
      </c>
      <c r="I1633" s="28">
        <v>0.7297297297297297</v>
      </c>
      <c r="J1633" s="28">
        <v>14.0</v>
      </c>
      <c r="K1633" s="28" t="s">
        <v>57</v>
      </c>
      <c r="L1633" s="28" t="s">
        <v>1188</v>
      </c>
    </row>
    <row r="1634" ht="15.75" customHeight="1">
      <c r="A1634" s="28" t="s">
        <v>45</v>
      </c>
      <c r="B1634" s="28" t="s">
        <v>2111</v>
      </c>
      <c r="D1634" s="28" t="s">
        <v>48</v>
      </c>
      <c r="E1634" s="28" t="s">
        <v>1247</v>
      </c>
      <c r="F1634" s="28" t="s">
        <v>1246</v>
      </c>
      <c r="G1634" s="28" t="s">
        <v>1185</v>
      </c>
      <c r="H1634" s="28">
        <v>1.0</v>
      </c>
      <c r="I1634" s="28">
        <v>0.7777777777777778</v>
      </c>
      <c r="J1634" s="28">
        <v>1.0</v>
      </c>
      <c r="K1634" s="28" t="s">
        <v>57</v>
      </c>
      <c r="L1634" s="28" t="s">
        <v>1188</v>
      </c>
    </row>
    <row r="1635" ht="15.75" customHeight="1">
      <c r="A1635" s="28" t="s">
        <v>45</v>
      </c>
      <c r="B1635" s="28" t="s">
        <v>2111</v>
      </c>
      <c r="D1635" s="28" t="s">
        <v>48</v>
      </c>
      <c r="E1635" s="28" t="s">
        <v>1248</v>
      </c>
      <c r="F1635" s="28" t="s">
        <v>1246</v>
      </c>
      <c r="G1635" s="28" t="s">
        <v>1183</v>
      </c>
      <c r="H1635" s="28">
        <v>1.0</v>
      </c>
      <c r="I1635" s="28">
        <v>0.7837837837837838</v>
      </c>
      <c r="J1635" s="28">
        <v>17.0</v>
      </c>
      <c r="K1635" s="28" t="s">
        <v>57</v>
      </c>
      <c r="L1635" s="28" t="s">
        <v>1188</v>
      </c>
    </row>
    <row r="1636" ht="15.75" customHeight="1">
      <c r="A1636" s="28" t="s">
        <v>45</v>
      </c>
      <c r="B1636" s="28" t="s">
        <v>2111</v>
      </c>
      <c r="D1636" s="28" t="s">
        <v>48</v>
      </c>
      <c r="E1636" s="28" t="s">
        <v>1249</v>
      </c>
      <c r="F1636" s="28" t="s">
        <v>1250</v>
      </c>
      <c r="G1636" s="28" t="s">
        <v>54</v>
      </c>
      <c r="H1636" s="28">
        <v>1.0</v>
      </c>
      <c r="I1636" s="28">
        <v>0.8540925266903915</v>
      </c>
      <c r="J1636" s="28">
        <v>11.0</v>
      </c>
      <c r="K1636" s="28" t="s">
        <v>57</v>
      </c>
      <c r="L1636" s="28" t="s">
        <v>57</v>
      </c>
    </row>
    <row r="1637" ht="15.75" customHeight="1">
      <c r="A1637" s="28" t="s">
        <v>45</v>
      </c>
      <c r="B1637" s="28" t="s">
        <v>2111</v>
      </c>
      <c r="D1637" s="28" t="s">
        <v>1196</v>
      </c>
      <c r="E1637" s="28" t="s">
        <v>1251</v>
      </c>
      <c r="F1637" s="28" t="s">
        <v>1252</v>
      </c>
      <c r="G1637" s="28" t="s">
        <v>167</v>
      </c>
      <c r="H1637" s="28">
        <v>1.0</v>
      </c>
      <c r="I1637" s="28">
        <v>0.2127659574468085</v>
      </c>
      <c r="J1637" s="28">
        <v>5.0</v>
      </c>
      <c r="K1637" s="28" t="s">
        <v>57</v>
      </c>
      <c r="L1637" s="28" t="s">
        <v>57</v>
      </c>
    </row>
    <row r="1638" ht="15.75" customHeight="1">
      <c r="A1638" s="28" t="s">
        <v>45</v>
      </c>
      <c r="B1638" s="28" t="s">
        <v>2111</v>
      </c>
      <c r="D1638" s="28" t="s">
        <v>1196</v>
      </c>
      <c r="E1638" s="28" t="s">
        <v>1253</v>
      </c>
      <c r="F1638" s="28" t="s">
        <v>1254</v>
      </c>
      <c r="G1638" s="28" t="s">
        <v>79</v>
      </c>
      <c r="H1638" s="28">
        <v>1.0</v>
      </c>
      <c r="I1638" s="28">
        <v>0.23076923076923078</v>
      </c>
      <c r="J1638" s="28">
        <v>12.0</v>
      </c>
      <c r="K1638" s="28" t="s">
        <v>57</v>
      </c>
      <c r="L1638" s="28" t="s">
        <v>57</v>
      </c>
    </row>
    <row r="1639" ht="15.75" customHeight="1">
      <c r="A1639" s="28" t="s">
        <v>45</v>
      </c>
      <c r="B1639" s="28" t="s">
        <v>2111</v>
      </c>
      <c r="D1639" s="28" t="s">
        <v>1196</v>
      </c>
      <c r="E1639" s="28" t="s">
        <v>1255</v>
      </c>
      <c r="F1639" s="28" t="s">
        <v>1252</v>
      </c>
      <c r="G1639" s="28" t="s">
        <v>173</v>
      </c>
      <c r="H1639" s="28">
        <v>1.0</v>
      </c>
      <c r="I1639" s="28">
        <v>0.25</v>
      </c>
      <c r="J1639" s="28">
        <v>9.0</v>
      </c>
      <c r="K1639" s="28" t="s">
        <v>57</v>
      </c>
      <c r="L1639" s="28" t="s">
        <v>57</v>
      </c>
    </row>
    <row r="1640" ht="15.75" customHeight="1">
      <c r="A1640" s="28" t="s">
        <v>45</v>
      </c>
      <c r="B1640" s="28" t="s">
        <v>2111</v>
      </c>
      <c r="D1640" s="28" t="s">
        <v>1196</v>
      </c>
      <c r="E1640" s="28" t="s">
        <v>1256</v>
      </c>
      <c r="F1640" s="28" t="s">
        <v>1257</v>
      </c>
      <c r="G1640" s="28" t="s">
        <v>1203</v>
      </c>
      <c r="H1640" s="28">
        <v>1.0</v>
      </c>
      <c r="I1640" s="28">
        <v>0.3961038961038961</v>
      </c>
      <c r="J1640" s="28">
        <v>1.0</v>
      </c>
      <c r="K1640" s="28" t="s">
        <v>57</v>
      </c>
      <c r="L1640" s="28" t="s">
        <v>57</v>
      </c>
    </row>
    <row r="1641" ht="15.75" customHeight="1">
      <c r="A1641" s="28" t="s">
        <v>45</v>
      </c>
      <c r="B1641" s="28" t="s">
        <v>2111</v>
      </c>
      <c r="D1641" s="28" t="s">
        <v>1196</v>
      </c>
      <c r="E1641" s="28" t="s">
        <v>1258</v>
      </c>
      <c r="F1641" s="28" t="s">
        <v>1259</v>
      </c>
      <c r="G1641" s="28" t="s">
        <v>234</v>
      </c>
      <c r="H1641" s="28">
        <v>1.0</v>
      </c>
      <c r="I1641" s="28">
        <v>0.4521276595744681</v>
      </c>
      <c r="J1641" s="28">
        <v>3.0</v>
      </c>
      <c r="K1641" s="28" t="s">
        <v>57</v>
      </c>
      <c r="L1641" s="28" t="s">
        <v>57</v>
      </c>
    </row>
    <row r="1642" ht="15.75" customHeight="1">
      <c r="A1642" s="28" t="s">
        <v>45</v>
      </c>
      <c r="B1642" s="28" t="s">
        <v>2111</v>
      </c>
      <c r="D1642" s="28" t="s">
        <v>1196</v>
      </c>
      <c r="E1642" s="28" t="s">
        <v>1260</v>
      </c>
      <c r="F1642" s="28" t="s">
        <v>1259</v>
      </c>
      <c r="G1642" s="28" t="s">
        <v>205</v>
      </c>
      <c r="H1642" s="28">
        <v>1.0</v>
      </c>
      <c r="I1642" s="28">
        <v>0.4734042553191489</v>
      </c>
      <c r="J1642" s="28">
        <v>2.0</v>
      </c>
      <c r="K1642" s="28" t="s">
        <v>57</v>
      </c>
      <c r="L1642" s="28" t="s">
        <v>57</v>
      </c>
    </row>
    <row r="1643" ht="15.75" customHeight="1">
      <c r="A1643" s="28" t="s">
        <v>45</v>
      </c>
      <c r="B1643" s="28" t="s">
        <v>2111</v>
      </c>
      <c r="D1643" s="28" t="s">
        <v>1196</v>
      </c>
      <c r="E1643" s="28" t="s">
        <v>1261</v>
      </c>
      <c r="F1643" s="28" t="s">
        <v>1262</v>
      </c>
      <c r="G1643" s="28" t="s">
        <v>73</v>
      </c>
      <c r="H1643" s="28">
        <v>1.0</v>
      </c>
      <c r="I1643" s="28">
        <v>0.5093833780160858</v>
      </c>
      <c r="J1643" s="28">
        <v>6.0</v>
      </c>
      <c r="K1643" s="28" t="s">
        <v>57</v>
      </c>
      <c r="L1643" s="28" t="s">
        <v>57</v>
      </c>
    </row>
    <row r="1644" ht="15.75" customHeight="1">
      <c r="A1644" s="28" t="s">
        <v>45</v>
      </c>
      <c r="B1644" s="28" t="s">
        <v>2111</v>
      </c>
      <c r="D1644" s="28" t="s">
        <v>1196</v>
      </c>
      <c r="E1644" s="28" t="s">
        <v>1263</v>
      </c>
      <c r="F1644" s="28" t="s">
        <v>1264</v>
      </c>
      <c r="G1644" s="28" t="s">
        <v>1185</v>
      </c>
      <c r="H1644" s="28">
        <v>1.0</v>
      </c>
      <c r="I1644" s="28">
        <v>0.5904255319148937</v>
      </c>
      <c r="J1644" s="28">
        <v>0.0</v>
      </c>
      <c r="K1644" s="28" t="s">
        <v>57</v>
      </c>
      <c r="L1644" s="28" t="s">
        <v>1188</v>
      </c>
    </row>
    <row r="1645" ht="15.75" customHeight="1">
      <c r="A1645" s="28" t="s">
        <v>45</v>
      </c>
      <c r="B1645" s="28" t="s">
        <v>2111</v>
      </c>
      <c r="D1645" s="28" t="s">
        <v>1196</v>
      </c>
      <c r="E1645" s="28" t="s">
        <v>1265</v>
      </c>
      <c r="F1645" s="28" t="s">
        <v>1264</v>
      </c>
      <c r="G1645" s="28" t="s">
        <v>1183</v>
      </c>
      <c r="H1645" s="28">
        <v>1.0</v>
      </c>
      <c r="I1645" s="28">
        <v>0.6329787234042553</v>
      </c>
      <c r="J1645" s="28">
        <v>16.0</v>
      </c>
      <c r="K1645" s="28" t="s">
        <v>57</v>
      </c>
      <c r="L1645" s="28" t="s">
        <v>1188</v>
      </c>
    </row>
    <row r="1646" ht="15.75" customHeight="1">
      <c r="A1646" s="28" t="s">
        <v>45</v>
      </c>
      <c r="B1646" s="28" t="s">
        <v>2111</v>
      </c>
      <c r="D1646" s="28" t="s">
        <v>1196</v>
      </c>
      <c r="E1646" s="28" t="s">
        <v>1266</v>
      </c>
      <c r="F1646" s="28" t="s">
        <v>1264</v>
      </c>
      <c r="G1646" s="28" t="s">
        <v>1200</v>
      </c>
      <c r="H1646" s="28">
        <v>1.0</v>
      </c>
      <c r="I1646" s="28">
        <v>0.645933014354067</v>
      </c>
      <c r="J1646" s="28">
        <v>13.0</v>
      </c>
      <c r="K1646" s="28" t="s">
        <v>57</v>
      </c>
      <c r="L1646" s="28" t="s">
        <v>1188</v>
      </c>
    </row>
    <row r="1647" ht="15.75" customHeight="1">
      <c r="A1647" s="28" t="s">
        <v>45</v>
      </c>
      <c r="B1647" s="28" t="s">
        <v>2111</v>
      </c>
      <c r="D1647" s="28" t="s">
        <v>1196</v>
      </c>
      <c r="E1647" s="28" t="s">
        <v>1267</v>
      </c>
      <c r="F1647" s="28" t="s">
        <v>1268</v>
      </c>
      <c r="G1647" s="28" t="s">
        <v>54</v>
      </c>
      <c r="H1647" s="28">
        <v>1.0</v>
      </c>
      <c r="I1647" s="28">
        <v>0.9185943060498221</v>
      </c>
      <c r="J1647" s="28">
        <v>10.0</v>
      </c>
      <c r="K1647" s="28" t="s">
        <v>57</v>
      </c>
      <c r="L1647" s="28" t="s">
        <v>57</v>
      </c>
    </row>
    <row r="1648" ht="15.75" customHeight="1">
      <c r="A1648" s="28" t="s">
        <v>45</v>
      </c>
      <c r="B1648" s="28" t="s">
        <v>2111</v>
      </c>
      <c r="D1648" s="28" t="s">
        <v>1185</v>
      </c>
      <c r="E1648" s="28" t="s">
        <v>1269</v>
      </c>
      <c r="F1648" s="28" t="s">
        <v>1182</v>
      </c>
      <c r="G1648" s="28" t="s">
        <v>1183</v>
      </c>
      <c r="H1648" s="28">
        <v>1.0</v>
      </c>
      <c r="I1648" s="28">
        <v>0.1875</v>
      </c>
      <c r="J1648" s="28">
        <v>15.0</v>
      </c>
      <c r="K1648" s="28" t="s">
        <v>57</v>
      </c>
      <c r="L1648" s="28" t="s">
        <v>57</v>
      </c>
    </row>
    <row r="1649" ht="15.75" customHeight="1">
      <c r="A1649" s="28" t="s">
        <v>45</v>
      </c>
      <c r="B1649" s="28" t="s">
        <v>2111</v>
      </c>
      <c r="D1649" s="28" t="s">
        <v>1185</v>
      </c>
      <c r="E1649" s="28" t="s">
        <v>1270</v>
      </c>
      <c r="F1649" s="28" t="s">
        <v>1187</v>
      </c>
      <c r="G1649" s="28" t="s">
        <v>234</v>
      </c>
      <c r="H1649" s="28">
        <v>1.0</v>
      </c>
      <c r="I1649" s="28">
        <v>0.40869565217391307</v>
      </c>
      <c r="J1649" s="28">
        <v>2.0</v>
      </c>
      <c r="K1649" s="28" t="s">
        <v>57</v>
      </c>
      <c r="L1649" s="28" t="s">
        <v>1188</v>
      </c>
    </row>
    <row r="1650" ht="15.75" customHeight="1">
      <c r="A1650" s="28" t="s">
        <v>45</v>
      </c>
      <c r="B1650" s="28" t="s">
        <v>2111</v>
      </c>
      <c r="D1650" s="28" t="s">
        <v>1185</v>
      </c>
      <c r="E1650" s="28" t="s">
        <v>1271</v>
      </c>
      <c r="F1650" s="28" t="s">
        <v>1187</v>
      </c>
      <c r="G1650" s="28" t="s">
        <v>205</v>
      </c>
      <c r="H1650" s="28">
        <v>1.0</v>
      </c>
      <c r="I1650" s="28">
        <v>0.4473684210526316</v>
      </c>
      <c r="J1650" s="28">
        <v>1.0</v>
      </c>
      <c r="K1650" s="28" t="s">
        <v>57</v>
      </c>
      <c r="L1650" s="28" t="s">
        <v>1188</v>
      </c>
    </row>
    <row r="1651" ht="15.75" customHeight="1">
      <c r="A1651" s="28" t="s">
        <v>45</v>
      </c>
      <c r="B1651" s="28" t="s">
        <v>2111</v>
      </c>
      <c r="D1651" s="28" t="s">
        <v>1185</v>
      </c>
      <c r="E1651" s="28" t="s">
        <v>1272</v>
      </c>
      <c r="F1651" s="28" t="s">
        <v>1192</v>
      </c>
      <c r="G1651" s="28" t="s">
        <v>167</v>
      </c>
      <c r="H1651" s="28">
        <v>1.0</v>
      </c>
      <c r="I1651" s="28">
        <v>0.5064935064935064</v>
      </c>
      <c r="J1651" s="28">
        <v>4.0</v>
      </c>
      <c r="K1651" s="28" t="s">
        <v>57</v>
      </c>
      <c r="L1651" s="28" t="s">
        <v>1188</v>
      </c>
    </row>
    <row r="1652" ht="15.75" customHeight="1">
      <c r="A1652" s="28" t="s">
        <v>45</v>
      </c>
      <c r="B1652" s="28" t="s">
        <v>2111</v>
      </c>
      <c r="D1652" s="28" t="s">
        <v>1185</v>
      </c>
      <c r="E1652" s="28" t="s">
        <v>1273</v>
      </c>
      <c r="F1652" s="28" t="s">
        <v>1192</v>
      </c>
      <c r="G1652" s="28" t="s">
        <v>173</v>
      </c>
      <c r="H1652" s="28">
        <v>1.0</v>
      </c>
      <c r="I1652" s="28">
        <v>0.5562130177514792</v>
      </c>
      <c r="J1652" s="28">
        <v>8.0</v>
      </c>
      <c r="K1652" s="28" t="s">
        <v>57</v>
      </c>
      <c r="L1652" s="28" t="s">
        <v>1188</v>
      </c>
    </row>
    <row r="1653" ht="15.75" customHeight="1">
      <c r="A1653" s="28" t="s">
        <v>45</v>
      </c>
      <c r="B1653" s="28" t="s">
        <v>2111</v>
      </c>
      <c r="D1653" s="28" t="s">
        <v>1185</v>
      </c>
      <c r="E1653" s="28" t="s">
        <v>1274</v>
      </c>
      <c r="F1653" s="28" t="s">
        <v>1198</v>
      </c>
      <c r="G1653" s="28" t="s">
        <v>79</v>
      </c>
      <c r="H1653" s="28">
        <v>1.0</v>
      </c>
      <c r="I1653" s="28">
        <v>0.6787330316742082</v>
      </c>
      <c r="J1653" s="28">
        <v>11.0</v>
      </c>
      <c r="K1653" s="28" t="s">
        <v>57</v>
      </c>
      <c r="L1653" s="28" t="s">
        <v>1188</v>
      </c>
    </row>
    <row r="1654" ht="15.75" customHeight="1">
      <c r="A1654" s="28" t="s">
        <v>45</v>
      </c>
      <c r="B1654" s="28" t="s">
        <v>2111</v>
      </c>
      <c r="D1654" s="28" t="s">
        <v>1185</v>
      </c>
      <c r="E1654" s="28" t="s">
        <v>1275</v>
      </c>
      <c r="F1654" s="28" t="s">
        <v>1182</v>
      </c>
      <c r="G1654" s="28" t="s">
        <v>1200</v>
      </c>
      <c r="H1654" s="28">
        <v>1.0</v>
      </c>
      <c r="I1654" s="28">
        <v>0.6842105263157895</v>
      </c>
      <c r="J1654" s="28">
        <v>12.0</v>
      </c>
      <c r="K1654" s="28" t="s">
        <v>57</v>
      </c>
      <c r="L1654" s="28" t="s">
        <v>57</v>
      </c>
    </row>
    <row r="1655" ht="15.75" customHeight="1">
      <c r="A1655" s="28" t="s">
        <v>45</v>
      </c>
      <c r="B1655" s="28" t="s">
        <v>2111</v>
      </c>
      <c r="D1655" s="28" t="s">
        <v>1185</v>
      </c>
      <c r="E1655" s="28" t="s">
        <v>1276</v>
      </c>
      <c r="F1655" s="28" t="s">
        <v>1202</v>
      </c>
      <c r="G1655" s="28" t="s">
        <v>1203</v>
      </c>
      <c r="H1655" s="28">
        <v>1.0</v>
      </c>
      <c r="I1655" s="28">
        <v>0.7532467532467533</v>
      </c>
      <c r="J1655" s="28">
        <v>0.0</v>
      </c>
      <c r="K1655" s="28" t="s">
        <v>57</v>
      </c>
      <c r="L1655" s="28" t="s">
        <v>1188</v>
      </c>
    </row>
    <row r="1656" ht="15.75" customHeight="1">
      <c r="A1656" s="28" t="s">
        <v>45</v>
      </c>
      <c r="B1656" s="28" t="s">
        <v>2111</v>
      </c>
      <c r="D1656" s="28" t="s">
        <v>1185</v>
      </c>
      <c r="E1656" s="28" t="s">
        <v>1277</v>
      </c>
      <c r="F1656" s="28" t="s">
        <v>1207</v>
      </c>
      <c r="G1656" s="28" t="s">
        <v>73</v>
      </c>
      <c r="H1656" s="28">
        <v>1.0</v>
      </c>
      <c r="I1656" s="28">
        <v>0.7962466487935657</v>
      </c>
      <c r="J1656" s="28">
        <v>5.0</v>
      </c>
      <c r="K1656" s="28" t="s">
        <v>57</v>
      </c>
      <c r="L1656" s="28" t="s">
        <v>1188</v>
      </c>
    </row>
    <row r="1657" ht="15.75" customHeight="1">
      <c r="A1657" s="28" t="s">
        <v>45</v>
      </c>
      <c r="B1657" s="28" t="s">
        <v>2111</v>
      </c>
      <c r="D1657" s="28" t="s">
        <v>1185</v>
      </c>
      <c r="E1657" s="28" t="s">
        <v>1278</v>
      </c>
      <c r="F1657" s="28" t="s">
        <v>1209</v>
      </c>
      <c r="G1657" s="28" t="s">
        <v>54</v>
      </c>
      <c r="H1657" s="28">
        <v>1.0</v>
      </c>
      <c r="I1657" s="28">
        <v>0.9670818505338078</v>
      </c>
      <c r="J1657" s="28">
        <v>9.0</v>
      </c>
      <c r="K1657" s="28" t="s">
        <v>57</v>
      </c>
      <c r="L1657" s="28" t="s">
        <v>1188</v>
      </c>
    </row>
    <row r="1658" ht="15.75" customHeight="1">
      <c r="A1658" s="28" t="s">
        <v>45</v>
      </c>
      <c r="B1658" s="28" t="s">
        <v>2111</v>
      </c>
      <c r="D1658" s="28" t="s">
        <v>1203</v>
      </c>
      <c r="E1658" s="28" t="s">
        <v>1279</v>
      </c>
      <c r="F1658" s="28" t="s">
        <v>1280</v>
      </c>
      <c r="G1658" s="28" t="s">
        <v>73</v>
      </c>
      <c r="H1658" s="28">
        <v>1.0</v>
      </c>
      <c r="I1658" s="28">
        <v>0.23324396782841822</v>
      </c>
      <c r="J1658" s="28">
        <v>4.0</v>
      </c>
      <c r="K1658" s="28" t="s">
        <v>57</v>
      </c>
      <c r="L1658" s="28" t="s">
        <v>57</v>
      </c>
    </row>
    <row r="1659" ht="15.75" customHeight="1">
      <c r="A1659" s="28" t="s">
        <v>45</v>
      </c>
      <c r="B1659" s="28" t="s">
        <v>2111</v>
      </c>
      <c r="D1659" s="28" t="s">
        <v>1203</v>
      </c>
      <c r="E1659" s="28" t="s">
        <v>1281</v>
      </c>
      <c r="F1659" s="28" t="s">
        <v>1282</v>
      </c>
      <c r="G1659" s="28" t="s">
        <v>79</v>
      </c>
      <c r="H1659" s="28">
        <v>1.0</v>
      </c>
      <c r="I1659" s="28">
        <v>0.3181818181818182</v>
      </c>
      <c r="J1659" s="28">
        <v>10.0</v>
      </c>
      <c r="K1659" s="28" t="s">
        <v>57</v>
      </c>
      <c r="L1659" s="28" t="s">
        <v>57</v>
      </c>
    </row>
    <row r="1660" ht="15.75" customHeight="1">
      <c r="A1660" s="28" t="s">
        <v>45</v>
      </c>
      <c r="B1660" s="28" t="s">
        <v>2111</v>
      </c>
      <c r="D1660" s="28" t="s">
        <v>1203</v>
      </c>
      <c r="E1660" s="28" t="s">
        <v>1283</v>
      </c>
      <c r="F1660" s="28" t="s">
        <v>1284</v>
      </c>
      <c r="G1660" s="28" t="s">
        <v>173</v>
      </c>
      <c r="H1660" s="28">
        <v>1.0</v>
      </c>
      <c r="I1660" s="28">
        <v>0.4805194805194805</v>
      </c>
      <c r="J1660" s="28">
        <v>7.0</v>
      </c>
      <c r="K1660" s="28" t="s">
        <v>57</v>
      </c>
      <c r="L1660" s="28" t="s">
        <v>57</v>
      </c>
    </row>
    <row r="1661" ht="15.75" customHeight="1">
      <c r="A1661" s="28" t="s">
        <v>45</v>
      </c>
      <c r="B1661" s="28" t="s">
        <v>2111</v>
      </c>
      <c r="D1661" s="28" t="s">
        <v>1203</v>
      </c>
      <c r="E1661" s="28" t="s">
        <v>1285</v>
      </c>
      <c r="F1661" s="28" t="s">
        <v>1284</v>
      </c>
      <c r="G1661" s="28" t="s">
        <v>167</v>
      </c>
      <c r="H1661" s="28">
        <v>1.0</v>
      </c>
      <c r="I1661" s="28">
        <v>0.5097402597402597</v>
      </c>
      <c r="J1661" s="28">
        <v>3.0</v>
      </c>
      <c r="K1661" s="28" t="s">
        <v>57</v>
      </c>
      <c r="L1661" s="28" t="s">
        <v>57</v>
      </c>
    </row>
    <row r="1662" ht="15.75" customHeight="1">
      <c r="A1662" s="28" t="s">
        <v>45</v>
      </c>
      <c r="B1662" s="28" t="s">
        <v>2111</v>
      </c>
      <c r="D1662" s="28" t="s">
        <v>1203</v>
      </c>
      <c r="E1662" s="28" t="s">
        <v>1286</v>
      </c>
      <c r="F1662" s="28" t="s">
        <v>1287</v>
      </c>
      <c r="G1662" s="28" t="s">
        <v>234</v>
      </c>
      <c r="H1662" s="28">
        <v>1.0</v>
      </c>
      <c r="I1662" s="28">
        <v>0.6655844155844156</v>
      </c>
      <c r="J1662" s="28">
        <v>1.0</v>
      </c>
      <c r="K1662" s="28" t="s">
        <v>57</v>
      </c>
      <c r="L1662" s="28" t="s">
        <v>57</v>
      </c>
    </row>
    <row r="1663" ht="15.75" customHeight="1">
      <c r="A1663" s="28" t="s">
        <v>45</v>
      </c>
      <c r="B1663" s="28" t="s">
        <v>2111</v>
      </c>
      <c r="D1663" s="28" t="s">
        <v>1203</v>
      </c>
      <c r="E1663" s="28" t="s">
        <v>1288</v>
      </c>
      <c r="F1663" s="28" t="s">
        <v>1287</v>
      </c>
      <c r="G1663" s="28" t="s">
        <v>205</v>
      </c>
      <c r="H1663" s="28">
        <v>1.0</v>
      </c>
      <c r="I1663" s="28">
        <v>0.672077922077922</v>
      </c>
      <c r="J1663" s="28">
        <v>0.0</v>
      </c>
      <c r="K1663" s="28" t="s">
        <v>57</v>
      </c>
      <c r="L1663" s="28" t="s">
        <v>57</v>
      </c>
    </row>
    <row r="1664" ht="15.75" customHeight="1">
      <c r="A1664" s="28" t="s">
        <v>45</v>
      </c>
      <c r="B1664" s="28" t="s">
        <v>2111</v>
      </c>
      <c r="D1664" s="28" t="s">
        <v>1203</v>
      </c>
      <c r="E1664" s="28" t="s">
        <v>1289</v>
      </c>
      <c r="F1664" s="28" t="s">
        <v>1290</v>
      </c>
      <c r="G1664" s="28" t="s">
        <v>1200</v>
      </c>
      <c r="H1664" s="28">
        <v>1.0</v>
      </c>
      <c r="I1664" s="28">
        <v>0.6948051948051948</v>
      </c>
      <c r="J1664" s="28">
        <v>11.0</v>
      </c>
      <c r="K1664" s="28" t="s">
        <v>57</v>
      </c>
      <c r="L1664" s="28" t="s">
        <v>1188</v>
      </c>
    </row>
    <row r="1665" ht="15.75" customHeight="1">
      <c r="A1665" s="28" t="s">
        <v>45</v>
      </c>
      <c r="B1665" s="28" t="s">
        <v>2111</v>
      </c>
      <c r="D1665" s="28" t="s">
        <v>1203</v>
      </c>
      <c r="E1665" s="28" t="s">
        <v>1291</v>
      </c>
      <c r="F1665" s="28" t="s">
        <v>1290</v>
      </c>
      <c r="G1665" s="28" t="s">
        <v>1183</v>
      </c>
      <c r="H1665" s="28">
        <v>1.0</v>
      </c>
      <c r="I1665" s="28">
        <v>0.7662337662337663</v>
      </c>
      <c r="J1665" s="28">
        <v>14.0</v>
      </c>
      <c r="K1665" s="28" t="s">
        <v>57</v>
      </c>
      <c r="L1665" s="28" t="s">
        <v>1188</v>
      </c>
    </row>
    <row r="1666" ht="15.75" customHeight="1">
      <c r="A1666" s="28" t="s">
        <v>45</v>
      </c>
      <c r="B1666" s="28" t="s">
        <v>2111</v>
      </c>
      <c r="D1666" s="28" t="s">
        <v>1203</v>
      </c>
      <c r="E1666" s="28" t="s">
        <v>1292</v>
      </c>
      <c r="F1666" s="28" t="s">
        <v>1293</v>
      </c>
      <c r="G1666" s="28" t="s">
        <v>54</v>
      </c>
      <c r="H1666" s="28">
        <v>1.0</v>
      </c>
      <c r="I1666" s="28">
        <v>0.8669928825622776</v>
      </c>
      <c r="J1666" s="28">
        <v>8.0</v>
      </c>
      <c r="K1666" s="28" t="s">
        <v>57</v>
      </c>
      <c r="L1666" s="28" t="s">
        <v>57</v>
      </c>
    </row>
    <row r="1667" ht="15.75" customHeight="1">
      <c r="A1667" s="28" t="s">
        <v>45</v>
      </c>
      <c r="B1667" s="28" t="s">
        <v>2111</v>
      </c>
      <c r="D1667" s="28" t="s">
        <v>205</v>
      </c>
      <c r="E1667" s="28" t="s">
        <v>1294</v>
      </c>
      <c r="F1667" s="28" t="s">
        <v>203</v>
      </c>
      <c r="G1667" s="28" t="s">
        <v>234</v>
      </c>
      <c r="H1667" s="28">
        <v>1.0</v>
      </c>
      <c r="I1667" s="28">
        <v>0.06086956521739131</v>
      </c>
      <c r="J1667" s="28">
        <v>0.0</v>
      </c>
      <c r="K1667" s="28" t="s">
        <v>57</v>
      </c>
      <c r="L1667" s="28" t="s">
        <v>57</v>
      </c>
    </row>
    <row r="1668" ht="15.75" customHeight="1">
      <c r="A1668" s="28" t="s">
        <v>45</v>
      </c>
      <c r="B1668" s="28" t="s">
        <v>2111</v>
      </c>
      <c r="D1668" s="28" t="s">
        <v>205</v>
      </c>
      <c r="E1668" s="28" t="s">
        <v>1295</v>
      </c>
      <c r="F1668" s="28" t="s">
        <v>1213</v>
      </c>
      <c r="G1668" s="28" t="s">
        <v>167</v>
      </c>
      <c r="H1668" s="28">
        <v>1.0</v>
      </c>
      <c r="I1668" s="28">
        <v>0.35714285714285715</v>
      </c>
      <c r="J1668" s="28">
        <v>2.0</v>
      </c>
      <c r="K1668" s="28" t="s">
        <v>57</v>
      </c>
      <c r="L1668" s="28" t="s">
        <v>57</v>
      </c>
    </row>
    <row r="1669" ht="15.75" customHeight="1">
      <c r="A1669" s="28" t="s">
        <v>45</v>
      </c>
      <c r="B1669" s="28" t="s">
        <v>2111</v>
      </c>
      <c r="D1669" s="28" t="s">
        <v>205</v>
      </c>
      <c r="E1669" s="28" t="s">
        <v>1296</v>
      </c>
      <c r="F1669" s="28" t="s">
        <v>1216</v>
      </c>
      <c r="G1669" s="28" t="s">
        <v>1183</v>
      </c>
      <c r="H1669" s="28">
        <v>1.0</v>
      </c>
      <c r="I1669" s="28">
        <v>0.37719298245614036</v>
      </c>
      <c r="J1669" s="28">
        <v>13.0</v>
      </c>
      <c r="K1669" s="28" t="s">
        <v>57</v>
      </c>
      <c r="L1669" s="28" t="s">
        <v>1188</v>
      </c>
    </row>
    <row r="1670" ht="15.75" customHeight="1">
      <c r="A1670" s="28" t="s">
        <v>45</v>
      </c>
      <c r="B1670" s="28" t="s">
        <v>2111</v>
      </c>
      <c r="D1670" s="28" t="s">
        <v>205</v>
      </c>
      <c r="E1670" s="28" t="s">
        <v>1297</v>
      </c>
      <c r="F1670" s="28" t="s">
        <v>1213</v>
      </c>
      <c r="G1670" s="28" t="s">
        <v>173</v>
      </c>
      <c r="H1670" s="28">
        <v>1.0</v>
      </c>
      <c r="I1670" s="28">
        <v>0.42011834319526625</v>
      </c>
      <c r="J1670" s="28">
        <v>6.0</v>
      </c>
      <c r="K1670" s="28" t="s">
        <v>57</v>
      </c>
      <c r="L1670" s="28" t="s">
        <v>57</v>
      </c>
    </row>
    <row r="1671" ht="15.75" customHeight="1">
      <c r="A1671" s="28" t="s">
        <v>45</v>
      </c>
      <c r="B1671" s="28" t="s">
        <v>2111</v>
      </c>
      <c r="D1671" s="28" t="s">
        <v>205</v>
      </c>
      <c r="E1671" s="28" t="s">
        <v>1298</v>
      </c>
      <c r="F1671" s="28" t="s">
        <v>1221</v>
      </c>
      <c r="G1671" s="28" t="s">
        <v>79</v>
      </c>
      <c r="H1671" s="28">
        <v>1.0</v>
      </c>
      <c r="I1671" s="28">
        <v>0.5475113122171946</v>
      </c>
      <c r="J1671" s="28">
        <v>9.0</v>
      </c>
      <c r="K1671" s="28" t="s">
        <v>57</v>
      </c>
      <c r="L1671" s="28" t="s">
        <v>57</v>
      </c>
    </row>
    <row r="1672" ht="15.75" customHeight="1">
      <c r="A1672" s="28" t="s">
        <v>45</v>
      </c>
      <c r="B1672" s="28" t="s">
        <v>2111</v>
      </c>
      <c r="D1672" s="28" t="s">
        <v>205</v>
      </c>
      <c r="E1672" s="28" t="s">
        <v>1299</v>
      </c>
      <c r="F1672" s="28" t="s">
        <v>1216</v>
      </c>
      <c r="G1672" s="28" t="s">
        <v>1200</v>
      </c>
      <c r="H1672" s="28">
        <v>1.0</v>
      </c>
      <c r="I1672" s="28">
        <v>0.6602870813397129</v>
      </c>
      <c r="J1672" s="28">
        <v>10.0</v>
      </c>
      <c r="K1672" s="28" t="s">
        <v>57</v>
      </c>
      <c r="L1672" s="28" t="s">
        <v>1188</v>
      </c>
    </row>
    <row r="1673" ht="15.75" customHeight="1">
      <c r="A1673" s="28" t="s">
        <v>45</v>
      </c>
      <c r="B1673" s="28" t="s">
        <v>2111</v>
      </c>
      <c r="D1673" s="28" t="s">
        <v>205</v>
      </c>
      <c r="E1673" s="28" t="s">
        <v>1300</v>
      </c>
      <c r="F1673" s="28" t="s">
        <v>1227</v>
      </c>
      <c r="G1673" s="28" t="s">
        <v>73</v>
      </c>
      <c r="H1673" s="28">
        <v>1.0</v>
      </c>
      <c r="I1673" s="28">
        <v>0.7292225201072386</v>
      </c>
      <c r="J1673" s="28">
        <v>3.0</v>
      </c>
      <c r="K1673" s="28" t="s">
        <v>57</v>
      </c>
      <c r="L1673" s="28" t="s">
        <v>57</v>
      </c>
    </row>
    <row r="1674" ht="15.75" customHeight="1">
      <c r="A1674" s="28" t="s">
        <v>45</v>
      </c>
      <c r="B1674" s="28" t="s">
        <v>2111</v>
      </c>
      <c r="D1674" s="28" t="s">
        <v>205</v>
      </c>
      <c r="E1674" s="28" t="s">
        <v>1301</v>
      </c>
      <c r="F1674" s="28" t="s">
        <v>1230</v>
      </c>
      <c r="G1674" s="28" t="s">
        <v>54</v>
      </c>
      <c r="H1674" s="28">
        <v>1.0</v>
      </c>
      <c r="I1674" s="28">
        <v>0.9546263345195729</v>
      </c>
      <c r="J1674" s="28">
        <v>7.0</v>
      </c>
      <c r="K1674" s="28" t="s">
        <v>57</v>
      </c>
      <c r="L1674" s="28" t="s">
        <v>57</v>
      </c>
    </row>
    <row r="1675" ht="15.75" customHeight="1">
      <c r="A1675" s="28" t="s">
        <v>45</v>
      </c>
      <c r="B1675" s="28" t="s">
        <v>2111</v>
      </c>
      <c r="D1675" s="28" t="s">
        <v>234</v>
      </c>
      <c r="E1675" s="28" t="s">
        <v>1302</v>
      </c>
      <c r="F1675" s="28" t="s">
        <v>1213</v>
      </c>
      <c r="G1675" s="28" t="s">
        <v>167</v>
      </c>
      <c r="H1675" s="28">
        <v>1.0</v>
      </c>
      <c r="I1675" s="28">
        <v>0.33766233766233766</v>
      </c>
      <c r="J1675" s="28">
        <v>1.0</v>
      </c>
      <c r="K1675" s="28" t="s">
        <v>57</v>
      </c>
      <c r="L1675" s="28" t="s">
        <v>57</v>
      </c>
    </row>
    <row r="1676" ht="15.75" customHeight="1">
      <c r="A1676" s="28" t="s">
        <v>45</v>
      </c>
      <c r="B1676" s="28" t="s">
        <v>2111</v>
      </c>
      <c r="D1676" s="28" t="s">
        <v>234</v>
      </c>
      <c r="E1676" s="28" t="s">
        <v>1303</v>
      </c>
      <c r="F1676" s="28" t="s">
        <v>1213</v>
      </c>
      <c r="G1676" s="28" t="s">
        <v>173</v>
      </c>
      <c r="H1676" s="28">
        <v>1.0</v>
      </c>
      <c r="I1676" s="28">
        <v>0.39644970414201186</v>
      </c>
      <c r="J1676" s="28">
        <v>5.0</v>
      </c>
      <c r="K1676" s="28" t="s">
        <v>57</v>
      </c>
      <c r="L1676" s="28" t="s">
        <v>57</v>
      </c>
    </row>
    <row r="1677" ht="15.75" customHeight="1">
      <c r="A1677" s="28" t="s">
        <v>45</v>
      </c>
      <c r="B1677" s="28" t="s">
        <v>2111</v>
      </c>
      <c r="D1677" s="28" t="s">
        <v>234</v>
      </c>
      <c r="E1677" s="28" t="s">
        <v>1304</v>
      </c>
      <c r="F1677" s="28" t="s">
        <v>1216</v>
      </c>
      <c r="G1677" s="28" t="s">
        <v>1183</v>
      </c>
      <c r="H1677" s="28">
        <v>1.0</v>
      </c>
      <c r="I1677" s="28">
        <v>0.40869565217391307</v>
      </c>
      <c r="J1677" s="28">
        <v>12.0</v>
      </c>
      <c r="K1677" s="28" t="s">
        <v>57</v>
      </c>
      <c r="L1677" s="28" t="s">
        <v>1188</v>
      </c>
    </row>
    <row r="1678" ht="15.75" customHeight="1">
      <c r="A1678" s="28" t="s">
        <v>45</v>
      </c>
      <c r="B1678" s="28" t="s">
        <v>2111</v>
      </c>
      <c r="D1678" s="28" t="s">
        <v>234</v>
      </c>
      <c r="E1678" s="28" t="s">
        <v>1305</v>
      </c>
      <c r="F1678" s="28" t="s">
        <v>1221</v>
      </c>
      <c r="G1678" s="28" t="s">
        <v>79</v>
      </c>
      <c r="H1678" s="28">
        <v>1.0</v>
      </c>
      <c r="I1678" s="28">
        <v>0.5384615384615384</v>
      </c>
      <c r="J1678" s="28">
        <v>8.0</v>
      </c>
      <c r="K1678" s="28" t="s">
        <v>57</v>
      </c>
      <c r="L1678" s="28" t="s">
        <v>57</v>
      </c>
    </row>
    <row r="1679" ht="15.75" customHeight="1">
      <c r="A1679" s="28" t="s">
        <v>45</v>
      </c>
      <c r="B1679" s="28" t="s">
        <v>2111</v>
      </c>
      <c r="D1679" s="28" t="s">
        <v>234</v>
      </c>
      <c r="E1679" s="28" t="s">
        <v>1306</v>
      </c>
      <c r="F1679" s="28" t="s">
        <v>1216</v>
      </c>
      <c r="G1679" s="28" t="s">
        <v>1200</v>
      </c>
      <c r="H1679" s="28">
        <v>1.0</v>
      </c>
      <c r="I1679" s="28">
        <v>0.6698564593301436</v>
      </c>
      <c r="J1679" s="28">
        <v>9.0</v>
      </c>
      <c r="K1679" s="28" t="s">
        <v>57</v>
      </c>
      <c r="L1679" s="28" t="s">
        <v>1188</v>
      </c>
    </row>
    <row r="1680" ht="15.75" customHeight="1">
      <c r="A1680" s="28" t="s">
        <v>45</v>
      </c>
      <c r="B1680" s="28" t="s">
        <v>2111</v>
      </c>
      <c r="D1680" s="28" t="s">
        <v>234</v>
      </c>
      <c r="E1680" s="28" t="s">
        <v>1307</v>
      </c>
      <c r="F1680" s="28" t="s">
        <v>1227</v>
      </c>
      <c r="G1680" s="28" t="s">
        <v>73</v>
      </c>
      <c r="H1680" s="28">
        <v>1.0</v>
      </c>
      <c r="I1680" s="28">
        <v>0.7265415549597856</v>
      </c>
      <c r="J1680" s="28">
        <v>2.0</v>
      </c>
      <c r="K1680" s="28" t="s">
        <v>57</v>
      </c>
      <c r="L1680" s="28" t="s">
        <v>57</v>
      </c>
    </row>
    <row r="1681" ht="15.75" customHeight="1">
      <c r="A1681" s="28" t="s">
        <v>45</v>
      </c>
      <c r="B1681" s="28" t="s">
        <v>2111</v>
      </c>
      <c r="D1681" s="28" t="s">
        <v>234</v>
      </c>
      <c r="E1681" s="28" t="s">
        <v>1308</v>
      </c>
      <c r="F1681" s="28" t="s">
        <v>1230</v>
      </c>
      <c r="G1681" s="28" t="s">
        <v>54</v>
      </c>
      <c r="H1681" s="28">
        <v>1.0</v>
      </c>
      <c r="I1681" s="28">
        <v>0.9541814946619217</v>
      </c>
      <c r="J1681" s="28">
        <v>6.0</v>
      </c>
      <c r="K1681" s="28" t="s">
        <v>57</v>
      </c>
      <c r="L1681" s="28" t="s">
        <v>57</v>
      </c>
    </row>
    <row r="1682" ht="15.75" customHeight="1">
      <c r="A1682" s="28" t="s">
        <v>45</v>
      </c>
      <c r="B1682" s="28" t="s">
        <v>2111</v>
      </c>
      <c r="D1682" s="28" t="s">
        <v>167</v>
      </c>
      <c r="E1682" s="28" t="s">
        <v>1309</v>
      </c>
      <c r="F1682" s="28" t="s">
        <v>171</v>
      </c>
      <c r="G1682" s="28" t="s">
        <v>173</v>
      </c>
      <c r="H1682" s="28">
        <v>1.0</v>
      </c>
      <c r="I1682" s="28">
        <v>0.14792899408284024</v>
      </c>
      <c r="J1682" s="28">
        <v>3.0</v>
      </c>
      <c r="K1682" s="28" t="s">
        <v>57</v>
      </c>
      <c r="L1682" s="28" t="s">
        <v>57</v>
      </c>
    </row>
    <row r="1683" ht="15.75" customHeight="1">
      <c r="A1683" s="28" t="s">
        <v>45</v>
      </c>
      <c r="B1683" s="28" t="s">
        <v>2111</v>
      </c>
      <c r="D1683" s="28" t="s">
        <v>167</v>
      </c>
      <c r="E1683" s="28" t="s">
        <v>1310</v>
      </c>
      <c r="F1683" s="28" t="s">
        <v>1311</v>
      </c>
      <c r="G1683" s="28" t="s">
        <v>79</v>
      </c>
      <c r="H1683" s="28">
        <v>1.0</v>
      </c>
      <c r="I1683" s="28">
        <v>0.3755656108597285</v>
      </c>
      <c r="J1683" s="28">
        <v>6.0</v>
      </c>
      <c r="K1683" s="28" t="s">
        <v>57</v>
      </c>
      <c r="L1683" s="28" t="s">
        <v>57</v>
      </c>
    </row>
    <row r="1684" ht="15.75" customHeight="1">
      <c r="A1684" s="28" t="s">
        <v>45</v>
      </c>
      <c r="B1684" s="28" t="s">
        <v>2111</v>
      </c>
      <c r="D1684" s="28" t="s">
        <v>167</v>
      </c>
      <c r="E1684" s="28" t="s">
        <v>1312</v>
      </c>
      <c r="F1684" s="28" t="s">
        <v>1313</v>
      </c>
      <c r="G1684" s="28" t="s">
        <v>1183</v>
      </c>
      <c r="H1684" s="28">
        <v>1.0</v>
      </c>
      <c r="I1684" s="28">
        <v>0.5584415584415584</v>
      </c>
      <c r="J1684" s="28">
        <v>10.0</v>
      </c>
      <c r="K1684" s="28" t="s">
        <v>57</v>
      </c>
      <c r="L1684" s="28" t="s">
        <v>1188</v>
      </c>
    </row>
    <row r="1685" ht="15.75" customHeight="1">
      <c r="A1685" s="28" t="s">
        <v>45</v>
      </c>
      <c r="B1685" s="28" t="s">
        <v>2111</v>
      </c>
      <c r="D1685" s="28" t="s">
        <v>167</v>
      </c>
      <c r="E1685" s="28" t="s">
        <v>1314</v>
      </c>
      <c r="F1685" s="28" t="s">
        <v>1315</v>
      </c>
      <c r="G1685" s="28" t="s">
        <v>73</v>
      </c>
      <c r="H1685" s="28">
        <v>1.0</v>
      </c>
      <c r="I1685" s="28">
        <v>0.5978552278820375</v>
      </c>
      <c r="J1685" s="28">
        <v>0.0</v>
      </c>
      <c r="K1685" s="28" t="s">
        <v>57</v>
      </c>
      <c r="L1685" s="28" t="s">
        <v>57</v>
      </c>
    </row>
    <row r="1686" ht="15.75" customHeight="1">
      <c r="A1686" s="28" t="s">
        <v>45</v>
      </c>
      <c r="B1686" s="28" t="s">
        <v>2111</v>
      </c>
      <c r="D1686" s="28" t="s">
        <v>167</v>
      </c>
      <c r="E1686" s="28" t="s">
        <v>1316</v>
      </c>
      <c r="F1686" s="28" t="s">
        <v>1313</v>
      </c>
      <c r="G1686" s="28" t="s">
        <v>1200</v>
      </c>
      <c r="H1686" s="28">
        <v>1.0</v>
      </c>
      <c r="I1686" s="28">
        <v>0.645933014354067</v>
      </c>
      <c r="J1686" s="28">
        <v>7.0</v>
      </c>
      <c r="K1686" s="28" t="s">
        <v>57</v>
      </c>
      <c r="L1686" s="28" t="s">
        <v>1188</v>
      </c>
    </row>
    <row r="1687" ht="15.75" customHeight="1">
      <c r="A1687" s="28" t="s">
        <v>45</v>
      </c>
      <c r="B1687" s="28" t="s">
        <v>2111</v>
      </c>
      <c r="D1687" s="28" t="s">
        <v>167</v>
      </c>
      <c r="E1687" s="28" t="s">
        <v>1317</v>
      </c>
      <c r="F1687" s="28" t="s">
        <v>1318</v>
      </c>
      <c r="G1687" s="28" t="s">
        <v>54</v>
      </c>
      <c r="H1687" s="28">
        <v>1.0</v>
      </c>
      <c r="I1687" s="28">
        <v>0.9341637010676157</v>
      </c>
      <c r="J1687" s="28">
        <v>4.0</v>
      </c>
      <c r="K1687" s="28" t="s">
        <v>57</v>
      </c>
      <c r="L1687" s="28" t="s">
        <v>57</v>
      </c>
    </row>
    <row r="1688" ht="15.75" customHeight="1">
      <c r="A1688" s="28" t="s">
        <v>45</v>
      </c>
      <c r="B1688" s="28" t="s">
        <v>2111</v>
      </c>
      <c r="D1688" s="28" t="s">
        <v>73</v>
      </c>
      <c r="E1688" s="28" t="s">
        <v>1319</v>
      </c>
      <c r="F1688" s="28" t="s">
        <v>1320</v>
      </c>
      <c r="G1688" s="28" t="s">
        <v>79</v>
      </c>
      <c r="H1688" s="28">
        <v>1.0</v>
      </c>
      <c r="I1688" s="28">
        <v>0.4450402144772118</v>
      </c>
      <c r="J1688" s="28">
        <v>5.0</v>
      </c>
      <c r="K1688" s="28" t="s">
        <v>57</v>
      </c>
      <c r="L1688" s="28" t="s">
        <v>57</v>
      </c>
    </row>
    <row r="1689" ht="15.75" customHeight="1">
      <c r="A1689" s="28" t="s">
        <v>45</v>
      </c>
      <c r="B1689" s="28" t="s">
        <v>2111</v>
      </c>
      <c r="D1689" s="28" t="s">
        <v>73</v>
      </c>
      <c r="E1689" s="28" t="s">
        <v>1321</v>
      </c>
      <c r="F1689" s="28" t="s">
        <v>1322</v>
      </c>
      <c r="G1689" s="28" t="s">
        <v>173</v>
      </c>
      <c r="H1689" s="28">
        <v>1.0</v>
      </c>
      <c r="I1689" s="28">
        <v>0.5710455764075067</v>
      </c>
      <c r="J1689" s="28">
        <v>2.0</v>
      </c>
      <c r="K1689" s="28" t="s">
        <v>57</v>
      </c>
      <c r="L1689" s="28" t="s">
        <v>57</v>
      </c>
    </row>
    <row r="1690" ht="15.75" customHeight="1">
      <c r="A1690" s="28" t="s">
        <v>45</v>
      </c>
      <c r="B1690" s="28" t="s">
        <v>2111</v>
      </c>
      <c r="D1690" s="28" t="s">
        <v>73</v>
      </c>
      <c r="E1690" s="28" t="s">
        <v>1323</v>
      </c>
      <c r="F1690" s="28" t="s">
        <v>1324</v>
      </c>
      <c r="G1690" s="28" t="s">
        <v>1200</v>
      </c>
      <c r="H1690" s="28">
        <v>1.0</v>
      </c>
      <c r="I1690" s="28">
        <v>0.7319034852546917</v>
      </c>
      <c r="J1690" s="28">
        <v>6.0</v>
      </c>
      <c r="K1690" s="28" t="s">
        <v>57</v>
      </c>
      <c r="L1690" s="28" t="s">
        <v>1188</v>
      </c>
    </row>
    <row r="1691" ht="15.75" customHeight="1">
      <c r="A1691" s="28" t="s">
        <v>45</v>
      </c>
      <c r="B1691" s="28" t="s">
        <v>2111</v>
      </c>
      <c r="D1691" s="28" t="s">
        <v>73</v>
      </c>
      <c r="E1691" s="28" t="s">
        <v>1325</v>
      </c>
      <c r="F1691" s="28" t="s">
        <v>1324</v>
      </c>
      <c r="G1691" s="28" t="s">
        <v>1183</v>
      </c>
      <c r="H1691" s="28">
        <v>1.0</v>
      </c>
      <c r="I1691" s="28">
        <v>0.806970509383378</v>
      </c>
      <c r="J1691" s="28">
        <v>9.0</v>
      </c>
      <c r="K1691" s="28" t="s">
        <v>57</v>
      </c>
      <c r="L1691" s="28" t="s">
        <v>1188</v>
      </c>
    </row>
    <row r="1692" ht="15.75" customHeight="1">
      <c r="A1692" s="28" t="s">
        <v>45</v>
      </c>
      <c r="B1692" s="28" t="s">
        <v>2111</v>
      </c>
      <c r="D1692" s="28" t="s">
        <v>73</v>
      </c>
      <c r="E1692" s="28" t="s">
        <v>1326</v>
      </c>
      <c r="F1692" s="28" t="s">
        <v>1327</v>
      </c>
      <c r="G1692" s="28" t="s">
        <v>54</v>
      </c>
      <c r="H1692" s="28">
        <v>1.0</v>
      </c>
      <c r="I1692" s="28">
        <v>0.8362989323843416</v>
      </c>
      <c r="J1692" s="28">
        <v>3.0</v>
      </c>
      <c r="K1692" s="28" t="s">
        <v>57</v>
      </c>
      <c r="L1692" s="28" t="s">
        <v>57</v>
      </c>
    </row>
    <row r="1693" ht="15.75" customHeight="1">
      <c r="A1693" s="28" t="s">
        <v>45</v>
      </c>
      <c r="B1693" s="28" t="s">
        <v>2111</v>
      </c>
      <c r="D1693" s="28" t="s">
        <v>123</v>
      </c>
      <c r="E1693" s="28" t="s">
        <v>2084</v>
      </c>
      <c r="F1693" s="28" t="s">
        <v>317</v>
      </c>
      <c r="G1693" s="28" t="s">
        <v>324</v>
      </c>
      <c r="H1693" s="28">
        <v>1.0</v>
      </c>
      <c r="I1693" s="28">
        <v>0.6506666666666666</v>
      </c>
      <c r="J1693" s="28">
        <v>6.0</v>
      </c>
      <c r="K1693" s="28" t="s">
        <v>57</v>
      </c>
      <c r="L1693" s="28" t="s">
        <v>1329</v>
      </c>
    </row>
    <row r="1694" ht="15.75" customHeight="1">
      <c r="A1694" s="28" t="s">
        <v>45</v>
      </c>
      <c r="B1694" s="28" t="s">
        <v>2111</v>
      </c>
      <c r="D1694" s="28" t="s">
        <v>123</v>
      </c>
      <c r="E1694" s="28" t="s">
        <v>2085</v>
      </c>
      <c r="F1694" s="28" t="s">
        <v>317</v>
      </c>
      <c r="G1694" s="28" t="s">
        <v>182</v>
      </c>
      <c r="H1694" s="28">
        <v>1.0</v>
      </c>
      <c r="I1694" s="28">
        <v>0.656</v>
      </c>
      <c r="J1694" s="28">
        <v>5.0</v>
      </c>
      <c r="K1694" s="28" t="s">
        <v>57</v>
      </c>
      <c r="L1694" s="28" t="s">
        <v>1329</v>
      </c>
    </row>
    <row r="1695" ht="15.75" customHeight="1">
      <c r="A1695" s="28" t="s">
        <v>45</v>
      </c>
      <c r="B1695" s="28" t="s">
        <v>2111</v>
      </c>
      <c r="D1695" s="28" t="s">
        <v>173</v>
      </c>
      <c r="E1695" s="28" t="s">
        <v>1331</v>
      </c>
      <c r="F1695" s="28" t="s">
        <v>1311</v>
      </c>
      <c r="G1695" s="28" t="s">
        <v>79</v>
      </c>
      <c r="H1695" s="28">
        <v>1.0</v>
      </c>
      <c r="I1695" s="28">
        <v>0.3755656108597285</v>
      </c>
      <c r="J1695" s="28">
        <v>2.0</v>
      </c>
      <c r="K1695" s="28" t="s">
        <v>57</v>
      </c>
      <c r="L1695" s="28" t="s">
        <v>57</v>
      </c>
    </row>
    <row r="1696" ht="15.75" customHeight="1">
      <c r="A1696" s="28" t="s">
        <v>45</v>
      </c>
      <c r="B1696" s="28" t="s">
        <v>2111</v>
      </c>
      <c r="D1696" s="28" t="s">
        <v>173</v>
      </c>
      <c r="E1696" s="28" t="s">
        <v>1332</v>
      </c>
      <c r="F1696" s="28" t="s">
        <v>1313</v>
      </c>
      <c r="G1696" s="28" t="s">
        <v>1183</v>
      </c>
      <c r="H1696" s="28">
        <v>1.0</v>
      </c>
      <c r="I1696" s="28">
        <v>0.5976331360946746</v>
      </c>
      <c r="J1696" s="28">
        <v>6.0</v>
      </c>
      <c r="K1696" s="28" t="s">
        <v>57</v>
      </c>
      <c r="L1696" s="28" t="s">
        <v>1188</v>
      </c>
    </row>
    <row r="1697" ht="15.75" customHeight="1">
      <c r="A1697" s="28" t="s">
        <v>45</v>
      </c>
      <c r="B1697" s="28" t="s">
        <v>2111</v>
      </c>
      <c r="D1697" s="28" t="s">
        <v>173</v>
      </c>
      <c r="E1697" s="28" t="s">
        <v>1333</v>
      </c>
      <c r="F1697" s="28" t="s">
        <v>1313</v>
      </c>
      <c r="G1697" s="28" t="s">
        <v>1200</v>
      </c>
      <c r="H1697" s="28">
        <v>1.0</v>
      </c>
      <c r="I1697" s="28">
        <v>0.6602870813397129</v>
      </c>
      <c r="J1697" s="28">
        <v>3.0</v>
      </c>
      <c r="K1697" s="28" t="s">
        <v>57</v>
      </c>
      <c r="L1697" s="28" t="s">
        <v>1188</v>
      </c>
    </row>
    <row r="1698" ht="15.75" customHeight="1">
      <c r="A1698" s="28" t="s">
        <v>45</v>
      </c>
      <c r="B1698" s="28" t="s">
        <v>2111</v>
      </c>
      <c r="D1698" s="28" t="s">
        <v>173</v>
      </c>
      <c r="E1698" s="28" t="s">
        <v>1334</v>
      </c>
      <c r="F1698" s="28" t="s">
        <v>1318</v>
      </c>
      <c r="G1698" s="28" t="s">
        <v>54</v>
      </c>
      <c r="H1698" s="28">
        <v>1.0</v>
      </c>
      <c r="I1698" s="28">
        <v>0.9279359430604982</v>
      </c>
      <c r="J1698" s="28">
        <v>0.0</v>
      </c>
      <c r="K1698" s="28" t="s">
        <v>57</v>
      </c>
      <c r="L1698" s="28" t="s">
        <v>57</v>
      </c>
    </row>
    <row r="1699" ht="15.75" customHeight="1">
      <c r="A1699" s="28" t="s">
        <v>45</v>
      </c>
      <c r="B1699" s="28" t="s">
        <v>2111</v>
      </c>
      <c r="D1699" s="28" t="s">
        <v>54</v>
      </c>
      <c r="E1699" s="28" t="s">
        <v>1335</v>
      </c>
      <c r="F1699" s="28" t="s">
        <v>1336</v>
      </c>
      <c r="G1699" s="28" t="s">
        <v>79</v>
      </c>
      <c r="H1699" s="28">
        <v>1.0</v>
      </c>
      <c r="I1699" s="28">
        <v>0.9034697508896797</v>
      </c>
      <c r="J1699" s="28">
        <v>1.0</v>
      </c>
      <c r="K1699" s="28" t="s">
        <v>57</v>
      </c>
      <c r="L1699" s="28" t="s">
        <v>57</v>
      </c>
    </row>
    <row r="1700" ht="15.75" customHeight="1">
      <c r="A1700" s="28" t="s">
        <v>45</v>
      </c>
      <c r="B1700" s="28" t="s">
        <v>2111</v>
      </c>
      <c r="D1700" s="28" t="s">
        <v>54</v>
      </c>
      <c r="E1700" s="28" t="s">
        <v>1337</v>
      </c>
      <c r="F1700" s="28" t="s">
        <v>1338</v>
      </c>
      <c r="G1700" s="28" t="s">
        <v>1200</v>
      </c>
      <c r="H1700" s="28">
        <v>1.0</v>
      </c>
      <c r="I1700" s="28">
        <v>0.9190391459074733</v>
      </c>
      <c r="J1700" s="28">
        <v>2.0</v>
      </c>
      <c r="K1700" s="28" t="s">
        <v>57</v>
      </c>
      <c r="L1700" s="28" t="s">
        <v>1188</v>
      </c>
    </row>
    <row r="1701" ht="15.75" customHeight="1">
      <c r="A1701" s="28" t="s">
        <v>45</v>
      </c>
      <c r="B1701" s="28" t="s">
        <v>2111</v>
      </c>
      <c r="D1701" s="28" t="s">
        <v>54</v>
      </c>
      <c r="E1701" s="28" t="s">
        <v>1339</v>
      </c>
      <c r="F1701" s="28" t="s">
        <v>1338</v>
      </c>
      <c r="G1701" s="28" t="s">
        <v>1183</v>
      </c>
      <c r="H1701" s="28">
        <v>1.0</v>
      </c>
      <c r="I1701" s="28">
        <v>0.9679715302491103</v>
      </c>
      <c r="J1701" s="28">
        <v>5.0</v>
      </c>
      <c r="K1701" s="28" t="s">
        <v>57</v>
      </c>
      <c r="L1701" s="28" t="s">
        <v>1188</v>
      </c>
    </row>
    <row r="1702" ht="15.75" customHeight="1">
      <c r="A1702" s="28" t="s">
        <v>45</v>
      </c>
      <c r="B1702" s="28" t="s">
        <v>2111</v>
      </c>
      <c r="D1702" s="28" t="s">
        <v>79</v>
      </c>
      <c r="E1702" s="28" t="s">
        <v>1340</v>
      </c>
      <c r="F1702" s="28" t="s">
        <v>1341</v>
      </c>
      <c r="G1702" s="28" t="s">
        <v>1200</v>
      </c>
      <c r="H1702" s="28">
        <v>1.0</v>
      </c>
      <c r="I1702" s="28">
        <v>0.6199095022624435</v>
      </c>
      <c r="J1702" s="28">
        <v>0.0</v>
      </c>
      <c r="K1702" s="28" t="s">
        <v>57</v>
      </c>
      <c r="L1702" s="28" t="s">
        <v>1188</v>
      </c>
    </row>
    <row r="1703" ht="15.75" customHeight="1">
      <c r="A1703" s="28" t="s">
        <v>45</v>
      </c>
      <c r="B1703" s="28" t="s">
        <v>2111</v>
      </c>
      <c r="D1703" s="28" t="s">
        <v>79</v>
      </c>
      <c r="E1703" s="28" t="s">
        <v>1342</v>
      </c>
      <c r="F1703" s="28" t="s">
        <v>1341</v>
      </c>
      <c r="G1703" s="28" t="s">
        <v>1183</v>
      </c>
      <c r="H1703" s="28">
        <v>1.0</v>
      </c>
      <c r="I1703" s="28">
        <v>0.669683257918552</v>
      </c>
      <c r="J1703" s="28">
        <v>3.0</v>
      </c>
      <c r="K1703" s="28" t="s">
        <v>57</v>
      </c>
      <c r="L1703" s="28" t="s">
        <v>1188</v>
      </c>
    </row>
    <row r="1704" ht="15.75" customHeight="1">
      <c r="A1704" s="28" t="s">
        <v>45</v>
      </c>
      <c r="B1704" s="28" t="s">
        <v>2111</v>
      </c>
      <c r="D1704" s="28" t="s">
        <v>1200</v>
      </c>
      <c r="E1704" s="28" t="s">
        <v>1343</v>
      </c>
      <c r="F1704" s="28" t="s">
        <v>1182</v>
      </c>
      <c r="G1704" s="28" t="s">
        <v>1183</v>
      </c>
      <c r="H1704" s="28">
        <v>1.0</v>
      </c>
      <c r="I1704" s="28">
        <v>0.6602870813397129</v>
      </c>
      <c r="J1704" s="28">
        <v>2.0</v>
      </c>
      <c r="K1704" s="28" t="s">
        <v>57</v>
      </c>
      <c r="L1704" s="28" t="s">
        <v>57</v>
      </c>
    </row>
    <row r="1705" ht="15.75" customHeight="1">
      <c r="A1705" s="28" t="s">
        <v>45</v>
      </c>
      <c r="B1705" s="28" t="s">
        <v>2111</v>
      </c>
      <c r="D1705" s="28" t="s">
        <v>182</v>
      </c>
      <c r="E1705" s="28" t="s">
        <v>2086</v>
      </c>
      <c r="F1705" s="28" t="s">
        <v>608</v>
      </c>
      <c r="G1705" s="28" t="s">
        <v>324</v>
      </c>
      <c r="H1705" s="28">
        <v>1.0</v>
      </c>
      <c r="I1705" s="28">
        <v>0.1</v>
      </c>
      <c r="J1705" s="28">
        <v>0.0</v>
      </c>
      <c r="K1705" s="28" t="s">
        <v>57</v>
      </c>
      <c r="L1705" s="28" t="s">
        <v>57</v>
      </c>
    </row>
    <row r="1706" ht="15.75" customHeight="1">
      <c r="A1706" s="28" t="s">
        <v>45</v>
      </c>
      <c r="B1706" s="28" t="s">
        <v>2111</v>
      </c>
      <c r="D1706" s="28" t="s">
        <v>991</v>
      </c>
      <c r="E1706" s="28" t="s">
        <v>2087</v>
      </c>
      <c r="F1706" s="28" t="s">
        <v>2029</v>
      </c>
      <c r="G1706" s="28" t="s">
        <v>994</v>
      </c>
      <c r="H1706" s="28">
        <v>1.0</v>
      </c>
      <c r="I1706" s="28">
        <v>0.003105590062111801</v>
      </c>
      <c r="J1706" s="28">
        <v>0.0</v>
      </c>
      <c r="K1706" s="28" t="s">
        <v>57</v>
      </c>
      <c r="L1706" s="28" t="s">
        <v>57</v>
      </c>
    </row>
    <row r="1707" ht="15.75" customHeight="1">
      <c r="A1707" s="28" t="s">
        <v>153</v>
      </c>
      <c r="B1707" s="28" t="s">
        <v>2111</v>
      </c>
      <c r="D1707" s="28" t="s">
        <v>156</v>
      </c>
      <c r="E1707" s="28" t="s">
        <v>1345</v>
      </c>
      <c r="F1707" s="28" t="s">
        <v>219</v>
      </c>
      <c r="G1707" s="28" t="s">
        <v>221</v>
      </c>
      <c r="H1707" s="28">
        <v>1.0</v>
      </c>
      <c r="I1707" s="28">
        <v>0.23325062034739455</v>
      </c>
      <c r="J1707" s="28">
        <v>5.0</v>
      </c>
      <c r="K1707" s="28" t="s">
        <v>57</v>
      </c>
      <c r="L1707" s="28" t="s">
        <v>57</v>
      </c>
    </row>
    <row r="1708" ht="15.75" customHeight="1">
      <c r="A1708" s="28" t="s">
        <v>153</v>
      </c>
      <c r="B1708" s="28" t="s">
        <v>2111</v>
      </c>
      <c r="D1708" s="28" t="s">
        <v>156</v>
      </c>
      <c r="E1708" s="28" t="s">
        <v>1346</v>
      </c>
      <c r="F1708" s="28" t="s">
        <v>1347</v>
      </c>
      <c r="G1708" s="28" t="s">
        <v>1348</v>
      </c>
      <c r="H1708" s="28">
        <v>1.0</v>
      </c>
      <c r="I1708" s="28">
        <v>0.24649298597194388</v>
      </c>
      <c r="J1708" s="28">
        <v>0.0</v>
      </c>
      <c r="K1708" s="28" t="s">
        <v>57</v>
      </c>
      <c r="L1708" s="28" t="s">
        <v>57</v>
      </c>
    </row>
    <row r="1709" ht="15.75" customHeight="1">
      <c r="A1709" s="28" t="s">
        <v>153</v>
      </c>
      <c r="B1709" s="28" t="s">
        <v>2111</v>
      </c>
      <c r="D1709" s="28" t="s">
        <v>156</v>
      </c>
      <c r="E1709" s="28" t="s">
        <v>1349</v>
      </c>
      <c r="F1709" s="28" t="s">
        <v>160</v>
      </c>
      <c r="G1709" s="28" t="s">
        <v>228</v>
      </c>
      <c r="H1709" s="28">
        <v>1.0</v>
      </c>
      <c r="I1709" s="28">
        <v>0.8238213399503722</v>
      </c>
      <c r="J1709" s="28">
        <v>8.0</v>
      </c>
      <c r="K1709" s="28" t="s">
        <v>57</v>
      </c>
      <c r="L1709" s="28" t="s">
        <v>568</v>
      </c>
    </row>
    <row r="1710" ht="15.75" customHeight="1">
      <c r="A1710" s="28" t="s">
        <v>153</v>
      </c>
      <c r="B1710" s="28" t="s">
        <v>2111</v>
      </c>
      <c r="D1710" s="28" t="s">
        <v>156</v>
      </c>
      <c r="E1710" s="28" t="s">
        <v>1350</v>
      </c>
      <c r="F1710" s="28" t="s">
        <v>160</v>
      </c>
      <c r="G1710" s="28" t="s">
        <v>162</v>
      </c>
      <c r="H1710" s="28">
        <v>1.0</v>
      </c>
      <c r="I1710" s="28">
        <v>0.8411910669975186</v>
      </c>
      <c r="J1710" s="28">
        <v>3.0</v>
      </c>
      <c r="K1710" s="28" t="s">
        <v>57</v>
      </c>
      <c r="L1710" s="28" t="s">
        <v>568</v>
      </c>
    </row>
    <row r="1711" ht="15.75" customHeight="1">
      <c r="A1711" s="28" t="s">
        <v>153</v>
      </c>
      <c r="B1711" s="28" t="s">
        <v>2111</v>
      </c>
      <c r="D1711" s="28" t="s">
        <v>1348</v>
      </c>
      <c r="E1711" s="28" t="s">
        <v>1351</v>
      </c>
      <c r="F1711" s="28" t="s">
        <v>1352</v>
      </c>
      <c r="G1711" s="28" t="s">
        <v>221</v>
      </c>
      <c r="H1711" s="28">
        <v>1.0</v>
      </c>
      <c r="I1711" s="28">
        <v>0.3907815631262525</v>
      </c>
      <c r="J1711" s="28">
        <v>4.0</v>
      </c>
      <c r="K1711" s="28" t="s">
        <v>57</v>
      </c>
      <c r="L1711" s="28" t="s">
        <v>57</v>
      </c>
    </row>
    <row r="1712" ht="15.75" customHeight="1">
      <c r="A1712" s="28" t="s">
        <v>153</v>
      </c>
      <c r="B1712" s="28" t="s">
        <v>2111</v>
      </c>
      <c r="D1712" s="28" t="s">
        <v>1348</v>
      </c>
      <c r="E1712" s="28" t="s">
        <v>1353</v>
      </c>
      <c r="F1712" s="28" t="s">
        <v>1354</v>
      </c>
      <c r="G1712" s="28" t="s">
        <v>228</v>
      </c>
      <c r="H1712" s="28">
        <v>1.0</v>
      </c>
      <c r="I1712" s="28">
        <v>0.8617234468937875</v>
      </c>
      <c r="J1712" s="28">
        <v>7.0</v>
      </c>
      <c r="K1712" s="28" t="s">
        <v>57</v>
      </c>
      <c r="L1712" s="28" t="s">
        <v>568</v>
      </c>
    </row>
    <row r="1713" ht="15.75" customHeight="1">
      <c r="A1713" s="28" t="s">
        <v>153</v>
      </c>
      <c r="B1713" s="28" t="s">
        <v>2111</v>
      </c>
      <c r="D1713" s="28" t="s">
        <v>1348</v>
      </c>
      <c r="E1713" s="28" t="s">
        <v>1355</v>
      </c>
      <c r="F1713" s="28" t="s">
        <v>1354</v>
      </c>
      <c r="G1713" s="28" t="s">
        <v>162</v>
      </c>
      <c r="H1713" s="28">
        <v>1.0</v>
      </c>
      <c r="I1713" s="28">
        <v>0.87374749498998</v>
      </c>
      <c r="J1713" s="28">
        <v>2.0</v>
      </c>
      <c r="K1713" s="28" t="s">
        <v>57</v>
      </c>
      <c r="L1713" s="28" t="s">
        <v>568</v>
      </c>
    </row>
    <row r="1714" ht="15.75" customHeight="1">
      <c r="A1714" s="28" t="s">
        <v>153</v>
      </c>
      <c r="B1714" s="28" t="s">
        <v>2111</v>
      </c>
      <c r="D1714" s="28" t="s">
        <v>162</v>
      </c>
      <c r="E1714" s="28" t="s">
        <v>224</v>
      </c>
      <c r="F1714" s="28" t="s">
        <v>226</v>
      </c>
      <c r="G1714" s="28" t="s">
        <v>228</v>
      </c>
      <c r="H1714" s="28">
        <v>1.0</v>
      </c>
      <c r="I1714" s="28">
        <v>0.16</v>
      </c>
      <c r="J1714" s="28">
        <v>4.0</v>
      </c>
      <c r="K1714" s="28" t="s">
        <v>57</v>
      </c>
      <c r="L1714" s="28" t="s">
        <v>57</v>
      </c>
    </row>
    <row r="1715" ht="15.75" customHeight="1">
      <c r="A1715" s="28" t="s">
        <v>153</v>
      </c>
      <c r="B1715" s="28" t="s">
        <v>2111</v>
      </c>
      <c r="D1715" s="28" t="s">
        <v>162</v>
      </c>
      <c r="E1715" s="28" t="s">
        <v>1356</v>
      </c>
      <c r="F1715" s="28" t="s">
        <v>1357</v>
      </c>
      <c r="G1715" s="28" t="s">
        <v>221</v>
      </c>
      <c r="H1715" s="28">
        <v>1.0</v>
      </c>
      <c r="I1715" s="28">
        <v>0.8085106382978723</v>
      </c>
      <c r="J1715" s="28">
        <v>1.0</v>
      </c>
      <c r="K1715" s="28" t="s">
        <v>57</v>
      </c>
      <c r="L1715" s="28" t="s">
        <v>568</v>
      </c>
    </row>
    <row r="1716" ht="15.75" customHeight="1">
      <c r="A1716" s="28" t="s">
        <v>153</v>
      </c>
      <c r="B1716" s="28" t="s">
        <v>2111</v>
      </c>
      <c r="D1716" s="28" t="s">
        <v>221</v>
      </c>
      <c r="E1716" s="28" t="s">
        <v>1358</v>
      </c>
      <c r="F1716" s="28" t="s">
        <v>566</v>
      </c>
      <c r="G1716" s="28" t="s">
        <v>228</v>
      </c>
      <c r="H1716" s="28">
        <v>1.0</v>
      </c>
      <c r="I1716" s="28">
        <v>0.78419452887538</v>
      </c>
      <c r="J1716" s="28">
        <v>2.0</v>
      </c>
      <c r="K1716" s="28" t="s">
        <v>57</v>
      </c>
      <c r="L1716" s="28" t="s">
        <v>568</v>
      </c>
    </row>
    <row r="1717" ht="15.75" customHeight="1">
      <c r="A1717" s="28" t="s">
        <v>153</v>
      </c>
      <c r="B1717" s="28" t="s">
        <v>2111</v>
      </c>
      <c r="D1717" s="28" t="s">
        <v>496</v>
      </c>
      <c r="E1717" s="28" t="s">
        <v>1359</v>
      </c>
      <c r="F1717" s="28" t="s">
        <v>1360</v>
      </c>
      <c r="G1717" s="28" t="s">
        <v>502</v>
      </c>
      <c r="H1717" s="28">
        <v>1.0</v>
      </c>
      <c r="I1717" s="28">
        <v>0.3223938223938224</v>
      </c>
      <c r="J1717" s="28">
        <v>0.0</v>
      </c>
      <c r="K1717" s="28" t="s">
        <v>57</v>
      </c>
      <c r="L1717" s="28" t="s">
        <v>57</v>
      </c>
    </row>
    <row r="1718" ht="15.75" customHeight="1">
      <c r="A1718" s="28" t="s">
        <v>153</v>
      </c>
      <c r="B1718" s="28" t="s">
        <v>2111</v>
      </c>
      <c r="D1718" s="28" t="s">
        <v>553</v>
      </c>
      <c r="E1718" s="28" t="s">
        <v>554</v>
      </c>
      <c r="F1718" s="28" t="s">
        <v>555</v>
      </c>
      <c r="G1718" s="28" t="s">
        <v>556</v>
      </c>
      <c r="H1718" s="28">
        <v>1.0</v>
      </c>
      <c r="I1718" s="28">
        <v>0.07586206896551724</v>
      </c>
      <c r="J1718" s="28">
        <v>0.0</v>
      </c>
      <c r="K1718" s="28" t="s">
        <v>57</v>
      </c>
      <c r="L1718" s="28" t="s">
        <v>57</v>
      </c>
    </row>
    <row r="1719" ht="15.75" customHeight="1">
      <c r="A1719" s="28" t="s">
        <v>153</v>
      </c>
      <c r="B1719" s="28" t="s">
        <v>2111</v>
      </c>
      <c r="D1719" s="28" t="s">
        <v>553</v>
      </c>
      <c r="E1719" s="28" t="s">
        <v>558</v>
      </c>
      <c r="F1719" s="28" t="s">
        <v>555</v>
      </c>
      <c r="G1719" s="28" t="s">
        <v>559</v>
      </c>
      <c r="H1719" s="28">
        <v>1.0</v>
      </c>
      <c r="I1719" s="28">
        <v>0.08275862068965517</v>
      </c>
      <c r="J1719" s="28">
        <v>1.0</v>
      </c>
      <c r="K1719" s="28" t="s">
        <v>57</v>
      </c>
      <c r="L1719" s="28" t="s">
        <v>57</v>
      </c>
    </row>
    <row r="1720" ht="15.75" customHeight="1">
      <c r="A1720" s="28" t="s">
        <v>153</v>
      </c>
      <c r="B1720" s="28" t="s">
        <v>2111</v>
      </c>
      <c r="D1720" s="28" t="s">
        <v>553</v>
      </c>
      <c r="E1720" s="28" t="s">
        <v>560</v>
      </c>
      <c r="F1720" s="28" t="s">
        <v>555</v>
      </c>
      <c r="G1720" s="28" t="s">
        <v>561</v>
      </c>
      <c r="H1720" s="28">
        <v>1.0</v>
      </c>
      <c r="I1720" s="28">
        <v>0.0896551724137931</v>
      </c>
      <c r="J1720" s="28">
        <v>2.0</v>
      </c>
      <c r="K1720" s="28" t="s">
        <v>57</v>
      </c>
      <c r="L1720" s="28" t="s">
        <v>57</v>
      </c>
    </row>
    <row r="1721" ht="15.75" customHeight="1">
      <c r="A1721" s="28" t="s">
        <v>153</v>
      </c>
      <c r="B1721" s="28" t="s">
        <v>2111</v>
      </c>
      <c r="D1721" s="28" t="s">
        <v>556</v>
      </c>
      <c r="E1721" s="28" t="s">
        <v>562</v>
      </c>
      <c r="F1721" s="28" t="s">
        <v>555</v>
      </c>
      <c r="G1721" s="28" t="s">
        <v>559</v>
      </c>
      <c r="H1721" s="28">
        <v>1.0</v>
      </c>
      <c r="I1721" s="28">
        <v>0.06293706293706294</v>
      </c>
      <c r="J1721" s="28">
        <v>0.0</v>
      </c>
      <c r="K1721" s="28" t="s">
        <v>57</v>
      </c>
      <c r="L1721" s="28" t="s">
        <v>57</v>
      </c>
    </row>
    <row r="1722" ht="15.75" customHeight="1">
      <c r="A1722" s="28" t="s">
        <v>153</v>
      </c>
      <c r="B1722" s="28" t="s">
        <v>2111</v>
      </c>
      <c r="D1722" s="28" t="s">
        <v>556</v>
      </c>
      <c r="E1722" s="28" t="s">
        <v>563</v>
      </c>
      <c r="F1722" s="28" t="s">
        <v>555</v>
      </c>
      <c r="G1722" s="28" t="s">
        <v>561</v>
      </c>
      <c r="H1722" s="28">
        <v>1.0</v>
      </c>
      <c r="I1722" s="28">
        <v>0.06993006993006994</v>
      </c>
      <c r="J1722" s="28">
        <v>1.0</v>
      </c>
      <c r="K1722" s="28" t="s">
        <v>57</v>
      </c>
      <c r="L1722" s="28" t="s">
        <v>57</v>
      </c>
    </row>
    <row r="1723" ht="15.75" customHeight="1">
      <c r="A1723" s="28" t="s">
        <v>153</v>
      </c>
      <c r="B1723" s="28" t="s">
        <v>2111</v>
      </c>
      <c r="D1723" s="28" t="s">
        <v>559</v>
      </c>
      <c r="E1723" s="28" t="s">
        <v>564</v>
      </c>
      <c r="F1723" s="28" t="s">
        <v>555</v>
      </c>
      <c r="G1723" s="28" t="s">
        <v>561</v>
      </c>
      <c r="H1723" s="28">
        <v>1.0</v>
      </c>
      <c r="I1723" s="28">
        <v>0.050724637681159424</v>
      </c>
      <c r="J1723" s="28">
        <v>0.0</v>
      </c>
      <c r="K1723" s="28" t="s">
        <v>57</v>
      </c>
      <c r="L1723" s="28" t="s">
        <v>57</v>
      </c>
    </row>
    <row r="1724" ht="15.75" customHeight="1">
      <c r="A1724" s="28" t="s">
        <v>576</v>
      </c>
      <c r="B1724" s="28" t="s">
        <v>2114</v>
      </c>
      <c r="D1724" s="28" t="s">
        <v>578</v>
      </c>
      <c r="E1724" s="28" t="s">
        <v>2076</v>
      </c>
      <c r="F1724" s="28" t="s">
        <v>580</v>
      </c>
      <c r="G1724" s="28" t="s">
        <v>581</v>
      </c>
      <c r="H1724" s="28">
        <v>1.0</v>
      </c>
      <c r="I1724" s="28">
        <v>0.4915254237288136</v>
      </c>
      <c r="J1724" s="28">
        <v>0.0</v>
      </c>
      <c r="K1724" s="28" t="s">
        <v>57</v>
      </c>
      <c r="L1724" s="28" t="s">
        <v>57</v>
      </c>
    </row>
    <row r="1725" ht="15.75" customHeight="1">
      <c r="A1725" s="28" t="s">
        <v>576</v>
      </c>
      <c r="B1725" s="28" t="s">
        <v>2114</v>
      </c>
      <c r="D1725" s="28" t="s">
        <v>583</v>
      </c>
      <c r="E1725" s="28" t="s">
        <v>2077</v>
      </c>
      <c r="F1725" s="28" t="s">
        <v>2078</v>
      </c>
      <c r="G1725" s="28" t="s">
        <v>586</v>
      </c>
      <c r="H1725" s="28">
        <v>1.0</v>
      </c>
      <c r="I1725" s="28">
        <v>0.008968609865470852</v>
      </c>
      <c r="J1725" s="28">
        <v>0.0</v>
      </c>
      <c r="K1725" s="28" t="s">
        <v>57</v>
      </c>
      <c r="L1725" s="28" t="s">
        <v>57</v>
      </c>
    </row>
    <row r="1726" ht="15.75" customHeight="1">
      <c r="A1726" s="28" t="s">
        <v>576</v>
      </c>
      <c r="B1726" s="28" t="s">
        <v>2114</v>
      </c>
      <c r="D1726" s="28" t="s">
        <v>587</v>
      </c>
      <c r="E1726" s="28" t="s">
        <v>2079</v>
      </c>
      <c r="F1726" s="28" t="s">
        <v>2080</v>
      </c>
      <c r="G1726" s="28" t="s">
        <v>590</v>
      </c>
      <c r="H1726" s="28">
        <v>1.0</v>
      </c>
      <c r="I1726" s="28">
        <v>0.010830324909747292</v>
      </c>
      <c r="J1726" s="28">
        <v>0.0</v>
      </c>
      <c r="K1726" s="28" t="s">
        <v>57</v>
      </c>
      <c r="L1726" s="28" t="s">
        <v>57</v>
      </c>
    </row>
    <row r="1727" ht="15.75" customHeight="1">
      <c r="A1727" s="28" t="s">
        <v>576</v>
      </c>
      <c r="B1727" s="28" t="s">
        <v>2114</v>
      </c>
      <c r="D1727" s="28" t="s">
        <v>587</v>
      </c>
      <c r="E1727" s="28" t="s">
        <v>2081</v>
      </c>
      <c r="F1727" s="28" t="s">
        <v>2080</v>
      </c>
      <c r="G1727" s="28" t="s">
        <v>592</v>
      </c>
      <c r="H1727" s="28">
        <v>1.0</v>
      </c>
      <c r="I1727" s="28">
        <v>0.014388489208633094</v>
      </c>
      <c r="J1727" s="28">
        <v>1.0</v>
      </c>
      <c r="K1727" s="28" t="s">
        <v>57</v>
      </c>
      <c r="L1727" s="28" t="s">
        <v>57</v>
      </c>
    </row>
    <row r="1728" ht="15.75" customHeight="1">
      <c r="A1728" s="28" t="s">
        <v>576</v>
      </c>
      <c r="B1728" s="28" t="s">
        <v>2114</v>
      </c>
      <c r="D1728" s="28" t="s">
        <v>590</v>
      </c>
      <c r="E1728" s="28" t="s">
        <v>2082</v>
      </c>
      <c r="F1728" s="28" t="s">
        <v>2080</v>
      </c>
      <c r="G1728" s="28" t="s">
        <v>592</v>
      </c>
      <c r="H1728" s="28">
        <v>1.0</v>
      </c>
      <c r="I1728" s="28">
        <v>0.007194244604316547</v>
      </c>
      <c r="J1728" s="28">
        <v>0.0</v>
      </c>
      <c r="K1728" s="28" t="s">
        <v>57</v>
      </c>
      <c r="L1728" s="28" t="s">
        <v>57</v>
      </c>
    </row>
    <row r="1729" ht="15.75" customHeight="1">
      <c r="A1729" s="28" t="s">
        <v>615</v>
      </c>
      <c r="B1729" s="28" t="s">
        <v>2115</v>
      </c>
      <c r="D1729" s="28" t="s">
        <v>629</v>
      </c>
      <c r="E1729" s="28" t="s">
        <v>2116</v>
      </c>
      <c r="F1729" s="28" t="s">
        <v>619</v>
      </c>
      <c r="G1729" s="28" t="s">
        <v>620</v>
      </c>
      <c r="H1729" s="28">
        <v>1.0</v>
      </c>
      <c r="I1729" s="28">
        <v>0.064</v>
      </c>
      <c r="J1729" s="28">
        <v>1.0</v>
      </c>
      <c r="K1729" s="28" t="s">
        <v>57</v>
      </c>
      <c r="L1729" s="28" t="s">
        <v>57</v>
      </c>
    </row>
    <row r="1730" ht="15.75" customHeight="1">
      <c r="A1730" s="28" t="s">
        <v>615</v>
      </c>
      <c r="B1730" s="28" t="s">
        <v>2115</v>
      </c>
      <c r="D1730" s="28" t="s">
        <v>629</v>
      </c>
      <c r="E1730" s="28" t="s">
        <v>2117</v>
      </c>
      <c r="F1730" s="28" t="s">
        <v>622</v>
      </c>
      <c r="G1730" s="28" t="s">
        <v>623</v>
      </c>
      <c r="H1730" s="28">
        <v>1.0</v>
      </c>
      <c r="I1730" s="28">
        <v>0.43601895734597157</v>
      </c>
      <c r="J1730" s="28">
        <v>0.0</v>
      </c>
      <c r="K1730" s="28" t="s">
        <v>57</v>
      </c>
      <c r="L1730" s="28" t="s">
        <v>624</v>
      </c>
    </row>
    <row r="1731" ht="15.75" customHeight="1">
      <c r="A1731" s="28" t="s">
        <v>615</v>
      </c>
      <c r="B1731" s="28" t="s">
        <v>2115</v>
      </c>
      <c r="D1731" s="28" t="s">
        <v>623</v>
      </c>
      <c r="E1731" s="28" t="s">
        <v>2118</v>
      </c>
      <c r="F1731" s="28" t="s">
        <v>626</v>
      </c>
      <c r="G1731" s="28" t="s">
        <v>620</v>
      </c>
      <c r="H1731" s="28">
        <v>1.0</v>
      </c>
      <c r="I1731" s="28">
        <v>0.47393364928909953</v>
      </c>
      <c r="J1731" s="28">
        <v>0.0</v>
      </c>
      <c r="K1731" s="28" t="s">
        <v>57</v>
      </c>
      <c r="L1731" s="28" t="s">
        <v>624</v>
      </c>
    </row>
    <row r="1732" ht="15.75" customHeight="1">
      <c r="A1732" s="28" t="s">
        <v>615</v>
      </c>
      <c r="B1732" s="28" t="s">
        <v>2115</v>
      </c>
      <c r="D1732" s="28" t="s">
        <v>620</v>
      </c>
      <c r="E1732" s="28" t="s">
        <v>2119</v>
      </c>
      <c r="F1732" s="28" t="s">
        <v>628</v>
      </c>
      <c r="G1732" s="28" t="s">
        <v>617</v>
      </c>
      <c r="H1732" s="28">
        <v>0.5</v>
      </c>
      <c r="I1732" s="28">
        <v>0.06557377049180328</v>
      </c>
      <c r="J1732" s="28">
        <v>0.0</v>
      </c>
      <c r="K1732" s="28" t="s">
        <v>57</v>
      </c>
      <c r="L1732" s="28" t="s">
        <v>630</v>
      </c>
    </row>
    <row r="1733" ht="15.75" customHeight="1">
      <c r="A1733" s="28" t="s">
        <v>531</v>
      </c>
      <c r="B1733" s="28" t="s">
        <v>417</v>
      </c>
      <c r="C1733" s="28" t="s">
        <v>418</v>
      </c>
      <c r="D1733" s="28" t="s">
        <v>2120</v>
      </c>
      <c r="E1733" s="28" t="s">
        <v>2121</v>
      </c>
      <c r="F1733" s="28" t="s">
        <v>2122</v>
      </c>
      <c r="G1733" s="28" t="s">
        <v>2123</v>
      </c>
      <c r="H1733" s="28">
        <v>1.0</v>
      </c>
      <c r="I1733" s="28">
        <v>0.07425742574257425</v>
      </c>
      <c r="J1733" s="28">
        <v>0.0</v>
      </c>
      <c r="K1733" s="28" t="s">
        <v>57</v>
      </c>
      <c r="L1733" s="28" t="s">
        <v>57</v>
      </c>
    </row>
    <row r="1734" ht="15.75" customHeight="1">
      <c r="A1734" s="28" t="s">
        <v>187</v>
      </c>
      <c r="B1734" s="28" t="s">
        <v>417</v>
      </c>
      <c r="C1734" s="28" t="s">
        <v>418</v>
      </c>
      <c r="D1734" s="28" t="s">
        <v>423</v>
      </c>
      <c r="E1734" s="28" t="s">
        <v>2124</v>
      </c>
      <c r="F1734" s="28" t="s">
        <v>2125</v>
      </c>
      <c r="G1734" s="28" t="s">
        <v>435</v>
      </c>
      <c r="H1734" s="28">
        <v>1.0</v>
      </c>
      <c r="I1734" s="28">
        <v>0.7859078590785907</v>
      </c>
      <c r="J1734" s="28">
        <v>1.0</v>
      </c>
      <c r="K1734" s="28" t="s">
        <v>2126</v>
      </c>
      <c r="L1734" s="28" t="s">
        <v>2127</v>
      </c>
    </row>
    <row r="1735" ht="15.75" customHeight="1">
      <c r="A1735" s="28" t="s">
        <v>187</v>
      </c>
      <c r="B1735" s="28" t="s">
        <v>417</v>
      </c>
      <c r="C1735" s="28" t="s">
        <v>418</v>
      </c>
      <c r="D1735" s="28" t="s">
        <v>423</v>
      </c>
      <c r="E1735" s="28" t="s">
        <v>2128</v>
      </c>
      <c r="F1735" s="28" t="s">
        <v>2129</v>
      </c>
      <c r="G1735" s="28" t="s">
        <v>430</v>
      </c>
      <c r="H1735" s="28">
        <v>1.0</v>
      </c>
      <c r="I1735" s="28">
        <v>0.7941952506596306</v>
      </c>
      <c r="J1735" s="28">
        <v>0.0</v>
      </c>
      <c r="K1735" s="28" t="s">
        <v>2126</v>
      </c>
      <c r="L1735" s="28" t="s">
        <v>2127</v>
      </c>
    </row>
    <row r="1736" ht="15.75" customHeight="1">
      <c r="A1736" s="28" t="s">
        <v>187</v>
      </c>
      <c r="B1736" s="28" t="s">
        <v>417</v>
      </c>
      <c r="C1736" s="28" t="s">
        <v>418</v>
      </c>
      <c r="D1736" s="28" t="s">
        <v>430</v>
      </c>
      <c r="E1736" s="28" t="s">
        <v>2130</v>
      </c>
      <c r="F1736" s="28" t="s">
        <v>2131</v>
      </c>
      <c r="G1736" s="28" t="s">
        <v>435</v>
      </c>
      <c r="H1736" s="28">
        <v>1.0</v>
      </c>
      <c r="I1736" s="28">
        <v>0.6437994722955145</v>
      </c>
      <c r="J1736" s="28">
        <v>0.0</v>
      </c>
      <c r="K1736" s="28" t="s">
        <v>2126</v>
      </c>
      <c r="L1736" s="28" t="s">
        <v>57</v>
      </c>
    </row>
    <row r="1737" ht="15.75" customHeight="1">
      <c r="A1737" s="28" t="s">
        <v>88</v>
      </c>
      <c r="B1737" s="28" t="s">
        <v>417</v>
      </c>
      <c r="C1737" s="28" t="s">
        <v>436</v>
      </c>
      <c r="D1737" s="28" t="s">
        <v>441</v>
      </c>
      <c r="E1737" s="28" t="s">
        <v>2132</v>
      </c>
      <c r="F1737" s="28" t="s">
        <v>528</v>
      </c>
      <c r="G1737" s="28" t="s">
        <v>446</v>
      </c>
      <c r="H1737" s="28">
        <v>1.0</v>
      </c>
      <c r="I1737" s="28">
        <v>0.3875432525951557</v>
      </c>
      <c r="J1737" s="28">
        <v>0.0</v>
      </c>
      <c r="K1737" s="28" t="s">
        <v>2133</v>
      </c>
      <c r="L1737" s="28" t="s">
        <v>530</v>
      </c>
    </row>
    <row r="1738" ht="15.75" customHeight="1">
      <c r="A1738" s="28" t="s">
        <v>612</v>
      </c>
      <c r="B1738" s="28" t="s">
        <v>417</v>
      </c>
      <c r="C1738" s="28" t="s">
        <v>472</v>
      </c>
      <c r="D1738" s="28" t="s">
        <v>2120</v>
      </c>
      <c r="E1738" s="28" t="s">
        <v>2121</v>
      </c>
      <c r="F1738" s="28" t="s">
        <v>2122</v>
      </c>
      <c r="G1738" s="28" t="s">
        <v>2123</v>
      </c>
      <c r="H1738" s="28">
        <v>1.0</v>
      </c>
      <c r="I1738" s="28">
        <v>0.07425742574257425</v>
      </c>
      <c r="J1738" s="28">
        <v>0.0</v>
      </c>
      <c r="K1738" s="28" t="s">
        <v>57</v>
      </c>
      <c r="L1738" s="28" t="s">
        <v>57</v>
      </c>
    </row>
    <row r="1739" ht="15.75" customHeight="1">
      <c r="A1739" s="28" t="s">
        <v>402</v>
      </c>
      <c r="B1739" s="28" t="s">
        <v>417</v>
      </c>
      <c r="C1739" s="28" t="s">
        <v>2134</v>
      </c>
      <c r="D1739" s="28" t="s">
        <v>2135</v>
      </c>
      <c r="E1739" s="28" t="s">
        <v>2136</v>
      </c>
      <c r="F1739" s="28" t="s">
        <v>409</v>
      </c>
      <c r="G1739" s="28" t="s">
        <v>2137</v>
      </c>
      <c r="H1739" s="28">
        <v>0.5</v>
      </c>
      <c r="I1739" s="28">
        <v>0.07272727272727272</v>
      </c>
      <c r="J1739" s="28">
        <v>1.0</v>
      </c>
      <c r="K1739" s="28" t="s">
        <v>2138</v>
      </c>
      <c r="L1739" s="28" t="s">
        <v>2110</v>
      </c>
    </row>
    <row r="1740" ht="15.75" customHeight="1">
      <c r="A1740" s="28" t="s">
        <v>45</v>
      </c>
      <c r="B1740" s="28" t="s">
        <v>417</v>
      </c>
      <c r="C1740" s="28" t="s">
        <v>447</v>
      </c>
      <c r="D1740" s="28" t="s">
        <v>452</v>
      </c>
      <c r="E1740" s="28" t="s">
        <v>2139</v>
      </c>
      <c r="F1740" s="28" t="s">
        <v>203</v>
      </c>
      <c r="G1740" s="28" t="s">
        <v>456</v>
      </c>
      <c r="H1740" s="28">
        <v>1.0</v>
      </c>
      <c r="I1740" s="28">
        <v>0.06140350877192982</v>
      </c>
      <c r="J1740" s="28">
        <v>0.0</v>
      </c>
      <c r="K1740" s="28" t="s">
        <v>2140</v>
      </c>
      <c r="L1740" s="28" t="s">
        <v>57</v>
      </c>
    </row>
    <row r="1741" ht="15.75" customHeight="1">
      <c r="A1741" s="28" t="s">
        <v>45</v>
      </c>
      <c r="B1741" s="28" t="s">
        <v>417</v>
      </c>
      <c r="C1741" s="28" t="s">
        <v>447</v>
      </c>
      <c r="D1741" s="28" t="s">
        <v>2141</v>
      </c>
      <c r="E1741" s="28" t="s">
        <v>2142</v>
      </c>
      <c r="F1741" s="28" t="s">
        <v>2029</v>
      </c>
      <c r="G1741" s="28" t="s">
        <v>2143</v>
      </c>
      <c r="H1741" s="28">
        <v>1.0</v>
      </c>
      <c r="I1741" s="28">
        <v>0.003076923076923077</v>
      </c>
      <c r="J1741" s="28">
        <v>0.0</v>
      </c>
      <c r="K1741" s="28" t="s">
        <v>2140</v>
      </c>
      <c r="L1741" s="28" t="s">
        <v>57</v>
      </c>
    </row>
    <row r="1742" ht="15.75" customHeight="1">
      <c r="A1742" s="28" t="s">
        <v>153</v>
      </c>
      <c r="B1742" s="28" t="s">
        <v>417</v>
      </c>
      <c r="C1742" s="28" t="s">
        <v>447</v>
      </c>
      <c r="D1742" s="28" t="s">
        <v>2144</v>
      </c>
      <c r="E1742" s="28" t="s">
        <v>2145</v>
      </c>
      <c r="F1742" s="28" t="s">
        <v>555</v>
      </c>
      <c r="G1742" s="28" t="s">
        <v>2146</v>
      </c>
      <c r="H1742" s="28">
        <v>1.0</v>
      </c>
      <c r="I1742" s="28">
        <v>0.06206896551724138</v>
      </c>
      <c r="J1742" s="28">
        <v>0.0</v>
      </c>
      <c r="K1742" s="28" t="s">
        <v>2147</v>
      </c>
      <c r="L1742" s="28" t="s">
        <v>57</v>
      </c>
    </row>
    <row r="1743" ht="15.75" customHeight="1">
      <c r="A1743" s="28" t="s">
        <v>153</v>
      </c>
      <c r="B1743" s="28" t="s">
        <v>417</v>
      </c>
      <c r="C1743" s="28" t="s">
        <v>447</v>
      </c>
      <c r="D1743" s="28" t="s">
        <v>2144</v>
      </c>
      <c r="E1743" s="28" t="s">
        <v>2148</v>
      </c>
      <c r="F1743" s="28" t="s">
        <v>555</v>
      </c>
      <c r="G1743" s="28" t="s">
        <v>2149</v>
      </c>
      <c r="H1743" s="28">
        <v>1.0</v>
      </c>
      <c r="I1743" s="28">
        <v>0.07432432432432433</v>
      </c>
      <c r="J1743" s="28">
        <v>1.0</v>
      </c>
      <c r="K1743" s="28" t="s">
        <v>2147</v>
      </c>
      <c r="L1743" s="28" t="s">
        <v>57</v>
      </c>
    </row>
    <row r="1744" ht="15.75" customHeight="1">
      <c r="A1744" s="28" t="s">
        <v>153</v>
      </c>
      <c r="B1744" s="28" t="s">
        <v>417</v>
      </c>
      <c r="C1744" s="28" t="s">
        <v>447</v>
      </c>
      <c r="D1744" s="28" t="s">
        <v>2144</v>
      </c>
      <c r="E1744" s="28" t="s">
        <v>2150</v>
      </c>
      <c r="F1744" s="28" t="s">
        <v>555</v>
      </c>
      <c r="G1744" s="28" t="s">
        <v>2151</v>
      </c>
      <c r="H1744" s="28">
        <v>1.0</v>
      </c>
      <c r="I1744" s="28">
        <v>0.07586206896551724</v>
      </c>
      <c r="J1744" s="28">
        <v>2.0</v>
      </c>
      <c r="K1744" s="28" t="s">
        <v>2147</v>
      </c>
      <c r="L1744" s="28" t="s">
        <v>57</v>
      </c>
    </row>
    <row r="1745" ht="15.75" customHeight="1">
      <c r="A1745" s="28" t="s">
        <v>153</v>
      </c>
      <c r="B1745" s="28" t="s">
        <v>417</v>
      </c>
      <c r="C1745" s="28" t="s">
        <v>447</v>
      </c>
      <c r="D1745" s="28" t="s">
        <v>2146</v>
      </c>
      <c r="E1745" s="28" t="s">
        <v>2152</v>
      </c>
      <c r="F1745" s="28" t="s">
        <v>555</v>
      </c>
      <c r="G1745" s="28" t="s">
        <v>2151</v>
      </c>
      <c r="H1745" s="28">
        <v>1.0</v>
      </c>
      <c r="I1745" s="28">
        <v>0.05673758865248227</v>
      </c>
      <c r="J1745" s="28">
        <v>1.0</v>
      </c>
      <c r="K1745" s="28" t="s">
        <v>2147</v>
      </c>
      <c r="L1745" s="28" t="s">
        <v>57</v>
      </c>
    </row>
    <row r="1746" ht="15.75" customHeight="1">
      <c r="A1746" s="28" t="s">
        <v>153</v>
      </c>
      <c r="B1746" s="28" t="s">
        <v>417</v>
      </c>
      <c r="C1746" s="28" t="s">
        <v>447</v>
      </c>
      <c r="D1746" s="28" t="s">
        <v>2146</v>
      </c>
      <c r="E1746" s="28" t="s">
        <v>2153</v>
      </c>
      <c r="F1746" s="28" t="s">
        <v>555</v>
      </c>
      <c r="G1746" s="28" t="s">
        <v>2149</v>
      </c>
      <c r="H1746" s="28">
        <v>1.0</v>
      </c>
      <c r="I1746" s="28">
        <v>0.08108108108108109</v>
      </c>
      <c r="J1746" s="28">
        <v>0.0</v>
      </c>
      <c r="K1746" s="28" t="s">
        <v>2147</v>
      </c>
      <c r="L1746" s="28" t="s">
        <v>57</v>
      </c>
    </row>
    <row r="1747" ht="15.75" customHeight="1">
      <c r="A1747" s="28" t="s">
        <v>153</v>
      </c>
      <c r="B1747" s="28" t="s">
        <v>417</v>
      </c>
      <c r="C1747" s="28" t="s">
        <v>447</v>
      </c>
      <c r="D1747" s="28" t="s">
        <v>2149</v>
      </c>
      <c r="E1747" s="28" t="s">
        <v>2154</v>
      </c>
      <c r="F1747" s="28" t="s">
        <v>555</v>
      </c>
      <c r="G1747" s="28" t="s">
        <v>2151</v>
      </c>
      <c r="H1747" s="28">
        <v>1.0</v>
      </c>
      <c r="I1747" s="28">
        <v>0.0945945945945946</v>
      </c>
      <c r="J1747" s="28">
        <v>0.0</v>
      </c>
      <c r="K1747" s="28" t="s">
        <v>2147</v>
      </c>
      <c r="L1747" s="28" t="s">
        <v>57</v>
      </c>
    </row>
    <row r="1748" ht="15.75" customHeight="1">
      <c r="A1748" s="28" t="s">
        <v>131</v>
      </c>
      <c r="B1748" s="28" t="s">
        <v>417</v>
      </c>
      <c r="C1748" s="28" t="s">
        <v>447</v>
      </c>
      <c r="D1748" s="28" t="s">
        <v>2141</v>
      </c>
      <c r="E1748" s="28" t="s">
        <v>2155</v>
      </c>
      <c r="F1748" s="28" t="s">
        <v>2029</v>
      </c>
      <c r="G1748" s="28" t="s">
        <v>2143</v>
      </c>
      <c r="H1748" s="28">
        <v>1.0</v>
      </c>
      <c r="I1748" s="28">
        <v>0.07988980716253444</v>
      </c>
      <c r="J1748" s="28">
        <v>0.0</v>
      </c>
      <c r="K1748" s="28" t="s">
        <v>2156</v>
      </c>
      <c r="L1748" s="28" t="s">
        <v>57</v>
      </c>
    </row>
    <row r="1749" ht="15.75" customHeight="1">
      <c r="A1749" s="28" t="s">
        <v>114</v>
      </c>
      <c r="B1749" s="28" t="s">
        <v>417</v>
      </c>
      <c r="C1749" s="28" t="s">
        <v>457</v>
      </c>
      <c r="D1749" s="28" t="s">
        <v>463</v>
      </c>
      <c r="E1749" s="28" t="s">
        <v>2157</v>
      </c>
      <c r="F1749" s="28" t="s">
        <v>2158</v>
      </c>
      <c r="G1749" s="28" t="s">
        <v>54</v>
      </c>
      <c r="H1749" s="28">
        <v>1.0</v>
      </c>
      <c r="I1749" s="28">
        <v>0.8614415675297411</v>
      </c>
      <c r="J1749" s="28">
        <v>0.0</v>
      </c>
      <c r="K1749" s="28" t="s">
        <v>2159</v>
      </c>
      <c r="L1749" s="28" t="s">
        <v>57</v>
      </c>
    </row>
    <row r="1750" ht="15.75" customHeight="1">
      <c r="A1750" s="28" t="s">
        <v>569</v>
      </c>
      <c r="B1750" s="28" t="s">
        <v>417</v>
      </c>
      <c r="C1750" s="28" t="s">
        <v>472</v>
      </c>
      <c r="D1750" s="28" t="s">
        <v>2160</v>
      </c>
      <c r="E1750" s="28" t="s">
        <v>2161</v>
      </c>
      <c r="F1750" s="28" t="s">
        <v>573</v>
      </c>
      <c r="G1750" s="28" t="s">
        <v>2162</v>
      </c>
      <c r="H1750" s="28">
        <v>1.0</v>
      </c>
      <c r="I1750" s="28">
        <v>0.38285714285714284</v>
      </c>
      <c r="J1750" s="28">
        <v>0.0</v>
      </c>
      <c r="K1750" s="28" t="s">
        <v>2163</v>
      </c>
      <c r="L1750" s="28" t="s">
        <v>57</v>
      </c>
    </row>
    <row r="1751" ht="15.75" customHeight="1">
      <c r="A1751" s="28" t="s">
        <v>1002</v>
      </c>
      <c r="B1751" s="28" t="s">
        <v>2164</v>
      </c>
      <c r="D1751" s="28" t="s">
        <v>620</v>
      </c>
      <c r="E1751" s="28" t="s">
        <v>2165</v>
      </c>
      <c r="F1751" s="28" t="s">
        <v>2166</v>
      </c>
      <c r="G1751" s="28" t="s">
        <v>617</v>
      </c>
      <c r="H1751" s="28">
        <v>0.8888888888888888</v>
      </c>
      <c r="I1751" s="28">
        <v>0.5149006622516556</v>
      </c>
      <c r="J1751" s="28">
        <v>0.0</v>
      </c>
      <c r="K1751" s="28" t="s">
        <v>57</v>
      </c>
      <c r="L1751" s="28" t="s">
        <v>1005</v>
      </c>
    </row>
    <row r="1752" ht="15.75" customHeight="1">
      <c r="A1752" s="28" t="s">
        <v>1002</v>
      </c>
      <c r="B1752" s="28" t="s">
        <v>2164</v>
      </c>
      <c r="D1752" s="28" t="s">
        <v>1006</v>
      </c>
      <c r="E1752" s="28" t="s">
        <v>2167</v>
      </c>
      <c r="F1752" s="28" t="s">
        <v>1008</v>
      </c>
      <c r="G1752" s="28" t="s">
        <v>1009</v>
      </c>
      <c r="H1752" s="28">
        <v>1.0</v>
      </c>
      <c r="I1752" s="28">
        <v>0.5574572127139364</v>
      </c>
      <c r="J1752" s="28">
        <v>1.0</v>
      </c>
      <c r="K1752" s="28" t="s">
        <v>57</v>
      </c>
      <c r="L1752" s="28" t="s">
        <v>1010</v>
      </c>
    </row>
    <row r="1753" ht="15.75" customHeight="1">
      <c r="A1753" s="28" t="s">
        <v>2168</v>
      </c>
      <c r="B1753" s="28" t="s">
        <v>2169</v>
      </c>
      <c r="D1753" s="28" t="s">
        <v>2170</v>
      </c>
      <c r="E1753" s="28" t="s">
        <v>2171</v>
      </c>
      <c r="F1753" s="28" t="s">
        <v>2172</v>
      </c>
      <c r="G1753" s="28" t="s">
        <v>2173</v>
      </c>
      <c r="H1753" s="28">
        <v>1.0</v>
      </c>
      <c r="I1753" s="28">
        <v>0.028440366972477066</v>
      </c>
      <c r="J1753" s="28">
        <v>0.0</v>
      </c>
      <c r="K1753" s="28" t="s">
        <v>57</v>
      </c>
      <c r="L1753" s="28" t="s">
        <v>57</v>
      </c>
    </row>
    <row r="1754" ht="15.75" customHeight="1">
      <c r="A1754" s="28" t="s">
        <v>2168</v>
      </c>
      <c r="B1754" s="28" t="s">
        <v>2169</v>
      </c>
      <c r="D1754" s="28" t="s">
        <v>2170</v>
      </c>
      <c r="E1754" s="28" t="s">
        <v>2174</v>
      </c>
      <c r="F1754" s="28" t="s">
        <v>2175</v>
      </c>
      <c r="G1754" s="28" t="s">
        <v>2176</v>
      </c>
      <c r="H1754" s="28">
        <v>1.0</v>
      </c>
      <c r="I1754" s="28">
        <v>0.5486238532110091</v>
      </c>
      <c r="J1754" s="28">
        <v>2.0</v>
      </c>
      <c r="K1754" s="28" t="s">
        <v>57</v>
      </c>
      <c r="L1754" s="28" t="s">
        <v>57</v>
      </c>
    </row>
    <row r="1755" ht="15.75" customHeight="1">
      <c r="A1755" s="28" t="s">
        <v>2168</v>
      </c>
      <c r="B1755" s="28" t="s">
        <v>2169</v>
      </c>
      <c r="D1755" s="28" t="s">
        <v>2170</v>
      </c>
      <c r="E1755" s="28" t="s">
        <v>2177</v>
      </c>
      <c r="F1755" s="28" t="s">
        <v>2178</v>
      </c>
      <c r="G1755" s="28" t="s">
        <v>2179</v>
      </c>
      <c r="H1755" s="28">
        <v>0.8</v>
      </c>
      <c r="I1755" s="28">
        <v>0.8045871559633028</v>
      </c>
      <c r="J1755" s="28">
        <v>1.0</v>
      </c>
      <c r="K1755" s="28" t="s">
        <v>57</v>
      </c>
      <c r="L1755" s="28" t="s">
        <v>2180</v>
      </c>
    </row>
    <row r="1756" ht="15.75" customHeight="1">
      <c r="A1756" s="28" t="s">
        <v>2168</v>
      </c>
      <c r="B1756" s="28" t="s">
        <v>2169</v>
      </c>
      <c r="D1756" s="28" t="s">
        <v>2173</v>
      </c>
      <c r="E1756" s="28" t="s">
        <v>2181</v>
      </c>
      <c r="F1756" s="28" t="s">
        <v>2175</v>
      </c>
      <c r="G1756" s="28" t="s">
        <v>2176</v>
      </c>
      <c r="H1756" s="28">
        <v>1.0</v>
      </c>
      <c r="I1756" s="28">
        <v>0.5405660377358491</v>
      </c>
      <c r="J1756" s="28">
        <v>1.0</v>
      </c>
      <c r="K1756" s="28" t="s">
        <v>57</v>
      </c>
      <c r="L1756" s="28" t="s">
        <v>57</v>
      </c>
    </row>
    <row r="1757" ht="15.75" customHeight="1">
      <c r="A1757" s="28" t="s">
        <v>2168</v>
      </c>
      <c r="B1757" s="28" t="s">
        <v>2169</v>
      </c>
      <c r="D1757" s="28" t="s">
        <v>2173</v>
      </c>
      <c r="E1757" s="28" t="s">
        <v>2182</v>
      </c>
      <c r="F1757" s="28" t="s">
        <v>2178</v>
      </c>
      <c r="G1757" s="28" t="s">
        <v>2179</v>
      </c>
      <c r="H1757" s="28">
        <v>0.8</v>
      </c>
      <c r="I1757" s="28">
        <v>0.7990566037735849</v>
      </c>
      <c r="J1757" s="28">
        <v>0.0</v>
      </c>
      <c r="K1757" s="28" t="s">
        <v>57</v>
      </c>
      <c r="L1757" s="28" t="s">
        <v>2180</v>
      </c>
    </row>
    <row r="1758" ht="15.75" customHeight="1">
      <c r="A1758" s="28" t="s">
        <v>2168</v>
      </c>
      <c r="B1758" s="28" t="s">
        <v>2169</v>
      </c>
      <c r="D1758" s="28" t="s">
        <v>2179</v>
      </c>
      <c r="E1758" s="28" t="s">
        <v>2183</v>
      </c>
      <c r="F1758" s="28" t="s">
        <v>2184</v>
      </c>
      <c r="G1758" s="28" t="s">
        <v>2176</v>
      </c>
      <c r="H1758" s="28">
        <v>0.8</v>
      </c>
      <c r="I1758" s="28">
        <v>0.7704367301231803</v>
      </c>
      <c r="J1758" s="28">
        <v>0.0</v>
      </c>
      <c r="K1758" s="28" t="s">
        <v>57</v>
      </c>
      <c r="L1758" s="28" t="s">
        <v>2180</v>
      </c>
    </row>
    <row r="1759" ht="15.75" customHeight="1">
      <c r="A1759" s="28" t="s">
        <v>1723</v>
      </c>
      <c r="B1759" s="28" t="s">
        <v>2169</v>
      </c>
      <c r="D1759" s="28" t="s">
        <v>1733</v>
      </c>
      <c r="E1759" s="28" t="s">
        <v>2185</v>
      </c>
      <c r="F1759" s="28" t="s">
        <v>2186</v>
      </c>
      <c r="G1759" s="28" t="s">
        <v>1730</v>
      </c>
      <c r="H1759" s="28">
        <v>1.0</v>
      </c>
      <c r="I1759" s="28">
        <v>0.1572700296735905</v>
      </c>
      <c r="J1759" s="28">
        <v>1.0</v>
      </c>
      <c r="K1759" s="28" t="s">
        <v>57</v>
      </c>
      <c r="L1759" s="28" t="s">
        <v>57</v>
      </c>
    </row>
    <row r="1760" ht="15.75" customHeight="1">
      <c r="A1760" s="28" t="s">
        <v>1723</v>
      </c>
      <c r="B1760" s="28" t="s">
        <v>2169</v>
      </c>
      <c r="D1760" s="28" t="s">
        <v>1733</v>
      </c>
      <c r="E1760" s="28" t="s">
        <v>2187</v>
      </c>
      <c r="F1760" s="28" t="s">
        <v>2188</v>
      </c>
      <c r="G1760" s="28" t="s">
        <v>1727</v>
      </c>
      <c r="H1760" s="28">
        <v>0.8333333333333334</v>
      </c>
      <c r="I1760" s="28">
        <v>0.3035294117647059</v>
      </c>
      <c r="J1760" s="28">
        <v>0.0</v>
      </c>
      <c r="K1760" s="28" t="s">
        <v>57</v>
      </c>
      <c r="L1760" s="28" t="s">
        <v>1731</v>
      </c>
    </row>
    <row r="1761" ht="15.75" customHeight="1">
      <c r="A1761" s="28" t="s">
        <v>1723</v>
      </c>
      <c r="B1761" s="28" t="s">
        <v>2169</v>
      </c>
      <c r="D1761" s="28" t="s">
        <v>1733</v>
      </c>
      <c r="E1761" s="28" t="s">
        <v>2189</v>
      </c>
      <c r="F1761" s="28" t="s">
        <v>2188</v>
      </c>
      <c r="G1761" s="28" t="s">
        <v>1724</v>
      </c>
      <c r="H1761" s="28">
        <v>0.8333333333333334</v>
      </c>
      <c r="I1761" s="28">
        <v>0.3794749403341289</v>
      </c>
      <c r="J1761" s="28">
        <v>2.0</v>
      </c>
      <c r="K1761" s="28" t="s">
        <v>57</v>
      </c>
      <c r="L1761" s="28" t="s">
        <v>1731</v>
      </c>
    </row>
    <row r="1762" ht="15.75" customHeight="1">
      <c r="A1762" s="28" t="s">
        <v>1723</v>
      </c>
      <c r="B1762" s="28" t="s">
        <v>2169</v>
      </c>
      <c r="D1762" s="28" t="s">
        <v>1727</v>
      </c>
      <c r="E1762" s="28" t="s">
        <v>2190</v>
      </c>
      <c r="F1762" s="28" t="s">
        <v>2191</v>
      </c>
      <c r="G1762" s="28" t="s">
        <v>1724</v>
      </c>
      <c r="H1762" s="28">
        <v>1.0</v>
      </c>
      <c r="I1762" s="28">
        <v>0.1411764705882353</v>
      </c>
      <c r="J1762" s="28">
        <v>1.0</v>
      </c>
      <c r="K1762" s="28" t="s">
        <v>57</v>
      </c>
      <c r="L1762" s="28" t="s">
        <v>57</v>
      </c>
    </row>
    <row r="1763" ht="15.75" customHeight="1">
      <c r="A1763" s="28" t="s">
        <v>1723</v>
      </c>
      <c r="B1763" s="28" t="s">
        <v>2169</v>
      </c>
      <c r="D1763" s="28" t="s">
        <v>1727</v>
      </c>
      <c r="E1763" s="28" t="s">
        <v>2192</v>
      </c>
      <c r="F1763" s="28" t="s">
        <v>2193</v>
      </c>
      <c r="G1763" s="28" t="s">
        <v>1730</v>
      </c>
      <c r="H1763" s="28">
        <v>0.8333333333333334</v>
      </c>
      <c r="I1763" s="28">
        <v>0.41411764705882353</v>
      </c>
      <c r="J1763" s="28">
        <v>0.0</v>
      </c>
      <c r="K1763" s="28" t="s">
        <v>57</v>
      </c>
      <c r="L1763" s="28" t="s">
        <v>1731</v>
      </c>
    </row>
    <row r="1764" ht="15.75" customHeight="1">
      <c r="A1764" s="28" t="s">
        <v>1723</v>
      </c>
      <c r="B1764" s="28" t="s">
        <v>2169</v>
      </c>
      <c r="D1764" s="28" t="s">
        <v>1730</v>
      </c>
      <c r="E1764" s="28" t="s">
        <v>2194</v>
      </c>
      <c r="F1764" s="28" t="s">
        <v>2188</v>
      </c>
      <c r="G1764" s="28" t="s">
        <v>1724</v>
      </c>
      <c r="H1764" s="28">
        <v>0.8333333333333334</v>
      </c>
      <c r="I1764" s="28">
        <v>0.30787589498806683</v>
      </c>
      <c r="J1764" s="28">
        <v>0.0</v>
      </c>
      <c r="K1764" s="28" t="s">
        <v>57</v>
      </c>
      <c r="L1764" s="28" t="s">
        <v>1731</v>
      </c>
    </row>
    <row r="1765" ht="15.75" customHeight="1">
      <c r="A1765" s="28" t="s">
        <v>576</v>
      </c>
      <c r="B1765" s="28" t="s">
        <v>2195</v>
      </c>
      <c r="D1765" s="28" t="s">
        <v>583</v>
      </c>
      <c r="E1765" s="28" t="s">
        <v>2196</v>
      </c>
      <c r="F1765" s="28" t="s">
        <v>2197</v>
      </c>
      <c r="G1765" s="28" t="s">
        <v>586</v>
      </c>
      <c r="H1765" s="28">
        <v>1.0</v>
      </c>
      <c r="I1765" s="28">
        <v>0.009433962264150943</v>
      </c>
      <c r="J1765" s="28">
        <v>0.0</v>
      </c>
      <c r="K1765" s="28" t="s">
        <v>57</v>
      </c>
      <c r="L1765" s="28" t="s">
        <v>57</v>
      </c>
    </row>
    <row r="1766" ht="15.75" customHeight="1">
      <c r="A1766" s="28" t="s">
        <v>576</v>
      </c>
      <c r="B1766" s="28" t="s">
        <v>2195</v>
      </c>
      <c r="D1766" s="28" t="s">
        <v>587</v>
      </c>
      <c r="E1766" s="28" t="s">
        <v>2198</v>
      </c>
      <c r="F1766" s="28" t="s">
        <v>2199</v>
      </c>
      <c r="G1766" s="28" t="s">
        <v>590</v>
      </c>
      <c r="H1766" s="28">
        <v>1.0</v>
      </c>
      <c r="I1766" s="28">
        <v>0.011278195488721804</v>
      </c>
      <c r="J1766" s="28">
        <v>2.0</v>
      </c>
      <c r="K1766" s="28" t="s">
        <v>57</v>
      </c>
      <c r="L1766" s="28" t="s">
        <v>57</v>
      </c>
    </row>
    <row r="1767" ht="15.75" customHeight="1">
      <c r="A1767" s="28" t="s">
        <v>576</v>
      </c>
      <c r="B1767" s="28" t="s">
        <v>2195</v>
      </c>
      <c r="D1767" s="28" t="s">
        <v>587</v>
      </c>
      <c r="E1767" s="28" t="s">
        <v>2200</v>
      </c>
      <c r="F1767" s="28" t="s">
        <v>2199</v>
      </c>
      <c r="G1767" s="28" t="s">
        <v>592</v>
      </c>
      <c r="H1767" s="28">
        <v>1.0</v>
      </c>
      <c r="I1767" s="28">
        <v>0.0149812734082397</v>
      </c>
      <c r="J1767" s="28">
        <v>1.0</v>
      </c>
      <c r="K1767" s="28" t="s">
        <v>57</v>
      </c>
      <c r="L1767" s="28" t="s">
        <v>57</v>
      </c>
    </row>
    <row r="1768" ht="15.75" customHeight="1">
      <c r="A1768" s="28" t="s">
        <v>576</v>
      </c>
      <c r="B1768" s="28" t="s">
        <v>2195</v>
      </c>
      <c r="D1768" s="28" t="s">
        <v>592</v>
      </c>
      <c r="E1768" s="28" t="s">
        <v>2201</v>
      </c>
      <c r="F1768" s="28" t="s">
        <v>2199</v>
      </c>
      <c r="G1768" s="28" t="s">
        <v>590</v>
      </c>
      <c r="H1768" s="28">
        <v>1.0</v>
      </c>
      <c r="I1768" s="28">
        <v>0.00749063670411985</v>
      </c>
      <c r="J1768" s="28">
        <v>0.0</v>
      </c>
      <c r="K1768" s="28" t="s">
        <v>57</v>
      </c>
      <c r="L1768" s="28" t="s">
        <v>57</v>
      </c>
    </row>
    <row r="1769" ht="15.75" customHeight="1">
      <c r="A1769" s="28" t="s">
        <v>576</v>
      </c>
      <c r="B1769" s="28" t="s">
        <v>2202</v>
      </c>
      <c r="D1769" s="28" t="s">
        <v>583</v>
      </c>
      <c r="E1769" s="28" t="s">
        <v>2196</v>
      </c>
      <c r="F1769" s="28" t="s">
        <v>2197</v>
      </c>
      <c r="G1769" s="28" t="s">
        <v>586</v>
      </c>
      <c r="H1769" s="28">
        <v>1.0</v>
      </c>
      <c r="I1769" s="28">
        <v>0.009433962264150943</v>
      </c>
      <c r="J1769" s="28">
        <v>0.0</v>
      </c>
      <c r="K1769" s="28" t="s">
        <v>57</v>
      </c>
      <c r="L1769" s="28" t="s">
        <v>57</v>
      </c>
    </row>
    <row r="1770" ht="15.75" customHeight="1">
      <c r="A1770" s="28" t="s">
        <v>576</v>
      </c>
      <c r="B1770" s="28" t="s">
        <v>2202</v>
      </c>
      <c r="D1770" s="28" t="s">
        <v>587</v>
      </c>
      <c r="E1770" s="28" t="s">
        <v>2198</v>
      </c>
      <c r="F1770" s="28" t="s">
        <v>2199</v>
      </c>
      <c r="G1770" s="28" t="s">
        <v>590</v>
      </c>
      <c r="H1770" s="28">
        <v>1.0</v>
      </c>
      <c r="I1770" s="28">
        <v>0.011278195488721804</v>
      </c>
      <c r="J1770" s="28">
        <v>2.0</v>
      </c>
      <c r="K1770" s="28" t="s">
        <v>57</v>
      </c>
      <c r="L1770" s="28" t="s">
        <v>57</v>
      </c>
    </row>
    <row r="1771" ht="15.75" customHeight="1">
      <c r="A1771" s="28" t="s">
        <v>576</v>
      </c>
      <c r="B1771" s="28" t="s">
        <v>2202</v>
      </c>
      <c r="D1771" s="28" t="s">
        <v>587</v>
      </c>
      <c r="E1771" s="28" t="s">
        <v>2200</v>
      </c>
      <c r="F1771" s="28" t="s">
        <v>2199</v>
      </c>
      <c r="G1771" s="28" t="s">
        <v>592</v>
      </c>
      <c r="H1771" s="28">
        <v>1.0</v>
      </c>
      <c r="I1771" s="28">
        <v>0.0149812734082397</v>
      </c>
      <c r="J1771" s="28">
        <v>1.0</v>
      </c>
      <c r="K1771" s="28" t="s">
        <v>57</v>
      </c>
      <c r="L1771" s="28" t="s">
        <v>57</v>
      </c>
    </row>
    <row r="1772" ht="15.75" customHeight="1">
      <c r="A1772" s="28" t="s">
        <v>576</v>
      </c>
      <c r="B1772" s="28" t="s">
        <v>2202</v>
      </c>
      <c r="D1772" s="28" t="s">
        <v>592</v>
      </c>
      <c r="E1772" s="28" t="s">
        <v>2201</v>
      </c>
      <c r="F1772" s="28" t="s">
        <v>2199</v>
      </c>
      <c r="G1772" s="28" t="s">
        <v>590</v>
      </c>
      <c r="H1772" s="28">
        <v>1.0</v>
      </c>
      <c r="I1772" s="28">
        <v>0.00749063670411985</v>
      </c>
      <c r="J1772" s="28">
        <v>0.0</v>
      </c>
      <c r="K1772" s="28" t="s">
        <v>57</v>
      </c>
      <c r="L1772" s="28" t="s">
        <v>57</v>
      </c>
    </row>
    <row r="1773" ht="15.75" customHeight="1">
      <c r="A1773" s="28" t="s">
        <v>576</v>
      </c>
      <c r="B1773" s="28" t="s">
        <v>2203</v>
      </c>
      <c r="D1773" s="28" t="s">
        <v>583</v>
      </c>
      <c r="E1773" s="28" t="s">
        <v>2196</v>
      </c>
      <c r="F1773" s="28" t="s">
        <v>2197</v>
      </c>
      <c r="G1773" s="28" t="s">
        <v>586</v>
      </c>
      <c r="H1773" s="28">
        <v>1.0</v>
      </c>
      <c r="I1773" s="28">
        <v>0.009433962264150943</v>
      </c>
      <c r="J1773" s="28">
        <v>0.0</v>
      </c>
      <c r="K1773" s="28" t="s">
        <v>57</v>
      </c>
      <c r="L1773" s="28" t="s">
        <v>57</v>
      </c>
    </row>
    <row r="1774" ht="15.75" customHeight="1">
      <c r="A1774" s="28" t="s">
        <v>576</v>
      </c>
      <c r="B1774" s="28" t="s">
        <v>2203</v>
      </c>
      <c r="D1774" s="28" t="s">
        <v>587</v>
      </c>
      <c r="E1774" s="28" t="s">
        <v>2198</v>
      </c>
      <c r="F1774" s="28" t="s">
        <v>2199</v>
      </c>
      <c r="G1774" s="28" t="s">
        <v>590</v>
      </c>
      <c r="H1774" s="28">
        <v>1.0</v>
      </c>
      <c r="I1774" s="28">
        <v>0.011278195488721804</v>
      </c>
      <c r="J1774" s="28">
        <v>2.0</v>
      </c>
      <c r="K1774" s="28" t="s">
        <v>57</v>
      </c>
      <c r="L1774" s="28" t="s">
        <v>57</v>
      </c>
    </row>
    <row r="1775" ht="15.75" customHeight="1">
      <c r="A1775" s="28" t="s">
        <v>576</v>
      </c>
      <c r="B1775" s="28" t="s">
        <v>2203</v>
      </c>
      <c r="D1775" s="28" t="s">
        <v>587</v>
      </c>
      <c r="E1775" s="28" t="s">
        <v>2200</v>
      </c>
      <c r="F1775" s="28" t="s">
        <v>2199</v>
      </c>
      <c r="G1775" s="28" t="s">
        <v>592</v>
      </c>
      <c r="H1775" s="28">
        <v>1.0</v>
      </c>
      <c r="I1775" s="28">
        <v>0.0149812734082397</v>
      </c>
      <c r="J1775" s="28">
        <v>1.0</v>
      </c>
      <c r="K1775" s="28" t="s">
        <v>57</v>
      </c>
      <c r="L1775" s="28" t="s">
        <v>57</v>
      </c>
    </row>
    <row r="1776" ht="15.75" customHeight="1">
      <c r="A1776" s="28" t="s">
        <v>576</v>
      </c>
      <c r="B1776" s="28" t="s">
        <v>2203</v>
      </c>
      <c r="D1776" s="28" t="s">
        <v>592</v>
      </c>
      <c r="E1776" s="28" t="s">
        <v>2201</v>
      </c>
      <c r="F1776" s="28" t="s">
        <v>2199</v>
      </c>
      <c r="G1776" s="28" t="s">
        <v>590</v>
      </c>
      <c r="H1776" s="28">
        <v>1.0</v>
      </c>
      <c r="I1776" s="28">
        <v>0.00749063670411985</v>
      </c>
      <c r="J1776" s="28">
        <v>0.0</v>
      </c>
      <c r="K1776" s="28" t="s">
        <v>57</v>
      </c>
      <c r="L1776" s="28" t="s">
        <v>57</v>
      </c>
    </row>
    <row r="1777" ht="15.75" customHeight="1">
      <c r="A1777" s="28" t="s">
        <v>576</v>
      </c>
      <c r="B1777" s="28" t="s">
        <v>2204</v>
      </c>
      <c r="D1777" s="28" t="s">
        <v>583</v>
      </c>
      <c r="E1777" s="28" t="s">
        <v>2196</v>
      </c>
      <c r="F1777" s="28" t="s">
        <v>2197</v>
      </c>
      <c r="G1777" s="28" t="s">
        <v>586</v>
      </c>
      <c r="H1777" s="28">
        <v>1.0</v>
      </c>
      <c r="I1777" s="28">
        <v>0.009433962264150943</v>
      </c>
      <c r="J1777" s="28">
        <v>0.0</v>
      </c>
      <c r="K1777" s="28" t="s">
        <v>57</v>
      </c>
      <c r="L1777" s="28" t="s">
        <v>57</v>
      </c>
    </row>
    <row r="1778" ht="15.75" customHeight="1">
      <c r="A1778" s="28" t="s">
        <v>576</v>
      </c>
      <c r="B1778" s="28" t="s">
        <v>2204</v>
      </c>
      <c r="D1778" s="28" t="s">
        <v>587</v>
      </c>
      <c r="E1778" s="28" t="s">
        <v>2198</v>
      </c>
      <c r="F1778" s="28" t="s">
        <v>2199</v>
      </c>
      <c r="G1778" s="28" t="s">
        <v>590</v>
      </c>
      <c r="H1778" s="28">
        <v>1.0</v>
      </c>
      <c r="I1778" s="28">
        <v>0.011278195488721804</v>
      </c>
      <c r="J1778" s="28">
        <v>2.0</v>
      </c>
      <c r="K1778" s="28" t="s">
        <v>57</v>
      </c>
      <c r="L1778" s="28" t="s">
        <v>57</v>
      </c>
    </row>
    <row r="1779" ht="15.75" customHeight="1">
      <c r="A1779" s="28" t="s">
        <v>576</v>
      </c>
      <c r="B1779" s="28" t="s">
        <v>2204</v>
      </c>
      <c r="D1779" s="28" t="s">
        <v>587</v>
      </c>
      <c r="E1779" s="28" t="s">
        <v>2200</v>
      </c>
      <c r="F1779" s="28" t="s">
        <v>2199</v>
      </c>
      <c r="G1779" s="28" t="s">
        <v>592</v>
      </c>
      <c r="H1779" s="28">
        <v>1.0</v>
      </c>
      <c r="I1779" s="28">
        <v>0.0149812734082397</v>
      </c>
      <c r="J1779" s="28">
        <v>1.0</v>
      </c>
      <c r="K1779" s="28" t="s">
        <v>57</v>
      </c>
      <c r="L1779" s="28" t="s">
        <v>57</v>
      </c>
    </row>
    <row r="1780" ht="15.75" customHeight="1">
      <c r="A1780" s="28" t="s">
        <v>576</v>
      </c>
      <c r="B1780" s="28" t="s">
        <v>2204</v>
      </c>
      <c r="D1780" s="28" t="s">
        <v>592</v>
      </c>
      <c r="E1780" s="28" t="s">
        <v>2201</v>
      </c>
      <c r="F1780" s="28" t="s">
        <v>2199</v>
      </c>
      <c r="G1780" s="28" t="s">
        <v>590</v>
      </c>
      <c r="H1780" s="28">
        <v>1.0</v>
      </c>
      <c r="I1780" s="28">
        <v>0.00749063670411985</v>
      </c>
      <c r="J1780" s="28">
        <v>0.0</v>
      </c>
      <c r="K1780" s="28" t="s">
        <v>57</v>
      </c>
      <c r="L1780" s="28" t="s">
        <v>57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7" max="37" width="18.71"/>
  </cols>
  <sheetData>
    <row r="1" ht="15.0" customHeight="1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3" t="s">
        <v>31</v>
      </c>
      <c r="AF1" s="3" t="s">
        <v>32</v>
      </c>
      <c r="AG1" s="3" t="s">
        <v>33</v>
      </c>
      <c r="AH1" s="3" t="s">
        <v>35</v>
      </c>
      <c r="AI1" s="3" t="s">
        <v>36</v>
      </c>
      <c r="AJ1" s="3" t="s">
        <v>37</v>
      </c>
      <c r="AK1" s="3" t="s">
        <v>38</v>
      </c>
      <c r="AL1" s="4" t="s">
        <v>2205</v>
      </c>
      <c r="AM1" s="3" t="s">
        <v>39</v>
      </c>
      <c r="AN1" s="3" t="s">
        <v>40</v>
      </c>
      <c r="AO1" s="3" t="s">
        <v>41</v>
      </c>
      <c r="AP1" s="3" t="s">
        <v>42</v>
      </c>
      <c r="AQ1" s="3" t="s">
        <v>43</v>
      </c>
    </row>
    <row r="2" ht="15.0" customHeight="1">
      <c r="A2" s="12">
        <v>1.0</v>
      </c>
      <c r="B2" s="13" t="s">
        <v>45</v>
      </c>
      <c r="C2" s="13" t="s">
        <v>46</v>
      </c>
      <c r="D2" s="13" t="s">
        <v>47</v>
      </c>
      <c r="E2" s="13" t="s">
        <v>48</v>
      </c>
      <c r="F2" s="13" t="s">
        <v>49</v>
      </c>
      <c r="G2" s="13" t="s">
        <v>50</v>
      </c>
      <c r="H2" s="13" t="s">
        <v>51</v>
      </c>
      <c r="I2" s="13" t="s">
        <v>52</v>
      </c>
      <c r="J2" s="13" t="s">
        <v>53</v>
      </c>
      <c r="K2" s="13" t="s">
        <v>54</v>
      </c>
      <c r="L2" s="13">
        <v>1.0</v>
      </c>
      <c r="M2" s="13">
        <v>0.8490566037735849</v>
      </c>
      <c r="N2" s="13">
        <v>0.8350409836065574</v>
      </c>
      <c r="O2" s="13" t="s">
        <v>56</v>
      </c>
      <c r="P2" s="13">
        <v>6.0</v>
      </c>
      <c r="Q2" s="13">
        <v>9.0</v>
      </c>
      <c r="R2" s="13" t="s">
        <v>57</v>
      </c>
      <c r="S2" s="13">
        <v>0.0</v>
      </c>
      <c r="T2" s="13" t="s">
        <v>57</v>
      </c>
      <c r="U2" s="13">
        <v>0.0</v>
      </c>
      <c r="V2" s="13">
        <v>0.0</v>
      </c>
      <c r="W2" s="13">
        <v>1.0</v>
      </c>
      <c r="X2" s="13" t="s">
        <v>58</v>
      </c>
      <c r="Y2" s="13">
        <v>0.0</v>
      </c>
      <c r="Z2" s="13" t="s">
        <v>57</v>
      </c>
      <c r="AA2" s="13" t="s">
        <v>59</v>
      </c>
      <c r="AB2" s="13" t="s">
        <v>60</v>
      </c>
      <c r="AC2" s="13" t="s">
        <v>61</v>
      </c>
      <c r="AD2" s="13" t="b">
        <v>1</v>
      </c>
      <c r="AE2" s="12" t="s">
        <v>184</v>
      </c>
      <c r="AF2" s="12" t="s">
        <v>62</v>
      </c>
      <c r="AG2" s="12">
        <v>0.4</v>
      </c>
      <c r="AH2" s="12" t="s">
        <v>63</v>
      </c>
      <c r="AI2" s="12" t="s">
        <v>64</v>
      </c>
      <c r="AJ2" s="12" t="s">
        <v>65</v>
      </c>
      <c r="AK2" s="14" t="s">
        <v>66</v>
      </c>
      <c r="AL2" s="12">
        <f t="shared" ref="AL2:AL46" si="1">countif(AK2,"*|*")</f>
        <v>0</v>
      </c>
      <c r="AM2" s="12" t="s">
        <v>67</v>
      </c>
      <c r="AN2" s="12" t="s">
        <v>264</v>
      </c>
      <c r="AO2" s="14" t="s">
        <v>69</v>
      </c>
      <c r="AP2" s="12" t="s">
        <v>56</v>
      </c>
      <c r="AQ2" s="12" t="s">
        <v>70</v>
      </c>
    </row>
    <row r="3" ht="15.0" customHeight="1">
      <c r="A3" s="12">
        <v>2.0</v>
      </c>
      <c r="B3" s="13" t="s">
        <v>45</v>
      </c>
      <c r="C3" s="13" t="s">
        <v>71</v>
      </c>
      <c r="D3" s="13" t="s">
        <v>72</v>
      </c>
      <c r="E3" s="13" t="s">
        <v>73</v>
      </c>
      <c r="F3" s="13" t="s">
        <v>74</v>
      </c>
      <c r="G3" s="13" t="s">
        <v>75</v>
      </c>
      <c r="H3" s="13" t="s">
        <v>76</v>
      </c>
      <c r="I3" s="13" t="s">
        <v>77</v>
      </c>
      <c r="J3" s="13" t="s">
        <v>78</v>
      </c>
      <c r="K3" s="13" t="s">
        <v>79</v>
      </c>
      <c r="L3" s="13">
        <v>1.0</v>
      </c>
      <c r="M3" s="13">
        <v>0.16666666666666666</v>
      </c>
      <c r="N3" s="13">
        <v>0.21011673151750973</v>
      </c>
      <c r="O3" s="13" t="s">
        <v>56</v>
      </c>
      <c r="P3" s="13">
        <v>2.0</v>
      </c>
      <c r="Q3" s="13">
        <v>10.0</v>
      </c>
      <c r="R3" s="13" t="s">
        <v>57</v>
      </c>
      <c r="S3" s="13">
        <v>0.0</v>
      </c>
      <c r="T3" s="13" t="s">
        <v>57</v>
      </c>
      <c r="U3" s="13">
        <v>0.0</v>
      </c>
      <c r="V3" s="13">
        <v>0.0</v>
      </c>
      <c r="W3" s="13">
        <v>0.0</v>
      </c>
      <c r="X3" s="13" t="s">
        <v>57</v>
      </c>
      <c r="Y3" s="13">
        <v>1.0</v>
      </c>
      <c r="Z3" s="13" t="s">
        <v>58</v>
      </c>
      <c r="AA3" s="13" t="s">
        <v>80</v>
      </c>
      <c r="AB3" s="13" t="s">
        <v>81</v>
      </c>
      <c r="AC3" s="13" t="s">
        <v>61</v>
      </c>
      <c r="AD3" s="13" t="b">
        <v>1</v>
      </c>
      <c r="AE3" s="12" t="s">
        <v>83</v>
      </c>
      <c r="AF3" s="12" t="s">
        <v>83</v>
      </c>
      <c r="AG3" s="12">
        <v>0.17</v>
      </c>
      <c r="AH3" s="12" t="s">
        <v>63</v>
      </c>
      <c r="AI3" s="12" t="s">
        <v>64</v>
      </c>
      <c r="AJ3" s="12" t="s">
        <v>65</v>
      </c>
      <c r="AK3" s="14" t="s">
        <v>84</v>
      </c>
      <c r="AL3" s="12">
        <f t="shared" si="1"/>
        <v>0</v>
      </c>
      <c r="AM3" s="12" t="s">
        <v>67</v>
      </c>
      <c r="AN3" s="12" t="s">
        <v>105</v>
      </c>
      <c r="AO3" s="12" t="s">
        <v>69</v>
      </c>
      <c r="AP3" s="12" t="s">
        <v>56</v>
      </c>
      <c r="AQ3" s="14" t="s">
        <v>86</v>
      </c>
    </row>
    <row r="4" ht="15.0" customHeight="1">
      <c r="A4" s="12">
        <v>3.0</v>
      </c>
      <c r="B4" s="13" t="s">
        <v>88</v>
      </c>
      <c r="C4" s="13" t="s">
        <v>89</v>
      </c>
      <c r="D4" s="13" t="s">
        <v>90</v>
      </c>
      <c r="E4" s="13" t="s">
        <v>91</v>
      </c>
      <c r="F4" s="13" t="s">
        <v>92</v>
      </c>
      <c r="G4" s="13" t="s">
        <v>93</v>
      </c>
      <c r="H4" s="13" t="s">
        <v>94</v>
      </c>
      <c r="I4" s="13" t="s">
        <v>95</v>
      </c>
      <c r="J4" s="13" t="s">
        <v>96</v>
      </c>
      <c r="K4" s="13" t="s">
        <v>97</v>
      </c>
      <c r="L4" s="13">
        <v>1.0</v>
      </c>
      <c r="M4" s="13">
        <v>0.4</v>
      </c>
      <c r="N4" s="13">
        <v>0.310126582278481</v>
      </c>
      <c r="O4" s="13" t="s">
        <v>56</v>
      </c>
      <c r="P4" s="13">
        <v>0.0</v>
      </c>
      <c r="Q4" s="13">
        <v>5.0</v>
      </c>
      <c r="R4" s="13" t="s">
        <v>57</v>
      </c>
      <c r="S4" s="13">
        <v>0.0</v>
      </c>
      <c r="T4" s="13" t="s">
        <v>57</v>
      </c>
      <c r="U4" s="13">
        <v>0.0</v>
      </c>
      <c r="V4" s="13">
        <v>0.0</v>
      </c>
      <c r="W4" s="13">
        <v>1.0</v>
      </c>
      <c r="X4" s="13" t="s">
        <v>98</v>
      </c>
      <c r="Y4" s="13">
        <v>1.0</v>
      </c>
      <c r="Z4" s="13" t="s">
        <v>99</v>
      </c>
      <c r="AA4" s="13" t="s">
        <v>100</v>
      </c>
      <c r="AB4" s="13" t="s">
        <v>101</v>
      </c>
      <c r="AC4" s="13" t="s">
        <v>102</v>
      </c>
      <c r="AD4" s="13" t="b">
        <v>1</v>
      </c>
      <c r="AE4" s="12" t="s">
        <v>83</v>
      </c>
      <c r="AF4" s="12" t="s">
        <v>82</v>
      </c>
      <c r="AG4" s="12">
        <v>0.25</v>
      </c>
      <c r="AH4" s="12" t="s">
        <v>103</v>
      </c>
      <c r="AI4" s="12" t="s">
        <v>104</v>
      </c>
      <c r="AJ4" s="12" t="s">
        <v>65</v>
      </c>
      <c r="AK4" s="14" t="s">
        <v>84</v>
      </c>
      <c r="AL4" s="12">
        <f t="shared" si="1"/>
        <v>0</v>
      </c>
      <c r="AM4" s="12" t="s">
        <v>67</v>
      </c>
      <c r="AN4" s="12" t="s">
        <v>105</v>
      </c>
      <c r="AO4" s="12" t="s">
        <v>69</v>
      </c>
      <c r="AP4" s="12" t="s">
        <v>106</v>
      </c>
      <c r="AQ4" s="14" t="s">
        <v>107</v>
      </c>
    </row>
    <row r="5" ht="15.0" customHeight="1">
      <c r="A5" s="12">
        <v>4.0</v>
      </c>
      <c r="B5" s="13" t="s">
        <v>88</v>
      </c>
      <c r="C5" s="13" t="s">
        <v>89</v>
      </c>
      <c r="D5" s="13" t="s">
        <v>90</v>
      </c>
      <c r="E5" s="13" t="s">
        <v>91</v>
      </c>
      <c r="F5" s="13" t="s">
        <v>92</v>
      </c>
      <c r="G5" s="13" t="s">
        <v>108</v>
      </c>
      <c r="H5" s="13" t="s">
        <v>109</v>
      </c>
      <c r="I5" s="13" t="s">
        <v>110</v>
      </c>
      <c r="J5" s="13" t="s">
        <v>111</v>
      </c>
      <c r="K5" s="13" t="s">
        <v>112</v>
      </c>
      <c r="L5" s="13">
        <v>1.0</v>
      </c>
      <c r="M5" s="13">
        <v>0.6</v>
      </c>
      <c r="N5" s="13">
        <v>0.5158227848101266</v>
      </c>
      <c r="O5" s="13" t="s">
        <v>56</v>
      </c>
      <c r="P5" s="13">
        <v>0.0</v>
      </c>
      <c r="Q5" s="13">
        <v>5.0</v>
      </c>
      <c r="R5" s="13" t="s">
        <v>57</v>
      </c>
      <c r="S5" s="13">
        <v>0.0</v>
      </c>
      <c r="T5" s="13" t="s">
        <v>57</v>
      </c>
      <c r="U5" s="13">
        <v>0.0</v>
      </c>
      <c r="V5" s="13">
        <v>0.0</v>
      </c>
      <c r="W5" s="13">
        <v>0.0</v>
      </c>
      <c r="X5" s="13" t="s">
        <v>57</v>
      </c>
      <c r="Y5" s="13">
        <v>1.0</v>
      </c>
      <c r="Z5" s="13" t="s">
        <v>99</v>
      </c>
      <c r="AA5" s="13" t="s">
        <v>80</v>
      </c>
      <c r="AB5" s="13" t="s">
        <v>101</v>
      </c>
      <c r="AC5" s="13" t="s">
        <v>102</v>
      </c>
      <c r="AD5" s="13" t="b">
        <v>1</v>
      </c>
      <c r="AE5" s="12" t="s">
        <v>83</v>
      </c>
      <c r="AF5" s="12" t="s">
        <v>82</v>
      </c>
      <c r="AG5" s="12">
        <v>0.25</v>
      </c>
      <c r="AH5" s="12" t="s">
        <v>103</v>
      </c>
      <c r="AI5" s="12" t="s">
        <v>113</v>
      </c>
      <c r="AJ5" s="12" t="s">
        <v>65</v>
      </c>
      <c r="AK5" s="14" t="s">
        <v>84</v>
      </c>
      <c r="AL5" s="12">
        <f t="shared" si="1"/>
        <v>0</v>
      </c>
      <c r="AM5" s="12" t="s">
        <v>67</v>
      </c>
      <c r="AN5" s="12" t="s">
        <v>105</v>
      </c>
      <c r="AO5" s="12" t="s">
        <v>69</v>
      </c>
      <c r="AP5" s="12" t="s">
        <v>56</v>
      </c>
      <c r="AQ5" s="12" t="s">
        <v>70</v>
      </c>
    </row>
    <row r="6" ht="15.0" customHeight="1">
      <c r="A6" s="29">
        <v>5.0</v>
      </c>
      <c r="B6" s="30" t="s">
        <v>114</v>
      </c>
      <c r="C6" s="30" t="s">
        <v>115</v>
      </c>
      <c r="D6" s="30" t="s">
        <v>116</v>
      </c>
      <c r="E6" s="30" t="s">
        <v>117</v>
      </c>
      <c r="F6" s="30" t="s">
        <v>118</v>
      </c>
      <c r="G6" s="30" t="s">
        <v>119</v>
      </c>
      <c r="H6" s="30" t="s">
        <v>120</v>
      </c>
      <c r="I6" s="30" t="s">
        <v>121</v>
      </c>
      <c r="J6" s="30" t="s">
        <v>122</v>
      </c>
      <c r="K6" s="30" t="s">
        <v>123</v>
      </c>
      <c r="L6" s="30">
        <v>1.0</v>
      </c>
      <c r="M6" s="30">
        <v>0.0</v>
      </c>
      <c r="N6" s="30">
        <v>0.08290155440414508</v>
      </c>
      <c r="O6" s="30" t="s">
        <v>56</v>
      </c>
      <c r="P6" s="30">
        <v>7.0</v>
      </c>
      <c r="Q6" s="30">
        <v>9.0</v>
      </c>
      <c r="R6" s="30" t="s">
        <v>57</v>
      </c>
      <c r="S6" s="30">
        <v>0.0</v>
      </c>
      <c r="T6" s="30" t="s">
        <v>57</v>
      </c>
      <c r="U6" s="30">
        <v>0.0</v>
      </c>
      <c r="V6" s="30">
        <v>0.0</v>
      </c>
      <c r="W6" s="30">
        <v>0.0</v>
      </c>
      <c r="X6" s="30" t="s">
        <v>57</v>
      </c>
      <c r="Y6" s="30">
        <v>0.0</v>
      </c>
      <c r="Z6" s="30" t="s">
        <v>57</v>
      </c>
      <c r="AA6" s="30" t="s">
        <v>124</v>
      </c>
      <c r="AB6" s="30" t="s">
        <v>125</v>
      </c>
      <c r="AC6" s="30" t="s">
        <v>102</v>
      </c>
      <c r="AD6" s="30" t="b">
        <v>1</v>
      </c>
      <c r="AE6" s="29" t="s">
        <v>126</v>
      </c>
      <c r="AF6" s="29" t="s">
        <v>82</v>
      </c>
      <c r="AG6" s="29">
        <v>0.33</v>
      </c>
      <c r="AH6" s="29" t="s">
        <v>103</v>
      </c>
      <c r="AI6" s="29" t="s">
        <v>64</v>
      </c>
      <c r="AJ6" s="29" t="s">
        <v>127</v>
      </c>
      <c r="AK6" s="31" t="s">
        <v>128</v>
      </c>
      <c r="AL6" s="29">
        <f t="shared" si="1"/>
        <v>0</v>
      </c>
      <c r="AM6" s="29" t="s">
        <v>67</v>
      </c>
      <c r="AN6" s="29" t="s">
        <v>105</v>
      </c>
      <c r="AO6" s="29" t="s">
        <v>129</v>
      </c>
      <c r="AP6" s="29" t="s">
        <v>56</v>
      </c>
      <c r="AQ6" s="31" t="s">
        <v>130</v>
      </c>
    </row>
    <row r="7" ht="15.0" customHeight="1">
      <c r="A7" s="12">
        <v>6.0</v>
      </c>
      <c r="B7" s="13" t="s">
        <v>131</v>
      </c>
      <c r="C7" s="13" t="s">
        <v>132</v>
      </c>
      <c r="D7" s="13" t="s">
        <v>133</v>
      </c>
      <c r="E7" s="13" t="s">
        <v>134</v>
      </c>
      <c r="F7" s="13" t="s">
        <v>135</v>
      </c>
      <c r="G7" s="13" t="s">
        <v>136</v>
      </c>
      <c r="H7" s="13" t="s">
        <v>137</v>
      </c>
      <c r="I7" s="13" t="s">
        <v>138</v>
      </c>
      <c r="J7" s="13" t="s">
        <v>139</v>
      </c>
      <c r="K7" s="13" t="s">
        <v>140</v>
      </c>
      <c r="L7" s="13">
        <v>1.0</v>
      </c>
      <c r="M7" s="13">
        <v>0.8181818181818182</v>
      </c>
      <c r="N7" s="13">
        <v>0.7101167315175098</v>
      </c>
      <c r="O7" s="13" t="s">
        <v>56</v>
      </c>
      <c r="P7" s="13">
        <v>2.0</v>
      </c>
      <c r="Q7" s="13">
        <v>6.0</v>
      </c>
      <c r="R7" s="13" t="s">
        <v>57</v>
      </c>
      <c r="S7" s="13">
        <v>0.0</v>
      </c>
      <c r="T7" s="13" t="s">
        <v>57</v>
      </c>
      <c r="U7" s="13">
        <v>0.0</v>
      </c>
      <c r="V7" s="13">
        <v>0.0</v>
      </c>
      <c r="W7" s="13">
        <v>2.0</v>
      </c>
      <c r="X7" s="13" t="s">
        <v>141</v>
      </c>
      <c r="Y7" s="13">
        <v>0.0</v>
      </c>
      <c r="Z7" s="13" t="s">
        <v>57</v>
      </c>
      <c r="AA7" s="13" t="s">
        <v>59</v>
      </c>
      <c r="AB7" s="13" t="s">
        <v>142</v>
      </c>
      <c r="AC7" s="13" t="s">
        <v>102</v>
      </c>
      <c r="AD7" s="13" t="b">
        <v>1</v>
      </c>
      <c r="AE7" s="12" t="s">
        <v>82</v>
      </c>
      <c r="AF7" s="12" t="s">
        <v>62</v>
      </c>
      <c r="AG7" s="12">
        <v>1.0</v>
      </c>
      <c r="AH7" s="12" t="s">
        <v>64</v>
      </c>
      <c r="AI7" s="12" t="s">
        <v>64</v>
      </c>
      <c r="AJ7" s="12" t="s">
        <v>143</v>
      </c>
      <c r="AK7" s="14" t="s">
        <v>66</v>
      </c>
      <c r="AL7" s="12">
        <f t="shared" si="1"/>
        <v>0</v>
      </c>
      <c r="AM7" s="12" t="s">
        <v>67</v>
      </c>
      <c r="AN7" s="12" t="s">
        <v>105</v>
      </c>
      <c r="AO7" s="12" t="s">
        <v>69</v>
      </c>
      <c r="AP7" s="12" t="s">
        <v>56</v>
      </c>
      <c r="AQ7" s="14" t="s">
        <v>130</v>
      </c>
    </row>
    <row r="8" ht="15.0" customHeight="1">
      <c r="A8" s="12">
        <v>7.0</v>
      </c>
      <c r="B8" s="13" t="s">
        <v>131</v>
      </c>
      <c r="C8" s="13" t="s">
        <v>144</v>
      </c>
      <c r="D8" s="13" t="s">
        <v>132</v>
      </c>
      <c r="E8" s="13" t="s">
        <v>140</v>
      </c>
      <c r="F8" s="13" t="s">
        <v>139</v>
      </c>
      <c r="G8" s="13" t="s">
        <v>145</v>
      </c>
      <c r="H8" s="13" t="s">
        <v>146</v>
      </c>
      <c r="I8" s="13" t="s">
        <v>147</v>
      </c>
      <c r="J8" s="13" t="s">
        <v>148</v>
      </c>
      <c r="K8" s="13" t="s">
        <v>149</v>
      </c>
      <c r="L8" s="13">
        <v>1.0</v>
      </c>
      <c r="M8" s="13">
        <v>0.3125</v>
      </c>
      <c r="N8" s="13">
        <v>0.37383177570093457</v>
      </c>
      <c r="O8" s="13" t="s">
        <v>56</v>
      </c>
      <c r="P8" s="13">
        <v>0.0</v>
      </c>
      <c r="Q8" s="13">
        <v>8.0</v>
      </c>
      <c r="R8" s="13" t="s">
        <v>57</v>
      </c>
      <c r="S8" s="13">
        <v>0.0</v>
      </c>
      <c r="T8" s="13" t="s">
        <v>57</v>
      </c>
      <c r="U8" s="13">
        <v>0.0</v>
      </c>
      <c r="V8" s="13">
        <v>0.0</v>
      </c>
      <c r="W8" s="13">
        <v>1.0</v>
      </c>
      <c r="X8" s="13" t="s">
        <v>150</v>
      </c>
      <c r="Y8" s="13">
        <v>0.0</v>
      </c>
      <c r="Z8" s="13" t="s">
        <v>57</v>
      </c>
      <c r="AA8" s="13" t="s">
        <v>59</v>
      </c>
      <c r="AB8" s="13" t="s">
        <v>151</v>
      </c>
      <c r="AC8" s="13" t="s">
        <v>102</v>
      </c>
      <c r="AD8" s="13" t="b">
        <v>1</v>
      </c>
      <c r="AE8" s="12" t="s">
        <v>82</v>
      </c>
      <c r="AF8" s="12" t="s">
        <v>184</v>
      </c>
      <c r="AG8" s="12">
        <v>1.0</v>
      </c>
      <c r="AH8" s="12" t="s">
        <v>113</v>
      </c>
      <c r="AI8" s="12" t="s">
        <v>64</v>
      </c>
      <c r="AJ8" s="12" t="s">
        <v>143</v>
      </c>
      <c r="AK8" s="14" t="s">
        <v>66</v>
      </c>
      <c r="AL8" s="12">
        <f t="shared" si="1"/>
        <v>0</v>
      </c>
      <c r="AM8" s="12" t="s">
        <v>67</v>
      </c>
      <c r="AN8" s="12" t="s">
        <v>264</v>
      </c>
      <c r="AO8" s="12" t="s">
        <v>69</v>
      </c>
      <c r="AP8" s="12" t="s">
        <v>56</v>
      </c>
      <c r="AQ8" s="13"/>
    </row>
    <row r="9" ht="15.0" customHeight="1">
      <c r="A9" s="12">
        <v>8.0</v>
      </c>
      <c r="B9" s="13" t="s">
        <v>153</v>
      </c>
      <c r="C9" s="13" t="s">
        <v>154</v>
      </c>
      <c r="D9" s="13" t="s">
        <v>155</v>
      </c>
      <c r="E9" s="13" t="s">
        <v>156</v>
      </c>
      <c r="F9" s="13" t="s">
        <v>157</v>
      </c>
      <c r="G9" s="13" t="s">
        <v>158</v>
      </c>
      <c r="H9" s="13" t="s">
        <v>159</v>
      </c>
      <c r="I9" s="13" t="s">
        <v>160</v>
      </c>
      <c r="J9" s="13" t="s">
        <v>161</v>
      </c>
      <c r="K9" s="13" t="s">
        <v>162</v>
      </c>
      <c r="L9" s="13">
        <v>1.0</v>
      </c>
      <c r="M9" s="13">
        <v>0.8888888888888888</v>
      </c>
      <c r="N9" s="13">
        <v>0.8411910669975186</v>
      </c>
      <c r="O9" s="13" t="s">
        <v>56</v>
      </c>
      <c r="P9" s="13">
        <v>3.0</v>
      </c>
      <c r="Q9" s="13">
        <v>4.0</v>
      </c>
      <c r="R9" s="13" t="s">
        <v>57</v>
      </c>
      <c r="S9" s="13">
        <v>0.0</v>
      </c>
      <c r="T9" s="13" t="s">
        <v>57</v>
      </c>
      <c r="U9" s="13">
        <v>0.0</v>
      </c>
      <c r="V9" s="13">
        <v>0.0</v>
      </c>
      <c r="W9" s="13">
        <v>0.0</v>
      </c>
      <c r="X9" s="13" t="s">
        <v>57</v>
      </c>
      <c r="Y9" s="13">
        <v>1.0</v>
      </c>
      <c r="Z9" s="13" t="s">
        <v>163</v>
      </c>
      <c r="AA9" s="13" t="s">
        <v>80</v>
      </c>
      <c r="AB9" s="13" t="s">
        <v>164</v>
      </c>
      <c r="AC9" s="13" t="s">
        <v>102</v>
      </c>
      <c r="AD9" s="13" t="b">
        <v>1</v>
      </c>
      <c r="AE9" s="12" t="s">
        <v>82</v>
      </c>
      <c r="AF9" s="12" t="s">
        <v>82</v>
      </c>
      <c r="AG9" s="12">
        <v>0.25</v>
      </c>
      <c r="AH9" s="12" t="s">
        <v>63</v>
      </c>
      <c r="AI9" s="12" t="s">
        <v>64</v>
      </c>
      <c r="AJ9" s="12" t="s">
        <v>65</v>
      </c>
      <c r="AK9" s="14" t="s">
        <v>84</v>
      </c>
      <c r="AL9" s="12">
        <f t="shared" si="1"/>
        <v>0</v>
      </c>
      <c r="AM9" s="12" t="s">
        <v>67</v>
      </c>
      <c r="AN9" s="12" t="s">
        <v>105</v>
      </c>
      <c r="AO9" s="12" t="s">
        <v>69</v>
      </c>
      <c r="AP9" s="12" t="s">
        <v>56</v>
      </c>
      <c r="AQ9" s="13"/>
    </row>
    <row r="10" ht="15.0" customHeight="1">
      <c r="A10" s="29">
        <v>9.0</v>
      </c>
      <c r="B10" s="30" t="s">
        <v>45</v>
      </c>
      <c r="C10" s="30" t="s">
        <v>165</v>
      </c>
      <c r="D10" s="30" t="s">
        <v>166</v>
      </c>
      <c r="E10" s="30" t="s">
        <v>167</v>
      </c>
      <c r="F10" s="30" t="s">
        <v>168</v>
      </c>
      <c r="G10" s="30" t="s">
        <v>169</v>
      </c>
      <c r="H10" s="30" t="s">
        <v>170</v>
      </c>
      <c r="I10" s="30" t="s">
        <v>171</v>
      </c>
      <c r="J10" s="30" t="s">
        <v>172</v>
      </c>
      <c r="K10" s="30" t="s">
        <v>173</v>
      </c>
      <c r="L10" s="30">
        <v>1.0</v>
      </c>
      <c r="M10" s="30">
        <v>0.0</v>
      </c>
      <c r="N10" s="30">
        <v>0.15337423312883436</v>
      </c>
      <c r="O10" s="30" t="s">
        <v>56</v>
      </c>
      <c r="P10" s="30">
        <v>3.0</v>
      </c>
      <c r="Q10" s="30">
        <v>12.0</v>
      </c>
      <c r="R10" s="30" t="s">
        <v>57</v>
      </c>
      <c r="S10" s="30">
        <v>0.0</v>
      </c>
      <c r="T10" s="30" t="s">
        <v>57</v>
      </c>
      <c r="U10" s="30">
        <v>0.0</v>
      </c>
      <c r="V10" s="30">
        <v>0.0</v>
      </c>
      <c r="W10" s="30">
        <v>0.0</v>
      </c>
      <c r="X10" s="30" t="s">
        <v>57</v>
      </c>
      <c r="Y10" s="30">
        <v>0.0</v>
      </c>
      <c r="Z10" s="30" t="s">
        <v>57</v>
      </c>
      <c r="AA10" s="30" t="s">
        <v>124</v>
      </c>
      <c r="AB10" s="30" t="s">
        <v>174</v>
      </c>
      <c r="AC10" s="30" t="s">
        <v>102</v>
      </c>
      <c r="AD10" s="30" t="b">
        <v>1</v>
      </c>
      <c r="AE10" s="29" t="s">
        <v>126</v>
      </c>
      <c r="AF10" s="29" t="s">
        <v>82</v>
      </c>
      <c r="AG10" s="29">
        <v>0.6</v>
      </c>
      <c r="AH10" s="29" t="s">
        <v>63</v>
      </c>
      <c r="AI10" s="29" t="s">
        <v>113</v>
      </c>
      <c r="AJ10" s="29" t="s">
        <v>65</v>
      </c>
      <c r="AK10" s="31" t="s">
        <v>128</v>
      </c>
      <c r="AL10" s="29">
        <f t="shared" si="1"/>
        <v>0</v>
      </c>
      <c r="AM10" s="29" t="s">
        <v>67</v>
      </c>
      <c r="AN10" s="29" t="s">
        <v>105</v>
      </c>
      <c r="AO10" s="29" t="s">
        <v>69</v>
      </c>
      <c r="AP10" s="29" t="s">
        <v>56</v>
      </c>
      <c r="AQ10" s="30"/>
    </row>
    <row r="11" ht="15.0" customHeight="1">
      <c r="A11" s="29">
        <v>10.0</v>
      </c>
      <c r="B11" s="30" t="s">
        <v>114</v>
      </c>
      <c r="C11" s="30" t="s">
        <v>175</v>
      </c>
      <c r="D11" s="30" t="s">
        <v>115</v>
      </c>
      <c r="E11" s="30" t="s">
        <v>176</v>
      </c>
      <c r="F11" s="30" t="s">
        <v>177</v>
      </c>
      <c r="G11" s="30" t="s">
        <v>178</v>
      </c>
      <c r="H11" s="30" t="s">
        <v>179</v>
      </c>
      <c r="I11" s="30" t="s">
        <v>180</v>
      </c>
      <c r="J11" s="30" t="s">
        <v>181</v>
      </c>
      <c r="K11" s="30" t="s">
        <v>182</v>
      </c>
      <c r="L11" s="30">
        <v>1.0</v>
      </c>
      <c r="M11" s="30">
        <v>0.0</v>
      </c>
      <c r="N11" s="30">
        <v>0.03676470588235294</v>
      </c>
      <c r="O11" s="30" t="s">
        <v>56</v>
      </c>
      <c r="P11" s="30">
        <v>8.0</v>
      </c>
      <c r="Q11" s="30">
        <v>10.0</v>
      </c>
      <c r="R11" s="30" t="s">
        <v>57</v>
      </c>
      <c r="S11" s="30">
        <v>0.0</v>
      </c>
      <c r="T11" s="30" t="s">
        <v>57</v>
      </c>
      <c r="U11" s="30">
        <v>0.0</v>
      </c>
      <c r="V11" s="30">
        <v>0.0</v>
      </c>
      <c r="W11" s="30">
        <v>0.0</v>
      </c>
      <c r="X11" s="30" t="s">
        <v>57</v>
      </c>
      <c r="Y11" s="30">
        <v>0.0</v>
      </c>
      <c r="Z11" s="30" t="s">
        <v>57</v>
      </c>
      <c r="AA11" s="30" t="s">
        <v>124</v>
      </c>
      <c r="AB11" s="30" t="s">
        <v>183</v>
      </c>
      <c r="AC11" s="30" t="s">
        <v>102</v>
      </c>
      <c r="AD11" s="30" t="b">
        <v>1</v>
      </c>
      <c r="AE11" s="29" t="s">
        <v>184</v>
      </c>
      <c r="AF11" s="29" t="s">
        <v>185</v>
      </c>
      <c r="AG11" s="29">
        <v>0.5</v>
      </c>
      <c r="AH11" s="29" t="s">
        <v>103</v>
      </c>
      <c r="AI11" s="29" t="s">
        <v>64</v>
      </c>
      <c r="AJ11" s="29" t="s">
        <v>127</v>
      </c>
      <c r="AK11" s="31" t="s">
        <v>128</v>
      </c>
      <c r="AL11" s="29">
        <f t="shared" si="1"/>
        <v>0</v>
      </c>
      <c r="AM11" s="29" t="s">
        <v>67</v>
      </c>
      <c r="AN11" s="29" t="s">
        <v>105</v>
      </c>
      <c r="AO11" s="29" t="s">
        <v>186</v>
      </c>
      <c r="AP11" s="29" t="s">
        <v>56</v>
      </c>
      <c r="AQ11" s="30"/>
    </row>
    <row r="12" ht="15.0" customHeight="1">
      <c r="A12" s="12">
        <v>11.0</v>
      </c>
      <c r="B12" s="13" t="s">
        <v>187</v>
      </c>
      <c r="C12" s="13" t="s">
        <v>188</v>
      </c>
      <c r="D12" s="13" t="s">
        <v>189</v>
      </c>
      <c r="E12" s="13" t="s">
        <v>190</v>
      </c>
      <c r="F12" s="13" t="s">
        <v>191</v>
      </c>
      <c r="G12" s="13" t="s">
        <v>192</v>
      </c>
      <c r="H12" s="13" t="s">
        <v>193</v>
      </c>
      <c r="I12" s="13" t="s">
        <v>194</v>
      </c>
      <c r="J12" s="13" t="s">
        <v>195</v>
      </c>
      <c r="K12" s="13" t="s">
        <v>196</v>
      </c>
      <c r="L12" s="13">
        <v>1.0</v>
      </c>
      <c r="M12" s="13">
        <v>0.5</v>
      </c>
      <c r="N12" s="13">
        <v>0.48</v>
      </c>
      <c r="O12" s="13" t="s">
        <v>56</v>
      </c>
      <c r="P12" s="13">
        <v>1.0</v>
      </c>
      <c r="Q12" s="13">
        <v>5.0</v>
      </c>
      <c r="R12" s="13" t="s">
        <v>57</v>
      </c>
      <c r="S12" s="13">
        <v>0.0</v>
      </c>
      <c r="T12" s="13" t="s">
        <v>57</v>
      </c>
      <c r="U12" s="13">
        <v>0.0</v>
      </c>
      <c r="V12" s="13">
        <v>0.0</v>
      </c>
      <c r="W12" s="13">
        <v>0.0</v>
      </c>
      <c r="X12" s="13" t="s">
        <v>57</v>
      </c>
      <c r="Y12" s="13">
        <v>1.0</v>
      </c>
      <c r="Z12" s="13" t="s">
        <v>197</v>
      </c>
      <c r="AA12" s="13" t="s">
        <v>80</v>
      </c>
      <c r="AB12" s="13" t="s">
        <v>198</v>
      </c>
      <c r="AC12" s="13" t="s">
        <v>102</v>
      </c>
      <c r="AD12" s="13" t="b">
        <v>1</v>
      </c>
      <c r="AE12" s="12" t="s">
        <v>83</v>
      </c>
      <c r="AF12" s="12" t="s">
        <v>82</v>
      </c>
      <c r="AG12" s="12">
        <v>0.2</v>
      </c>
      <c r="AH12" s="12" t="s">
        <v>63</v>
      </c>
      <c r="AI12" s="12" t="s">
        <v>64</v>
      </c>
      <c r="AJ12" s="12" t="s">
        <v>65</v>
      </c>
      <c r="AK12" s="14" t="s">
        <v>84</v>
      </c>
      <c r="AL12" s="12">
        <f t="shared" si="1"/>
        <v>0</v>
      </c>
      <c r="AM12" s="12" t="s">
        <v>67</v>
      </c>
      <c r="AN12" s="12" t="s">
        <v>105</v>
      </c>
      <c r="AO12" s="12" t="s">
        <v>69</v>
      </c>
      <c r="AP12" s="12" t="s">
        <v>56</v>
      </c>
      <c r="AQ12" s="13"/>
    </row>
    <row r="13" ht="15.0" customHeight="1">
      <c r="A13" s="29">
        <v>12.0</v>
      </c>
      <c r="B13" s="30" t="s">
        <v>45</v>
      </c>
      <c r="C13" s="30" t="s">
        <v>199</v>
      </c>
      <c r="D13" s="30" t="s">
        <v>165</v>
      </c>
      <c r="E13" s="30" t="s">
        <v>117</v>
      </c>
      <c r="F13" s="30" t="s">
        <v>200</v>
      </c>
      <c r="G13" s="30" t="s">
        <v>201</v>
      </c>
      <c r="H13" s="30" t="s">
        <v>202</v>
      </c>
      <c r="I13" s="30" t="s">
        <v>203</v>
      </c>
      <c r="J13" s="30" t="s">
        <v>204</v>
      </c>
      <c r="K13" s="30" t="s">
        <v>205</v>
      </c>
      <c r="L13" s="30">
        <v>1.0</v>
      </c>
      <c r="M13" s="30">
        <v>0.0</v>
      </c>
      <c r="N13" s="30">
        <v>0.23076923076923078</v>
      </c>
      <c r="O13" s="30" t="s">
        <v>56</v>
      </c>
      <c r="P13" s="30">
        <v>4.0</v>
      </c>
      <c r="Q13" s="30">
        <v>13.0</v>
      </c>
      <c r="R13" s="30" t="s">
        <v>57</v>
      </c>
      <c r="S13" s="30">
        <v>0.0</v>
      </c>
      <c r="T13" s="30" t="s">
        <v>57</v>
      </c>
      <c r="U13" s="30">
        <v>0.0</v>
      </c>
      <c r="V13" s="30">
        <v>0.0</v>
      </c>
      <c r="W13" s="30">
        <v>0.0</v>
      </c>
      <c r="X13" s="30" t="s">
        <v>57</v>
      </c>
      <c r="Y13" s="30">
        <v>0.0</v>
      </c>
      <c r="Z13" s="30" t="s">
        <v>57</v>
      </c>
      <c r="AA13" s="30" t="s">
        <v>124</v>
      </c>
      <c r="AB13" s="30" t="s">
        <v>206</v>
      </c>
      <c r="AC13" s="30" t="s">
        <v>102</v>
      </c>
      <c r="AD13" s="30" t="b">
        <v>1</v>
      </c>
      <c r="AE13" s="29" t="s">
        <v>83</v>
      </c>
      <c r="AF13" s="29" t="s">
        <v>62</v>
      </c>
      <c r="AG13" s="29">
        <v>0.17</v>
      </c>
      <c r="AH13" s="29" t="s">
        <v>63</v>
      </c>
      <c r="AI13" s="29" t="s">
        <v>64</v>
      </c>
      <c r="AJ13" s="29" t="s">
        <v>65</v>
      </c>
      <c r="AK13" s="31" t="s">
        <v>128</v>
      </c>
      <c r="AL13" s="29">
        <f t="shared" si="1"/>
        <v>0</v>
      </c>
      <c r="AM13" s="29" t="s">
        <v>67</v>
      </c>
      <c r="AN13" s="29" t="s">
        <v>105</v>
      </c>
      <c r="AO13" s="29" t="s">
        <v>69</v>
      </c>
      <c r="AP13" s="29" t="s">
        <v>56</v>
      </c>
      <c r="AQ13" s="30"/>
    </row>
    <row r="14" ht="15.0" customHeight="1">
      <c r="A14" s="12">
        <v>13.0</v>
      </c>
      <c r="B14" s="13" t="s">
        <v>131</v>
      </c>
      <c r="C14" s="13" t="s">
        <v>207</v>
      </c>
      <c r="D14" s="13" t="s">
        <v>208</v>
      </c>
      <c r="E14" s="13" t="s">
        <v>140</v>
      </c>
      <c r="F14" s="13" t="s">
        <v>139</v>
      </c>
      <c r="G14" s="13" t="s">
        <v>209</v>
      </c>
      <c r="H14" s="13" t="s">
        <v>210</v>
      </c>
      <c r="I14" s="13" t="s">
        <v>211</v>
      </c>
      <c r="J14" s="13" t="s">
        <v>212</v>
      </c>
      <c r="K14" s="13" t="s">
        <v>213</v>
      </c>
      <c r="L14" s="13">
        <v>1.0</v>
      </c>
      <c r="M14" s="13">
        <v>0.2727272727272727</v>
      </c>
      <c r="N14" s="13">
        <v>0.3949416342412451</v>
      </c>
      <c r="O14" s="13" t="s">
        <v>56</v>
      </c>
      <c r="P14" s="13">
        <v>1.0</v>
      </c>
      <c r="Q14" s="13">
        <v>8.0</v>
      </c>
      <c r="R14" s="13" t="s">
        <v>57</v>
      </c>
      <c r="S14" s="13">
        <v>0.0</v>
      </c>
      <c r="T14" s="13" t="s">
        <v>57</v>
      </c>
      <c r="U14" s="13">
        <v>0.0</v>
      </c>
      <c r="V14" s="13">
        <v>0.0</v>
      </c>
      <c r="W14" s="13">
        <v>0.0</v>
      </c>
      <c r="X14" s="13" t="s">
        <v>57</v>
      </c>
      <c r="Y14" s="13">
        <v>1.0</v>
      </c>
      <c r="Z14" s="13" t="s">
        <v>150</v>
      </c>
      <c r="AA14" s="13" t="s">
        <v>80</v>
      </c>
      <c r="AB14" s="13" t="s">
        <v>214</v>
      </c>
      <c r="AC14" s="13" t="s">
        <v>102</v>
      </c>
      <c r="AD14" s="13" t="b">
        <v>1</v>
      </c>
      <c r="AE14" s="12" t="s">
        <v>82</v>
      </c>
      <c r="AF14" s="12" t="s">
        <v>83</v>
      </c>
      <c r="AG14" s="12">
        <v>1.0</v>
      </c>
      <c r="AH14" s="12" t="s">
        <v>113</v>
      </c>
      <c r="AI14" s="12" t="s">
        <v>64</v>
      </c>
      <c r="AJ14" s="12" t="s">
        <v>143</v>
      </c>
      <c r="AK14" s="14" t="s">
        <v>84</v>
      </c>
      <c r="AL14" s="12">
        <f t="shared" si="1"/>
        <v>0</v>
      </c>
      <c r="AM14" s="12" t="s">
        <v>67</v>
      </c>
      <c r="AN14" s="12" t="s">
        <v>105</v>
      </c>
      <c r="AO14" s="12" t="s">
        <v>69</v>
      </c>
      <c r="AP14" s="12" t="s">
        <v>56</v>
      </c>
      <c r="AQ14" s="13"/>
    </row>
    <row r="15" ht="15.0" customHeight="1">
      <c r="A15" s="12">
        <v>14.0</v>
      </c>
      <c r="B15" s="13" t="s">
        <v>153</v>
      </c>
      <c r="C15" s="13" t="s">
        <v>215</v>
      </c>
      <c r="D15" s="13" t="s">
        <v>216</v>
      </c>
      <c r="E15" s="13" t="s">
        <v>156</v>
      </c>
      <c r="F15" s="13" t="s">
        <v>157</v>
      </c>
      <c r="G15" s="13" t="s">
        <v>217</v>
      </c>
      <c r="H15" s="13" t="s">
        <v>218</v>
      </c>
      <c r="I15" s="13" t="s">
        <v>219</v>
      </c>
      <c r="J15" s="13" t="s">
        <v>220</v>
      </c>
      <c r="K15" s="13" t="s">
        <v>221</v>
      </c>
      <c r="L15" s="13">
        <v>1.0</v>
      </c>
      <c r="M15" s="13">
        <v>0.2222222222222222</v>
      </c>
      <c r="N15" s="13">
        <v>0.23325062034739455</v>
      </c>
      <c r="O15" s="13" t="s">
        <v>56</v>
      </c>
      <c r="P15" s="13">
        <v>4.0</v>
      </c>
      <c r="Q15" s="13">
        <v>9.0</v>
      </c>
      <c r="R15" s="13" t="s">
        <v>57</v>
      </c>
      <c r="S15" s="13">
        <v>0.0</v>
      </c>
      <c r="T15" s="13" t="s">
        <v>57</v>
      </c>
      <c r="U15" s="13">
        <v>0.0</v>
      </c>
      <c r="V15" s="13">
        <v>0.0</v>
      </c>
      <c r="W15" s="13">
        <v>0.0</v>
      </c>
      <c r="X15" s="13" t="s">
        <v>57</v>
      </c>
      <c r="Y15" s="13">
        <v>1.0</v>
      </c>
      <c r="Z15" s="13" t="s">
        <v>163</v>
      </c>
      <c r="AA15" s="13" t="s">
        <v>80</v>
      </c>
      <c r="AB15" s="13" t="s">
        <v>222</v>
      </c>
      <c r="AC15" s="13" t="s">
        <v>102</v>
      </c>
      <c r="AD15" s="13" t="b">
        <v>1</v>
      </c>
      <c r="AE15" s="12" t="s">
        <v>62</v>
      </c>
      <c r="AF15" s="12" t="s">
        <v>82</v>
      </c>
      <c r="AG15" s="12">
        <v>0.17</v>
      </c>
      <c r="AH15" s="12" t="s">
        <v>63</v>
      </c>
      <c r="AI15" s="12" t="s">
        <v>64</v>
      </c>
      <c r="AJ15" s="12" t="s">
        <v>65</v>
      </c>
      <c r="AK15" s="14" t="s">
        <v>84</v>
      </c>
      <c r="AL15" s="12">
        <f t="shared" si="1"/>
        <v>0</v>
      </c>
      <c r="AM15" s="12" t="s">
        <v>67</v>
      </c>
      <c r="AN15" s="12" t="s">
        <v>105</v>
      </c>
      <c r="AO15" s="12" t="s">
        <v>69</v>
      </c>
      <c r="AP15" s="12" t="s">
        <v>56</v>
      </c>
      <c r="AQ15" s="13"/>
    </row>
    <row r="16" ht="15.0" customHeight="1">
      <c r="A16" s="29">
        <v>15.0</v>
      </c>
      <c r="B16" s="30" t="s">
        <v>153</v>
      </c>
      <c r="C16" s="30" t="s">
        <v>215</v>
      </c>
      <c r="D16" s="30" t="s">
        <v>216</v>
      </c>
      <c r="E16" s="30" t="s">
        <v>162</v>
      </c>
      <c r="F16" s="30" t="s">
        <v>223</v>
      </c>
      <c r="G16" s="30" t="s">
        <v>224</v>
      </c>
      <c r="H16" s="30" t="s">
        <v>225</v>
      </c>
      <c r="I16" s="30" t="s">
        <v>226</v>
      </c>
      <c r="J16" s="30" t="s">
        <v>227</v>
      </c>
      <c r="K16" s="30" t="s">
        <v>228</v>
      </c>
      <c r="L16" s="30">
        <v>1.0</v>
      </c>
      <c r="M16" s="30">
        <v>0.0</v>
      </c>
      <c r="N16" s="30">
        <v>0.16</v>
      </c>
      <c r="O16" s="30" t="s">
        <v>56</v>
      </c>
      <c r="P16" s="30">
        <v>0.0</v>
      </c>
      <c r="Q16" s="30">
        <v>9.0</v>
      </c>
      <c r="R16" s="30" t="s">
        <v>57</v>
      </c>
      <c r="S16" s="30">
        <v>0.0</v>
      </c>
      <c r="T16" s="30" t="s">
        <v>57</v>
      </c>
      <c r="U16" s="30">
        <v>0.0</v>
      </c>
      <c r="V16" s="30">
        <v>0.0</v>
      </c>
      <c r="W16" s="30">
        <v>0.0</v>
      </c>
      <c r="X16" s="30" t="s">
        <v>57</v>
      </c>
      <c r="Y16" s="30">
        <v>0.0</v>
      </c>
      <c r="Z16" s="30" t="s">
        <v>57</v>
      </c>
      <c r="AA16" s="30" t="s">
        <v>124</v>
      </c>
      <c r="AB16" s="30" t="s">
        <v>222</v>
      </c>
      <c r="AC16" s="30" t="s">
        <v>102</v>
      </c>
      <c r="AD16" s="30" t="b">
        <v>1</v>
      </c>
      <c r="AE16" s="29" t="s">
        <v>82</v>
      </c>
      <c r="AF16" s="29" t="s">
        <v>62</v>
      </c>
      <c r="AG16" s="29">
        <v>0.33</v>
      </c>
      <c r="AH16" s="29" t="s">
        <v>63</v>
      </c>
      <c r="AI16" s="29" t="s">
        <v>64</v>
      </c>
      <c r="AJ16" s="29" t="s">
        <v>65</v>
      </c>
      <c r="AK16" s="31" t="s">
        <v>128</v>
      </c>
      <c r="AL16" s="29">
        <f t="shared" si="1"/>
        <v>0</v>
      </c>
      <c r="AM16" s="29" t="s">
        <v>67</v>
      </c>
      <c r="AN16" s="29" t="s">
        <v>105</v>
      </c>
      <c r="AO16" s="29" t="s">
        <v>69</v>
      </c>
      <c r="AP16" s="29" t="s">
        <v>56</v>
      </c>
      <c r="AQ16" s="30"/>
    </row>
    <row r="17" ht="15.0" customHeight="1">
      <c r="A17" s="29">
        <v>16.0</v>
      </c>
      <c r="B17" s="30" t="s">
        <v>45</v>
      </c>
      <c r="C17" s="30" t="s">
        <v>229</v>
      </c>
      <c r="D17" s="30" t="s">
        <v>230</v>
      </c>
      <c r="E17" s="30" t="s">
        <v>205</v>
      </c>
      <c r="F17" s="30" t="s">
        <v>204</v>
      </c>
      <c r="G17" s="30" t="s">
        <v>231</v>
      </c>
      <c r="H17" s="30" t="s">
        <v>232</v>
      </c>
      <c r="I17" s="30" t="s">
        <v>203</v>
      </c>
      <c r="J17" s="30" t="s">
        <v>233</v>
      </c>
      <c r="K17" s="30" t="s">
        <v>234</v>
      </c>
      <c r="L17" s="30">
        <v>1.0</v>
      </c>
      <c r="M17" s="30">
        <v>0.0</v>
      </c>
      <c r="N17" s="30">
        <v>0.06422018348623854</v>
      </c>
      <c r="O17" s="30" t="s">
        <v>56</v>
      </c>
      <c r="P17" s="30">
        <v>0.0</v>
      </c>
      <c r="Q17" s="30">
        <v>14.0</v>
      </c>
      <c r="R17" s="30" t="s">
        <v>57</v>
      </c>
      <c r="S17" s="30">
        <v>0.0</v>
      </c>
      <c r="T17" s="30" t="s">
        <v>57</v>
      </c>
      <c r="U17" s="30">
        <v>0.0</v>
      </c>
      <c r="V17" s="30">
        <v>0.0</v>
      </c>
      <c r="W17" s="30">
        <v>0.0</v>
      </c>
      <c r="X17" s="30" t="s">
        <v>57</v>
      </c>
      <c r="Y17" s="30">
        <v>0.0</v>
      </c>
      <c r="Z17" s="30" t="s">
        <v>57</v>
      </c>
      <c r="AA17" s="30" t="s">
        <v>124</v>
      </c>
      <c r="AB17" s="30" t="s">
        <v>235</v>
      </c>
      <c r="AC17" s="30" t="s">
        <v>102</v>
      </c>
      <c r="AD17" s="30" t="b">
        <v>1</v>
      </c>
      <c r="AE17" s="29" t="s">
        <v>82</v>
      </c>
      <c r="AF17" s="29" t="s">
        <v>126</v>
      </c>
      <c r="AG17" s="29">
        <v>1.0</v>
      </c>
      <c r="AH17" s="29" t="s">
        <v>63</v>
      </c>
      <c r="AI17" s="29" t="s">
        <v>64</v>
      </c>
      <c r="AJ17" s="29" t="s">
        <v>65</v>
      </c>
      <c r="AK17" s="31" t="s">
        <v>128</v>
      </c>
      <c r="AL17" s="29">
        <f t="shared" si="1"/>
        <v>0</v>
      </c>
      <c r="AM17" s="29" t="s">
        <v>67</v>
      </c>
      <c r="AN17" s="29" t="s">
        <v>105</v>
      </c>
      <c r="AO17" s="29" t="s">
        <v>69</v>
      </c>
      <c r="AP17" s="29" t="s">
        <v>56</v>
      </c>
      <c r="AQ17" s="30"/>
    </row>
    <row r="18" ht="15.0" customHeight="1">
      <c r="A18" s="12">
        <v>17.0</v>
      </c>
      <c r="B18" s="13" t="s">
        <v>131</v>
      </c>
      <c r="C18" s="13" t="s">
        <v>236</v>
      </c>
      <c r="D18" s="13" t="s">
        <v>230</v>
      </c>
      <c r="E18" s="13" t="s">
        <v>149</v>
      </c>
      <c r="F18" s="13" t="s">
        <v>148</v>
      </c>
      <c r="G18" s="13" t="s">
        <v>237</v>
      </c>
      <c r="H18" s="13" t="s">
        <v>238</v>
      </c>
      <c r="I18" s="13" t="s">
        <v>239</v>
      </c>
      <c r="J18" s="13" t="s">
        <v>240</v>
      </c>
      <c r="K18" s="13" t="s">
        <v>241</v>
      </c>
      <c r="L18" s="13">
        <v>1.0</v>
      </c>
      <c r="M18" s="13">
        <v>0.5454545454545454</v>
      </c>
      <c r="N18" s="13">
        <v>0.45816409423233145</v>
      </c>
      <c r="O18" s="13" t="s">
        <v>56</v>
      </c>
      <c r="P18" s="13">
        <v>2.0</v>
      </c>
      <c r="Q18" s="13">
        <v>10.0</v>
      </c>
      <c r="R18" s="13" t="s">
        <v>57</v>
      </c>
      <c r="S18" s="13">
        <v>0.0</v>
      </c>
      <c r="T18" s="13" t="s">
        <v>57</v>
      </c>
      <c r="U18" s="13">
        <v>0.0</v>
      </c>
      <c r="V18" s="13">
        <v>0.0</v>
      </c>
      <c r="W18" s="13">
        <v>1.0</v>
      </c>
      <c r="X18" s="13" t="s">
        <v>150</v>
      </c>
      <c r="Y18" s="13">
        <v>1.0</v>
      </c>
      <c r="Z18" s="13" t="s">
        <v>242</v>
      </c>
      <c r="AA18" s="13" t="s">
        <v>100</v>
      </c>
      <c r="AB18" s="13" t="s">
        <v>243</v>
      </c>
      <c r="AC18" s="13" t="s">
        <v>102</v>
      </c>
      <c r="AD18" s="13" t="b">
        <v>1</v>
      </c>
      <c r="AE18" s="12" t="s">
        <v>82</v>
      </c>
      <c r="AF18" s="12" t="s">
        <v>126</v>
      </c>
      <c r="AG18" s="12">
        <v>1.0</v>
      </c>
      <c r="AH18" s="12" t="s">
        <v>63</v>
      </c>
      <c r="AI18" s="12" t="s">
        <v>64</v>
      </c>
      <c r="AJ18" s="12" t="s">
        <v>65</v>
      </c>
      <c r="AK18" s="14" t="s">
        <v>442</v>
      </c>
      <c r="AL18" s="12">
        <f t="shared" si="1"/>
        <v>1</v>
      </c>
      <c r="AM18" s="12" t="s">
        <v>67</v>
      </c>
      <c r="AN18" s="12" t="s">
        <v>105</v>
      </c>
      <c r="AO18" s="12" t="s">
        <v>69</v>
      </c>
      <c r="AP18" s="12" t="s">
        <v>2206</v>
      </c>
      <c r="AQ18" s="13"/>
    </row>
    <row r="19" ht="15.0" customHeight="1">
      <c r="A19" s="12">
        <v>18.0</v>
      </c>
      <c r="B19" s="13" t="s">
        <v>131</v>
      </c>
      <c r="C19" s="13" t="s">
        <v>246</v>
      </c>
      <c r="D19" s="13" t="s">
        <v>247</v>
      </c>
      <c r="E19" s="13" t="s">
        <v>213</v>
      </c>
      <c r="F19" s="13" t="s">
        <v>212</v>
      </c>
      <c r="G19" s="13" t="s">
        <v>248</v>
      </c>
      <c r="H19" s="13" t="s">
        <v>249</v>
      </c>
      <c r="I19" s="13" t="s">
        <v>250</v>
      </c>
      <c r="J19" s="13" t="s">
        <v>251</v>
      </c>
      <c r="K19" s="13" t="s">
        <v>252</v>
      </c>
      <c r="L19" s="13">
        <v>1.0</v>
      </c>
      <c r="M19" s="13">
        <v>0.25</v>
      </c>
      <c r="N19" s="13">
        <v>0.2845744680851064</v>
      </c>
      <c r="O19" s="13" t="s">
        <v>56</v>
      </c>
      <c r="P19" s="13">
        <v>0.0</v>
      </c>
      <c r="Q19" s="13">
        <v>11.0</v>
      </c>
      <c r="R19" s="13" t="s">
        <v>57</v>
      </c>
      <c r="S19" s="13">
        <v>0.0</v>
      </c>
      <c r="T19" s="13" t="s">
        <v>57</v>
      </c>
      <c r="U19" s="13">
        <v>0.0</v>
      </c>
      <c r="V19" s="13">
        <v>0.0</v>
      </c>
      <c r="W19" s="13">
        <v>0.0</v>
      </c>
      <c r="X19" s="13" t="s">
        <v>57</v>
      </c>
      <c r="Y19" s="13">
        <v>2.0</v>
      </c>
      <c r="Z19" s="13" t="s">
        <v>141</v>
      </c>
      <c r="AA19" s="13" t="s">
        <v>80</v>
      </c>
      <c r="AB19" s="13" t="s">
        <v>253</v>
      </c>
      <c r="AC19" s="13" t="s">
        <v>102</v>
      </c>
      <c r="AD19" s="13" t="b">
        <v>1</v>
      </c>
      <c r="AE19" s="12" t="s">
        <v>82</v>
      </c>
      <c r="AF19" s="12" t="s">
        <v>62</v>
      </c>
      <c r="AG19" s="12">
        <v>1.0</v>
      </c>
      <c r="AH19" s="12" t="s">
        <v>103</v>
      </c>
      <c r="AI19" s="12" t="s">
        <v>64</v>
      </c>
      <c r="AJ19" s="12" t="s">
        <v>127</v>
      </c>
      <c r="AK19" s="14" t="s">
        <v>84</v>
      </c>
      <c r="AL19" s="12">
        <f t="shared" si="1"/>
        <v>0</v>
      </c>
      <c r="AM19" s="12" t="s">
        <v>67</v>
      </c>
      <c r="AN19" s="12" t="s">
        <v>105</v>
      </c>
      <c r="AO19" s="12" t="s">
        <v>69</v>
      </c>
      <c r="AP19" s="12" t="s">
        <v>56</v>
      </c>
      <c r="AQ19" s="13"/>
    </row>
    <row r="20" ht="15.0" customHeight="1">
      <c r="A20" s="15">
        <v>19.0</v>
      </c>
      <c r="B20" s="16" t="s">
        <v>131</v>
      </c>
      <c r="C20" s="16" t="s">
        <v>254</v>
      </c>
      <c r="D20" s="16" t="s">
        <v>255</v>
      </c>
      <c r="E20" s="16" t="s">
        <v>256</v>
      </c>
      <c r="F20" s="16" t="s">
        <v>257</v>
      </c>
      <c r="G20" s="16" t="s">
        <v>258</v>
      </c>
      <c r="H20" s="16" t="s">
        <v>259</v>
      </c>
      <c r="I20" s="16" t="s">
        <v>260</v>
      </c>
      <c r="J20" s="16" t="s">
        <v>261</v>
      </c>
      <c r="K20" s="16" t="s">
        <v>262</v>
      </c>
      <c r="L20" s="16">
        <v>1.0</v>
      </c>
      <c r="M20" s="16">
        <v>0.3333333333333333</v>
      </c>
      <c r="N20" s="16">
        <v>0.2625</v>
      </c>
      <c r="O20" s="16" t="s">
        <v>56</v>
      </c>
      <c r="P20" s="16">
        <v>6.0</v>
      </c>
      <c r="Q20" s="16">
        <v>13.0</v>
      </c>
      <c r="R20" s="16" t="s">
        <v>57</v>
      </c>
      <c r="S20" s="16">
        <v>0.0</v>
      </c>
      <c r="T20" s="16" t="s">
        <v>57</v>
      </c>
      <c r="U20" s="16">
        <v>0.0</v>
      </c>
      <c r="V20" s="16">
        <v>0.0</v>
      </c>
      <c r="W20" s="16">
        <v>1.0</v>
      </c>
      <c r="X20" s="16" t="s">
        <v>150</v>
      </c>
      <c r="Y20" s="16">
        <v>0.0</v>
      </c>
      <c r="Z20" s="16" t="s">
        <v>57</v>
      </c>
      <c r="AA20" s="16" t="s">
        <v>59</v>
      </c>
      <c r="AB20" s="16" t="s">
        <v>263</v>
      </c>
      <c r="AC20" s="16" t="s">
        <v>102</v>
      </c>
      <c r="AD20" s="16" t="b">
        <v>1</v>
      </c>
      <c r="AE20" s="15" t="s">
        <v>82</v>
      </c>
      <c r="AF20" s="15" t="s">
        <v>82</v>
      </c>
      <c r="AG20" s="15">
        <v>1.0</v>
      </c>
      <c r="AH20" s="15" t="s">
        <v>113</v>
      </c>
      <c r="AI20" s="15" t="s">
        <v>64</v>
      </c>
      <c r="AJ20" s="15" t="s">
        <v>143</v>
      </c>
      <c r="AK20" s="32" t="s">
        <v>66</v>
      </c>
      <c r="AL20" s="12">
        <f t="shared" si="1"/>
        <v>0</v>
      </c>
      <c r="AM20" s="15" t="s">
        <v>67</v>
      </c>
      <c r="AN20" s="15" t="s">
        <v>264</v>
      </c>
      <c r="AO20" s="15" t="s">
        <v>69</v>
      </c>
      <c r="AP20" s="15" t="s">
        <v>56</v>
      </c>
      <c r="AQ20" s="16"/>
    </row>
    <row r="21" ht="15.0" customHeight="1">
      <c r="A21" s="29">
        <v>20.0</v>
      </c>
      <c r="B21" s="30" t="s">
        <v>131</v>
      </c>
      <c r="C21" s="30" t="s">
        <v>265</v>
      </c>
      <c r="D21" s="30" t="s">
        <v>254</v>
      </c>
      <c r="E21" s="30" t="s">
        <v>252</v>
      </c>
      <c r="F21" s="30" t="s">
        <v>251</v>
      </c>
      <c r="G21" s="30" t="s">
        <v>266</v>
      </c>
      <c r="H21" s="30" t="s">
        <v>267</v>
      </c>
      <c r="I21" s="30" t="s">
        <v>268</v>
      </c>
      <c r="J21" s="30" t="s">
        <v>269</v>
      </c>
      <c r="K21" s="30" t="s">
        <v>270</v>
      </c>
      <c r="L21" s="30">
        <v>1.0</v>
      </c>
      <c r="M21" s="30">
        <v>0.0</v>
      </c>
      <c r="N21" s="30">
        <v>0.01060070671378092</v>
      </c>
      <c r="O21" s="30" t="s">
        <v>56</v>
      </c>
      <c r="P21" s="30">
        <v>0.0</v>
      </c>
      <c r="Q21" s="30">
        <v>14.0</v>
      </c>
      <c r="R21" s="30" t="s">
        <v>57</v>
      </c>
      <c r="S21" s="30">
        <v>0.0</v>
      </c>
      <c r="T21" s="30" t="s">
        <v>57</v>
      </c>
      <c r="U21" s="30">
        <v>0.0</v>
      </c>
      <c r="V21" s="30">
        <v>0.0</v>
      </c>
      <c r="W21" s="30">
        <v>0.0</v>
      </c>
      <c r="X21" s="30" t="s">
        <v>57</v>
      </c>
      <c r="Y21" s="30">
        <v>0.0</v>
      </c>
      <c r="Z21" s="30" t="s">
        <v>57</v>
      </c>
      <c r="AA21" s="30" t="s">
        <v>124</v>
      </c>
      <c r="AB21" s="30" t="s">
        <v>271</v>
      </c>
      <c r="AC21" s="30" t="s">
        <v>102</v>
      </c>
      <c r="AD21" s="30" t="b">
        <v>1</v>
      </c>
      <c r="AE21" s="29" t="s">
        <v>82</v>
      </c>
      <c r="AF21" s="29" t="s">
        <v>184</v>
      </c>
      <c r="AG21" s="29">
        <v>0.67</v>
      </c>
      <c r="AH21" s="29" t="s">
        <v>103</v>
      </c>
      <c r="AI21" s="29" t="s">
        <v>113</v>
      </c>
      <c r="AJ21" s="29" t="s">
        <v>127</v>
      </c>
      <c r="AK21" s="31" t="s">
        <v>128</v>
      </c>
      <c r="AL21" s="29">
        <f t="shared" si="1"/>
        <v>0</v>
      </c>
      <c r="AM21" s="29" t="s">
        <v>67</v>
      </c>
      <c r="AN21" s="29" t="s">
        <v>105</v>
      </c>
      <c r="AO21" s="29" t="s">
        <v>69</v>
      </c>
      <c r="AP21" s="29" t="s">
        <v>56</v>
      </c>
      <c r="AQ21" s="30"/>
    </row>
    <row r="22" ht="15.0" customHeight="1">
      <c r="A22" s="29">
        <v>21.0</v>
      </c>
      <c r="B22" s="30" t="s">
        <v>131</v>
      </c>
      <c r="C22" s="30" t="s">
        <v>272</v>
      </c>
      <c r="D22" s="30" t="s">
        <v>273</v>
      </c>
      <c r="E22" s="30" t="s">
        <v>256</v>
      </c>
      <c r="F22" s="30" t="s">
        <v>257</v>
      </c>
      <c r="G22" s="30" t="s">
        <v>274</v>
      </c>
      <c r="H22" s="30" t="s">
        <v>275</v>
      </c>
      <c r="I22" s="30" t="s">
        <v>276</v>
      </c>
      <c r="J22" s="30" t="s">
        <v>277</v>
      </c>
      <c r="K22" s="30" t="s">
        <v>278</v>
      </c>
      <c r="L22" s="30">
        <v>1.0</v>
      </c>
      <c r="M22" s="30">
        <v>0.0</v>
      </c>
      <c r="N22" s="30">
        <v>0.24324324324324326</v>
      </c>
      <c r="O22" s="30" t="s">
        <v>56</v>
      </c>
      <c r="P22" s="30">
        <v>10.0</v>
      </c>
      <c r="Q22" s="30">
        <v>15.0</v>
      </c>
      <c r="R22" s="30" t="s">
        <v>57</v>
      </c>
      <c r="S22" s="30">
        <v>0.0</v>
      </c>
      <c r="T22" s="30" t="s">
        <v>57</v>
      </c>
      <c r="U22" s="30">
        <v>0.0</v>
      </c>
      <c r="V22" s="30">
        <v>0.0</v>
      </c>
      <c r="W22" s="30">
        <v>0.0</v>
      </c>
      <c r="X22" s="30" t="s">
        <v>57</v>
      </c>
      <c r="Y22" s="30">
        <v>0.0</v>
      </c>
      <c r="Z22" s="30" t="s">
        <v>57</v>
      </c>
      <c r="AA22" s="30" t="s">
        <v>124</v>
      </c>
      <c r="AB22" s="30" t="s">
        <v>279</v>
      </c>
      <c r="AC22" s="30" t="s">
        <v>102</v>
      </c>
      <c r="AD22" s="30" t="b">
        <v>1</v>
      </c>
      <c r="AE22" s="29" t="s">
        <v>82</v>
      </c>
      <c r="AF22" s="29" t="s">
        <v>82</v>
      </c>
      <c r="AG22" s="29">
        <v>1.0</v>
      </c>
      <c r="AH22" s="29" t="s">
        <v>103</v>
      </c>
      <c r="AI22" s="29" t="s">
        <v>64</v>
      </c>
      <c r="AJ22" s="29" t="s">
        <v>143</v>
      </c>
      <c r="AK22" s="31" t="s">
        <v>128</v>
      </c>
      <c r="AL22" s="29">
        <f t="shared" si="1"/>
        <v>0</v>
      </c>
      <c r="AM22" s="29" t="s">
        <v>67</v>
      </c>
      <c r="AN22" s="29" t="s">
        <v>105</v>
      </c>
      <c r="AO22" s="29" t="s">
        <v>69</v>
      </c>
      <c r="AP22" s="29" t="s">
        <v>56</v>
      </c>
      <c r="AQ22" s="30"/>
    </row>
    <row r="23" ht="15.0" customHeight="1">
      <c r="A23" s="12">
        <v>22.0</v>
      </c>
      <c r="B23" s="13" t="s">
        <v>131</v>
      </c>
      <c r="C23" s="13" t="s">
        <v>281</v>
      </c>
      <c r="D23" s="13" t="s">
        <v>282</v>
      </c>
      <c r="E23" s="13" t="s">
        <v>213</v>
      </c>
      <c r="F23" s="13" t="s">
        <v>212</v>
      </c>
      <c r="G23" s="13" t="s">
        <v>283</v>
      </c>
      <c r="H23" s="13" t="s">
        <v>284</v>
      </c>
      <c r="I23" s="13" t="s">
        <v>285</v>
      </c>
      <c r="J23" s="13" t="s">
        <v>286</v>
      </c>
      <c r="K23" s="13" t="s">
        <v>287</v>
      </c>
      <c r="L23" s="13">
        <v>1.0</v>
      </c>
      <c r="M23" s="13">
        <v>0.2222222222222222</v>
      </c>
      <c r="N23" s="13">
        <v>0.26063829787234044</v>
      </c>
      <c r="O23" s="13" t="s">
        <v>56</v>
      </c>
      <c r="P23" s="13">
        <v>7.0</v>
      </c>
      <c r="Q23" s="13">
        <v>17.0</v>
      </c>
      <c r="R23" s="13" t="s">
        <v>57</v>
      </c>
      <c r="S23" s="13">
        <v>0.0</v>
      </c>
      <c r="T23" s="13" t="s">
        <v>57</v>
      </c>
      <c r="U23" s="13">
        <v>0.0</v>
      </c>
      <c r="V23" s="13">
        <v>0.0</v>
      </c>
      <c r="W23" s="13">
        <v>1.0</v>
      </c>
      <c r="X23" s="13" t="s">
        <v>150</v>
      </c>
      <c r="Y23" s="13">
        <v>1.0</v>
      </c>
      <c r="Z23" s="13" t="s">
        <v>242</v>
      </c>
      <c r="AA23" s="13" t="s">
        <v>100</v>
      </c>
      <c r="AB23" s="13" t="s">
        <v>288</v>
      </c>
      <c r="AC23" s="13" t="s">
        <v>289</v>
      </c>
      <c r="AD23" s="13" t="b">
        <v>1</v>
      </c>
      <c r="AE23" s="12" t="s">
        <v>82</v>
      </c>
      <c r="AF23" s="12" t="s">
        <v>62</v>
      </c>
      <c r="AG23" s="12">
        <v>1.0</v>
      </c>
      <c r="AH23" s="12" t="s">
        <v>113</v>
      </c>
      <c r="AI23" s="12" t="s">
        <v>64</v>
      </c>
      <c r="AJ23" s="12" t="s">
        <v>127</v>
      </c>
      <c r="AK23" s="14" t="s">
        <v>66</v>
      </c>
      <c r="AL23" s="12">
        <f t="shared" si="1"/>
        <v>0</v>
      </c>
      <c r="AM23" s="12" t="s">
        <v>67</v>
      </c>
      <c r="AN23" s="12" t="s">
        <v>105</v>
      </c>
      <c r="AO23" s="12" t="s">
        <v>69</v>
      </c>
      <c r="AP23" s="12" t="s">
        <v>2206</v>
      </c>
      <c r="AQ23" s="13"/>
    </row>
    <row r="24" ht="15.0" customHeight="1">
      <c r="A24" s="33">
        <v>23.0</v>
      </c>
      <c r="B24" s="34" t="s">
        <v>131</v>
      </c>
      <c r="C24" s="34" t="s">
        <v>290</v>
      </c>
      <c r="D24" s="34" t="s">
        <v>281</v>
      </c>
      <c r="E24" s="34" t="s">
        <v>262</v>
      </c>
      <c r="F24" s="34" t="s">
        <v>261</v>
      </c>
      <c r="G24" s="34" t="s">
        <v>291</v>
      </c>
      <c r="H24" s="34" t="s">
        <v>292</v>
      </c>
      <c r="I24" s="34" t="s">
        <v>293</v>
      </c>
      <c r="J24" s="34" t="s">
        <v>294</v>
      </c>
      <c r="K24" s="34" t="s">
        <v>295</v>
      </c>
      <c r="L24" s="34">
        <v>1.0</v>
      </c>
      <c r="M24" s="34">
        <v>0.0</v>
      </c>
      <c r="N24" s="34">
        <v>0.0875</v>
      </c>
      <c r="O24" s="34" t="s">
        <v>56</v>
      </c>
      <c r="P24" s="34">
        <v>5.0</v>
      </c>
      <c r="Q24" s="34">
        <v>18.0</v>
      </c>
      <c r="R24" s="34" t="s">
        <v>57</v>
      </c>
      <c r="S24" s="34">
        <v>0.0</v>
      </c>
      <c r="T24" s="34" t="s">
        <v>57</v>
      </c>
      <c r="U24" s="34">
        <v>0.0</v>
      </c>
      <c r="V24" s="34">
        <v>0.0</v>
      </c>
      <c r="W24" s="34">
        <v>0.0</v>
      </c>
      <c r="X24" s="34" t="s">
        <v>57</v>
      </c>
      <c r="Y24" s="34">
        <v>0.0</v>
      </c>
      <c r="Z24" s="34" t="s">
        <v>57</v>
      </c>
      <c r="AA24" s="34" t="s">
        <v>124</v>
      </c>
      <c r="AB24" s="34" t="s">
        <v>296</v>
      </c>
      <c r="AC24" s="34" t="s">
        <v>289</v>
      </c>
      <c r="AD24" s="34" t="b">
        <v>1</v>
      </c>
      <c r="AE24" s="33" t="s">
        <v>82</v>
      </c>
      <c r="AF24" s="33" t="s">
        <v>62</v>
      </c>
      <c r="AG24" s="33">
        <v>1.0</v>
      </c>
      <c r="AH24" s="33" t="s">
        <v>113</v>
      </c>
      <c r="AI24" s="33" t="s">
        <v>64</v>
      </c>
      <c r="AJ24" s="33" t="s">
        <v>127</v>
      </c>
      <c r="AK24" s="35" t="s">
        <v>128</v>
      </c>
      <c r="AL24" s="33">
        <f t="shared" si="1"/>
        <v>0</v>
      </c>
      <c r="AM24" s="33" t="s">
        <v>67</v>
      </c>
      <c r="AN24" s="33" t="s">
        <v>105</v>
      </c>
      <c r="AO24" s="33" t="s">
        <v>69</v>
      </c>
      <c r="AP24" s="33" t="s">
        <v>56</v>
      </c>
      <c r="AQ24" s="34"/>
    </row>
    <row r="25" ht="15.0" customHeight="1">
      <c r="A25" s="12">
        <v>24.0</v>
      </c>
      <c r="B25" s="13" t="s">
        <v>131</v>
      </c>
      <c r="C25" s="13" t="s">
        <v>297</v>
      </c>
      <c r="D25" s="13" t="s">
        <v>298</v>
      </c>
      <c r="E25" s="13" t="s">
        <v>287</v>
      </c>
      <c r="F25" s="13" t="s">
        <v>286</v>
      </c>
      <c r="G25" s="13" t="s">
        <v>299</v>
      </c>
      <c r="H25" s="13" t="s">
        <v>300</v>
      </c>
      <c r="I25" s="13" t="s">
        <v>301</v>
      </c>
      <c r="J25" s="13" t="s">
        <v>302</v>
      </c>
      <c r="K25" s="13" t="s">
        <v>303</v>
      </c>
      <c r="L25" s="13">
        <v>1.0</v>
      </c>
      <c r="M25" s="13">
        <v>0.1</v>
      </c>
      <c r="N25" s="13">
        <v>0.1935483870967742</v>
      </c>
      <c r="O25" s="13" t="s">
        <v>56</v>
      </c>
      <c r="P25" s="13">
        <v>1.0</v>
      </c>
      <c r="Q25" s="13">
        <v>19.0</v>
      </c>
      <c r="R25" s="13" t="s">
        <v>57</v>
      </c>
      <c r="S25" s="13">
        <v>0.0</v>
      </c>
      <c r="T25" s="13" t="s">
        <v>57</v>
      </c>
      <c r="U25" s="13">
        <v>0.0</v>
      </c>
      <c r="V25" s="13">
        <v>0.0</v>
      </c>
      <c r="W25" s="13">
        <v>1.0</v>
      </c>
      <c r="X25" s="13" t="s">
        <v>150</v>
      </c>
      <c r="Y25" s="13">
        <v>0.0</v>
      </c>
      <c r="Z25" s="13" t="s">
        <v>57</v>
      </c>
      <c r="AA25" s="13" t="s">
        <v>59</v>
      </c>
      <c r="AB25" s="13" t="s">
        <v>304</v>
      </c>
      <c r="AC25" s="13" t="s">
        <v>289</v>
      </c>
      <c r="AD25" s="13" t="b">
        <v>1</v>
      </c>
      <c r="AE25" s="12" t="s">
        <v>82</v>
      </c>
      <c r="AF25" s="12" t="s">
        <v>83</v>
      </c>
      <c r="AG25" s="12">
        <v>1.0</v>
      </c>
      <c r="AH25" s="12" t="s">
        <v>113</v>
      </c>
      <c r="AI25" s="12" t="s">
        <v>64</v>
      </c>
      <c r="AJ25" s="12" t="s">
        <v>127</v>
      </c>
      <c r="AK25" s="14" t="s">
        <v>66</v>
      </c>
      <c r="AL25" s="12">
        <f t="shared" si="1"/>
        <v>0</v>
      </c>
      <c r="AM25" s="12" t="s">
        <v>67</v>
      </c>
      <c r="AN25" s="12" t="s">
        <v>264</v>
      </c>
      <c r="AO25" s="12" t="s">
        <v>69</v>
      </c>
      <c r="AP25" s="12" t="s">
        <v>56</v>
      </c>
      <c r="AQ25" s="13"/>
    </row>
    <row r="26" ht="15.0" customHeight="1">
      <c r="A26" s="12">
        <v>25.0</v>
      </c>
      <c r="B26" s="13" t="s">
        <v>131</v>
      </c>
      <c r="C26" s="13" t="s">
        <v>305</v>
      </c>
      <c r="D26" s="13" t="s">
        <v>306</v>
      </c>
      <c r="E26" s="13" t="s">
        <v>278</v>
      </c>
      <c r="F26" s="13" t="s">
        <v>277</v>
      </c>
      <c r="G26" s="13" t="s">
        <v>307</v>
      </c>
      <c r="H26" s="13" t="s">
        <v>308</v>
      </c>
      <c r="I26" s="13" t="s">
        <v>276</v>
      </c>
      <c r="J26" s="13" t="s">
        <v>309</v>
      </c>
      <c r="K26" s="13" t="s">
        <v>310</v>
      </c>
      <c r="L26" s="13">
        <v>1.0</v>
      </c>
      <c r="M26" s="13">
        <v>0.0</v>
      </c>
      <c r="N26" s="13">
        <v>0.017391304347826087</v>
      </c>
      <c r="O26" s="13" t="s">
        <v>56</v>
      </c>
      <c r="P26" s="13">
        <v>3.0</v>
      </c>
      <c r="Q26" s="13">
        <v>20.0</v>
      </c>
      <c r="R26" s="13" t="s">
        <v>57</v>
      </c>
      <c r="S26" s="13">
        <v>0.0</v>
      </c>
      <c r="T26" s="13" t="s">
        <v>57</v>
      </c>
      <c r="U26" s="13">
        <v>0.0</v>
      </c>
      <c r="V26" s="13">
        <v>0.0</v>
      </c>
      <c r="W26" s="13">
        <v>0.0</v>
      </c>
      <c r="X26" s="13" t="s">
        <v>57</v>
      </c>
      <c r="Y26" s="13">
        <v>0.0</v>
      </c>
      <c r="Z26" s="13" t="s">
        <v>57</v>
      </c>
      <c r="AA26" s="13" t="s">
        <v>124</v>
      </c>
      <c r="AB26" s="13" t="s">
        <v>311</v>
      </c>
      <c r="AC26" s="13" t="s">
        <v>289</v>
      </c>
      <c r="AD26" s="13" t="b">
        <v>1</v>
      </c>
      <c r="AE26" s="12" t="s">
        <v>82</v>
      </c>
      <c r="AF26" s="12" t="s">
        <v>82</v>
      </c>
      <c r="AG26" s="12">
        <v>1.0</v>
      </c>
      <c r="AH26" s="12" t="s">
        <v>103</v>
      </c>
      <c r="AI26" s="12" t="s">
        <v>64</v>
      </c>
      <c r="AJ26" s="12" t="s">
        <v>127</v>
      </c>
      <c r="AK26" s="14" t="s">
        <v>128</v>
      </c>
      <c r="AL26" s="12">
        <f t="shared" si="1"/>
        <v>0</v>
      </c>
      <c r="AM26" s="12" t="s">
        <v>67</v>
      </c>
      <c r="AN26" s="12" t="s">
        <v>105</v>
      </c>
      <c r="AO26" s="12" t="s">
        <v>69</v>
      </c>
      <c r="AP26" s="12" t="s">
        <v>56</v>
      </c>
      <c r="AQ26" s="13"/>
    </row>
    <row r="27" ht="15.0" customHeight="1">
      <c r="A27" s="12">
        <v>28.0</v>
      </c>
      <c r="B27" s="13" t="s">
        <v>131</v>
      </c>
      <c r="C27" s="13" t="s">
        <v>327</v>
      </c>
      <c r="D27" s="13" t="s">
        <v>328</v>
      </c>
      <c r="E27" s="13" t="s">
        <v>329</v>
      </c>
      <c r="F27" s="13" t="s">
        <v>330</v>
      </c>
      <c r="G27" s="13" t="s">
        <v>331</v>
      </c>
      <c r="H27" s="13" t="s">
        <v>332</v>
      </c>
      <c r="I27" s="13" t="s">
        <v>276</v>
      </c>
      <c r="J27" s="13" t="s">
        <v>333</v>
      </c>
      <c r="K27" s="13" t="s">
        <v>334</v>
      </c>
      <c r="L27" s="13">
        <v>1.0</v>
      </c>
      <c r="M27" s="13">
        <v>0.0</v>
      </c>
      <c r="N27" s="13">
        <v>0.13664596273291926</v>
      </c>
      <c r="O27" s="13" t="s">
        <v>56</v>
      </c>
      <c r="P27" s="13">
        <v>5.0</v>
      </c>
      <c r="Q27" s="13">
        <v>21.0</v>
      </c>
      <c r="R27" s="13" t="s">
        <v>57</v>
      </c>
      <c r="S27" s="13">
        <v>0.0</v>
      </c>
      <c r="T27" s="13" t="s">
        <v>57</v>
      </c>
      <c r="U27" s="13">
        <v>0.0</v>
      </c>
      <c r="V27" s="13">
        <v>0.0</v>
      </c>
      <c r="W27" s="13">
        <v>0.0</v>
      </c>
      <c r="X27" s="13" t="s">
        <v>57</v>
      </c>
      <c r="Y27" s="13">
        <v>0.0</v>
      </c>
      <c r="Z27" s="13" t="s">
        <v>57</v>
      </c>
      <c r="AA27" s="13" t="s">
        <v>124</v>
      </c>
      <c r="AB27" s="13" t="s">
        <v>335</v>
      </c>
      <c r="AC27" s="13" t="s">
        <v>289</v>
      </c>
      <c r="AD27" s="13" t="b">
        <v>1</v>
      </c>
      <c r="AE27" s="12" t="s">
        <v>82</v>
      </c>
      <c r="AF27" s="12" t="s">
        <v>82</v>
      </c>
      <c r="AG27" s="12">
        <v>0.67</v>
      </c>
      <c r="AH27" s="12" t="s">
        <v>103</v>
      </c>
      <c r="AI27" s="12" t="s">
        <v>64</v>
      </c>
      <c r="AJ27" s="12" t="s">
        <v>127</v>
      </c>
      <c r="AK27" s="14" t="s">
        <v>128</v>
      </c>
      <c r="AL27" s="12">
        <f t="shared" si="1"/>
        <v>0</v>
      </c>
      <c r="AM27" s="12" t="s">
        <v>67</v>
      </c>
      <c r="AN27" s="12" t="s">
        <v>105</v>
      </c>
      <c r="AO27" s="12" t="s">
        <v>69</v>
      </c>
      <c r="AP27" s="12" t="s">
        <v>56</v>
      </c>
      <c r="AQ27" s="13"/>
    </row>
    <row r="28" ht="15.0" customHeight="1">
      <c r="A28" s="12">
        <v>29.0</v>
      </c>
      <c r="B28" s="13" t="s">
        <v>131</v>
      </c>
      <c r="C28" s="13" t="s">
        <v>327</v>
      </c>
      <c r="D28" s="13" t="s">
        <v>328</v>
      </c>
      <c r="E28" s="13" t="s">
        <v>329</v>
      </c>
      <c r="F28" s="13" t="s">
        <v>330</v>
      </c>
      <c r="G28" s="13" t="s">
        <v>336</v>
      </c>
      <c r="H28" s="13" t="s">
        <v>337</v>
      </c>
      <c r="I28" s="13" t="s">
        <v>276</v>
      </c>
      <c r="J28" s="13" t="s">
        <v>338</v>
      </c>
      <c r="K28" s="13" t="s">
        <v>339</v>
      </c>
      <c r="L28" s="13">
        <v>1.0</v>
      </c>
      <c r="M28" s="13">
        <v>0.0</v>
      </c>
      <c r="N28" s="13">
        <v>0.15527950310559005</v>
      </c>
      <c r="O28" s="13" t="s">
        <v>56</v>
      </c>
      <c r="P28" s="13">
        <v>5.0</v>
      </c>
      <c r="Q28" s="13">
        <v>21.0</v>
      </c>
      <c r="R28" s="13" t="s">
        <v>57</v>
      </c>
      <c r="S28" s="13">
        <v>0.0</v>
      </c>
      <c r="T28" s="13" t="s">
        <v>57</v>
      </c>
      <c r="U28" s="13">
        <v>0.0</v>
      </c>
      <c r="V28" s="13">
        <v>0.0</v>
      </c>
      <c r="W28" s="13">
        <v>0.0</v>
      </c>
      <c r="X28" s="13" t="s">
        <v>57</v>
      </c>
      <c r="Y28" s="13">
        <v>0.0</v>
      </c>
      <c r="Z28" s="13" t="s">
        <v>57</v>
      </c>
      <c r="AA28" s="13" t="s">
        <v>124</v>
      </c>
      <c r="AB28" s="13" t="s">
        <v>335</v>
      </c>
      <c r="AC28" s="13" t="s">
        <v>289</v>
      </c>
      <c r="AD28" s="13" t="b">
        <v>1</v>
      </c>
      <c r="AE28" s="12" t="s">
        <v>82</v>
      </c>
      <c r="AF28" s="12" t="s">
        <v>82</v>
      </c>
      <c r="AG28" s="12">
        <v>0.67</v>
      </c>
      <c r="AH28" s="12" t="s">
        <v>103</v>
      </c>
      <c r="AI28" s="12" t="s">
        <v>64</v>
      </c>
      <c r="AJ28" s="12" t="s">
        <v>127</v>
      </c>
      <c r="AK28" s="14" t="s">
        <v>128</v>
      </c>
      <c r="AL28" s="12">
        <f t="shared" si="1"/>
        <v>0</v>
      </c>
      <c r="AM28" s="12" t="s">
        <v>67</v>
      </c>
      <c r="AN28" s="12" t="s">
        <v>105</v>
      </c>
      <c r="AO28" s="12" t="s">
        <v>69</v>
      </c>
      <c r="AP28" s="13"/>
      <c r="AQ28" s="13"/>
    </row>
    <row r="29" ht="15.0" customHeight="1">
      <c r="A29" s="12">
        <v>30.0</v>
      </c>
      <c r="B29" s="13" t="s">
        <v>131</v>
      </c>
      <c r="C29" s="13" t="s">
        <v>340</v>
      </c>
      <c r="D29" s="13" t="s">
        <v>341</v>
      </c>
      <c r="E29" s="13" t="s">
        <v>252</v>
      </c>
      <c r="F29" s="13" t="s">
        <v>251</v>
      </c>
      <c r="G29" s="13" t="s">
        <v>342</v>
      </c>
      <c r="H29" s="13" t="s">
        <v>343</v>
      </c>
      <c r="I29" s="13" t="s">
        <v>268</v>
      </c>
      <c r="J29" s="13" t="s">
        <v>344</v>
      </c>
      <c r="K29" s="13" t="s">
        <v>345</v>
      </c>
      <c r="L29" s="13">
        <v>1.0</v>
      </c>
      <c r="M29" s="13">
        <v>0.0</v>
      </c>
      <c r="N29" s="13">
        <v>0.025</v>
      </c>
      <c r="O29" s="13" t="s">
        <v>56</v>
      </c>
      <c r="P29" s="13">
        <v>2.0</v>
      </c>
      <c r="Q29" s="13">
        <v>23.0</v>
      </c>
      <c r="R29" s="13" t="s">
        <v>57</v>
      </c>
      <c r="S29" s="13">
        <v>0.0</v>
      </c>
      <c r="T29" s="13" t="s">
        <v>57</v>
      </c>
      <c r="U29" s="13">
        <v>0.0</v>
      </c>
      <c r="V29" s="13">
        <v>0.0</v>
      </c>
      <c r="W29" s="13">
        <v>0.0</v>
      </c>
      <c r="X29" s="13" t="s">
        <v>57</v>
      </c>
      <c r="Y29" s="13">
        <v>0.0</v>
      </c>
      <c r="Z29" s="13" t="s">
        <v>57</v>
      </c>
      <c r="AA29" s="13" t="s">
        <v>124</v>
      </c>
      <c r="AB29" s="13" t="s">
        <v>346</v>
      </c>
      <c r="AC29" s="13" t="s">
        <v>347</v>
      </c>
      <c r="AD29" s="13" t="b">
        <v>1</v>
      </c>
      <c r="AE29" s="12" t="s">
        <v>82</v>
      </c>
      <c r="AF29" s="12" t="s">
        <v>82</v>
      </c>
      <c r="AG29" s="12">
        <v>1.0</v>
      </c>
      <c r="AH29" s="12" t="s">
        <v>103</v>
      </c>
      <c r="AI29" s="12" t="s">
        <v>64</v>
      </c>
      <c r="AJ29" s="12" t="s">
        <v>127</v>
      </c>
      <c r="AK29" s="14" t="s">
        <v>128</v>
      </c>
      <c r="AL29" s="12">
        <f t="shared" si="1"/>
        <v>0</v>
      </c>
      <c r="AM29" s="12" t="s">
        <v>67</v>
      </c>
      <c r="AN29" s="12" t="s">
        <v>105</v>
      </c>
      <c r="AO29" s="12" t="s">
        <v>69</v>
      </c>
      <c r="AP29" s="12" t="s">
        <v>56</v>
      </c>
      <c r="AQ29" s="13"/>
    </row>
    <row r="30" ht="15.0" customHeight="1">
      <c r="A30" s="12">
        <v>31.0</v>
      </c>
      <c r="B30" s="13" t="s">
        <v>187</v>
      </c>
      <c r="C30" s="13" t="s">
        <v>348</v>
      </c>
      <c r="D30" s="13" t="s">
        <v>328</v>
      </c>
      <c r="E30" s="13" t="s">
        <v>349</v>
      </c>
      <c r="F30" s="13" t="s">
        <v>350</v>
      </c>
      <c r="G30" s="13" t="s">
        <v>351</v>
      </c>
      <c r="H30" s="13" t="s">
        <v>352</v>
      </c>
      <c r="I30" s="13" t="s">
        <v>353</v>
      </c>
      <c r="J30" s="13" t="s">
        <v>354</v>
      </c>
      <c r="K30" s="13" t="s">
        <v>355</v>
      </c>
      <c r="L30" s="13">
        <v>1.0</v>
      </c>
      <c r="M30" s="13">
        <v>0.4</v>
      </c>
      <c r="N30" s="13">
        <v>0.49452954048140046</v>
      </c>
      <c r="O30" s="13" t="s">
        <v>56</v>
      </c>
      <c r="P30" s="13">
        <v>0.0</v>
      </c>
      <c r="Q30" s="13">
        <v>4.0</v>
      </c>
      <c r="R30" s="13" t="s">
        <v>57</v>
      </c>
      <c r="S30" s="13">
        <v>0.0</v>
      </c>
      <c r="T30" s="13" t="s">
        <v>57</v>
      </c>
      <c r="U30" s="13">
        <v>0.0</v>
      </c>
      <c r="V30" s="13">
        <v>0.0</v>
      </c>
      <c r="W30" s="13">
        <v>0.0</v>
      </c>
      <c r="X30" s="13" t="s">
        <v>57</v>
      </c>
      <c r="Y30" s="13">
        <v>1.0</v>
      </c>
      <c r="Z30" s="13" t="s">
        <v>197</v>
      </c>
      <c r="AA30" s="13" t="s">
        <v>80</v>
      </c>
      <c r="AB30" s="13" t="s">
        <v>356</v>
      </c>
      <c r="AC30" s="13" t="s">
        <v>347</v>
      </c>
      <c r="AD30" s="13" t="b">
        <v>1</v>
      </c>
      <c r="AE30" s="12" t="s">
        <v>83</v>
      </c>
      <c r="AF30" s="12" t="s">
        <v>82</v>
      </c>
      <c r="AG30" s="12">
        <v>0.17</v>
      </c>
      <c r="AH30" s="12" t="s">
        <v>63</v>
      </c>
      <c r="AI30" s="12" t="s">
        <v>64</v>
      </c>
      <c r="AJ30" s="12" t="s">
        <v>65</v>
      </c>
      <c r="AK30" s="14" t="s">
        <v>84</v>
      </c>
      <c r="AL30" s="12">
        <f t="shared" si="1"/>
        <v>0</v>
      </c>
      <c r="AM30" s="12" t="s">
        <v>67</v>
      </c>
      <c r="AN30" s="12" t="s">
        <v>105</v>
      </c>
      <c r="AO30" s="12" t="s">
        <v>69</v>
      </c>
      <c r="AP30" s="12" t="s">
        <v>56</v>
      </c>
      <c r="AQ30" s="13"/>
    </row>
    <row r="31" ht="15.0" customHeight="1">
      <c r="A31" s="12">
        <v>32.0</v>
      </c>
      <c r="B31" s="13" t="s">
        <v>131</v>
      </c>
      <c r="C31" s="13" t="s">
        <v>357</v>
      </c>
      <c r="D31" s="13" t="s">
        <v>358</v>
      </c>
      <c r="E31" s="13" t="s">
        <v>295</v>
      </c>
      <c r="F31" s="13" t="s">
        <v>359</v>
      </c>
      <c r="G31" s="13" t="s">
        <v>360</v>
      </c>
      <c r="H31" s="13" t="s">
        <v>361</v>
      </c>
      <c r="I31" s="13" t="s">
        <v>362</v>
      </c>
      <c r="J31" s="13" t="s">
        <v>363</v>
      </c>
      <c r="K31" s="13" t="s">
        <v>364</v>
      </c>
      <c r="L31" s="13">
        <v>1.0</v>
      </c>
      <c r="M31" s="13">
        <v>0.0</v>
      </c>
      <c r="N31" s="13">
        <v>0.031914893617021274</v>
      </c>
      <c r="O31" s="13" t="s">
        <v>56</v>
      </c>
      <c r="P31" s="13">
        <v>0.0</v>
      </c>
      <c r="Q31" s="13">
        <v>24.0</v>
      </c>
      <c r="R31" s="13" t="s">
        <v>57</v>
      </c>
      <c r="S31" s="13">
        <v>0.0</v>
      </c>
      <c r="T31" s="13" t="s">
        <v>57</v>
      </c>
      <c r="U31" s="13">
        <v>0.0</v>
      </c>
      <c r="V31" s="13">
        <v>0.0</v>
      </c>
      <c r="W31" s="13">
        <v>0.0</v>
      </c>
      <c r="X31" s="13" t="s">
        <v>57</v>
      </c>
      <c r="Y31" s="13">
        <v>0.0</v>
      </c>
      <c r="Z31" s="13" t="s">
        <v>57</v>
      </c>
      <c r="AA31" s="13" t="s">
        <v>124</v>
      </c>
      <c r="AB31" s="13" t="s">
        <v>365</v>
      </c>
      <c r="AC31" s="13" t="s">
        <v>347</v>
      </c>
      <c r="AD31" s="13" t="b">
        <v>1</v>
      </c>
      <c r="AE31" s="12" t="s">
        <v>82</v>
      </c>
      <c r="AF31" s="12" t="s">
        <v>82</v>
      </c>
      <c r="AG31" s="12">
        <v>1.0</v>
      </c>
      <c r="AH31" s="12" t="s">
        <v>103</v>
      </c>
      <c r="AI31" s="12" t="s">
        <v>64</v>
      </c>
      <c r="AJ31" s="12" t="s">
        <v>127</v>
      </c>
      <c r="AK31" s="14" t="s">
        <v>128</v>
      </c>
      <c r="AL31" s="12">
        <f t="shared" si="1"/>
        <v>0</v>
      </c>
      <c r="AM31" s="12" t="s">
        <v>67</v>
      </c>
      <c r="AN31" s="12" t="s">
        <v>105</v>
      </c>
      <c r="AO31" s="12" t="s">
        <v>69</v>
      </c>
      <c r="AP31" s="12" t="s">
        <v>56</v>
      </c>
      <c r="AQ31" s="13"/>
    </row>
    <row r="32" ht="15.0" customHeight="1">
      <c r="A32" s="12">
        <v>33.0</v>
      </c>
      <c r="B32" s="13" t="s">
        <v>131</v>
      </c>
      <c r="C32" s="13" t="s">
        <v>366</v>
      </c>
      <c r="D32" s="13" t="s">
        <v>357</v>
      </c>
      <c r="E32" s="13" t="s">
        <v>295</v>
      </c>
      <c r="F32" s="13" t="s">
        <v>359</v>
      </c>
      <c r="G32" s="13" t="s">
        <v>367</v>
      </c>
      <c r="H32" s="13" t="s">
        <v>368</v>
      </c>
      <c r="I32" s="13" t="s">
        <v>362</v>
      </c>
      <c r="J32" s="13" t="s">
        <v>369</v>
      </c>
      <c r="K32" s="13" t="s">
        <v>370</v>
      </c>
      <c r="L32" s="13">
        <v>1.0</v>
      </c>
      <c r="M32" s="13">
        <v>0.0</v>
      </c>
      <c r="N32" s="13">
        <v>0.14418604651162792</v>
      </c>
      <c r="O32" s="13" t="s">
        <v>56</v>
      </c>
      <c r="P32" s="13">
        <v>1.0</v>
      </c>
      <c r="Q32" s="13">
        <v>25.0</v>
      </c>
      <c r="R32" s="13" t="s">
        <v>57</v>
      </c>
      <c r="S32" s="13">
        <v>0.0</v>
      </c>
      <c r="T32" s="13" t="s">
        <v>57</v>
      </c>
      <c r="U32" s="13">
        <v>0.0</v>
      </c>
      <c r="V32" s="13">
        <v>0.0</v>
      </c>
      <c r="W32" s="13">
        <v>0.0</v>
      </c>
      <c r="X32" s="13" t="s">
        <v>57</v>
      </c>
      <c r="Y32" s="13">
        <v>0.0</v>
      </c>
      <c r="Z32" s="13" t="s">
        <v>57</v>
      </c>
      <c r="AA32" s="13" t="s">
        <v>124</v>
      </c>
      <c r="AB32" s="13" t="s">
        <v>371</v>
      </c>
      <c r="AC32" s="13" t="s">
        <v>372</v>
      </c>
      <c r="AD32" s="13" t="b">
        <v>1</v>
      </c>
      <c r="AE32" s="12" t="s">
        <v>82</v>
      </c>
      <c r="AF32" s="12" t="s">
        <v>82</v>
      </c>
      <c r="AG32" s="12">
        <v>1.0</v>
      </c>
      <c r="AH32" s="12" t="s">
        <v>103</v>
      </c>
      <c r="AI32" s="12" t="s">
        <v>64</v>
      </c>
      <c r="AJ32" s="12" t="s">
        <v>143</v>
      </c>
      <c r="AK32" s="14" t="s">
        <v>128</v>
      </c>
      <c r="AL32" s="12">
        <f t="shared" si="1"/>
        <v>0</v>
      </c>
      <c r="AM32" s="12" t="s">
        <v>67</v>
      </c>
      <c r="AN32" s="12" t="s">
        <v>105</v>
      </c>
      <c r="AO32" s="12" t="s">
        <v>69</v>
      </c>
      <c r="AP32" s="12" t="s">
        <v>56</v>
      </c>
      <c r="AQ32" s="13"/>
    </row>
    <row r="33" ht="15.0" customHeight="1">
      <c r="A33" s="12">
        <v>35.0</v>
      </c>
      <c r="B33" s="13" t="s">
        <v>131</v>
      </c>
      <c r="C33" s="13" t="s">
        <v>380</v>
      </c>
      <c r="D33" s="13" t="s">
        <v>381</v>
      </c>
      <c r="E33" s="13" t="s">
        <v>310</v>
      </c>
      <c r="F33" s="13" t="s">
        <v>309</v>
      </c>
      <c r="G33" s="13" t="s">
        <v>382</v>
      </c>
      <c r="H33" s="13" t="s">
        <v>383</v>
      </c>
      <c r="I33" s="13" t="s">
        <v>276</v>
      </c>
      <c r="J33" s="13" t="s">
        <v>384</v>
      </c>
      <c r="K33" s="13" t="s">
        <v>385</v>
      </c>
      <c r="L33" s="13">
        <v>1.0</v>
      </c>
      <c r="M33" s="13">
        <v>0.0</v>
      </c>
      <c r="N33" s="13">
        <v>0.08264462809917356</v>
      </c>
      <c r="O33" s="13" t="s">
        <v>56</v>
      </c>
      <c r="P33" s="13">
        <v>6.0</v>
      </c>
      <c r="Q33" s="13">
        <v>27.0</v>
      </c>
      <c r="R33" s="13" t="s">
        <v>57</v>
      </c>
      <c r="S33" s="13">
        <v>0.0</v>
      </c>
      <c r="T33" s="13" t="s">
        <v>57</v>
      </c>
      <c r="U33" s="13">
        <v>0.0</v>
      </c>
      <c r="V33" s="13">
        <v>0.0</v>
      </c>
      <c r="W33" s="13">
        <v>0.0</v>
      </c>
      <c r="X33" s="13" t="s">
        <v>57</v>
      </c>
      <c r="Y33" s="13">
        <v>0.0</v>
      </c>
      <c r="Z33" s="13" t="s">
        <v>57</v>
      </c>
      <c r="AA33" s="13" t="s">
        <v>124</v>
      </c>
      <c r="AB33" s="13" t="s">
        <v>386</v>
      </c>
      <c r="AC33" s="13" t="s">
        <v>387</v>
      </c>
      <c r="AD33" s="13" t="b">
        <v>1</v>
      </c>
      <c r="AE33" s="12" t="s">
        <v>82</v>
      </c>
      <c r="AF33" s="12" t="s">
        <v>82</v>
      </c>
      <c r="AG33" s="12">
        <v>1.0</v>
      </c>
      <c r="AH33" s="12" t="s">
        <v>113</v>
      </c>
      <c r="AI33" s="12" t="s">
        <v>64</v>
      </c>
      <c r="AJ33" s="12" t="s">
        <v>127</v>
      </c>
      <c r="AK33" s="14" t="s">
        <v>128</v>
      </c>
      <c r="AL33" s="12">
        <f t="shared" si="1"/>
        <v>0</v>
      </c>
      <c r="AM33" s="12" t="s">
        <v>67</v>
      </c>
      <c r="AN33" s="12" t="s">
        <v>105</v>
      </c>
      <c r="AO33" s="12" t="s">
        <v>69</v>
      </c>
      <c r="AP33" s="12" t="s">
        <v>56</v>
      </c>
      <c r="AQ33" s="13"/>
    </row>
    <row r="34" ht="15.0" customHeight="1">
      <c r="A34" s="12">
        <v>37.0</v>
      </c>
      <c r="B34" s="13" t="s">
        <v>131</v>
      </c>
      <c r="C34" s="13" t="s">
        <v>388</v>
      </c>
      <c r="D34" s="13" t="s">
        <v>380</v>
      </c>
      <c r="E34" s="13" t="s">
        <v>134</v>
      </c>
      <c r="F34" s="13" t="s">
        <v>374</v>
      </c>
      <c r="G34" s="13" t="s">
        <v>394</v>
      </c>
      <c r="H34" s="13" t="s">
        <v>395</v>
      </c>
      <c r="I34" s="13" t="s">
        <v>396</v>
      </c>
      <c r="J34" s="13" t="s">
        <v>397</v>
      </c>
      <c r="K34" s="13" t="s">
        <v>398</v>
      </c>
      <c r="L34" s="13">
        <v>1.0</v>
      </c>
      <c r="M34" s="13">
        <v>0.5</v>
      </c>
      <c r="N34" s="13">
        <v>0.34831460674157305</v>
      </c>
      <c r="O34" s="13" t="s">
        <v>56</v>
      </c>
      <c r="P34" s="13">
        <v>23.0</v>
      </c>
      <c r="Q34" s="13">
        <v>26.0</v>
      </c>
      <c r="R34" s="13" t="s">
        <v>57</v>
      </c>
      <c r="S34" s="13">
        <v>0.0</v>
      </c>
      <c r="T34" s="13" t="s">
        <v>57</v>
      </c>
      <c r="U34" s="13">
        <v>0.0</v>
      </c>
      <c r="V34" s="13">
        <v>0.0</v>
      </c>
      <c r="W34" s="13">
        <v>2.0</v>
      </c>
      <c r="X34" s="13" t="s">
        <v>141</v>
      </c>
      <c r="Y34" s="13">
        <v>0.0</v>
      </c>
      <c r="Z34" s="13" t="s">
        <v>57</v>
      </c>
      <c r="AA34" s="13" t="s">
        <v>59</v>
      </c>
      <c r="AB34" s="13" t="s">
        <v>393</v>
      </c>
      <c r="AC34" s="13" t="s">
        <v>387</v>
      </c>
      <c r="AD34" s="13" t="b">
        <v>1</v>
      </c>
      <c r="AE34" s="12" t="s">
        <v>82</v>
      </c>
      <c r="AF34" s="12" t="s">
        <v>82</v>
      </c>
      <c r="AG34" s="12">
        <v>0.33</v>
      </c>
      <c r="AH34" s="12" t="s">
        <v>103</v>
      </c>
      <c r="AI34" s="12" t="s">
        <v>64</v>
      </c>
      <c r="AJ34" s="12" t="s">
        <v>127</v>
      </c>
      <c r="AK34" s="14" t="s">
        <v>66</v>
      </c>
      <c r="AL34" s="12">
        <f t="shared" si="1"/>
        <v>0</v>
      </c>
      <c r="AM34" s="12" t="s">
        <v>67</v>
      </c>
      <c r="AN34" s="12" t="s">
        <v>105</v>
      </c>
      <c r="AO34" s="12" t="s">
        <v>69</v>
      </c>
      <c r="AP34" s="12" t="s">
        <v>106</v>
      </c>
      <c r="AQ34" s="13"/>
    </row>
    <row r="35" ht="15.0" customHeight="1">
      <c r="A35" s="12">
        <v>38.0</v>
      </c>
      <c r="B35" s="13" t="s">
        <v>402</v>
      </c>
      <c r="C35" s="13" t="s">
        <v>403</v>
      </c>
      <c r="D35" s="13" t="s">
        <v>404</v>
      </c>
      <c r="E35" s="13" t="s">
        <v>405</v>
      </c>
      <c r="F35" s="13" t="s">
        <v>406</v>
      </c>
      <c r="G35" s="13" t="s">
        <v>407</v>
      </c>
      <c r="H35" s="13" t="s">
        <v>408</v>
      </c>
      <c r="I35" s="13" t="s">
        <v>409</v>
      </c>
      <c r="J35" s="13" t="s">
        <v>410</v>
      </c>
      <c r="K35" s="13" t="s">
        <v>411</v>
      </c>
      <c r="L35" s="13">
        <v>0.5</v>
      </c>
      <c r="M35" s="13">
        <v>0.4</v>
      </c>
      <c r="N35" s="13">
        <v>0.07407407407407407</v>
      </c>
      <c r="O35" s="13" t="s">
        <v>56</v>
      </c>
      <c r="P35" s="13">
        <v>1.0</v>
      </c>
      <c r="Q35" s="13">
        <v>19.0</v>
      </c>
      <c r="R35" s="13" t="s">
        <v>412</v>
      </c>
      <c r="S35" s="13">
        <v>1.0</v>
      </c>
      <c r="T35" s="13" t="s">
        <v>412</v>
      </c>
      <c r="U35" s="13">
        <v>1.0</v>
      </c>
      <c r="V35" s="13">
        <v>1.0</v>
      </c>
      <c r="W35" s="13">
        <v>0.0</v>
      </c>
      <c r="X35" s="13" t="s">
        <v>57</v>
      </c>
      <c r="Y35" s="13">
        <v>0.0</v>
      </c>
      <c r="Z35" s="13" t="s">
        <v>57</v>
      </c>
      <c r="AA35" s="13" t="s">
        <v>413</v>
      </c>
      <c r="AB35" s="13" t="s">
        <v>414</v>
      </c>
      <c r="AC35" s="13" t="s">
        <v>387</v>
      </c>
      <c r="AD35" s="13" t="b">
        <v>1</v>
      </c>
      <c r="AE35" s="12" t="s">
        <v>82</v>
      </c>
      <c r="AF35" s="12" t="s">
        <v>82</v>
      </c>
      <c r="AG35" s="12">
        <v>0.5</v>
      </c>
      <c r="AH35" s="12" t="s">
        <v>103</v>
      </c>
      <c r="AI35" s="12" t="s">
        <v>103</v>
      </c>
      <c r="AJ35" s="12" t="s">
        <v>143</v>
      </c>
      <c r="AK35" s="14" t="s">
        <v>415</v>
      </c>
      <c r="AL35" s="12">
        <f t="shared" si="1"/>
        <v>0</v>
      </c>
      <c r="AM35" s="12" t="s">
        <v>67</v>
      </c>
      <c r="AN35" s="12" t="s">
        <v>105</v>
      </c>
      <c r="AO35" s="12" t="s">
        <v>69</v>
      </c>
      <c r="AP35" s="12" t="s">
        <v>56</v>
      </c>
      <c r="AQ35" s="13"/>
    </row>
    <row r="36" ht="15.0" customHeight="1">
      <c r="A36" s="12">
        <v>39.0</v>
      </c>
      <c r="B36" s="13" t="s">
        <v>187</v>
      </c>
      <c r="C36" s="13" t="s">
        <v>417</v>
      </c>
      <c r="D36" s="13" t="s">
        <v>418</v>
      </c>
      <c r="E36" s="13" t="s">
        <v>190</v>
      </c>
      <c r="F36" s="13" t="s">
        <v>419</v>
      </c>
      <c r="G36" s="13" t="s">
        <v>420</v>
      </c>
      <c r="H36" s="13" t="s">
        <v>421</v>
      </c>
      <c r="I36" s="13" t="s">
        <v>194</v>
      </c>
      <c r="J36" s="13" t="s">
        <v>422</v>
      </c>
      <c r="K36" s="13" t="s">
        <v>423</v>
      </c>
      <c r="L36" s="13">
        <v>1.0</v>
      </c>
      <c r="M36" s="13">
        <v>0.5</v>
      </c>
      <c r="N36" s="13">
        <v>0.4198473282442748</v>
      </c>
      <c r="O36" s="13" t="s">
        <v>56</v>
      </c>
      <c r="P36" s="13">
        <v>0.0</v>
      </c>
      <c r="Q36" s="13">
        <v>5.0</v>
      </c>
      <c r="R36" s="13" t="s">
        <v>57</v>
      </c>
      <c r="S36" s="13">
        <v>0.0</v>
      </c>
      <c r="T36" s="13" t="s">
        <v>57</v>
      </c>
      <c r="U36" s="13">
        <v>0.0</v>
      </c>
      <c r="V36" s="13">
        <v>0.0</v>
      </c>
      <c r="W36" s="13">
        <v>0.0</v>
      </c>
      <c r="X36" s="13" t="s">
        <v>57</v>
      </c>
      <c r="Y36" s="13">
        <v>1.0</v>
      </c>
      <c r="Z36" s="13" t="s">
        <v>197</v>
      </c>
      <c r="AA36" s="13" t="s">
        <v>80</v>
      </c>
      <c r="AB36" s="13" t="s">
        <v>424</v>
      </c>
      <c r="AC36" s="13" t="s">
        <v>425</v>
      </c>
      <c r="AD36" s="13" t="b">
        <v>1</v>
      </c>
      <c r="AE36" s="12" t="s">
        <v>82</v>
      </c>
      <c r="AF36" s="12" t="s">
        <v>82</v>
      </c>
      <c r="AG36" s="12">
        <v>0.2</v>
      </c>
      <c r="AH36" s="12" t="s">
        <v>63</v>
      </c>
      <c r="AI36" s="12" t="s">
        <v>64</v>
      </c>
      <c r="AJ36" s="12" t="s">
        <v>65</v>
      </c>
      <c r="AK36" s="14" t="s">
        <v>84</v>
      </c>
      <c r="AL36" s="12">
        <f t="shared" si="1"/>
        <v>0</v>
      </c>
      <c r="AM36" s="12" t="s">
        <v>67</v>
      </c>
      <c r="AN36" s="12" t="s">
        <v>105</v>
      </c>
      <c r="AO36" s="12" t="s">
        <v>69</v>
      </c>
      <c r="AP36" s="12" t="s">
        <v>56</v>
      </c>
      <c r="AQ36" s="13"/>
    </row>
    <row r="37" ht="15.0" customHeight="1">
      <c r="A37" s="12">
        <v>40.0</v>
      </c>
      <c r="B37" s="13" t="s">
        <v>187</v>
      </c>
      <c r="C37" s="13" t="s">
        <v>417</v>
      </c>
      <c r="D37" s="13" t="s">
        <v>418</v>
      </c>
      <c r="E37" s="13" t="s">
        <v>349</v>
      </c>
      <c r="F37" s="13" t="s">
        <v>426</v>
      </c>
      <c r="G37" s="13" t="s">
        <v>427</v>
      </c>
      <c r="H37" s="13" t="s">
        <v>428</v>
      </c>
      <c r="I37" s="13" t="s">
        <v>353</v>
      </c>
      <c r="J37" s="13" t="s">
        <v>429</v>
      </c>
      <c r="K37" s="13" t="s">
        <v>430</v>
      </c>
      <c r="L37" s="13">
        <v>1.0</v>
      </c>
      <c r="M37" s="13">
        <v>0.4</v>
      </c>
      <c r="N37" s="13">
        <v>0.46220302375809935</v>
      </c>
      <c r="O37" s="13" t="s">
        <v>56</v>
      </c>
      <c r="P37" s="13">
        <v>3.0</v>
      </c>
      <c r="Q37" s="13">
        <v>5.0</v>
      </c>
      <c r="R37" s="13" t="s">
        <v>57</v>
      </c>
      <c r="S37" s="13">
        <v>0.0</v>
      </c>
      <c r="T37" s="13" t="s">
        <v>57</v>
      </c>
      <c r="U37" s="13">
        <v>0.0</v>
      </c>
      <c r="V37" s="13">
        <v>0.0</v>
      </c>
      <c r="W37" s="13">
        <v>0.0</v>
      </c>
      <c r="X37" s="13" t="s">
        <v>57</v>
      </c>
      <c r="Y37" s="13">
        <v>1.0</v>
      </c>
      <c r="Z37" s="13" t="s">
        <v>197</v>
      </c>
      <c r="AA37" s="13" t="s">
        <v>80</v>
      </c>
      <c r="AB37" s="13" t="s">
        <v>424</v>
      </c>
      <c r="AC37" s="13" t="s">
        <v>425</v>
      </c>
      <c r="AD37" s="13" t="b">
        <v>1</v>
      </c>
      <c r="AE37" s="12" t="s">
        <v>83</v>
      </c>
      <c r="AF37" s="12" t="s">
        <v>82</v>
      </c>
      <c r="AG37" s="12">
        <v>0.17</v>
      </c>
      <c r="AH37" s="12" t="s">
        <v>63</v>
      </c>
      <c r="AI37" s="12" t="s">
        <v>64</v>
      </c>
      <c r="AJ37" s="12" t="s">
        <v>65</v>
      </c>
      <c r="AK37" s="14" t="s">
        <v>84</v>
      </c>
      <c r="AL37" s="12">
        <f t="shared" si="1"/>
        <v>0</v>
      </c>
      <c r="AM37" s="12" t="s">
        <v>67</v>
      </c>
      <c r="AN37" s="12" t="s">
        <v>105</v>
      </c>
      <c r="AO37" s="12" t="s">
        <v>69</v>
      </c>
    </row>
    <row r="38" ht="15.0" customHeight="1">
      <c r="A38" s="12">
        <v>41.0</v>
      </c>
      <c r="B38" s="13" t="s">
        <v>187</v>
      </c>
      <c r="C38" s="13" t="s">
        <v>417</v>
      </c>
      <c r="D38" s="13" t="s">
        <v>418</v>
      </c>
      <c r="E38" s="13" t="s">
        <v>349</v>
      </c>
      <c r="F38" s="13" t="s">
        <v>426</v>
      </c>
      <c r="G38" s="13" t="s">
        <v>431</v>
      </c>
      <c r="H38" s="13" t="s">
        <v>432</v>
      </c>
      <c r="I38" s="13" t="s">
        <v>433</v>
      </c>
      <c r="J38" s="13" t="s">
        <v>434</v>
      </c>
      <c r="K38" s="13" t="s">
        <v>435</v>
      </c>
      <c r="L38" s="13">
        <v>1.0</v>
      </c>
      <c r="M38" s="13">
        <v>0.8</v>
      </c>
      <c r="N38" s="13">
        <v>0.6393088552915767</v>
      </c>
      <c r="O38" s="13" t="s">
        <v>56</v>
      </c>
      <c r="P38" s="13">
        <v>3.0</v>
      </c>
      <c r="Q38" s="13">
        <v>5.0</v>
      </c>
      <c r="R38" s="13" t="s">
        <v>57</v>
      </c>
      <c r="S38" s="13">
        <v>0.0</v>
      </c>
      <c r="T38" s="13" t="s">
        <v>57</v>
      </c>
      <c r="U38" s="13">
        <v>0.0</v>
      </c>
      <c r="V38" s="13">
        <v>0.0</v>
      </c>
      <c r="W38" s="13">
        <v>0.0</v>
      </c>
      <c r="X38" s="13" t="s">
        <v>57</v>
      </c>
      <c r="Y38" s="13">
        <v>1.0</v>
      </c>
      <c r="Z38" s="13" t="s">
        <v>197</v>
      </c>
      <c r="AA38" s="13" t="s">
        <v>80</v>
      </c>
      <c r="AB38" s="13" t="s">
        <v>424</v>
      </c>
      <c r="AC38" s="13" t="s">
        <v>425</v>
      </c>
      <c r="AD38" s="13" t="b">
        <v>1</v>
      </c>
      <c r="AE38" s="12" t="s">
        <v>82</v>
      </c>
      <c r="AF38" s="12" t="s">
        <v>82</v>
      </c>
      <c r="AG38" s="12">
        <v>0.17</v>
      </c>
      <c r="AH38" s="12" t="s">
        <v>63</v>
      </c>
      <c r="AI38" s="12" t="s">
        <v>64</v>
      </c>
      <c r="AJ38" s="12" t="s">
        <v>65</v>
      </c>
      <c r="AK38" s="14" t="s">
        <v>128</v>
      </c>
      <c r="AL38" s="12">
        <f t="shared" si="1"/>
        <v>0</v>
      </c>
      <c r="AM38" s="12" t="s">
        <v>67</v>
      </c>
      <c r="AN38" s="12" t="s">
        <v>105</v>
      </c>
      <c r="AO38" s="12" t="s">
        <v>69</v>
      </c>
      <c r="AP38" s="12" t="s">
        <v>465</v>
      </c>
      <c r="AQ38" s="13"/>
    </row>
    <row r="39" ht="15.0" customHeight="1">
      <c r="A39" s="12">
        <v>42.0</v>
      </c>
      <c r="B39" s="13" t="s">
        <v>88</v>
      </c>
      <c r="C39" s="13" t="s">
        <v>417</v>
      </c>
      <c r="D39" s="13" t="s">
        <v>436</v>
      </c>
      <c r="E39" s="13" t="s">
        <v>91</v>
      </c>
      <c r="F39" s="13" t="s">
        <v>437</v>
      </c>
      <c r="G39" s="13" t="s">
        <v>438</v>
      </c>
      <c r="H39" s="13" t="s">
        <v>439</v>
      </c>
      <c r="I39" s="13" t="s">
        <v>95</v>
      </c>
      <c r="J39" s="13" t="s">
        <v>440</v>
      </c>
      <c r="K39" s="13" t="s">
        <v>441</v>
      </c>
      <c r="L39" s="13">
        <v>1.0</v>
      </c>
      <c r="M39" s="13">
        <v>0.4</v>
      </c>
      <c r="N39" s="13">
        <v>0.32894736842105265</v>
      </c>
      <c r="O39" s="13" t="s">
        <v>56</v>
      </c>
      <c r="P39" s="13">
        <v>1.0</v>
      </c>
      <c r="Q39" s="13">
        <v>4.0</v>
      </c>
      <c r="R39" s="13" t="s">
        <v>57</v>
      </c>
      <c r="S39" s="13">
        <v>0.0</v>
      </c>
      <c r="T39" s="13" t="s">
        <v>57</v>
      </c>
      <c r="U39" s="13">
        <v>0.0</v>
      </c>
      <c r="V39" s="13">
        <v>0.0</v>
      </c>
      <c r="W39" s="13">
        <v>1.0</v>
      </c>
      <c r="X39" s="13" t="s">
        <v>98</v>
      </c>
      <c r="Y39" s="13">
        <v>1.0</v>
      </c>
      <c r="Z39" s="13" t="s">
        <v>99</v>
      </c>
      <c r="AA39" s="13" t="s">
        <v>100</v>
      </c>
      <c r="AB39" s="13" t="s">
        <v>424</v>
      </c>
      <c r="AC39" s="13" t="s">
        <v>425</v>
      </c>
      <c r="AD39" s="13" t="b">
        <v>1</v>
      </c>
      <c r="AE39" s="12" t="s">
        <v>83</v>
      </c>
      <c r="AF39" s="12" t="s">
        <v>82</v>
      </c>
      <c r="AG39" s="12">
        <v>0.2</v>
      </c>
      <c r="AH39" s="12" t="s">
        <v>103</v>
      </c>
      <c r="AI39" s="12" t="s">
        <v>104</v>
      </c>
      <c r="AJ39" s="12" t="s">
        <v>127</v>
      </c>
      <c r="AK39" s="14" t="s">
        <v>442</v>
      </c>
      <c r="AL39" s="12">
        <f t="shared" si="1"/>
        <v>1</v>
      </c>
      <c r="AM39" s="12" t="s">
        <v>67</v>
      </c>
      <c r="AN39" s="12" t="s">
        <v>105</v>
      </c>
      <c r="AO39" s="12" t="s">
        <v>69</v>
      </c>
      <c r="AP39" s="12" t="s">
        <v>56</v>
      </c>
      <c r="AQ39" s="13"/>
    </row>
    <row r="40" ht="15.0" customHeight="1">
      <c r="A40" s="12">
        <v>43.0</v>
      </c>
      <c r="B40" s="13" t="s">
        <v>88</v>
      </c>
      <c r="C40" s="13" t="s">
        <v>417</v>
      </c>
      <c r="D40" s="13" t="s">
        <v>436</v>
      </c>
      <c r="E40" s="13" t="s">
        <v>91</v>
      </c>
      <c r="F40" s="13" t="s">
        <v>437</v>
      </c>
      <c r="G40" s="13" t="s">
        <v>443</v>
      </c>
      <c r="H40" s="13" t="s">
        <v>444</v>
      </c>
      <c r="I40" s="13" t="s">
        <v>110</v>
      </c>
      <c r="J40" s="13" t="s">
        <v>445</v>
      </c>
      <c r="K40" s="13" t="s">
        <v>446</v>
      </c>
      <c r="L40" s="13">
        <v>1.0</v>
      </c>
      <c r="M40" s="13">
        <v>0.6</v>
      </c>
      <c r="N40" s="13">
        <v>0.4901315789473684</v>
      </c>
      <c r="O40" s="13" t="s">
        <v>56</v>
      </c>
      <c r="P40" s="13">
        <v>1.0</v>
      </c>
      <c r="Q40" s="13">
        <v>4.0</v>
      </c>
      <c r="R40" s="13" t="s">
        <v>57</v>
      </c>
      <c r="S40" s="13">
        <v>0.0</v>
      </c>
      <c r="T40" s="13" t="s">
        <v>57</v>
      </c>
      <c r="U40" s="13">
        <v>0.0</v>
      </c>
      <c r="V40" s="13">
        <v>0.0</v>
      </c>
      <c r="W40" s="13">
        <v>0.0</v>
      </c>
      <c r="X40" s="13" t="s">
        <v>57</v>
      </c>
      <c r="Y40" s="13">
        <v>1.0</v>
      </c>
      <c r="Z40" s="13" t="s">
        <v>99</v>
      </c>
      <c r="AA40" s="13" t="s">
        <v>80</v>
      </c>
      <c r="AB40" s="13" t="s">
        <v>424</v>
      </c>
      <c r="AC40" s="13" t="s">
        <v>425</v>
      </c>
      <c r="AD40" s="13" t="b">
        <v>1</v>
      </c>
      <c r="AE40" s="12" t="s">
        <v>83</v>
      </c>
      <c r="AF40" s="12" t="s">
        <v>82</v>
      </c>
      <c r="AG40" s="12">
        <v>0.2</v>
      </c>
      <c r="AH40" s="12" t="s">
        <v>103</v>
      </c>
      <c r="AI40" s="12" t="s">
        <v>113</v>
      </c>
      <c r="AJ40" s="12" t="s">
        <v>127</v>
      </c>
      <c r="AK40" s="14" t="s">
        <v>84</v>
      </c>
      <c r="AL40" s="12">
        <f t="shared" si="1"/>
        <v>0</v>
      </c>
      <c r="AM40" s="12" t="s">
        <v>67</v>
      </c>
      <c r="AN40" s="12" t="s">
        <v>105</v>
      </c>
      <c r="AO40" s="12" t="s">
        <v>69</v>
      </c>
      <c r="AP40" s="12" t="s">
        <v>56</v>
      </c>
      <c r="AQ40" s="13"/>
    </row>
    <row r="41" ht="15.0" customHeight="1">
      <c r="A41" s="12">
        <v>44.0</v>
      </c>
      <c r="B41" s="13" t="s">
        <v>45</v>
      </c>
      <c r="C41" s="13" t="s">
        <v>417</v>
      </c>
      <c r="D41" s="13" t="s">
        <v>447</v>
      </c>
      <c r="E41" s="13" t="s">
        <v>117</v>
      </c>
      <c r="F41" s="13" t="s">
        <v>448</v>
      </c>
      <c r="G41" s="13" t="s">
        <v>449</v>
      </c>
      <c r="H41" s="13" t="s">
        <v>450</v>
      </c>
      <c r="I41" s="13" t="s">
        <v>203</v>
      </c>
      <c r="J41" s="13" t="s">
        <v>451</v>
      </c>
      <c r="K41" s="13" t="s">
        <v>452</v>
      </c>
      <c r="L41" s="13">
        <v>1.0</v>
      </c>
      <c r="M41" s="13">
        <v>0.0</v>
      </c>
      <c r="N41" s="13">
        <v>0.21951219512195122</v>
      </c>
      <c r="O41" s="13" t="s">
        <v>56</v>
      </c>
      <c r="P41" s="13">
        <v>2.0</v>
      </c>
      <c r="Q41" s="13">
        <v>18.0</v>
      </c>
      <c r="R41" s="13" t="s">
        <v>57</v>
      </c>
      <c r="S41" s="13">
        <v>0.0</v>
      </c>
      <c r="T41" s="13" t="s">
        <v>57</v>
      </c>
      <c r="U41" s="13">
        <v>0.0</v>
      </c>
      <c r="V41" s="13">
        <v>0.0</v>
      </c>
      <c r="W41" s="13">
        <v>0.0</v>
      </c>
      <c r="X41" s="13" t="s">
        <v>57</v>
      </c>
      <c r="Y41" s="13">
        <v>0.0</v>
      </c>
      <c r="Z41" s="13" t="s">
        <v>57</v>
      </c>
      <c r="AA41" s="13" t="s">
        <v>124</v>
      </c>
      <c r="AB41" s="13" t="s">
        <v>424</v>
      </c>
      <c r="AC41" s="13" t="s">
        <v>425</v>
      </c>
      <c r="AD41" s="13" t="b">
        <v>1</v>
      </c>
      <c r="AE41" s="12" t="s">
        <v>83</v>
      </c>
      <c r="AF41" s="12" t="s">
        <v>62</v>
      </c>
      <c r="AG41" s="12">
        <v>0.17</v>
      </c>
      <c r="AH41" s="12" t="s">
        <v>63</v>
      </c>
      <c r="AI41" s="12" t="s">
        <v>104</v>
      </c>
      <c r="AJ41" s="12" t="s">
        <v>65</v>
      </c>
      <c r="AK41" s="14" t="s">
        <v>128</v>
      </c>
      <c r="AL41" s="12">
        <f t="shared" si="1"/>
        <v>0</v>
      </c>
      <c r="AM41" s="12" t="s">
        <v>67</v>
      </c>
      <c r="AN41" s="12" t="s">
        <v>105</v>
      </c>
      <c r="AO41" s="12" t="s">
        <v>69</v>
      </c>
      <c r="AP41" s="12" t="s">
        <v>56</v>
      </c>
      <c r="AQ41" s="13"/>
    </row>
    <row r="42" ht="15.0" customHeight="1">
      <c r="A42" s="12">
        <v>45.0</v>
      </c>
      <c r="B42" s="13" t="s">
        <v>45</v>
      </c>
      <c r="C42" s="13" t="s">
        <v>417</v>
      </c>
      <c r="D42" s="13" t="s">
        <v>447</v>
      </c>
      <c r="E42" s="13" t="s">
        <v>117</v>
      </c>
      <c r="F42" s="13" t="s">
        <v>448</v>
      </c>
      <c r="G42" s="13" t="s">
        <v>453</v>
      </c>
      <c r="H42" s="13" t="s">
        <v>454</v>
      </c>
      <c r="I42" s="13" t="s">
        <v>203</v>
      </c>
      <c r="J42" s="13" t="s">
        <v>455</v>
      </c>
      <c r="K42" s="13" t="s">
        <v>456</v>
      </c>
      <c r="L42" s="13">
        <v>1.0</v>
      </c>
      <c r="M42" s="13">
        <v>0.0</v>
      </c>
      <c r="N42" s="13">
        <v>0.18699186991869918</v>
      </c>
      <c r="O42" s="13" t="s">
        <v>56</v>
      </c>
      <c r="P42" s="13">
        <v>2.0</v>
      </c>
      <c r="Q42" s="13">
        <v>18.0</v>
      </c>
      <c r="R42" s="13" t="s">
        <v>57</v>
      </c>
      <c r="S42" s="13">
        <v>0.0</v>
      </c>
      <c r="T42" s="13" t="s">
        <v>57</v>
      </c>
      <c r="U42" s="13">
        <v>0.0</v>
      </c>
      <c r="V42" s="13">
        <v>0.0</v>
      </c>
      <c r="W42" s="13">
        <v>0.0</v>
      </c>
      <c r="X42" s="13" t="s">
        <v>57</v>
      </c>
      <c r="Y42" s="13">
        <v>0.0</v>
      </c>
      <c r="Z42" s="13" t="s">
        <v>57</v>
      </c>
      <c r="AA42" s="13" t="s">
        <v>124</v>
      </c>
      <c r="AB42" s="13" t="s">
        <v>424</v>
      </c>
      <c r="AC42" s="13" t="s">
        <v>425</v>
      </c>
      <c r="AD42" s="13" t="b">
        <v>1</v>
      </c>
      <c r="AE42" s="12" t="s">
        <v>83</v>
      </c>
      <c r="AF42" s="12" t="s">
        <v>62</v>
      </c>
      <c r="AG42" s="12">
        <v>0.17</v>
      </c>
      <c r="AH42" s="12" t="s">
        <v>63</v>
      </c>
      <c r="AI42" s="12" t="s">
        <v>64</v>
      </c>
      <c r="AJ42" s="12" t="s">
        <v>65</v>
      </c>
      <c r="AK42" s="14" t="s">
        <v>128</v>
      </c>
      <c r="AL42" s="12">
        <f t="shared" si="1"/>
        <v>0</v>
      </c>
      <c r="AM42" s="12" t="s">
        <v>67</v>
      </c>
      <c r="AN42" s="12" t="s">
        <v>105</v>
      </c>
      <c r="AO42" s="12" t="s">
        <v>69</v>
      </c>
      <c r="AP42" s="12" t="s">
        <v>56</v>
      </c>
      <c r="AQ42" s="13"/>
    </row>
    <row r="43" ht="15.0" customHeight="1">
      <c r="A43" s="12">
        <v>46.0</v>
      </c>
      <c r="B43" s="13" t="s">
        <v>114</v>
      </c>
      <c r="C43" s="13" t="s">
        <v>417</v>
      </c>
      <c r="D43" s="13" t="s">
        <v>457</v>
      </c>
      <c r="E43" s="13" t="s">
        <v>123</v>
      </c>
      <c r="F43" s="13" t="s">
        <v>458</v>
      </c>
      <c r="G43" s="13" t="s">
        <v>459</v>
      </c>
      <c r="H43" s="13" t="s">
        <v>460</v>
      </c>
      <c r="I43" s="13" t="s">
        <v>461</v>
      </c>
      <c r="J43" s="13" t="s">
        <v>462</v>
      </c>
      <c r="K43" s="13" t="s">
        <v>463</v>
      </c>
      <c r="L43" s="13">
        <v>1.0</v>
      </c>
      <c r="M43" s="13">
        <v>0.4</v>
      </c>
      <c r="N43" s="13">
        <v>0.36444444444444446</v>
      </c>
      <c r="O43" s="13" t="s">
        <v>56</v>
      </c>
      <c r="P43" s="13">
        <v>3.0</v>
      </c>
      <c r="Q43" s="13">
        <v>11.0</v>
      </c>
      <c r="R43" s="13" t="s">
        <v>57</v>
      </c>
      <c r="S43" s="13">
        <v>0.0</v>
      </c>
      <c r="T43" s="13" t="s">
        <v>57</v>
      </c>
      <c r="U43" s="13">
        <v>0.0</v>
      </c>
      <c r="V43" s="13">
        <v>0.0</v>
      </c>
      <c r="W43" s="13">
        <v>0.0</v>
      </c>
      <c r="X43" s="13" t="s">
        <v>57</v>
      </c>
      <c r="Y43" s="13">
        <v>2.0</v>
      </c>
      <c r="Z43" s="13" t="s">
        <v>464</v>
      </c>
      <c r="AA43" s="13" t="s">
        <v>80</v>
      </c>
      <c r="AB43" s="13" t="s">
        <v>424</v>
      </c>
      <c r="AC43" s="13" t="s">
        <v>425</v>
      </c>
      <c r="AD43" s="13" t="b">
        <v>1</v>
      </c>
      <c r="AE43" s="12" t="s">
        <v>126</v>
      </c>
      <c r="AF43" s="12" t="s">
        <v>82</v>
      </c>
      <c r="AG43" s="12">
        <v>0.4</v>
      </c>
      <c r="AH43" s="12" t="s">
        <v>103</v>
      </c>
      <c r="AI43" s="12" t="s">
        <v>64</v>
      </c>
      <c r="AJ43" s="12" t="s">
        <v>127</v>
      </c>
      <c r="AK43" s="14" t="s">
        <v>128</v>
      </c>
      <c r="AL43" s="12">
        <f t="shared" si="1"/>
        <v>0</v>
      </c>
      <c r="AM43" s="12" t="s">
        <v>67</v>
      </c>
      <c r="AN43" s="12" t="s">
        <v>105</v>
      </c>
      <c r="AO43" s="12" t="s">
        <v>186</v>
      </c>
      <c r="AP43" s="12" t="s">
        <v>465</v>
      </c>
      <c r="AQ43" s="13"/>
    </row>
    <row r="44" ht="15.0" customHeight="1">
      <c r="A44" s="12">
        <v>47.0</v>
      </c>
      <c r="B44" s="13" t="s">
        <v>114</v>
      </c>
      <c r="C44" s="13" t="s">
        <v>417</v>
      </c>
      <c r="D44" s="13" t="s">
        <v>457</v>
      </c>
      <c r="E44" s="13" t="s">
        <v>48</v>
      </c>
      <c r="F44" s="13" t="s">
        <v>466</v>
      </c>
      <c r="G44" s="13" t="s">
        <v>467</v>
      </c>
      <c r="H44" s="13" t="s">
        <v>468</v>
      </c>
      <c r="I44" s="13" t="s">
        <v>469</v>
      </c>
      <c r="J44" s="13" t="s">
        <v>470</v>
      </c>
      <c r="K44" s="13" t="s">
        <v>54</v>
      </c>
      <c r="L44" s="13">
        <v>1.0</v>
      </c>
      <c r="M44" s="13">
        <v>0.7213114754098361</v>
      </c>
      <c r="N44" s="13">
        <v>0.6871938418474458</v>
      </c>
      <c r="O44" s="13" t="s">
        <v>56</v>
      </c>
      <c r="P44" s="13">
        <v>2.0</v>
      </c>
      <c r="Q44" s="13">
        <v>11.0</v>
      </c>
      <c r="R44" s="13" t="s">
        <v>57</v>
      </c>
      <c r="S44" s="13">
        <v>0.0</v>
      </c>
      <c r="T44" s="13" t="s">
        <v>57</v>
      </c>
      <c r="U44" s="13">
        <v>0.0</v>
      </c>
      <c r="V44" s="13">
        <v>0.0</v>
      </c>
      <c r="W44" s="13">
        <v>2.0</v>
      </c>
      <c r="X44" s="13" t="s">
        <v>464</v>
      </c>
      <c r="Y44" s="13">
        <v>0.0</v>
      </c>
      <c r="Z44" s="13" t="s">
        <v>57</v>
      </c>
      <c r="AA44" s="13" t="s">
        <v>59</v>
      </c>
      <c r="AB44" s="13" t="s">
        <v>424</v>
      </c>
      <c r="AC44" s="13" t="s">
        <v>425</v>
      </c>
      <c r="AD44" s="13" t="b">
        <v>1</v>
      </c>
      <c r="AE44" s="12" t="s">
        <v>126</v>
      </c>
      <c r="AF44" s="12" t="s">
        <v>126</v>
      </c>
      <c r="AG44" s="12">
        <v>0.4</v>
      </c>
      <c r="AH44" s="12" t="s">
        <v>103</v>
      </c>
      <c r="AI44" s="12" t="s">
        <v>64</v>
      </c>
      <c r="AJ44" s="12" t="s">
        <v>127</v>
      </c>
      <c r="AK44" s="14" t="s">
        <v>66</v>
      </c>
      <c r="AL44" s="12">
        <f t="shared" si="1"/>
        <v>0</v>
      </c>
      <c r="AM44" s="12" t="s">
        <v>67</v>
      </c>
      <c r="AN44" s="12" t="s">
        <v>105</v>
      </c>
      <c r="AO44" s="12" t="s">
        <v>129</v>
      </c>
      <c r="AP44" s="12" t="s">
        <v>56</v>
      </c>
      <c r="AQ44" s="13"/>
    </row>
    <row r="45" ht="15.0" customHeight="1">
      <c r="A45" s="12">
        <v>48.0</v>
      </c>
      <c r="B45" s="13" t="s">
        <v>471</v>
      </c>
      <c r="C45" s="13" t="s">
        <v>417</v>
      </c>
      <c r="D45" s="13" t="s">
        <v>472</v>
      </c>
      <c r="E45" s="13" t="s">
        <v>473</v>
      </c>
      <c r="F45" s="13" t="s">
        <v>474</v>
      </c>
      <c r="G45" s="13" t="s">
        <v>475</v>
      </c>
      <c r="H45" s="13" t="s">
        <v>476</v>
      </c>
      <c r="I45" s="13" t="s">
        <v>477</v>
      </c>
      <c r="J45" s="13" t="s">
        <v>478</v>
      </c>
      <c r="K45" s="13" t="s">
        <v>479</v>
      </c>
      <c r="L45" s="13">
        <v>0.75</v>
      </c>
      <c r="M45" s="13">
        <v>0.14285714285714285</v>
      </c>
      <c r="N45" s="13">
        <v>0.19525065963060687</v>
      </c>
      <c r="O45" s="13" t="s">
        <v>56</v>
      </c>
      <c r="P45" s="13">
        <v>0.0</v>
      </c>
      <c r="Q45" s="13">
        <v>1.0</v>
      </c>
      <c r="R45" s="13" t="s">
        <v>480</v>
      </c>
      <c r="S45" s="13">
        <v>1.0</v>
      </c>
      <c r="T45" s="13" t="s">
        <v>481</v>
      </c>
      <c r="U45" s="13">
        <v>1.0</v>
      </c>
      <c r="V45" s="13">
        <v>1.0</v>
      </c>
      <c r="W45" s="13">
        <v>0.0</v>
      </c>
      <c r="X45" s="13" t="s">
        <v>57</v>
      </c>
      <c r="Y45" s="13">
        <v>0.0</v>
      </c>
      <c r="Z45" s="13" t="s">
        <v>57</v>
      </c>
      <c r="AA45" s="13" t="s">
        <v>482</v>
      </c>
      <c r="AB45" s="13" t="s">
        <v>424</v>
      </c>
      <c r="AC45" s="13" t="s">
        <v>425</v>
      </c>
      <c r="AD45" s="13" t="b">
        <v>1</v>
      </c>
      <c r="AE45" s="12" t="s">
        <v>126</v>
      </c>
      <c r="AF45" s="12" t="s">
        <v>184</v>
      </c>
      <c r="AG45" s="12">
        <v>0.5</v>
      </c>
      <c r="AH45" s="12" t="s">
        <v>103</v>
      </c>
      <c r="AI45" s="12" t="s">
        <v>64</v>
      </c>
      <c r="AJ45" s="12" t="s">
        <v>127</v>
      </c>
      <c r="AK45" s="14" t="s">
        <v>128</v>
      </c>
      <c r="AL45" s="12">
        <f t="shared" si="1"/>
        <v>0</v>
      </c>
      <c r="AM45" s="12" t="s">
        <v>67</v>
      </c>
      <c r="AN45" s="12" t="s">
        <v>264</v>
      </c>
      <c r="AO45" s="12" t="s">
        <v>129</v>
      </c>
      <c r="AP45" s="12" t="s">
        <v>484</v>
      </c>
      <c r="AQ45" s="13"/>
    </row>
    <row r="46" ht="15.0" customHeight="1">
      <c r="A46" s="12">
        <v>49.0</v>
      </c>
      <c r="B46" s="13" t="s">
        <v>153</v>
      </c>
      <c r="C46" s="13" t="s">
        <v>485</v>
      </c>
      <c r="D46" s="13" t="s">
        <v>486</v>
      </c>
      <c r="E46" s="13" t="s">
        <v>228</v>
      </c>
      <c r="F46" s="13" t="s">
        <v>487</v>
      </c>
      <c r="G46" s="13" t="s">
        <v>488</v>
      </c>
      <c r="H46" s="13" t="s">
        <v>489</v>
      </c>
      <c r="I46" s="13" t="s">
        <v>490</v>
      </c>
      <c r="J46" s="13" t="s">
        <v>491</v>
      </c>
      <c r="K46" s="13" t="s">
        <v>492</v>
      </c>
      <c r="L46" s="13">
        <v>1.0</v>
      </c>
      <c r="M46" s="13">
        <v>0.5</v>
      </c>
      <c r="N46" s="13">
        <v>0.48360655737704916</v>
      </c>
      <c r="O46" s="13" t="s">
        <v>56</v>
      </c>
      <c r="P46" s="13">
        <v>5.0</v>
      </c>
      <c r="Q46" s="13">
        <v>18.0</v>
      </c>
      <c r="R46" s="13" t="s">
        <v>57</v>
      </c>
      <c r="S46" s="13">
        <v>0.0</v>
      </c>
      <c r="T46" s="13" t="s">
        <v>57</v>
      </c>
      <c r="U46" s="13">
        <v>0.0</v>
      </c>
      <c r="V46" s="13">
        <v>0.0</v>
      </c>
      <c r="W46" s="13">
        <v>1.0</v>
      </c>
      <c r="X46" s="13" t="s">
        <v>163</v>
      </c>
      <c r="Y46" s="13">
        <v>0.0</v>
      </c>
      <c r="Z46" s="13" t="s">
        <v>57</v>
      </c>
      <c r="AA46" s="13" t="s">
        <v>59</v>
      </c>
      <c r="AB46" s="13" t="s">
        <v>493</v>
      </c>
      <c r="AC46" s="13" t="s">
        <v>494</v>
      </c>
      <c r="AD46" s="13" t="b">
        <v>1</v>
      </c>
      <c r="AE46" s="12" t="s">
        <v>82</v>
      </c>
      <c r="AF46" s="12" t="s">
        <v>126</v>
      </c>
      <c r="AG46" s="12">
        <v>0.25</v>
      </c>
      <c r="AH46" s="12" t="s">
        <v>63</v>
      </c>
      <c r="AI46" s="12" t="s">
        <v>64</v>
      </c>
      <c r="AJ46" s="12" t="s">
        <v>65</v>
      </c>
      <c r="AK46" s="14" t="s">
        <v>66</v>
      </c>
      <c r="AL46" s="12">
        <f t="shared" si="1"/>
        <v>0</v>
      </c>
      <c r="AM46" s="12" t="s">
        <v>67</v>
      </c>
      <c r="AN46" s="12" t="s">
        <v>105</v>
      </c>
      <c r="AO46" s="12" t="s">
        <v>69</v>
      </c>
      <c r="AP46" s="12" t="s">
        <v>56</v>
      </c>
      <c r="AQ46" s="13"/>
    </row>
    <row r="47" ht="15.0" customHeight="1">
      <c r="G47" s="8"/>
      <c r="P47" s="28">
        <f>countif(P2:P46,0)</f>
        <v>11</v>
      </c>
      <c r="AG47" s="28">
        <f>median(AG2:AG46)</f>
        <v>0.5</v>
      </c>
      <c r="AK47" s="27"/>
      <c r="AO47" s="27"/>
    </row>
    <row r="48" ht="15.0" customHeight="1">
      <c r="G48" s="8"/>
      <c r="P48" s="28">
        <f>countif(P2:P46,1)</f>
        <v>7</v>
      </c>
      <c r="AK48" s="27"/>
      <c r="AO48" s="27"/>
    </row>
    <row r="49">
      <c r="AG49" s="36" t="s">
        <v>2207</v>
      </c>
      <c r="AI49" s="36" t="s">
        <v>2208</v>
      </c>
      <c r="AK49" s="37" t="s">
        <v>2209</v>
      </c>
      <c r="AL49" s="36"/>
      <c r="AM49" s="36" t="s">
        <v>2210</v>
      </c>
      <c r="AO49" s="36" t="s">
        <v>2211</v>
      </c>
    </row>
    <row r="50">
      <c r="AG50" s="36" t="s">
        <v>2212</v>
      </c>
      <c r="AH50" s="36">
        <f>countif(AH2:AH46,"no variable declaration")</f>
        <v>17</v>
      </c>
      <c r="AI50" s="36" t="s">
        <v>2213</v>
      </c>
      <c r="AJ50" s="28">
        <f>countif(AI2:AI46,"no literal value")</f>
        <v>0</v>
      </c>
      <c r="AK50" s="37" t="s">
        <v>2214</v>
      </c>
      <c r="AL50" s="28">
        <f>countif(AJ2:AJ46,"no constructor")</f>
        <v>19</v>
      </c>
      <c r="AM50" s="36" t="s">
        <v>128</v>
      </c>
      <c r="AN50" s="28">
        <f>countif(AK2:AK46,"identical")</f>
        <v>21</v>
      </c>
      <c r="AO50" s="36" t="s">
        <v>2215</v>
      </c>
      <c r="AP50" s="28">
        <f>countif(AN2:AN46,"new method in assertion")</f>
        <v>0</v>
      </c>
    </row>
    <row r="51">
      <c r="AG51" s="36" t="s">
        <v>103</v>
      </c>
      <c r="AH51" s="36">
        <f>countif(AH2:AH46,"exact same")</f>
        <v>20</v>
      </c>
      <c r="AI51" s="36" t="s">
        <v>103</v>
      </c>
      <c r="AJ51" s="28">
        <f>countif(AI2:AI46,"exact same")</f>
        <v>1</v>
      </c>
      <c r="AK51" s="37" t="s">
        <v>2216</v>
      </c>
      <c r="AL51" s="28">
        <f>countif(AJ2:AJ46,"same constructor")</f>
        <v>19</v>
      </c>
      <c r="AM51" s="36" t="s">
        <v>2217</v>
      </c>
      <c r="AN51" s="28">
        <f>countif(AK2:AK46,"method replaced")+countif(AK2:AK46,"method replaced with overload")</f>
        <v>1</v>
      </c>
      <c r="AO51" s="36" t="s">
        <v>2218</v>
      </c>
      <c r="AP51" s="28">
        <f>countif(AN2:AN46,"new attribute in assertion")</f>
        <v>0</v>
      </c>
    </row>
    <row r="52">
      <c r="AG52" s="36" t="s">
        <v>113</v>
      </c>
      <c r="AH52" s="36">
        <f>countif(AH2:AH46,"similar")</f>
        <v>7</v>
      </c>
      <c r="AI52" s="36" t="s">
        <v>399</v>
      </c>
      <c r="AJ52" s="28">
        <f>countif(AI2:AI46,"similar")+countif(AI2:AI46,"changed and similar")</f>
        <v>7</v>
      </c>
      <c r="AK52" s="37" t="s">
        <v>2219</v>
      </c>
      <c r="AL52" s="28">
        <f>countif(AJ2:AJ46,"constructor parameters changed in count")+countif(AJ2:AJ46,"constructor parameters changed in type")</f>
        <v>7</v>
      </c>
      <c r="AM52" s="36" t="s">
        <v>2220</v>
      </c>
      <c r="AN52" s="28">
        <f>countif(AK2:AK46,"new method added")</f>
        <v>0</v>
      </c>
      <c r="AO52" s="36" t="s">
        <v>2221</v>
      </c>
      <c r="AP52" s="28">
        <f>countif(AN2:AN46,"similar assertion added")</f>
        <v>5</v>
      </c>
    </row>
    <row r="53">
      <c r="AG53" s="36" t="s">
        <v>64</v>
      </c>
      <c r="AH53" s="36">
        <f>countif(AH2:AH46,"changed")</f>
        <v>1</v>
      </c>
      <c r="AI53" s="36" t="s">
        <v>64</v>
      </c>
      <c r="AJ53" s="28">
        <f>countif(AI2:AI46,"changed")</f>
        <v>37</v>
      </c>
      <c r="AK53" s="37" t="s">
        <v>2222</v>
      </c>
      <c r="AL53" s="28">
        <f>countif(AJ2:AJ46,"constructor changed to different constructor")</f>
        <v>0</v>
      </c>
      <c r="AM53" s="36" t="s">
        <v>2223</v>
      </c>
      <c r="AN53" s="28">
        <f>countif(AK2:AK46,"method deleted")</f>
        <v>0</v>
      </c>
      <c r="AO53" s="36" t="s">
        <v>2224</v>
      </c>
      <c r="AP53" s="28">
        <f>countif(AN2:AN46,"no assertion addition")</f>
        <v>40</v>
      </c>
    </row>
    <row r="54">
      <c r="AH54" s="28">
        <f>sum(AH50:AH53)</f>
        <v>45</v>
      </c>
      <c r="AJ54" s="28">
        <f>SUM(AJ50:AJ53)</f>
        <v>45</v>
      </c>
      <c r="AK54" s="27"/>
      <c r="AM54" s="36" t="s">
        <v>2225</v>
      </c>
      <c r="AN54" s="28">
        <f>countif(AK2:AK46,"common method increased")</f>
        <v>9</v>
      </c>
    </row>
    <row r="55">
      <c r="AK55" s="27"/>
      <c r="AM55" s="36" t="s">
        <v>2226</v>
      </c>
      <c r="AN55" s="28">
        <f>countif(AK2:AK46,"common method decreased")</f>
        <v>12</v>
      </c>
    </row>
    <row r="56">
      <c r="AK56" s="27"/>
      <c r="AM56" s="36" t="s">
        <v>2227</v>
      </c>
      <c r="AN56" s="36">
        <v>2.0</v>
      </c>
    </row>
    <row r="57">
      <c r="AK57" s="27"/>
      <c r="AN57" s="28">
        <f>sum(AN50:AN55)</f>
        <v>43</v>
      </c>
    </row>
    <row r="58">
      <c r="AK58" s="27"/>
    </row>
    <row r="59">
      <c r="AK59" s="27"/>
    </row>
    <row r="60">
      <c r="AK60" s="27"/>
    </row>
    <row r="61">
      <c r="AK61" s="27"/>
    </row>
    <row r="62">
      <c r="AK62" s="27"/>
    </row>
    <row r="63">
      <c r="AK63" s="27"/>
    </row>
    <row r="64">
      <c r="AK64" s="27"/>
    </row>
    <row r="65">
      <c r="AK65" s="27"/>
    </row>
    <row r="66">
      <c r="AK66" s="27"/>
    </row>
    <row r="67">
      <c r="AK67" s="27"/>
    </row>
    <row r="68">
      <c r="AK68" s="27"/>
    </row>
    <row r="69">
      <c r="AK69" s="27"/>
    </row>
    <row r="70">
      <c r="AK70" s="27"/>
    </row>
    <row r="71">
      <c r="AK71" s="27"/>
    </row>
    <row r="72">
      <c r="AK72" s="27"/>
    </row>
    <row r="73">
      <c r="AK73" s="27"/>
    </row>
    <row r="74">
      <c r="AK74" s="27"/>
    </row>
    <row r="75">
      <c r="AK75" s="27"/>
    </row>
    <row r="76">
      <c r="AK76" s="27"/>
    </row>
    <row r="77">
      <c r="AK77" s="27"/>
    </row>
    <row r="78">
      <c r="AK78" s="27"/>
    </row>
    <row r="79">
      <c r="AK79" s="27"/>
    </row>
    <row r="80">
      <c r="AK80" s="27"/>
    </row>
    <row r="81">
      <c r="AK81" s="27"/>
    </row>
    <row r="82">
      <c r="AK82" s="27"/>
    </row>
    <row r="83">
      <c r="AK83" s="27"/>
    </row>
    <row r="84">
      <c r="AK84" s="27"/>
    </row>
    <row r="85">
      <c r="AK85" s="27"/>
    </row>
    <row r="86">
      <c r="AK86" s="27"/>
    </row>
    <row r="87">
      <c r="AK87" s="27"/>
    </row>
    <row r="88">
      <c r="AK88" s="27"/>
    </row>
    <row r="89">
      <c r="AK89" s="27"/>
    </row>
    <row r="90">
      <c r="AK90" s="27"/>
    </row>
    <row r="91">
      <c r="AK91" s="27"/>
    </row>
    <row r="92">
      <c r="AK92" s="27"/>
    </row>
    <row r="93">
      <c r="AK93" s="27"/>
    </row>
    <row r="94">
      <c r="AK94" s="27"/>
    </row>
    <row r="95">
      <c r="AK95" s="27"/>
    </row>
    <row r="96">
      <c r="AK96" s="27"/>
    </row>
    <row r="97">
      <c r="AK97" s="27"/>
    </row>
    <row r="98">
      <c r="AK98" s="27"/>
    </row>
    <row r="99">
      <c r="AK99" s="27"/>
    </row>
    <row r="100">
      <c r="AK100" s="27"/>
    </row>
    <row r="101">
      <c r="AK101" s="27"/>
    </row>
    <row r="102">
      <c r="AK102" s="27"/>
    </row>
    <row r="103">
      <c r="AK103" s="27"/>
    </row>
    <row r="104">
      <c r="AK104" s="27"/>
    </row>
    <row r="105">
      <c r="AK105" s="27"/>
    </row>
    <row r="106">
      <c r="AK106" s="27"/>
    </row>
    <row r="107">
      <c r="AK107" s="27"/>
    </row>
    <row r="108">
      <c r="AK108" s="27"/>
    </row>
    <row r="109">
      <c r="AK109" s="27"/>
    </row>
    <row r="110">
      <c r="AK110" s="27"/>
    </row>
    <row r="111">
      <c r="AK111" s="27"/>
    </row>
    <row r="112">
      <c r="AK112" s="27"/>
    </row>
    <row r="113">
      <c r="AK113" s="27"/>
    </row>
    <row r="114">
      <c r="AK114" s="27"/>
    </row>
    <row r="115">
      <c r="AK115" s="27"/>
    </row>
    <row r="116">
      <c r="AK116" s="27"/>
    </row>
    <row r="117">
      <c r="AK117" s="27"/>
    </row>
    <row r="118">
      <c r="AK118" s="27"/>
    </row>
    <row r="119">
      <c r="AK119" s="27"/>
    </row>
    <row r="120">
      <c r="AK120" s="27"/>
    </row>
    <row r="121">
      <c r="AK121" s="27"/>
    </row>
    <row r="122">
      <c r="AK122" s="27"/>
    </row>
    <row r="123">
      <c r="AK123" s="27"/>
    </row>
    <row r="124">
      <c r="AK124" s="27"/>
    </row>
    <row r="125">
      <c r="AK125" s="27"/>
    </row>
    <row r="126">
      <c r="AK126" s="27"/>
    </row>
    <row r="127">
      <c r="AK127" s="27"/>
    </row>
    <row r="128">
      <c r="AK128" s="27"/>
    </row>
    <row r="129">
      <c r="AK129" s="27"/>
    </row>
    <row r="130">
      <c r="AK130" s="27"/>
    </row>
    <row r="131">
      <c r="AK131" s="27"/>
    </row>
    <row r="132">
      <c r="AK132" s="27"/>
    </row>
    <row r="133">
      <c r="AK133" s="27"/>
    </row>
    <row r="134">
      <c r="AK134" s="27"/>
    </row>
    <row r="135">
      <c r="AK135" s="27"/>
    </row>
    <row r="136">
      <c r="AK136" s="27"/>
    </row>
    <row r="137">
      <c r="AK137" s="27"/>
    </row>
    <row r="138">
      <c r="AK138" s="27"/>
    </row>
    <row r="139">
      <c r="AK139" s="27"/>
    </row>
    <row r="140">
      <c r="AK140" s="27"/>
    </row>
    <row r="141">
      <c r="AK141" s="27"/>
    </row>
    <row r="142">
      <c r="AK142" s="27"/>
    </row>
    <row r="143">
      <c r="AK143" s="27"/>
    </row>
    <row r="144">
      <c r="AK144" s="27"/>
    </row>
    <row r="145">
      <c r="AK145" s="27"/>
    </row>
    <row r="146">
      <c r="AK146" s="27"/>
    </row>
    <row r="147">
      <c r="AK147" s="27"/>
    </row>
    <row r="148">
      <c r="AK148" s="27"/>
    </row>
    <row r="149">
      <c r="AK149" s="27"/>
    </row>
    <row r="150">
      <c r="AK150" s="27"/>
    </row>
    <row r="151">
      <c r="AK151" s="27"/>
    </row>
    <row r="152">
      <c r="AK152" s="27"/>
    </row>
    <row r="153">
      <c r="AK153" s="27"/>
    </row>
    <row r="154">
      <c r="AK154" s="27"/>
    </row>
    <row r="155">
      <c r="AK155" s="27"/>
    </row>
    <row r="156">
      <c r="AK156" s="27"/>
    </row>
    <row r="157">
      <c r="AK157" s="27"/>
    </row>
    <row r="158">
      <c r="AK158" s="27"/>
    </row>
    <row r="159">
      <c r="AK159" s="27"/>
    </row>
    <row r="160">
      <c r="AK160" s="27"/>
    </row>
    <row r="161">
      <c r="AK161" s="27"/>
    </row>
    <row r="162">
      <c r="AK162" s="27"/>
    </row>
    <row r="163">
      <c r="AK163" s="27"/>
    </row>
    <row r="164">
      <c r="AK164" s="27"/>
    </row>
    <row r="165">
      <c r="AK165" s="27"/>
    </row>
    <row r="166">
      <c r="AK166" s="27"/>
    </row>
    <row r="167">
      <c r="AK167" s="27"/>
    </row>
    <row r="168">
      <c r="AK168" s="27"/>
    </row>
    <row r="169">
      <c r="AK169" s="27"/>
    </row>
    <row r="170">
      <c r="AK170" s="27"/>
    </row>
    <row r="171">
      <c r="AK171" s="27"/>
    </row>
    <row r="172">
      <c r="AK172" s="27"/>
    </row>
    <row r="173">
      <c r="AK173" s="27"/>
    </row>
    <row r="174">
      <c r="AK174" s="27"/>
    </row>
    <row r="175">
      <c r="AK175" s="27"/>
    </row>
    <row r="176">
      <c r="AK176" s="27"/>
    </row>
    <row r="177">
      <c r="AK177" s="27"/>
    </row>
    <row r="178">
      <c r="AK178" s="27"/>
    </row>
    <row r="179">
      <c r="AK179" s="27"/>
    </row>
    <row r="180">
      <c r="AK180" s="27"/>
    </row>
    <row r="181">
      <c r="AK181" s="27"/>
    </row>
    <row r="182">
      <c r="AK182" s="27"/>
    </row>
    <row r="183">
      <c r="AK183" s="27"/>
    </row>
    <row r="184">
      <c r="AK184" s="27"/>
    </row>
    <row r="185">
      <c r="AK185" s="27"/>
    </row>
    <row r="186">
      <c r="AK186" s="27"/>
    </row>
    <row r="187">
      <c r="AK187" s="27"/>
    </row>
    <row r="188">
      <c r="AK188" s="27"/>
    </row>
    <row r="189">
      <c r="AK189" s="27"/>
    </row>
    <row r="190">
      <c r="AK190" s="27"/>
    </row>
    <row r="191">
      <c r="AK191" s="27"/>
    </row>
    <row r="192">
      <c r="AK192" s="27"/>
    </row>
    <row r="193">
      <c r="AK193" s="27"/>
    </row>
    <row r="194">
      <c r="AK194" s="27"/>
    </row>
    <row r="195">
      <c r="AK195" s="27"/>
    </row>
    <row r="196">
      <c r="AK196" s="27"/>
    </row>
    <row r="197">
      <c r="AK197" s="27"/>
    </row>
    <row r="198">
      <c r="AK198" s="27"/>
    </row>
    <row r="199">
      <c r="AK199" s="27"/>
    </row>
    <row r="200">
      <c r="AK200" s="27"/>
    </row>
    <row r="201">
      <c r="AK201" s="27"/>
    </row>
    <row r="202">
      <c r="AK202" s="27"/>
    </row>
    <row r="203">
      <c r="AK203" s="27"/>
    </row>
    <row r="204">
      <c r="AK204" s="27"/>
    </row>
    <row r="205">
      <c r="AK205" s="27"/>
    </row>
    <row r="206">
      <c r="AK206" s="27"/>
    </row>
    <row r="207">
      <c r="AK207" s="27"/>
    </row>
    <row r="208">
      <c r="AK208" s="27"/>
    </row>
    <row r="209">
      <c r="AK209" s="27"/>
    </row>
    <row r="210">
      <c r="AK210" s="27"/>
    </row>
    <row r="211">
      <c r="AK211" s="27"/>
    </row>
    <row r="212">
      <c r="AK212" s="27"/>
    </row>
    <row r="213">
      <c r="AK213" s="27"/>
    </row>
    <row r="214">
      <c r="AK214" s="27"/>
    </row>
    <row r="215">
      <c r="AK215" s="27"/>
    </row>
    <row r="216">
      <c r="AK216" s="27"/>
    </row>
    <row r="217">
      <c r="AK217" s="27"/>
    </row>
    <row r="218">
      <c r="AK218" s="27"/>
    </row>
    <row r="219">
      <c r="AK219" s="27"/>
    </row>
    <row r="220">
      <c r="AK220" s="27"/>
    </row>
    <row r="221">
      <c r="AK221" s="27"/>
    </row>
    <row r="222">
      <c r="AK222" s="27"/>
    </row>
    <row r="223">
      <c r="AK223" s="27"/>
    </row>
    <row r="224">
      <c r="AK224" s="27"/>
    </row>
    <row r="225">
      <c r="AK225" s="27"/>
    </row>
    <row r="226">
      <c r="AK226" s="27"/>
    </row>
    <row r="227">
      <c r="AK227" s="27"/>
    </row>
    <row r="228">
      <c r="AK228" s="27"/>
    </row>
    <row r="229">
      <c r="AK229" s="27"/>
    </row>
    <row r="230">
      <c r="AK230" s="27"/>
    </row>
    <row r="231">
      <c r="AK231" s="27"/>
    </row>
    <row r="232">
      <c r="AK232" s="27"/>
    </row>
    <row r="233">
      <c r="AK233" s="27"/>
    </row>
    <row r="234">
      <c r="AK234" s="27"/>
    </row>
    <row r="235">
      <c r="AK235" s="27"/>
    </row>
    <row r="236">
      <c r="AK236" s="27"/>
    </row>
    <row r="237">
      <c r="AK237" s="27"/>
    </row>
    <row r="238">
      <c r="AK238" s="27"/>
    </row>
    <row r="239">
      <c r="AK239" s="27"/>
    </row>
    <row r="240">
      <c r="AK240" s="27"/>
    </row>
    <row r="241">
      <c r="AK241" s="27"/>
    </row>
    <row r="242">
      <c r="AK242" s="27"/>
    </row>
    <row r="243">
      <c r="AK243" s="27"/>
    </row>
    <row r="244">
      <c r="AK244" s="27"/>
    </row>
    <row r="245">
      <c r="AK245" s="27"/>
    </row>
    <row r="246">
      <c r="AK246" s="27"/>
    </row>
    <row r="247">
      <c r="AK247" s="27"/>
    </row>
    <row r="248">
      <c r="AK248" s="27"/>
    </row>
    <row r="249">
      <c r="AK249" s="27"/>
    </row>
    <row r="250">
      <c r="AK250" s="27"/>
    </row>
    <row r="251">
      <c r="AK251" s="27"/>
    </row>
    <row r="252">
      <c r="AK252" s="27"/>
    </row>
    <row r="253">
      <c r="AK253" s="27"/>
    </row>
    <row r="254">
      <c r="AK254" s="27"/>
    </row>
    <row r="255">
      <c r="AK255" s="27"/>
    </row>
    <row r="256">
      <c r="AK256" s="27"/>
    </row>
    <row r="257">
      <c r="AK257" s="27"/>
    </row>
    <row r="258">
      <c r="AK258" s="27"/>
    </row>
    <row r="259">
      <c r="AK259" s="27"/>
    </row>
    <row r="260">
      <c r="AK260" s="27"/>
    </row>
    <row r="261">
      <c r="AK261" s="27"/>
    </row>
    <row r="262">
      <c r="AK262" s="27"/>
    </row>
    <row r="263">
      <c r="AK263" s="27"/>
    </row>
    <row r="264">
      <c r="AK264" s="27"/>
    </row>
    <row r="265">
      <c r="AK265" s="27"/>
    </row>
    <row r="266">
      <c r="AK266" s="27"/>
    </row>
    <row r="267">
      <c r="AK267" s="27"/>
    </row>
    <row r="268">
      <c r="AK268" s="27"/>
    </row>
    <row r="269">
      <c r="AK269" s="27"/>
    </row>
    <row r="270">
      <c r="AK270" s="27"/>
    </row>
    <row r="271">
      <c r="AK271" s="27"/>
    </row>
    <row r="272">
      <c r="AK272" s="27"/>
    </row>
    <row r="273">
      <c r="AK273" s="27"/>
    </row>
    <row r="274">
      <c r="AK274" s="27"/>
    </row>
    <row r="275">
      <c r="AK275" s="27"/>
    </row>
    <row r="276">
      <c r="AK276" s="27"/>
    </row>
    <row r="277">
      <c r="AK277" s="27"/>
    </row>
    <row r="278">
      <c r="AK278" s="27"/>
    </row>
    <row r="279">
      <c r="AK279" s="27"/>
    </row>
    <row r="280">
      <c r="AK280" s="27"/>
    </row>
    <row r="281">
      <c r="AK281" s="27"/>
    </row>
    <row r="282">
      <c r="AK282" s="27"/>
    </row>
    <row r="283">
      <c r="AK283" s="27"/>
    </row>
    <row r="284">
      <c r="AK284" s="27"/>
    </row>
    <row r="285">
      <c r="AK285" s="27"/>
    </row>
    <row r="286">
      <c r="AK286" s="27"/>
    </row>
    <row r="287">
      <c r="AK287" s="27"/>
    </row>
    <row r="288">
      <c r="AK288" s="27"/>
    </row>
    <row r="289">
      <c r="AK289" s="27"/>
    </row>
    <row r="290">
      <c r="AK290" s="27"/>
    </row>
    <row r="291">
      <c r="AK291" s="27"/>
    </row>
    <row r="292">
      <c r="AK292" s="27"/>
    </row>
    <row r="293">
      <c r="AK293" s="27"/>
    </row>
    <row r="294">
      <c r="AK294" s="27"/>
    </row>
    <row r="295">
      <c r="AK295" s="27"/>
    </row>
    <row r="296">
      <c r="AK296" s="27"/>
    </row>
    <row r="297">
      <c r="AK297" s="27"/>
    </row>
    <row r="298">
      <c r="AK298" s="27"/>
    </row>
    <row r="299">
      <c r="AK299" s="27"/>
    </row>
    <row r="300">
      <c r="AK300" s="27"/>
    </row>
    <row r="301">
      <c r="AK301" s="27"/>
    </row>
    <row r="302">
      <c r="AK302" s="27"/>
    </row>
    <row r="303">
      <c r="AK303" s="27"/>
    </row>
    <row r="304">
      <c r="AK304" s="27"/>
    </row>
    <row r="305">
      <c r="AK305" s="27"/>
    </row>
    <row r="306">
      <c r="AK306" s="27"/>
    </row>
    <row r="307">
      <c r="AK307" s="27"/>
    </row>
    <row r="308">
      <c r="AK308" s="27"/>
    </row>
    <row r="309">
      <c r="AK309" s="27"/>
    </row>
    <row r="310">
      <c r="AK310" s="27"/>
    </row>
    <row r="311">
      <c r="AK311" s="27"/>
    </row>
    <row r="312">
      <c r="AK312" s="27"/>
    </row>
    <row r="313">
      <c r="AK313" s="27"/>
    </row>
    <row r="314">
      <c r="AK314" s="27"/>
    </row>
    <row r="315">
      <c r="AK315" s="27"/>
    </row>
    <row r="316">
      <c r="AK316" s="27"/>
    </row>
    <row r="317">
      <c r="AK317" s="27"/>
    </row>
    <row r="318">
      <c r="AK318" s="27"/>
    </row>
    <row r="319">
      <c r="AK319" s="27"/>
    </row>
    <row r="320">
      <c r="AK320" s="27"/>
    </row>
    <row r="321">
      <c r="AK321" s="27"/>
    </row>
    <row r="322">
      <c r="AK322" s="27"/>
    </row>
    <row r="323">
      <c r="AK323" s="27"/>
    </row>
    <row r="324">
      <c r="AK324" s="27"/>
    </row>
    <row r="325">
      <c r="AK325" s="27"/>
    </row>
    <row r="326">
      <c r="AK326" s="27"/>
    </row>
    <row r="327">
      <c r="AK327" s="27"/>
    </row>
    <row r="328">
      <c r="AK328" s="27"/>
    </row>
    <row r="329">
      <c r="AK329" s="27"/>
    </row>
    <row r="330">
      <c r="AK330" s="27"/>
    </row>
    <row r="331">
      <c r="AK331" s="27"/>
    </row>
    <row r="332">
      <c r="AK332" s="27"/>
    </row>
    <row r="333">
      <c r="AK333" s="27"/>
    </row>
    <row r="334">
      <c r="AK334" s="27"/>
    </row>
    <row r="335">
      <c r="AK335" s="27"/>
    </row>
    <row r="336">
      <c r="AK336" s="27"/>
    </row>
    <row r="337">
      <c r="AK337" s="27"/>
    </row>
    <row r="338">
      <c r="AK338" s="27"/>
    </row>
    <row r="339">
      <c r="AK339" s="27"/>
    </row>
    <row r="340">
      <c r="AK340" s="27"/>
    </row>
    <row r="341">
      <c r="AK341" s="27"/>
    </row>
    <row r="342">
      <c r="AK342" s="27"/>
    </row>
    <row r="343">
      <c r="AK343" s="27"/>
    </row>
    <row r="344">
      <c r="AK344" s="27"/>
    </row>
    <row r="345">
      <c r="AK345" s="27"/>
    </row>
    <row r="346">
      <c r="AK346" s="27"/>
    </row>
    <row r="347">
      <c r="AK347" s="27"/>
    </row>
    <row r="348">
      <c r="AK348" s="27"/>
    </row>
    <row r="349">
      <c r="AK349" s="27"/>
    </row>
    <row r="350">
      <c r="AK350" s="27"/>
    </row>
    <row r="351">
      <c r="AK351" s="27"/>
    </row>
    <row r="352">
      <c r="AK352" s="27"/>
    </row>
    <row r="353">
      <c r="AK353" s="27"/>
    </row>
    <row r="354">
      <c r="AK354" s="27"/>
    </row>
    <row r="355">
      <c r="AK355" s="27"/>
    </row>
    <row r="356">
      <c r="AK356" s="27"/>
    </row>
    <row r="357">
      <c r="AK357" s="27"/>
    </row>
    <row r="358">
      <c r="AK358" s="27"/>
    </row>
    <row r="359">
      <c r="AK359" s="27"/>
    </row>
    <row r="360">
      <c r="AK360" s="27"/>
    </row>
    <row r="361">
      <c r="AK361" s="27"/>
    </row>
    <row r="362">
      <c r="AK362" s="27"/>
    </row>
    <row r="363">
      <c r="AK363" s="27"/>
    </row>
    <row r="364">
      <c r="AK364" s="27"/>
    </row>
    <row r="365">
      <c r="AK365" s="27"/>
    </row>
    <row r="366">
      <c r="AK366" s="27"/>
    </row>
    <row r="367">
      <c r="AK367" s="27"/>
    </row>
    <row r="368">
      <c r="AK368" s="27"/>
    </row>
    <row r="369">
      <c r="AK369" s="27"/>
    </row>
    <row r="370">
      <c r="AK370" s="27"/>
    </row>
    <row r="371">
      <c r="AK371" s="27"/>
    </row>
    <row r="372">
      <c r="AK372" s="27"/>
    </row>
    <row r="373">
      <c r="AK373" s="27"/>
    </row>
    <row r="374">
      <c r="AK374" s="27"/>
    </row>
    <row r="375">
      <c r="AK375" s="27"/>
    </row>
    <row r="376">
      <c r="AK376" s="27"/>
    </row>
    <row r="377">
      <c r="AK377" s="27"/>
    </row>
    <row r="378">
      <c r="AK378" s="27"/>
    </row>
    <row r="379">
      <c r="AK379" s="27"/>
    </row>
    <row r="380">
      <c r="AK380" s="27"/>
    </row>
    <row r="381">
      <c r="AK381" s="27"/>
    </row>
    <row r="382">
      <c r="AK382" s="27"/>
    </row>
    <row r="383">
      <c r="AK383" s="27"/>
    </row>
    <row r="384">
      <c r="AK384" s="27"/>
    </row>
    <row r="385">
      <c r="AK385" s="27"/>
    </row>
    <row r="386">
      <c r="AK386" s="27"/>
    </row>
    <row r="387">
      <c r="AK387" s="27"/>
    </row>
    <row r="388">
      <c r="AK388" s="27"/>
    </row>
    <row r="389">
      <c r="AK389" s="27"/>
    </row>
    <row r="390">
      <c r="AK390" s="27"/>
    </row>
    <row r="391">
      <c r="AK391" s="27"/>
    </row>
    <row r="392">
      <c r="AK392" s="27"/>
    </row>
    <row r="393">
      <c r="AK393" s="27"/>
    </row>
    <row r="394">
      <c r="AK394" s="27"/>
    </row>
    <row r="395">
      <c r="AK395" s="27"/>
    </row>
    <row r="396">
      <c r="AK396" s="27"/>
    </row>
    <row r="397">
      <c r="AK397" s="27"/>
    </row>
    <row r="398">
      <c r="AK398" s="27"/>
    </row>
    <row r="399">
      <c r="AK399" s="27"/>
    </row>
    <row r="400">
      <c r="AK400" s="27"/>
    </row>
    <row r="401">
      <c r="AK401" s="27"/>
    </row>
    <row r="402">
      <c r="AK402" s="27"/>
    </row>
    <row r="403">
      <c r="AK403" s="27"/>
    </row>
    <row r="404">
      <c r="AK404" s="27"/>
    </row>
    <row r="405">
      <c r="AK405" s="27"/>
    </row>
    <row r="406">
      <c r="AK406" s="27"/>
    </row>
    <row r="407">
      <c r="AK407" s="27"/>
    </row>
    <row r="408">
      <c r="AK408" s="27"/>
    </row>
    <row r="409">
      <c r="AK409" s="27"/>
    </row>
    <row r="410">
      <c r="AK410" s="27"/>
    </row>
    <row r="411">
      <c r="AK411" s="27"/>
    </row>
    <row r="412">
      <c r="AK412" s="27"/>
    </row>
    <row r="413">
      <c r="AK413" s="27"/>
    </row>
    <row r="414">
      <c r="AK414" s="27"/>
    </row>
    <row r="415">
      <c r="AK415" s="27"/>
    </row>
    <row r="416">
      <c r="AK416" s="27"/>
    </row>
    <row r="417">
      <c r="AK417" s="27"/>
    </row>
    <row r="418">
      <c r="AK418" s="27"/>
    </row>
    <row r="419">
      <c r="AK419" s="27"/>
    </row>
    <row r="420">
      <c r="AK420" s="27"/>
    </row>
    <row r="421">
      <c r="AK421" s="27"/>
    </row>
    <row r="422">
      <c r="AK422" s="27"/>
    </row>
    <row r="423">
      <c r="AK423" s="27"/>
    </row>
    <row r="424">
      <c r="AK424" s="27"/>
    </row>
    <row r="425">
      <c r="AK425" s="27"/>
    </row>
    <row r="426">
      <c r="AK426" s="27"/>
    </row>
    <row r="427">
      <c r="AK427" s="27"/>
    </row>
    <row r="428">
      <c r="AK428" s="27"/>
    </row>
    <row r="429">
      <c r="AK429" s="27"/>
    </row>
    <row r="430">
      <c r="AK430" s="27"/>
    </row>
    <row r="431">
      <c r="AK431" s="27"/>
    </row>
    <row r="432">
      <c r="AK432" s="27"/>
    </row>
    <row r="433">
      <c r="AK433" s="27"/>
    </row>
    <row r="434">
      <c r="AK434" s="27"/>
    </row>
    <row r="435">
      <c r="AK435" s="27"/>
    </row>
    <row r="436">
      <c r="AK436" s="27"/>
    </row>
    <row r="437">
      <c r="AK437" s="27"/>
    </row>
    <row r="438">
      <c r="AK438" s="27"/>
    </row>
    <row r="439">
      <c r="AK439" s="27"/>
    </row>
    <row r="440">
      <c r="AK440" s="27"/>
    </row>
    <row r="441">
      <c r="AK441" s="27"/>
    </row>
    <row r="442">
      <c r="AK442" s="27"/>
    </row>
    <row r="443">
      <c r="AK443" s="27"/>
    </row>
    <row r="444">
      <c r="AK444" s="27"/>
    </row>
    <row r="445">
      <c r="AK445" s="27"/>
    </row>
    <row r="446">
      <c r="AK446" s="27"/>
    </row>
    <row r="447">
      <c r="AK447" s="27"/>
    </row>
    <row r="448">
      <c r="AK448" s="27"/>
    </row>
    <row r="449">
      <c r="AK449" s="27"/>
    </row>
    <row r="450">
      <c r="AK450" s="27"/>
    </row>
    <row r="451">
      <c r="AK451" s="27"/>
    </row>
    <row r="452">
      <c r="AK452" s="27"/>
    </row>
    <row r="453">
      <c r="AK453" s="27"/>
    </row>
    <row r="454">
      <c r="AK454" s="27"/>
    </row>
    <row r="455">
      <c r="AK455" s="27"/>
    </row>
    <row r="456">
      <c r="AK456" s="27"/>
    </row>
    <row r="457">
      <c r="AK457" s="27"/>
    </row>
    <row r="458">
      <c r="AK458" s="27"/>
    </row>
    <row r="459">
      <c r="AK459" s="27"/>
    </row>
    <row r="460">
      <c r="AK460" s="27"/>
    </row>
    <row r="461">
      <c r="AK461" s="27"/>
    </row>
    <row r="462">
      <c r="AK462" s="27"/>
    </row>
    <row r="463">
      <c r="AK463" s="27"/>
    </row>
    <row r="464">
      <c r="AK464" s="27"/>
    </row>
    <row r="465">
      <c r="AK465" s="27"/>
    </row>
    <row r="466">
      <c r="AK466" s="27"/>
    </row>
    <row r="467">
      <c r="AK467" s="27"/>
    </row>
    <row r="468">
      <c r="AK468" s="27"/>
    </row>
    <row r="469">
      <c r="AK469" s="27"/>
    </row>
    <row r="470">
      <c r="AK470" s="27"/>
    </row>
    <row r="471">
      <c r="AK471" s="27"/>
    </row>
    <row r="472">
      <c r="AK472" s="27"/>
    </row>
    <row r="473">
      <c r="AK473" s="27"/>
    </row>
    <row r="474">
      <c r="AK474" s="27"/>
    </row>
    <row r="475">
      <c r="AK475" s="27"/>
    </row>
    <row r="476">
      <c r="AK476" s="27"/>
    </row>
    <row r="477">
      <c r="AK477" s="27"/>
    </row>
    <row r="478">
      <c r="AK478" s="27"/>
    </row>
    <row r="479">
      <c r="AK479" s="27"/>
    </row>
    <row r="480">
      <c r="AK480" s="27"/>
    </row>
    <row r="481">
      <c r="AK481" s="27"/>
    </row>
    <row r="482">
      <c r="AK482" s="27"/>
    </row>
    <row r="483">
      <c r="AK483" s="27"/>
    </row>
    <row r="484">
      <c r="AK484" s="27"/>
    </row>
    <row r="485">
      <c r="AK485" s="27"/>
    </row>
    <row r="486">
      <c r="AK486" s="27"/>
    </row>
    <row r="487">
      <c r="AK487" s="27"/>
    </row>
    <row r="488">
      <c r="AK488" s="27"/>
    </row>
    <row r="489">
      <c r="AK489" s="27"/>
    </row>
    <row r="490">
      <c r="AK490" s="27"/>
    </row>
    <row r="491">
      <c r="AK491" s="27"/>
    </row>
    <row r="492">
      <c r="AK492" s="27"/>
    </row>
    <row r="493">
      <c r="AK493" s="27"/>
    </row>
    <row r="494">
      <c r="AK494" s="27"/>
    </row>
    <row r="495">
      <c r="AK495" s="27"/>
    </row>
    <row r="496">
      <c r="AK496" s="27"/>
    </row>
    <row r="497">
      <c r="AK497" s="27"/>
    </row>
    <row r="498">
      <c r="AK498" s="27"/>
    </row>
    <row r="499">
      <c r="AK499" s="27"/>
    </row>
    <row r="500">
      <c r="AK500" s="27"/>
    </row>
    <row r="501">
      <c r="AK501" s="27"/>
    </row>
    <row r="502">
      <c r="AK502" s="27"/>
    </row>
    <row r="503">
      <c r="AK503" s="27"/>
    </row>
    <row r="504">
      <c r="AK504" s="27"/>
    </row>
    <row r="505">
      <c r="AK505" s="27"/>
    </row>
    <row r="506">
      <c r="AK506" s="27"/>
    </row>
    <row r="507">
      <c r="AK507" s="27"/>
    </row>
    <row r="508">
      <c r="AK508" s="27"/>
    </row>
    <row r="509">
      <c r="AK509" s="27"/>
    </row>
    <row r="510">
      <c r="AK510" s="27"/>
    </row>
    <row r="511">
      <c r="AK511" s="27"/>
    </row>
    <row r="512">
      <c r="AK512" s="27"/>
    </row>
    <row r="513">
      <c r="AK513" s="27"/>
    </row>
    <row r="514">
      <c r="AK514" s="27"/>
    </row>
    <row r="515">
      <c r="AK515" s="27"/>
    </row>
    <row r="516">
      <c r="AK516" s="27"/>
    </row>
    <row r="517">
      <c r="AK517" s="27"/>
    </row>
    <row r="518">
      <c r="AK518" s="27"/>
    </row>
    <row r="519">
      <c r="AK519" s="27"/>
    </row>
    <row r="520">
      <c r="AK520" s="27"/>
    </row>
    <row r="521">
      <c r="AK521" s="27"/>
    </row>
    <row r="522">
      <c r="AK522" s="27"/>
    </row>
    <row r="523">
      <c r="AK523" s="27"/>
    </row>
    <row r="524">
      <c r="AK524" s="27"/>
    </row>
    <row r="525">
      <c r="AK525" s="27"/>
    </row>
    <row r="526">
      <c r="AK526" s="27"/>
    </row>
    <row r="527">
      <c r="AK527" s="27"/>
    </row>
    <row r="528">
      <c r="AK528" s="27"/>
    </row>
    <row r="529">
      <c r="AK529" s="27"/>
    </row>
    <row r="530">
      <c r="AK530" s="27"/>
    </row>
    <row r="531">
      <c r="AK531" s="27"/>
    </row>
    <row r="532">
      <c r="AK532" s="27"/>
    </row>
    <row r="533">
      <c r="AK533" s="27"/>
    </row>
    <row r="534">
      <c r="AK534" s="27"/>
    </row>
    <row r="535">
      <c r="AK535" s="27"/>
    </row>
    <row r="536">
      <c r="AK536" s="27"/>
    </row>
    <row r="537">
      <c r="AK537" s="27"/>
    </row>
    <row r="538">
      <c r="AK538" s="27"/>
    </row>
    <row r="539">
      <c r="AK539" s="27"/>
    </row>
    <row r="540">
      <c r="AK540" s="27"/>
    </row>
    <row r="541">
      <c r="AK541" s="27"/>
    </row>
    <row r="542">
      <c r="AK542" s="27"/>
    </row>
    <row r="543">
      <c r="AK543" s="27"/>
    </row>
    <row r="544">
      <c r="AK544" s="27"/>
    </row>
    <row r="545">
      <c r="AK545" s="27"/>
    </row>
    <row r="546">
      <c r="AK546" s="27"/>
    </row>
    <row r="547">
      <c r="AK547" s="27"/>
    </row>
    <row r="548">
      <c r="AK548" s="27"/>
    </row>
    <row r="549">
      <c r="AK549" s="27"/>
    </row>
    <row r="550">
      <c r="AK550" s="27"/>
    </row>
    <row r="551">
      <c r="AK551" s="27"/>
    </row>
    <row r="552">
      <c r="AK552" s="27"/>
    </row>
    <row r="553">
      <c r="AK553" s="27"/>
    </row>
    <row r="554">
      <c r="AK554" s="27"/>
    </row>
    <row r="555">
      <c r="AK555" s="27"/>
    </row>
    <row r="556">
      <c r="AK556" s="27"/>
    </row>
    <row r="557">
      <c r="AK557" s="27"/>
    </row>
    <row r="558">
      <c r="AK558" s="27"/>
    </row>
    <row r="559">
      <c r="AK559" s="27"/>
    </row>
    <row r="560">
      <c r="AK560" s="27"/>
    </row>
    <row r="561">
      <c r="AK561" s="27"/>
    </row>
    <row r="562">
      <c r="AK562" s="27"/>
    </row>
    <row r="563">
      <c r="AK563" s="27"/>
    </row>
    <row r="564">
      <c r="AK564" s="27"/>
    </row>
    <row r="565">
      <c r="AK565" s="27"/>
    </row>
    <row r="566">
      <c r="AK566" s="27"/>
    </row>
    <row r="567">
      <c r="AK567" s="27"/>
    </row>
    <row r="568">
      <c r="AK568" s="27"/>
    </row>
    <row r="569">
      <c r="AK569" s="27"/>
    </row>
    <row r="570">
      <c r="AK570" s="27"/>
    </row>
    <row r="571">
      <c r="AK571" s="27"/>
    </row>
    <row r="572">
      <c r="AK572" s="27"/>
    </row>
    <row r="573">
      <c r="AK573" s="27"/>
    </row>
    <row r="574">
      <c r="AK574" s="27"/>
    </row>
    <row r="575">
      <c r="AK575" s="27"/>
    </row>
    <row r="576">
      <c r="AK576" s="27"/>
    </row>
    <row r="577">
      <c r="AK577" s="27"/>
    </row>
    <row r="578">
      <c r="AK578" s="27"/>
    </row>
    <row r="579">
      <c r="AK579" s="27"/>
    </row>
    <row r="580">
      <c r="AK580" s="27"/>
    </row>
    <row r="581">
      <c r="AK581" s="27"/>
    </row>
    <row r="582">
      <c r="AK582" s="27"/>
    </row>
    <row r="583">
      <c r="AK583" s="27"/>
    </row>
    <row r="584">
      <c r="AK584" s="27"/>
    </row>
    <row r="585">
      <c r="AK585" s="27"/>
    </row>
    <row r="586">
      <c r="AK586" s="27"/>
    </row>
    <row r="587">
      <c r="AK587" s="27"/>
    </row>
    <row r="588">
      <c r="AK588" s="27"/>
    </row>
    <row r="589">
      <c r="AK589" s="27"/>
    </row>
    <row r="590">
      <c r="AK590" s="27"/>
    </row>
    <row r="591">
      <c r="AK591" s="27"/>
    </row>
    <row r="592">
      <c r="AK592" s="27"/>
    </row>
    <row r="593">
      <c r="AK593" s="27"/>
    </row>
    <row r="594">
      <c r="AK594" s="27"/>
    </row>
    <row r="595">
      <c r="AK595" s="27"/>
    </row>
    <row r="596">
      <c r="AK596" s="27"/>
    </row>
    <row r="597">
      <c r="AK597" s="27"/>
    </row>
    <row r="598">
      <c r="AK598" s="27"/>
    </row>
    <row r="599">
      <c r="AK599" s="27"/>
    </row>
    <row r="600">
      <c r="AK600" s="27"/>
    </row>
    <row r="601">
      <c r="AK601" s="27"/>
    </row>
    <row r="602">
      <c r="AK602" s="27"/>
    </row>
    <row r="603">
      <c r="AK603" s="27"/>
    </row>
    <row r="604">
      <c r="AK604" s="27"/>
    </row>
    <row r="605">
      <c r="AK605" s="27"/>
    </row>
    <row r="606">
      <c r="AK606" s="27"/>
    </row>
    <row r="607">
      <c r="AK607" s="27"/>
    </row>
    <row r="608">
      <c r="AK608" s="27"/>
    </row>
    <row r="609">
      <c r="AK609" s="27"/>
    </row>
    <row r="610">
      <c r="AK610" s="27"/>
    </row>
    <row r="611">
      <c r="AK611" s="27"/>
    </row>
    <row r="612">
      <c r="AK612" s="27"/>
    </row>
    <row r="613">
      <c r="AK613" s="27"/>
    </row>
    <row r="614">
      <c r="AK614" s="27"/>
    </row>
    <row r="615">
      <c r="AK615" s="27"/>
    </row>
    <row r="616">
      <c r="AK616" s="27"/>
    </row>
    <row r="617">
      <c r="AK617" s="27"/>
    </row>
    <row r="618">
      <c r="AK618" s="27"/>
    </row>
    <row r="619">
      <c r="AK619" s="27"/>
    </row>
    <row r="620">
      <c r="AK620" s="27"/>
    </row>
    <row r="621">
      <c r="AK621" s="27"/>
    </row>
    <row r="622">
      <c r="AK622" s="27"/>
    </row>
    <row r="623">
      <c r="AK623" s="27"/>
    </row>
    <row r="624">
      <c r="AK624" s="27"/>
    </row>
    <row r="625">
      <c r="AK625" s="27"/>
    </row>
    <row r="626">
      <c r="AK626" s="27"/>
    </row>
    <row r="627">
      <c r="AK627" s="27"/>
    </row>
    <row r="628">
      <c r="AK628" s="27"/>
    </row>
    <row r="629">
      <c r="AK629" s="27"/>
    </row>
    <row r="630">
      <c r="AK630" s="27"/>
    </row>
    <row r="631">
      <c r="AK631" s="27"/>
    </row>
    <row r="632">
      <c r="AK632" s="27"/>
    </row>
    <row r="633">
      <c r="AK633" s="27"/>
    </row>
    <row r="634">
      <c r="AK634" s="27"/>
    </row>
    <row r="635">
      <c r="AK635" s="27"/>
    </row>
    <row r="636">
      <c r="AK636" s="27"/>
    </row>
    <row r="637">
      <c r="AK637" s="27"/>
    </row>
    <row r="638">
      <c r="AK638" s="27"/>
    </row>
    <row r="639">
      <c r="AK639" s="27"/>
    </row>
    <row r="640">
      <c r="AK640" s="27"/>
    </row>
    <row r="641">
      <c r="AK641" s="27"/>
    </row>
    <row r="642">
      <c r="AK642" s="27"/>
    </row>
    <row r="643">
      <c r="AK643" s="27"/>
    </row>
    <row r="644">
      <c r="AK644" s="27"/>
    </row>
    <row r="645">
      <c r="AK645" s="27"/>
    </row>
    <row r="646">
      <c r="AK646" s="27"/>
    </row>
    <row r="647">
      <c r="AK647" s="27"/>
    </row>
    <row r="648">
      <c r="AK648" s="27"/>
    </row>
    <row r="649">
      <c r="AK649" s="27"/>
    </row>
    <row r="650">
      <c r="AK650" s="27"/>
    </row>
    <row r="651">
      <c r="AK651" s="27"/>
    </row>
    <row r="652">
      <c r="AK652" s="27"/>
    </row>
    <row r="653">
      <c r="AK653" s="27"/>
    </row>
    <row r="654">
      <c r="AK654" s="27"/>
    </row>
    <row r="655">
      <c r="AK655" s="27"/>
    </row>
    <row r="656">
      <c r="AK656" s="27"/>
    </row>
    <row r="657">
      <c r="AK657" s="27"/>
    </row>
    <row r="658">
      <c r="AK658" s="27"/>
    </row>
    <row r="659">
      <c r="AK659" s="27"/>
    </row>
    <row r="660">
      <c r="AK660" s="27"/>
    </row>
    <row r="661">
      <c r="AK661" s="27"/>
    </row>
    <row r="662">
      <c r="AK662" s="27"/>
    </row>
    <row r="663">
      <c r="AK663" s="27"/>
    </row>
    <row r="664">
      <c r="AK664" s="27"/>
    </row>
    <row r="665">
      <c r="AK665" s="27"/>
    </row>
    <row r="666">
      <c r="AK666" s="27"/>
    </row>
    <row r="667">
      <c r="AK667" s="27"/>
    </row>
    <row r="668">
      <c r="AK668" s="27"/>
    </row>
    <row r="669">
      <c r="AK669" s="27"/>
    </row>
    <row r="670">
      <c r="AK670" s="27"/>
    </row>
    <row r="671">
      <c r="AK671" s="27"/>
    </row>
    <row r="672">
      <c r="AK672" s="27"/>
    </row>
    <row r="673">
      <c r="AK673" s="27"/>
    </row>
    <row r="674">
      <c r="AK674" s="27"/>
    </row>
    <row r="675">
      <c r="AK675" s="27"/>
    </row>
    <row r="676">
      <c r="AK676" s="27"/>
    </row>
    <row r="677">
      <c r="AK677" s="27"/>
    </row>
    <row r="678">
      <c r="AK678" s="27"/>
    </row>
    <row r="679">
      <c r="AK679" s="27"/>
    </row>
    <row r="680">
      <c r="AK680" s="27"/>
    </row>
    <row r="681">
      <c r="AK681" s="27"/>
    </row>
    <row r="682">
      <c r="AK682" s="27"/>
    </row>
    <row r="683">
      <c r="AK683" s="27"/>
    </row>
    <row r="684">
      <c r="AK684" s="27"/>
    </row>
    <row r="685">
      <c r="AK685" s="27"/>
    </row>
    <row r="686">
      <c r="AK686" s="27"/>
    </row>
    <row r="687">
      <c r="AK687" s="27"/>
    </row>
    <row r="688">
      <c r="AK688" s="27"/>
    </row>
    <row r="689">
      <c r="AK689" s="27"/>
    </row>
    <row r="690">
      <c r="AK690" s="27"/>
    </row>
    <row r="691">
      <c r="AK691" s="27"/>
    </row>
    <row r="692">
      <c r="AK692" s="27"/>
    </row>
    <row r="693">
      <c r="AK693" s="27"/>
    </row>
    <row r="694">
      <c r="AK694" s="27"/>
    </row>
    <row r="695">
      <c r="AK695" s="27"/>
    </row>
    <row r="696">
      <c r="AK696" s="27"/>
    </row>
    <row r="697">
      <c r="AK697" s="27"/>
    </row>
    <row r="698">
      <c r="AK698" s="27"/>
    </row>
    <row r="699">
      <c r="AK699" s="27"/>
    </row>
    <row r="700">
      <c r="AK700" s="27"/>
    </row>
    <row r="701">
      <c r="AK701" s="27"/>
    </row>
    <row r="702">
      <c r="AK702" s="27"/>
    </row>
    <row r="703">
      <c r="AK703" s="27"/>
    </row>
    <row r="704">
      <c r="AK704" s="27"/>
    </row>
    <row r="705">
      <c r="AK705" s="27"/>
    </row>
    <row r="706">
      <c r="AK706" s="27"/>
    </row>
    <row r="707">
      <c r="AK707" s="27"/>
    </row>
    <row r="708">
      <c r="AK708" s="27"/>
    </row>
    <row r="709">
      <c r="AK709" s="27"/>
    </row>
    <row r="710">
      <c r="AK710" s="27"/>
    </row>
    <row r="711">
      <c r="AK711" s="27"/>
    </row>
    <row r="712">
      <c r="AK712" s="27"/>
    </row>
    <row r="713">
      <c r="AK713" s="27"/>
    </row>
    <row r="714">
      <c r="AK714" s="27"/>
    </row>
    <row r="715">
      <c r="AK715" s="27"/>
    </row>
    <row r="716">
      <c r="AK716" s="27"/>
    </row>
    <row r="717">
      <c r="AK717" s="27"/>
    </row>
    <row r="718">
      <c r="AK718" s="27"/>
    </row>
    <row r="719">
      <c r="AK719" s="27"/>
    </row>
    <row r="720">
      <c r="AK720" s="27"/>
    </row>
    <row r="721">
      <c r="AK721" s="27"/>
    </row>
    <row r="722">
      <c r="AK722" s="27"/>
    </row>
    <row r="723">
      <c r="AK723" s="27"/>
    </row>
    <row r="724">
      <c r="AK724" s="27"/>
    </row>
    <row r="725">
      <c r="AK725" s="27"/>
    </row>
    <row r="726">
      <c r="AK726" s="27"/>
    </row>
    <row r="727">
      <c r="AK727" s="27"/>
    </row>
    <row r="728">
      <c r="AK728" s="27"/>
    </row>
    <row r="729">
      <c r="AK729" s="27"/>
    </row>
    <row r="730">
      <c r="AK730" s="27"/>
    </row>
    <row r="731">
      <c r="AK731" s="27"/>
    </row>
    <row r="732">
      <c r="AK732" s="27"/>
    </row>
    <row r="733">
      <c r="AK733" s="27"/>
    </row>
    <row r="734">
      <c r="AK734" s="27"/>
    </row>
    <row r="735">
      <c r="AK735" s="27"/>
    </row>
    <row r="736">
      <c r="AK736" s="27"/>
    </row>
    <row r="737">
      <c r="AK737" s="27"/>
    </row>
    <row r="738">
      <c r="AK738" s="27"/>
    </row>
    <row r="739">
      <c r="AK739" s="27"/>
    </row>
    <row r="740">
      <c r="AK740" s="27"/>
    </row>
    <row r="741">
      <c r="AK741" s="27"/>
    </row>
    <row r="742">
      <c r="AK742" s="27"/>
    </row>
    <row r="743">
      <c r="AK743" s="27"/>
    </row>
    <row r="744">
      <c r="AK744" s="27"/>
    </row>
    <row r="745">
      <c r="AK745" s="27"/>
    </row>
    <row r="746">
      <c r="AK746" s="27"/>
    </row>
    <row r="747">
      <c r="AK747" s="27"/>
    </row>
    <row r="748">
      <c r="AK748" s="27"/>
    </row>
    <row r="749">
      <c r="AK749" s="27"/>
    </row>
    <row r="750">
      <c r="AK750" s="27"/>
    </row>
    <row r="751">
      <c r="AK751" s="27"/>
    </row>
    <row r="752">
      <c r="AK752" s="27"/>
    </row>
    <row r="753">
      <c r="AK753" s="27"/>
    </row>
    <row r="754">
      <c r="AK754" s="27"/>
    </row>
    <row r="755">
      <c r="AK755" s="27"/>
    </row>
    <row r="756">
      <c r="AK756" s="27"/>
    </row>
    <row r="757">
      <c r="AK757" s="27"/>
    </row>
    <row r="758">
      <c r="AK758" s="27"/>
    </row>
    <row r="759">
      <c r="AK759" s="27"/>
    </row>
    <row r="760">
      <c r="AK760" s="27"/>
    </row>
    <row r="761">
      <c r="AK761" s="27"/>
    </row>
    <row r="762">
      <c r="AK762" s="27"/>
    </row>
    <row r="763">
      <c r="AK763" s="27"/>
    </row>
    <row r="764">
      <c r="AK764" s="27"/>
    </row>
    <row r="765">
      <c r="AK765" s="27"/>
    </row>
    <row r="766">
      <c r="AK766" s="27"/>
    </row>
    <row r="767">
      <c r="AK767" s="27"/>
    </row>
    <row r="768">
      <c r="AK768" s="27"/>
    </row>
    <row r="769">
      <c r="AK769" s="27"/>
    </row>
    <row r="770">
      <c r="AK770" s="27"/>
    </row>
    <row r="771">
      <c r="AK771" s="27"/>
    </row>
    <row r="772">
      <c r="AK772" s="27"/>
    </row>
    <row r="773">
      <c r="AK773" s="27"/>
    </row>
    <row r="774">
      <c r="AK774" s="27"/>
    </row>
    <row r="775">
      <c r="AK775" s="27"/>
    </row>
    <row r="776">
      <c r="AK776" s="27"/>
    </row>
    <row r="777">
      <c r="AK777" s="27"/>
    </row>
    <row r="778">
      <c r="AK778" s="27"/>
    </row>
    <row r="779">
      <c r="AK779" s="27"/>
    </row>
    <row r="780">
      <c r="AK780" s="27"/>
    </row>
    <row r="781">
      <c r="AK781" s="27"/>
    </row>
    <row r="782">
      <c r="AK782" s="27"/>
    </row>
    <row r="783">
      <c r="AK783" s="27"/>
    </row>
    <row r="784">
      <c r="AK784" s="27"/>
    </row>
    <row r="785">
      <c r="AK785" s="27"/>
    </row>
    <row r="786">
      <c r="AK786" s="27"/>
    </row>
    <row r="787">
      <c r="AK787" s="27"/>
    </row>
    <row r="788">
      <c r="AK788" s="27"/>
    </row>
    <row r="789">
      <c r="AK789" s="27"/>
    </row>
    <row r="790">
      <c r="AK790" s="27"/>
    </row>
    <row r="791">
      <c r="AK791" s="27"/>
    </row>
    <row r="792">
      <c r="AK792" s="27"/>
    </row>
    <row r="793">
      <c r="AK793" s="27"/>
    </row>
    <row r="794">
      <c r="AK794" s="27"/>
    </row>
    <row r="795">
      <c r="AK795" s="27"/>
    </row>
    <row r="796">
      <c r="AK796" s="27"/>
    </row>
    <row r="797">
      <c r="AK797" s="27"/>
    </row>
    <row r="798">
      <c r="AK798" s="27"/>
    </row>
    <row r="799">
      <c r="AK799" s="27"/>
    </row>
    <row r="800">
      <c r="AK800" s="27"/>
    </row>
    <row r="801">
      <c r="AK801" s="27"/>
    </row>
    <row r="802">
      <c r="AK802" s="27"/>
    </row>
    <row r="803">
      <c r="AK803" s="27"/>
    </row>
    <row r="804">
      <c r="AK804" s="27"/>
    </row>
    <row r="805">
      <c r="AK805" s="27"/>
    </row>
    <row r="806">
      <c r="AK806" s="27"/>
    </row>
    <row r="807">
      <c r="AK807" s="27"/>
    </row>
    <row r="808">
      <c r="AK808" s="27"/>
    </row>
    <row r="809">
      <c r="AK809" s="27"/>
    </row>
    <row r="810">
      <c r="AK810" s="27"/>
    </row>
    <row r="811">
      <c r="AK811" s="27"/>
    </row>
    <row r="812">
      <c r="AK812" s="27"/>
    </row>
    <row r="813">
      <c r="AK813" s="27"/>
    </row>
    <row r="814">
      <c r="AK814" s="27"/>
    </row>
    <row r="815">
      <c r="AK815" s="27"/>
    </row>
    <row r="816">
      <c r="AK816" s="27"/>
    </row>
    <row r="817">
      <c r="AK817" s="27"/>
    </row>
    <row r="818">
      <c r="AK818" s="27"/>
    </row>
    <row r="819">
      <c r="AK819" s="27"/>
    </row>
    <row r="820">
      <c r="AK820" s="27"/>
    </row>
    <row r="821">
      <c r="AK821" s="27"/>
    </row>
    <row r="822">
      <c r="AK822" s="27"/>
    </row>
    <row r="823">
      <c r="AK823" s="27"/>
    </row>
    <row r="824">
      <c r="AK824" s="27"/>
    </row>
    <row r="825">
      <c r="AK825" s="27"/>
    </row>
    <row r="826">
      <c r="AK826" s="27"/>
    </row>
    <row r="827">
      <c r="AK827" s="27"/>
    </row>
    <row r="828">
      <c r="AK828" s="27"/>
    </row>
    <row r="829">
      <c r="AK829" s="27"/>
    </row>
    <row r="830">
      <c r="AK830" s="27"/>
    </row>
    <row r="831">
      <c r="AK831" s="27"/>
    </row>
    <row r="832">
      <c r="AK832" s="27"/>
    </row>
    <row r="833">
      <c r="AK833" s="27"/>
    </row>
    <row r="834">
      <c r="AK834" s="27"/>
    </row>
    <row r="835">
      <c r="AK835" s="27"/>
    </row>
    <row r="836">
      <c r="AK836" s="27"/>
    </row>
    <row r="837">
      <c r="AK837" s="27"/>
    </row>
    <row r="838">
      <c r="AK838" s="27"/>
    </row>
    <row r="839">
      <c r="AK839" s="27"/>
    </row>
    <row r="840">
      <c r="AK840" s="27"/>
    </row>
    <row r="841">
      <c r="AK841" s="27"/>
    </row>
    <row r="842">
      <c r="AK842" s="27"/>
    </row>
    <row r="843">
      <c r="AK843" s="27"/>
    </row>
    <row r="844">
      <c r="AK844" s="27"/>
    </row>
    <row r="845">
      <c r="AK845" s="27"/>
    </row>
    <row r="846">
      <c r="AK846" s="27"/>
    </row>
    <row r="847">
      <c r="AK847" s="27"/>
    </row>
    <row r="848">
      <c r="AK848" s="27"/>
    </row>
    <row r="849">
      <c r="AK849" s="27"/>
    </row>
    <row r="850">
      <c r="AK850" s="27"/>
    </row>
    <row r="851">
      <c r="AK851" s="27"/>
    </row>
    <row r="852">
      <c r="AK852" s="27"/>
    </row>
    <row r="853">
      <c r="AK853" s="27"/>
    </row>
    <row r="854">
      <c r="AK854" s="27"/>
    </row>
    <row r="855">
      <c r="AK855" s="27"/>
    </row>
    <row r="856">
      <c r="AK856" s="27"/>
    </row>
    <row r="857">
      <c r="AK857" s="27"/>
    </row>
    <row r="858">
      <c r="AK858" s="27"/>
    </row>
    <row r="859">
      <c r="AK859" s="27"/>
    </row>
    <row r="860">
      <c r="AK860" s="27"/>
    </row>
    <row r="861">
      <c r="AK861" s="27"/>
    </row>
    <row r="862">
      <c r="AK862" s="27"/>
    </row>
    <row r="863">
      <c r="AK863" s="27"/>
    </row>
    <row r="864">
      <c r="AK864" s="27"/>
    </row>
    <row r="865">
      <c r="AK865" s="27"/>
    </row>
    <row r="866">
      <c r="AK866" s="27"/>
    </row>
    <row r="867">
      <c r="AK867" s="27"/>
    </row>
    <row r="868">
      <c r="AK868" s="27"/>
    </row>
    <row r="869">
      <c r="AK869" s="27"/>
    </row>
    <row r="870">
      <c r="AK870" s="27"/>
    </row>
    <row r="871">
      <c r="AK871" s="27"/>
    </row>
    <row r="872">
      <c r="AK872" s="27"/>
    </row>
    <row r="873">
      <c r="AK873" s="27"/>
    </row>
    <row r="874">
      <c r="AK874" s="27"/>
    </row>
    <row r="875">
      <c r="AK875" s="27"/>
    </row>
    <row r="876">
      <c r="AK876" s="27"/>
    </row>
    <row r="877">
      <c r="AK877" s="27"/>
    </row>
    <row r="878">
      <c r="AK878" s="27"/>
    </row>
    <row r="879">
      <c r="AK879" s="27"/>
    </row>
    <row r="880">
      <c r="AK880" s="27"/>
    </row>
    <row r="881">
      <c r="AK881" s="27"/>
    </row>
    <row r="882">
      <c r="AK882" s="27"/>
    </row>
    <row r="883">
      <c r="AK883" s="27"/>
    </row>
    <row r="884">
      <c r="AK884" s="27"/>
    </row>
    <row r="885">
      <c r="AK885" s="27"/>
    </row>
    <row r="886">
      <c r="AK886" s="27"/>
    </row>
    <row r="887">
      <c r="AK887" s="27"/>
    </row>
    <row r="888">
      <c r="AK888" s="27"/>
    </row>
    <row r="889">
      <c r="AK889" s="27"/>
    </row>
    <row r="890">
      <c r="AK890" s="27"/>
    </row>
    <row r="891">
      <c r="AK891" s="27"/>
    </row>
    <row r="892">
      <c r="AK892" s="27"/>
    </row>
    <row r="893">
      <c r="AK893" s="27"/>
    </row>
    <row r="894">
      <c r="AK894" s="27"/>
    </row>
    <row r="895">
      <c r="AK895" s="27"/>
    </row>
    <row r="896">
      <c r="AK896" s="27"/>
    </row>
    <row r="897">
      <c r="AK897" s="27"/>
    </row>
    <row r="898">
      <c r="AK898" s="27"/>
    </row>
    <row r="899">
      <c r="AK899" s="27"/>
    </row>
    <row r="900">
      <c r="AK900" s="27"/>
    </row>
    <row r="901">
      <c r="AK901" s="27"/>
    </row>
    <row r="902">
      <c r="AK902" s="27"/>
    </row>
    <row r="903">
      <c r="AK903" s="27"/>
    </row>
    <row r="904">
      <c r="AK904" s="27"/>
    </row>
    <row r="905">
      <c r="AK905" s="27"/>
    </row>
    <row r="906">
      <c r="AK906" s="27"/>
    </row>
    <row r="907">
      <c r="AK907" s="27"/>
    </row>
    <row r="908">
      <c r="AK908" s="27"/>
    </row>
    <row r="909">
      <c r="AK909" s="27"/>
    </row>
    <row r="910">
      <c r="AK910" s="27"/>
    </row>
    <row r="911">
      <c r="AK911" s="27"/>
    </row>
    <row r="912">
      <c r="AK912" s="27"/>
    </row>
    <row r="913">
      <c r="AK913" s="27"/>
    </row>
    <row r="914">
      <c r="AK914" s="27"/>
    </row>
    <row r="915">
      <c r="AK915" s="27"/>
    </row>
    <row r="916">
      <c r="AK916" s="27"/>
    </row>
    <row r="917">
      <c r="AK917" s="27"/>
    </row>
    <row r="918">
      <c r="AK918" s="27"/>
    </row>
    <row r="919">
      <c r="AK919" s="27"/>
    </row>
    <row r="920">
      <c r="AK920" s="27"/>
    </row>
    <row r="921">
      <c r="AK921" s="27"/>
    </row>
    <row r="922">
      <c r="AK922" s="27"/>
    </row>
    <row r="923">
      <c r="AK923" s="27"/>
    </row>
    <row r="924">
      <c r="AK924" s="27"/>
    </row>
    <row r="925">
      <c r="AK925" s="27"/>
    </row>
    <row r="926">
      <c r="AK926" s="27"/>
    </row>
    <row r="927">
      <c r="AK927" s="27"/>
    </row>
    <row r="928">
      <c r="AK928" s="27"/>
    </row>
    <row r="929">
      <c r="AK929" s="27"/>
    </row>
    <row r="930">
      <c r="AK930" s="27"/>
    </row>
    <row r="931">
      <c r="AK931" s="27"/>
    </row>
    <row r="932">
      <c r="AK932" s="27"/>
    </row>
    <row r="933">
      <c r="AK933" s="27"/>
    </row>
    <row r="934">
      <c r="AK934" s="27"/>
    </row>
    <row r="935">
      <c r="AK935" s="27"/>
    </row>
    <row r="936">
      <c r="AK936" s="27"/>
    </row>
    <row r="937">
      <c r="AK937" s="27"/>
    </row>
    <row r="938">
      <c r="AK938" s="27"/>
    </row>
    <row r="939">
      <c r="AK939" s="27"/>
    </row>
    <row r="940">
      <c r="AK940" s="27"/>
    </row>
    <row r="941">
      <c r="AK941" s="27"/>
    </row>
    <row r="942">
      <c r="AK942" s="27"/>
    </row>
    <row r="943">
      <c r="AK943" s="27"/>
    </row>
    <row r="944">
      <c r="AK944" s="27"/>
    </row>
    <row r="945">
      <c r="AK945" s="27"/>
    </row>
    <row r="946">
      <c r="AK946" s="27"/>
    </row>
    <row r="947">
      <c r="AK947" s="27"/>
    </row>
    <row r="948">
      <c r="AK948" s="27"/>
    </row>
    <row r="949">
      <c r="AK949" s="27"/>
    </row>
    <row r="950">
      <c r="AK950" s="27"/>
    </row>
    <row r="951">
      <c r="AK951" s="27"/>
    </row>
    <row r="952">
      <c r="AK952" s="27"/>
    </row>
    <row r="953">
      <c r="AK953" s="27"/>
    </row>
    <row r="954">
      <c r="AK954" s="27"/>
    </row>
    <row r="955">
      <c r="AK955" s="27"/>
    </row>
    <row r="956">
      <c r="AK956" s="27"/>
    </row>
    <row r="957">
      <c r="AK957" s="27"/>
    </row>
    <row r="958">
      <c r="AK958" s="27"/>
    </row>
    <row r="959">
      <c r="AK959" s="27"/>
    </row>
    <row r="960">
      <c r="AK960" s="27"/>
    </row>
    <row r="961">
      <c r="AK961" s="27"/>
    </row>
    <row r="962">
      <c r="AK962" s="27"/>
    </row>
    <row r="963">
      <c r="AK963" s="27"/>
    </row>
    <row r="964">
      <c r="AK964" s="27"/>
    </row>
    <row r="965">
      <c r="AK965" s="27"/>
    </row>
    <row r="966">
      <c r="AK966" s="27"/>
    </row>
    <row r="967">
      <c r="AK967" s="27"/>
    </row>
    <row r="968">
      <c r="AK968" s="27"/>
    </row>
    <row r="969">
      <c r="AK969" s="27"/>
    </row>
    <row r="970">
      <c r="AK970" s="27"/>
    </row>
    <row r="971">
      <c r="AK971" s="27"/>
    </row>
    <row r="972">
      <c r="AK972" s="27"/>
    </row>
    <row r="973">
      <c r="AK973" s="27"/>
    </row>
    <row r="974">
      <c r="AK974" s="27"/>
    </row>
    <row r="975">
      <c r="AK975" s="27"/>
    </row>
    <row r="976">
      <c r="AK976" s="27"/>
    </row>
    <row r="977">
      <c r="AK977" s="27"/>
    </row>
    <row r="978">
      <c r="AK978" s="27"/>
    </row>
    <row r="979">
      <c r="AK979" s="27"/>
    </row>
    <row r="980">
      <c r="AK980" s="27"/>
    </row>
    <row r="981">
      <c r="AK981" s="27"/>
    </row>
    <row r="982">
      <c r="AK982" s="27"/>
    </row>
    <row r="983">
      <c r="AK983" s="27"/>
    </row>
    <row r="984">
      <c r="AK984" s="27"/>
    </row>
    <row r="985">
      <c r="AK985" s="27"/>
    </row>
    <row r="986">
      <c r="AK986" s="27"/>
    </row>
    <row r="987">
      <c r="AK987" s="27"/>
    </row>
    <row r="988">
      <c r="AK988" s="27"/>
    </row>
    <row r="989">
      <c r="AK989" s="27"/>
    </row>
    <row r="990">
      <c r="AK990" s="27"/>
    </row>
    <row r="991">
      <c r="AK991" s="27"/>
    </row>
    <row r="992">
      <c r="AK992" s="27"/>
    </row>
    <row r="993">
      <c r="AK993" s="27"/>
    </row>
    <row r="994">
      <c r="AK994" s="27"/>
    </row>
    <row r="995">
      <c r="AK995" s="27"/>
    </row>
    <row r="996">
      <c r="AK996" s="2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2026-02-17T06:26:26Z</dcterms:created>
  <dc:creator>Apache POI</dc:creator>
</cp:coreProperties>
</file>