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1/Initial Trial 101 Pairs/"/>
    </mc:Choice>
  </mc:AlternateContent>
  <xr:revisionPtr revIDLastSave="0" documentId="13_ncr:1_{EF041E05-EA1D-3C43-8AC1-233E5DDEA21B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01Rj+mu0/H6lVUgbyi93BdBjN/xHPBetuIWUXCeIpE="/>
    </ext>
  </extLst>
</workbook>
</file>

<file path=xl/calcChain.xml><?xml version="1.0" encoding="utf-8"?>
<calcChain xmlns="http://schemas.openxmlformats.org/spreadsheetml/2006/main">
  <c r="Q31" i="1" l="1"/>
  <c r="P31" i="1"/>
  <c r="AK30" i="1"/>
  <c r="Q30" i="1"/>
  <c r="P30" i="1"/>
</calcChain>
</file>

<file path=xl/sharedStrings.xml><?xml version="1.0" encoding="utf-8"?>
<sst xmlns="http://schemas.openxmlformats.org/spreadsheetml/2006/main" count="851" uniqueCount="385">
  <si>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</si>
  <si>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</si>
  <si>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</si>
  <si>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</si>
  <si>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</si>
  <si>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</si>
  <si>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</si>
  <si>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</si>
  <si>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</si>
  <si>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</si>
  <si>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</si>
  <si>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</si>
  <si>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</si>
  <si>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</si>
  <si>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</si>
  <si>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</si>
  <si>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</si>
  <si>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</si>
  <si>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</si>
  <si>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</si>
  <si>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</si>
  <si>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</si>
  <si>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</si>
  <si>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</si>
  <si>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</si>
  <si>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</si>
  <si>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</si>
  <si>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</si>
  <si>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</si>
  <si>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</si>
  <si>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</si>
  <si>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</si>
  <si>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</si>
  <si>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</si>
  <si>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</si>
  <si>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</si>
  <si>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</si>
  <si>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</si>
  <si>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</si>
  <si>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</si>
  <si>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</si>
  <si>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</si>
  <si>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Tags</t>
  </si>
  <si>
    <t>yes</t>
  </si>
  <si>
    <t>apache.commons.codec.language.MetaphoneTest</t>
  </si>
  <si>
    <t>e65d67e1c41746e811503255fadacef6de645eec</t>
  </si>
  <si>
    <t>15194a9e772c4929ff008333d3537221095d6237</t>
  </si>
  <si>
    <t>testPHTOF</t>
  </si>
  <si>
    <t>public void testPHTOF() {
    assertEquals("FX", this.getMetaphone().metaphone("PHISH"));
}</t>
  </si>
  <si>
    <t>public void testPHTOF() {
    assertEquals("FX", this.getMetaphone().metaphone("PHISH"));
}
/**
 * Tests (CODEC-57) Metaphone.metaphone(String) returns an empty string when passed the word "why"
 */
public void testWhy() {
    assertEquals("H", this.getMetaphone().metaphone("WHY"));
}</t>
  </si>
  <si>
    <t>public void testPHTOF() { assertEquals("S", this.getMetaphone().metaphone("S")); }
public void testWhy() { assertEquals("S", this.getMetaphone().metaphone("S")); }</t>
  </si>
  <si>
    <t>[.getMetaphone, org/apache/commons/codec/language/Metaphone.metaphone]
[.getMetaphone, org/apache/commons/codec/language/Metaphone.metaphone]</t>
  </si>
  <si>
    <t>/**
 * Tests (CODEC-57) Metaphone.metaphone(String) returns an empty string when passed the word "why"
 */
public void testWhy() {
    assertEquals("H", this.getMetaphone().metaphone("WHY"));
}</t>
  </si>
  <si>
    <t>testWhy</t>
  </si>
  <si>
    <t>[]</t>
  </si>
  <si>
    <t xml:space="preserve">[#CODEC-57] Metaphone.metaphone(String) returns an empty string when passed the word "why".
git-svn-id: https://svn.apache.org/repos/asf/commons/proper/codec/trunk@588074 13f79535-47bb-0310-9956-ffa450edef68
</t>
  </si>
  <si>
    <t>[src/test/org/apache/commons/codec/binary/HexTest.java, src/java/org/apache/commons/codec/language/DoubleMetaphone.java, src/java/org/apache/commons/codec/net/URLCodec.java, src/test/org/apache/commons/codec/binary/Base64Test.java, src/test/org/apache/commons/codec/language/RefinedSoundexTest.java, src/java/org/apache/commons/codec/language/Metaphone.java, src/test/org/apache/commons/codec/net/BCodecTest.java, src/java/org/apache/commons/codec/net/QCodec.java, src/java/org/apache/commons/codec/DecoderException.java, src/java/org/apache/commons/codec/EncoderException.java, src/test/org/apache/commons/codec/StringEncoderAbstractTest.java, src/java/org/apache/commons/codec/net/BCodec.java, src/java/org/apache/commons/codec/Decoder.java, src/java/org/apache/commons/codec/BinaryDecoder.java, src/java/org/apache/commons/codec/digest/DigestUtils.java, src/test/org/apache/commons/codec/net/QCodecTest.java, src/java/org/apache/commons/codec/StringDecoder.java, src/test/org/apache/commons/codec/language/DoubleMetaphoneTest.java, src/java/org/apache/commons/codec/net/RFC1522Codec.java, src/test/org/apache/commons/codec/language/MetaphoneTest.java, src/test/org/apache/commons/codec/net/URLCodecTest.java, src/java/org/apache/commons/codec/binary/BinaryCodec.java, src/java/org/apache/commons/codec/net/CharacterEncodingNames.java, src/java/org/apache/commons/codec/binary/Hex.java, src/java/org/apache/commons/codec/Encoder.java, src/java/org/apache/commons/codec/language/RefinedSoundex.java, src/java/org/apache/commons/codec/net/QuotedPrintableCodec.java, src/java/org/apache/commons/codec/binary/Base64.java, src/test/org/apache/commons/codec/net/RFC1522CodecTest.java, src/test/org/apache/commons/codec/language/AllTests.java, src/java/org/apache/commons/codec/language/Soundex.java, src/test/org/apache/commons/codec/StringEncoderComparatorTest.java, src/test/org/apache/commons/codec/language/SoundexTest.java, src/test/org/apache/commons/codec/BinaryEncoderAbstractTest.java, src/java/org/apache/commons/codec/language/SoundexUtils.java, src/java/org/apache/commons/codec/BinaryEncoder.java, src/java/org/apache/commons/codec/StringEncoder.java, src/test/org/apache/commons/codec/net/QuotedPrintableCodecTest.java, src/java/org/apache/commons/codec/StringEncoderComparator.java, src/test/org/apache/commons/codec/binary/BinaryCodecTest.java, src/test/org/apache/commons/codec/digest/DigestUtilsTest.java]</t>
  </si>
  <si>
    <t>comment added</t>
  </si>
  <si>
    <t>no comments</t>
  </si>
  <si>
    <t>no variable declaration</t>
  </si>
  <si>
    <t>changed</t>
  </si>
  <si>
    <t>no constructor</t>
  </si>
  <si>
    <t>identical</t>
  </si>
  <si>
    <t>no chnage</t>
  </si>
  <si>
    <t>similar asserted methods/attributes</t>
  </si>
  <si>
    <t>no exception handling</t>
  </si>
  <si>
    <t/>
  </si>
  <si>
    <t>[IDEN, ORD_SAME]</t>
  </si>
  <si>
    <t>exact same</t>
  </si>
  <si>
    <t>similar</t>
  </si>
  <si>
    <t>constructor parameters changed in type</t>
  </si>
  <si>
    <t>[CMN_COUNT_INC]</t>
  </si>
  <si>
    <t>method replaced</t>
  </si>
  <si>
    <t>no exception change</t>
  </si>
  <si>
    <t>[ADD, REM]</t>
  </si>
  <si>
    <t>comment removed</t>
  </si>
  <si>
    <t>new method added</t>
  </si>
  <si>
    <t>[src/test/org/apache/commons/codec/binary/HexTest.java, src/java/org/apache/commons/codec/binary/BaseNCodec.java, src/java/org/apache/commons/codec/net/URLCodec.java, src/test/org/apache/commons/codec/binary/Base64Test.java, src/java/org/apache/commons/codec/language/Metaphone.java, src/test/org/apache/commons/codec/net/BCodecTest.java, src/java/org/apache/commons/codec/net/QCodec.java, src/test/org/apache/commons/codec/binary/Base64TestData.java, src/test/org/apache/commons/codec/binary/BaseNCodecTest.java, src/java/org/apache/commons/codec/DecoderException.java, src/java/org/apache/commons/codec/binary/Base32.java, src/java/org/apache/commons/codec/EncoderException.java, src/test/org/apache/commons/codec/StringEncoderAbstractTest.java, src/java/org/apache/commons/codec/net/BCodec.java, src/java/org/apache/commons/codec/binary/Base32OutputStream.java, src/java/org/apache/commons/codec/CharEncoding.java, src/java/org/apache/commons/codec/digest/DigestUtils.java, src/test/org/apache/commons/codec/net/QCodecTest.java, src/test/org/apache/commons/codec/CharEncodingTest.java, src/java/org/apache/commons/codec/binary/BinaryCodec.java, src/java/org/apache/commons/codec/binary/Hex.java, src/test/org/apache/commons/codec/language/ColognePhoneticTest.java, src/java/org/apache/commons/codec/language/RefinedSoundex.java, src/test/org/apache/commons/codec/net/RFC1522CodecTest.java, src/java/org/apache/commons/codec/binary/StringUtils.java, src/test/org/apache/commons/codec/binary/StringUtilsTest.java, src/java/org/apache/commons/codec/language/Soundex.java, src/test/org/apache/commons/codec/StringEncoderComparatorTest.java, src/java/org/apache/commons/codec/language/SoundexUtils.java, src/test/org/apache/commons/codec/language/CaverphoneTest.java, src/java/org/apache/commons/codec/BinaryEncoder.java, src/test/org/apache/commons/codec/binary/Base64Codec13Test.java, src/java/org/apache/commons/codec/binary/BaseNCodecInputStream.java, src/java/org/apache/commons/codec/StringEncoder.java, src/test/org/apache/commons/codec/net/QuotedPrintableCodecTest.java, src/java/org/apache/commons/codec/binary/Base64OutputStream.java, src/test/org/apache/commons/codec/binary/Base32OutputStreamTest.java, src/java/org/apache/commons/codec/net/Utils.java, src/java/org/apache/commons/codec/language/DoubleMetaphone.java, src/test/org/apache/commons/codec/language/DoubleMetaphone2Test.java, src/test/org/apache/commons/codec/language/RefinedSoundexTest.java, src/test/org/apache/commons/codec/binary/Codec105ErrorInputStream.java, src/java/org/apache/commons/codec/language/ColognePhonetic.java, src/java/org/apache/commons/codec/Decoder.java, src/java/org/apache/commons/codec/binary/BaseNCodecOutputStream.java, src/java/org/apache/commons/codec/BinaryDecoder.java, src/test/org/apache/commons/codec/DecoderExceptionTest.java, src/java/org/apache/commons/codec/StringDecoder.java, src/test/org/apache/commons/codec/language/DoubleMetaphoneTest.java, src/java/org/apache/commons/codec/net/RFC1522Codec.java, src/test/org/apache/commons/codec/binary/Base64OutputStreamTest.java, src/test/org/apache/commons/codec/language/MetaphoneTest.java, src/test/org/apache/commons/codec/net/URLCodecTest.java, src/test/org/apache/commons/codec/binary/Base32InputStreamTest.java, src/test/org/apache/commons/codec/binary/Base32TestData.java, src/java/org/apache/commons/codec/Encoder.java, src/java/org/apache/commons/codec/binary/Base64InputStream.java, src/java/org/apache/commons/codec/net/QuotedPrintableCodec.java, src/java/org/apache/commons/codec/binary/Base32InputStream.java, src/java/org/apache/commons/codec/language/Caverphone.java, src/java/org/apache/commons/codec/binary/Base64.java, src/test/org/apache/commons/codec/net/UtilsTest.java, src/test/org/apache/commons/codec/language/SoundexTest.java, src/test/org/apache/commons/codec/BinaryEncoderAbstractTest.java, src/test/org/apache/commons/codec/binary/Base32Test.java, src/java/org/apache/commons/codec/StringEncoderComparator.java, src/test/org/apache/commons/codec/binary/Base64InputStreamTest.java, src/test/org/apache/commons/codec/binary/BinaryCodecTest.java, src/test/org/apache/commons/codec/EncoderExceptionTest.java, src/test/org/apache/commons/codec/digest/DigestUtilsTest.java]</t>
  </si>
  <si>
    <t>constructor parameters changed in count</t>
  </si>
  <si>
    <t>apache.commons.codec.language.CaverphoneTest</t>
  </si>
  <si>
    <t>[.checkEncodings]
[.checkEncodings]</t>
  </si>
  <si>
    <t>41c68e9ef470696009d72133c7f05a20e2728e34</t>
  </si>
  <si>
    <t>public void testEndMb() throws EncoderException {
    String[][] data = { { "mb", "M111111111" }, { "mbmb", "MPM1111111" } };
    this.checkEncodings(data);
}</t>
  </si>
  <si>
    <t>testEndMb</t>
  </si>
  <si>
    <t>619fbc2d06101090a7b2ddce227cc379a50003fe</t>
  </si>
  <si>
    <t>public void testEndMb() throws EncoderException {
    String[][] data = { { "mb", "M111111111" }, { "mbmb", "MPM1111111" } };
    this.checkEncodings(data);
}
/**
 * See http://caversham.otago.ac.nz/files/working/ctp150804.pdf
 *
 * @throws EncoderException
 */
public void testCaverphoneRevisitedExamples() throws EncoderException {
    String[][] data = { { "Stevenson", "STFNSN1111" }, { "Peter", "PTA1111111" } };
    this.checkEncodings(data);
}</t>
  </si>
  <si>
    <t>public void testEndMb() throws EncoderException { String[][] data = { { "S", "S" }, { "S", "S" } }; this.checkEncodings(data); }
public void testCaverphoneRevisitedExamples() throws EncoderException { String[][] data = { { "S", "S" }, { "S", "S" } }; this.checkEncodings(data); }</t>
  </si>
  <si>
    <t>/**
 * See http://caversham.otago.ac.nz/files/working/ctp150804.pdf
 *
 * @throws EncoderException
 */
public void testCaverphoneRevisitedExamples() throws EncoderException {
    String[][] data = { { "Stevenson", "STFNSN1111" }, { "Peter", "PTA1111111" } };
    this.checkEncodings(data);
}</t>
  </si>
  <si>
    <t>testCaverphoneRevisitedExamples</t>
  </si>
  <si>
    <t xml:space="preserve">Better test method names.
git-svn-id: https://svn.apache.org/repos/asf/commons/proper/codec/trunk@1078234 13f79535-47bb-0310-9956-ffa450edef68
</t>
  </si>
  <si>
    <t>no assertion</t>
  </si>
  <si>
    <t>same constructor</t>
  </si>
  <si>
    <t>method replaced with overload</t>
  </si>
  <si>
    <t>method parameter count chnage</t>
  </si>
  <si>
    <t>bug resolve</t>
  </si>
  <si>
    <t>testDefaultEncoding</t>
  </si>
  <si>
    <t>[org/apache/commons/codec/net/QuotedPrintableCodec."&lt;init&gt;", org/apache/commons/codec/net/QuotedPrintableCodec.encode, org/apache/commons/codec/net/QuotedPrintableCodec.encode, org/apache/commons/codec/net/QuotedPrintableCodec.encode]
[org/apache/commons/codec/net/QuotedPrintableCodec."&lt;init&gt;", org/apache/commons/codec/net/QuotedPrintableCodec.encode]</t>
  </si>
  <si>
    <t>[org/apache/commons/codec/net/QuotedPrintableCodec.encode]</t>
  </si>
  <si>
    <t>[CMN_COUNT_DEC]</t>
  </si>
  <si>
    <t>apache.commons.codec.language.bm.BeiderMorseEncoderTest</t>
  </si>
  <si>
    <t>07e106fcd227cb0d5bbac3d18dc7f2ebd3906607</t>
  </si>
  <si>
    <t>d85ae3aaaac18a8f672bab6c1b1acdc3f24ba0a4</t>
  </si>
  <si>
    <t>testEncodeGna</t>
  </si>
  <si>
    <t>/**
 * Tests https://issues.apache.org/jira/browse/CODEC-125?focusedCommentId=13071566&amp;page=com.atlassian.jira.plugin.system.issuetabpanels:
 * comment-tabpanel#comment-13071566
 *
 * @throws EncoderException
 */
@Ignore
@Test
public void testEncodeGna() throws EncoderException {
    BeiderMorseEncoder bmpm = new BeiderMorseEncoder();
    bmpm.setNameType(NameType.GENERIC);
    bmpm.setRuleType(RuleType.APPROX);
    bmpm.encode("gna");
}</t>
  </si>
  <si>
    <t>/**
 * Tests https://issues.apache.org/jira/browse/CODEC-125?focusedCommentId=13071566&amp;page=com.atlassian.jira.plugin.system.issuetabpanels:
 * comment-tabpanel#comment-13071566
 *
 * @throws EncoderException
 */
@Ignore
@Test
public void testEncodeGna() throws EncoderException {
    BeiderMorseEncoder bmpm = new BeiderMorseEncoder();
    bmpm.setNameType(NameType.GENERIC);
    bmpm.setRuleType(RuleType.APPROX);
    bmpm.encode("gna");
}
@Ignore
@Test
public void testLongestEnglishSurname() throws EncoderException {
    BeiderMorseEncoder bmpm = new BeiderMorseEncoder();
    bmpm.setNameType(NameType.GENERIC);
    bmpm.setRuleType(RuleType.APPROX);
    bmpm.encode("MacGhilleseatheanaich");
}</t>
  </si>
  <si>
    <t>@Ignore @Test public void testEncodeGna() throws EncoderException { BeiderMorseEncoder bmpm = new BeiderMorseEncoder(); bmpm.setNameType(NameType.GENERIC); bmpm.setRuleType(RuleType.APPROX); bmpm.encode("S"); }
@Ignore @Test public void testLongestEnglishSurname() throws EncoderException { BeiderMorseEncoder bmpm = new BeiderMorseEncoder(); bmpm.setNameType(NameType.GENERIC); bmpm.setRuleType(RuleType.APPROX); bmpm.encode("S"); }</t>
  </si>
  <si>
    <t>[org/apache/commons/codec/language/bm/BeiderMorseEncoder."&lt;init&gt;", org/apache/commons/codec/language/bm/BeiderMorseEncoder.setNameType, org/apache/commons/codec/language/bm/BeiderMorseEncoder.setRuleType, org/apache/commons/codec/language/bm/BeiderMorseEncoder.encode]
[org/apache/commons/codec/language/bm/BeiderMorseEncoder."&lt;init&gt;", org/apache/commons/codec/language/bm/BeiderMorseEncoder.setNameType, org/apache/commons/codec/language/bm/BeiderMorseEncoder.setRuleType, org/apache/commons/codec/language/bm/BeiderMorseEncoder.encode]</t>
  </si>
  <si>
    <t>@Ignore
@Test
public void testLongestEnglishSurname() throws EncoderException {
    BeiderMorseEncoder bmpm = new BeiderMorseEncoder();
    bmpm.setNameType(NameType.GENERIC);
    bmpm.setRuleType(RuleType.APPROX);
    bmpm.encode("MacGhilleseatheanaich");
}</t>
  </si>
  <si>
    <t>testLongestEnglishSurname</t>
  </si>
  <si>
    <t xml:space="preserve">Add @Ignore testLongestEnglishSurname which takes too long.
git-svn-id: https://svn.apache.org/repos/asf/commons/proper/codec/trunk@1151563 13f79535-47bb-0310-9956-ffa450edef68
</t>
  </si>
  <si>
    <t>[src/java/org/apache/commons/codec/language/bm/Languages.java, src/test/org/apache/commons/codec/binary/HexTest.java, src/java/org/apache/commons/codec/binary/BaseNCodec.java, src/java/org/apache/commons/codec/language/Caverphone1.java, src/java/org/apache/commons/codec/net/URLCodec.java, src/test/org/apache/commons/codec/binary/Base64Test.java, src/java/org/apache/commons/codec/language/Metaphone.java, src/test/org/apache/commons/codec/net/BCodecTest.java, src/java/org/apache/commons/codec/net/QCodec.java, src/test/org/apache/commons/codec/binary/Base64TestData.java, src/test/org/apache/commons/codec/binary/BaseNCodecTest.java, src/java/org/apache/commons/codec/DecoderException.java, src/java/org/apache/commons/codec/binary/Base32.java, src/java/org/apache/commons/codec/EncoderException.java, src/test/org/apache/commons/codec/StringEncoderAbstractTest.java, src/java/org/apache/commons/codec/net/BCodec.java, src/java/org/apache/commons/codec/binary/Base32OutputStream.java, src/java/org/apache/commons/codec/CharEncoding.java, src/test/org/apache/commons/codec/language/Caverphone1Test.java, src/java/org/apache/commons/codec/digest/DigestUtils.java, src/test/org/apache/commons/codec/net/QCodecTest.java, src/test/org/apache/commons/codec/CharEncodingTest.java, src/java/org/apache/commons/codec/binary/BinaryCodec.java, src/test/org/apache/commons/codec/language/bm/RuleTest.java, src/java/org/apache/commons/codec/binary/Hex.java, src/test/org/apache/commons/codec/language/ColognePhoneticTest.java, src/java/org/apache/commons/codec/language/bm/Lang.java, src/java/org/apache/commons/codec/language/RefinedSoundex.java, src/test/org/apache/commons/codec/language/bm/LanguageGuessingTest.java, src/java/org/apache/commons/codec/language/bm/PhoneticEngine.java, src/test/org/apache/commons/codec/net/RFC1522CodecTest.java, src/java/org/apache/commons/codec/binary/StringUtils.java, src/test/org/apache/commons/codec/binary/StringUtilsTest.java, src/java/org/apache/commons/codec/language/Soundex.java, src/test/org/apache/commons/codec/StringEncoderComparatorTest.java, src/java/org/apache/commons/codec/language/SoundexUtils.java, src/java/org/apache/commons/codec/BinaryEncoder.java, src/java/org/apache/commons/codec/language/bm/RuleType.java, src/test/org/apache/commons/codec/binary/Base64Codec13Test.java, src/java/org/apache/commons/codec/binary/BaseNCodecInputStream.java, src/java/org/apache/commons/codec/StringEncoder.java, src/test/org/apache/commons/codec/net/QuotedPrintableCodecTest.java, src/java/org/apache/commons/codec/binary/Base64OutputStream.java, src/test/org/apache/commons/codec/binary/Base32OutputStreamTest.java, src/java/org/apache/commons/codec/net/Utils.java, src/java/org/apache/commons/codec/language/DoubleMetaphone.java, src/test/org/apache/commons/codec/language/DoubleMetaphone2Test.java, src/test/org/apache/commons/codec/language/RefinedSoundexTest.java, src/test/org/apache/commons/codec/binary/Codec105ErrorInputStream.java, src/java/org/apache/commons/codec/language/ColognePhonetic.java, src/test/org/apache/commons/codec/language/Caverphone2Test.java, src/java/org/apache/commons/codec/Decoder.java, src/java/org/apache/commons/codec/binary/BaseNCodecOutputStream.java, src/java/org/apache/commons/codec/BinaryDecoder.java, src/test/org/apache/commons/codec/DecoderExceptionTest.java, src/java/org/apache/commons/codec/StringDecoder.java, src/test/org/apache/commons/codec/language/DoubleMetaphoneTest.java, src/java/org/apache/commons/codec/language/bm/Rule.java, src/java/org/apache/commons/codec/net/RFC1522Codec.java, src/test/org/apache/commons/codec/binary/Base64OutputStreamTest.java, src/test/org/apache/commons/codec/language/MetaphoneTest.java, src/test/org/apache/commons/codec/net/URLCodecTest.java, src/test/org/apache/commons/codec/language/bm/PhoneticEngineTest.java, src/java/org/apache/commons/codec/language/bm/ResourceConstants.java, src/test/org/apache/commons/codec/binary/Base32InputStreamTest.java, src/test/org/apache/commons/codec/binary/Base32TestData.java, src/java/org/apache/commons/codec/Encoder.java, src/java/org/apache/commons/codec/binary/Base64InputStream.java, src/java/org/apache/commons/codec/language/Caverphone2.java, src/java/org/apache/commons/codec/net/QuotedPrintableCodec.java, src/test/org/apache/commons/codec/language/bm/BeiderMorseEncoderTest.java, src/java/org/apache/commons/codec/binary/Base32InputStream.java, src/java/org/apache/commons/codec/binary/Base64.java, src/java/org/apache/commons/codec/language/AbstractCaverphone.java, src/test/org/apache/commons/codec/net/UtilsTest.java, src/java/org/apache/commons/codec/language/bm/NameType.java, src/test/org/apache/commons/codec/language/SoundexTest.java, src/test/org/apache/commons/codec/BinaryEncoderAbstractTest.java, src/test/org/apache/commons/codec/binary/Base32Test.java, src/java/org/apache/commons/codec/StringEncoderComparator.java, src/test/org/apache/commons/codec/binary/Base64InputStreamTest.java, src/test/org/apache/commons/codec/binary/BinaryCodecTest.java, src/java/org/apache/commons/codec/language/bm/BeiderMorseEncoder.java, src/test/org/apache/commons/codec/EncoderExceptionTest.java, src/test/org/apache/commons/codec/digest/DigestUtilsTest.java]</t>
  </si>
  <si>
    <t>common method increased</t>
  </si>
  <si>
    <t>[ADD]</t>
  </si>
  <si>
    <t>org.apache.commons.codec.net.QuotedPrintableCodecTest</t>
  </si>
  <si>
    <t>7e8c20bd1b0593c3496a168be573aed40609a433</t>
  </si>
  <si>
    <t>35cbae7087f2fef6dcf38c3d4fcac0b4d62cb1eb</t>
  </si>
  <si>
    <t>[org/apache/commons/codec/net/QuotedPrintableCodec."&lt;init&gt;", org/apache/commons/codec/net/QuotedPrintableCodec.encode, org/apache/commons/codec/net/QuotedPrintableCodec.decode]
[org/apache/commons/codec/net/QuotedPrintableCodec."&lt;init&gt;", org/apache/commons/codec/net/QuotedPrintableCodec.decode, org/apache/commons/codec/net/QuotedPrintableCodec.encode, org/apache/commons/codec/net/QuotedPrintableCodec.decode]</t>
  </si>
  <si>
    <t>testSkipNotEncodedCRLF</t>
  </si>
  <si>
    <t>[org/apache/commons/codec/net/QuotedPrintableCodec.decode]</t>
  </si>
  <si>
    <t xml:space="preserve">[CODEC-121] QuotedPrintableCodec does not support soft line break per the 'quoted-printable' example on Wikipedia. Apply patch with minor modifications.
git-svn-id: https://svn.apache.org/repos/asf/commons/proper/codec/trunk@1297993 13f79535-47bb-0310-9956-ffa450edef68
</t>
  </si>
  <si>
    <t>[src/test/java/org/apache/commons/codec/binary/Base64TestData.java, src/test/java/org/apache/commons/codec/binary/BaseNCodecTest.java, src/main/java/org/apache/commons/codec/Decoder.java, src/main/java/org/apache/commons/codec/binary/Hex.java, src/main/java/org/apache/commons/codec/language/Caverphone1.java, src/main/java/org/apache/commons/codec/language/Caverphone2.java, src/main/java/org/apache/commons/codec/language/bm/Lang.java, src/test/java/org/apache/commons/codec/binary/Codec105ErrorInputStream.java, src/main/java/org/apache/commons/codec/net/QuotedPrintableCodec.java, src/test/java/org/apache/commons/codec/language/DoubleMetaphone2Test.java, src/main/java/org/apache/commons/codec/language/bm/Languages.java, src/main/java/org/apache/commons/codec/Encoder.java, src/main/java/org/apache/commons/codec/binary/BaseNCodec.java, src/test/java/org/apache/commons/codec/language/Caverphone2Test.java, src/test/java/org/apache/commons/codec/language/SoundexTest.java, src/main/java/org/apache/commons/codec/BinaryEncoder.java, src/main/java/org/apache/commons/codec/StringEncoder.java, src/test/java/org/apache/commons/codec/language/RefinedSoundexTest.java,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src/test/java/org/apache/commons/codec/language/bm/PhoneticEngineTest.java, src/test/java/org/apache/commons/codec/BinaryEncoderAbstractTest.java, src/test/java/org/apache/commons/codec/net/QCodecTest.java, src/test/java/org/apache/commons/codec/CharEncodingTest.java, src/main/java/org/apache/commons/codec/binary/Base32.java, src/test/java/org/apache/commons/codec/StringEncoderAbstractTest.java, src/main/java/org/apache/commons/codec/language/DoubleMetaphone.java, src/test/java/org/apache/commons/codec/binary/Base64Test.java, src/main/java/org/apache/commons/codec/BinaryDecoder.java, src/main/java/org/apache/commons/codec/language/RefinedSoundex.java, src/main/java/org/apache/commons/codec/StringDecoder.java, src/main/java/org/apache/commons/codec/binary/Base64InputStream.java, src/main/java/org/apache/commons/codec/language/bm/Rule.java, src/test/java/org/apache/commons/codec/language/MetaphoneTest.java, src/test/java/org/apache/commons/codec/net/RFC1522CodecTest.java, src/test/java/org/apache/commons/codec/language/bm/BeiderMorseEncoderTest.java, src/test/java/org/apache/commons/codec/net/UtilsTest.java, src/main/java/org/apache/commons/codec/language/bm/RuleType.java, src/main/java/org/apache/commons/codec/binary/BaseNCodecOutputStream.java, src/main/java/org/apache/commons/codec/language/bm/BeiderMorseEncoder.java, src/test/java/org/apache/commons/codec/binary/StringUtilsTest.java, src/test/java/org/apache/commons/codec/binary/Base32InputStreamTest.java, src/main/java/org/apache/commons/codec/binary/Base64.java,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src/main/java/org/apache/commons/codec/StringEncoderComparator.java, src/test/java/org/apache/commons/codec/binary/BinaryCodecTest.java, src/main/java/org/apache/commons/codec/net/Utils.java,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src/main/java/org/apache/commons/codec/language/Caverphone.java, src/main/java/org/apache/commons/codec/language/ColognePhonetic.java, src/test/java/org/apache/commons/codec/binary/Base64Codec13Test.java, src/main/java/org/apache/commons/codec/binary/Base64OutputStream.java, src/main/java/org/apache/commons/codec/language/Soundex.java, src/main/java/org/apache/commons/codec/binary/Base32InputStream.java,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src/test/java/org/apache/commons/codec/digest/DigestUtilsTest.java, src/main/java/org/apache/commons/codec/binary/StringUtils.java, src/main/java/org/apache/commons/codec/net/URLCodec.java, src/main/java/org/apache/commons/codec/digest/DigestUtils.java, src/test/java/org/apache/commons/codec/EncoderExceptionTest.java, src/main/java/org/apache/commons/codec/CharEncoding.java, src/test/java/org/apache/commons/codec/net/URLCodecTest.java, src/main/java/org/apache/commons/codec/net/BCodec.java, src/test/java/org/apache/commons/codec/language/Caverphone1Test.java, src/test/java/org/apache/commons/codec/binary/Base32Test.java, src/test/java/org/apache/commons/codec/language/ColognePhoneticTest.java, src/main/java/org/apache/commons/codec/language/Metaphone.java, src/test/java/org/apache/commons/codec/DecoderExceptionTest.java, src/main/java/org/apache/commons/codec/language/bm/PhoneticEngine.java, src/main/java/org/apache/commons/codec/binary/Base32OutputStream.java, src/test/java/org/apache/commons/codec/StringEncoderComparatorTest.java, src/test/java/org/apache/commons/codec/language/DoubleMetaphoneTest.java, src/main/java/org/apache/commons/codec/net/RFC1522Codec.java, src/test/java/org/apache/commons/codec/binary/Base32OutputStreamTest.java]</t>
  </si>
  <si>
    <t>testEncodeNull</t>
  </si>
  <si>
    <t>@Test
public void testEncodeNull() throws Exception {
    QuotedPrintableCodec qpcodec = new QuotedPrintableCodec();
    byte[] plain = null;
    byte[] encoded = qpcodec.encode(plain);
    assertEquals("Encoding a null string should return null", null, encoded);
}</t>
  </si>
  <si>
    <t>@Test
public void testEncodeNull() throws Exception {
    QuotedPrintableCodec qpcodec = new QuotedPrintableCodec();
    byte[] plain = null;
    byte[] encoded = qpcodec.encode(plain);
    assertEquals("Encoding a null string should return null", null, encoded);
}
@Test
public void testTrailingSpecial() throws Exception {
    final QuotedPrintableCodec qpcodec = new QuotedPrintableCodec();
    String plain = "This is a example of a quoted-printable text file. This might contain sp=cial chars.";
    String expected = "This is a example of a quoted-printable text file. This might contain sp=3D=\r\ncial chars.";
    assertEquals(expected, qpcodec.encode(plain));
    plain = "This is a example of a quoted-printable text file. This might contain ta\tbs as well.";
    expected = "This is a example of a quoted-printable text file. This might contain ta=09=\r\nbs as well.";
    assertEquals(expected, qpcodec.encode(plain));
}</t>
  </si>
  <si>
    <t>@Test public void testEncodeNull() throws Exception { QuotedPrintableCodec qpcodec = new QuotedPrintableCodec(); byte[] plain = null; byte[] encoded = qpcodec.encode(plain); assertEquals("S", null, encoded); }
@Test public void testTrailingSpecial() throws Exception { final QuotedPrintableCodec qpcodec = new QuotedPrintableCodec(); String plain = "S"; String expected = "S"; assertEquals(expected, qpcodec.encode(plain)); plain = "S"; expected = "S"; assertEquals(expected, qpcodec.encode(plain)); }</t>
  </si>
  <si>
    <t>[org/apache/commons/codec/net/QuotedPrintableCodec."&lt;init&gt;", org/apache/commons/codec/net/QuotedPrintableCodec.encode]
[org/apache/commons/codec/net/QuotedPrintableCodec."&lt;init&gt;", org/apache/commons/codec/net/QuotedPrintableCodec.encode, org/apache/commons/codec/net/QuotedPrintableCodec.encode]</t>
  </si>
  <si>
    <t>@Test
public void testTrailingSpecial() throws Exception {
    final QuotedPrintableCodec qpcodec = new QuotedPrintableCodec();
    String plain = "This is a example of a quoted-printable text file. This might contain sp=cial chars.";
    String expected = "This is a example of a quoted-printable text file. This might contain sp=3D=\r\ncial chars.";
    assertEquals(expected, qpcodec.encode(plain));
    plain = "This is a example of a quoted-printable text file. This might contain ta\tbs as well.";
    expected = "This is a example of a quoted-printable text file. This might contain ta=09=\r\nbs as well.";
    assertEquals(expected, qpcodec.encode(plain));
}</t>
  </si>
  <si>
    <t>testTrailingSpecial</t>
  </si>
  <si>
    <t>similar assertion duplicated</t>
  </si>
  <si>
    <t>same code block repeat</t>
  </si>
  <si>
    <t>testFinalBytes</t>
  </si>
  <si>
    <t>org.apache.commons.codec.language.NysiisTest</t>
  </si>
  <si>
    <t>805103c2fd53bf2a82575699da9b4f38a59c17fe</t>
  </si>
  <si>
    <t>84e1e79f3837fd112ae33ce03102abfe55ceedd4</t>
  </si>
  <si>
    <t>testDropBy</t>
  </si>
  <si>
    <t>@Test
public void testDropBy() throws EncoderException {
    List&lt;String[]&gt; testValues = Arrays.asList(new String[] { "MACINTOSH", "MCANT" }, new String[] { "KNUTH", "NAT" }, new String[] { "KOEHN", "CAN" }, new String[] { "PHILLIPSON", "FALAPSAN" }, new String[] { "PFEISTER", "FASTAR" }, new String[] { "MCKEE", "MCY" }, new String[] { "MACKIE", "MCY" }, new String[] { "HEITSCHMIDT", "HATSNAD" }, new String[] { "BART", "BAD" }, new String[] { "HURD", "HAD" }, new String[] { "HUNT", "HAD" }, new String[] { "WESTERLUND", "WASTARLAD" }, new String[] { "CASSTEVENS", "CASTAFAN" }, new String[] { "VASQUEZ", "VASG" }, new String[] { "FRAZIER", "FRASAR" }, new String[] { "BOWMAN", "BANAN" }, new String[] { "RICKERT", "RACAD" }, new String[] { "DEUTSCH", "DAT" }, new String[] { "WESTPHAL", "WASTFAL" }, new String[] { "SHRIVER", "SRAVAR" }, new String[] { "KUHL", "CAL" }, new String[] { "RAWSON", "RASAN" }, new String[] { "JILES", "JAL" }, new String[] { "CARRAWAY", "CARY" }, new String[] { "YAMADA", "YANAD" });
    for (String[] arr : testValues) {
        Assert.assertEquals("Problem with " + arr[0], arr[1], createStringEncoder(false).encode(arr[0]));
    }
}</t>
  </si>
  <si>
    <t>@Test
public void testDropBy() throws EncoderException {
    List&lt;String[]&gt; testValues = Arrays.asList(new String[] { "MACINTOSH", "MCANT" }, new String[] { "KNUTH", "NAT" }, new String[] { "KOEHN", "CAN" }, new String[] { "PHILLIPSON", "FALAPSAN" }, new String[] { "PFEISTER", "FASTAR" }, new String[] { "MCKEE", "MCY" }, new String[] { "MACKIE", "MCY" }, new String[] { "HEITSCHMIDT", "HATSNAD" }, new String[] { "BART", "BAD" }, new String[] { "HURD", "HAD" }, new String[] { "HUNT", "HAD" }, new String[] { "WESTERLUND", "WASTARLAD" }, new String[] { "CASSTEVENS", "CASTAFAN" }, new String[] { "VASQUEZ", "VASG" }, new String[] { "FRAZIER", "FRASAR" }, new String[] { "BOWMAN", "BANAN" }, new String[] { "RICKERT", "RACAD" }, new String[] { "DEUTSCH", "DAT" }, new String[] { "WESTPHAL", "WASTFAL" }, new String[] { "SHRIVER", "SRAVAR" }, new String[] { "KUHL", "CAL" }, new String[] { "RAWSON", "RASAN" }, new String[] { "JILES", "JAL" }, new String[] { "CARRAWAY", "CARY" }, new String[] { "YAMADA", "YANAD" });
    for (String[] arr : testValues) {
        Assert.assertEquals("Problem with " + arr[0], arr[1], createStringEncoder(false).encode(arr[0]));
    }
}
/**
 * Tests data gathered from around the internets.
 *
 * @throws EncoderException
 */
@Test
public void testDropBy2() throws EncoderException {
    List&lt;String[]&gt; testValues = Arrays.asList(// http://www.dropby.com/indexLF.html?content=/NYSIIS.html
    // 1. Transcode first characters of name
    new String[] { "MACINTOSH", "MCANT" }, //new String[] { "KNUTH", "NNATH" }, // Original: NNAT; modified: NATH
    //new String[] { "KOEHN", "C" },
    //new String[] { "PHILLIPSON", "FFALAP" },
    //new String[] { "PFEISTER", "FFASTA" },
    //new String[] { "SCHOENHOEFT", "SSANAF" },
    // http://www.dropby.com/indexLF.html?content=/NYSIIS.html
    // 2.Transcode last characters of name:
    new String[] { "MCKEE", "MCY" }, new String[] { "MACKIE", "MCY" }, new String[] { "HEITSCHMIDT", "HATSNAD" }, new String[] { "BART", "BAD" }, new String[] { "HURD", "HAD" }, new String[] { "HUNT", "HAD" }, new String[] { "WESTERLUND", "WASTARLAD" }, // http://www.dropby.com/indexLF.html?content=/NYSIIS.html
    // 4. Transcode remaining characters by following these rules, incrementing by one character each time:
    new String[] { "CASSTEVENS", "CASTAFAN" }, new String[] { "VASQUEZ", "VASG" }, new String[] { "FRAZIER", "FRASAR" }, new String[] { "BOWMAN", "BANAN" }, new String[] { "MCKNIGHT", "MCNAGT" }, new String[] { "RICKERT", "RACAD" }, //new String[] { "DEUTSCH", "DATS" },
    new String[] { "WESTPHAL", "WASTFAL" }, //new String[] { "SHRIVER", "SHRAVA" },
    //new String[] { "KUHL", "C" },
    new String[] { "RAWSON", "RASAN" }, // If last character is S, remove it
    new String[] { "JILES", "JAL" }, //new String[] { "CARRAWAY", "CARAY" },
    new String[] { "YAMADA", "YANAD" });
    for (String[] arr : testValues) {
        Assert.assertEquals("Problem with " + arr[0], arr[1], createStringEncoder(false).encode(arr[0]));
    }
}</t>
  </si>
  <si>
    <t>@Test public void testDropBy() throws EncoderException { List&lt;String[]&gt; testValues = Arrays.asList(new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}); for (String[] arr : testValues) { Assert.assertEquals("S" + arr[0], arr[0], createStringEncoder(false).encode(arr[0])); } }
@Test public void testDropBy2() throws EncoderException { List&lt;String[]&gt; testValues = Arrays.asList(new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}, new String[] { "S", "S" }); for (String[] arr : testValues) { Assert.assertEquals("S" + arr[0], arr[0], createStringEncoder(false).encode(arr[0])); } }</t>
  </si>
  <si>
    <t>[java/util/Arrays.asList, java/util/List.iterator, java/util/Iterator.hasNext, java/util/Iterator.next, java/lang/StringBuilder."&lt;init&gt;", java/lang/StringBuilder.append, java/lang/StringBuilder.append, java/lang/StringBuilder.toString, .createStringEncoder, org/apache/commons/codec/StringEncoder.encode]
[java/util/Arrays.asList, java/util/List.iterator, java/util/Iterator.hasNext, java/util/Iterator.next, java/lang/StringBuilder."&lt;init&gt;", java/lang/StringBuilder.append, java/lang/StringBuilder.append, java/lang/StringBuilder.toString, .createStringEncoder, org/apache/commons/codec/StringEncoder.encode]</t>
  </si>
  <si>
    <t>/**
 * Tests data gathered from around the internets.
 *
 * @throws EncoderException
 */
@Test
public void testDropBy2() throws EncoderException {
    List&lt;String[]&gt; testValues = Arrays.asList(// http://www.dropby.com/indexLF.html?content=/NYSIIS.html
    // 1. Transcode first characters of name
    new String[] { "MACINTOSH", "MCANT" }, //new String[] { "KNUTH", "NNATH" }, // Original: NNAT; modified: NATH
    //new String[] { "KOEHN", "C" },
    //new String[] { "PHILLIPSON", "FFALAP" },
    //new String[] { "PFEISTER", "FFASTA" },
    //new String[] { "SCHOENHOEFT", "SSANAF" },
    // http://www.dropby.com/indexLF.html?content=/NYSIIS.html
    // 2.Transcode last characters of name:
    new String[] { "MCKEE", "MCY" }, new String[] { "MACKIE", "MCY" }, new String[] { "HEITSCHMIDT", "HATSNAD" }, new String[] { "BART", "BAD" }, new String[] { "HURD", "HAD" }, new String[] { "HUNT", "HAD" }, new String[] { "WESTERLUND", "WASTARLAD" }, // http://www.dropby.com/indexLF.html?content=/NYSIIS.html
    // 4. Transcode remaining characters by following these rules, incrementing by one character each time:
    new String[] { "CASSTEVENS", "CASTAFAN" }, new String[] { "VASQUEZ", "VASG" }, new String[] { "FRAZIER", "FRASAR" }, new String[] { "BOWMAN", "BANAN" }, new String[] { "MCKNIGHT", "MCNAGT" }, new String[] { "RICKERT", "RACAD" }, //new String[] { "DEUTSCH", "DATS" },
    new String[] { "WESTPHAL", "WASTFAL" }, //new String[] { "SHRIVER", "SHRAVA" },
    //new String[] { "KUHL", "C" },
    new String[] { "RAWSON", "RASAN" }, // If last character is S, remove it
    new String[] { "JILES", "JAL" }, //new String[] { "CARRAWAY", "CARAY" },
    new String[] { "YAMADA", "YANAD" });
    for (String[] arr : testValues) {
        Assert.assertEquals("Problem with " + arr[0], arr[1], createStringEncoder(false).encode(arr[0]));
    }
}</t>
  </si>
  <si>
    <t>testDropBy2</t>
  </si>
  <si>
    <t>[java/lang/StringBuilder."&lt;init&gt;", java/lang/StringBuilder.toString, java/util/Iterator.next, java/util/List.iterator, java/lang/StringBuilder.append, java/util/Arrays.asList, java/util/Iterator.hasNext]</t>
  </si>
  <si>
    <t xml:space="preserve">[CODEC-63] Implement NYSIIS. Adding Encoder class and test both in the test directory until the encoder is fully baked. This should make it easier to patch further.
git-svn-id: https://svn.apache.org/repos/asf/commons/proper/codec/trunk@1298389 13f79535-47bb-0310-9956-ffa450edef68
</t>
  </si>
  <si>
    <t>[src/test/java/org/apache/commons/codec/binary/Base64TestData.java, src/test/java/org/apache/commons/codec/binary/BaseNCodecTest.java, src/main/java/org/apache/commons/codec/Decoder.java, src/main/java/org/apache/commons/codec/binary/Hex.java, src/main/java/org/apache/commons/codec/language/Caverphone1.java, src/main/java/org/apache/commons/codec/language/Caverphone2.java, src/main/java/org/apache/commons/codec/language/bm/Lang.java, src/test/java/org/apache/commons/codec/binary/Codec105ErrorInputStream.java, src/main/java/org/apache/commons/codec/net/QuotedPrintableCodec.java, src/test/java/org/apache/commons/codec/language/DoubleMetaphone2Test.java, src/main/java/org/apache/commons/codec/language/bm/Languages.java, src/main/java/org/apache/commons/codec/Encoder.java, src/main/java/org/apache/commons/codec/binary/BaseNCodec.java, src/test/java/org/apache/commons/codec/language/Caverphone2Test.java, src/test/java/org/apache/commons/codec/language/SoundexTest.java, src/main/java/org/apache/commons/codec/BinaryEncoder.java, src/main/java/org/apache/commons/codec/StringEncoder.java, src/test/java/org/apache/commons/codec/language/RefinedSoundexTest.java, src/test/java/org/apache/commons/codec/language/Nysiis.java,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src/test/java/org/apache/commons/codec/language/bm/PhoneticEngineTest.java, src/test/java/org/apache/commons/codec/BinaryEncoderAbstractTest.java, src/test/java/org/apache/commons/codec/net/QCodecTest.java, src/test/java/org/apache/commons/codec/CharEncodingTest.java, src/main/java/org/apache/commons/codec/binary/Base32.java, src/test/java/org/apache/commons/codec/StringEncoderAbstractTest.java, src/main/java/org/apache/commons/codec/language/DoubleMetaphone.java, src/test/java/org/apache/commons/codec/binary/Base64Test.java, src/main/java/org/apache/commons/codec/BinaryDecoder.java, src/main/java/org/apache/commons/codec/language/RefinedSoundex.java, src/main/java/org/apache/commons/codec/StringDecoder.java, src/main/java/org/apache/commons/codec/binary/Base64InputStream.java, src/main/java/org/apache/commons/codec/language/bm/Rule.java, src/test/java/org/apache/commons/codec/language/MetaphoneTest.java, src/test/java/org/apache/commons/codec/net/RFC1522CodecTest.java, src/test/java/org/apache/commons/codec/language/bm/BeiderMorseEncoderTest.java,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src/main/java/org/apache/commons/codec/language/bm/BeiderMorseEncoder.java, src/test/java/org/apache/commons/codec/binary/StringUtilsTest.java, src/test/java/org/apache/commons/codec/binary/Base32InputStreamTest.java, src/main/java/org/apache/commons/codec/binary/Base64.java,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src/main/java/org/apache/commons/codec/StringEncoderComparator.java, src/test/java/org/apache/commons/codec/binary/BinaryCodecTest.java, src/main/java/org/apache/commons/codec/net/Utils.java,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src/main/java/org/apache/commons/codec/language/Caverphone.java, src/main/java/org/apache/commons/codec/language/ColognePhonetic.java, src/test/java/org/apache/commons/codec/binary/Base64Codec13Test.java, src/main/java/org/apache/commons/codec/binary/Base64OutputStream.java, src/main/java/org/apache/commons/codec/language/Soundex.java, src/main/java/org/apache/commons/codec/binary/Base32InputStream.java,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src/test/java/org/apache/commons/codec/digest/DigestUtilsTest.java, src/main/java/org/apache/commons/codec/binary/StringUtils.java, src/main/java/org/apache/commons/codec/net/URLCodec.java, src/main/java/org/apache/commons/codec/digest/DigestUtils.java, src/test/java/org/apache/commons/codec/EncoderExceptionTest.java, src/main/java/org/apache/commons/codec/CharEncoding.java, src/test/java/org/apache/commons/codec/net/URLCodecTest.java, src/main/java/org/apache/commons/codec/net/BCodec.java, src/test/java/org/apache/commons/codec/language/Caverphone1Test.java, src/test/java/org/apache/commons/codec/binary/Base32Test.java, src/test/java/org/apache/commons/codec/language/ColognePhoneticTest.java, src/main/java/org/apache/commons/codec/language/Metaphone.java, src/test/java/org/apache/commons/codec/DecoderExceptionTest.java, src/main/java/org/apache/commons/codec/language/bm/PhoneticEngine.java, src/main/java/org/apache/commons/codec/binary/Base32OutputStream.java, src/test/java/org/apache/commons/codec/StringEncoderComparatorTest.java, src/test/java/org/apache/commons/codec/language/DoubleMetaphoneTest.java, src/main/java/org/apache/commons/codec/net/RFC1522Codec.java, src/test/java/org/apache/commons/codec/binary/Base32OutputStreamTest.java]</t>
  </si>
  <si>
    <t>partially similar</t>
  </si>
  <si>
    <t>new feature</t>
  </si>
  <si>
    <t>more test/coverage exploration</t>
  </si>
  <si>
    <t>60cd70bcee64829c4756e0e7403f43fb385f99e6</t>
  </si>
  <si>
    <t>a68102b3a67cab09f0898ee05cc7547e12061b82</t>
  </si>
  <si>
    <t>testRule5</t>
  </si>
  <si>
    <t>/**
 * Tests rule 5: If last character is S, remove it.
 *
 * @throws EncoderException
 */
@Test
public void testRule5() throws EncoderException {
    List&lt;String[]&gt; testValues = Arrays.asList(new String[] { "XS", "X" }, new String[] { "XSS", "X" });
    for (String[] arr : testValues) {
        Assert.assertEquals("Problem with " + arr[0], arr[1], this.fullNysiis.encode(arr[0]));
    }
}</t>
  </si>
  <si>
    <t>/**
 * Tests rule 5: If last character is S, remove it.
 *
 * @throws EncoderException
 */
@Test
public void testRule5() throws EncoderException {
    List&lt;String[]&gt; testValues = Arrays.asList(new String[] { "XS", "X" }, new String[] { "XSS", "X" });
    for (String[] arr : testValues) {
        Assert.assertEquals("Problem with " + arr[0], arr[1], this.fullNysiis.encode(arr[0]));
    }
}
/**
 * Tests rule 4.2: Q → G, Z → S, M → N
 *
 * @throws EncoderException
 */
@Test
public void testRule4Dot2() throws EncoderException {
    List&lt;String[]&gt; testValues = Arrays.asList(new String[] { "XQ", "XG" }, new String[] { "XZ", "X" }, new String[] { "XM", "XN" });
    for (String[] arr : testValues) {
        Assert.assertEquals("Problem with " + arr[0], arr[1], this.fullNysiis.encode(arr[0]));
    }
}</t>
  </si>
  <si>
    <t>@Test public void testRule5() throws EncoderException { List&lt;String[]&gt; testValues = Arrays.asList(new String[] { "S", "S" }, new String[] { "S", "S" }); for (String[] arr : testValues) { Assert.assertEquals("S" + arr[0], arr[0], this.fullNysiis.encode(arr[0])); } }
@Test public void testRule4Dot2() throws EncoderException { List&lt;String[]&gt; testValues = Arrays.asList(new String[] { "S", "S" }, new String[] { "S", "S" }, new String[] { "S", "S" }); for (String[] arr : testValues) { Assert.assertEquals("S" + arr[0], arr[0], this.fullNysiis.encode(arr[0])); } }</t>
  </si>
  <si>
    <t>[java/util/Arrays.asList, java/util/List.iterator, java/util/Iterator.hasNext, java/util/Iterator.next, java/lang/StringBuilder."&lt;init&gt;", java/lang/StringBuilder.append, java/lang/StringBuilder.append, java/lang/StringBuilder.toString, org/apache/commons/codec/language/Nysiis.encode]
[java/util/Arrays.asList, java/util/List.iterator, java/util/Iterator.hasNext, java/util/Iterator.next, java/lang/StringBuilder."&lt;init&gt;", java/lang/StringBuilder.append, java/lang/StringBuilder.append, java/lang/StringBuilder.toString, org/apache/commons/codec/language/Nysiis.encode]</t>
  </si>
  <si>
    <t>/**
 * Tests rule 4.2: Q → G, Z → S, M → N
 *
 * @throws EncoderException
 */
@Test
public void testRule4Dot2() throws EncoderException {
    List&lt;String[]&gt; testValues = Arrays.asList(new String[] { "XQ", "XG" }, new String[] { "XZ", "X" }, new String[] { "XM", "XN" });
    for (String[] arr : testValues) {
        Assert.assertEquals("Problem with " + arr[0], arr[1], this.fullNysiis.encode(arr[0]));
    }
}</t>
  </si>
  <si>
    <t>testRule4Dot2</t>
  </si>
  <si>
    <t xml:space="preserve">Tests rule 4.2: Q → G, Z → S, M → N
git-svn-id: https://svn.apache.org/repos/asf/commons/proper/codec/trunk@1298645 13f79535-47bb-0310-9956-ffa450edef68
</t>
  </si>
  <si>
    <t>[src/test/java/org/apache/commons/codec/binary/Base64TestData.java, src/test/java/org/apache/commons/codec/binary/BaseNCodecTest.java, src/main/java/org/apache/commons/codec/Decoder.java, src/main/java/org/apache/commons/codec/binary/Hex.java, src/main/java/org/apache/commons/codec/language/Caverphone1.java, src/main/java/org/apache/commons/codec/language/Caverphone2.java, src/main/java/org/apache/commons/codec/language/bm/Lang.java, src/test/java/org/apache/commons/codec/binary/Codec105ErrorInputStream.java, src/main/java/org/apache/commons/codec/net/QuotedPrintableCodec.java, src/test/java/org/apache/commons/codec/language/DoubleMetaphone2Test.java, src/main/java/org/apache/commons/codec/language/bm/Languages.java, src/main/java/org/apache/commons/codec/Encoder.java, src/main/java/org/apache/commons/codec/binary/BaseNCodec.java, src/test/java/org/apache/commons/codec/language/Caverphone2Test.java, src/test/java/org/apache/commons/codec/language/SoundexTest.java, src/main/java/org/apache/commons/codec/BinaryEncoder.java, src/main/java/org/apache/commons/codec/StringEncoder.java, src/test/java/org/apache/commons/codec/language/RefinedSoundexTest.java,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src/test/java/org/apache/commons/codec/language/bm/PhoneticEngineTest.java, src/test/java/org/apache/commons/codec/BinaryEncoderAbstractTest.java, src/test/java/org/apache/commons/codec/net/QCodecTest.java, src/test/java/org/apache/commons/codec/CharEncodingTest.java, src/main/java/org/apache/commons/codec/binary/Base32.java, src/test/java/org/apache/commons/codec/StringEncoderAbstractTest.java, src/main/java/org/apache/commons/codec/language/DoubleMetaphone.java, src/test/java/org/apache/commons/codec/binary/Base64Test.java, src/main/java/org/apache/commons/codec/BinaryDecoder.java, src/main/java/org/apache/commons/codec/language/RefinedSoundex.java, src/main/java/org/apache/commons/codec/StringDecoder.java, src/main/java/org/apache/commons/codec/binary/Base64InputStream.java, src/main/java/org/apache/commons/codec/language/bm/Rule.java, src/test/java/org/apache/commons/codec/language/MetaphoneTest.java, src/test/java/org/apache/commons/codec/net/RFC1522CodecTest.java, src/test/java/org/apache/commons/codec/language/bm/BeiderMorseEncoderTest.java,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src/main/java/org/apache/commons/codec/language/bm/BeiderMorseEncoder.java, src/test/java/org/apache/commons/codec/binary/StringUtilsTest.java, src/test/java/org/apache/commons/codec/binary/Base32InputStreamTest.java, src/main/java/org/apache/commons/codec/binary/Base64.java,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src/main/java/org/apache/commons/codec/StringEncoderComparator.java, src/main/java/org/apache/commons/codec/language/Nysiis.java, src/test/java/org/apache/commons/codec/binary/BinaryCodecTest.java, src/main/java/org/apache/commons/codec/net/Utils.java,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src/main/java/org/apache/commons/codec/language/Caverphone.java, src/main/java/org/apache/commons/codec/language/ColognePhonetic.java, src/test/java/org/apache/commons/codec/binary/Base64Codec13Test.java, src/main/java/org/apache/commons/codec/binary/Base64OutputStream.java, src/main/java/org/apache/commons/codec/language/Soundex.java, src/main/java/org/apache/commons/codec/binary/Base32InputStream.java,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src/test/java/org/apache/commons/codec/digest/DigestUtilsTest.java, src/main/java/org/apache/commons/codec/binary/StringUtils.java, src/main/java/org/apache/commons/codec/net/URLCodec.java, src/main/java/org/apache/commons/codec/digest/DigestUtils.java, src/test/java/org/apache/commons/codec/EncoderExceptionTest.java, src/main/java/org/apache/commons/codec/CharEncoding.java, src/test/java/org/apache/commons/codec/net/URLCodecTest.java, src/main/java/org/apache/commons/codec/net/BCodec.java, src/test/java/org/apache/commons/codec/language/Caverphone1Test.java, src/test/java/org/apache/commons/codec/binary/Base32Test.java, src/test/java/org/apache/commons/codec/language/ColognePhoneticTest.java, src/main/java/org/apache/commons/codec/language/Metaphone.java, src/test/java/org/apache/commons/codec/DecoderExceptionTest.java, src/main/java/org/apache/commons/codec/language/bm/PhoneticEngine.java, src/main/java/org/apache/commons/codec/binary/Base32OutputStream.java, src/test/java/org/apache/commons/codec/StringEncoderComparatorTest.java, src/test/java/org/apache/commons/codec/language/DoubleMetaphoneTest.java, src/main/java/org/apache/commons/codec/net/RFC1522Codec.java, src/test/java/org/apache/commons/codec/binary/Base32OutputStreamTest.java]</t>
  </si>
  <si>
    <t>1fc451c79779bdbf788e8bfbec6dc031a47495d8</t>
  </si>
  <si>
    <t>caa142d0399f10ce3ec6fb843e679e2d8c07c43f</t>
  </si>
  <si>
    <t>testSkipNone</t>
  </si>
  <si>
    <t xml:space="preserve">[CODEC-130] Provided implementation of skip and available for BaseNCodecInputStream, added unit tests.
git-svn-id: https://svn.apache.org/repos/asf/commons/proper/codec/trunk@1302585 13f79535-47bb-0310-9956-ffa450edef68
</t>
  </si>
  <si>
    <t>new/update feature</t>
  </si>
  <si>
    <t>testSkipBig</t>
  </si>
  <si>
    <t>[java/io/ByteArrayInputStream."&lt;init&gt;"]</t>
  </si>
  <si>
    <t>exception annotation added</t>
  </si>
  <si>
    <t>org.apache.commons.codec.binary.Base64InputStreamTest</t>
  </si>
  <si>
    <t>/**
 * Tests skipping as a noop
 *
 * @throws Throwable
 */
@Test
public void testSkipNone() throws Throwable {
    InputStream ins = new ByteArrayInputStream(StringUtils.getBytesIso8859_1(ENCODED_B64));
    Base64InputStream b64stream = new Base64InputStream(ins);
    byte[] actualBytes = new byte[6];
    assertEquals(0, b64stream.skip(0));
    b64stream.read(actualBytes, 0, actualBytes.length);
    assertArrayEquals(actualBytes, new byte[] { 0, 0, 0, (byte) 255, (byte) 255, (byte) 255 });
    // End of stream reached
    assertEquals(-1, b64stream.read());
}</t>
  </si>
  <si>
    <t>/**
 * Tests skipping as a noop
 *
 * @throws Throwable
 */
@Test
public void testSkipNone() throws Throwable {
    InputStream ins = new ByteArrayInputStream(StringUtils.getBytesIso8859_1(ENCODED_B64));
    Base64InputStream b64stream = new Base64InputStream(ins);
    byte[] actualBytes = new byte[6];
    assertEquals(0, b64stream.skip(0));
    b64stream.read(actualBytes, 0, actualBytes.length);
    assertArrayEquals(actualBytes, new byte[] { 0, 0, 0, (byte) 255, (byte) 255, (byte) 255 });
    // End of stream reached
    assertEquals(-1, b64stream.read());
}
/**
 * Tests skipping number of characters larger than the internal buffer.
 *
 * @throws Throwable
 */
@Test
public void testSkipBig() throws Throwable {
    InputStream ins = new ByteArrayInputStream(StringUtils.getBytesIso8859_1(ENCODED_B64));
    Base64InputStream b64stream = new Base64InputStream(ins);
    assertEquals(6, b64stream.skip(1024));
    // End of stream reached
    assertEquals(-1, b64stream.read());
    assertEquals(-1, b64stream.read());
}</t>
  </si>
  <si>
    <t>@Test public void testSkipNone() throws Throwable { InputStream ins = new ByteArrayInputStream(StringUtils.getBytesIso8859_1(ENCODED_B64)); Base64InputStream b64stream = new Base64InputStream(ins); byte[] actualBytes = new byte[0]; assertEquals(0, b64stream.skip(0)); b64stream.read(actualBytes, 0, actualBytes.length); assertArrayEquals(actualBytes, new byte[] { 0, 0, 0, (byte) 0, (byte) 0, (byte) 0 }); assertEquals(-0, b64stream.read()); }
@Test public void testSkipBig() throws Throwable { InputStream ins = new ByteArrayInputStream(StringUtils.getBytesIso8859_1(ENCODED_B64)); Base64InputStream b64stream = new Base64InputStream(ins); assertEquals(0, b64stream.skip(0)); assertEquals(-0, b64stream.read()); assertEquals(-0, b64stream.read()); }</t>
  </si>
  <si>
    <t>[org/apache/commons/codec/binary/StringUtils.getBytesIso8859_1, java/io/ByteArrayInputStream."&lt;init&gt;", org/apache/commons/codec/binary/Base64InputStream."&lt;init&gt;", org/apache/commons/codec/binary/Base64InputStream.skip, org/apache/commons/codec/binary/Base64InputStream.read, org/apache/commons/codec/binary/Base64InputStream.read]
[org/apache/commons/codec/binary/StringUtils.getBytesIso8859_1, java/io/ByteArrayInputStream."&lt;init&gt;", org/apache/commons/codec/binary/Base64InputStream."&lt;init&gt;", org/apache/commons/codec/binary/Base64InputStream.skip, org/apache/commons/codec/binary/Base64InputStream.read, org/apache/commons/codec/binary/Base64InputStream.read]</t>
  </si>
  <si>
    <t>/**
 * Tests skipping number of characters larger than the internal buffer.
 *
 * @throws Throwable
 */
@Test
public void testSkipBig() throws Throwable {
    InputStream ins = new ByteArrayInputStream(StringUtils.getBytesIso8859_1(ENCODED_B64));
    Base64InputStream b64stream = new Base64InputStream(ins);
    assertEquals(6, b64stream.skip(1024));
    // End of stream reached
    assertEquals(-1, b64stream.read());
    assertEquals(-1, b64stream.read());
}</t>
  </si>
  <si>
    <t>comments exact same</t>
  </si>
  <si>
    <t>method replaced with overload | common method increased</t>
  </si>
  <si>
    <t>similar asserted methods/attributes | similar assertion duplicated</t>
  </si>
  <si>
    <t>org.apache.commons.codec.digest.DigestUtilsTest</t>
  </si>
  <si>
    <t>fdb6743af113595cde1a722305ca571f27d03d41</t>
  </si>
  <si>
    <t>531b5dcb45b80f1d72a305603e32105962b14ce7</t>
  </si>
  <si>
    <t>[org/apache/commons/codec/digest/DigestUtils.md2Hex]</t>
  </si>
  <si>
    <t xml:space="preserve">[CODEC-157] DigestUtils: Add MD2 APIs.
git-svn-id: https://svn.apache.org/repos/asf/commons/proper/codec/trunk@1380018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</si>
  <si>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src/test/java/org/apache/commons/codec/digest/DigestUtilsTest.java, src/main/java/org/apache/commons/codec/digest/DigestUtils.java, src/test/java/org/apache/commons/codec/EncoderExceptionTest.java,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src/test/java/org/apache/commons/codec/binary/Base32OutputStreamTest.java]</t>
  </si>
  <si>
    <t>[ADD, REM, ADD_MUL]</t>
  </si>
  <si>
    <t>testMD5HexLength</t>
  </si>
  <si>
    <t>/**
 * An MD5 hash converted to hex should always be 32 characters.
 */
@Test
public void testMD5HexLength() {
    String hashMe = "this is some string that is longer than 32 characters";
    String hash = DigestUtils.md5Hex(getBytesUtf8(hashMe));
    assertEquals(32, hash.length());
    hashMe = "length &lt; 32";
    hash = DigestUtils.md5Hex(getBytesUtf8(hashMe));
    assertEquals(32, hash.length());
}</t>
  </si>
  <si>
    <t>/**
 * An MD5 hash converted to hex should always be 32 characters.
 */
@Test
public void testMD5HexLength() {
    String hashMe = "this is some string that is longer than 32 characters";
    String hash = DigestUtils.md5Hex(getBytesUtf8(hashMe));
    assertEquals(32, hash.length());
    hashMe = "length &lt; 32";
    hash = DigestUtils.md5Hex(getBytesUtf8(hashMe));
    assertEquals(32, hash.length());
}
/**
 * An MD2 hash converted to hex should always be 32 characters.
 */
@Test
public void testMd2HexLength() {
    String hashMe = "this is some string that is longer than 32 characters";
    String hash = DigestUtils.md2Hex(getBytesUtf8(hashMe));
    assertEquals(32, hash.length());
    hashMe = "length &lt; 32";
    hash = DigestUtils.md2Hex(getBytesUtf8(hashMe));
    assertEquals(32, hash.length());
}</t>
  </si>
  <si>
    <t>@Test public void testMD5HexLength() { String hashMe = "S"; String hash = DigestUtils.md5Hex(getBytesUtf8(hashMe)); assertEquals(0, hash.length()); hashMe = "S"; hash = DigestUtils.md5Hex(getBytesUtf8(hashMe)); assertEquals(0, hash.length()); }
@Test public void testMd2HexLength() { String hashMe = "S"; String hash = DigestUtils.md2Hex(getBytesUtf8(hashMe)); assertEquals(0, hash.length()); hashMe = "S"; hash = DigestUtils.md2Hex(getBytesUtf8(hashMe)); assertEquals(0, hash.length()); }</t>
  </si>
  <si>
    <t>[.getBytesUtf8, org/apache/commons/codec/digest/DigestUtils.md5Hex, java/lang/String.length, .getBytesUtf8, org/apache/commons/codec/digest/DigestUtils.md5Hex, java/lang/String.length]
[.getBytesUtf8, org/apache/commons/codec/digest/DigestUtils.md2Hex, java/lang/String.length, .getBytesUtf8, org/apache/commons/codec/digest/DigestUtils.md2Hex, java/lang/String.length]</t>
  </si>
  <si>
    <t>/**
 * An MD2 hash converted to hex should always be 32 characters.
 */
@Test
public void testMd2HexLength() {
    String hashMe = "this is some string that is longer than 32 characters";
    String hash = DigestUtils.md2Hex(getBytesUtf8(hashMe));
    assertEquals(32, hash.length());
    hashMe = "length &lt; 32";
    hash = DigestUtils.md2Hex(getBytesUtf8(hashMe));
    assertEquals(32, hash.length());
}</t>
  </si>
  <si>
    <t>testMd2HexLength</t>
  </si>
  <si>
    <t>[java/lang/String.length, org/apache/commons/codec/digest/DigestUtils.md2Hex]</t>
  </si>
  <si>
    <t>/**
 * An MD2 hash should always be a 16 element byte[].
 */
@Test
public void testMd2Length() {
    String hashMe = "this is some string that is longer than 16 characters";
    byte[] hash = DigestUtils.md2(getBytesUtf8(hashMe));
    assertEquals(16, hash.length);
    hashMe = "length &lt; 16";
    hash = DigestUtils.md2(getBytesUtf8(hashMe));
    assertEquals(16, hash.length);
}</t>
  </si>
  <si>
    <t>testMd2Length</t>
  </si>
  <si>
    <t>c45a7d3ac48e5e10551b9c98a73b6cd8e1a06958</t>
  </si>
  <si>
    <t>33b47aa139c7a1a7bca6d56d37acaa3ed963eb35</t>
  </si>
  <si>
    <t xml:space="preserve">Use camel-case for test method names.
git-svn-id: https://svn.apache.org/repos/asf/commons/proper/codec/trunk@1380023 13f79535-47bb-0310-9956-ffa450edef68
</t>
  </si>
  <si>
    <t>/**
 * An MD2 hash should always be a 16 element byte[].
 */
@Test
public void testMd2Length() {
    String hashMe = "this is some string that is longer than 16 characters";
    byte[] hash = DigestUtils.md2(getBytesUtf8(hashMe));
    assertEquals(16, hash.length);
    hashMe = "length &lt; 16";
    hash = DigestUtils.md2(getBytesUtf8(hashMe));
    assertEquals(16, hash.length);
}
/**
 * An MD5 hash should always be a 16 element byte[].
 */
@Test
public void testMd5Length() {
    String hashMe = "this is some string that is longer than 16 characters";
    byte[] hash = DigestUtils.md5(getBytesUtf8(hashMe));
    assertEquals(16, hash.length);
    hashMe = "length &lt; 16";
    hash = DigestUtils.md5(getBytesUtf8(hashMe));
    assertEquals(16, hash.length);
}</t>
  </si>
  <si>
    <t>@Test public void testMd2Length() { String hashMe = "S"; byte[] hash = DigestUtils.md2(getBytesUtf8(hashMe)); assertEquals(0, hash.length); hashMe = "S"; hash = DigestUtils.md2(getBytesUtf8(hashMe)); assertEquals(0, hash.length); }
@Test public void testMd5Length() { String hashMe = "S"; byte[] hash = DigestUtils.md5(getBytesUtf8(hashMe)); assertEquals(0, hash.length); hashMe = "S"; hash = DigestUtils.md5(getBytesUtf8(hashMe)); assertEquals(0, hash.length); }</t>
  </si>
  <si>
    <t>[.getBytesUtf8, org/apache/commons/codec/digest/DigestUtils.md2, .getBytesUtf8, org/apache/commons/codec/digest/DigestUtils.md2]
[.getBytesUtf8, org/apache/commons/codec/digest/DigestUtils.md5, .getBytesUtf8, org/apache/commons/codec/digest/DigestUtils.md5]</t>
  </si>
  <si>
    <t>/**
 * An MD5 hash should always be a 16 element byte[].
 */
@Test
public void testMd5Length() {
    String hashMe = "this is some string that is longer than 16 characters";
    byte[] hash = DigestUtils.md5(getBytesUtf8(hashMe));
    assertEquals(16, hash.length);
    hashMe = "length &lt; 16";
    hash = DigestUtils.md5(getBytesUtf8(hashMe));
    assertEquals(16, hash.length);
}</t>
  </si>
  <si>
    <t>testMd5Length</t>
  </si>
  <si>
    <t>[org/apache/commons/codec/digest/DigestUtils.md5]</t>
  </si>
  <si>
    <t>org.apache.commons.codec.language.MatchRatingApproachEncoderTest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</si>
  <si>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src/test/java/org/apache/commons/codec/digest/DigestUtilsTest.java, src/main/java/org/apache/commons/codec/digest/DigestUtils.java, src/test/java/org/apache/commons/codec/EncoderExceptionTest.java, src/test/java/org/apache/commons/codec/language/MatchRatingApproachEncoderTest.java,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src/test/java/org/apache/commons/codec/binary/Base32OutputStreamTest.java]</t>
  </si>
  <si>
    <t>78856d8417f9c63c2b6a5616f27df06b1e462ed9</t>
  </si>
  <si>
    <t>40f4e917f076147faf2492fd3cd837937476295c</t>
  </si>
  <si>
    <t>testGetMinRating_2_Returns5_Successfully</t>
  </si>
  <si>
    <t>@Test
public final void testGetMinRating_2_Returns5_Successfully() {
    assertEquals(5, this.getStringEncoder().getMinRating(2));
}</t>
  </si>
  <si>
    <t>[.getStringEncoder, org/apache/commons/codec/language/MatchRatingApproachEncoder.getMinRating]
[.getStringEncoder, org/apache/commons/codec/language/MatchRatingApproachEncoder.getMinRating]</t>
  </si>
  <si>
    <t xml:space="preserve">[CODEC-161] Add Match Rating Approach (MRA) phonetic algorithm encoder.
git-svn-id: https://svn.apache.org/repos/asf/commons/proper/codec/trunk@1436559 13f79535-47bb-0310-9956-ffa450edef68
</t>
  </si>
  <si>
    <t>@Test
public final void testGetMinRating_2_Returns5_Successfully() {
    assertEquals(5, this.getStringEncoder().getMinRating(2));
}
@Test
public final void testgetMinRating_5_Returns4_Successfully2() {
    assertEquals(4, this.getStringEncoder().getMinRating(5));
}</t>
  </si>
  <si>
    <t>@Test public final void testGetMinRating_2_Returns5_Successfully() { assertEquals(0, this.getStringEncoder().getMinRating(0)); }
@Test public final void testgetMinRating_5_Returns4_Successfully2() { assertEquals(0, this.getStringEncoder().getMinRating(0)); }</t>
  </si>
  <si>
    <t>@Test
public final void testgetMinRating_5_Returns4_Successfully2() {
    assertEquals(4, this.getStringEncoder().getMinRating(5));
}</t>
  </si>
  <si>
    <t>testgetMinRating_5_Returns4_Successfully2</t>
  </si>
  <si>
    <t>@Test
public final void testGetMinRating_2_Returns5_Successfully() {
    assertEquals(5, this.getStringEncoder().getMinRating(2));
}
@Test
public final void testgetMinRating_6_Returns4_Successfully() {
    assertEquals(4, this.getStringEncoder().getMinRating(6));
}</t>
  </si>
  <si>
    <t>@Test public final void testGetMinRating_2_Returns5_Successfully() { assertEquals(0, this.getStringEncoder().getMinRating(0)); }
@Test public final void testgetMinRating_6_Returns4_Successfully() { assertEquals(0, this.getStringEncoder().getMinRating(0)); }</t>
  </si>
  <si>
    <t>@Test
public final void testgetMinRating_6_Returns4_Successfully() {
    assertEquals(4, this.getStringEncoder().getMinRating(6));
}</t>
  </si>
  <si>
    <t>testgetMinRating_6_Returns4_Successfully</t>
  </si>
  <si>
    <t>@Test
public final void testGetMinRating_2_Returns5_Successfully() {
    assertEquals(5, this.getStringEncoder().getMinRating(2));
}
@Test
public final void testgetMinRating_11_Returns_3_Successfully() {
    assertEquals(3, this.getStringEncoder().getMinRating(11));
}</t>
  </si>
  <si>
    <t>@Test public final void testGetMinRating_2_Returns5_Successfully() { assertEquals(0, this.getStringEncoder().getMinRating(0)); }
@Test public final void testgetMinRating_11_Returns_3_Successfully() { assertEquals(0, this.getStringEncoder().getMinRating(0)); }</t>
  </si>
  <si>
    <t>@Test
public final void testgetMinRating_11_Returns_3_Successfully() {
    assertEquals(3, this.getStringEncoder().getMinRating(11));
}</t>
  </si>
  <si>
    <t>testgetMinRating_11_Returns_3_Successfully</t>
  </si>
  <si>
    <t>testCompare_SurnamesCornerCase_MURPHY_NoSpace_NoMatch</t>
  </si>
  <si>
    <t>@Test
public final void testCompare_SurnamesCornerCase_MURPHY_NoSpace_NoMatch() {
    assertFalse(this.getStringEncoder().isEncodeEquals("Murphy", ""));
}</t>
  </si>
  <si>
    <t>[.getStringEncoder, org/apache/commons/codec/language/MatchRatingApproachEncoder.isEncodeEquals]
[.getStringEncoder, org/apache/commons/codec/language/MatchRatingApproachEncoder.isEncodeEquals]</t>
  </si>
  <si>
    <t>@Test
public final void testCompare_SurnamesCornerCase_MURPHY_NoSpace_NoMatch() {
    assertFalse(this.getStringEncoder().isEncodeEquals("Murphy", ""));
}
@Test
public final void testisEncodeEquals_CornerCase_FirstNameNothing_ReturnsFalse() {
    assertFalse(this.getStringEncoder().isEncodeEquals("", "test"));
}</t>
  </si>
  <si>
    <t>@Test public final void testCompare_SurnamesCornerCase_MURPHY_NoSpace_NoMatch() { assertFalse(this.getStringEncoder().isEncodeEquals("S", "S")); }
@Test public final void testisEncodeEquals_CornerCase_FirstNameNothing_ReturnsFalse() { assertFalse(this.getStringEncoder().isEncodeEquals("S", "S")); }</t>
  </si>
  <si>
    <t>@Test
public final void testisEncodeEquals_CornerCase_FirstNameNothing_ReturnsFalse() {
    assertFalse(this.getStringEncoder().isEncodeEquals("", "test"));
}</t>
  </si>
  <si>
    <t>testisEncodeEquals_CornerCase_FirstNameNothing_ReturnsFalse</t>
  </si>
  <si>
    <t>testCompare_SurnamesCornerCase_MURPHY_Space_NoMatch</t>
  </si>
  <si>
    <t>@Test
public final void testCompare_SurnamesCornerCase_MURPHY_Space_NoMatch() {
    assertFalse(this.getStringEncoder().isEncodeEquals("Murphy", " "));
}</t>
  </si>
  <si>
    <t>testCompare_SurnameCornerCase_Nulls_NoMatch</t>
  </si>
  <si>
    <t>@Test
public final void testCompare_SurnameCornerCase_Nulls_NoMatch() {
    assertFalse(this.getStringEncoder().isEncodeEquals(null, null));
}</t>
  </si>
  <si>
    <t>new feature + null/boundary checking</t>
  </si>
  <si>
    <t>@Test
public final void testCompare_SurnameCornerCase_Nulls_NoMatch() {
    assertFalse(this.getStringEncoder().isEncodeEquals(null, null));
}
@Test
public final void testisEncodeEquals_CornerCase_FirstNameNull_ReturnsFalse() {
    assertFalse(this.getStringEncoder().isEncodeEquals(null, "test"));
}</t>
  </si>
  <si>
    <t>@Test public final void testCompare_SurnameCornerCase_Nulls_NoMatch() { assertFalse(this.getStringEncoder().isEncodeEquals(null, null)); }
@Test public final void testisEncodeEquals_CornerCase_FirstNameNull_ReturnsFalse() { assertFalse(this.getStringEncoder().isEncodeEquals(null, "S")); }</t>
  </si>
  <si>
    <t>@Test
public final void testisEncodeEquals_CornerCase_FirstNameNull_ReturnsFalse() {
    assertFalse(this.getStringEncoder().isEncodeEquals(null, "test"));
}</t>
  </si>
  <si>
    <t>testisEncodeEquals_CornerCase_FirstNameNull_ReturnsFalse</t>
  </si>
  <si>
    <t>ab1ee1b68b15234b62a840c4b1f6d2485d771450</t>
  </si>
  <si>
    <t>feature enhancement</t>
  </si>
  <si>
    <t>common method decreased</t>
  </si>
  <si>
    <t>bdc77f1b289f349e09051b482d7b4efbc6cd9f6f</t>
  </si>
  <si>
    <t>testEncodeDecodeNull</t>
  </si>
  <si>
    <t>@Test
public void testEncodeDecodeNull() throws Exception {
    final QuotedPrintableCodec qpcodec = new QuotedPrintableCodec();
    assertNull("Null string quoted-printable encoding test", qpcodec.encode((String) null));
    assertNull("Null string quoted-printable decoding test", qpcodec.decode((String) null));
}</t>
  </si>
  <si>
    <t>@Test
public void testEncodeDecodeNull() throws Exception {
    final QuotedPrintableCodec qpcodec = new QuotedPrintableCodec();
    assertNull("Null string quoted-printable encoding test", qpcodec.encode((String) null));
    assertNull("Null string quoted-printable decoding test", qpcodec.decode((String) null));
}
@Test
public void testSkipNotEncodedCRLF() throws Exception {
    String qpdata = "CRLF in an\n encoded text should be=20=\r\n\rskipped in the\r decoding.";
    String expected = "CRLF in an encoded text should be skipped in the decoding.";
    QuotedPrintableCodec qpcodec = new QuotedPrintableCodec(true);
    assertEquals(expected, qpcodec.decode(qpdata));
    String encoded = qpcodec.encode(expected);
    assertEquals(expected, qpcodec.decode(encoded));
}</t>
  </si>
  <si>
    <t>@Test public void testEncodeDecodeNull() throws Exception { final QuotedPrintableCodec qpcodec = new QuotedPrintableCodec(); assertNull("S", qpcodec.encode((String) null)); assertNull("S", qpcodec.decode((String) null)); }
@Test public void testSkipNotEncodedCRLF() throws Exception { String qpdata = "S"; String expected = "S"; QuotedPrintableCodec qpcodec = new QuotedPrintableCodec(false); assertEquals(expected, qpcodec.decode(qpdata)); String encoded = qpcodec.encode(expected); assertEquals(expected, qpcodec.decode(encoded)); }</t>
  </si>
  <si>
    <t>@Test
public void testSkipNotEncodedCRLF() throws Exception {
    String qpdata = "CRLF in an\n encoded text should be=20=\r\n\rskipped in the\r decoding.";
    String expected = "CRLF in an encoded text should be skipped in the decoding.";
    QuotedPrintableCodec qpcodec = new QuotedPrintableCodec(true);
    assertEquals(expected, qpcodec.decode(qpdata));
    String encoded = qpcodec.encode(expected);
    assertEquals(expected, qpcodec.decode(encoded));
}</t>
  </si>
  <si>
    <t xml:space="preserve">[CODEC-121] QuotedPrintableCodec does not support soft line break per the 'quoted-printable' example on Wikipedia. Apply patch from TN.
git-svn-id: https://svn.apache.org/repos/asf/commons/proper/codec/trunk@1637008 13f79535-47bb-0310-9956-ffa450edef68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</si>
  <si>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src/test/java/org/apache/commons/codec/BinaryEncoderAbstractTest.java, src/test/java/org/apache/commons/codec/net/QCodecTest.java,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src/test/java/org/apache/commons/codec/language/MatchRatingApproachEncoderTest.java, src/test/java/org/apache/commons/codec/net/URLCodecTest.java, src/main/java/org/apache/commons/codec/net/BCodec.java,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</si>
  <si>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reorder | common method increased</t>
  </si>
  <si>
    <t>@Test
public void testDefaultEncoding() throws Exception {
    final String plain = "Hello there!";
    final QuotedPrintableCodec qpcodec = new QuotedPrintableCodec("UnicodeBig");
    // To work around a weird quirk in Java 1.2.2
    qpcodec.encode(plain);
    final String encoded1 = qpcodec.encode(plain, "UnicodeBig");
    final String encoded2 = qpcodec.encode(plain);
    assertEquals(encoded1, encoded2);
}</t>
  </si>
  <si>
    <t>@Test
public void testDefaultEncoding() throws Exception {
    final String plain = "Hello there!";
    final QuotedPrintableCodec qpcodec = new QuotedPrintableCodec("UnicodeBig");
    // To work around a weird quirk in Java 1.2.2
    qpcodec.encode(plain);
    final String encoded1 = qpcodec.encode(plain, "UnicodeBig");
    final String encoded2 = qpcodec.encode(plain);
    assertEquals(encoded1, encoded2);
}
@Test
public void testFinalBytes() throws Exception {
    // whitespace, but does not need to be encoded
    final String plain = "This is a example of a quoted=printable text file. There is no tt";
    final String expected = "This is a example of a quoted=3Dprintable text file. There is no tt";
    assertEquals(expected, new QuotedPrintableCodec(true).encode(plain));
}</t>
  </si>
  <si>
    <t>@Test public void testDefaultEncoding() throws Exception { final String plain = "S"; final QuotedPrintableCodec qpcodec = new QuotedPrintableCodec("S"); qpcodec.encode(plain); final String encoded1 = qpcodec.encode(plain, "S"); final String encoded2 = qpcodec.encode(plain); assertEquals(encoded1, encoded2); }
@Test public void testFinalBytes() throws Exception { final String plain = "S"; final String expected = "S"; assertEquals(expected, new QuotedPrintableCodec(false).encode(plain)); }</t>
  </si>
  <si>
    <t>@Test
public void testFinalBytes() throws Exception {
    // whitespace, but does not need to be encoded
    final String plain = "This is a example of a quoted=printable text file. There is no tt";
    final String expected = "This is a example of a quoted=3Dprintable text file. There is no tt";
    assertEquals(expected, new QuotedPrintableCodec(true).encode(plain));
}</t>
  </si>
  <si>
    <t>comments changed</t>
  </si>
  <si>
    <t>org.apache.commons.codec.binary.HexTest</t>
  </si>
  <si>
    <t>[java/util/Arrays.equals]</t>
  </si>
  <si>
    <t>exception type changed</t>
  </si>
  <si>
    <t>Refactoring/Test Maintenance</t>
  </si>
  <si>
    <t>845c2f7c2659427ebae2f186c237c94c763af335</t>
  </si>
  <si>
    <t>c8ebfacdb707f08a919f9c4231bae2fe821230c2</t>
  </si>
  <si>
    <t>testEncodeStringEmpty</t>
  </si>
  <si>
    <t>@Test
public void testEncodeStringEmpty() throws EncoderException {
    assertTrue(Arrays.equals(new char[0], (char[]) new Hex().encode("")));
}</t>
  </si>
  <si>
    <t>@Test
public void testEncodeStringEmpty() throws EncoderException {
    assertTrue(Arrays.equals(new char[0], (char[]) new Hex().encode("")));
}
@Test
public void testDecodeStringEmpty() throws DecoderException {
    assertTrue(Arrays.equals(new byte[0], (byte[]) new Hex().decode("")));
}</t>
  </si>
  <si>
    <t>@Test public void testEncodeStringEmpty() throws EncoderException { assertTrue(Arrays.equals(new char[0], (char[]) new Hex().encode("S"))); }
@Test public void testDecodeStringEmpty() throws DecoderException { assertTrue(Arrays.equals(new byte[0], (byte[]) new Hex().decode("S"))); }</t>
  </si>
  <si>
    <t>[org/apache/commons/codec/binary/Hex."&lt;init&gt;", org/apache/commons/codec/binary/Hex.encode, java/util/Arrays.equals]
[org/apache/commons/codec/binary/Hex."&lt;init&gt;", org/apache/commons/codec/binary/Hex.decode, java/util/Arrays.equals]</t>
  </si>
  <si>
    <t>@Test
public void testDecodeStringEmpty() throws DecoderException {
    assertTrue(Arrays.equals(new byte[0], (byte[]) new Hex().decode("")));
}</t>
  </si>
  <si>
    <t>testDecodeStringEmpty</t>
  </si>
  <si>
    <t>[org/apache/commons/codec/binary/Hex.decode]</t>
  </si>
  <si>
    <t xml:space="preserve">Split test method in two.
git-svn-id: https://svn.apache.org/repos/asf/commons/proper/codec/trunk@1637844 13f79535-47bb-0310-9956-ffa450edef68
</t>
  </si>
  <si>
    <t>method parameter type change</t>
  </si>
  <si>
    <t>testDecodeByteArrayEmpty</t>
  </si>
  <si>
    <t>c5154bc584847d19e75c421b71e2f3499164d2a9</t>
  </si>
  <si>
    <t>8801ec748fbf50a357ac20629808433e16288dea</t>
  </si>
  <si>
    <t>@Test
public void testDecodeByteArrayEmpty() throws DecoderException {
    assertTrue(Arrays.equals(new byte[0], new Hex().decode(new byte[0])));
}</t>
  </si>
  <si>
    <t xml:space="preserve">[CODEC-194] Support java.nio.ByteBuffer in org.apache.commons.codec.binary.Hex.
git-svn-id: https://svn.apache.org/repos/asf/commons/proper/codec/trunk@1637888 13f79535-47bb-0310-9956-ffa450edef68
</t>
  </si>
  <si>
    <t>@Test
public void testDecodeByteArrayEmpty() throws DecoderException {
    assertTrue(Arrays.equals(new byte[0], new Hex().decode(new byte[0])));
}
@Test
public void testDecodeByteArrayObjectEmpty() throws DecoderException {
    assertTrue(Arrays.equals(new byte[0], (byte[]) new Hex().decode((Object) new byte[0])));
}</t>
  </si>
  <si>
    <t>@Test public void testDecodeByteArrayEmpty() throws DecoderException { assertTrue(Arrays.equals(new byte[0], new Hex().decode(new byte[0]))); }
@Test public void testDecodeByteArrayObjectEmpty() throws DecoderException { assertTrue(Arrays.equals(new byte[0], (byte[]) new Hex().decode((Object) new byte[0]))); }</t>
  </si>
  <si>
    <t>[org/apache/commons/codec/binary/Hex."&lt;init&gt;", org/apache/commons/codec/binary/Hex.decode, java/util/Arrays.equals]
[org/apache/commons/codec/binary/Hex."&lt;init&gt;", org/apache/commons/codec/binary/Hex.decode, java/util/Arrays.equals]</t>
  </si>
  <si>
    <t>@Test
public void testDecodeByteArrayObjectEmpty() throws DecoderException {
    assertTrue(Arrays.equals(new byte[0], (byte[]) new Hex().decode((Object) new byte[0])));
}</t>
  </si>
  <si>
    <t>testDecodeByteArrayObjectEmpty</t>
  </si>
  <si>
    <t>@Test
public void testEncodeStringEmpty() throws EncoderException {
    assertTrue(Arrays.equals(new char[0], (char[]) new Hex().encode("")));
}
@Test
public void testEncodeByteArrayObjectEmpty() throws EncoderException {
    assertTrue(Arrays.equals(new char[0], (char[]) new Hex().encode((Object) new byte[0])));
}</t>
  </si>
  <si>
    <t>@Test public void testEncodeStringEmpty() throws EncoderException { assertTrue(Arrays.equals(new char[0], (char[]) new Hex().encode("S"))); }
@Test public void testEncodeByteArrayObjectEmpty() throws EncoderException { assertTrue(Arrays.equals(new char[0], (char[]) new Hex().encode((Object) new byte[0]))); }</t>
  </si>
  <si>
    <t>[org/apache/commons/codec/binary/Hex."&lt;init&gt;", org/apache/commons/codec/binary/Hex.encode, java/util/Arrays.equals]
[org/apache/commons/codec/binary/Hex."&lt;init&gt;", org/apache/commons/codec/binary/Hex.encode, java/util/Arrays.equals]</t>
  </si>
  <si>
    <t>@Test
public void testEncodeByteArrayObjectEmpty() throws EncoderException {
    assertTrue(Arrays.equals(new char[0], (char[]) new Hex().encode((Object) new byte[0])));
}</t>
  </si>
  <si>
    <t>testEncodeByteArrayObjectEmpty</t>
  </si>
  <si>
    <t>org.apache.commons.codec.language.SoundexTest</t>
  </si>
  <si>
    <t>28b7b958d39730fc278fd1919bf335c52133a1a2</t>
  </si>
  <si>
    <t>8fc193527df27beeeb638e6e812e8c4df6c72f46</t>
  </si>
  <si>
    <t>testEncodeBatch3</t>
  </si>
  <si>
    <t>/**
 * Examples from http://www.archives.gov/research_room/genealogy/census/soundex.html
 */
@Test
public void testEncodeBatch3() {
    Assert.assertEquals("W252", this.getStringEncoder().encode("Washington"));
    Assert.assertEquals("L000", this.getStringEncoder().encode("Lee"));
    Assert.assertEquals("G362", this.getStringEncoder().encode("Gutierrez"));
    Assert.assertEquals("P236", this.getStringEncoder().encode("Pfister"));
    Assert.assertEquals("J250", this.getStringEncoder().encode("Jackson"));
    Assert.assertEquals("T522", this.getStringEncoder().encode("Tymczak"));
    // For VanDeusen: D-250 (D, 2 for the S, 5 for the N, 0 added) is also
    // possible.
    Assert.assertEquals("V532", this.getStringEncoder().encode("VanDeusen"));
}</t>
  </si>
  <si>
    <t>/**
 * Examples from http://www.archives.gov/research_room/genealogy/census/soundex.html
 */
@Test
public void testEncodeBatch3() {
    Assert.assertEquals("W252", this.getStringEncoder().encode("Washington"));
    Assert.assertEquals("L000", this.getStringEncoder().encode("Lee"));
    Assert.assertEquals("G362", this.getStringEncoder().encode("Gutierrez"));
    Assert.assertEquals("P236", this.getStringEncoder().encode("Pfister"));
    Assert.assertEquals("J250", this.getStringEncoder().encode("Jackson"));
    Assert.assertEquals("T522", this.getStringEncoder().encode("Tymczak"));
    // For VanDeusen: D-250 (D, 2 for the S, 5 for the N, 0 added) is also
    // possible.
    Assert.assertEquals("V532", this.getStringEncoder().encode("VanDeusen"));
}
/**
 * Tests example from http://en.wikipedia.org/wiki/Soundex#American_Soundex as of 2015-03-22.
 */
@Test
public void testWikipediaAmericanSoundex() {
    Assert.assertEquals("R163", this.getStringEncoder().encode("Robert"));
    Assert.assertEquals("R163", this.getStringEncoder().encode("Rupert"));
    Assert.assertEquals("A261", this.getStringEncoder().encode("Ashcraft"));
    Assert.assertEquals("A261", this.getStringEncoder().encode("Ashcroft"));
    Assert.assertEquals("T522", this.getStringEncoder().encode("Tymczak"));
    Assert.assertEquals("P236", this.getStringEncoder().encode("Pfister"));
}</t>
  </si>
  <si>
    <t>@Test public void testEncodeBatch3() {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}
@Test public void testWikipediaAmericanSoundex() {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Assert.assertEquals("S", this.getStringEncoder().encode("S")); }</t>
  </si>
  <si>
    <t>[.getStringEncoder,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org/apache/commons/codec/language/Soundex.encode]
[.getStringEncoder,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org/apache/commons/codec/language/Soundex.encode, .getStringEncoder, org/apache/commons/codec/language/Soundex.encode]</t>
  </si>
  <si>
    <t>/**
 * Tests example from http://en.wikipedia.org/wiki/Soundex#American_Soundex as of 2015-03-22.
 */
@Test
public void testWikipediaAmericanSoundex() {
    Assert.assertEquals("R163", this.getStringEncoder().encode("Robert"));
    Assert.assertEquals("R163", this.getStringEncoder().encode("Rupert"));
    Assert.assertEquals("A261", this.getStringEncoder().encode("Ashcraft"));
    Assert.assertEquals("A261", this.getStringEncoder().encode("Ashcroft"));
    Assert.assertEquals("T522", this.getStringEncoder().encode("Tymczak"));
    Assert.assertEquals("P236", this.getStringEncoder().encode("Pfister"));
}</t>
  </si>
  <si>
    <t>testWikipediaAmericanSoundex</t>
  </si>
  <si>
    <t>[.getStringEncoder, org/apache/commons/codec/language/Soundex.encode]</t>
  </si>
  <si>
    <t xml:space="preserve">[CODEC-199] Bug in HW rule in Soundex.
git-svn-id: https://svn.apache.org/repos/asf/commons/proper/codec/trunk@1668441 13f79535-47bb-0310-9956-ffa450edef68
</t>
  </si>
  <si>
    <t>org.apache.commons.codec.language.ColognePhoneticTest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</si>
  <si>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src/main/java/org/apache/commons/codec/digest/Md5Crypt.java, src/main/java/org/apache/commons/codec/net/Utils.java,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</si>
  <si>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36fccb4325f924bf46babd4d8d60226f8dd3f154</t>
  </si>
  <si>
    <t>e246d2ac01f1ac741aa4673aed3d028e08a63c73</t>
  </si>
  <si>
    <t>testVariationsMella</t>
  </si>
  <si>
    <t>@Test
public void testVariationsMella() throws EncoderException {
    final String[] data = { "mella", "milah", "moulla", "mellah", "muehle", "mule" };
    this.checkEncodingVariations("65", data);
}</t>
  </si>
  <si>
    <t>@Test
public void testVariationsMella() throws EncoderException {
    final String[] data = { "mella", "milah", "moulla", "mellah", "muehle", "mule" };
    this.checkEncodingVariations("65", data);
}
@Test
public void testSpecialCharsBetweenSameLetters() throws EncoderException {
    final String[] data = { "Test test", "Testtest", "Test-test", "TesT#Test", "TesT?test" };
    this.checkEncodingVariations("28282", data);
}</t>
  </si>
  <si>
    <t>@Test public void testVariationsMella() throws EncoderException { final String[] data = { "S", "S", "S", "S", "S", "S" }; this.checkEncodingVariations("S", data); }
@Test public void testSpecialCharsBetweenSameLetters() throws EncoderException { final String[] data = { "S", "S", "S", "S", "S" }; this.checkEncodingVariations("S", data); }</t>
  </si>
  <si>
    <t>[.checkEncodingVariations]
[.checkEncodingVariations]</t>
  </si>
  <si>
    <t>@Test
public void testSpecialCharsBetweenSameLetters() throws EncoderException {
    final String[] data = { "Test test", "Testtest", "Test-test", "TesT#Test", "TesT?test" };
    this.checkEncodingVariations("28282", data);
}</t>
  </si>
  <si>
    <t>testSpecialCharsBetweenSameLetters</t>
  </si>
  <si>
    <t xml:space="preserve">CODEC-250 Wrong value calculated by Cologne Phonetic if a special character is placed between equal letters
git-svn-id: https://svn.apache.org/repos/asf/commons/proper/codec/trunk@1842290 13f79535-47bb-0310-9956-ffa450edef68
</t>
  </si>
  <si>
    <t>org.apache.commons.codec.digest.MurmurHash3Test</t>
  </si>
  <si>
    <t>1645ab953ce98bffaff2424cd0b3d2501e21b04f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</si>
  <si>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</si>
  <si>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bug resolve + feature enhancement</t>
  </si>
  <si>
    <t>82b108f3df4b8db2a2ce56afce19a2b0a97c5539</t>
  </si>
  <si>
    <t>testHash128</t>
  </si>
  <si>
    <t>/**
 * Test the {@link MurmurHash3#hash128(byte[])} algorithm.
 *
 * &lt;p&gt;Reference data is taken from the Python library {@code mmh3}.&lt;/p&gt;
 *
 * @see &lt;a href="https://pypi.org/project/mmh3/"&gt;mmh3&lt;/a&gt;
 */
@Test
public void testHash128() {
    // mmh3.hash64(bytes, 104729)
    Assert.assertArrayEquals(new long[] { -5614308156300707300L, -4165733009867452172L }, MurmurHash3.hash128(RANDOM_BYTES));
    // Test with all sizes up to 31 bytes. This ensures a full round of 16-bytes plus up to
    // 15 bytes remaining.
    // for x in range(0, 32):
    //   print(mmh3.hash64(bytes[:x], 104729), ',')
    final long[][] answers = { { -7122613646888064702L, -8341524471658347240L }, { 5659994275039884826L, -962335545730945195L }, { -7641758224504050283L, 4083131074855072837L }, { -9123564721037921804L, -3321998102976419641L }, { -7999620158275145567L, -7769992740725283391L }, { 2419143614837736468L, -5474637306496300103L }, { 7781591175729494939L, -9023178611551692650L }, { -3431043156265556247L, -6589990064676612981L }, { 6315693694262400182L, -6219942557302821890L }, { -8249934145502892979L, -5646083202776239948L }, { 7500109050276796947L, 5350477981718987260L }, { -6102338673930022315L, 3413065069102535261L }, { -6440683413407781313L, -2374360388921904146L }, { -3071236194203069122L, 7531604855739305895L }, { -7629408037856591130L, -4070301959951145257L }, { 860008171111471563L, -9026008285726889896L }, { 8059667613600971894L, 3236009436748930210L }, { 1833746055900036985L, 1418052485321768916L }, { 8161230977297923537L, -2668130155009407119L }, { 3653111839268905630L, 5525563908135615453L }, { -9163026480602019754L, 6819447647029564735L }, { 1102346610654592779L, -6881918401879761029L }, { -3109499571828331931L, -3782255367340446228L }, { -7467915444290531104L, 4704551260862209500L }, { 1237530251176898868L, 6144786892208594932L }, { 2347717913548230384L, -7461066668225718223L }, { -7963311463560798404L, 8435801462986138227L }, { -7493166089060196513L, 8163503673197886404L }, { 6807249306539951962L, -1438886581269648819L }, { 6752656991043418179L, 6334147827922066123L }, { -4534351735605790331L, -4530801663887858236L }, { -7886946241830957955L, -6261339648449285315L } };
    for (int i = 0; i &lt; answers.length; i++) {
        final byte[] bytes = Arrays.copyOf(RANDOM_BYTES, i);
        Assert.assertArrayEquals(answers[i], MurmurHash3.hash128(bytes));
    }
}</t>
  </si>
  <si>
    <t>/**
 * Test the {@link MurmurHash3#hash128(byte[])} algorithm.
 *
 * &lt;p&gt;Reference data is taken from the Python library {@code mmh3}.&lt;/p&gt;
 *
 * @see &lt;a href="https://pypi.org/project/mmh3/"&gt;mmh3&lt;/a&gt;
 */
@Test
public void testHash128() {
    // mmh3.hash64(bytes, 104729)
    Assert.assertArrayEquals(new long[] { -5614308156300707300L, -4165733009867452172L }, MurmurHash3.hash128(RANDOM_BYTES));
    // Test with all sizes up to 31 bytes. This ensures a full round of 16-bytes plus up to
    // 15 bytes remaining.
    // for x in range(0, 32):
    //   print(mmh3.hash64(bytes[:x], 104729), ',')
    final long[][] answers = { { -7122613646888064702L, -8341524471658347240L }, { 5659994275039884826L, -962335545730945195L }, { -7641758224504050283L, 4083131074855072837L }, { -9123564721037921804L, -3321998102976419641L }, { -7999620158275145567L, -7769992740725283391L }, { 2419143614837736468L, -5474637306496300103L }, { 7781591175729494939L, -9023178611551692650L }, { -3431043156265556247L, -6589990064676612981L }, { 6315693694262400182L, -6219942557302821890L }, { -8249934145502892979L, -5646083202776239948L }, { 7500109050276796947L, 5350477981718987260L }, { -6102338673930022315L, 3413065069102535261L }, { -6440683413407781313L, -2374360388921904146L }, { -3071236194203069122L, 7531604855739305895L }, { -7629408037856591130L, -4070301959951145257L }, { 860008171111471563L, -9026008285726889896L }, { 8059667613600971894L, 3236009436748930210L }, { 1833746055900036985L, 1418052485321768916L }, { 8161230977297923537L, -2668130155009407119L }, { 3653111839268905630L, 5525563908135615453L }, { -9163026480602019754L, 6819447647029564735L }, { 1102346610654592779L, -6881918401879761029L }, { -3109499571828331931L, -3782255367340446228L }, { -7467915444290531104L, 4704551260862209500L }, { 1237530251176898868L, 6144786892208594932L }, { 2347717913548230384L, -7461066668225718223L }, { -7963311463560798404L, 8435801462986138227L }, { -7493166089060196513L, 8163503673197886404L }, { 6807249306539951962L, -1438886581269648819L }, { 6752656991043418179L, 6334147827922066123L }, { -4534351735605790331L, -4530801663887858236L }, { -7886946241830957955L, -6261339648449285315L } };
    for (int i = 0; i &lt; answers.length; i++) {
        final byte[] bytes = Arrays.copyOf(RANDOM_BYTES, i);
        Assert.assertArrayEquals(answers[i], MurmurHash3.hash128(bytes));
    }
}
/**
 * Test the {@link MurmurHash3#hash128x64(byte[])} algorithm.
 *
 * &lt;p&gt;Reference data is taken from the Python library {@code mmh3}.&lt;/p&gt;
 *
 * @see &lt;a href="https://pypi.org/project/mmh3/"&gt;mmh3&lt;/a&gt;
 */
@Test
public void testHash128x64() {
    // Note: Default seed is zero.
    // mmh3.hash64(bytes, 0)
    Assert.assertArrayEquals(new long[] { 1972113670104592209L, 5171809317673151911L }, MurmurHash3.hash128x64(RANDOM_BYTES));
    // Test with all sizes up to 31 bytes. This ensures a full round of 16-bytes plus up to
    // 15 bytes remaining.
    // for x in range(0, 32):
    //   print(mmh3.hash64(bytes[:x], 0), ',')
    final long[][] answers = { { 0L, 0L }, { -2808653841080383123L, -2531784594030660343L }, { -1284575471001240306L, -8226941173794461820L }, { 1645529003294647142L, 4109127559758330427L }, { -4117979116203940765L, -8362902660322042742L }, { 2559943399590596158L, 4738005461125350075L }, { -1651760031591552651L, -5386079254924224461L }, { -6208043960690815609L, 7862371518025305074L }, { -5150023478423646337L, 8346305334874564507L }, { 7658274117911906792L, -4962914659382404165L }, { 1309458104226302269L, 570003296096149119L }, { 7440169453173347487L, -3489345781066813740L }, { -5698784298612201352L, 3595618450161835420L }, { -3822574792738072442L, 6878153771369862041L }, { 3705084673301918328L, 3202155281274291907L }, { -6797166743928506931L, -4447271093653551597L }, { 5240533565589385084L, -5575481185288758327L }, { -8467620131382649428L, -6450630367251114468L }, { 3632866961828686471L, -5957695976089313500L }, { -6450283648077271139L, -7908632714374518059L }, { 226350826556351719L, 8225586794606475685L }, { -2382996224496980401L, 2188369078123678011L }, { -1337544762358780825L, 7004253486151757299L }, { 2889033453638709716L, -4099509333153901374L }, { -8644950936809596954L, -5144522919639618331L }, { -5628571865255520773L, -839021001655132087L }, { -5226774667293212446L, -505255961194269502L }, { 1337107025517938142L, 3260952073019398505L }, { 9149852874328582511L, 1880188360994521535L }, { -4035957988359881846L, -7709057850766490780L }, { -3842593823306330815L, 3805147088291453755L }, { 4030161393619149616L, -2813603781312455238L } };
    for (int i = 0; i &lt; answers.length; i++) {
        final byte[] bytes = Arrays.copyOf(RANDOM_BYTES, i);
        Assert.assertArrayEquals(answers[i], MurmurHash3.hash128x64(bytes));
    }
}</t>
  </si>
  <si>
    <t>@Test public void testHash128() { Assert.assertArrayEquals(new long[] { -0L, -0L }, MurmurHash3.hash128(RANDOM_BYTES)); final long[][] answers = { { -0L, -0L }, { 0L, -0L }, { -0L, 0L }, { -0L, -0L }, { -0L, -0L }, { 0L, -0L }, { 0L, -0L }, { -0L, -0L }, { 0L, -0L }, { -0L, -0L }, { 0L, 0L }, { -0L, 0L }, { -0L, -0L }, { -0L, 0L }, { -0L, -0L }, { 0L, -0L }, { 0L, 0L }, { 0L, 0L }, { 0L, -0L }, { 0L, 0L }, { -0L, 0L }, { 0L, -0L }, { -0L, -0L }, { -0L, 0L }, { 0L, 0L }, { 0L, -0L }, { -0L, 0L }, { -0L, 0L }, { 0L, -0L }, { 0L, 0L }, { -0L, -0L }, { -0L, -0L } }; for (int i = 0; i &lt; answers.length; i++) { final byte[] bytes = Arrays.copyOf(RANDOM_BYTES, i); Assert.assertArrayEquals(answers[i], MurmurHash3.hash128(bytes)); } }
@Test public void testHash128x64() { Assert.assertArrayEquals(new long[] { 0L, 0L }, MurmurHash3.hash128x64(RANDOM_BYTES)); final long[][] answers = { { 0L, 0L }, { -0L, -0L }, { -0L, -0L }, { 0L, 0L }, { -0L, -0L }, { 0L, 0L }, { -0L, -0L }, { -0L, 0L }, { -0L, 0L }, { 0L, -0L }, { 0L, 0L }, { 0L, -0L }, { -0L, 0L }, { -0L, 0L }, { 0L, 0L }, { -0L, -0L }, { 0L, -0L }, { -0L, -0L }, { 0L, -0L }, { -0L, -0L }, { 0L, 0L }, { -0L, 0L }, { -0L, 0L }, { 0L, -0L }, { -0L, -0L }, { -0L, -0L }, { -0L, -0L }, { 0L, 0L }, { 0L, 0L }, { -0L, -0L }, { -0L, 0L }, { 0L, -0L } }; for (int i = 0; i &lt; answers.length; i++) { final byte[] bytes = Arrays.copyOf(RANDOM_BYTES, i); Assert.assertArrayEquals(answers[i], MurmurHash3.hash128x64(bytes)); } }</t>
  </si>
  <si>
    <t>[org/apache/commons/codec/digest/MurmurHash3.hash128, java/util/Arrays.copyOf, org/apache/commons/codec/digest/MurmurHash3.hash128]
[org/apache/commons/codec/digest/MurmurHash3.hash128x64, java/util/Arrays.copyOf, org/apache/commons/codec/digest/MurmurHash3.hash128x64]</t>
  </si>
  <si>
    <t>/**
 * Test the {@link MurmurHash3#hash128x64(byte[])} algorithm.
 *
 * &lt;p&gt;Reference data is taken from the Python library {@code mmh3}.&lt;/p&gt;
 *
 * @see &lt;a href="https://pypi.org/project/mmh3/"&gt;mmh3&lt;/a&gt;
 */
@Test
public void testHash128x64() {
    // Note: Default seed is zero.
    // mmh3.hash64(bytes, 0)
    Assert.assertArrayEquals(new long[] { 1972113670104592209L, 5171809317673151911L }, MurmurHash3.hash128x64(RANDOM_BYTES));
    // Test with all sizes up to 31 bytes. This ensures a full round of 16-bytes plus up to
    // 15 bytes remaining.
    // for x in range(0, 32):
    //   print(mmh3.hash64(bytes[:x], 0), ',')
    final long[][] answers = { { 0L, 0L }, { -2808653841080383123L, -2531784594030660343L }, { -1284575471001240306L, -8226941173794461820L }, { 1645529003294647142L, 4109127559758330427L }, { -4117979116203940765L, -8362902660322042742L }, { 2559943399590596158L, 4738005461125350075L }, { -1651760031591552651L, -5386079254924224461L }, { -6208043960690815609L, 7862371518025305074L }, { -5150023478423646337L, 8346305334874564507L }, { 7658274117911906792L, -4962914659382404165L }, { 1309458104226302269L, 570003296096149119L }, { 7440169453173347487L, -3489345781066813740L }, { -5698784298612201352L, 3595618450161835420L }, { -3822574792738072442L, 6878153771369862041L }, { 3705084673301918328L, 3202155281274291907L }, { -6797166743928506931L, -4447271093653551597L }, { 5240533565589385084L, -5575481185288758327L }, { -8467620131382649428L, -6450630367251114468L }, { 3632866961828686471L, -5957695976089313500L }, { -6450283648077271139L, -7908632714374518059L }, { 226350826556351719L, 8225586794606475685L }, { -2382996224496980401L, 2188369078123678011L }, { -1337544762358780825L, 7004253486151757299L }, { 2889033453638709716L, -4099509333153901374L }, { -8644950936809596954L, -5144522919639618331L }, { -5628571865255520773L, -839021001655132087L }, { -5226774667293212446L, -505255961194269502L }, { 1337107025517938142L, 3260952073019398505L }, { 9149852874328582511L, 1880188360994521535L }, { -4035957988359881846L, -7709057850766490780L }, { -3842593823306330815L, 3805147088291453755L }, { 4030161393619149616L, -2813603781312455238L } };
    for (int i = 0; i &lt; answers.length; i++) {
        final byte[] bytes = Arrays.copyOf(RANDOM_BYTES, i);
        Assert.assertArrayEquals(answers[i], MurmurHash3.hash128x64(bytes));
    }
}</t>
  </si>
  <si>
    <t>testHash128x64</t>
  </si>
  <si>
    <t>[org/apache/commons/codec/digest/MurmurHash3.hash128x64, java/util/Arrays.copyOf]</t>
  </si>
  <si>
    <t>[org/apache/commons/codec/digest/MurmurHash3.hash128x64]</t>
  </si>
  <si>
    <t xml:space="preserve">[CODEC-264] Add hash128x64 methods to fix sign extension error.
Adds a new API to preserve behavioural compatibility with the released
version:
hash128x64(byte[])
hash128x64(byte[], int offset, int length, int seed)
The methods with the sign extension bug have been deprecated.
The new API methods use zero as the default seed.
</t>
  </si>
  <si>
    <t>comments partially updated</t>
  </si>
  <si>
    <t>a84f53d38f93504036fed5cf3fd42f57a8637b16</t>
  </si>
  <si>
    <t>9253700b7308dc43f063c87014dce5ee80ee33e0</t>
  </si>
  <si>
    <t>[java/nio/ByteBuffer.flip, java/util/Arrays.equals]</t>
  </si>
  <si>
    <t>[java/nio/ByteBuffer.flip]</t>
  </si>
  <si>
    <t xml:space="preserve">[CODEC-259] Hex: Only use ByteBuffer.array() if length equals remaining
</t>
  </si>
  <si>
    <t>bug resolve / regression test added</t>
  </si>
  <si>
    <t>testEncodeByteBufferEmpty</t>
  </si>
  <si>
    <t>@Test
public void testEncodeByteBufferEmpty() {
    assertTrue(Arrays.equals(new byte[0], new Hex().encode(allocate(0))));
}</t>
  </si>
  <si>
    <t>@Test
public void testEncodeByteBufferEmpty() {
    assertTrue(Arrays.equals(new byte[0], new Hex().encode(allocate(0))));
}
@Test
public void testEncodeByteBufferAllocatedButEmpty() {
    final ByteBuffer bb = allocate(10);
    // Effectively set remaining == 0 =&gt; empty
    bb.flip();
    assertTrue(Arrays.equals(new byte[0], new Hex().encode(bb)));
}</t>
  </si>
  <si>
    <t>@Test public void testEncodeByteBufferEmpty() { assertTrue(Arrays.equals(new byte[0], new Hex().encode(allocate(0)))); }
@Test public void testEncodeByteBufferAllocatedButEmpty() { final ByteBuffer bb = allocate(0); bb.flip(); assertTrue(Arrays.equals(new byte[0], new Hex().encode(bb))); }</t>
  </si>
  <si>
    <t>[org/apache/commons/codec/binary/Hex."&lt;init&gt;", .allocate, org/apache/commons/codec/binary/Hex.encode, java/util/Arrays.equals]
[.allocate, java/nio/ByteBuffer.flip, org/apache/commons/codec/binary/Hex."&lt;init&gt;", org/apache/commons/codec/binary/Hex.encode, java/util/Arrays.equals]</t>
  </si>
  <si>
    <t>@Test
public void testEncodeByteBufferAllocatedButEmpty() {
    final ByteBuffer bb = allocate(10);
    // Effectively set remaining == 0 =&gt; empty
    bb.flip();
    assertTrue(Arrays.equals(new byte[0], new Hex().encode(bb)));
}</t>
  </si>
  <si>
    <t>testEncodeByteBufferAllocatedButEmpty</t>
  </si>
  <si>
    <t>org.apache.commons.codec.binary.Base16Test</t>
  </si>
  <si>
    <t>4024b4039a886ca1de2325ce04638c8e4ee340a5</t>
  </si>
  <si>
    <t>065b10626510274312ff260b4ac1cd9fc964fa24</t>
  </si>
  <si>
    <t>testObjectEncodeWithInvalidParameter</t>
  </si>
  <si>
    <t>@Test
public void testObjectEncodeWithInvalidParameter() {
    final Base16 b16 = new Base16();
    try {
        b16.encode("Yadayadayada");
        fail("encode(Object) didn't throw an exception when passed a String object");
    } catch (final EncoderException e) {
        // Expected
    }
}</t>
  </si>
  <si>
    <t>@Test
public void testObjectEncodeWithInvalidParameter() {
    final Base16 b16 = new Base16();
    try {
        b16.encode("Yadayadayada");
        fail("encode(Object) didn't throw an exception when passed a String object");
    } catch (final EncoderException e) {
        // Expected
    }
}
@Test(expected = IllegalArgumentException.class)
public void checkEncodeLengthBounds() {
    final Base16 base16 = new Base16();
    base16.encode(new byte[10], 0, 1 &lt;&lt; 30);
}</t>
  </si>
  <si>
    <t>@Test public void testObjectEncodeWithInvalidParameter() { final Base16 b16 = new Base16(); try { b16.encode("S"); fail("S"); } catch (final EncoderException e) { } }
@Test(expected = IllegalArgumentException.class) public void checkEncodeLengthBounds() { final Base16 base16 = new Base16(); base16.encode(new byte[0], 0, 0 &lt;&lt; 0); }</t>
  </si>
  <si>
    <t>[org/apache/commons/codec/binary/Base16."&lt;init&gt;", org/apache/commons/codec/binary/Base16.encode]
[org/apache/commons/codec/binary/Base16."&lt;init&gt;", org/apache/commons/codec/binary/Base16.encode]</t>
  </si>
  <si>
    <t>@Test(expected = IllegalArgumentException.class)
public void checkEncodeLengthBounds() {
    final Base16 base16 = new Base16();
    base16.encode(new byte[10], 0, 1 &lt;&lt; 30);
}</t>
  </si>
  <si>
    <t>checkEncodeLengthBounds</t>
  </si>
  <si>
    <t xml:space="preserve">Address out-of-bounds for array size with int wrap-around
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</si>
  <si>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src/test/java/org/apache/commons/codec/binary/StringUtilsTest.java,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</si>
  <si>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bug resolve + boundary checking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</si>
  <si>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src/test/java/org/apache/commons/codec/StringEncoderComparatorTest.java,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src/test/java/org/apache/commons/codec/StringEncoderAbstractTest.java,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</si>
  <si>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2ca75a4e13ac9cca6087ed8c1f486b8c43e52fd2</t>
  </si>
  <si>
    <t>2b32ca08e1097c92d3ee2a1501c43fd8f2b4130d</t>
  </si>
  <si>
    <t xml:space="preserve">(chore) Fix minor typos
Fix various minor typos in :
- project documentations,
- javadoc and comments,
- method attribute names,
- test method names.
</t>
  </si>
  <si>
    <t>@Test
public final void testCompare_SurnamesCornerCase_MURPHY_NoSpace_NoMatch() {
    assertFalse(this.getStringEncoder().isEncodeEquals("Murphy", ""));
}
@Test
public final void testIsEncodeEquals_CornerCase_FirstNameNothing_ReturnsFalse() {
    assertFalse(this.getStringEncoder().isEncodeEquals("", "test"));
}</t>
  </si>
  <si>
    <t>@Test public final void testCompare_SurnamesCornerCase_MURPHY_NoSpace_NoMatch() { assertFalse(this.getStringEncoder().isEncodeEquals("S", "S")); }
@Test public final void testIsEncodeEquals_CornerCase_FirstNameNothing_ReturnsFalse() { assertFalse(this.getStringEncoder().isEncodeEquals("S", "S")); }</t>
  </si>
  <si>
    <t>@Test
public final void testIsEncodeEquals_CornerCase_FirstNameNothing_ReturnsFalse() {
    assertFalse(this.getStringEncoder().isEncodeEquals("", "test"));
}</t>
  </si>
  <si>
    <t>testIsEncodeEquals_CornerCase_FirstNameNothing_ReturnsFalse</t>
  </si>
  <si>
    <t>@Test
public final void testCompare_SurnamesCornerCase_MURPHY_Space_NoMatch() {
    assertFalse(this.getStringEncoder().isEncodeEquals("Murphy", " "));
}
@Test
public final void testIsEncodeEquals_CornerCase_FirstNameJust1Letter_ReturnsFalse() {
    assertFalse(this.getStringEncoder().isEncodeEquals("t", "test"));
}</t>
  </si>
  <si>
    <t>@Test public final void testCompare_SurnamesCornerCase_MURPHY_Space_NoMatch() { assertFalse(this.getStringEncoder().isEncodeEquals("S", "S")); }
@Test public final void testIsEncodeEquals_CornerCase_FirstNameJust1Letter_ReturnsFalse() { assertFalse(this.getStringEncoder().isEncodeEquals("S", "S")); }</t>
  </si>
  <si>
    <t>@Test
public final void testIsEncodeEquals_CornerCase_FirstNameJust1Letter_ReturnsFalse() {
    assertFalse(this.getStringEncoder().isEncodeEquals("t", "test"));
}</t>
  </si>
  <si>
    <t>testIsEncodeEquals_CornerCase_FirstNameJust1Letter_ReturnsFalse</t>
  </si>
  <si>
    <t>931bb815b690b098936beca76c600f134027f1bd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</si>
  <si>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src/main/java/org/apache/commons/codec/package-info.java,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src/test/java/org/apache/commons/codec/net/CustomRFC1522Codec.java,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src/main/java/org/apache/commons/codec/digest/package-info.java,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src/main/java/org/apache/commons/codec/language/bm/package-info.java, src/test/java/org/apache/commons/codec/StringEncoderComparatorTest.java, src/test/java/org/apache/commons/codec/AbstractStringEncoderTest.java,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src/main/java/org/apache/commons/codec/cli/package-info.java,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src/main/java/org/apache/commons/codec/language/package-info.java,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src/main/java/org/apache/commons/codec/net/package-info.java, src/main/java/org/apache/commons/codec/binary/package-info.java,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</si>
  <si>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c65de5c6270db9b30914da07330db6169321f4e4</t>
  </si>
  <si>
    <t>testEncodeStringWithNull</t>
  </si>
  <si>
    <t>@Test
public void testEncodeStringWithNull() throws Exception {
    final QuotedPrintableCodec qpcodec = new QuotedPrintableCodec();
    final String test = null;
    final String result = qpcodec.encode(test, "charset");
    assertNull(result, "Result should be null");
}</t>
  </si>
  <si>
    <t>@Test
public void testEncodeStringWithNull() throws Exception {
    final QuotedPrintableCodec qpcodec = new QuotedPrintableCodec();
    final String test = null;
    final String result = qpcodec.encode(test, "charset");
    assertNull(result, "Result should be null");
}
@Test
public void testTooShortByteArray() throws Exception {
    final QuotedPrintableCodec qpcodec = new QuotedPrintableCodec(true);
    assertNull(qpcodec.encode("AA"), "Result should be null.");
}</t>
  </si>
  <si>
    <t>@Test public void testEncodeStringWithNull() throws Exception { final QuotedPrintableCodec qpcodec = new QuotedPrintableCodec(); final String test = null; final String result = qpcodec.encode(test, "S"); assertNull(result, "S"); }
@Test public void testTooShortByteArray() throws Exception { final QuotedPrintableCodec qpcodec = new QuotedPrintableCodec(false); assertNull(qpcodec.encode("S"), "S"); }</t>
  </si>
  <si>
    <t>[org/apache/commons/codec/net/QuotedPrintableCodec."&lt;init&gt;", org/apache/commons/codec/net/QuotedPrintableCodec.encode]
[org/apache/commons/codec/net/QuotedPrintableCodec."&lt;init&gt;", org/apache/commons/codec/net/QuotedPrintableCodec.encode]</t>
  </si>
  <si>
    <t>@Test
public void testTooShortByteArray() throws Exception {
    final QuotedPrintableCodec qpcodec = new QuotedPrintableCodec(true);
    assertNull(qpcodec.encode("AA"), "Result should be null.");
}</t>
  </si>
  <si>
    <t>testTooShortByteArray</t>
  </si>
  <si>
    <t>CODEC-313: Fix possible ArrayIndexOutOfBoundsException thrown by QuotedPrintableCodec.encodeQuotedPrintable() method (#221)
* CODEC-313: Fix possible ArrayIndexOutOfBoundsException
Signed-off-by: Arthur Chan &lt;arthur.chan@adalogics.com&gt;
* CODEC-313: Add unit test
Signed-off-by: Arthur Chan &lt;arthur.chan@adalogics.com&gt;
---------
Signed-off-by: Arthur Chan &lt;arthur.chan@adalogics.com&gt;</t>
  </si>
  <si>
    <t>[src/test/java/org/apache/commons/codec/binary/BaseNCodecTest.java, src/main/java/org/apache/commons/codec/Decoder.java, src/test/java/org/apache/commons/codec/language/bm/PhoneticEngineRegressionTest.java, src/main/java/org/apache/commons/codec/language/MatchRatingApproachEncoder.java, src/main/java/org/apache/commons/codec/digest/B64.java, src/main/java/org/apache/commons/codec/package-info.java, src/main/java/org/apache/commons/codec/language/Caverphone1.java, src/test/java/org/apache/commons/codec/cli/DigestTest.java, src/test/java/org/apache/commons/codec/binary/Base16TestData.java, src/main/java/org/apache/commons/codec/language/Caverphone2.java, src/main/java/org/apache/commons/codec/net/QuotedPrintableCodec.java, src/test/java/org/apache/commons/codec/language/DoubleMetaphone2Test.java, src/main/java/org/apache/commons/codec/language/bm/Languages.java, src/main/java/org/apache/commons/codec/binary/BaseNCodec.java, src/main/java/org/apache/commons/codec/binary/Base16InputStream.java, src/main/java/org/apache/commons/codec/digest/UnixCrypt.java, src/test/java/org/apache/commons/codec/language/Caverphone2Test.java, src/test/java/org/apache/commons/codec/language/bm/PhoneticEnginePerformanceTest.java, src/main/java/org/apache/commons/codec/BinaryEncoder.java, src/test/java/org/apache/commons/codec/language/RefinedSoundexTest.java, src/test/java/org/apache/commons/codec/binary/AllocateDirectHexTest.java, src/test/java/org/apache/commons/codec/language/bm/PhoneticEngineTest.java, src/main/java/org/apache/commons/codec/digest/package-info.java, src/test/java/org/apache/commons/codec/digest/UnixCryptTest.java, src/main/java/org/apache/commons/codec/binary/Base32.java, src/main/java/org/apache/commons/codec/binary/Base16.java, src/main/java/org/apache/commons/codec/language/DoubleMetaphone.java, src/test/java/org/apache/commons/codec/net/PercentCodecTest.java, src/main/java/org/apache/commons/codec/StringDecoder.java, src/main/java/org/apache/commons/codec/binary/Base64InputStream.java, src/main/java/org/apache/commons/codec/Resources.java, src/main/java/org/apache/commons/codec/CodecPolicy.java, src/main/java/org/apache/commons/codec/language/bm/Rule.java, src/test/java/org/apache/commons/codec/language/bm/BeiderMorseEncoderTest.java, src/test/java/org/apache/commons/codec/CharsetsTest.java, src/main/java/org/apache/commons/codec/language/bm/BeiderMorseEncoder.java, src/test/java/org/apache/commons/codec/binary/Base32InputStreamTest.java, src/test/java/org/apache/commons/codec/digest/XXHash32Test.java, src/main/java/org/apache/commons/codec/language/AbstractCaverphone.java, src/main/java/org/apache/commons/codec/language/SoundexUtils.java, src/test/java/org/apache/commons/codec/binary/Base16OutputStreamTest.java, src/main/java/org/apache/commons/codec/language/bm/ResourceConstants.java, src/test/java/org/apache/commons/codec/language/bm/LanguageGuessingTest.java, src/test/java/org/apache/commons/codec/digest/Sha256CryptTest.java, src/main/java/org/apache/commons/codec/DecoderException.java, src/main/java/org/apache/commons/codec/binary/BaseNCodecInputStream.java, src/test/java/org/apache/commons/codec/binary/Base16Test.java, src/test/java/org/apache/commons/codec/binary/Base32TestData.java, src/test/java/org/apache/commons/codec/binary/Base64InputStreamTest.java, src/main/java/org/apache/commons/codec/language/ColognePhonetic.java, src/main/java/org/apache/commons/codec/binary/Base64OutputStream.java, src/main/java/org/apache/commons/codec/binary/Base32InputStream.java, src/test/java/org/apache/commons/codec/digest/Apr1CryptTest.java, src/test/java/org/apache/commons/codec/net/BCodecTest.java, src/main/java/org/apache/commons/codec/digest/XXHash32.java, src/test/java/org/apache/commons/codec/binary/Base64OutputStreamTest.java, src/test/java/org/apache/commons/codec/net/QuotedPrintableCodecTest.java, src/main/java/org/apache/commons/codec/EncoderException.java, src/test/java/org/apache/commons/codec/digest/MurmurHash2Test.java, src/test/java/org/apache/commons/codec/binary/BaseNTestData.java, src/main/java/org/apache/commons/codec/binary/StringUtils.java, src/main/java/org/apache/commons/codec/digest/HmacUtils.java, src/main/java/org/apache/commons/codec/net/URLCodec.java, src/main/java/org/apache/commons/codec/CharEncoding.java, src/test/java/org/apache/commons/codec/language/Caverphone1Test.java, src/test/java/org/apache/commons/codec/digest/Blake3Test.java, src/main/java/org/apache/commons/codec/language/Metaphone.java, src/main/java/org/apache/commons/codec/language/bm/PhoneticEngine.java, src/main/java/org/apache/commons/codec/language/bm/package-info.java, src/test/java/org/apache/commons/codec/StringEncoderComparatorTest.java, src/test/java/org/apache/commons/codec/AbstractStringEncoderTest.java, src/test/java/org/apache/commons/codec/digest/PureJavaCrc32Test.java, src/test/java/org/apache/commons/codec/binary/Base64TestData.java, src/main/java/org/apache/commons/codec/digest/MessageDigestAlgorithms.java, src/main/java/org/apache/commons/codec/binary/Hex.java, src/main/java/org/apache/commons/codec/cli/package-info.java, src/main/java/org/apache/commons/codec/digest/Crypt.java, src/main/java/org/apache/commons/codec/language/bm/Lang.java, src/test/java/org/apache/commons/codec/binary/Codec105ErrorInputStream.java, src/main/java/org/apache/commons/codec/language/DaitchMokotoffSoundex.java, src/main/java/org/apache/commons/codec/Encoder.java, src/test/java/org/apache/commons/codec/digest/Sha512CryptTest.java, src/test/java/org/apache/commons/codec/net/RFC1522OverrideTestCodec.java, src/test/java/org/apache/commons/codec/language/SoundexTest.java, src/test/java/org/apache/commons/codec/digest/PureJavaCrc32CTest.java, src/main/java/org/apache/commons/codec/StringEncoder.java, src/test/java/org/apache/commons/codec/language/bm/RuleTest.java, src/main/java/org/apache/commons/codec/net/QCodec.java, src/main/java/org/apache/commons/codec/digest/MurmurHash3.java, src/main/java/org/apache/commons/codec/binary/BinaryCodec.java, src/main/java/org/apache/commons/codec/language/bm/NameType.java, src/test/java/org/apache/commons/codec/binary/Base16InputStreamTest.java, src/test/java/org/apache/commons/codec/binary/HexTest.java, src/test/java/org/apache/commons/codec/digest/CryptTest.java, src/main/java/org/apache/commons/codec/binary/CharSequenceUtils.java, src/main/java/org/apache/commons/codec/net/PercentCodec.java, src/test/java/org/apache/commons/codec/BinaryEncoderAbstractTest.java, src/test/java/org/apache/commons/codec/net/QCodecTest.java, src/main/java/org/apache/commons/codec/digest/PureJavaCrc32.java, src/test/java/org/apache/commons/codec/CharEncodingTest.java, src/test/java/org/apache/commons/codec/binary/Base64Test.java, src/main/java/org/apache/commons/codec/BinaryDecoder.java, src/main/java/org/apache/commons/codec/language/RefinedSoundex.java, src/test/java/org/apache/commons/codec/language/MetaphoneTest.java, src/test/java/org/apache/commons/codec/net/RFC1522CodecTest.java, src/main/java/org/apache/commons/codec/cli/Digest.java, src/test/java/org/apache/commons/codec/digest/HmacUtilsTest.java, src/test/java/org/apache/commons/codec/net/UtilsTest.java, src/main/java/org/apache/commons/codec/language/bm/RuleType.java, src/main/java/org/apache/commons/codec/binary/BaseNCodecOutputStream.java, src/test/java/org/apache/commons/codec/language/NysiisTest.java, src/test/java/org/apache/commons/codec/digest/Blake3TestVectorsTest.java, src/test/java/org/apache/commons/codec/binary/StringUtilsTest.java, src/main/java/org/apache/commons/codec/digest/Blake3.java, src/main/java/org/apache/commons/codec/digest/Sha2Crypt.java, src/main/java/org/apache/commons/codec/binary/Base64.java, src/main/java/org/apache/commons/codec/language/package-info.java, src/test/java/org/apache/commons/codec/digest/B64Test.java, src/main/java/org/apache/commons/codec/StringEncoderComparator.java, src/main/java/org/apache/commons/codec/language/Nysiis.java, src/test/java/org/apache/commons/codec/binary/BinaryCodecTest.java, src/main/java/org/apache/commons/codec/digest/MurmurHash2.java, src/test/java/org/apache/commons/codec/digest/MurmurHash3Test.java, src/main/java/org/apache/commons/codec/digest/Md5Crypt.java, src/main/java/org/apache/commons/codec/net/Utils.java, src/main/java/org/apache/commons/codec/binary/Base16OutputStream.java, src/main/java/org/apache/commons/codec/digest/PureJavaCrc32C.java, src/test/java/org/apache/commons/codec/digest/Sha2CryptTest.java, src/main/java/org/apache/commons/codec/language/Caverphone.java, src/main/java/org/apache/commons/codec/Charsets.java, src/test/java/org/apache/commons/codec/binary/Base64Codec13Test.java, src/main/java/org/apache/commons/codec/language/Soundex.java, src/test/java/org/apache/commons/codec/language/bm/CacheSubSequencePerformanceTest.java, src/main/java/org/apache/commons/codec/net/package-info.java, src/main/java/org/apache/commons/codec/binary/package-info.java, src/test/java/org/apache/commons/codec/binary/CharSequenceUtilsTest.java, src/test/java/org/apache/commons/codec/digest/XXHash32OverflowTest.java, src/test/java/org/apache/commons/codec/language/DaitchMokotoffSoundexTest.java, src/test/java/org/apache/commons/codec/digest/DigestUtilsTest.java, src/main/java/org/apache/commons/codec/digest/DigestUtils.java, src/test/java/org/apache/commons/codec/EncoderExceptionTest.java, src/test/java/org/apache/commons/codec/digest/HmacAlgorithmsTest.java, src/test/java/org/apache/commons/codec/language/MatchRatingApproachEncoderTest.java, src/test/java/org/apache/commons/codec/net/URLCodecTest.java, src/main/java/org/apache/commons/codec/net/BCodec.java, src/test/java/org/apache/commons/codec/digest/MessageDigestAlgorithmsTest.java, src/test/java/org/apache/commons/codec/binary/Base32Test.java, src/test/java/org/apache/commons/codec/language/ColognePhoneticTest.java, src/test/java/org/apache/commons/codec/DecoderExceptionTest.java, src/main/java/org/apache/commons/codec/binary/Base32OutputStream.java, src/test/java/org/apache/commons/codec/digest/Md5CryptTest.java, src/test/java/org/apache/commons/codec/language/DoubleMetaphoneTest.java, src/main/java/org/apache/commons/codec/net/RFC1522Codec.java, src/main/java/org/apache/commons/codec/digest/HmacAlgorithms.java, src/test/java/org/apache/commons/codec/binary/Base32OutputStreamTest.java]</t>
  </si>
  <si>
    <t>org.apache.commons.codec.digest.CryptTest</t>
  </si>
  <si>
    <t>c52d4daddb00ce45ecd7bb0ab2e34fab29569b67</t>
  </si>
  <si>
    <t>testCryptWithBytes</t>
  </si>
  <si>
    <t>@Test
public void testCryptWithBytes() {
    final byte[] keyBytes = { 'b', 'y', 't', 'e' };
    final String hash = Crypt.crypt(keyBytes);
    assertEquals(hash, Crypt.crypt("byte", hash));
}</t>
  </si>
  <si>
    <t>@Test
public void testCryptWithBytes() {
    final byte[] keyBytes = { 'b', 'y', 't', 'e' };
    final String hash = Crypt.crypt(keyBytes);
    assertEquals(hash, Crypt.crypt("byte", hash));
}
@Test
public void testSamples() {
    // From Javadoc
    assertEquals("$1$xxxx$aMkevjfEIpa35Bh3G4bAc.", Crypt.crypt("secret", "$1$xxxx"));
    assertEquals("xxWAum7tHdIUw", Crypt.crypt("secret", "xx"));
}</t>
  </si>
  <si>
    <t>@Test public void testCryptWithBytes() { final byte[] keyBytes = { 'c', 'c', 'c', 'c' }; final String hash = Crypt.crypt(keyBytes); assertEquals(hash, Crypt.crypt("S", hash)); }
@Test public void testSamples() { assertEquals("S", Crypt.crypt("S", "S")); assertEquals("S", Crypt.crypt("S", "S")); }</t>
  </si>
  <si>
    <t>[org/apache/commons/codec/digest/Crypt.crypt, org/apache/commons/codec/digest/Crypt.crypt]
[org/apache/commons/codec/digest/Crypt.crypt, org/apache/commons/codec/digest/Crypt.crypt]</t>
  </si>
  <si>
    <t>@Test
public void testSamples() {
    // From Javadoc
    assertEquals("$1$xxxx$aMkevjfEIpa35Bh3G4bAc.", Crypt.crypt("secret", "$1$xxxx"));
    assertEquals("xxWAum7tHdIUw", Crypt.crypt("secret", "xx"));
}</t>
  </si>
  <si>
    <t>testSamples</t>
  </si>
  <si>
    <t xml:space="preserve">Add some more tests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</si>
</sst>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&quot;Aptos Narrow&quot;"/>
    </font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4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5" fillId="3" borderId="0" xfId="0" applyFont="1" applyFill="1"/>
    <xf numFmtId="0" fontId="3" fillId="3" borderId="0" xfId="0" applyFont="1" applyFill="1"/>
    <xf numFmtId="0" fontId="5" fillId="3" borderId="0" xfId="0" applyFont="1" applyFill="1" applyAlignment="1">
      <alignment wrapText="1"/>
    </xf>
    <xf numFmtId="0" fontId="4" fillId="5" borderId="0" xfId="0" applyFont="1" applyFill="1"/>
    <xf numFmtId="0" fontId="4" fillId="5" borderId="0" xfId="0" applyFont="1" applyFill="1" applyAlignment="1">
      <alignment wrapText="1"/>
    </xf>
    <xf numFmtId="0" fontId="5" fillId="5" borderId="0" xfId="0" applyFont="1" applyFill="1"/>
    <xf numFmtId="0" fontId="5" fillId="5" borderId="0" xfId="0" applyFont="1" applyFill="1" applyAlignment="1">
      <alignment wrapText="1"/>
    </xf>
    <xf numFmtId="0" fontId="3" fillId="5" borderId="0" xfId="0" applyFont="1" applyFill="1"/>
    <xf numFmtId="0" fontId="4" fillId="2" borderId="0" xfId="0" applyFont="1" applyFill="1"/>
    <xf numFmtId="0" fontId="4" fillId="6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6" fillId="5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99"/>
  <sheetViews>
    <sheetView tabSelected="1" zoomScale="175" workbookViewId="0">
      <pane ySplit="1" topLeftCell="A18" activePane="bottomLeft" state="frozen"/>
      <selection pane="bottomLeft" activeCell="C34" sqref="C34"/>
    </sheetView>
  </sheetViews>
  <sheetFormatPr baseColWidth="10" defaultColWidth="14.5" defaultRowHeight="15" customHeight="1"/>
  <cols>
    <col min="1" max="1" width="8.6640625" customWidth="1"/>
    <col min="2" max="2" width="10" customWidth="1"/>
    <col min="3" max="3" width="29.5" customWidth="1"/>
    <col min="4" max="4" width="18.6640625" customWidth="1"/>
    <col min="5" max="5" width="8.6640625" customWidth="1"/>
    <col min="6" max="6" width="12.6640625" customWidth="1"/>
    <col min="7" max="11" width="8.6640625" customWidth="1"/>
    <col min="12" max="12" width="29.33203125" customWidth="1"/>
    <col min="13" max="13" width="8.6640625" customWidth="1"/>
    <col min="14" max="14" width="8.6640625" hidden="1" customWidth="1"/>
    <col min="15" max="17" width="8.6640625" customWidth="1"/>
    <col min="18" max="29" width="8.6640625" hidden="1" customWidth="1"/>
    <col min="30" max="39" width="8.6640625" customWidth="1"/>
    <col min="40" max="40" width="12.5" customWidth="1"/>
    <col min="41" max="41" width="8.33203125" customWidth="1"/>
    <col min="42" max="42" width="20.5" customWidth="1"/>
    <col min="43" max="44" width="8.6640625" customWidth="1"/>
  </cols>
  <sheetData>
    <row r="1" spans="1:44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5" t="s">
        <v>42</v>
      </c>
      <c r="AR1" s="4"/>
    </row>
    <row r="2" spans="1:44" ht="15" customHeight="1">
      <c r="A2" s="6">
        <v>1</v>
      </c>
      <c r="B2" s="7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52</v>
      </c>
      <c r="L2" s="8" t="s">
        <v>53</v>
      </c>
      <c r="M2" s="8">
        <v>1</v>
      </c>
      <c r="N2" s="8">
        <v>0</v>
      </c>
      <c r="O2" s="8">
        <v>6.097560975609756E-2</v>
      </c>
      <c r="P2" s="8">
        <v>5</v>
      </c>
      <c r="Q2" s="8">
        <v>29</v>
      </c>
      <c r="R2" s="8" t="s">
        <v>54</v>
      </c>
      <c r="S2" s="8">
        <v>0</v>
      </c>
      <c r="T2" s="8" t="s">
        <v>54</v>
      </c>
      <c r="U2" s="8">
        <v>0</v>
      </c>
      <c r="V2" s="8">
        <v>0</v>
      </c>
      <c r="W2" s="8">
        <v>0</v>
      </c>
      <c r="X2" s="8" t="s">
        <v>54</v>
      </c>
      <c r="Y2" s="8">
        <v>0</v>
      </c>
      <c r="Z2" s="8" t="s">
        <v>54</v>
      </c>
      <c r="AA2" s="8" t="s">
        <v>55</v>
      </c>
      <c r="AB2" s="9" t="s">
        <v>56</v>
      </c>
      <c r="AC2" s="9" t="b">
        <v>1</v>
      </c>
      <c r="AD2" s="10" t="s">
        <v>57</v>
      </c>
      <c r="AE2" s="10" t="s">
        <v>58</v>
      </c>
      <c r="AF2" s="10">
        <v>0</v>
      </c>
      <c r="AG2" s="10">
        <v>0.2</v>
      </c>
      <c r="AH2" s="10" t="s">
        <v>59</v>
      </c>
      <c r="AI2" s="10" t="s">
        <v>60</v>
      </c>
      <c r="AJ2" s="10" t="s">
        <v>61</v>
      </c>
      <c r="AK2" s="10" t="s">
        <v>62</v>
      </c>
      <c r="AL2" s="10" t="s">
        <v>63</v>
      </c>
      <c r="AM2" s="10" t="s">
        <v>64</v>
      </c>
      <c r="AN2" s="10" t="s">
        <v>65</v>
      </c>
      <c r="AO2" s="10" t="s">
        <v>66</v>
      </c>
      <c r="AP2" s="9"/>
      <c r="AQ2" s="11" t="s">
        <v>67</v>
      </c>
      <c r="AR2" s="12"/>
    </row>
    <row r="3" spans="1:44" ht="15" customHeight="1">
      <c r="A3" s="20">
        <v>10</v>
      </c>
      <c r="B3" s="7" t="s">
        <v>43</v>
      </c>
      <c r="C3" s="13" t="s">
        <v>79</v>
      </c>
      <c r="D3" s="13" t="s">
        <v>84</v>
      </c>
      <c r="E3" s="13" t="s">
        <v>81</v>
      </c>
      <c r="F3" s="13" t="s">
        <v>83</v>
      </c>
      <c r="G3" s="13" t="s">
        <v>82</v>
      </c>
      <c r="H3" s="13" t="s">
        <v>85</v>
      </c>
      <c r="I3" s="13" t="s">
        <v>86</v>
      </c>
      <c r="J3" s="13" t="s">
        <v>80</v>
      </c>
      <c r="K3" s="13" t="s">
        <v>87</v>
      </c>
      <c r="L3" s="13" t="s">
        <v>88</v>
      </c>
      <c r="M3" s="13">
        <v>1</v>
      </c>
      <c r="N3" s="13">
        <v>0</v>
      </c>
      <c r="O3" s="13">
        <v>0.16666666666666666</v>
      </c>
      <c r="P3" s="13">
        <v>0</v>
      </c>
      <c r="Q3" s="13">
        <v>3</v>
      </c>
      <c r="R3" s="13" t="s">
        <v>54</v>
      </c>
      <c r="S3" s="13">
        <v>0</v>
      </c>
      <c r="T3" s="13" t="s">
        <v>54</v>
      </c>
      <c r="U3" s="13">
        <v>0</v>
      </c>
      <c r="V3" s="13">
        <v>0</v>
      </c>
      <c r="W3" s="13">
        <v>0</v>
      </c>
      <c r="X3" s="13" t="s">
        <v>54</v>
      </c>
      <c r="Y3" s="13">
        <v>0</v>
      </c>
      <c r="Z3" s="13" t="s">
        <v>54</v>
      </c>
      <c r="AA3" s="13" t="s">
        <v>89</v>
      </c>
      <c r="AB3" s="14" t="s">
        <v>77</v>
      </c>
      <c r="AC3" s="14" t="b">
        <v>1</v>
      </c>
      <c r="AD3" s="15" t="s">
        <v>57</v>
      </c>
      <c r="AE3" s="15" t="s">
        <v>58</v>
      </c>
      <c r="AF3" s="15">
        <v>0</v>
      </c>
      <c r="AG3" s="15">
        <v>0.02</v>
      </c>
      <c r="AH3" s="15" t="s">
        <v>68</v>
      </c>
      <c r="AI3" s="15" t="s">
        <v>60</v>
      </c>
      <c r="AJ3" s="15" t="s">
        <v>61</v>
      </c>
      <c r="AK3" s="15" t="s">
        <v>62</v>
      </c>
      <c r="AL3" s="15" t="s">
        <v>63</v>
      </c>
      <c r="AM3" s="15" t="s">
        <v>64</v>
      </c>
      <c r="AN3" s="15" t="s">
        <v>73</v>
      </c>
      <c r="AO3" s="15" t="s">
        <v>90</v>
      </c>
      <c r="AP3" s="16"/>
      <c r="AQ3" s="17" t="s">
        <v>67</v>
      </c>
      <c r="AR3" s="15"/>
    </row>
    <row r="4" spans="1:44" ht="15" customHeight="1">
      <c r="A4" s="20">
        <v>14</v>
      </c>
      <c r="B4" s="7" t="s">
        <v>43</v>
      </c>
      <c r="C4" s="13" t="s">
        <v>99</v>
      </c>
      <c r="D4" s="13" t="s">
        <v>100</v>
      </c>
      <c r="E4" s="13" t="s">
        <v>101</v>
      </c>
      <c r="F4" s="13" t="s">
        <v>102</v>
      </c>
      <c r="G4" s="13" t="s">
        <v>103</v>
      </c>
      <c r="H4" s="13" t="s">
        <v>104</v>
      </c>
      <c r="I4" s="13" t="s">
        <v>105</v>
      </c>
      <c r="J4" s="13" t="s">
        <v>106</v>
      </c>
      <c r="K4" s="13" t="s">
        <v>107</v>
      </c>
      <c r="L4" s="13" t="s">
        <v>108</v>
      </c>
      <c r="M4" s="13">
        <v>1</v>
      </c>
      <c r="N4" s="13">
        <v>0</v>
      </c>
      <c r="O4" s="13">
        <v>7.6576576576576572E-2</v>
      </c>
      <c r="P4" s="13">
        <v>3</v>
      </c>
      <c r="Q4" s="13">
        <v>10</v>
      </c>
      <c r="R4" s="13" t="s">
        <v>54</v>
      </c>
      <c r="S4" s="13">
        <v>0</v>
      </c>
      <c r="T4" s="13" t="s">
        <v>54</v>
      </c>
      <c r="U4" s="13">
        <v>0</v>
      </c>
      <c r="V4" s="13">
        <v>0</v>
      </c>
      <c r="W4" s="13">
        <v>0</v>
      </c>
      <c r="X4" s="13" t="s">
        <v>54</v>
      </c>
      <c r="Y4" s="13">
        <v>0</v>
      </c>
      <c r="Z4" s="13" t="s">
        <v>54</v>
      </c>
      <c r="AA4" s="13" t="s">
        <v>109</v>
      </c>
      <c r="AB4" s="14" t="s">
        <v>110</v>
      </c>
      <c r="AC4" s="14" t="b">
        <v>1</v>
      </c>
      <c r="AD4" s="21" t="s">
        <v>58</v>
      </c>
      <c r="AE4" s="21" t="s">
        <v>58</v>
      </c>
      <c r="AF4" s="21">
        <v>0</v>
      </c>
      <c r="AG4" s="21">
        <v>0.02</v>
      </c>
      <c r="AH4" s="21" t="s">
        <v>68</v>
      </c>
      <c r="AI4" s="21" t="s">
        <v>60</v>
      </c>
      <c r="AJ4" s="21" t="s">
        <v>91</v>
      </c>
      <c r="AK4" s="21" t="s">
        <v>62</v>
      </c>
      <c r="AL4" s="21" t="s">
        <v>63</v>
      </c>
      <c r="AM4" s="21" t="s">
        <v>64</v>
      </c>
      <c r="AN4" s="21" t="s">
        <v>73</v>
      </c>
      <c r="AO4" s="21" t="s">
        <v>90</v>
      </c>
      <c r="AP4" s="16"/>
      <c r="AQ4" s="17" t="s">
        <v>67</v>
      </c>
      <c r="AR4" s="15"/>
    </row>
    <row r="5" spans="1:44" ht="15" customHeight="1">
      <c r="A5" s="20">
        <v>18</v>
      </c>
      <c r="B5" s="7" t="s">
        <v>43</v>
      </c>
      <c r="C5" s="13" t="s">
        <v>113</v>
      </c>
      <c r="D5" s="13" t="s">
        <v>114</v>
      </c>
      <c r="E5" s="13" t="s">
        <v>115</v>
      </c>
      <c r="F5" s="13" t="s">
        <v>121</v>
      </c>
      <c r="G5" s="13" t="s">
        <v>122</v>
      </c>
      <c r="H5" s="13" t="s">
        <v>123</v>
      </c>
      <c r="I5" s="13" t="s">
        <v>124</v>
      </c>
      <c r="J5" s="13" t="s">
        <v>125</v>
      </c>
      <c r="K5" s="13" t="s">
        <v>126</v>
      </c>
      <c r="L5" s="13" t="s">
        <v>127</v>
      </c>
      <c r="M5" s="13">
        <v>1</v>
      </c>
      <c r="N5" s="13">
        <v>0.33333333333333331</v>
      </c>
      <c r="O5" s="13">
        <v>0.41237113402061853</v>
      </c>
      <c r="P5" s="13">
        <v>8</v>
      </c>
      <c r="Q5" s="13">
        <v>15</v>
      </c>
      <c r="R5" s="13" t="s">
        <v>54</v>
      </c>
      <c r="S5" s="13">
        <v>0</v>
      </c>
      <c r="T5" s="13" t="s">
        <v>54</v>
      </c>
      <c r="U5" s="13">
        <v>0</v>
      </c>
      <c r="V5" s="13">
        <v>0</v>
      </c>
      <c r="W5" s="13">
        <v>1</v>
      </c>
      <c r="X5" s="13" t="s">
        <v>97</v>
      </c>
      <c r="Y5" s="13">
        <v>0</v>
      </c>
      <c r="Z5" s="13" t="s">
        <v>54</v>
      </c>
      <c r="AA5" s="13" t="s">
        <v>119</v>
      </c>
      <c r="AB5" s="14" t="s">
        <v>120</v>
      </c>
      <c r="AC5" s="14" t="b">
        <v>1</v>
      </c>
      <c r="AD5" s="13" t="s">
        <v>58</v>
      </c>
      <c r="AE5" s="13" t="s">
        <v>58</v>
      </c>
      <c r="AF5" s="13">
        <v>0</v>
      </c>
      <c r="AG5" s="13">
        <v>0.27</v>
      </c>
      <c r="AH5" s="21" t="s">
        <v>68</v>
      </c>
      <c r="AI5" s="13" t="s">
        <v>60</v>
      </c>
      <c r="AJ5" s="13" t="s">
        <v>91</v>
      </c>
      <c r="AK5" s="13" t="s">
        <v>111</v>
      </c>
      <c r="AL5" s="13" t="s">
        <v>63</v>
      </c>
      <c r="AM5" s="13" t="s">
        <v>128</v>
      </c>
      <c r="AN5" s="13" t="s">
        <v>73</v>
      </c>
      <c r="AO5" s="19" t="s">
        <v>129</v>
      </c>
      <c r="AP5" s="14" t="s">
        <v>94</v>
      </c>
      <c r="AQ5" s="17" t="s">
        <v>71</v>
      </c>
      <c r="AR5" s="13"/>
    </row>
    <row r="6" spans="1:44" ht="15" customHeight="1">
      <c r="A6" s="6">
        <v>21</v>
      </c>
      <c r="B6" s="7" t="s">
        <v>43</v>
      </c>
      <c r="C6" s="8" t="s">
        <v>131</v>
      </c>
      <c r="D6" s="8" t="s">
        <v>132</v>
      </c>
      <c r="E6" s="8" t="s">
        <v>133</v>
      </c>
      <c r="F6" s="8" t="s">
        <v>134</v>
      </c>
      <c r="G6" s="8" t="s">
        <v>135</v>
      </c>
      <c r="H6" s="8" t="s">
        <v>136</v>
      </c>
      <c r="I6" s="8" t="s">
        <v>137</v>
      </c>
      <c r="J6" s="8" t="s">
        <v>138</v>
      </c>
      <c r="K6" s="8" t="s">
        <v>139</v>
      </c>
      <c r="L6" s="8" t="s">
        <v>140</v>
      </c>
      <c r="M6" s="8">
        <v>1</v>
      </c>
      <c r="N6" s="8">
        <v>0</v>
      </c>
      <c r="O6" s="8">
        <v>0.21158129175946547</v>
      </c>
      <c r="P6" s="8">
        <v>0</v>
      </c>
      <c r="Q6" s="8">
        <v>9</v>
      </c>
      <c r="R6" s="8" t="s">
        <v>141</v>
      </c>
      <c r="S6" s="8">
        <v>0</v>
      </c>
      <c r="T6" s="8" t="s">
        <v>54</v>
      </c>
      <c r="U6" s="8">
        <v>0</v>
      </c>
      <c r="V6" s="8">
        <v>0</v>
      </c>
      <c r="W6" s="8">
        <v>0</v>
      </c>
      <c r="X6" s="8" t="s">
        <v>54</v>
      </c>
      <c r="Y6" s="8">
        <v>0</v>
      </c>
      <c r="Z6" s="8" t="s">
        <v>54</v>
      </c>
      <c r="AA6" s="8" t="s">
        <v>142</v>
      </c>
      <c r="AB6" s="9" t="s">
        <v>143</v>
      </c>
      <c r="AC6" s="9" t="b">
        <v>1</v>
      </c>
      <c r="AD6" s="8" t="s">
        <v>57</v>
      </c>
      <c r="AE6" s="8" t="s">
        <v>57</v>
      </c>
      <c r="AF6" s="8">
        <v>1</v>
      </c>
      <c r="AG6" s="8">
        <v>1</v>
      </c>
      <c r="AH6" s="8" t="s">
        <v>68</v>
      </c>
      <c r="AI6" s="8" t="s">
        <v>144</v>
      </c>
      <c r="AJ6" s="8" t="s">
        <v>61</v>
      </c>
      <c r="AK6" s="8" t="s">
        <v>62</v>
      </c>
      <c r="AL6" s="8" t="s">
        <v>63</v>
      </c>
      <c r="AM6" s="8" t="s">
        <v>64</v>
      </c>
      <c r="AN6" s="8" t="s">
        <v>73</v>
      </c>
      <c r="AO6" s="8" t="s">
        <v>66</v>
      </c>
      <c r="AP6" s="9" t="s">
        <v>145</v>
      </c>
      <c r="AQ6" s="11" t="s">
        <v>67</v>
      </c>
      <c r="AR6" s="8"/>
    </row>
    <row r="7" spans="1:44" ht="15" customHeight="1">
      <c r="A7" s="20">
        <v>23</v>
      </c>
      <c r="B7" s="7" t="s">
        <v>43</v>
      </c>
      <c r="C7" s="13" t="s">
        <v>131</v>
      </c>
      <c r="D7" s="13" t="s">
        <v>147</v>
      </c>
      <c r="E7" s="13" t="s">
        <v>148</v>
      </c>
      <c r="F7" s="13" t="s">
        <v>149</v>
      </c>
      <c r="G7" s="13" t="s">
        <v>150</v>
      </c>
      <c r="H7" s="13" t="s">
        <v>151</v>
      </c>
      <c r="I7" s="13" t="s">
        <v>152</v>
      </c>
      <c r="J7" s="13" t="s">
        <v>153</v>
      </c>
      <c r="K7" s="13" t="s">
        <v>154</v>
      </c>
      <c r="L7" s="13" t="s">
        <v>155</v>
      </c>
      <c r="M7" s="13">
        <v>1</v>
      </c>
      <c r="N7" s="13">
        <v>0</v>
      </c>
      <c r="O7" s="13">
        <v>0.10810810810810811</v>
      </c>
      <c r="P7" s="13">
        <v>0</v>
      </c>
      <c r="Q7" s="13">
        <v>19</v>
      </c>
      <c r="R7" s="13" t="s">
        <v>141</v>
      </c>
      <c r="S7" s="13">
        <v>0</v>
      </c>
      <c r="T7" s="13" t="s">
        <v>54</v>
      </c>
      <c r="U7" s="13">
        <v>0</v>
      </c>
      <c r="V7" s="13">
        <v>0</v>
      </c>
      <c r="W7" s="13">
        <v>0</v>
      </c>
      <c r="X7" s="13" t="s">
        <v>54</v>
      </c>
      <c r="Y7" s="13">
        <v>0</v>
      </c>
      <c r="Z7" s="13" t="s">
        <v>54</v>
      </c>
      <c r="AA7" s="13" t="s">
        <v>156</v>
      </c>
      <c r="AB7" s="14" t="s">
        <v>157</v>
      </c>
      <c r="AC7" s="14" t="b">
        <v>1</v>
      </c>
      <c r="AD7" s="13" t="s">
        <v>57</v>
      </c>
      <c r="AE7" s="13" t="s">
        <v>58</v>
      </c>
      <c r="AF7" s="13">
        <v>0.5</v>
      </c>
      <c r="AG7" s="13">
        <v>0.69</v>
      </c>
      <c r="AH7" s="13" t="s">
        <v>68</v>
      </c>
      <c r="AI7" s="13" t="s">
        <v>144</v>
      </c>
      <c r="AJ7" s="13" t="s">
        <v>61</v>
      </c>
      <c r="AK7" s="13" t="s">
        <v>62</v>
      </c>
      <c r="AL7" s="13" t="s">
        <v>63</v>
      </c>
      <c r="AM7" s="13" t="s">
        <v>64</v>
      </c>
      <c r="AN7" s="13" t="s">
        <v>73</v>
      </c>
      <c r="AO7" s="13" t="s">
        <v>66</v>
      </c>
      <c r="AP7" s="14" t="s">
        <v>146</v>
      </c>
      <c r="AQ7" s="17" t="s">
        <v>67</v>
      </c>
      <c r="AR7" s="13"/>
    </row>
    <row r="8" spans="1:44" ht="15" customHeight="1">
      <c r="A8" s="20">
        <v>28</v>
      </c>
      <c r="B8" s="7" t="s">
        <v>43</v>
      </c>
      <c r="C8" s="13" t="s">
        <v>166</v>
      </c>
      <c r="D8" s="13" t="s">
        <v>158</v>
      </c>
      <c r="E8" s="13" t="s">
        <v>159</v>
      </c>
      <c r="F8" s="13" t="s">
        <v>160</v>
      </c>
      <c r="G8" s="13" t="s">
        <v>167</v>
      </c>
      <c r="H8" s="13" t="s">
        <v>168</v>
      </c>
      <c r="I8" s="13" t="s">
        <v>169</v>
      </c>
      <c r="J8" s="13" t="s">
        <v>170</v>
      </c>
      <c r="K8" s="13" t="s">
        <v>171</v>
      </c>
      <c r="L8" s="13" t="s">
        <v>163</v>
      </c>
      <c r="M8" s="13">
        <v>1</v>
      </c>
      <c r="N8" s="13">
        <v>0</v>
      </c>
      <c r="O8" s="13">
        <v>0.34537246049661402</v>
      </c>
      <c r="P8" s="13">
        <v>0</v>
      </c>
      <c r="Q8" s="13">
        <v>13</v>
      </c>
      <c r="R8" s="13" t="s">
        <v>164</v>
      </c>
      <c r="S8" s="13">
        <v>0</v>
      </c>
      <c r="T8" s="13" t="s">
        <v>54</v>
      </c>
      <c r="U8" s="13">
        <v>0</v>
      </c>
      <c r="V8" s="13">
        <v>0</v>
      </c>
      <c r="W8" s="13">
        <v>0</v>
      </c>
      <c r="X8" s="13" t="s">
        <v>54</v>
      </c>
      <c r="Y8" s="13">
        <v>0</v>
      </c>
      <c r="Z8" s="13" t="s">
        <v>54</v>
      </c>
      <c r="AA8" s="13" t="s">
        <v>161</v>
      </c>
      <c r="AB8" s="14" t="s">
        <v>157</v>
      </c>
      <c r="AC8" s="14" t="b">
        <v>1</v>
      </c>
      <c r="AD8" s="13" t="s">
        <v>57</v>
      </c>
      <c r="AE8" s="13" t="s">
        <v>172</v>
      </c>
      <c r="AF8" s="13">
        <v>0.33</v>
      </c>
      <c r="AG8" s="13">
        <v>0.61</v>
      </c>
      <c r="AH8" s="13" t="s">
        <v>68</v>
      </c>
      <c r="AI8" s="13" t="s">
        <v>60</v>
      </c>
      <c r="AJ8" s="13" t="s">
        <v>91</v>
      </c>
      <c r="AK8" s="13" t="s">
        <v>173</v>
      </c>
      <c r="AL8" s="13" t="s">
        <v>93</v>
      </c>
      <c r="AM8" s="13" t="s">
        <v>174</v>
      </c>
      <c r="AN8" s="13" t="s">
        <v>73</v>
      </c>
      <c r="AO8" s="13" t="s">
        <v>66</v>
      </c>
      <c r="AP8" s="14" t="s">
        <v>162</v>
      </c>
      <c r="AQ8" s="17" t="s">
        <v>67</v>
      </c>
      <c r="AR8" s="13"/>
    </row>
    <row r="9" spans="1:44" ht="15" customHeight="1">
      <c r="A9" s="20">
        <v>32</v>
      </c>
      <c r="B9" s="7" t="s">
        <v>43</v>
      </c>
      <c r="C9" s="13" t="s">
        <v>175</v>
      </c>
      <c r="D9" s="13" t="s">
        <v>176</v>
      </c>
      <c r="E9" s="13" t="s">
        <v>177</v>
      </c>
      <c r="F9" s="13" t="s">
        <v>182</v>
      </c>
      <c r="G9" s="13" t="s">
        <v>183</v>
      </c>
      <c r="H9" s="13" t="s">
        <v>184</v>
      </c>
      <c r="I9" s="13" t="s">
        <v>185</v>
      </c>
      <c r="J9" s="13" t="s">
        <v>186</v>
      </c>
      <c r="K9" s="13" t="s">
        <v>187</v>
      </c>
      <c r="L9" s="13" t="s">
        <v>188</v>
      </c>
      <c r="M9" s="13">
        <v>0.5</v>
      </c>
      <c r="N9" s="13">
        <v>0.33333333333333331</v>
      </c>
      <c r="O9" s="13">
        <v>1.6393442622950821E-2</v>
      </c>
      <c r="P9" s="13">
        <v>0</v>
      </c>
      <c r="Q9" s="13">
        <v>13</v>
      </c>
      <c r="R9" s="13" t="s">
        <v>189</v>
      </c>
      <c r="S9" s="13">
        <v>1</v>
      </c>
      <c r="T9" s="13" t="s">
        <v>178</v>
      </c>
      <c r="U9" s="13">
        <v>1</v>
      </c>
      <c r="V9" s="13">
        <v>1</v>
      </c>
      <c r="W9" s="13">
        <v>0</v>
      </c>
      <c r="X9" s="13" t="s">
        <v>54</v>
      </c>
      <c r="Y9" s="13">
        <v>0</v>
      </c>
      <c r="Z9" s="13" t="s">
        <v>54</v>
      </c>
      <c r="AA9" s="13" t="s">
        <v>179</v>
      </c>
      <c r="AB9" s="14" t="s">
        <v>180</v>
      </c>
      <c r="AC9" s="14" t="b">
        <v>1</v>
      </c>
      <c r="AD9" s="13" t="s">
        <v>57</v>
      </c>
      <c r="AE9" s="13" t="s">
        <v>58</v>
      </c>
      <c r="AF9" s="13">
        <v>1</v>
      </c>
      <c r="AG9" s="13">
        <v>1</v>
      </c>
      <c r="AH9" s="13" t="s">
        <v>68</v>
      </c>
      <c r="AI9" s="13" t="s">
        <v>68</v>
      </c>
      <c r="AJ9" s="13" t="s">
        <v>61</v>
      </c>
      <c r="AK9" s="13" t="s">
        <v>72</v>
      </c>
      <c r="AL9" s="13" t="s">
        <v>63</v>
      </c>
      <c r="AM9" s="13" t="s">
        <v>64</v>
      </c>
      <c r="AN9" s="13" t="s">
        <v>65</v>
      </c>
      <c r="AO9" s="13" t="s">
        <v>66</v>
      </c>
      <c r="AP9" s="14" t="s">
        <v>145</v>
      </c>
      <c r="AQ9" s="17" t="s">
        <v>181</v>
      </c>
      <c r="AR9" s="13"/>
    </row>
    <row r="10" spans="1:44" ht="15" customHeight="1">
      <c r="A10" s="20">
        <v>36</v>
      </c>
      <c r="B10" s="7" t="s">
        <v>43</v>
      </c>
      <c r="C10" s="13" t="s">
        <v>175</v>
      </c>
      <c r="D10" s="13" t="s">
        <v>193</v>
      </c>
      <c r="E10" s="13" t="s">
        <v>192</v>
      </c>
      <c r="F10" s="13" t="s">
        <v>191</v>
      </c>
      <c r="G10" s="13" t="s">
        <v>190</v>
      </c>
      <c r="H10" s="13" t="s">
        <v>195</v>
      </c>
      <c r="I10" s="13" t="s">
        <v>196</v>
      </c>
      <c r="J10" s="13" t="s">
        <v>197</v>
      </c>
      <c r="K10" s="13" t="s">
        <v>198</v>
      </c>
      <c r="L10" s="13" t="s">
        <v>199</v>
      </c>
      <c r="M10" s="13">
        <v>0.33333333333333331</v>
      </c>
      <c r="N10" s="13">
        <v>0.5</v>
      </c>
      <c r="O10" s="13">
        <v>1.2987012987012988E-2</v>
      </c>
      <c r="P10" s="13">
        <v>0</v>
      </c>
      <c r="Q10" s="13">
        <v>15</v>
      </c>
      <c r="R10" s="13" t="s">
        <v>200</v>
      </c>
      <c r="S10" s="13">
        <v>1</v>
      </c>
      <c r="T10" s="13" t="s">
        <v>200</v>
      </c>
      <c r="U10" s="13">
        <v>1</v>
      </c>
      <c r="V10" s="13">
        <v>1</v>
      </c>
      <c r="W10" s="13">
        <v>0</v>
      </c>
      <c r="X10" s="13" t="s">
        <v>54</v>
      </c>
      <c r="Y10" s="13">
        <v>0</v>
      </c>
      <c r="Z10" s="13" t="s">
        <v>54</v>
      </c>
      <c r="AA10" s="13" t="s">
        <v>194</v>
      </c>
      <c r="AB10" s="14" t="s">
        <v>180</v>
      </c>
      <c r="AC10" s="14" t="b">
        <v>1</v>
      </c>
      <c r="AD10" s="13" t="s">
        <v>57</v>
      </c>
      <c r="AE10" s="13" t="s">
        <v>58</v>
      </c>
      <c r="AF10" s="13">
        <v>1</v>
      </c>
      <c r="AG10" s="13">
        <v>1</v>
      </c>
      <c r="AH10" s="13" t="s">
        <v>68</v>
      </c>
      <c r="AI10" s="13" t="s">
        <v>68</v>
      </c>
      <c r="AJ10" s="13" t="s">
        <v>61</v>
      </c>
      <c r="AK10" s="13" t="s">
        <v>72</v>
      </c>
      <c r="AL10" s="13" t="s">
        <v>63</v>
      </c>
      <c r="AM10" s="13" t="s">
        <v>64</v>
      </c>
      <c r="AN10" s="13" t="s">
        <v>65</v>
      </c>
      <c r="AO10" s="13" t="s">
        <v>66</v>
      </c>
      <c r="AP10" s="14" t="s">
        <v>145</v>
      </c>
      <c r="AQ10" s="17" t="s">
        <v>181</v>
      </c>
      <c r="AR10" s="13"/>
    </row>
    <row r="11" spans="1:44" ht="15" customHeight="1">
      <c r="A11" s="20">
        <v>40</v>
      </c>
      <c r="B11" s="7" t="s">
        <v>43</v>
      </c>
      <c r="C11" s="13" t="s">
        <v>201</v>
      </c>
      <c r="D11" s="13" t="s">
        <v>203</v>
      </c>
      <c r="E11" s="13" t="s">
        <v>204</v>
      </c>
      <c r="F11" s="13" t="s">
        <v>205</v>
      </c>
      <c r="G11" s="13" t="s">
        <v>206</v>
      </c>
      <c r="H11" s="13" t="s">
        <v>209</v>
      </c>
      <c r="I11" s="13" t="s">
        <v>210</v>
      </c>
      <c r="J11" s="13" t="s">
        <v>207</v>
      </c>
      <c r="K11" s="13" t="s">
        <v>211</v>
      </c>
      <c r="L11" s="13" t="s">
        <v>212</v>
      </c>
      <c r="M11" s="13">
        <v>1</v>
      </c>
      <c r="N11" s="13">
        <v>0</v>
      </c>
      <c r="O11" s="13">
        <v>3.1007751937984496E-2</v>
      </c>
      <c r="P11" s="13">
        <v>0</v>
      </c>
      <c r="Q11" s="13">
        <v>74</v>
      </c>
      <c r="R11" s="13" t="s">
        <v>54</v>
      </c>
      <c r="S11" s="13">
        <v>0</v>
      </c>
      <c r="T11" s="13" t="s">
        <v>54</v>
      </c>
      <c r="U11" s="13">
        <v>0</v>
      </c>
      <c r="V11" s="13">
        <v>0</v>
      </c>
      <c r="W11" s="13">
        <v>0</v>
      </c>
      <c r="X11" s="13" t="s">
        <v>54</v>
      </c>
      <c r="Y11" s="13">
        <v>0</v>
      </c>
      <c r="Z11" s="13" t="s">
        <v>54</v>
      </c>
      <c r="AA11" s="13" t="s">
        <v>208</v>
      </c>
      <c r="AB11" s="14" t="s">
        <v>202</v>
      </c>
      <c r="AC11" s="14" t="b">
        <v>1</v>
      </c>
      <c r="AD11" s="13" t="s">
        <v>58</v>
      </c>
      <c r="AE11" s="13" t="s">
        <v>58</v>
      </c>
      <c r="AF11" s="13">
        <v>0.67</v>
      </c>
      <c r="AG11" s="13">
        <v>0.77</v>
      </c>
      <c r="AH11" s="13" t="s">
        <v>59</v>
      </c>
      <c r="AI11" s="13" t="s">
        <v>60</v>
      </c>
      <c r="AJ11" s="13" t="s">
        <v>61</v>
      </c>
      <c r="AK11" s="13" t="s">
        <v>62</v>
      </c>
      <c r="AL11" s="13" t="s">
        <v>63</v>
      </c>
      <c r="AM11" s="13" t="s">
        <v>64</v>
      </c>
      <c r="AN11" s="13" t="s">
        <v>65</v>
      </c>
      <c r="AO11" s="13" t="s">
        <v>66</v>
      </c>
      <c r="AP11" s="14" t="s">
        <v>145</v>
      </c>
      <c r="AQ11" s="17" t="s">
        <v>67</v>
      </c>
      <c r="AR11" s="13"/>
    </row>
    <row r="12" spans="1:44" ht="15" customHeight="1">
      <c r="A12" s="6">
        <v>41</v>
      </c>
      <c r="B12" s="7" t="s">
        <v>43</v>
      </c>
      <c r="C12" s="8" t="s">
        <v>201</v>
      </c>
      <c r="D12" s="8" t="s">
        <v>203</v>
      </c>
      <c r="E12" s="8" t="s">
        <v>204</v>
      </c>
      <c r="F12" s="8" t="s">
        <v>205</v>
      </c>
      <c r="G12" s="8" t="s">
        <v>206</v>
      </c>
      <c r="H12" s="8" t="s">
        <v>213</v>
      </c>
      <c r="I12" s="8" t="s">
        <v>214</v>
      </c>
      <c r="J12" s="8" t="s">
        <v>207</v>
      </c>
      <c r="K12" s="8" t="s">
        <v>215</v>
      </c>
      <c r="L12" s="8" t="s">
        <v>216</v>
      </c>
      <c r="M12" s="8">
        <v>1</v>
      </c>
      <c r="N12" s="8">
        <v>0</v>
      </c>
      <c r="O12" s="8">
        <v>2.34375E-2</v>
      </c>
      <c r="P12" s="8">
        <v>0</v>
      </c>
      <c r="Q12" s="8">
        <v>74</v>
      </c>
      <c r="R12" s="8" t="s">
        <v>54</v>
      </c>
      <c r="S12" s="8">
        <v>0</v>
      </c>
      <c r="T12" s="8" t="s">
        <v>54</v>
      </c>
      <c r="U12" s="8">
        <v>0</v>
      </c>
      <c r="V12" s="8">
        <v>0</v>
      </c>
      <c r="W12" s="8">
        <v>0</v>
      </c>
      <c r="X12" s="8" t="s">
        <v>54</v>
      </c>
      <c r="Y12" s="8">
        <v>0</v>
      </c>
      <c r="Z12" s="8" t="s">
        <v>54</v>
      </c>
      <c r="AA12" s="8" t="s">
        <v>208</v>
      </c>
      <c r="AB12" s="9" t="s">
        <v>202</v>
      </c>
      <c r="AC12" s="9" t="b">
        <v>1</v>
      </c>
      <c r="AD12" s="8" t="s">
        <v>58</v>
      </c>
      <c r="AE12" s="8" t="s">
        <v>58</v>
      </c>
      <c r="AF12" s="8">
        <v>0.67</v>
      </c>
      <c r="AG12" s="8">
        <v>0.77</v>
      </c>
      <c r="AH12" s="8" t="s">
        <v>59</v>
      </c>
      <c r="AI12" s="8" t="s">
        <v>60</v>
      </c>
      <c r="AJ12" s="8" t="s">
        <v>61</v>
      </c>
      <c r="AK12" s="8" t="s">
        <v>62</v>
      </c>
      <c r="AL12" s="8" t="s">
        <v>63</v>
      </c>
      <c r="AM12" s="8" t="s">
        <v>64</v>
      </c>
      <c r="AN12" s="8" t="s">
        <v>65</v>
      </c>
      <c r="AO12" s="8" t="s">
        <v>66</v>
      </c>
      <c r="AP12" s="9" t="s">
        <v>145</v>
      </c>
      <c r="AQ12" s="11" t="s">
        <v>67</v>
      </c>
      <c r="AR12" s="8"/>
    </row>
    <row r="13" spans="1:44" ht="15" customHeight="1">
      <c r="A13" s="20">
        <v>45</v>
      </c>
      <c r="B13" s="7" t="s">
        <v>43</v>
      </c>
      <c r="C13" s="13" t="s">
        <v>201</v>
      </c>
      <c r="D13" s="13" t="s">
        <v>203</v>
      </c>
      <c r="E13" s="13" t="s">
        <v>204</v>
      </c>
      <c r="F13" s="13" t="s">
        <v>205</v>
      </c>
      <c r="G13" s="13" t="s">
        <v>206</v>
      </c>
      <c r="H13" s="13" t="s">
        <v>217</v>
      </c>
      <c r="I13" s="13" t="s">
        <v>218</v>
      </c>
      <c r="J13" s="13" t="s">
        <v>207</v>
      </c>
      <c r="K13" s="13" t="s">
        <v>219</v>
      </c>
      <c r="L13" s="13" t="s">
        <v>220</v>
      </c>
      <c r="M13" s="13">
        <v>1</v>
      </c>
      <c r="N13" s="13">
        <v>0</v>
      </c>
      <c r="O13" s="13">
        <v>3.8461538461538464E-2</v>
      </c>
      <c r="P13" s="13">
        <v>0</v>
      </c>
      <c r="Q13" s="13">
        <v>74</v>
      </c>
      <c r="R13" s="13" t="s">
        <v>54</v>
      </c>
      <c r="S13" s="13">
        <v>0</v>
      </c>
      <c r="T13" s="13" t="s">
        <v>54</v>
      </c>
      <c r="U13" s="13">
        <v>0</v>
      </c>
      <c r="V13" s="13">
        <v>0</v>
      </c>
      <c r="W13" s="13">
        <v>0</v>
      </c>
      <c r="X13" s="13" t="s">
        <v>54</v>
      </c>
      <c r="Y13" s="13">
        <v>0</v>
      </c>
      <c r="Z13" s="13" t="s">
        <v>54</v>
      </c>
      <c r="AA13" s="13" t="s">
        <v>208</v>
      </c>
      <c r="AB13" s="14" t="s">
        <v>202</v>
      </c>
      <c r="AC13" s="14" t="b">
        <v>1</v>
      </c>
      <c r="AD13" s="13" t="s">
        <v>58</v>
      </c>
      <c r="AE13" s="13" t="s">
        <v>58</v>
      </c>
      <c r="AF13" s="13">
        <v>0.67</v>
      </c>
      <c r="AG13" s="13">
        <v>0.77</v>
      </c>
      <c r="AH13" s="13" t="s">
        <v>59</v>
      </c>
      <c r="AI13" s="13" t="s">
        <v>60</v>
      </c>
      <c r="AJ13" s="13" t="s">
        <v>61</v>
      </c>
      <c r="AK13" s="13" t="s">
        <v>62</v>
      </c>
      <c r="AL13" s="13" t="s">
        <v>63</v>
      </c>
      <c r="AM13" s="13" t="s">
        <v>64</v>
      </c>
      <c r="AN13" s="13" t="s">
        <v>65</v>
      </c>
      <c r="AO13" s="13" t="s">
        <v>66</v>
      </c>
      <c r="AP13" s="14" t="s">
        <v>145</v>
      </c>
      <c r="AQ13" s="17" t="s">
        <v>67</v>
      </c>
      <c r="AR13" s="13"/>
    </row>
    <row r="14" spans="1:44" ht="15" customHeight="1">
      <c r="A14" s="20">
        <v>49</v>
      </c>
      <c r="B14" s="7" t="s">
        <v>43</v>
      </c>
      <c r="C14" s="13" t="s">
        <v>201</v>
      </c>
      <c r="D14" s="13" t="s">
        <v>203</v>
      </c>
      <c r="E14" s="13" t="s">
        <v>204</v>
      </c>
      <c r="F14" s="13" t="s">
        <v>221</v>
      </c>
      <c r="G14" s="13" t="s">
        <v>222</v>
      </c>
      <c r="H14" s="13" t="s">
        <v>224</v>
      </c>
      <c r="I14" s="13" t="s">
        <v>225</v>
      </c>
      <c r="J14" s="13" t="s">
        <v>223</v>
      </c>
      <c r="K14" s="13" t="s">
        <v>226</v>
      </c>
      <c r="L14" s="13" t="s">
        <v>227</v>
      </c>
      <c r="M14" s="13">
        <v>1</v>
      </c>
      <c r="N14" s="13">
        <v>0</v>
      </c>
      <c r="O14" s="13">
        <v>0.25657894736842107</v>
      </c>
      <c r="P14" s="13">
        <v>45</v>
      </c>
      <c r="Q14" s="13">
        <v>74</v>
      </c>
      <c r="R14" s="13" t="s">
        <v>54</v>
      </c>
      <c r="S14" s="13">
        <v>0</v>
      </c>
      <c r="T14" s="13" t="s">
        <v>54</v>
      </c>
      <c r="U14" s="13">
        <v>0</v>
      </c>
      <c r="V14" s="13">
        <v>0</v>
      </c>
      <c r="W14" s="13">
        <v>0</v>
      </c>
      <c r="X14" s="13" t="s">
        <v>54</v>
      </c>
      <c r="Y14" s="13">
        <v>0</v>
      </c>
      <c r="Z14" s="13" t="s">
        <v>54</v>
      </c>
      <c r="AA14" s="13" t="s">
        <v>208</v>
      </c>
      <c r="AB14" s="14" t="s">
        <v>202</v>
      </c>
      <c r="AC14" s="14" t="b">
        <v>1</v>
      </c>
      <c r="AD14" s="13" t="s">
        <v>58</v>
      </c>
      <c r="AE14" s="13" t="s">
        <v>58</v>
      </c>
      <c r="AF14" s="13">
        <v>0.13</v>
      </c>
      <c r="AG14" s="13">
        <v>0.43</v>
      </c>
      <c r="AH14" s="13" t="s">
        <v>59</v>
      </c>
      <c r="AI14" s="13" t="s">
        <v>60</v>
      </c>
      <c r="AJ14" s="13" t="s">
        <v>61</v>
      </c>
      <c r="AK14" s="13" t="s">
        <v>62</v>
      </c>
      <c r="AL14" s="13" t="s">
        <v>63</v>
      </c>
      <c r="AM14" s="13" t="s">
        <v>64</v>
      </c>
      <c r="AN14" s="13" t="s">
        <v>65</v>
      </c>
      <c r="AO14" s="13" t="s">
        <v>66</v>
      </c>
      <c r="AP14" s="14" t="s">
        <v>145</v>
      </c>
      <c r="AQ14" s="17" t="s">
        <v>67</v>
      </c>
      <c r="AR14" s="13"/>
    </row>
    <row r="15" spans="1:44" ht="15" customHeight="1">
      <c r="A15" s="20">
        <v>53</v>
      </c>
      <c r="B15" s="7" t="s">
        <v>43</v>
      </c>
      <c r="C15" s="13" t="s">
        <v>201</v>
      </c>
      <c r="D15" s="13" t="s">
        <v>203</v>
      </c>
      <c r="E15" s="13" t="s">
        <v>204</v>
      </c>
      <c r="F15" s="13" t="s">
        <v>230</v>
      </c>
      <c r="G15" s="13" t="s">
        <v>231</v>
      </c>
      <c r="H15" s="13" t="s">
        <v>233</v>
      </c>
      <c r="I15" s="13" t="s">
        <v>234</v>
      </c>
      <c r="J15" s="13" t="s">
        <v>223</v>
      </c>
      <c r="K15" s="13" t="s">
        <v>235</v>
      </c>
      <c r="L15" s="13" t="s">
        <v>236</v>
      </c>
      <c r="M15" s="13">
        <v>1</v>
      </c>
      <c r="N15" s="13">
        <v>0</v>
      </c>
      <c r="O15" s="13">
        <v>0.26</v>
      </c>
      <c r="P15" s="13">
        <v>46</v>
      </c>
      <c r="Q15" s="13">
        <v>74</v>
      </c>
      <c r="R15" s="13" t="s">
        <v>54</v>
      </c>
      <c r="S15" s="13">
        <v>0</v>
      </c>
      <c r="T15" s="13" t="s">
        <v>54</v>
      </c>
      <c r="U15" s="13">
        <v>0</v>
      </c>
      <c r="V15" s="13">
        <v>0</v>
      </c>
      <c r="W15" s="13">
        <v>0</v>
      </c>
      <c r="X15" s="13" t="s">
        <v>54</v>
      </c>
      <c r="Y15" s="13">
        <v>0</v>
      </c>
      <c r="Z15" s="13" t="s">
        <v>54</v>
      </c>
      <c r="AA15" s="13" t="s">
        <v>208</v>
      </c>
      <c r="AB15" s="14" t="s">
        <v>202</v>
      </c>
      <c r="AC15" s="14" t="b">
        <v>1</v>
      </c>
      <c r="AD15" s="13" t="s">
        <v>58</v>
      </c>
      <c r="AE15" s="13" t="s">
        <v>58</v>
      </c>
      <c r="AF15" s="13">
        <v>0.13</v>
      </c>
      <c r="AG15" s="13">
        <v>0.55000000000000004</v>
      </c>
      <c r="AH15" s="13" t="s">
        <v>59</v>
      </c>
      <c r="AI15" s="13" t="s">
        <v>144</v>
      </c>
      <c r="AJ15" s="13" t="s">
        <v>61</v>
      </c>
      <c r="AK15" s="13" t="s">
        <v>62</v>
      </c>
      <c r="AL15" s="13" t="s">
        <v>63</v>
      </c>
      <c r="AM15" s="13" t="s">
        <v>64</v>
      </c>
      <c r="AN15" s="13" t="s">
        <v>65</v>
      </c>
      <c r="AO15" s="13" t="s">
        <v>66</v>
      </c>
      <c r="AP15" s="14" t="s">
        <v>232</v>
      </c>
      <c r="AQ15" s="17" t="s">
        <v>67</v>
      </c>
      <c r="AR15" s="13"/>
    </row>
    <row r="16" spans="1:44" ht="15" customHeight="1">
      <c r="A16" s="20">
        <v>58</v>
      </c>
      <c r="B16" s="7" t="s">
        <v>43</v>
      </c>
      <c r="C16" s="13" t="s">
        <v>113</v>
      </c>
      <c r="D16" s="13" t="s">
        <v>240</v>
      </c>
      <c r="E16" s="13" t="s">
        <v>237</v>
      </c>
      <c r="F16" s="13" t="s">
        <v>241</v>
      </c>
      <c r="G16" s="13" t="s">
        <v>242</v>
      </c>
      <c r="H16" s="13" t="s">
        <v>243</v>
      </c>
      <c r="I16" s="13" t="s">
        <v>244</v>
      </c>
      <c r="J16" s="13" t="s">
        <v>116</v>
      </c>
      <c r="K16" s="13" t="s">
        <v>245</v>
      </c>
      <c r="L16" s="13" t="s">
        <v>117</v>
      </c>
      <c r="M16" s="13">
        <v>1</v>
      </c>
      <c r="N16" s="13">
        <v>0.25</v>
      </c>
      <c r="O16" s="13">
        <v>0.44694533762057875</v>
      </c>
      <c r="P16" s="13">
        <v>10</v>
      </c>
      <c r="Q16" s="13">
        <v>15</v>
      </c>
      <c r="R16" s="13" t="s">
        <v>54</v>
      </c>
      <c r="S16" s="13">
        <v>0</v>
      </c>
      <c r="T16" s="13" t="s">
        <v>54</v>
      </c>
      <c r="U16" s="13">
        <v>0</v>
      </c>
      <c r="V16" s="13">
        <v>0</v>
      </c>
      <c r="W16" s="13">
        <v>1</v>
      </c>
      <c r="X16" s="13" t="s">
        <v>118</v>
      </c>
      <c r="Y16" s="13">
        <v>0</v>
      </c>
      <c r="Z16" s="13" t="s">
        <v>54</v>
      </c>
      <c r="AA16" s="13" t="s">
        <v>246</v>
      </c>
      <c r="AB16" s="14" t="s">
        <v>247</v>
      </c>
      <c r="AC16" s="14" t="b">
        <v>1</v>
      </c>
      <c r="AD16" s="13" t="s">
        <v>58</v>
      </c>
      <c r="AE16" s="13" t="s">
        <v>58</v>
      </c>
      <c r="AF16" s="13">
        <v>0</v>
      </c>
      <c r="AG16" s="13">
        <v>0.41</v>
      </c>
      <c r="AH16" s="13" t="s">
        <v>68</v>
      </c>
      <c r="AI16" s="13" t="s">
        <v>60</v>
      </c>
      <c r="AJ16" s="13" t="s">
        <v>78</v>
      </c>
      <c r="AK16" s="13" t="s">
        <v>248</v>
      </c>
      <c r="AL16" s="13" t="s">
        <v>63</v>
      </c>
      <c r="AM16" s="13" t="s">
        <v>174</v>
      </c>
      <c r="AN16" s="13" t="s">
        <v>73</v>
      </c>
      <c r="AO16" s="13" t="s">
        <v>66</v>
      </c>
      <c r="AP16" s="14"/>
      <c r="AQ16" s="17" t="s">
        <v>71</v>
      </c>
      <c r="AR16" s="13"/>
    </row>
    <row r="17" spans="1:44" ht="15" customHeight="1">
      <c r="A17" s="6">
        <v>61</v>
      </c>
      <c r="B17" s="7" t="s">
        <v>43</v>
      </c>
      <c r="C17" s="8" t="s">
        <v>113</v>
      </c>
      <c r="D17" s="8" t="s">
        <v>240</v>
      </c>
      <c r="E17" s="8" t="s">
        <v>237</v>
      </c>
      <c r="F17" s="8" t="s">
        <v>95</v>
      </c>
      <c r="G17" s="8" t="s">
        <v>249</v>
      </c>
      <c r="H17" s="8" t="s">
        <v>250</v>
      </c>
      <c r="I17" s="8" t="s">
        <v>251</v>
      </c>
      <c r="J17" s="8" t="s">
        <v>96</v>
      </c>
      <c r="K17" s="8" t="s">
        <v>252</v>
      </c>
      <c r="L17" s="8" t="s">
        <v>130</v>
      </c>
      <c r="M17" s="8">
        <v>1</v>
      </c>
      <c r="N17" s="8">
        <v>0.5</v>
      </c>
      <c r="O17" s="8">
        <v>0.57741935483870965</v>
      </c>
      <c r="P17" s="8">
        <v>0</v>
      </c>
      <c r="Q17" s="8">
        <v>15</v>
      </c>
      <c r="R17" s="8" t="s">
        <v>54</v>
      </c>
      <c r="S17" s="8">
        <v>0</v>
      </c>
      <c r="T17" s="8" t="s">
        <v>54</v>
      </c>
      <c r="U17" s="8">
        <v>0</v>
      </c>
      <c r="V17" s="8">
        <v>0</v>
      </c>
      <c r="W17" s="8">
        <v>0</v>
      </c>
      <c r="X17" s="8" t="s">
        <v>54</v>
      </c>
      <c r="Y17" s="8">
        <v>1</v>
      </c>
      <c r="Z17" s="8" t="s">
        <v>97</v>
      </c>
      <c r="AA17" s="8" t="s">
        <v>246</v>
      </c>
      <c r="AB17" s="9" t="s">
        <v>247</v>
      </c>
      <c r="AC17" s="9" t="b">
        <v>1</v>
      </c>
      <c r="AD17" s="8" t="s">
        <v>58</v>
      </c>
      <c r="AE17" s="8" t="s">
        <v>253</v>
      </c>
      <c r="AF17" s="8">
        <v>0</v>
      </c>
      <c r="AG17" s="8">
        <v>0.34</v>
      </c>
      <c r="AH17" s="8" t="s">
        <v>69</v>
      </c>
      <c r="AI17" s="8" t="s">
        <v>60</v>
      </c>
      <c r="AJ17" s="8" t="s">
        <v>70</v>
      </c>
      <c r="AK17" s="8" t="s">
        <v>239</v>
      </c>
      <c r="AL17" s="8" t="s">
        <v>63</v>
      </c>
      <c r="AM17" s="8" t="s">
        <v>64</v>
      </c>
      <c r="AN17" s="8" t="s">
        <v>73</v>
      </c>
      <c r="AO17" s="8" t="s">
        <v>66</v>
      </c>
      <c r="AP17" s="9" t="s">
        <v>94</v>
      </c>
      <c r="AQ17" s="11" t="s">
        <v>98</v>
      </c>
      <c r="AR17" s="8"/>
    </row>
    <row r="18" spans="1:44" ht="15" customHeight="1">
      <c r="A18" s="20">
        <v>63</v>
      </c>
      <c r="B18" s="7" t="s">
        <v>43</v>
      </c>
      <c r="C18" s="13" t="s">
        <v>254</v>
      </c>
      <c r="D18" s="13" t="s">
        <v>258</v>
      </c>
      <c r="E18" s="13" t="s">
        <v>259</v>
      </c>
      <c r="F18" s="13" t="s">
        <v>260</v>
      </c>
      <c r="G18" s="13" t="s">
        <v>261</v>
      </c>
      <c r="H18" s="13" t="s">
        <v>262</v>
      </c>
      <c r="I18" s="13" t="s">
        <v>263</v>
      </c>
      <c r="J18" s="13" t="s">
        <v>264</v>
      </c>
      <c r="K18" s="13" t="s">
        <v>265</v>
      </c>
      <c r="L18" s="13" t="s">
        <v>266</v>
      </c>
      <c r="M18" s="13">
        <v>0.5</v>
      </c>
      <c r="N18" s="13">
        <v>0.33333333333333331</v>
      </c>
      <c r="O18" s="13">
        <v>9.9290780141843976E-2</v>
      </c>
      <c r="P18" s="13">
        <v>3</v>
      </c>
      <c r="Q18" s="13">
        <v>19</v>
      </c>
      <c r="R18" s="13" t="s">
        <v>255</v>
      </c>
      <c r="S18" s="13">
        <v>1</v>
      </c>
      <c r="T18" s="13" t="s">
        <v>267</v>
      </c>
      <c r="U18" s="13">
        <v>1</v>
      </c>
      <c r="V18" s="13">
        <v>1</v>
      </c>
      <c r="W18" s="13">
        <v>0</v>
      </c>
      <c r="X18" s="13" t="s">
        <v>54</v>
      </c>
      <c r="Y18" s="13">
        <v>0</v>
      </c>
      <c r="Z18" s="13" t="s">
        <v>54</v>
      </c>
      <c r="AA18" s="13" t="s">
        <v>268</v>
      </c>
      <c r="AB18" s="14" t="s">
        <v>247</v>
      </c>
      <c r="AC18" s="14" t="b">
        <v>1</v>
      </c>
      <c r="AD18" s="13" t="s">
        <v>58</v>
      </c>
      <c r="AE18" s="13" t="s">
        <v>58</v>
      </c>
      <c r="AF18" s="13">
        <v>0.5</v>
      </c>
      <c r="AG18" s="13">
        <v>0.77</v>
      </c>
      <c r="AH18" s="13" t="s">
        <v>59</v>
      </c>
      <c r="AI18" s="13" t="s">
        <v>68</v>
      </c>
      <c r="AJ18" s="13" t="s">
        <v>61</v>
      </c>
      <c r="AK18" s="13" t="s">
        <v>72</v>
      </c>
      <c r="AL18" s="13" t="s">
        <v>63</v>
      </c>
      <c r="AM18" s="13" t="s">
        <v>64</v>
      </c>
      <c r="AN18" s="13" t="s">
        <v>256</v>
      </c>
      <c r="AO18" s="13" t="s">
        <v>66</v>
      </c>
      <c r="AP18" s="14" t="s">
        <v>257</v>
      </c>
      <c r="AQ18" s="17" t="s">
        <v>74</v>
      </c>
      <c r="AR18" s="13"/>
    </row>
    <row r="19" spans="1:44" ht="15" customHeight="1">
      <c r="A19" s="20">
        <v>68</v>
      </c>
      <c r="B19" s="7" t="s">
        <v>43</v>
      </c>
      <c r="C19" s="13" t="s">
        <v>254</v>
      </c>
      <c r="D19" s="13" t="s">
        <v>271</v>
      </c>
      <c r="E19" s="13" t="s">
        <v>272</v>
      </c>
      <c r="F19" s="13" t="s">
        <v>270</v>
      </c>
      <c r="G19" s="13" t="s">
        <v>273</v>
      </c>
      <c r="H19" s="13" t="s">
        <v>275</v>
      </c>
      <c r="I19" s="13" t="s">
        <v>276</v>
      </c>
      <c r="J19" s="13" t="s">
        <v>277</v>
      </c>
      <c r="K19" s="13" t="s">
        <v>278</v>
      </c>
      <c r="L19" s="13" t="s">
        <v>279</v>
      </c>
      <c r="M19" s="13">
        <v>1</v>
      </c>
      <c r="N19" s="13">
        <v>0</v>
      </c>
      <c r="O19" s="13">
        <v>0.1437125748502994</v>
      </c>
      <c r="P19" s="13">
        <v>8</v>
      </c>
      <c r="Q19" s="13">
        <v>22</v>
      </c>
      <c r="R19" s="13" t="s">
        <v>255</v>
      </c>
      <c r="S19" s="13">
        <v>0</v>
      </c>
      <c r="T19" s="13" t="s">
        <v>54</v>
      </c>
      <c r="U19" s="13">
        <v>0</v>
      </c>
      <c r="V19" s="13">
        <v>0</v>
      </c>
      <c r="W19" s="13">
        <v>0</v>
      </c>
      <c r="X19" s="13" t="s">
        <v>54</v>
      </c>
      <c r="Y19" s="13">
        <v>0</v>
      </c>
      <c r="Z19" s="13" t="s">
        <v>54</v>
      </c>
      <c r="AA19" s="13" t="s">
        <v>274</v>
      </c>
      <c r="AB19" s="14" t="s">
        <v>247</v>
      </c>
      <c r="AC19" s="14" t="b">
        <v>1</v>
      </c>
      <c r="AD19" s="13" t="s">
        <v>58</v>
      </c>
      <c r="AE19" s="13" t="s">
        <v>58</v>
      </c>
      <c r="AF19" s="13">
        <v>0.8</v>
      </c>
      <c r="AG19" s="13">
        <v>0.96</v>
      </c>
      <c r="AH19" s="13" t="s">
        <v>59</v>
      </c>
      <c r="AI19" s="13" t="s">
        <v>68</v>
      </c>
      <c r="AJ19" s="13" t="s">
        <v>91</v>
      </c>
      <c r="AK19" s="13" t="s">
        <v>92</v>
      </c>
      <c r="AL19" s="13" t="s">
        <v>269</v>
      </c>
      <c r="AM19" s="13" t="s">
        <v>64</v>
      </c>
      <c r="AN19" s="13" t="s">
        <v>73</v>
      </c>
      <c r="AO19" s="13" t="s">
        <v>66</v>
      </c>
      <c r="AP19" s="14" t="s">
        <v>238</v>
      </c>
      <c r="AQ19" s="17" t="s">
        <v>67</v>
      </c>
      <c r="AR19" s="13"/>
    </row>
    <row r="20" spans="1:44" ht="15" customHeight="1">
      <c r="A20" s="20">
        <v>73</v>
      </c>
      <c r="B20" s="7" t="s">
        <v>43</v>
      </c>
      <c r="C20" s="13" t="s">
        <v>254</v>
      </c>
      <c r="D20" s="13" t="s">
        <v>271</v>
      </c>
      <c r="E20" s="13" t="s">
        <v>272</v>
      </c>
      <c r="F20" s="13" t="s">
        <v>260</v>
      </c>
      <c r="G20" s="13" t="s">
        <v>261</v>
      </c>
      <c r="H20" s="13" t="s">
        <v>280</v>
      </c>
      <c r="I20" s="13" t="s">
        <v>281</v>
      </c>
      <c r="J20" s="13" t="s">
        <v>282</v>
      </c>
      <c r="K20" s="13" t="s">
        <v>283</v>
      </c>
      <c r="L20" s="13" t="s">
        <v>284</v>
      </c>
      <c r="M20" s="13">
        <v>1</v>
      </c>
      <c r="N20" s="13">
        <v>0</v>
      </c>
      <c r="O20" s="13">
        <v>0.19760479041916168</v>
      </c>
      <c r="P20" s="13">
        <v>0</v>
      </c>
      <c r="Q20" s="13">
        <v>22</v>
      </c>
      <c r="R20" s="13" t="s">
        <v>255</v>
      </c>
      <c r="S20" s="13">
        <v>0</v>
      </c>
      <c r="T20" s="13" t="s">
        <v>54</v>
      </c>
      <c r="U20" s="13">
        <v>0</v>
      </c>
      <c r="V20" s="13">
        <v>0</v>
      </c>
      <c r="W20" s="13">
        <v>0</v>
      </c>
      <c r="X20" s="13" t="s">
        <v>54</v>
      </c>
      <c r="Y20" s="13">
        <v>0</v>
      </c>
      <c r="Z20" s="13" t="s">
        <v>54</v>
      </c>
      <c r="AA20" s="13" t="s">
        <v>274</v>
      </c>
      <c r="AB20" s="14" t="s">
        <v>247</v>
      </c>
      <c r="AC20" s="14" t="b">
        <v>1</v>
      </c>
      <c r="AD20" s="13" t="s">
        <v>58</v>
      </c>
      <c r="AE20" s="13" t="s">
        <v>58</v>
      </c>
      <c r="AF20" s="13">
        <v>0.33</v>
      </c>
      <c r="AG20" s="13">
        <v>0.69</v>
      </c>
      <c r="AH20" s="13" t="s">
        <v>59</v>
      </c>
      <c r="AI20" s="13" t="s">
        <v>60</v>
      </c>
      <c r="AJ20" s="13" t="s">
        <v>91</v>
      </c>
      <c r="AK20" s="13" t="s">
        <v>92</v>
      </c>
      <c r="AL20" s="13" t="s">
        <v>269</v>
      </c>
      <c r="AM20" s="13" t="s">
        <v>64</v>
      </c>
      <c r="AN20" s="13" t="s">
        <v>73</v>
      </c>
      <c r="AO20" s="13" t="s">
        <v>66</v>
      </c>
      <c r="AP20" s="14" t="s">
        <v>238</v>
      </c>
      <c r="AQ20" s="17" t="s">
        <v>67</v>
      </c>
      <c r="AR20" s="13"/>
    </row>
    <row r="21" spans="1:44" ht="15" customHeight="1">
      <c r="A21" s="20">
        <v>77</v>
      </c>
      <c r="B21" s="7" t="s">
        <v>43</v>
      </c>
      <c r="C21" s="13" t="s">
        <v>285</v>
      </c>
      <c r="D21" s="13" t="s">
        <v>286</v>
      </c>
      <c r="E21" s="13" t="s">
        <v>287</v>
      </c>
      <c r="F21" s="13" t="s">
        <v>288</v>
      </c>
      <c r="G21" s="13" t="s">
        <v>289</v>
      </c>
      <c r="H21" s="13" t="s">
        <v>290</v>
      </c>
      <c r="I21" s="13" t="s">
        <v>291</v>
      </c>
      <c r="J21" s="13" t="s">
        <v>292</v>
      </c>
      <c r="K21" s="13" t="s">
        <v>293</v>
      </c>
      <c r="L21" s="13" t="s">
        <v>294</v>
      </c>
      <c r="M21" s="13">
        <v>1</v>
      </c>
      <c r="N21" s="13">
        <v>0.14285714285714285</v>
      </c>
      <c r="O21" s="13">
        <v>0.14137214137214138</v>
      </c>
      <c r="P21" s="13">
        <v>17</v>
      </c>
      <c r="Q21" s="13">
        <v>23</v>
      </c>
      <c r="R21" s="13" t="s">
        <v>54</v>
      </c>
      <c r="S21" s="13">
        <v>0</v>
      </c>
      <c r="T21" s="13" t="s">
        <v>54</v>
      </c>
      <c r="U21" s="13">
        <v>0</v>
      </c>
      <c r="V21" s="13">
        <v>0</v>
      </c>
      <c r="W21" s="13">
        <v>0</v>
      </c>
      <c r="X21" s="13" t="s">
        <v>54</v>
      </c>
      <c r="Y21" s="13">
        <v>2</v>
      </c>
      <c r="Z21" s="13" t="s">
        <v>295</v>
      </c>
      <c r="AA21" s="13" t="s">
        <v>296</v>
      </c>
      <c r="AB21" s="14" t="s">
        <v>247</v>
      </c>
      <c r="AC21" s="14" t="b">
        <v>1</v>
      </c>
      <c r="AD21" s="13" t="s">
        <v>57</v>
      </c>
      <c r="AE21" s="13" t="s">
        <v>75</v>
      </c>
      <c r="AF21" s="13">
        <v>0</v>
      </c>
      <c r="AG21" s="13">
        <v>0.01</v>
      </c>
      <c r="AH21" s="13" t="s">
        <v>59</v>
      </c>
      <c r="AI21" s="13" t="s">
        <v>69</v>
      </c>
      <c r="AJ21" s="13" t="s">
        <v>61</v>
      </c>
      <c r="AK21" s="13" t="s">
        <v>239</v>
      </c>
      <c r="AL21" s="13" t="s">
        <v>63</v>
      </c>
      <c r="AM21" s="13" t="s">
        <v>64</v>
      </c>
      <c r="AN21" s="13" t="s">
        <v>65</v>
      </c>
      <c r="AO21" s="13" t="s">
        <v>66</v>
      </c>
      <c r="AP21" s="14" t="s">
        <v>94</v>
      </c>
      <c r="AQ21" s="17" t="s">
        <v>98</v>
      </c>
      <c r="AR21" s="13"/>
    </row>
    <row r="22" spans="1:44" ht="15" customHeight="1">
      <c r="A22" s="20">
        <v>82</v>
      </c>
      <c r="B22" s="7" t="s">
        <v>43</v>
      </c>
      <c r="C22" s="13" t="s">
        <v>297</v>
      </c>
      <c r="D22" s="13" t="s">
        <v>299</v>
      </c>
      <c r="E22" s="13" t="s">
        <v>300</v>
      </c>
      <c r="F22" s="13" t="s">
        <v>301</v>
      </c>
      <c r="G22" s="13" t="s">
        <v>302</v>
      </c>
      <c r="H22" s="13" t="s">
        <v>303</v>
      </c>
      <c r="I22" s="13" t="s">
        <v>304</v>
      </c>
      <c r="J22" s="13" t="s">
        <v>305</v>
      </c>
      <c r="K22" s="13" t="s">
        <v>306</v>
      </c>
      <c r="L22" s="13" t="s">
        <v>307</v>
      </c>
      <c r="M22" s="13">
        <v>1</v>
      </c>
      <c r="N22" s="13">
        <v>0</v>
      </c>
      <c r="O22" s="13">
        <v>0.17241379310344829</v>
      </c>
      <c r="P22" s="13">
        <v>1</v>
      </c>
      <c r="Q22" s="13">
        <v>10</v>
      </c>
      <c r="R22" s="13" t="s">
        <v>54</v>
      </c>
      <c r="S22" s="13">
        <v>0</v>
      </c>
      <c r="T22" s="13" t="s">
        <v>54</v>
      </c>
      <c r="U22" s="13">
        <v>0</v>
      </c>
      <c r="V22" s="13">
        <v>0</v>
      </c>
      <c r="W22" s="13">
        <v>0</v>
      </c>
      <c r="X22" s="13" t="s">
        <v>54</v>
      </c>
      <c r="Y22" s="13">
        <v>0</v>
      </c>
      <c r="Z22" s="13" t="s">
        <v>54</v>
      </c>
      <c r="AA22" s="13" t="s">
        <v>308</v>
      </c>
      <c r="AB22" s="14" t="s">
        <v>298</v>
      </c>
      <c r="AC22" s="14" t="b">
        <v>1</v>
      </c>
      <c r="AD22" s="13" t="s">
        <v>58</v>
      </c>
      <c r="AE22" s="13" t="s">
        <v>58</v>
      </c>
      <c r="AF22" s="13">
        <v>0</v>
      </c>
      <c r="AG22" s="13">
        <v>0.23</v>
      </c>
      <c r="AH22" s="13" t="s">
        <v>68</v>
      </c>
      <c r="AI22" s="13" t="s">
        <v>60</v>
      </c>
      <c r="AJ22" s="13" t="s">
        <v>61</v>
      </c>
      <c r="AK22" s="13" t="s">
        <v>62</v>
      </c>
      <c r="AL22" s="13" t="s">
        <v>63</v>
      </c>
      <c r="AM22" s="13" t="s">
        <v>64</v>
      </c>
      <c r="AN22" s="13" t="s">
        <v>73</v>
      </c>
      <c r="AO22" s="21" t="s">
        <v>90</v>
      </c>
      <c r="AP22" s="14" t="s">
        <v>94</v>
      </c>
      <c r="AQ22" s="17" t="s">
        <v>67</v>
      </c>
      <c r="AR22" s="13"/>
    </row>
    <row r="23" spans="1:44" ht="15" customHeight="1">
      <c r="A23" s="20">
        <v>87</v>
      </c>
      <c r="B23" s="7" t="s">
        <v>43</v>
      </c>
      <c r="C23" s="13" t="s">
        <v>309</v>
      </c>
      <c r="D23" s="13" t="s">
        <v>313</v>
      </c>
      <c r="E23" s="13" t="s">
        <v>310</v>
      </c>
      <c r="F23" s="13" t="s">
        <v>314</v>
      </c>
      <c r="G23" s="13" t="s">
        <v>315</v>
      </c>
      <c r="H23" s="13" t="s">
        <v>316</v>
      </c>
      <c r="I23" s="13" t="s">
        <v>317</v>
      </c>
      <c r="J23" s="13" t="s">
        <v>318</v>
      </c>
      <c r="K23" s="13" t="s">
        <v>319</v>
      </c>
      <c r="L23" s="13" t="s">
        <v>320</v>
      </c>
      <c r="M23" s="13">
        <v>0.33333333333333331</v>
      </c>
      <c r="N23" s="13">
        <v>0.66666666666666663</v>
      </c>
      <c r="O23" s="13">
        <v>6.7567567567567571E-2</v>
      </c>
      <c r="P23" s="13">
        <v>2</v>
      </c>
      <c r="Q23" s="13">
        <v>22</v>
      </c>
      <c r="R23" s="13" t="s">
        <v>321</v>
      </c>
      <c r="S23" s="13">
        <v>1</v>
      </c>
      <c r="T23" s="13" t="s">
        <v>322</v>
      </c>
      <c r="U23" s="13">
        <v>1</v>
      </c>
      <c r="V23" s="13">
        <v>1</v>
      </c>
      <c r="W23" s="13">
        <v>0</v>
      </c>
      <c r="X23" s="13" t="s">
        <v>54</v>
      </c>
      <c r="Y23" s="13">
        <v>0</v>
      </c>
      <c r="Z23" s="13" t="s">
        <v>54</v>
      </c>
      <c r="AA23" s="13" t="s">
        <v>323</v>
      </c>
      <c r="AB23" s="14" t="s">
        <v>311</v>
      </c>
      <c r="AC23" s="14" t="b">
        <v>1</v>
      </c>
      <c r="AD23" s="13" t="s">
        <v>57</v>
      </c>
      <c r="AE23" s="13" t="s">
        <v>324</v>
      </c>
      <c r="AF23" s="13">
        <v>0.5</v>
      </c>
      <c r="AG23" s="13">
        <v>0.81</v>
      </c>
      <c r="AH23" s="13" t="s">
        <v>68</v>
      </c>
      <c r="AI23" s="13" t="s">
        <v>60</v>
      </c>
      <c r="AJ23" s="13" t="s">
        <v>61</v>
      </c>
      <c r="AK23" s="13" t="s">
        <v>72</v>
      </c>
      <c r="AL23" s="13" t="s">
        <v>63</v>
      </c>
      <c r="AM23" s="13" t="s">
        <v>64</v>
      </c>
      <c r="AN23" s="13" t="s">
        <v>65</v>
      </c>
      <c r="AO23" s="13" t="s">
        <v>66</v>
      </c>
      <c r="AP23" s="14" t="s">
        <v>312</v>
      </c>
      <c r="AQ23" s="17" t="s">
        <v>181</v>
      </c>
      <c r="AR23" s="13"/>
    </row>
    <row r="24" spans="1:44" ht="15" customHeight="1">
      <c r="A24" s="20">
        <v>92</v>
      </c>
      <c r="B24" s="7" t="s">
        <v>43</v>
      </c>
      <c r="C24" s="13" t="s">
        <v>254</v>
      </c>
      <c r="D24" s="13" t="s">
        <v>325</v>
      </c>
      <c r="E24" s="13" t="s">
        <v>326</v>
      </c>
      <c r="F24" s="13" t="s">
        <v>331</v>
      </c>
      <c r="G24" s="13" t="s">
        <v>332</v>
      </c>
      <c r="H24" s="13" t="s">
        <v>333</v>
      </c>
      <c r="I24" s="13" t="s">
        <v>334</v>
      </c>
      <c r="J24" s="13" t="s">
        <v>335</v>
      </c>
      <c r="K24" s="13" t="s">
        <v>336</v>
      </c>
      <c r="L24" s="13" t="s">
        <v>337</v>
      </c>
      <c r="M24" s="13">
        <v>0.8</v>
      </c>
      <c r="N24" s="13">
        <v>0.6</v>
      </c>
      <c r="O24" s="13">
        <v>0.40828402366863903</v>
      </c>
      <c r="P24" s="13">
        <v>0</v>
      </c>
      <c r="Q24" s="13">
        <v>43</v>
      </c>
      <c r="R24" s="13" t="s">
        <v>327</v>
      </c>
      <c r="S24" s="13">
        <v>1</v>
      </c>
      <c r="T24" s="13" t="s">
        <v>328</v>
      </c>
      <c r="U24" s="13">
        <v>0</v>
      </c>
      <c r="V24" s="13">
        <v>0</v>
      </c>
      <c r="W24" s="13">
        <v>0</v>
      </c>
      <c r="X24" s="13" t="s">
        <v>54</v>
      </c>
      <c r="Y24" s="13">
        <v>0</v>
      </c>
      <c r="Z24" s="13" t="s">
        <v>54</v>
      </c>
      <c r="AA24" s="13" t="s">
        <v>329</v>
      </c>
      <c r="AB24" s="14" t="s">
        <v>311</v>
      </c>
      <c r="AC24" s="14" t="b">
        <v>1</v>
      </c>
      <c r="AD24" s="13" t="s">
        <v>58</v>
      </c>
      <c r="AE24" s="13" t="s">
        <v>57</v>
      </c>
      <c r="AF24" s="13">
        <v>0.67</v>
      </c>
      <c r="AG24" s="13">
        <v>0.95</v>
      </c>
      <c r="AH24" s="13" t="s">
        <v>59</v>
      </c>
      <c r="AI24" s="13" t="s">
        <v>60</v>
      </c>
      <c r="AJ24" s="13" t="s">
        <v>91</v>
      </c>
      <c r="AK24" s="13" t="s">
        <v>76</v>
      </c>
      <c r="AL24" s="13" t="s">
        <v>63</v>
      </c>
      <c r="AM24" s="13" t="s">
        <v>64</v>
      </c>
      <c r="AN24" s="13" t="s">
        <v>65</v>
      </c>
      <c r="AO24" s="13" t="s">
        <v>66</v>
      </c>
      <c r="AP24" s="14" t="s">
        <v>330</v>
      </c>
      <c r="AQ24" s="17" t="s">
        <v>112</v>
      </c>
      <c r="AR24" s="13"/>
    </row>
    <row r="25" spans="1:44" ht="15" customHeight="1">
      <c r="A25" s="20">
        <v>97</v>
      </c>
      <c r="B25" s="7" t="s">
        <v>43</v>
      </c>
      <c r="C25" s="13" t="s">
        <v>338</v>
      </c>
      <c r="D25" s="13" t="s">
        <v>339</v>
      </c>
      <c r="E25" s="13" t="s">
        <v>340</v>
      </c>
      <c r="F25" s="13" t="s">
        <v>341</v>
      </c>
      <c r="G25" s="13" t="s">
        <v>342</v>
      </c>
      <c r="H25" s="13" t="s">
        <v>343</v>
      </c>
      <c r="I25" s="13" t="s">
        <v>344</v>
      </c>
      <c r="J25" s="13" t="s">
        <v>345</v>
      </c>
      <c r="K25" s="13" t="s">
        <v>346</v>
      </c>
      <c r="L25" s="13" t="s">
        <v>347</v>
      </c>
      <c r="M25" s="13">
        <v>1</v>
      </c>
      <c r="N25" s="13">
        <v>0</v>
      </c>
      <c r="O25" s="13">
        <v>0.75903614457831325</v>
      </c>
      <c r="P25" s="13">
        <v>7</v>
      </c>
      <c r="Q25" s="13">
        <v>29</v>
      </c>
      <c r="R25" s="13" t="s">
        <v>54</v>
      </c>
      <c r="S25" s="13">
        <v>0</v>
      </c>
      <c r="T25" s="13" t="s">
        <v>54</v>
      </c>
      <c r="U25" s="13">
        <v>0</v>
      </c>
      <c r="V25" s="13">
        <v>0</v>
      </c>
      <c r="W25" s="13">
        <v>0</v>
      </c>
      <c r="X25" s="13" t="s">
        <v>54</v>
      </c>
      <c r="Y25" s="13">
        <v>0</v>
      </c>
      <c r="Z25" s="13" t="s">
        <v>54</v>
      </c>
      <c r="AA25" s="13" t="s">
        <v>348</v>
      </c>
      <c r="AB25" s="14" t="s">
        <v>349</v>
      </c>
      <c r="AC25" s="14" t="b">
        <v>1</v>
      </c>
      <c r="AD25" s="13" t="s">
        <v>58</v>
      </c>
      <c r="AE25" s="13" t="s">
        <v>58</v>
      </c>
      <c r="AF25" s="13">
        <v>0.13</v>
      </c>
      <c r="AG25" s="13">
        <v>0.45</v>
      </c>
      <c r="AH25" s="13" t="s">
        <v>69</v>
      </c>
      <c r="AI25" s="13" t="s">
        <v>60</v>
      </c>
      <c r="AJ25" s="13" t="s">
        <v>91</v>
      </c>
      <c r="AK25" s="13" t="s">
        <v>92</v>
      </c>
      <c r="AL25" s="13" t="s">
        <v>93</v>
      </c>
      <c r="AM25" s="13" t="s">
        <v>64</v>
      </c>
      <c r="AN25" s="13" t="s">
        <v>165</v>
      </c>
      <c r="AO25" s="13" t="s">
        <v>66</v>
      </c>
      <c r="AP25" s="14" t="s">
        <v>350</v>
      </c>
      <c r="AQ25" s="17" t="s">
        <v>67</v>
      </c>
      <c r="AR25" s="13"/>
    </row>
    <row r="26" spans="1:44" ht="15" customHeight="1">
      <c r="A26" s="20">
        <v>107</v>
      </c>
      <c r="B26" s="7" t="s">
        <v>43</v>
      </c>
      <c r="C26" s="13" t="s">
        <v>201</v>
      </c>
      <c r="D26" s="13" t="s">
        <v>352</v>
      </c>
      <c r="E26" s="13" t="s">
        <v>353</v>
      </c>
      <c r="F26" s="13" t="s">
        <v>221</v>
      </c>
      <c r="G26" s="13" t="s">
        <v>222</v>
      </c>
      <c r="H26" s="13" t="s">
        <v>355</v>
      </c>
      <c r="I26" s="13" t="s">
        <v>356</v>
      </c>
      <c r="J26" s="13" t="s">
        <v>223</v>
      </c>
      <c r="K26" s="13" t="s">
        <v>357</v>
      </c>
      <c r="L26" s="13" t="s">
        <v>358</v>
      </c>
      <c r="M26" s="13">
        <v>1</v>
      </c>
      <c r="N26" s="13">
        <v>0</v>
      </c>
      <c r="O26" s="13">
        <v>0.25657894736842107</v>
      </c>
      <c r="P26" s="13">
        <v>45</v>
      </c>
      <c r="Q26" s="13">
        <v>78</v>
      </c>
      <c r="R26" s="13" t="s">
        <v>54</v>
      </c>
      <c r="S26" s="13">
        <v>0</v>
      </c>
      <c r="T26" s="13" t="s">
        <v>54</v>
      </c>
      <c r="U26" s="13">
        <v>0</v>
      </c>
      <c r="V26" s="13">
        <v>0</v>
      </c>
      <c r="W26" s="13">
        <v>0</v>
      </c>
      <c r="X26" s="13" t="s">
        <v>54</v>
      </c>
      <c r="Y26" s="13">
        <v>0</v>
      </c>
      <c r="Z26" s="13" t="s">
        <v>54</v>
      </c>
      <c r="AA26" s="13" t="s">
        <v>354</v>
      </c>
      <c r="AB26" s="14" t="s">
        <v>351</v>
      </c>
      <c r="AC26" s="14" t="b">
        <v>1</v>
      </c>
      <c r="AD26" s="13" t="s">
        <v>58</v>
      </c>
      <c r="AE26" s="13" t="s">
        <v>58</v>
      </c>
      <c r="AF26" s="13">
        <v>0.13</v>
      </c>
      <c r="AG26" s="13">
        <v>0.45</v>
      </c>
      <c r="AH26" s="13" t="s">
        <v>59</v>
      </c>
      <c r="AI26" s="13" t="s">
        <v>60</v>
      </c>
      <c r="AJ26" s="13" t="s">
        <v>61</v>
      </c>
      <c r="AK26" s="13" t="s">
        <v>62</v>
      </c>
      <c r="AL26" s="13" t="s">
        <v>63</v>
      </c>
      <c r="AM26" s="13" t="s">
        <v>64</v>
      </c>
      <c r="AN26" s="13" t="s">
        <v>65</v>
      </c>
      <c r="AO26" s="13" t="s">
        <v>66</v>
      </c>
      <c r="AP26" s="14" t="s">
        <v>146</v>
      </c>
      <c r="AQ26" s="17" t="s">
        <v>67</v>
      </c>
      <c r="AR26" s="13"/>
    </row>
    <row r="27" spans="1:44" ht="15" customHeight="1">
      <c r="A27" s="20">
        <v>112</v>
      </c>
      <c r="B27" s="7" t="s">
        <v>43</v>
      </c>
      <c r="C27" s="13" t="s">
        <v>201</v>
      </c>
      <c r="D27" s="13" t="s">
        <v>352</v>
      </c>
      <c r="E27" s="13" t="s">
        <v>353</v>
      </c>
      <c r="F27" s="13" t="s">
        <v>228</v>
      </c>
      <c r="G27" s="13" t="s">
        <v>229</v>
      </c>
      <c r="H27" s="13" t="s">
        <v>359</v>
      </c>
      <c r="I27" s="13" t="s">
        <v>360</v>
      </c>
      <c r="J27" s="13" t="s">
        <v>223</v>
      </c>
      <c r="K27" s="13" t="s">
        <v>361</v>
      </c>
      <c r="L27" s="13" t="s">
        <v>362</v>
      </c>
      <c r="M27" s="13">
        <v>1</v>
      </c>
      <c r="N27" s="13">
        <v>0</v>
      </c>
      <c r="O27" s="13">
        <v>0.28205128205128205</v>
      </c>
      <c r="P27" s="13">
        <v>44</v>
      </c>
      <c r="Q27" s="13">
        <v>78</v>
      </c>
      <c r="R27" s="13" t="s">
        <v>54</v>
      </c>
      <c r="S27" s="13">
        <v>0</v>
      </c>
      <c r="T27" s="13" t="s">
        <v>54</v>
      </c>
      <c r="U27" s="13">
        <v>0</v>
      </c>
      <c r="V27" s="13">
        <v>0</v>
      </c>
      <c r="W27" s="13">
        <v>0</v>
      </c>
      <c r="X27" s="13" t="s">
        <v>54</v>
      </c>
      <c r="Y27" s="13">
        <v>0</v>
      </c>
      <c r="Z27" s="13" t="s">
        <v>54</v>
      </c>
      <c r="AA27" s="13" t="s">
        <v>354</v>
      </c>
      <c r="AB27" s="14" t="s">
        <v>351</v>
      </c>
      <c r="AC27" s="14" t="b">
        <v>1</v>
      </c>
      <c r="AD27" s="13" t="s">
        <v>58</v>
      </c>
      <c r="AE27" s="13" t="s">
        <v>58</v>
      </c>
      <c r="AF27" s="13">
        <v>0.12</v>
      </c>
      <c r="AG27" s="13">
        <v>0.48</v>
      </c>
      <c r="AH27" s="13" t="s">
        <v>59</v>
      </c>
      <c r="AI27" s="13" t="s">
        <v>60</v>
      </c>
      <c r="AJ27" s="13" t="s">
        <v>61</v>
      </c>
      <c r="AK27" s="13" t="s">
        <v>62</v>
      </c>
      <c r="AL27" s="13" t="s">
        <v>63</v>
      </c>
      <c r="AM27" s="13" t="s">
        <v>64</v>
      </c>
      <c r="AN27" s="13" t="s">
        <v>65</v>
      </c>
      <c r="AO27" s="13" t="s">
        <v>66</v>
      </c>
      <c r="AP27" s="14" t="s">
        <v>146</v>
      </c>
      <c r="AQ27" s="17" t="s">
        <v>67</v>
      </c>
      <c r="AR27" s="13"/>
    </row>
    <row r="28" spans="1:44" ht="15" customHeight="1">
      <c r="A28" s="20">
        <v>117</v>
      </c>
      <c r="B28" s="7" t="s">
        <v>43</v>
      </c>
      <c r="C28" s="13" t="s">
        <v>113</v>
      </c>
      <c r="D28" s="13" t="s">
        <v>365</v>
      </c>
      <c r="E28" s="13" t="s">
        <v>363</v>
      </c>
      <c r="F28" s="13" t="s">
        <v>366</v>
      </c>
      <c r="G28" s="13" t="s">
        <v>367</v>
      </c>
      <c r="H28" s="13" t="s">
        <v>368</v>
      </c>
      <c r="I28" s="13" t="s">
        <v>369</v>
      </c>
      <c r="J28" s="13" t="s">
        <v>370</v>
      </c>
      <c r="K28" s="13" t="s">
        <v>371</v>
      </c>
      <c r="L28" s="13" t="s">
        <v>372</v>
      </c>
      <c r="M28" s="13">
        <v>1</v>
      </c>
      <c r="N28" s="13">
        <v>0</v>
      </c>
      <c r="O28" s="13">
        <v>0.36521739130434783</v>
      </c>
      <c r="P28" s="13">
        <v>7</v>
      </c>
      <c r="Q28" s="13">
        <v>21</v>
      </c>
      <c r="R28" s="13" t="s">
        <v>54</v>
      </c>
      <c r="S28" s="13">
        <v>0</v>
      </c>
      <c r="T28" s="13" t="s">
        <v>54</v>
      </c>
      <c r="U28" s="13">
        <v>0</v>
      </c>
      <c r="V28" s="13">
        <v>0</v>
      </c>
      <c r="W28" s="13">
        <v>0</v>
      </c>
      <c r="X28" s="13" t="s">
        <v>54</v>
      </c>
      <c r="Y28" s="13">
        <v>0</v>
      </c>
      <c r="Z28" s="13" t="s">
        <v>54</v>
      </c>
      <c r="AA28" s="13" t="s">
        <v>373</v>
      </c>
      <c r="AB28" s="14" t="s">
        <v>364</v>
      </c>
      <c r="AC28" s="14" t="b">
        <v>1</v>
      </c>
      <c r="AD28" s="13" t="s">
        <v>58</v>
      </c>
      <c r="AE28" s="13" t="s">
        <v>58</v>
      </c>
      <c r="AF28" s="13">
        <v>0</v>
      </c>
      <c r="AG28" s="13">
        <v>0.24</v>
      </c>
      <c r="AH28" s="13" t="s">
        <v>68</v>
      </c>
      <c r="AI28" s="13" t="s">
        <v>60</v>
      </c>
      <c r="AJ28" s="13" t="s">
        <v>78</v>
      </c>
      <c r="AK28" s="13" t="s">
        <v>92</v>
      </c>
      <c r="AL28" s="13" t="s">
        <v>93</v>
      </c>
      <c r="AM28" s="13" t="s">
        <v>64</v>
      </c>
      <c r="AN28" s="13" t="s">
        <v>73</v>
      </c>
      <c r="AO28" s="13" t="s">
        <v>66</v>
      </c>
      <c r="AP28" s="13" t="s">
        <v>94</v>
      </c>
      <c r="AQ28" s="17" t="s">
        <v>67</v>
      </c>
      <c r="AR28" s="13"/>
    </row>
    <row r="29" spans="1:44" ht="15" customHeight="1">
      <c r="A29" s="20">
        <v>125</v>
      </c>
      <c r="B29" s="7" t="s">
        <v>43</v>
      </c>
      <c r="C29" s="13" t="s">
        <v>375</v>
      </c>
      <c r="D29" s="13" t="s">
        <v>376</v>
      </c>
      <c r="E29" s="13" t="s">
        <v>363</v>
      </c>
      <c r="F29" s="13" t="s">
        <v>377</v>
      </c>
      <c r="G29" s="13" t="s">
        <v>378</v>
      </c>
      <c r="H29" s="13" t="s">
        <v>379</v>
      </c>
      <c r="I29" s="13" t="s">
        <v>380</v>
      </c>
      <c r="J29" s="13" t="s">
        <v>381</v>
      </c>
      <c r="K29" s="13" t="s">
        <v>382</v>
      </c>
      <c r="L29" s="13" t="s">
        <v>383</v>
      </c>
      <c r="M29" s="13">
        <v>1</v>
      </c>
      <c r="N29" s="13">
        <v>0</v>
      </c>
      <c r="O29" s="13">
        <v>0.50847457627118642</v>
      </c>
      <c r="P29" s="13">
        <v>1</v>
      </c>
      <c r="Q29" s="13">
        <v>3</v>
      </c>
      <c r="R29" s="13" t="s">
        <v>54</v>
      </c>
      <c r="S29" s="13">
        <v>0</v>
      </c>
      <c r="T29" s="13" t="s">
        <v>54</v>
      </c>
      <c r="U29" s="13">
        <v>0</v>
      </c>
      <c r="V29" s="13">
        <v>0</v>
      </c>
      <c r="W29" s="13">
        <v>0</v>
      </c>
      <c r="X29" s="13" t="s">
        <v>54</v>
      </c>
      <c r="Y29" s="13">
        <v>0</v>
      </c>
      <c r="Z29" s="13" t="s">
        <v>54</v>
      </c>
      <c r="AA29" s="13" t="s">
        <v>384</v>
      </c>
      <c r="AB29" s="14" t="s">
        <v>374</v>
      </c>
      <c r="AC29" s="14" t="b">
        <v>1</v>
      </c>
      <c r="AD29" s="13" t="s">
        <v>58</v>
      </c>
      <c r="AE29" s="13" t="s">
        <v>57</v>
      </c>
      <c r="AF29" s="13">
        <v>0</v>
      </c>
      <c r="AG29" s="13">
        <v>0.09</v>
      </c>
      <c r="AH29" s="13" t="s">
        <v>59</v>
      </c>
      <c r="AI29" s="13" t="s">
        <v>60</v>
      </c>
      <c r="AJ29" s="13" t="s">
        <v>61</v>
      </c>
      <c r="AK29" s="13" t="s">
        <v>92</v>
      </c>
      <c r="AL29" s="13" t="s">
        <v>269</v>
      </c>
      <c r="AM29" s="13" t="s">
        <v>128</v>
      </c>
      <c r="AN29" s="13" t="s">
        <v>65</v>
      </c>
      <c r="AO29" s="13" t="s">
        <v>66</v>
      </c>
      <c r="AP29" s="14" t="s">
        <v>146</v>
      </c>
      <c r="AQ29" s="17" t="s">
        <v>67</v>
      </c>
      <c r="AR29" s="13"/>
    </row>
    <row r="30" spans="1:44" ht="15.75" customHeight="1">
      <c r="A30" s="23"/>
      <c r="H30" s="18"/>
      <c r="P30" s="24">
        <f>COUNTIF(P2:P29,0)</f>
        <v>12</v>
      </c>
      <c r="Q30" s="24">
        <f>55/129</f>
        <v>0.4263565891472868</v>
      </c>
      <c r="AB30" s="22"/>
      <c r="AC30" s="22"/>
      <c r="AK30" s="24">
        <f>COUNTIF(AK2:AK29,"identical")</f>
        <v>13</v>
      </c>
      <c r="AN30" s="22"/>
      <c r="AO30" s="22"/>
      <c r="AP30" s="22"/>
    </row>
    <row r="31" spans="1:44" ht="15.75" customHeight="1">
      <c r="A31" s="23"/>
      <c r="H31" s="18"/>
      <c r="P31" s="24">
        <f>COUNTIF(P2:P29,1)</f>
        <v>2</v>
      </c>
      <c r="Q31" s="24">
        <f>13/129</f>
        <v>0.10077519379844961</v>
      </c>
      <c r="AB31" s="22"/>
      <c r="AC31" s="22"/>
      <c r="AN31" s="22"/>
      <c r="AO31" s="22"/>
      <c r="AP31" s="22"/>
    </row>
    <row r="32" spans="1:44" ht="15.75" customHeight="1">
      <c r="A32" s="23"/>
      <c r="H32" s="18"/>
      <c r="AB32" s="22"/>
      <c r="AC32" s="22"/>
      <c r="AN32" s="22"/>
      <c r="AO32" s="22"/>
      <c r="AP32" s="22"/>
    </row>
    <row r="33" spans="1:42" ht="15.75" customHeight="1">
      <c r="A33" s="23"/>
      <c r="H33" s="18"/>
      <c r="AB33" s="22"/>
      <c r="AC33" s="22"/>
      <c r="AN33" s="22"/>
      <c r="AO33" s="22"/>
      <c r="AP33" s="22"/>
    </row>
    <row r="34" spans="1:42" ht="15.75" customHeight="1">
      <c r="A34" s="23"/>
      <c r="H34" s="18"/>
      <c r="AB34" s="22"/>
      <c r="AC34" s="22"/>
      <c r="AN34" s="22"/>
      <c r="AO34" s="22"/>
      <c r="AP34" s="22"/>
    </row>
    <row r="35" spans="1:42" ht="15.75" customHeight="1">
      <c r="A35" s="23"/>
      <c r="H35" s="18"/>
      <c r="AB35" s="22"/>
      <c r="AC35" s="22"/>
      <c r="AN35" s="22"/>
      <c r="AO35" s="22"/>
      <c r="AP35" s="22"/>
    </row>
    <row r="36" spans="1:42" ht="15.75" customHeight="1">
      <c r="A36" s="23"/>
      <c r="H36" s="18"/>
      <c r="AB36" s="22"/>
      <c r="AC36" s="22"/>
      <c r="AN36" s="22"/>
      <c r="AO36" s="22"/>
      <c r="AP36" s="22"/>
    </row>
    <row r="37" spans="1:42" ht="15.75" customHeight="1">
      <c r="A37" s="23"/>
      <c r="H37" s="18"/>
      <c r="AB37" s="22"/>
      <c r="AC37" s="22"/>
      <c r="AN37" s="22"/>
      <c r="AO37" s="22"/>
      <c r="AP37" s="22"/>
    </row>
    <row r="38" spans="1:42" ht="15.75" customHeight="1">
      <c r="A38" s="23"/>
      <c r="H38" s="18"/>
      <c r="AB38" s="22"/>
      <c r="AC38" s="22"/>
      <c r="AN38" s="22"/>
      <c r="AO38" s="22"/>
      <c r="AP38" s="22"/>
    </row>
    <row r="39" spans="1:42" ht="15.75" customHeight="1">
      <c r="A39" s="23"/>
      <c r="H39" s="18"/>
      <c r="AB39" s="22"/>
      <c r="AC39" s="22"/>
      <c r="AN39" s="22"/>
      <c r="AO39" s="22"/>
      <c r="AP39" s="22"/>
    </row>
    <row r="40" spans="1:42" ht="15.75" customHeight="1">
      <c r="A40" s="23"/>
      <c r="H40" s="18"/>
      <c r="AB40" s="22"/>
      <c r="AC40" s="22"/>
      <c r="AN40" s="22"/>
      <c r="AO40" s="22"/>
      <c r="AP40" s="22"/>
    </row>
    <row r="41" spans="1:42" ht="15.75" customHeight="1">
      <c r="A41" s="23"/>
      <c r="H41" s="18"/>
      <c r="AB41" s="22"/>
      <c r="AC41" s="22"/>
      <c r="AN41" s="22"/>
      <c r="AO41" s="22"/>
      <c r="AP41" s="22"/>
    </row>
    <row r="42" spans="1:42" ht="15.75" customHeight="1">
      <c r="A42" s="23"/>
      <c r="H42" s="18"/>
      <c r="AB42" s="22"/>
      <c r="AC42" s="22"/>
      <c r="AN42" s="22"/>
      <c r="AO42" s="22"/>
      <c r="AP42" s="22"/>
    </row>
    <row r="43" spans="1:42" ht="15.75" customHeight="1">
      <c r="A43" s="23"/>
      <c r="H43" s="18"/>
      <c r="AB43" s="22"/>
      <c r="AC43" s="22"/>
      <c r="AN43" s="22"/>
      <c r="AO43" s="22"/>
      <c r="AP43" s="22"/>
    </row>
    <row r="44" spans="1:42" ht="15.75" customHeight="1">
      <c r="A44" s="23"/>
      <c r="H44" s="18"/>
      <c r="AB44" s="22"/>
      <c r="AC44" s="22"/>
      <c r="AN44" s="22"/>
      <c r="AO44" s="22"/>
      <c r="AP44" s="22"/>
    </row>
    <row r="45" spans="1:42" ht="15.75" customHeight="1">
      <c r="A45" s="23"/>
      <c r="H45" s="18"/>
      <c r="AB45" s="22"/>
      <c r="AC45" s="22"/>
      <c r="AN45" s="22"/>
      <c r="AO45" s="22"/>
      <c r="AP45" s="22"/>
    </row>
    <row r="46" spans="1:42" ht="15.75" customHeight="1">
      <c r="A46" s="23"/>
      <c r="H46" s="18"/>
      <c r="AB46" s="22"/>
      <c r="AC46" s="22"/>
      <c r="AN46" s="22"/>
      <c r="AO46" s="22"/>
      <c r="AP46" s="22"/>
    </row>
    <row r="47" spans="1:42" ht="15.75" customHeight="1">
      <c r="A47" s="23"/>
      <c r="H47" s="18"/>
      <c r="AB47" s="22"/>
      <c r="AC47" s="22"/>
      <c r="AN47" s="22"/>
      <c r="AO47" s="22"/>
      <c r="AP47" s="22"/>
    </row>
    <row r="48" spans="1:42" ht="15.75" customHeight="1">
      <c r="A48" s="23"/>
      <c r="H48" s="18"/>
      <c r="AB48" s="22"/>
      <c r="AC48" s="22"/>
      <c r="AN48" s="22"/>
      <c r="AO48" s="22"/>
      <c r="AP48" s="22"/>
    </row>
    <row r="49" spans="1:42" ht="15.75" customHeight="1">
      <c r="A49" s="23"/>
      <c r="H49" s="18"/>
      <c r="AB49" s="22"/>
      <c r="AC49" s="22"/>
      <c r="AN49" s="22"/>
      <c r="AO49" s="22"/>
      <c r="AP49" s="22"/>
    </row>
    <row r="50" spans="1:42" ht="15.75" customHeight="1">
      <c r="A50" s="23"/>
      <c r="H50" s="18"/>
      <c r="AB50" s="22"/>
      <c r="AC50" s="22"/>
      <c r="AN50" s="22"/>
      <c r="AO50" s="22"/>
      <c r="AP50" s="22"/>
    </row>
    <row r="51" spans="1:42" ht="15.75" customHeight="1">
      <c r="A51" s="23"/>
      <c r="H51" s="18"/>
      <c r="AB51" s="22"/>
      <c r="AC51" s="22"/>
      <c r="AN51" s="22"/>
      <c r="AO51" s="22"/>
      <c r="AP51" s="22"/>
    </row>
    <row r="52" spans="1:42" ht="15.75" customHeight="1">
      <c r="A52" s="23"/>
      <c r="H52" s="18"/>
      <c r="AB52" s="22"/>
      <c r="AC52" s="22"/>
      <c r="AN52" s="22"/>
      <c r="AO52" s="22"/>
      <c r="AP52" s="22"/>
    </row>
    <row r="53" spans="1:42" ht="15.75" customHeight="1">
      <c r="A53" s="23"/>
      <c r="H53" s="18"/>
      <c r="AB53" s="22"/>
      <c r="AC53" s="22"/>
      <c r="AN53" s="22"/>
      <c r="AO53" s="22"/>
      <c r="AP53" s="22"/>
    </row>
    <row r="54" spans="1:42" ht="15.75" customHeight="1">
      <c r="A54" s="23"/>
      <c r="H54" s="18"/>
      <c r="AB54" s="22"/>
      <c r="AC54" s="22"/>
      <c r="AN54" s="22"/>
      <c r="AO54" s="22"/>
      <c r="AP54" s="22"/>
    </row>
    <row r="55" spans="1:42" ht="15.75" customHeight="1">
      <c r="A55" s="23"/>
      <c r="H55" s="18"/>
      <c r="AB55" s="22"/>
      <c r="AC55" s="22"/>
      <c r="AN55" s="22"/>
      <c r="AO55" s="22"/>
      <c r="AP55" s="22"/>
    </row>
    <row r="56" spans="1:42" ht="15.75" customHeight="1">
      <c r="A56" s="23"/>
      <c r="H56" s="18"/>
      <c r="AB56" s="22"/>
      <c r="AC56" s="22"/>
      <c r="AN56" s="22"/>
      <c r="AO56" s="22"/>
      <c r="AP56" s="22"/>
    </row>
    <row r="57" spans="1:42" ht="15.75" customHeight="1">
      <c r="A57" s="23"/>
      <c r="H57" s="18"/>
      <c r="AB57" s="22"/>
      <c r="AC57" s="22"/>
      <c r="AN57" s="22"/>
      <c r="AO57" s="22"/>
      <c r="AP57" s="22"/>
    </row>
    <row r="58" spans="1:42" ht="15.75" customHeight="1">
      <c r="A58" s="23"/>
      <c r="H58" s="18"/>
      <c r="AB58" s="22"/>
      <c r="AC58" s="22"/>
      <c r="AN58" s="22"/>
      <c r="AO58" s="22"/>
      <c r="AP58" s="22"/>
    </row>
    <row r="59" spans="1:42" ht="15.75" customHeight="1">
      <c r="A59" s="23"/>
      <c r="H59" s="18"/>
      <c r="AB59" s="22"/>
      <c r="AC59" s="22"/>
      <c r="AN59" s="22"/>
      <c r="AO59" s="22"/>
      <c r="AP59" s="22"/>
    </row>
    <row r="60" spans="1:42" ht="15.75" customHeight="1">
      <c r="A60" s="23"/>
      <c r="H60" s="18"/>
      <c r="AB60" s="22"/>
      <c r="AC60" s="22"/>
      <c r="AN60" s="22"/>
      <c r="AO60" s="22"/>
      <c r="AP60" s="22"/>
    </row>
    <row r="61" spans="1:42" ht="15.75" customHeight="1">
      <c r="A61" s="23"/>
      <c r="H61" s="18"/>
      <c r="AB61" s="22"/>
      <c r="AC61" s="22"/>
      <c r="AN61" s="22"/>
      <c r="AO61" s="22"/>
      <c r="AP61" s="22"/>
    </row>
    <row r="62" spans="1:42" ht="15.75" customHeight="1">
      <c r="A62" s="23"/>
      <c r="H62" s="18"/>
      <c r="AB62" s="22"/>
      <c r="AC62" s="22"/>
      <c r="AN62" s="22"/>
      <c r="AO62" s="22"/>
      <c r="AP62" s="22"/>
    </row>
    <row r="63" spans="1:42" ht="15.75" customHeight="1">
      <c r="A63" s="23"/>
      <c r="H63" s="18"/>
      <c r="AB63" s="22"/>
      <c r="AC63" s="22"/>
      <c r="AN63" s="22"/>
      <c r="AO63" s="22"/>
      <c r="AP63" s="22"/>
    </row>
    <row r="64" spans="1:42" ht="15.75" customHeight="1">
      <c r="A64" s="23"/>
      <c r="H64" s="18"/>
      <c r="AB64" s="22"/>
      <c r="AC64" s="22"/>
      <c r="AN64" s="22"/>
      <c r="AO64" s="22"/>
      <c r="AP64" s="22"/>
    </row>
    <row r="65" spans="1:42" ht="15.75" customHeight="1">
      <c r="A65" s="23"/>
      <c r="H65" s="18"/>
      <c r="AB65" s="22"/>
      <c r="AC65" s="22"/>
      <c r="AN65" s="22"/>
      <c r="AO65" s="22"/>
      <c r="AP65" s="22"/>
    </row>
    <row r="66" spans="1:42" ht="15.75" customHeight="1">
      <c r="A66" s="23"/>
      <c r="H66" s="18"/>
      <c r="AB66" s="22"/>
      <c r="AC66" s="22"/>
      <c r="AN66" s="22"/>
      <c r="AO66" s="22"/>
      <c r="AP66" s="22"/>
    </row>
    <row r="67" spans="1:42" ht="15.75" customHeight="1">
      <c r="A67" s="23"/>
      <c r="H67" s="18"/>
      <c r="AB67" s="22"/>
      <c r="AC67" s="22"/>
      <c r="AN67" s="22"/>
      <c r="AO67" s="22"/>
      <c r="AP67" s="22"/>
    </row>
    <row r="68" spans="1:42" ht="15.75" customHeight="1">
      <c r="A68" s="23"/>
      <c r="H68" s="18"/>
      <c r="AB68" s="22"/>
      <c r="AC68" s="22"/>
      <c r="AN68" s="22"/>
      <c r="AO68" s="22"/>
      <c r="AP68" s="22"/>
    </row>
    <row r="69" spans="1:42" ht="15.75" customHeight="1">
      <c r="A69" s="23"/>
      <c r="H69" s="18"/>
      <c r="AB69" s="22"/>
      <c r="AC69" s="22"/>
      <c r="AN69" s="22"/>
      <c r="AO69" s="22"/>
      <c r="AP69" s="22"/>
    </row>
    <row r="70" spans="1:42" ht="15.75" customHeight="1">
      <c r="A70" s="23"/>
      <c r="H70" s="18"/>
      <c r="AB70" s="22"/>
      <c r="AC70" s="22"/>
      <c r="AN70" s="22"/>
      <c r="AO70" s="22"/>
      <c r="AP70" s="22"/>
    </row>
    <row r="71" spans="1:42" ht="15.75" customHeight="1">
      <c r="A71" s="23"/>
      <c r="H71" s="18"/>
      <c r="AB71" s="22"/>
      <c r="AC71" s="22"/>
      <c r="AN71" s="22"/>
      <c r="AO71" s="22"/>
      <c r="AP71" s="22"/>
    </row>
    <row r="72" spans="1:42" ht="15.75" customHeight="1">
      <c r="A72" s="23"/>
      <c r="H72" s="18"/>
      <c r="AB72" s="22"/>
      <c r="AC72" s="22"/>
      <c r="AN72" s="22"/>
      <c r="AO72" s="22"/>
      <c r="AP72" s="22"/>
    </row>
    <row r="73" spans="1:42" ht="15.75" customHeight="1">
      <c r="A73" s="23"/>
      <c r="H73" s="18"/>
      <c r="AB73" s="22"/>
      <c r="AC73" s="22"/>
      <c r="AN73" s="22"/>
      <c r="AO73" s="22"/>
      <c r="AP73" s="22"/>
    </row>
    <row r="74" spans="1:42" ht="15.75" customHeight="1">
      <c r="A74" s="23"/>
      <c r="H74" s="18"/>
      <c r="AB74" s="22"/>
      <c r="AC74" s="22"/>
      <c r="AN74" s="22"/>
      <c r="AO74" s="22"/>
      <c r="AP74" s="22"/>
    </row>
    <row r="75" spans="1:42" ht="15.75" customHeight="1">
      <c r="A75" s="23"/>
      <c r="H75" s="18"/>
      <c r="AB75" s="22"/>
      <c r="AC75" s="22"/>
      <c r="AN75" s="22"/>
      <c r="AO75" s="22"/>
      <c r="AP75" s="22"/>
    </row>
    <row r="76" spans="1:42" ht="15.75" customHeight="1">
      <c r="A76" s="23"/>
      <c r="H76" s="18"/>
      <c r="AB76" s="22"/>
      <c r="AC76" s="22"/>
      <c r="AN76" s="22"/>
      <c r="AO76" s="22"/>
      <c r="AP76" s="22"/>
    </row>
    <row r="77" spans="1:42" ht="15.75" customHeight="1">
      <c r="A77" s="23"/>
      <c r="H77" s="18"/>
      <c r="AB77" s="22"/>
      <c r="AC77" s="22"/>
      <c r="AN77" s="22"/>
      <c r="AO77" s="22"/>
      <c r="AP77" s="22"/>
    </row>
    <row r="78" spans="1:42" ht="15.75" customHeight="1">
      <c r="A78" s="23"/>
      <c r="H78" s="18"/>
      <c r="AB78" s="22"/>
      <c r="AC78" s="22"/>
      <c r="AN78" s="22"/>
      <c r="AO78" s="22"/>
      <c r="AP78" s="22"/>
    </row>
    <row r="79" spans="1:42" ht="15.75" customHeight="1">
      <c r="A79" s="23"/>
      <c r="H79" s="18"/>
      <c r="AB79" s="22"/>
      <c r="AC79" s="22"/>
      <c r="AN79" s="22"/>
      <c r="AO79" s="22"/>
      <c r="AP79" s="22"/>
    </row>
    <row r="80" spans="1:42" ht="15.75" customHeight="1">
      <c r="A80" s="23"/>
      <c r="H80" s="18"/>
      <c r="AB80" s="22"/>
      <c r="AC80" s="22"/>
      <c r="AN80" s="22"/>
      <c r="AO80" s="22"/>
      <c r="AP80" s="22"/>
    </row>
    <row r="81" spans="1:42" ht="15.75" customHeight="1">
      <c r="A81" s="23"/>
      <c r="H81" s="18"/>
      <c r="AB81" s="22"/>
      <c r="AC81" s="22"/>
      <c r="AN81" s="22"/>
      <c r="AO81" s="22"/>
      <c r="AP81" s="22"/>
    </row>
    <row r="82" spans="1:42" ht="15.75" customHeight="1">
      <c r="A82" s="23"/>
      <c r="H82" s="18"/>
      <c r="AB82" s="22"/>
      <c r="AC82" s="22"/>
      <c r="AN82" s="22"/>
      <c r="AO82" s="22"/>
      <c r="AP82" s="22"/>
    </row>
    <row r="83" spans="1:42" ht="15.75" customHeight="1">
      <c r="A83" s="23"/>
      <c r="H83" s="18"/>
      <c r="AB83" s="22"/>
      <c r="AC83" s="22"/>
      <c r="AN83" s="22"/>
      <c r="AO83" s="22"/>
      <c r="AP83" s="22"/>
    </row>
    <row r="84" spans="1:42" ht="15.75" customHeight="1">
      <c r="A84" s="23"/>
      <c r="H84" s="18"/>
      <c r="AB84" s="22"/>
      <c r="AC84" s="22"/>
      <c r="AN84" s="22"/>
      <c r="AO84" s="22"/>
      <c r="AP84" s="22"/>
    </row>
    <row r="85" spans="1:42" ht="15.75" customHeight="1">
      <c r="A85" s="23"/>
      <c r="H85" s="18"/>
      <c r="AB85" s="22"/>
      <c r="AC85" s="22"/>
      <c r="AN85" s="22"/>
      <c r="AO85" s="22"/>
      <c r="AP85" s="22"/>
    </row>
    <row r="86" spans="1:42" ht="15.75" customHeight="1">
      <c r="A86" s="23"/>
      <c r="H86" s="18"/>
      <c r="AB86" s="22"/>
      <c r="AC86" s="22"/>
      <c r="AN86" s="22"/>
      <c r="AO86" s="22"/>
      <c r="AP86" s="22"/>
    </row>
    <row r="87" spans="1:42" ht="15.75" customHeight="1">
      <c r="A87" s="23"/>
      <c r="H87" s="18"/>
      <c r="AB87" s="22"/>
      <c r="AC87" s="22"/>
      <c r="AN87" s="22"/>
      <c r="AO87" s="22"/>
      <c r="AP87" s="22"/>
    </row>
    <row r="88" spans="1:42" ht="15.75" customHeight="1">
      <c r="A88" s="23"/>
      <c r="H88" s="18"/>
      <c r="AB88" s="22"/>
      <c r="AC88" s="22"/>
      <c r="AN88" s="22"/>
      <c r="AO88" s="22"/>
      <c r="AP88" s="22"/>
    </row>
    <row r="89" spans="1:42" ht="15.75" customHeight="1">
      <c r="A89" s="23"/>
      <c r="H89" s="18"/>
      <c r="AB89" s="22"/>
      <c r="AC89" s="22"/>
      <c r="AN89" s="22"/>
      <c r="AO89" s="22"/>
      <c r="AP89" s="22"/>
    </row>
    <row r="90" spans="1:42" ht="15.75" customHeight="1">
      <c r="A90" s="23"/>
      <c r="H90" s="18"/>
      <c r="AB90" s="22"/>
      <c r="AC90" s="22"/>
      <c r="AN90" s="22"/>
      <c r="AO90" s="22"/>
      <c r="AP90" s="22"/>
    </row>
    <row r="91" spans="1:42" ht="15.75" customHeight="1">
      <c r="A91" s="23"/>
      <c r="H91" s="18"/>
      <c r="AB91" s="22"/>
      <c r="AC91" s="22"/>
      <c r="AN91" s="22"/>
      <c r="AO91" s="22"/>
      <c r="AP91" s="22"/>
    </row>
    <row r="92" spans="1:42" ht="15.75" customHeight="1">
      <c r="A92" s="23"/>
      <c r="H92" s="18"/>
      <c r="AB92" s="22"/>
      <c r="AC92" s="22"/>
      <c r="AN92" s="22"/>
      <c r="AO92" s="22"/>
      <c r="AP92" s="22"/>
    </row>
    <row r="93" spans="1:42" ht="15.75" customHeight="1">
      <c r="A93" s="23"/>
      <c r="H93" s="18"/>
      <c r="AB93" s="22"/>
      <c r="AC93" s="22"/>
      <c r="AN93" s="22"/>
      <c r="AO93" s="22"/>
      <c r="AP93" s="22"/>
    </row>
    <row r="94" spans="1:42" ht="15.75" customHeight="1">
      <c r="A94" s="23"/>
      <c r="H94" s="18"/>
      <c r="AB94" s="22"/>
      <c r="AC94" s="22"/>
      <c r="AN94" s="22"/>
      <c r="AO94" s="22"/>
      <c r="AP94" s="22"/>
    </row>
    <row r="95" spans="1:42" ht="15.75" customHeight="1">
      <c r="A95" s="23"/>
      <c r="H95" s="18"/>
      <c r="AB95" s="22"/>
      <c r="AC95" s="22"/>
      <c r="AN95" s="22"/>
      <c r="AO95" s="22"/>
      <c r="AP95" s="22"/>
    </row>
    <row r="96" spans="1:42" ht="15.75" customHeight="1">
      <c r="A96" s="23"/>
      <c r="H96" s="18"/>
      <c r="AB96" s="22"/>
      <c r="AC96" s="22"/>
      <c r="AN96" s="22"/>
      <c r="AO96" s="22"/>
      <c r="AP96" s="22"/>
    </row>
    <row r="97" spans="1:42" ht="15.75" customHeight="1">
      <c r="A97" s="23"/>
      <c r="H97" s="18"/>
      <c r="AB97" s="22"/>
      <c r="AC97" s="22"/>
      <c r="AN97" s="22"/>
      <c r="AO97" s="22"/>
      <c r="AP97" s="22"/>
    </row>
    <row r="98" spans="1:42" ht="15.75" customHeight="1">
      <c r="A98" s="23"/>
      <c r="H98" s="18"/>
      <c r="AB98" s="22"/>
      <c r="AC98" s="22"/>
      <c r="AN98" s="22"/>
      <c r="AO98" s="22"/>
      <c r="AP98" s="22"/>
    </row>
    <row r="99" spans="1:42" ht="15.75" customHeight="1">
      <c r="A99" s="23"/>
      <c r="H99" s="18"/>
      <c r="AB99" s="22"/>
      <c r="AC99" s="22"/>
      <c r="AN99" s="22"/>
      <c r="AO99" s="22"/>
      <c r="AP99" s="22"/>
    </row>
    <row r="100" spans="1:42" ht="15.75" customHeight="1">
      <c r="A100" s="23"/>
      <c r="H100" s="18"/>
      <c r="AB100" s="22"/>
      <c r="AC100" s="22"/>
      <c r="AN100" s="22"/>
      <c r="AO100" s="22"/>
      <c r="AP100" s="22"/>
    </row>
    <row r="101" spans="1:42" ht="15.75" customHeight="1">
      <c r="A101" s="23"/>
      <c r="H101" s="18"/>
      <c r="AB101" s="22"/>
      <c r="AC101" s="22"/>
      <c r="AN101" s="22"/>
      <c r="AO101" s="22"/>
      <c r="AP101" s="22"/>
    </row>
    <row r="102" spans="1:42" ht="15.75" customHeight="1">
      <c r="A102" s="23"/>
      <c r="H102" s="18"/>
      <c r="AB102" s="22"/>
      <c r="AC102" s="22"/>
      <c r="AN102" s="22"/>
      <c r="AO102" s="22"/>
      <c r="AP102" s="22"/>
    </row>
    <row r="103" spans="1:42" ht="15.75" customHeight="1">
      <c r="A103" s="23"/>
      <c r="H103" s="18"/>
      <c r="AB103" s="22"/>
      <c r="AC103" s="22"/>
      <c r="AN103" s="22"/>
      <c r="AO103" s="22"/>
      <c r="AP103" s="22"/>
    </row>
    <row r="104" spans="1:42" ht="15.75" customHeight="1">
      <c r="A104" s="23"/>
      <c r="H104" s="18"/>
      <c r="AB104" s="22"/>
      <c r="AC104" s="22"/>
      <c r="AN104" s="22"/>
      <c r="AO104" s="22"/>
      <c r="AP104" s="22"/>
    </row>
    <row r="105" spans="1:42" ht="15.75" customHeight="1">
      <c r="A105" s="23"/>
      <c r="H105" s="18"/>
      <c r="AB105" s="22"/>
      <c r="AC105" s="22"/>
      <c r="AN105" s="22"/>
      <c r="AO105" s="22"/>
      <c r="AP105" s="22"/>
    </row>
    <row r="106" spans="1:42" ht="15.75" customHeight="1">
      <c r="A106" s="23"/>
      <c r="H106" s="18"/>
      <c r="AB106" s="22"/>
      <c r="AC106" s="22"/>
      <c r="AN106" s="22"/>
      <c r="AO106" s="22"/>
      <c r="AP106" s="22"/>
    </row>
    <row r="107" spans="1:42" ht="15.75" customHeight="1">
      <c r="A107" s="23"/>
      <c r="H107" s="18"/>
      <c r="AB107" s="22"/>
      <c r="AC107" s="22"/>
      <c r="AN107" s="22"/>
      <c r="AO107" s="22"/>
      <c r="AP107" s="22"/>
    </row>
    <row r="108" spans="1:42" ht="15.75" customHeight="1">
      <c r="A108" s="23"/>
      <c r="H108" s="18"/>
      <c r="AB108" s="22"/>
      <c r="AC108" s="22"/>
      <c r="AN108" s="22"/>
      <c r="AO108" s="22"/>
      <c r="AP108" s="22"/>
    </row>
    <row r="109" spans="1:42" ht="15.75" customHeight="1">
      <c r="A109" s="23"/>
      <c r="H109" s="18"/>
      <c r="AB109" s="22"/>
      <c r="AC109" s="22"/>
      <c r="AN109" s="22"/>
      <c r="AO109" s="22"/>
      <c r="AP109" s="22"/>
    </row>
    <row r="110" spans="1:42" ht="15.75" customHeight="1">
      <c r="A110" s="23"/>
      <c r="H110" s="18"/>
      <c r="AB110" s="22"/>
      <c r="AC110" s="22"/>
      <c r="AN110" s="22"/>
      <c r="AO110" s="22"/>
      <c r="AP110" s="22"/>
    </row>
    <row r="111" spans="1:42" ht="15.75" customHeight="1">
      <c r="A111" s="23"/>
      <c r="H111" s="18"/>
      <c r="AB111" s="22"/>
      <c r="AC111" s="22"/>
      <c r="AN111" s="22"/>
      <c r="AO111" s="22"/>
      <c r="AP111" s="22"/>
    </row>
    <row r="112" spans="1:42" ht="15.75" customHeight="1">
      <c r="A112" s="23"/>
      <c r="H112" s="18"/>
      <c r="AB112" s="22"/>
      <c r="AC112" s="22"/>
      <c r="AN112" s="22"/>
      <c r="AO112" s="22"/>
      <c r="AP112" s="22"/>
    </row>
    <row r="113" spans="1:42" ht="15.75" customHeight="1">
      <c r="A113" s="23"/>
      <c r="H113" s="18"/>
      <c r="AB113" s="22"/>
      <c r="AC113" s="22"/>
      <c r="AN113" s="22"/>
      <c r="AO113" s="22"/>
      <c r="AP113" s="22"/>
    </row>
    <row r="114" spans="1:42" ht="15.75" customHeight="1">
      <c r="A114" s="23"/>
      <c r="H114" s="18"/>
      <c r="AB114" s="22"/>
      <c r="AC114" s="22"/>
      <c r="AN114" s="22"/>
      <c r="AO114" s="22"/>
      <c r="AP114" s="22"/>
    </row>
    <row r="115" spans="1:42" ht="15.75" customHeight="1">
      <c r="A115" s="23"/>
      <c r="H115" s="18"/>
      <c r="AB115" s="22"/>
      <c r="AC115" s="22"/>
      <c r="AN115" s="22"/>
      <c r="AO115" s="22"/>
      <c r="AP115" s="22"/>
    </row>
    <row r="116" spans="1:42" ht="15.75" customHeight="1">
      <c r="A116" s="23"/>
      <c r="H116" s="18"/>
      <c r="AB116" s="22"/>
      <c r="AC116" s="22"/>
      <c r="AN116" s="22"/>
      <c r="AO116" s="22"/>
      <c r="AP116" s="22"/>
    </row>
    <row r="117" spans="1:42" ht="15.75" customHeight="1">
      <c r="A117" s="23"/>
      <c r="H117" s="18"/>
      <c r="AB117" s="22"/>
      <c r="AC117" s="22"/>
      <c r="AN117" s="22"/>
      <c r="AO117" s="22"/>
      <c r="AP117" s="22"/>
    </row>
    <row r="118" spans="1:42" ht="15.75" customHeight="1">
      <c r="A118" s="23"/>
      <c r="H118" s="18"/>
      <c r="AB118" s="22"/>
      <c r="AC118" s="22"/>
      <c r="AN118" s="22"/>
      <c r="AO118" s="22"/>
      <c r="AP118" s="22"/>
    </row>
    <row r="119" spans="1:42" ht="15.75" customHeight="1">
      <c r="A119" s="23"/>
      <c r="H119" s="18"/>
      <c r="AB119" s="22"/>
      <c r="AC119" s="22"/>
      <c r="AN119" s="22"/>
      <c r="AO119" s="22"/>
      <c r="AP119" s="22"/>
    </row>
    <row r="120" spans="1:42" ht="15.75" customHeight="1">
      <c r="A120" s="23"/>
      <c r="H120" s="18"/>
      <c r="AB120" s="22"/>
      <c r="AC120" s="22"/>
      <c r="AN120" s="22"/>
      <c r="AO120" s="22"/>
      <c r="AP120" s="22"/>
    </row>
    <row r="121" spans="1:42" ht="15.75" customHeight="1">
      <c r="A121" s="23"/>
      <c r="H121" s="18"/>
      <c r="AB121" s="22"/>
      <c r="AC121" s="22"/>
      <c r="AN121" s="22"/>
      <c r="AO121" s="22"/>
      <c r="AP121" s="22"/>
    </row>
    <row r="122" spans="1:42" ht="15.75" customHeight="1">
      <c r="A122" s="23"/>
      <c r="H122" s="18"/>
      <c r="AB122" s="22"/>
      <c r="AC122" s="22"/>
      <c r="AN122" s="22"/>
      <c r="AO122" s="22"/>
      <c r="AP122" s="22"/>
    </row>
    <row r="123" spans="1:42" ht="15.75" customHeight="1">
      <c r="A123" s="23"/>
      <c r="H123" s="18"/>
      <c r="AB123" s="22"/>
      <c r="AC123" s="22"/>
      <c r="AN123" s="22"/>
      <c r="AO123" s="22"/>
      <c r="AP123" s="22"/>
    </row>
    <row r="124" spans="1:42" ht="15.75" customHeight="1">
      <c r="A124" s="23"/>
      <c r="H124" s="18"/>
      <c r="AB124" s="22"/>
      <c r="AC124" s="22"/>
      <c r="AN124" s="22"/>
      <c r="AO124" s="22"/>
      <c r="AP124" s="22"/>
    </row>
    <row r="125" spans="1:42" ht="15.75" customHeight="1">
      <c r="A125" s="23"/>
      <c r="H125" s="18"/>
      <c r="AB125" s="22"/>
      <c r="AC125" s="22"/>
      <c r="AN125" s="22"/>
      <c r="AO125" s="22"/>
      <c r="AP125" s="22"/>
    </row>
    <row r="126" spans="1:42" ht="15.75" customHeight="1">
      <c r="A126" s="23"/>
      <c r="H126" s="18"/>
      <c r="AB126" s="22"/>
      <c r="AC126" s="22"/>
      <c r="AN126" s="22"/>
      <c r="AO126" s="22"/>
      <c r="AP126" s="22"/>
    </row>
    <row r="127" spans="1:42" ht="15.75" customHeight="1">
      <c r="A127" s="23"/>
      <c r="H127" s="18"/>
      <c r="AB127" s="22"/>
      <c r="AC127" s="22"/>
      <c r="AN127" s="22"/>
      <c r="AO127" s="22"/>
      <c r="AP127" s="22"/>
    </row>
    <row r="128" spans="1:42" ht="15.75" customHeight="1">
      <c r="A128" s="23"/>
      <c r="H128" s="18"/>
      <c r="AB128" s="22"/>
      <c r="AC128" s="22"/>
      <c r="AN128" s="22"/>
      <c r="AO128" s="22"/>
      <c r="AP128" s="22"/>
    </row>
    <row r="129" spans="1:42" ht="15.75" customHeight="1">
      <c r="A129" s="23"/>
      <c r="H129" s="18"/>
      <c r="AB129" s="22"/>
      <c r="AC129" s="22"/>
      <c r="AN129" s="22"/>
      <c r="AO129" s="22"/>
      <c r="AP129" s="22"/>
    </row>
    <row r="130" spans="1:42" ht="15.75" customHeight="1">
      <c r="A130" s="23"/>
      <c r="H130" s="18"/>
      <c r="AB130" s="22"/>
      <c r="AC130" s="22"/>
      <c r="AN130" s="22"/>
      <c r="AO130" s="22"/>
      <c r="AP130" s="22"/>
    </row>
    <row r="131" spans="1:42" ht="15.75" customHeight="1">
      <c r="A131" s="23"/>
      <c r="H131" s="18"/>
      <c r="AB131" s="22"/>
      <c r="AC131" s="22"/>
      <c r="AN131" s="22"/>
      <c r="AO131" s="22"/>
      <c r="AP131" s="22"/>
    </row>
    <row r="132" spans="1:42" ht="15.75" customHeight="1">
      <c r="A132" s="23"/>
      <c r="H132" s="18"/>
      <c r="AB132" s="22"/>
      <c r="AC132" s="22"/>
      <c r="AN132" s="22"/>
      <c r="AO132" s="22"/>
      <c r="AP132" s="22"/>
    </row>
    <row r="133" spans="1:42" ht="15.75" customHeight="1">
      <c r="A133" s="23"/>
      <c r="H133" s="18"/>
      <c r="AB133" s="22"/>
      <c r="AC133" s="22"/>
      <c r="AN133" s="22"/>
      <c r="AO133" s="22"/>
      <c r="AP133" s="22"/>
    </row>
    <row r="134" spans="1:42" ht="15.75" customHeight="1">
      <c r="A134" s="23"/>
      <c r="H134" s="18"/>
      <c r="AB134" s="22"/>
      <c r="AC134" s="22"/>
      <c r="AN134" s="22"/>
      <c r="AO134" s="22"/>
      <c r="AP134" s="22"/>
    </row>
    <row r="135" spans="1:42" ht="15.75" customHeight="1">
      <c r="A135" s="23"/>
      <c r="H135" s="18"/>
      <c r="AB135" s="22"/>
      <c r="AC135" s="22"/>
      <c r="AN135" s="22"/>
      <c r="AO135" s="22"/>
      <c r="AP135" s="22"/>
    </row>
    <row r="136" spans="1:42" ht="15.75" customHeight="1">
      <c r="A136" s="23"/>
      <c r="H136" s="18"/>
      <c r="AB136" s="22"/>
      <c r="AC136" s="22"/>
      <c r="AN136" s="22"/>
      <c r="AO136" s="22"/>
      <c r="AP136" s="22"/>
    </row>
    <row r="137" spans="1:42" ht="15.75" customHeight="1">
      <c r="A137" s="23"/>
      <c r="H137" s="18"/>
      <c r="AB137" s="22"/>
      <c r="AC137" s="22"/>
      <c r="AN137" s="22"/>
      <c r="AO137" s="22"/>
      <c r="AP137" s="22"/>
    </row>
    <row r="138" spans="1:42" ht="15.75" customHeight="1">
      <c r="A138" s="23"/>
      <c r="H138" s="18"/>
      <c r="AB138" s="22"/>
      <c r="AC138" s="22"/>
      <c r="AN138" s="22"/>
      <c r="AO138" s="22"/>
      <c r="AP138" s="22"/>
    </row>
    <row r="139" spans="1:42" ht="15.75" customHeight="1">
      <c r="A139" s="23"/>
      <c r="H139" s="18"/>
      <c r="AB139" s="22"/>
      <c r="AC139" s="22"/>
      <c r="AN139" s="22"/>
      <c r="AO139" s="22"/>
      <c r="AP139" s="22"/>
    </row>
    <row r="140" spans="1:42" ht="15.75" customHeight="1">
      <c r="A140" s="23"/>
      <c r="H140" s="18"/>
      <c r="AB140" s="22"/>
      <c r="AC140" s="22"/>
      <c r="AN140" s="22"/>
      <c r="AO140" s="22"/>
      <c r="AP140" s="22"/>
    </row>
    <row r="141" spans="1:42" ht="15.75" customHeight="1">
      <c r="A141" s="23"/>
      <c r="H141" s="18"/>
      <c r="AB141" s="22"/>
      <c r="AC141" s="22"/>
      <c r="AN141" s="22"/>
      <c r="AO141" s="22"/>
      <c r="AP141" s="22"/>
    </row>
    <row r="142" spans="1:42" ht="15.75" customHeight="1">
      <c r="A142" s="23"/>
      <c r="H142" s="18"/>
      <c r="AB142" s="22"/>
      <c r="AC142" s="22"/>
      <c r="AN142" s="22"/>
      <c r="AO142" s="22"/>
      <c r="AP142" s="22"/>
    </row>
    <row r="143" spans="1:42" ht="15.75" customHeight="1">
      <c r="A143" s="23"/>
      <c r="H143" s="18"/>
      <c r="AB143" s="22"/>
      <c r="AC143" s="22"/>
      <c r="AN143" s="22"/>
      <c r="AO143" s="22"/>
      <c r="AP143" s="22"/>
    </row>
    <row r="144" spans="1:42" ht="15.75" customHeight="1">
      <c r="A144" s="23"/>
      <c r="H144" s="18"/>
      <c r="AB144" s="22"/>
      <c r="AC144" s="22"/>
      <c r="AN144" s="22"/>
      <c r="AO144" s="22"/>
      <c r="AP144" s="22"/>
    </row>
    <row r="145" spans="1:42" ht="15.75" customHeight="1">
      <c r="A145" s="23"/>
      <c r="H145" s="18"/>
      <c r="AB145" s="22"/>
      <c r="AC145" s="22"/>
      <c r="AN145" s="22"/>
      <c r="AO145" s="22"/>
      <c r="AP145" s="22"/>
    </row>
    <row r="146" spans="1:42" ht="15.75" customHeight="1">
      <c r="A146" s="23"/>
      <c r="H146" s="18"/>
      <c r="AB146" s="22"/>
      <c r="AC146" s="22"/>
      <c r="AN146" s="22"/>
      <c r="AO146" s="22"/>
      <c r="AP146" s="22"/>
    </row>
    <row r="147" spans="1:42" ht="15.75" customHeight="1">
      <c r="A147" s="23"/>
      <c r="H147" s="18"/>
      <c r="AB147" s="22"/>
      <c r="AC147" s="22"/>
      <c r="AN147" s="22"/>
      <c r="AO147" s="22"/>
      <c r="AP147" s="22"/>
    </row>
    <row r="148" spans="1:42" ht="15.75" customHeight="1">
      <c r="A148" s="23"/>
      <c r="H148" s="18"/>
      <c r="AB148" s="22"/>
      <c r="AC148" s="22"/>
      <c r="AN148" s="22"/>
      <c r="AO148" s="22"/>
      <c r="AP148" s="22"/>
    </row>
    <row r="149" spans="1:42" ht="15.75" customHeight="1">
      <c r="A149" s="23"/>
      <c r="H149" s="18"/>
      <c r="AB149" s="22"/>
      <c r="AC149" s="22"/>
      <c r="AN149" s="22"/>
      <c r="AO149" s="22"/>
      <c r="AP149" s="22"/>
    </row>
    <row r="150" spans="1:42" ht="15.75" customHeight="1">
      <c r="A150" s="23"/>
      <c r="H150" s="18"/>
      <c r="AB150" s="22"/>
      <c r="AC150" s="22"/>
      <c r="AN150" s="22"/>
      <c r="AO150" s="22"/>
      <c r="AP150" s="22"/>
    </row>
    <row r="151" spans="1:42" ht="15.75" customHeight="1">
      <c r="A151" s="23"/>
      <c r="H151" s="18"/>
      <c r="AB151" s="22"/>
      <c r="AC151" s="22"/>
      <c r="AN151" s="22"/>
      <c r="AO151" s="22"/>
      <c r="AP151" s="22"/>
    </row>
    <row r="152" spans="1:42" ht="15.75" customHeight="1">
      <c r="A152" s="23"/>
      <c r="H152" s="18"/>
      <c r="AB152" s="22"/>
      <c r="AC152" s="22"/>
      <c r="AN152" s="22"/>
      <c r="AO152" s="22"/>
      <c r="AP152" s="22"/>
    </row>
    <row r="153" spans="1:42" ht="15.75" customHeight="1">
      <c r="A153" s="23"/>
      <c r="H153" s="18"/>
      <c r="AB153" s="22"/>
      <c r="AC153" s="22"/>
      <c r="AN153" s="22"/>
      <c r="AO153" s="22"/>
      <c r="AP153" s="22"/>
    </row>
    <row r="154" spans="1:42" ht="15.75" customHeight="1">
      <c r="A154" s="23"/>
      <c r="H154" s="18"/>
      <c r="AB154" s="22"/>
      <c r="AC154" s="22"/>
      <c r="AN154" s="22"/>
      <c r="AO154" s="22"/>
      <c r="AP154" s="22"/>
    </row>
    <row r="155" spans="1:42" ht="15.75" customHeight="1">
      <c r="A155" s="23"/>
      <c r="H155" s="18"/>
      <c r="AB155" s="22"/>
      <c r="AC155" s="22"/>
      <c r="AN155" s="22"/>
      <c r="AO155" s="22"/>
      <c r="AP155" s="22"/>
    </row>
    <row r="156" spans="1:42" ht="15.75" customHeight="1">
      <c r="A156" s="23"/>
      <c r="H156" s="18"/>
      <c r="AB156" s="22"/>
      <c r="AC156" s="22"/>
      <c r="AN156" s="22"/>
      <c r="AO156" s="22"/>
      <c r="AP156" s="22"/>
    </row>
    <row r="157" spans="1:42" ht="15.75" customHeight="1">
      <c r="A157" s="23"/>
      <c r="H157" s="18"/>
      <c r="AB157" s="22"/>
      <c r="AC157" s="22"/>
      <c r="AN157" s="22"/>
      <c r="AO157" s="22"/>
      <c r="AP157" s="22"/>
    </row>
    <row r="158" spans="1:42" ht="15.75" customHeight="1">
      <c r="A158" s="23"/>
      <c r="H158" s="18"/>
      <c r="AB158" s="22"/>
      <c r="AC158" s="22"/>
      <c r="AN158" s="22"/>
      <c r="AO158" s="22"/>
      <c r="AP158" s="22"/>
    </row>
    <row r="159" spans="1:42" ht="15.75" customHeight="1">
      <c r="A159" s="23"/>
      <c r="H159" s="18"/>
      <c r="AB159" s="22"/>
      <c r="AC159" s="22"/>
      <c r="AN159" s="22"/>
      <c r="AO159" s="22"/>
      <c r="AP159" s="22"/>
    </row>
    <row r="160" spans="1:42" ht="15.75" customHeight="1">
      <c r="A160" s="23"/>
      <c r="H160" s="18"/>
      <c r="AB160" s="22"/>
      <c r="AC160" s="22"/>
      <c r="AN160" s="22"/>
      <c r="AO160" s="22"/>
      <c r="AP160" s="22"/>
    </row>
    <row r="161" spans="1:42" ht="15.75" customHeight="1">
      <c r="A161" s="23"/>
      <c r="H161" s="18"/>
      <c r="AB161" s="22"/>
      <c r="AC161" s="22"/>
      <c r="AN161" s="22"/>
      <c r="AO161" s="22"/>
      <c r="AP161" s="22"/>
    </row>
    <row r="162" spans="1:42" ht="15.75" customHeight="1">
      <c r="A162" s="23"/>
      <c r="H162" s="18"/>
      <c r="AB162" s="22"/>
      <c r="AC162" s="22"/>
      <c r="AN162" s="22"/>
      <c r="AO162" s="22"/>
      <c r="AP162" s="22"/>
    </row>
    <row r="163" spans="1:42" ht="15.75" customHeight="1">
      <c r="A163" s="23"/>
      <c r="H163" s="18"/>
      <c r="AB163" s="22"/>
      <c r="AC163" s="22"/>
      <c r="AN163" s="22"/>
      <c r="AO163" s="22"/>
      <c r="AP163" s="22"/>
    </row>
    <row r="164" spans="1:42" ht="15.75" customHeight="1">
      <c r="A164" s="23"/>
      <c r="H164" s="18"/>
      <c r="AB164" s="22"/>
      <c r="AC164" s="22"/>
      <c r="AN164" s="22"/>
      <c r="AO164" s="22"/>
      <c r="AP164" s="22"/>
    </row>
    <row r="165" spans="1:42" ht="15.75" customHeight="1">
      <c r="A165" s="23"/>
      <c r="H165" s="18"/>
      <c r="AB165" s="22"/>
      <c r="AC165" s="22"/>
      <c r="AN165" s="22"/>
      <c r="AO165" s="22"/>
      <c r="AP165" s="22"/>
    </row>
    <row r="166" spans="1:42" ht="15.75" customHeight="1">
      <c r="A166" s="23"/>
      <c r="H166" s="18"/>
      <c r="AB166" s="22"/>
      <c r="AC166" s="22"/>
      <c r="AN166" s="22"/>
      <c r="AO166" s="22"/>
      <c r="AP166" s="22"/>
    </row>
    <row r="167" spans="1:42" ht="15.75" customHeight="1">
      <c r="A167" s="23"/>
      <c r="H167" s="18"/>
      <c r="AB167" s="22"/>
      <c r="AC167" s="22"/>
      <c r="AN167" s="22"/>
      <c r="AO167" s="22"/>
      <c r="AP167" s="22"/>
    </row>
    <row r="168" spans="1:42" ht="15.75" customHeight="1">
      <c r="A168" s="23"/>
      <c r="H168" s="18"/>
      <c r="AB168" s="22"/>
      <c r="AC168" s="22"/>
      <c r="AN168" s="22"/>
      <c r="AO168" s="22"/>
      <c r="AP168" s="22"/>
    </row>
    <row r="169" spans="1:42" ht="15.75" customHeight="1">
      <c r="A169" s="23"/>
      <c r="H169" s="18"/>
      <c r="AB169" s="22"/>
      <c r="AC169" s="22"/>
      <c r="AN169" s="22"/>
      <c r="AO169" s="22"/>
      <c r="AP169" s="22"/>
    </row>
    <row r="170" spans="1:42" ht="15.75" customHeight="1">
      <c r="A170" s="23"/>
      <c r="H170" s="18"/>
      <c r="AB170" s="22"/>
      <c r="AC170" s="22"/>
      <c r="AN170" s="22"/>
      <c r="AO170" s="22"/>
      <c r="AP170" s="22"/>
    </row>
    <row r="171" spans="1:42" ht="15.75" customHeight="1">
      <c r="A171" s="23"/>
      <c r="H171" s="18"/>
      <c r="AB171" s="22"/>
      <c r="AC171" s="22"/>
      <c r="AN171" s="22"/>
      <c r="AO171" s="22"/>
      <c r="AP171" s="22"/>
    </row>
    <row r="172" spans="1:42" ht="15.75" customHeight="1">
      <c r="A172" s="23"/>
      <c r="H172" s="18"/>
      <c r="AB172" s="22"/>
      <c r="AC172" s="22"/>
      <c r="AN172" s="22"/>
      <c r="AO172" s="22"/>
      <c r="AP172" s="22"/>
    </row>
    <row r="173" spans="1:42" ht="15.75" customHeight="1">
      <c r="A173" s="23"/>
      <c r="H173" s="18"/>
      <c r="AB173" s="22"/>
      <c r="AC173" s="22"/>
      <c r="AN173" s="22"/>
      <c r="AO173" s="22"/>
      <c r="AP173" s="22"/>
    </row>
    <row r="174" spans="1:42" ht="15.75" customHeight="1">
      <c r="A174" s="23"/>
      <c r="H174" s="18"/>
      <c r="AB174" s="22"/>
      <c r="AC174" s="22"/>
      <c r="AN174" s="22"/>
      <c r="AO174" s="22"/>
      <c r="AP174" s="22"/>
    </row>
    <row r="175" spans="1:42" ht="15.75" customHeight="1">
      <c r="A175" s="23"/>
      <c r="H175" s="18"/>
      <c r="AB175" s="22"/>
      <c r="AC175" s="22"/>
      <c r="AN175" s="22"/>
      <c r="AO175" s="22"/>
      <c r="AP175" s="22"/>
    </row>
    <row r="176" spans="1:42" ht="15.75" customHeight="1">
      <c r="A176" s="23"/>
      <c r="H176" s="18"/>
      <c r="AB176" s="22"/>
      <c r="AC176" s="22"/>
      <c r="AN176" s="22"/>
      <c r="AO176" s="22"/>
      <c r="AP176" s="22"/>
    </row>
    <row r="177" spans="1:42" ht="15.75" customHeight="1">
      <c r="A177" s="23"/>
      <c r="H177" s="18"/>
      <c r="AB177" s="22"/>
      <c r="AC177" s="22"/>
      <c r="AN177" s="22"/>
      <c r="AO177" s="22"/>
      <c r="AP177" s="22"/>
    </row>
    <row r="178" spans="1:42" ht="15.75" customHeight="1">
      <c r="A178" s="23"/>
      <c r="H178" s="18"/>
      <c r="AB178" s="22"/>
      <c r="AC178" s="22"/>
      <c r="AN178" s="22"/>
      <c r="AO178" s="22"/>
      <c r="AP178" s="22"/>
    </row>
    <row r="179" spans="1:42" ht="15.75" customHeight="1">
      <c r="A179" s="23"/>
      <c r="H179" s="18"/>
      <c r="AB179" s="22"/>
      <c r="AC179" s="22"/>
      <c r="AN179" s="22"/>
      <c r="AO179" s="22"/>
      <c r="AP179" s="22"/>
    </row>
    <row r="180" spans="1:42" ht="15.75" customHeight="1">
      <c r="A180" s="23"/>
      <c r="H180" s="18"/>
      <c r="AB180" s="22"/>
      <c r="AC180" s="22"/>
      <c r="AN180" s="22"/>
      <c r="AO180" s="22"/>
      <c r="AP180" s="22"/>
    </row>
    <row r="181" spans="1:42" ht="15.75" customHeight="1">
      <c r="A181" s="23"/>
      <c r="H181" s="18"/>
      <c r="AB181" s="22"/>
      <c r="AC181" s="22"/>
      <c r="AN181" s="22"/>
      <c r="AO181" s="22"/>
      <c r="AP181" s="22"/>
    </row>
    <row r="182" spans="1:42" ht="15.75" customHeight="1">
      <c r="A182" s="23"/>
      <c r="H182" s="18"/>
      <c r="AB182" s="22"/>
      <c r="AC182" s="22"/>
      <c r="AN182" s="22"/>
      <c r="AO182" s="22"/>
      <c r="AP182" s="22"/>
    </row>
    <row r="183" spans="1:42" ht="15.75" customHeight="1">
      <c r="A183" s="23"/>
      <c r="H183" s="18"/>
      <c r="AB183" s="22"/>
      <c r="AC183" s="22"/>
      <c r="AN183" s="22"/>
      <c r="AO183" s="22"/>
      <c r="AP183" s="22"/>
    </row>
    <row r="184" spans="1:42" ht="15.75" customHeight="1">
      <c r="A184" s="23"/>
      <c r="H184" s="18"/>
      <c r="AB184" s="22"/>
      <c r="AC184" s="22"/>
      <c r="AN184" s="22"/>
      <c r="AO184" s="22"/>
      <c r="AP184" s="22"/>
    </row>
    <row r="185" spans="1:42" ht="15.75" customHeight="1">
      <c r="A185" s="23"/>
      <c r="H185" s="18"/>
      <c r="AB185" s="22"/>
      <c r="AC185" s="22"/>
      <c r="AN185" s="22"/>
      <c r="AO185" s="22"/>
      <c r="AP185" s="22"/>
    </row>
    <row r="186" spans="1:42" ht="15.75" customHeight="1">
      <c r="A186" s="23"/>
      <c r="H186" s="18"/>
      <c r="AB186" s="22"/>
      <c r="AC186" s="22"/>
      <c r="AN186" s="22"/>
      <c r="AO186" s="22"/>
      <c r="AP186" s="22"/>
    </row>
    <row r="187" spans="1:42" ht="15.75" customHeight="1">
      <c r="A187" s="23"/>
      <c r="H187" s="18"/>
      <c r="AB187" s="22"/>
      <c r="AC187" s="22"/>
      <c r="AN187" s="22"/>
      <c r="AO187" s="22"/>
      <c r="AP187" s="22"/>
    </row>
    <row r="188" spans="1:42" ht="15.75" customHeight="1">
      <c r="A188" s="23"/>
      <c r="H188" s="18"/>
      <c r="AB188" s="22"/>
      <c r="AC188" s="22"/>
      <c r="AN188" s="22"/>
      <c r="AO188" s="22"/>
      <c r="AP188" s="22"/>
    </row>
    <row r="189" spans="1:42" ht="15.75" customHeight="1">
      <c r="A189" s="23"/>
      <c r="H189" s="18"/>
      <c r="AB189" s="22"/>
      <c r="AC189" s="22"/>
      <c r="AN189" s="22"/>
      <c r="AO189" s="22"/>
      <c r="AP189" s="22"/>
    </row>
    <row r="190" spans="1:42" ht="15.75" customHeight="1">
      <c r="A190" s="23"/>
      <c r="H190" s="18"/>
      <c r="AB190" s="22"/>
      <c r="AC190" s="22"/>
      <c r="AN190" s="22"/>
      <c r="AO190" s="22"/>
      <c r="AP190" s="22"/>
    </row>
    <row r="191" spans="1:42" ht="15.75" customHeight="1">
      <c r="A191" s="23"/>
      <c r="H191" s="18"/>
      <c r="AB191" s="22"/>
      <c r="AC191" s="22"/>
      <c r="AN191" s="22"/>
      <c r="AO191" s="22"/>
      <c r="AP191" s="22"/>
    </row>
    <row r="192" spans="1:42" ht="15.75" customHeight="1">
      <c r="A192" s="23"/>
      <c r="H192" s="18"/>
      <c r="AB192" s="22"/>
      <c r="AC192" s="22"/>
      <c r="AN192" s="22"/>
      <c r="AO192" s="22"/>
      <c r="AP192" s="22"/>
    </row>
    <row r="193" spans="1:42" ht="15.75" customHeight="1">
      <c r="A193" s="23"/>
      <c r="H193" s="18"/>
      <c r="AB193" s="22"/>
      <c r="AC193" s="22"/>
      <c r="AN193" s="22"/>
      <c r="AO193" s="22"/>
      <c r="AP193" s="22"/>
    </row>
    <row r="194" spans="1:42" ht="15.75" customHeight="1">
      <c r="A194" s="23"/>
      <c r="H194" s="18"/>
      <c r="AB194" s="22"/>
      <c r="AC194" s="22"/>
      <c r="AN194" s="22"/>
      <c r="AO194" s="22"/>
      <c r="AP194" s="22"/>
    </row>
    <row r="195" spans="1:42" ht="15.75" customHeight="1">
      <c r="A195" s="23"/>
      <c r="H195" s="18"/>
      <c r="AB195" s="22"/>
      <c r="AC195" s="22"/>
      <c r="AN195" s="22"/>
      <c r="AO195" s="22"/>
      <c r="AP195" s="22"/>
    </row>
    <row r="196" spans="1:42" ht="15.75" customHeight="1">
      <c r="A196" s="23"/>
      <c r="H196" s="18"/>
      <c r="AB196" s="22"/>
      <c r="AC196" s="22"/>
      <c r="AN196" s="22"/>
      <c r="AO196" s="22"/>
      <c r="AP196" s="22"/>
    </row>
    <row r="197" spans="1:42" ht="15.75" customHeight="1">
      <c r="A197" s="23"/>
      <c r="H197" s="18"/>
      <c r="AB197" s="22"/>
      <c r="AC197" s="22"/>
      <c r="AN197" s="22"/>
      <c r="AO197" s="22"/>
      <c r="AP197" s="22"/>
    </row>
    <row r="198" spans="1:42" ht="15.75" customHeight="1">
      <c r="A198" s="23"/>
      <c r="H198" s="18"/>
      <c r="AB198" s="22"/>
      <c r="AC198" s="22"/>
      <c r="AN198" s="22"/>
      <c r="AO198" s="22"/>
      <c r="AP198" s="22"/>
    </row>
    <row r="199" spans="1:42" ht="15.75" customHeight="1">
      <c r="A199" s="23"/>
      <c r="H199" s="18"/>
      <c r="AB199" s="22"/>
      <c r="AC199" s="22"/>
      <c r="AN199" s="22"/>
      <c r="AO199" s="22"/>
      <c r="AP199" s="22"/>
    </row>
    <row r="200" spans="1:42" ht="15.75" customHeight="1">
      <c r="A200" s="23"/>
      <c r="H200" s="18"/>
      <c r="AB200" s="22"/>
      <c r="AC200" s="22"/>
      <c r="AN200" s="22"/>
      <c r="AO200" s="22"/>
      <c r="AP200" s="22"/>
    </row>
    <row r="201" spans="1:42" ht="15.75" customHeight="1">
      <c r="A201" s="23"/>
      <c r="H201" s="18"/>
      <c r="AB201" s="22"/>
      <c r="AC201" s="22"/>
      <c r="AN201" s="22"/>
      <c r="AO201" s="22"/>
      <c r="AP201" s="22"/>
    </row>
    <row r="202" spans="1:42" ht="15.75" customHeight="1">
      <c r="A202" s="23"/>
      <c r="H202" s="18"/>
      <c r="AB202" s="22"/>
      <c r="AC202" s="22"/>
      <c r="AN202" s="22"/>
      <c r="AO202" s="22"/>
      <c r="AP202" s="22"/>
    </row>
    <row r="203" spans="1:42" ht="15.75" customHeight="1">
      <c r="A203" s="23"/>
      <c r="H203" s="18"/>
      <c r="AB203" s="22"/>
      <c r="AC203" s="22"/>
      <c r="AN203" s="22"/>
      <c r="AO203" s="22"/>
      <c r="AP203" s="22"/>
    </row>
    <row r="204" spans="1:42" ht="15.75" customHeight="1">
      <c r="A204" s="23"/>
      <c r="H204" s="18"/>
      <c r="AB204" s="22"/>
      <c r="AC204" s="22"/>
      <c r="AN204" s="22"/>
      <c r="AO204" s="22"/>
      <c r="AP204" s="22"/>
    </row>
    <row r="205" spans="1:42" ht="15.75" customHeight="1">
      <c r="A205" s="23"/>
      <c r="H205" s="18"/>
      <c r="AB205" s="22"/>
      <c r="AC205" s="22"/>
      <c r="AN205" s="22"/>
      <c r="AO205" s="22"/>
      <c r="AP205" s="22"/>
    </row>
    <row r="206" spans="1:42" ht="15.75" customHeight="1">
      <c r="A206" s="23"/>
      <c r="H206" s="18"/>
      <c r="AB206" s="22"/>
      <c r="AC206" s="22"/>
      <c r="AN206" s="22"/>
      <c r="AO206" s="22"/>
      <c r="AP206" s="22"/>
    </row>
    <row r="207" spans="1:42" ht="15.75" customHeight="1">
      <c r="A207" s="23"/>
      <c r="H207" s="18"/>
      <c r="AB207" s="22"/>
      <c r="AC207" s="22"/>
      <c r="AN207" s="22"/>
      <c r="AO207" s="22"/>
      <c r="AP207" s="22"/>
    </row>
    <row r="208" spans="1:42" ht="15.75" customHeight="1">
      <c r="A208" s="23"/>
      <c r="H208" s="18"/>
      <c r="AB208" s="22"/>
      <c r="AC208" s="22"/>
      <c r="AN208" s="22"/>
      <c r="AO208" s="22"/>
      <c r="AP208" s="22"/>
    </row>
    <row r="209" spans="1:42" ht="15.75" customHeight="1">
      <c r="A209" s="23"/>
      <c r="H209" s="18"/>
      <c r="AB209" s="22"/>
      <c r="AC209" s="22"/>
      <c r="AN209" s="22"/>
      <c r="AO209" s="22"/>
      <c r="AP209" s="22"/>
    </row>
    <row r="210" spans="1:42" ht="15.75" customHeight="1">
      <c r="A210" s="23"/>
      <c r="H210" s="18"/>
      <c r="AB210" s="22"/>
      <c r="AC210" s="22"/>
      <c r="AN210" s="22"/>
      <c r="AO210" s="22"/>
      <c r="AP210" s="22"/>
    </row>
    <row r="211" spans="1:42" ht="15.75" customHeight="1">
      <c r="A211" s="23"/>
      <c r="H211" s="18"/>
      <c r="AB211" s="22"/>
      <c r="AC211" s="22"/>
      <c r="AN211" s="22"/>
      <c r="AO211" s="22"/>
      <c r="AP211" s="22"/>
    </row>
    <row r="212" spans="1:42" ht="15.75" customHeight="1">
      <c r="A212" s="23"/>
      <c r="H212" s="18"/>
      <c r="AB212" s="22"/>
      <c r="AC212" s="22"/>
      <c r="AN212" s="22"/>
      <c r="AO212" s="22"/>
      <c r="AP212" s="22"/>
    </row>
    <row r="213" spans="1:42" ht="15.75" customHeight="1">
      <c r="A213" s="23"/>
      <c r="H213" s="18"/>
      <c r="AB213" s="22"/>
      <c r="AC213" s="22"/>
      <c r="AN213" s="22"/>
      <c r="AO213" s="22"/>
      <c r="AP213" s="22"/>
    </row>
    <row r="214" spans="1:42" ht="15.75" customHeight="1">
      <c r="A214" s="23"/>
      <c r="H214" s="18"/>
      <c r="AB214" s="22"/>
      <c r="AC214" s="22"/>
      <c r="AN214" s="22"/>
      <c r="AO214" s="22"/>
      <c r="AP214" s="22"/>
    </row>
    <row r="215" spans="1:42" ht="15.75" customHeight="1">
      <c r="A215" s="23"/>
      <c r="H215" s="18"/>
      <c r="AB215" s="22"/>
      <c r="AC215" s="22"/>
      <c r="AN215" s="22"/>
      <c r="AO215" s="22"/>
      <c r="AP215" s="22"/>
    </row>
    <row r="216" spans="1:42" ht="15.75" customHeight="1">
      <c r="A216" s="23"/>
      <c r="H216" s="18"/>
      <c r="AB216" s="22"/>
      <c r="AC216" s="22"/>
      <c r="AN216" s="22"/>
      <c r="AO216" s="22"/>
      <c r="AP216" s="22"/>
    </row>
    <row r="217" spans="1:42" ht="15.75" customHeight="1">
      <c r="A217" s="23"/>
      <c r="H217" s="18"/>
      <c r="AB217" s="22"/>
      <c r="AC217" s="22"/>
      <c r="AN217" s="22"/>
      <c r="AO217" s="22"/>
      <c r="AP217" s="22"/>
    </row>
    <row r="218" spans="1:42" ht="15.75" customHeight="1">
      <c r="A218" s="23"/>
      <c r="H218" s="18"/>
      <c r="AB218" s="22"/>
      <c r="AC218" s="22"/>
      <c r="AN218" s="22"/>
      <c r="AO218" s="22"/>
      <c r="AP218" s="22"/>
    </row>
    <row r="219" spans="1:42" ht="15.75" customHeight="1">
      <c r="A219" s="23"/>
      <c r="H219" s="18"/>
      <c r="AB219" s="22"/>
      <c r="AC219" s="22"/>
      <c r="AN219" s="22"/>
      <c r="AO219" s="22"/>
      <c r="AP219" s="22"/>
    </row>
    <row r="220" spans="1:42" ht="15.75" customHeight="1">
      <c r="A220" s="23"/>
      <c r="H220" s="18"/>
      <c r="AB220" s="22"/>
      <c r="AC220" s="22"/>
      <c r="AN220" s="22"/>
      <c r="AO220" s="22"/>
      <c r="AP220" s="22"/>
    </row>
    <row r="221" spans="1:42" ht="15.75" customHeight="1">
      <c r="A221" s="23"/>
      <c r="H221" s="18"/>
      <c r="AB221" s="22"/>
      <c r="AC221" s="22"/>
      <c r="AN221" s="22"/>
      <c r="AO221" s="22"/>
      <c r="AP221" s="22"/>
    </row>
    <row r="222" spans="1:42" ht="15.75" customHeight="1">
      <c r="A222" s="23"/>
      <c r="H222" s="18"/>
      <c r="AB222" s="22"/>
      <c r="AC222" s="22"/>
      <c r="AN222" s="22"/>
      <c r="AO222" s="22"/>
      <c r="AP222" s="22"/>
    </row>
    <row r="223" spans="1:42" ht="15.75" customHeight="1">
      <c r="A223" s="23"/>
      <c r="H223" s="18"/>
      <c r="AB223" s="22"/>
      <c r="AC223" s="22"/>
      <c r="AN223" s="22"/>
      <c r="AO223" s="22"/>
      <c r="AP223" s="22"/>
    </row>
    <row r="224" spans="1:42" ht="15.75" customHeight="1">
      <c r="A224" s="23"/>
      <c r="H224" s="18"/>
      <c r="AB224" s="22"/>
      <c r="AC224" s="22"/>
      <c r="AN224" s="22"/>
      <c r="AO224" s="22"/>
      <c r="AP224" s="22"/>
    </row>
    <row r="225" spans="1:42" ht="15.75" customHeight="1">
      <c r="A225" s="23"/>
      <c r="H225" s="18"/>
      <c r="AB225" s="22"/>
      <c r="AC225" s="22"/>
      <c r="AN225" s="22"/>
      <c r="AO225" s="22"/>
      <c r="AP225" s="22"/>
    </row>
    <row r="226" spans="1:42" ht="15.75" customHeight="1">
      <c r="A226" s="23"/>
      <c r="H226" s="18"/>
      <c r="AB226" s="22"/>
      <c r="AC226" s="22"/>
      <c r="AN226" s="22"/>
      <c r="AO226" s="22"/>
      <c r="AP226" s="22"/>
    </row>
    <row r="227" spans="1:42" ht="15.75" customHeight="1">
      <c r="A227" s="23"/>
      <c r="H227" s="18"/>
      <c r="AB227" s="22"/>
      <c r="AC227" s="22"/>
      <c r="AN227" s="22"/>
      <c r="AO227" s="22"/>
      <c r="AP227" s="22"/>
    </row>
    <row r="228" spans="1:42" ht="15.75" customHeight="1">
      <c r="A228" s="23"/>
      <c r="H228" s="18"/>
      <c r="AB228" s="22"/>
      <c r="AC228" s="22"/>
      <c r="AN228" s="22"/>
      <c r="AO228" s="22"/>
      <c r="AP228" s="22"/>
    </row>
    <row r="229" spans="1:42" ht="15.75" customHeight="1">
      <c r="A229" s="23"/>
      <c r="H229" s="18"/>
      <c r="AB229" s="22"/>
      <c r="AC229" s="22"/>
      <c r="AN229" s="22"/>
      <c r="AO229" s="22"/>
      <c r="AP229" s="22"/>
    </row>
    <row r="230" spans="1:42" ht="15.75" customHeight="1">
      <c r="A230" s="23"/>
      <c r="H230" s="18"/>
      <c r="AB230" s="22"/>
      <c r="AC230" s="22"/>
      <c r="AN230" s="22"/>
      <c r="AO230" s="22"/>
      <c r="AP230" s="22"/>
    </row>
    <row r="231" spans="1:42" ht="15.75" customHeight="1">
      <c r="A231" s="23"/>
      <c r="H231" s="18"/>
      <c r="AB231" s="22"/>
      <c r="AC231" s="22"/>
      <c r="AN231" s="22"/>
      <c r="AO231" s="22"/>
      <c r="AP231" s="22"/>
    </row>
    <row r="232" spans="1:42" ht="15.75" customHeight="1">
      <c r="A232" s="23"/>
      <c r="H232" s="18"/>
      <c r="AB232" s="22"/>
      <c r="AC232" s="22"/>
      <c r="AN232" s="22"/>
      <c r="AO232" s="22"/>
      <c r="AP232" s="22"/>
    </row>
    <row r="233" spans="1:42" ht="15.75" customHeight="1">
      <c r="A233" s="23"/>
      <c r="H233" s="18"/>
      <c r="AB233" s="22"/>
      <c r="AC233" s="22"/>
      <c r="AN233" s="22"/>
      <c r="AO233" s="22"/>
      <c r="AP233" s="22"/>
    </row>
    <row r="234" spans="1:42" ht="15.75" customHeight="1">
      <c r="A234" s="23"/>
      <c r="H234" s="18"/>
      <c r="AB234" s="22"/>
      <c r="AC234" s="22"/>
      <c r="AN234" s="22"/>
      <c r="AO234" s="22"/>
      <c r="AP234" s="22"/>
    </row>
    <row r="235" spans="1:42" ht="15.75" customHeight="1">
      <c r="A235" s="23"/>
      <c r="H235" s="18"/>
      <c r="AB235" s="22"/>
      <c r="AC235" s="22"/>
      <c r="AN235" s="22"/>
      <c r="AO235" s="22"/>
      <c r="AP235" s="22"/>
    </row>
    <row r="236" spans="1:42" ht="15.75" customHeight="1">
      <c r="A236" s="23"/>
      <c r="H236" s="18"/>
      <c r="AB236" s="22"/>
      <c r="AC236" s="22"/>
      <c r="AN236" s="22"/>
      <c r="AO236" s="22"/>
      <c r="AP236" s="22"/>
    </row>
    <row r="237" spans="1:42" ht="15.75" customHeight="1">
      <c r="A237" s="23"/>
      <c r="H237" s="18"/>
      <c r="AB237" s="22"/>
      <c r="AC237" s="22"/>
      <c r="AN237" s="22"/>
      <c r="AO237" s="22"/>
      <c r="AP237" s="22"/>
    </row>
    <row r="238" spans="1:42" ht="15.75" customHeight="1">
      <c r="A238" s="23"/>
      <c r="H238" s="18"/>
      <c r="AB238" s="22"/>
      <c r="AC238" s="22"/>
      <c r="AN238" s="22"/>
      <c r="AO238" s="22"/>
      <c r="AP238" s="22"/>
    </row>
    <row r="239" spans="1:42" ht="15.75" customHeight="1">
      <c r="A239" s="23"/>
      <c r="H239" s="18"/>
      <c r="AB239" s="22"/>
      <c r="AC239" s="22"/>
      <c r="AN239" s="22"/>
      <c r="AO239" s="22"/>
      <c r="AP239" s="22"/>
    </row>
    <row r="240" spans="1:42" ht="15.75" customHeight="1">
      <c r="A240" s="23"/>
      <c r="H240" s="18"/>
      <c r="AB240" s="22"/>
      <c r="AC240" s="22"/>
      <c r="AN240" s="22"/>
      <c r="AO240" s="22"/>
      <c r="AP240" s="22"/>
    </row>
    <row r="241" spans="1:42" ht="15.75" customHeight="1">
      <c r="A241" s="23"/>
      <c r="H241" s="18"/>
      <c r="AB241" s="22"/>
      <c r="AC241" s="22"/>
      <c r="AN241" s="22"/>
      <c r="AO241" s="22"/>
      <c r="AP241" s="22"/>
    </row>
    <row r="242" spans="1:42" ht="15.75" customHeight="1">
      <c r="A242" s="23"/>
      <c r="H242" s="18"/>
      <c r="AB242" s="22"/>
      <c r="AC242" s="22"/>
      <c r="AN242" s="22"/>
      <c r="AO242" s="22"/>
      <c r="AP242" s="22"/>
    </row>
    <row r="243" spans="1:42" ht="15.75" customHeight="1">
      <c r="A243" s="23"/>
      <c r="H243" s="18"/>
      <c r="AB243" s="22"/>
      <c r="AC243" s="22"/>
      <c r="AN243" s="22"/>
      <c r="AO243" s="22"/>
      <c r="AP243" s="22"/>
    </row>
    <row r="244" spans="1:42" ht="15.75" customHeight="1">
      <c r="A244" s="23"/>
      <c r="H244" s="18"/>
      <c r="AB244" s="22"/>
      <c r="AC244" s="22"/>
      <c r="AN244" s="22"/>
      <c r="AO244" s="22"/>
      <c r="AP244" s="22"/>
    </row>
    <row r="245" spans="1:42" ht="15.75" customHeight="1">
      <c r="A245" s="23"/>
      <c r="H245" s="18"/>
      <c r="AB245" s="22"/>
      <c r="AC245" s="22"/>
      <c r="AN245" s="22"/>
      <c r="AO245" s="22"/>
      <c r="AP245" s="22"/>
    </row>
    <row r="246" spans="1:42" ht="15.75" customHeight="1">
      <c r="A246" s="23"/>
      <c r="H246" s="18"/>
      <c r="AB246" s="22"/>
      <c r="AC246" s="22"/>
      <c r="AN246" s="22"/>
      <c r="AO246" s="22"/>
      <c r="AP246" s="22"/>
    </row>
    <row r="247" spans="1:42" ht="15.75" customHeight="1">
      <c r="A247" s="23"/>
      <c r="H247" s="18"/>
      <c r="AB247" s="22"/>
      <c r="AC247" s="22"/>
      <c r="AN247" s="22"/>
      <c r="AO247" s="22"/>
      <c r="AP247" s="22"/>
    </row>
    <row r="248" spans="1:42" ht="15.75" customHeight="1">
      <c r="A248" s="23"/>
      <c r="H248" s="18"/>
      <c r="AB248" s="22"/>
      <c r="AC248" s="22"/>
      <c r="AN248" s="22"/>
      <c r="AO248" s="22"/>
      <c r="AP248" s="22"/>
    </row>
    <row r="249" spans="1:42" ht="15.75" customHeight="1">
      <c r="A249" s="23"/>
      <c r="H249" s="18"/>
      <c r="AB249" s="22"/>
      <c r="AC249" s="22"/>
      <c r="AN249" s="22"/>
      <c r="AO249" s="22"/>
      <c r="AP249" s="22"/>
    </row>
    <row r="250" spans="1:42" ht="15.75" customHeight="1">
      <c r="A250" s="23"/>
      <c r="H250" s="18"/>
      <c r="AB250" s="22"/>
      <c r="AC250" s="22"/>
      <c r="AN250" s="22"/>
      <c r="AO250" s="22"/>
      <c r="AP250" s="22"/>
    </row>
    <row r="251" spans="1:42" ht="15.75" customHeight="1">
      <c r="A251" s="23"/>
      <c r="H251" s="18"/>
      <c r="AB251" s="22"/>
      <c r="AC251" s="22"/>
      <c r="AN251" s="22"/>
      <c r="AO251" s="22"/>
      <c r="AP251" s="22"/>
    </row>
    <row r="252" spans="1:42" ht="15.75" customHeight="1">
      <c r="A252" s="23"/>
      <c r="H252" s="18"/>
      <c r="AB252" s="22"/>
      <c r="AC252" s="22"/>
      <c r="AN252" s="22"/>
      <c r="AO252" s="22"/>
      <c r="AP252" s="22"/>
    </row>
    <row r="253" spans="1:42" ht="15.75" customHeight="1">
      <c r="A253" s="23"/>
      <c r="H253" s="18"/>
      <c r="AB253" s="22"/>
      <c r="AC253" s="22"/>
      <c r="AN253" s="22"/>
      <c r="AO253" s="22"/>
      <c r="AP253" s="22"/>
    </row>
    <row r="254" spans="1:42" ht="15.75" customHeight="1">
      <c r="A254" s="23"/>
      <c r="H254" s="18"/>
      <c r="AB254" s="22"/>
      <c r="AC254" s="22"/>
      <c r="AN254" s="22"/>
      <c r="AO254" s="22"/>
      <c r="AP254" s="22"/>
    </row>
    <row r="255" spans="1:42" ht="15.75" customHeight="1">
      <c r="A255" s="23"/>
      <c r="H255" s="18"/>
      <c r="AB255" s="22"/>
      <c r="AC255" s="22"/>
      <c r="AN255" s="22"/>
      <c r="AO255" s="22"/>
      <c r="AP255" s="22"/>
    </row>
    <row r="256" spans="1:42" ht="15.75" customHeight="1">
      <c r="A256" s="23"/>
      <c r="H256" s="18"/>
      <c r="AB256" s="22"/>
      <c r="AC256" s="22"/>
      <c r="AN256" s="22"/>
      <c r="AO256" s="22"/>
      <c r="AP256" s="22"/>
    </row>
    <row r="257" spans="1:42" ht="15.75" customHeight="1">
      <c r="A257" s="23"/>
      <c r="H257" s="18"/>
      <c r="AB257" s="22"/>
      <c r="AC257" s="22"/>
      <c r="AN257" s="22"/>
      <c r="AO257" s="22"/>
      <c r="AP257" s="22"/>
    </row>
    <row r="258" spans="1:42" ht="15.75" customHeight="1">
      <c r="A258" s="23"/>
      <c r="H258" s="18"/>
      <c r="AB258" s="22"/>
      <c r="AC258" s="22"/>
      <c r="AN258" s="22"/>
      <c r="AO258" s="22"/>
      <c r="AP258" s="22"/>
    </row>
    <row r="259" spans="1:42" ht="15.75" customHeight="1">
      <c r="A259" s="23"/>
      <c r="H259" s="18"/>
      <c r="AB259" s="22"/>
      <c r="AC259" s="22"/>
      <c r="AN259" s="22"/>
      <c r="AO259" s="22"/>
      <c r="AP259" s="22"/>
    </row>
    <row r="260" spans="1:42" ht="15.75" customHeight="1">
      <c r="A260" s="23"/>
      <c r="H260" s="18"/>
      <c r="AB260" s="22"/>
      <c r="AC260" s="22"/>
      <c r="AN260" s="22"/>
      <c r="AO260" s="22"/>
      <c r="AP260" s="22"/>
    </row>
    <row r="261" spans="1:42" ht="15.75" customHeight="1">
      <c r="A261" s="23"/>
      <c r="H261" s="18"/>
      <c r="AB261" s="22"/>
      <c r="AC261" s="22"/>
      <c r="AN261" s="22"/>
      <c r="AO261" s="22"/>
      <c r="AP261" s="22"/>
    </row>
    <row r="262" spans="1:42" ht="15.75" customHeight="1">
      <c r="A262" s="23"/>
      <c r="H262" s="18"/>
      <c r="AB262" s="22"/>
      <c r="AC262" s="22"/>
      <c r="AN262" s="22"/>
      <c r="AO262" s="22"/>
      <c r="AP262" s="22"/>
    </row>
    <row r="263" spans="1:42" ht="15.75" customHeight="1">
      <c r="A263" s="23"/>
      <c r="H263" s="18"/>
      <c r="AB263" s="22"/>
      <c r="AC263" s="22"/>
      <c r="AN263" s="22"/>
      <c r="AO263" s="22"/>
      <c r="AP263" s="22"/>
    </row>
    <row r="264" spans="1:42" ht="15.75" customHeight="1">
      <c r="A264" s="23"/>
      <c r="H264" s="18"/>
      <c r="AB264" s="22"/>
      <c r="AC264" s="22"/>
      <c r="AN264" s="22"/>
      <c r="AO264" s="22"/>
      <c r="AP264" s="22"/>
    </row>
    <row r="265" spans="1:42" ht="15.75" customHeight="1">
      <c r="A265" s="23"/>
      <c r="H265" s="18"/>
      <c r="AB265" s="22"/>
      <c r="AC265" s="22"/>
      <c r="AN265" s="22"/>
      <c r="AO265" s="22"/>
      <c r="AP265" s="22"/>
    </row>
    <row r="266" spans="1:42" ht="15.75" customHeight="1">
      <c r="A266" s="23"/>
      <c r="H266" s="18"/>
      <c r="AB266" s="22"/>
      <c r="AC266" s="22"/>
      <c r="AN266" s="22"/>
      <c r="AO266" s="22"/>
      <c r="AP266" s="22"/>
    </row>
    <row r="267" spans="1:42" ht="15.75" customHeight="1">
      <c r="A267" s="23"/>
      <c r="H267" s="18"/>
      <c r="AB267" s="22"/>
      <c r="AC267" s="22"/>
      <c r="AN267" s="22"/>
      <c r="AO267" s="22"/>
      <c r="AP267" s="22"/>
    </row>
    <row r="268" spans="1:42" ht="15.75" customHeight="1">
      <c r="A268" s="23"/>
      <c r="H268" s="18"/>
      <c r="AB268" s="22"/>
      <c r="AC268" s="22"/>
      <c r="AN268" s="22"/>
      <c r="AO268" s="22"/>
      <c r="AP268" s="22"/>
    </row>
    <row r="269" spans="1:42" ht="15.75" customHeight="1">
      <c r="A269" s="23"/>
      <c r="H269" s="18"/>
      <c r="AB269" s="22"/>
      <c r="AC269" s="22"/>
      <c r="AN269" s="22"/>
      <c r="AO269" s="22"/>
      <c r="AP269" s="22"/>
    </row>
    <row r="270" spans="1:42" ht="15.75" customHeight="1">
      <c r="A270" s="23"/>
      <c r="H270" s="18"/>
      <c r="AB270" s="22"/>
      <c r="AC270" s="22"/>
      <c r="AN270" s="22"/>
      <c r="AO270" s="22"/>
      <c r="AP270" s="22"/>
    </row>
    <row r="271" spans="1:42" ht="15.75" customHeight="1">
      <c r="A271" s="23"/>
      <c r="H271" s="18"/>
      <c r="AB271" s="22"/>
      <c r="AC271" s="22"/>
      <c r="AN271" s="22"/>
      <c r="AO271" s="22"/>
      <c r="AP271" s="22"/>
    </row>
    <row r="272" spans="1:42" ht="15.75" customHeight="1">
      <c r="A272" s="23"/>
      <c r="H272" s="18"/>
      <c r="AB272" s="22"/>
      <c r="AC272" s="22"/>
      <c r="AN272" s="22"/>
      <c r="AO272" s="22"/>
      <c r="AP272" s="22"/>
    </row>
    <row r="273" spans="1:42" ht="15.75" customHeight="1">
      <c r="A273" s="23"/>
      <c r="H273" s="18"/>
      <c r="AB273" s="22"/>
      <c r="AC273" s="22"/>
      <c r="AN273" s="22"/>
      <c r="AO273" s="22"/>
      <c r="AP273" s="22"/>
    </row>
    <row r="274" spans="1:42" ht="15.75" customHeight="1">
      <c r="A274" s="23"/>
      <c r="H274" s="18"/>
      <c r="AB274" s="22"/>
      <c r="AC274" s="22"/>
      <c r="AN274" s="22"/>
      <c r="AO274" s="22"/>
      <c r="AP274" s="22"/>
    </row>
    <row r="275" spans="1:42" ht="15.75" customHeight="1">
      <c r="A275" s="23"/>
      <c r="H275" s="18"/>
      <c r="AB275" s="22"/>
      <c r="AC275" s="22"/>
      <c r="AN275" s="22"/>
      <c r="AO275" s="22"/>
      <c r="AP275" s="22"/>
    </row>
    <row r="276" spans="1:42" ht="15.75" customHeight="1">
      <c r="A276" s="23"/>
      <c r="H276" s="18"/>
      <c r="AB276" s="22"/>
      <c r="AC276" s="22"/>
      <c r="AN276" s="22"/>
      <c r="AO276" s="22"/>
      <c r="AP276" s="22"/>
    </row>
    <row r="277" spans="1:42" ht="15.75" customHeight="1">
      <c r="A277" s="23"/>
      <c r="H277" s="18"/>
      <c r="AB277" s="22"/>
      <c r="AC277" s="22"/>
      <c r="AN277" s="22"/>
      <c r="AO277" s="22"/>
      <c r="AP277" s="22"/>
    </row>
    <row r="278" spans="1:42" ht="15.75" customHeight="1">
      <c r="A278" s="23"/>
      <c r="H278" s="18"/>
      <c r="AB278" s="22"/>
      <c r="AC278" s="22"/>
      <c r="AN278" s="22"/>
      <c r="AO278" s="22"/>
      <c r="AP278" s="22"/>
    </row>
    <row r="279" spans="1:42" ht="15.75" customHeight="1">
      <c r="A279" s="23"/>
      <c r="H279" s="18"/>
      <c r="AB279" s="22"/>
      <c r="AC279" s="22"/>
      <c r="AN279" s="22"/>
      <c r="AO279" s="22"/>
      <c r="AP279" s="22"/>
    </row>
    <row r="280" spans="1:42" ht="15.75" customHeight="1">
      <c r="A280" s="23"/>
      <c r="H280" s="18"/>
      <c r="AB280" s="22"/>
      <c r="AC280" s="22"/>
      <c r="AN280" s="22"/>
      <c r="AO280" s="22"/>
      <c r="AP280" s="22"/>
    </row>
    <row r="281" spans="1:42" ht="15.75" customHeight="1">
      <c r="A281" s="23"/>
      <c r="H281" s="18"/>
      <c r="AB281" s="22"/>
      <c r="AC281" s="22"/>
      <c r="AN281" s="22"/>
      <c r="AO281" s="22"/>
      <c r="AP281" s="22"/>
    </row>
    <row r="282" spans="1:42" ht="15.75" customHeight="1">
      <c r="A282" s="23"/>
      <c r="H282" s="18"/>
      <c r="AB282" s="22"/>
      <c r="AC282" s="22"/>
      <c r="AN282" s="22"/>
      <c r="AO282" s="22"/>
      <c r="AP282" s="22"/>
    </row>
    <row r="283" spans="1:42" ht="15.75" customHeight="1">
      <c r="A283" s="23"/>
      <c r="H283" s="18"/>
      <c r="AB283" s="22"/>
      <c r="AC283" s="22"/>
      <c r="AN283" s="22"/>
      <c r="AO283" s="22"/>
      <c r="AP283" s="22"/>
    </row>
    <row r="284" spans="1:42" ht="15.75" customHeight="1">
      <c r="A284" s="23"/>
      <c r="H284" s="18"/>
      <c r="AB284" s="22"/>
      <c r="AC284" s="22"/>
      <c r="AN284" s="22"/>
      <c r="AO284" s="22"/>
      <c r="AP284" s="22"/>
    </row>
    <row r="285" spans="1:42" ht="15.75" customHeight="1">
      <c r="A285" s="23"/>
      <c r="H285" s="18"/>
      <c r="AB285" s="22"/>
      <c r="AC285" s="22"/>
      <c r="AN285" s="22"/>
      <c r="AO285" s="22"/>
      <c r="AP285" s="22"/>
    </row>
    <row r="286" spans="1:42" ht="15.75" customHeight="1">
      <c r="A286" s="23"/>
      <c r="H286" s="18"/>
      <c r="AB286" s="22"/>
      <c r="AC286" s="22"/>
      <c r="AN286" s="22"/>
      <c r="AO286" s="22"/>
      <c r="AP286" s="22"/>
    </row>
    <row r="287" spans="1:42" ht="15.75" customHeight="1">
      <c r="A287" s="23"/>
      <c r="H287" s="18"/>
      <c r="AB287" s="22"/>
      <c r="AC287" s="22"/>
      <c r="AN287" s="22"/>
      <c r="AO287" s="22"/>
      <c r="AP287" s="22"/>
    </row>
    <row r="288" spans="1:42" ht="15.75" customHeight="1">
      <c r="A288" s="23"/>
      <c r="H288" s="18"/>
      <c r="AB288" s="22"/>
      <c r="AC288" s="22"/>
      <c r="AN288" s="22"/>
      <c r="AO288" s="22"/>
      <c r="AP288" s="22"/>
    </row>
    <row r="289" spans="1:42" ht="15.75" customHeight="1">
      <c r="A289" s="23"/>
      <c r="H289" s="18"/>
      <c r="AB289" s="22"/>
      <c r="AC289" s="22"/>
      <c r="AN289" s="22"/>
      <c r="AO289" s="22"/>
      <c r="AP289" s="22"/>
    </row>
    <row r="290" spans="1:42" ht="15.75" customHeight="1">
      <c r="A290" s="23"/>
      <c r="H290" s="18"/>
      <c r="AB290" s="22"/>
      <c r="AC290" s="22"/>
      <c r="AN290" s="22"/>
      <c r="AO290" s="22"/>
      <c r="AP290" s="22"/>
    </row>
    <row r="291" spans="1:42" ht="15.75" customHeight="1">
      <c r="A291" s="23"/>
      <c r="H291" s="18"/>
      <c r="AB291" s="22"/>
      <c r="AC291" s="22"/>
      <c r="AN291" s="22"/>
      <c r="AO291" s="22"/>
      <c r="AP291" s="22"/>
    </row>
    <row r="292" spans="1:42" ht="15.75" customHeight="1">
      <c r="A292" s="23"/>
      <c r="H292" s="18"/>
      <c r="AB292" s="22"/>
      <c r="AC292" s="22"/>
      <c r="AN292" s="22"/>
      <c r="AO292" s="22"/>
      <c r="AP292" s="22"/>
    </row>
    <row r="293" spans="1:42" ht="15.75" customHeight="1">
      <c r="A293" s="23"/>
      <c r="H293" s="18"/>
      <c r="AB293" s="22"/>
      <c r="AC293" s="22"/>
      <c r="AN293" s="22"/>
      <c r="AO293" s="22"/>
      <c r="AP293" s="22"/>
    </row>
    <row r="294" spans="1:42" ht="15.75" customHeight="1">
      <c r="A294" s="23"/>
      <c r="H294" s="18"/>
      <c r="AB294" s="22"/>
      <c r="AC294" s="22"/>
      <c r="AN294" s="22"/>
      <c r="AO294" s="22"/>
      <c r="AP294" s="22"/>
    </row>
    <row r="295" spans="1:42" ht="15.75" customHeight="1">
      <c r="A295" s="23"/>
      <c r="H295" s="18"/>
      <c r="AB295" s="22"/>
      <c r="AC295" s="22"/>
      <c r="AN295" s="22"/>
      <c r="AO295" s="22"/>
      <c r="AP295" s="22"/>
    </row>
    <row r="296" spans="1:42" ht="15.75" customHeight="1">
      <c r="A296" s="23"/>
      <c r="H296" s="18"/>
      <c r="AB296" s="22"/>
      <c r="AC296" s="22"/>
      <c r="AN296" s="22"/>
      <c r="AO296" s="22"/>
      <c r="AP296" s="22"/>
    </row>
    <row r="297" spans="1:42" ht="15.75" customHeight="1">
      <c r="A297" s="23"/>
      <c r="H297" s="18"/>
      <c r="AB297" s="22"/>
      <c r="AC297" s="22"/>
      <c r="AN297" s="22"/>
      <c r="AO297" s="22"/>
      <c r="AP297" s="22"/>
    </row>
    <row r="298" spans="1:42" ht="15.75" customHeight="1">
      <c r="A298" s="23"/>
      <c r="H298" s="18"/>
      <c r="AB298" s="22"/>
      <c r="AC298" s="22"/>
      <c r="AN298" s="22"/>
      <c r="AO298" s="22"/>
      <c r="AP298" s="22"/>
    </row>
    <row r="299" spans="1:42" ht="15.75" customHeight="1">
      <c r="A299" s="23"/>
      <c r="H299" s="18"/>
      <c r="AB299" s="22"/>
      <c r="AC299" s="22"/>
      <c r="AN299" s="22"/>
      <c r="AO299" s="22"/>
      <c r="AP299" s="22"/>
    </row>
    <row r="300" spans="1:42" ht="15.75" customHeight="1">
      <c r="A300" s="23"/>
      <c r="H300" s="18"/>
      <c r="AB300" s="22"/>
      <c r="AC300" s="22"/>
      <c r="AN300" s="22"/>
      <c r="AO300" s="22"/>
      <c r="AP300" s="22"/>
    </row>
    <row r="301" spans="1:42" ht="15.75" customHeight="1">
      <c r="A301" s="23"/>
      <c r="H301" s="18"/>
      <c r="AB301" s="22"/>
      <c r="AC301" s="22"/>
      <c r="AN301" s="22"/>
      <c r="AO301" s="22"/>
      <c r="AP301" s="22"/>
    </row>
    <row r="302" spans="1:42" ht="15.75" customHeight="1">
      <c r="A302" s="23"/>
      <c r="H302" s="18"/>
      <c r="AB302" s="22"/>
      <c r="AC302" s="22"/>
      <c r="AN302" s="22"/>
      <c r="AO302" s="22"/>
      <c r="AP302" s="22"/>
    </row>
    <row r="303" spans="1:42" ht="15.75" customHeight="1">
      <c r="A303" s="23"/>
      <c r="H303" s="18"/>
      <c r="AB303" s="22"/>
      <c r="AC303" s="22"/>
      <c r="AN303" s="22"/>
      <c r="AO303" s="22"/>
      <c r="AP303" s="22"/>
    </row>
    <row r="304" spans="1:42" ht="15.75" customHeight="1">
      <c r="A304" s="23"/>
      <c r="H304" s="18"/>
      <c r="AB304" s="22"/>
      <c r="AC304" s="22"/>
      <c r="AN304" s="22"/>
      <c r="AO304" s="22"/>
      <c r="AP304" s="22"/>
    </row>
    <row r="305" spans="1:42" ht="15.75" customHeight="1">
      <c r="A305" s="23"/>
      <c r="H305" s="18"/>
      <c r="AB305" s="22"/>
      <c r="AC305" s="22"/>
      <c r="AN305" s="22"/>
      <c r="AO305" s="22"/>
      <c r="AP305" s="22"/>
    </row>
    <row r="306" spans="1:42" ht="15.75" customHeight="1">
      <c r="A306" s="23"/>
      <c r="H306" s="18"/>
      <c r="AB306" s="22"/>
      <c r="AC306" s="22"/>
      <c r="AN306" s="22"/>
      <c r="AO306" s="22"/>
      <c r="AP306" s="22"/>
    </row>
    <row r="307" spans="1:42" ht="15.75" customHeight="1">
      <c r="A307" s="23"/>
      <c r="H307" s="18"/>
      <c r="AB307" s="22"/>
      <c r="AC307" s="22"/>
      <c r="AN307" s="22"/>
      <c r="AO307" s="22"/>
      <c r="AP307" s="22"/>
    </row>
    <row r="308" spans="1:42" ht="15.75" customHeight="1">
      <c r="A308" s="23"/>
      <c r="H308" s="18"/>
      <c r="AB308" s="22"/>
      <c r="AC308" s="22"/>
      <c r="AN308" s="22"/>
      <c r="AO308" s="22"/>
      <c r="AP308" s="22"/>
    </row>
    <row r="309" spans="1:42" ht="15.75" customHeight="1">
      <c r="A309" s="23"/>
      <c r="H309" s="18"/>
      <c r="AB309" s="22"/>
      <c r="AC309" s="22"/>
      <c r="AN309" s="22"/>
      <c r="AO309" s="22"/>
      <c r="AP309" s="22"/>
    </row>
    <row r="310" spans="1:42" ht="15.75" customHeight="1">
      <c r="A310" s="23"/>
      <c r="H310" s="18"/>
      <c r="AB310" s="22"/>
      <c r="AC310" s="22"/>
      <c r="AN310" s="22"/>
      <c r="AO310" s="22"/>
      <c r="AP310" s="22"/>
    </row>
    <row r="311" spans="1:42" ht="15.75" customHeight="1">
      <c r="A311" s="23"/>
      <c r="H311" s="18"/>
      <c r="AB311" s="22"/>
      <c r="AC311" s="22"/>
      <c r="AN311" s="22"/>
      <c r="AO311" s="22"/>
      <c r="AP311" s="22"/>
    </row>
    <row r="312" spans="1:42" ht="15.75" customHeight="1">
      <c r="A312" s="23"/>
      <c r="H312" s="18"/>
      <c r="AB312" s="22"/>
      <c r="AC312" s="22"/>
      <c r="AN312" s="22"/>
      <c r="AO312" s="22"/>
      <c r="AP312" s="22"/>
    </row>
    <row r="313" spans="1:42" ht="15.75" customHeight="1">
      <c r="A313" s="23"/>
      <c r="H313" s="18"/>
      <c r="AB313" s="22"/>
      <c r="AC313" s="22"/>
      <c r="AN313" s="22"/>
      <c r="AO313" s="22"/>
      <c r="AP313" s="22"/>
    </row>
    <row r="314" spans="1:42" ht="15.75" customHeight="1">
      <c r="A314" s="23"/>
      <c r="H314" s="18"/>
      <c r="AB314" s="22"/>
      <c r="AC314" s="22"/>
      <c r="AN314" s="22"/>
      <c r="AO314" s="22"/>
      <c r="AP314" s="22"/>
    </row>
    <row r="315" spans="1:42" ht="15.75" customHeight="1">
      <c r="A315" s="23"/>
      <c r="H315" s="18"/>
      <c r="AB315" s="22"/>
      <c r="AC315" s="22"/>
      <c r="AN315" s="22"/>
      <c r="AO315" s="22"/>
      <c r="AP315" s="22"/>
    </row>
    <row r="316" spans="1:42" ht="15.75" customHeight="1">
      <c r="A316" s="23"/>
      <c r="H316" s="18"/>
      <c r="AB316" s="22"/>
      <c r="AC316" s="22"/>
      <c r="AN316" s="22"/>
      <c r="AO316" s="22"/>
      <c r="AP316" s="22"/>
    </row>
    <row r="317" spans="1:42" ht="15.75" customHeight="1">
      <c r="A317" s="23"/>
      <c r="H317" s="18"/>
      <c r="AB317" s="22"/>
      <c r="AC317" s="22"/>
      <c r="AN317" s="22"/>
      <c r="AO317" s="22"/>
      <c r="AP317" s="22"/>
    </row>
    <row r="318" spans="1:42" ht="15.75" customHeight="1">
      <c r="A318" s="23"/>
      <c r="H318" s="18"/>
      <c r="AB318" s="22"/>
      <c r="AC318" s="22"/>
      <c r="AN318" s="22"/>
      <c r="AO318" s="22"/>
      <c r="AP318" s="22"/>
    </row>
    <row r="319" spans="1:42" ht="15.75" customHeight="1">
      <c r="A319" s="23"/>
      <c r="H319" s="18"/>
      <c r="AB319" s="22"/>
      <c r="AC319" s="22"/>
      <c r="AN319" s="22"/>
      <c r="AO319" s="22"/>
      <c r="AP319" s="22"/>
    </row>
    <row r="320" spans="1:42" ht="15.75" customHeight="1">
      <c r="A320" s="23"/>
      <c r="H320" s="18"/>
      <c r="AB320" s="22"/>
      <c r="AC320" s="22"/>
      <c r="AN320" s="22"/>
      <c r="AO320" s="22"/>
      <c r="AP320" s="22"/>
    </row>
    <row r="321" spans="1:42" ht="15.75" customHeight="1">
      <c r="A321" s="23"/>
      <c r="H321" s="18"/>
      <c r="AB321" s="22"/>
      <c r="AC321" s="22"/>
      <c r="AN321" s="22"/>
      <c r="AO321" s="22"/>
      <c r="AP321" s="22"/>
    </row>
    <row r="322" spans="1:42" ht="15.75" customHeight="1">
      <c r="A322" s="23"/>
      <c r="H322" s="18"/>
      <c r="AB322" s="22"/>
      <c r="AC322" s="22"/>
      <c r="AN322" s="22"/>
      <c r="AO322" s="22"/>
      <c r="AP322" s="22"/>
    </row>
    <row r="323" spans="1:42" ht="15.75" customHeight="1">
      <c r="A323" s="23"/>
      <c r="H323" s="18"/>
      <c r="AB323" s="22"/>
      <c r="AC323" s="22"/>
      <c r="AN323" s="22"/>
      <c r="AO323" s="22"/>
      <c r="AP323" s="22"/>
    </row>
    <row r="324" spans="1:42" ht="15.75" customHeight="1">
      <c r="A324" s="23"/>
      <c r="H324" s="18"/>
      <c r="AB324" s="22"/>
      <c r="AC324" s="22"/>
      <c r="AN324" s="22"/>
      <c r="AO324" s="22"/>
      <c r="AP324" s="22"/>
    </row>
    <row r="325" spans="1:42" ht="15.75" customHeight="1">
      <c r="A325" s="23"/>
      <c r="H325" s="18"/>
      <c r="AB325" s="22"/>
      <c r="AC325" s="22"/>
      <c r="AN325" s="22"/>
      <c r="AO325" s="22"/>
      <c r="AP325" s="22"/>
    </row>
    <row r="326" spans="1:42" ht="15.75" customHeight="1">
      <c r="A326" s="23"/>
      <c r="H326" s="18"/>
      <c r="AB326" s="22"/>
      <c r="AC326" s="22"/>
      <c r="AN326" s="22"/>
      <c r="AO326" s="22"/>
      <c r="AP326" s="22"/>
    </row>
    <row r="327" spans="1:42" ht="15.75" customHeight="1">
      <c r="A327" s="23"/>
      <c r="H327" s="18"/>
      <c r="AB327" s="22"/>
      <c r="AC327" s="22"/>
      <c r="AN327" s="22"/>
      <c r="AO327" s="22"/>
      <c r="AP327" s="22"/>
    </row>
    <row r="328" spans="1:42" ht="15.75" customHeight="1">
      <c r="A328" s="23"/>
      <c r="H328" s="18"/>
      <c r="AB328" s="22"/>
      <c r="AC328" s="22"/>
      <c r="AN328" s="22"/>
      <c r="AO328" s="22"/>
      <c r="AP328" s="22"/>
    </row>
    <row r="329" spans="1:42" ht="15.75" customHeight="1">
      <c r="A329" s="23"/>
      <c r="H329" s="18"/>
      <c r="AB329" s="22"/>
      <c r="AC329" s="22"/>
      <c r="AN329" s="22"/>
      <c r="AO329" s="22"/>
      <c r="AP329" s="22"/>
    </row>
    <row r="330" spans="1:42" ht="15.75" customHeight="1">
      <c r="A330" s="23"/>
      <c r="H330" s="18"/>
      <c r="AB330" s="22"/>
      <c r="AC330" s="22"/>
      <c r="AN330" s="22"/>
      <c r="AO330" s="22"/>
      <c r="AP330" s="22"/>
    </row>
    <row r="331" spans="1:42" ht="15.75" customHeight="1">
      <c r="A331" s="23"/>
      <c r="H331" s="18"/>
      <c r="AB331" s="22"/>
      <c r="AC331" s="22"/>
      <c r="AN331" s="22"/>
      <c r="AO331" s="22"/>
      <c r="AP331" s="22"/>
    </row>
    <row r="332" spans="1:42" ht="15.75" customHeight="1">
      <c r="A332" s="23"/>
      <c r="H332" s="18"/>
      <c r="AB332" s="22"/>
      <c r="AC332" s="22"/>
      <c r="AN332" s="22"/>
      <c r="AO332" s="22"/>
      <c r="AP332" s="22"/>
    </row>
    <row r="333" spans="1:42" ht="15.75" customHeight="1">
      <c r="A333" s="23"/>
      <c r="H333" s="18"/>
      <c r="AB333" s="22"/>
      <c r="AC333" s="22"/>
      <c r="AN333" s="22"/>
      <c r="AO333" s="22"/>
      <c r="AP333" s="22"/>
    </row>
    <row r="334" spans="1:42" ht="15.75" customHeight="1">
      <c r="A334" s="23"/>
      <c r="H334" s="18"/>
      <c r="AB334" s="22"/>
      <c r="AC334" s="22"/>
      <c r="AN334" s="22"/>
      <c r="AO334" s="22"/>
      <c r="AP334" s="22"/>
    </row>
    <row r="335" spans="1:42" ht="15.75" customHeight="1">
      <c r="A335" s="23"/>
      <c r="H335" s="18"/>
      <c r="AB335" s="22"/>
      <c r="AC335" s="22"/>
      <c r="AN335" s="22"/>
      <c r="AO335" s="22"/>
      <c r="AP335" s="22"/>
    </row>
    <row r="336" spans="1:42" ht="15.75" customHeight="1">
      <c r="A336" s="23"/>
      <c r="H336" s="18"/>
      <c r="AB336" s="22"/>
      <c r="AC336" s="22"/>
      <c r="AN336" s="22"/>
      <c r="AO336" s="22"/>
      <c r="AP336" s="22"/>
    </row>
    <row r="337" spans="1:42" ht="15.75" customHeight="1">
      <c r="A337" s="23"/>
      <c r="H337" s="18"/>
      <c r="AB337" s="22"/>
      <c r="AC337" s="22"/>
      <c r="AN337" s="22"/>
      <c r="AO337" s="22"/>
      <c r="AP337" s="22"/>
    </row>
    <row r="338" spans="1:42" ht="15.75" customHeight="1">
      <c r="A338" s="23"/>
      <c r="H338" s="18"/>
      <c r="AB338" s="22"/>
      <c r="AC338" s="22"/>
      <c r="AN338" s="22"/>
      <c r="AO338" s="22"/>
      <c r="AP338" s="22"/>
    </row>
    <row r="339" spans="1:42" ht="15.75" customHeight="1">
      <c r="A339" s="23"/>
      <c r="H339" s="18"/>
      <c r="AB339" s="22"/>
      <c r="AC339" s="22"/>
      <c r="AN339" s="22"/>
      <c r="AO339" s="22"/>
      <c r="AP339" s="22"/>
    </row>
    <row r="340" spans="1:42" ht="15.75" customHeight="1">
      <c r="A340" s="23"/>
      <c r="H340" s="18"/>
      <c r="AB340" s="22"/>
      <c r="AC340" s="22"/>
      <c r="AN340" s="22"/>
      <c r="AO340" s="22"/>
      <c r="AP340" s="22"/>
    </row>
    <row r="341" spans="1:42" ht="15.75" customHeight="1">
      <c r="A341" s="23"/>
      <c r="H341" s="18"/>
      <c r="AB341" s="22"/>
      <c r="AC341" s="22"/>
      <c r="AN341" s="22"/>
      <c r="AO341" s="22"/>
      <c r="AP341" s="22"/>
    </row>
    <row r="342" spans="1:42" ht="15.75" customHeight="1">
      <c r="A342" s="23"/>
      <c r="H342" s="18"/>
      <c r="AB342" s="22"/>
      <c r="AC342" s="22"/>
      <c r="AN342" s="22"/>
      <c r="AO342" s="22"/>
      <c r="AP342" s="22"/>
    </row>
    <row r="343" spans="1:42" ht="15.75" customHeight="1">
      <c r="A343" s="23"/>
      <c r="H343" s="18"/>
      <c r="AB343" s="22"/>
      <c r="AC343" s="22"/>
      <c r="AN343" s="22"/>
      <c r="AO343" s="22"/>
      <c r="AP343" s="22"/>
    </row>
    <row r="344" spans="1:42" ht="15.75" customHeight="1">
      <c r="A344" s="23"/>
      <c r="H344" s="18"/>
      <c r="AB344" s="22"/>
      <c r="AC344" s="22"/>
      <c r="AN344" s="22"/>
      <c r="AO344" s="22"/>
      <c r="AP344" s="22"/>
    </row>
    <row r="345" spans="1:42" ht="15.75" customHeight="1">
      <c r="A345" s="23"/>
      <c r="H345" s="18"/>
      <c r="AB345" s="22"/>
      <c r="AC345" s="22"/>
      <c r="AN345" s="22"/>
      <c r="AO345" s="22"/>
      <c r="AP345" s="22"/>
    </row>
    <row r="346" spans="1:42" ht="15.75" customHeight="1">
      <c r="A346" s="23"/>
      <c r="H346" s="18"/>
      <c r="AB346" s="22"/>
      <c r="AC346" s="22"/>
      <c r="AN346" s="22"/>
      <c r="AO346" s="22"/>
      <c r="AP346" s="22"/>
    </row>
    <row r="347" spans="1:42" ht="15.75" customHeight="1">
      <c r="A347" s="23"/>
      <c r="H347" s="18"/>
      <c r="AB347" s="22"/>
      <c r="AC347" s="22"/>
      <c r="AN347" s="22"/>
      <c r="AO347" s="22"/>
      <c r="AP347" s="22"/>
    </row>
    <row r="348" spans="1:42" ht="15.75" customHeight="1">
      <c r="A348" s="23"/>
      <c r="H348" s="18"/>
      <c r="AB348" s="22"/>
      <c r="AC348" s="22"/>
      <c r="AN348" s="22"/>
      <c r="AO348" s="22"/>
      <c r="AP348" s="22"/>
    </row>
    <row r="349" spans="1:42" ht="15.75" customHeight="1">
      <c r="A349" s="23"/>
      <c r="H349" s="18"/>
      <c r="AB349" s="22"/>
      <c r="AC349" s="22"/>
      <c r="AN349" s="22"/>
      <c r="AO349" s="22"/>
      <c r="AP349" s="22"/>
    </row>
    <row r="350" spans="1:42" ht="15.75" customHeight="1">
      <c r="A350" s="23"/>
      <c r="H350" s="18"/>
      <c r="AB350" s="22"/>
      <c r="AC350" s="22"/>
      <c r="AN350" s="22"/>
      <c r="AO350" s="22"/>
      <c r="AP350" s="22"/>
    </row>
    <row r="351" spans="1:42" ht="15.75" customHeight="1">
      <c r="A351" s="23"/>
      <c r="H351" s="18"/>
      <c r="AB351" s="22"/>
      <c r="AC351" s="22"/>
      <c r="AN351" s="22"/>
      <c r="AO351" s="22"/>
      <c r="AP351" s="22"/>
    </row>
    <row r="352" spans="1:42" ht="15.75" customHeight="1">
      <c r="A352" s="23"/>
      <c r="H352" s="18"/>
      <c r="AB352" s="22"/>
      <c r="AC352" s="22"/>
      <c r="AN352" s="22"/>
      <c r="AO352" s="22"/>
      <c r="AP352" s="22"/>
    </row>
    <row r="353" spans="1:42" ht="15.75" customHeight="1">
      <c r="A353" s="23"/>
      <c r="H353" s="18"/>
      <c r="AB353" s="22"/>
      <c r="AC353" s="22"/>
      <c r="AN353" s="22"/>
      <c r="AO353" s="22"/>
      <c r="AP353" s="22"/>
    </row>
    <row r="354" spans="1:42" ht="15.75" customHeight="1">
      <c r="A354" s="23"/>
      <c r="H354" s="18"/>
      <c r="AB354" s="22"/>
      <c r="AC354" s="22"/>
      <c r="AN354" s="22"/>
      <c r="AO354" s="22"/>
      <c r="AP354" s="22"/>
    </row>
    <row r="355" spans="1:42" ht="15.75" customHeight="1">
      <c r="A355" s="23"/>
      <c r="H355" s="18"/>
      <c r="AB355" s="22"/>
      <c r="AC355" s="22"/>
      <c r="AN355" s="22"/>
      <c r="AO355" s="22"/>
      <c r="AP355" s="22"/>
    </row>
    <row r="356" spans="1:42" ht="15.75" customHeight="1">
      <c r="A356" s="23"/>
      <c r="H356" s="18"/>
      <c r="AB356" s="22"/>
      <c r="AC356" s="22"/>
      <c r="AN356" s="22"/>
      <c r="AO356" s="22"/>
      <c r="AP356" s="22"/>
    </row>
    <row r="357" spans="1:42" ht="15.75" customHeight="1">
      <c r="A357" s="23"/>
      <c r="H357" s="18"/>
      <c r="AB357" s="22"/>
      <c r="AC357" s="22"/>
      <c r="AN357" s="22"/>
      <c r="AO357" s="22"/>
      <c r="AP357" s="22"/>
    </row>
    <row r="358" spans="1:42" ht="15.75" customHeight="1">
      <c r="A358" s="23"/>
      <c r="H358" s="18"/>
      <c r="AB358" s="22"/>
      <c r="AC358" s="22"/>
      <c r="AN358" s="22"/>
      <c r="AO358" s="22"/>
      <c r="AP358" s="22"/>
    </row>
    <row r="359" spans="1:42" ht="15.75" customHeight="1">
      <c r="A359" s="23"/>
      <c r="H359" s="18"/>
      <c r="AB359" s="22"/>
      <c r="AC359" s="22"/>
      <c r="AN359" s="22"/>
      <c r="AO359" s="22"/>
      <c r="AP359" s="22"/>
    </row>
    <row r="360" spans="1:42" ht="15.75" customHeight="1">
      <c r="A360" s="23"/>
      <c r="H360" s="18"/>
      <c r="AB360" s="22"/>
      <c r="AC360" s="22"/>
      <c r="AN360" s="22"/>
      <c r="AO360" s="22"/>
      <c r="AP360" s="22"/>
    </row>
    <row r="361" spans="1:42" ht="15.75" customHeight="1">
      <c r="A361" s="23"/>
      <c r="H361" s="18"/>
      <c r="AB361" s="22"/>
      <c r="AC361" s="22"/>
      <c r="AN361" s="22"/>
      <c r="AO361" s="22"/>
      <c r="AP361" s="22"/>
    </row>
    <row r="362" spans="1:42" ht="15.75" customHeight="1">
      <c r="A362" s="23"/>
      <c r="H362" s="18"/>
      <c r="AB362" s="22"/>
      <c r="AC362" s="22"/>
      <c r="AN362" s="22"/>
      <c r="AO362" s="22"/>
      <c r="AP362" s="22"/>
    </row>
    <row r="363" spans="1:42" ht="15.75" customHeight="1">
      <c r="A363" s="23"/>
      <c r="H363" s="18"/>
      <c r="AB363" s="22"/>
      <c r="AC363" s="22"/>
      <c r="AN363" s="22"/>
      <c r="AO363" s="22"/>
      <c r="AP363" s="22"/>
    </row>
    <row r="364" spans="1:42" ht="15.75" customHeight="1">
      <c r="A364" s="23"/>
      <c r="H364" s="18"/>
      <c r="AB364" s="22"/>
      <c r="AC364" s="22"/>
      <c r="AN364" s="22"/>
      <c r="AO364" s="22"/>
      <c r="AP364" s="22"/>
    </row>
    <row r="365" spans="1:42" ht="15.75" customHeight="1">
      <c r="A365" s="23"/>
      <c r="H365" s="18"/>
      <c r="AB365" s="22"/>
      <c r="AC365" s="22"/>
      <c r="AN365" s="22"/>
      <c r="AO365" s="22"/>
      <c r="AP365" s="22"/>
    </row>
    <row r="366" spans="1:42" ht="15.75" customHeight="1">
      <c r="A366" s="23"/>
      <c r="H366" s="18"/>
      <c r="AB366" s="22"/>
      <c r="AC366" s="22"/>
      <c r="AN366" s="22"/>
      <c r="AO366" s="22"/>
      <c r="AP366" s="22"/>
    </row>
    <row r="367" spans="1:42" ht="15.75" customHeight="1">
      <c r="A367" s="23"/>
      <c r="H367" s="18"/>
      <c r="AB367" s="22"/>
      <c r="AC367" s="22"/>
      <c r="AN367" s="22"/>
      <c r="AO367" s="22"/>
      <c r="AP367" s="22"/>
    </row>
    <row r="368" spans="1:42" ht="15.75" customHeight="1">
      <c r="A368" s="23"/>
      <c r="H368" s="18"/>
      <c r="AB368" s="22"/>
      <c r="AC368" s="22"/>
      <c r="AN368" s="22"/>
      <c r="AO368" s="22"/>
      <c r="AP368" s="22"/>
    </row>
    <row r="369" spans="1:42" ht="15.75" customHeight="1">
      <c r="A369" s="23"/>
      <c r="H369" s="18"/>
      <c r="AB369" s="22"/>
      <c r="AC369" s="22"/>
      <c r="AN369" s="22"/>
      <c r="AO369" s="22"/>
      <c r="AP369" s="22"/>
    </row>
    <row r="370" spans="1:42" ht="15.75" customHeight="1">
      <c r="A370" s="23"/>
      <c r="H370" s="18"/>
      <c r="AB370" s="22"/>
      <c r="AC370" s="22"/>
      <c r="AN370" s="22"/>
      <c r="AO370" s="22"/>
      <c r="AP370" s="22"/>
    </row>
    <row r="371" spans="1:42" ht="15.75" customHeight="1">
      <c r="A371" s="23"/>
      <c r="H371" s="18"/>
      <c r="AB371" s="22"/>
      <c r="AC371" s="22"/>
      <c r="AN371" s="22"/>
      <c r="AO371" s="22"/>
      <c r="AP371" s="22"/>
    </row>
    <row r="372" spans="1:42" ht="15.75" customHeight="1">
      <c r="A372" s="23"/>
      <c r="H372" s="18"/>
      <c r="AB372" s="22"/>
      <c r="AC372" s="22"/>
      <c r="AN372" s="22"/>
      <c r="AO372" s="22"/>
      <c r="AP372" s="22"/>
    </row>
    <row r="373" spans="1:42" ht="15.75" customHeight="1">
      <c r="A373" s="23"/>
      <c r="H373" s="18"/>
      <c r="AB373" s="22"/>
      <c r="AC373" s="22"/>
      <c r="AN373" s="22"/>
      <c r="AO373" s="22"/>
      <c r="AP373" s="22"/>
    </row>
    <row r="374" spans="1:42" ht="15.75" customHeight="1">
      <c r="A374" s="23"/>
      <c r="H374" s="18"/>
      <c r="AB374" s="22"/>
      <c r="AC374" s="22"/>
      <c r="AN374" s="22"/>
      <c r="AO374" s="22"/>
      <c r="AP374" s="22"/>
    </row>
    <row r="375" spans="1:42" ht="15.75" customHeight="1">
      <c r="A375" s="23"/>
      <c r="H375" s="18"/>
      <c r="AB375" s="22"/>
      <c r="AC375" s="22"/>
      <c r="AN375" s="22"/>
      <c r="AO375" s="22"/>
      <c r="AP375" s="22"/>
    </row>
    <row r="376" spans="1:42" ht="15.75" customHeight="1">
      <c r="A376" s="23"/>
      <c r="H376" s="18"/>
      <c r="AB376" s="22"/>
      <c r="AC376" s="22"/>
      <c r="AN376" s="22"/>
      <c r="AO376" s="22"/>
      <c r="AP376" s="22"/>
    </row>
    <row r="377" spans="1:42" ht="15.75" customHeight="1">
      <c r="A377" s="23"/>
      <c r="H377" s="18"/>
      <c r="AB377" s="22"/>
      <c r="AC377" s="22"/>
      <c r="AN377" s="22"/>
      <c r="AO377" s="22"/>
      <c r="AP377" s="22"/>
    </row>
    <row r="378" spans="1:42" ht="15.75" customHeight="1">
      <c r="A378" s="23"/>
      <c r="H378" s="18"/>
      <c r="AB378" s="22"/>
      <c r="AC378" s="22"/>
      <c r="AN378" s="22"/>
      <c r="AO378" s="22"/>
      <c r="AP378" s="22"/>
    </row>
    <row r="379" spans="1:42" ht="15.75" customHeight="1">
      <c r="A379" s="23"/>
      <c r="H379" s="18"/>
      <c r="AB379" s="22"/>
      <c r="AC379" s="22"/>
      <c r="AN379" s="22"/>
      <c r="AO379" s="22"/>
      <c r="AP379" s="22"/>
    </row>
    <row r="380" spans="1:42" ht="15.75" customHeight="1">
      <c r="A380" s="23"/>
      <c r="H380" s="18"/>
      <c r="AB380" s="22"/>
      <c r="AC380" s="22"/>
      <c r="AN380" s="22"/>
      <c r="AO380" s="22"/>
      <c r="AP380" s="22"/>
    </row>
    <row r="381" spans="1:42" ht="15.75" customHeight="1">
      <c r="A381" s="23"/>
      <c r="H381" s="18"/>
      <c r="AB381" s="22"/>
      <c r="AC381" s="22"/>
      <c r="AN381" s="22"/>
      <c r="AO381" s="22"/>
      <c r="AP381" s="22"/>
    </row>
    <row r="382" spans="1:42" ht="15.75" customHeight="1">
      <c r="A382" s="23"/>
      <c r="H382" s="18"/>
      <c r="AB382" s="22"/>
      <c r="AC382" s="22"/>
      <c r="AN382" s="22"/>
      <c r="AO382" s="22"/>
      <c r="AP382" s="22"/>
    </row>
    <row r="383" spans="1:42" ht="15.75" customHeight="1">
      <c r="A383" s="23"/>
      <c r="H383" s="18"/>
      <c r="AB383" s="22"/>
      <c r="AC383" s="22"/>
      <c r="AN383" s="22"/>
      <c r="AO383" s="22"/>
      <c r="AP383" s="22"/>
    </row>
    <row r="384" spans="1:42" ht="15.75" customHeight="1">
      <c r="A384" s="23"/>
      <c r="H384" s="18"/>
      <c r="AB384" s="22"/>
      <c r="AC384" s="22"/>
      <c r="AN384" s="22"/>
      <c r="AO384" s="22"/>
      <c r="AP384" s="22"/>
    </row>
    <row r="385" spans="1:42" ht="15.75" customHeight="1">
      <c r="A385" s="23"/>
      <c r="H385" s="18"/>
      <c r="AB385" s="22"/>
      <c r="AC385" s="22"/>
      <c r="AN385" s="22"/>
      <c r="AO385" s="22"/>
      <c r="AP385" s="22"/>
    </row>
    <row r="386" spans="1:42" ht="15.75" customHeight="1">
      <c r="A386" s="23"/>
      <c r="H386" s="18"/>
      <c r="AB386" s="22"/>
      <c r="AC386" s="22"/>
      <c r="AN386" s="22"/>
      <c r="AO386" s="22"/>
      <c r="AP386" s="22"/>
    </row>
    <row r="387" spans="1:42" ht="15.75" customHeight="1">
      <c r="A387" s="23"/>
      <c r="H387" s="18"/>
      <c r="AB387" s="22"/>
      <c r="AC387" s="22"/>
      <c r="AN387" s="22"/>
      <c r="AO387" s="22"/>
      <c r="AP387" s="22"/>
    </row>
    <row r="388" spans="1:42" ht="15.75" customHeight="1">
      <c r="A388" s="23"/>
      <c r="H388" s="18"/>
      <c r="AB388" s="22"/>
      <c r="AC388" s="22"/>
      <c r="AN388" s="22"/>
      <c r="AO388" s="22"/>
      <c r="AP388" s="22"/>
    </row>
    <row r="389" spans="1:42" ht="15.75" customHeight="1">
      <c r="A389" s="23"/>
      <c r="H389" s="18"/>
      <c r="AB389" s="22"/>
      <c r="AC389" s="22"/>
      <c r="AN389" s="22"/>
      <c r="AO389" s="22"/>
      <c r="AP389" s="22"/>
    </row>
    <row r="390" spans="1:42" ht="15.75" customHeight="1">
      <c r="A390" s="23"/>
      <c r="H390" s="18"/>
      <c r="AB390" s="22"/>
      <c r="AC390" s="22"/>
      <c r="AN390" s="22"/>
      <c r="AO390" s="22"/>
      <c r="AP390" s="22"/>
    </row>
    <row r="391" spans="1:42" ht="15.75" customHeight="1">
      <c r="A391" s="23"/>
      <c r="H391" s="18"/>
      <c r="AB391" s="22"/>
      <c r="AC391" s="22"/>
      <c r="AN391" s="22"/>
      <c r="AO391" s="22"/>
      <c r="AP391" s="22"/>
    </row>
    <row r="392" spans="1:42" ht="15.75" customHeight="1">
      <c r="A392" s="23"/>
      <c r="H392" s="18"/>
      <c r="AB392" s="22"/>
      <c r="AC392" s="22"/>
      <c r="AN392" s="22"/>
      <c r="AO392" s="22"/>
      <c r="AP392" s="22"/>
    </row>
    <row r="393" spans="1:42" ht="15.75" customHeight="1">
      <c r="A393" s="23"/>
      <c r="H393" s="18"/>
      <c r="AB393" s="22"/>
      <c r="AC393" s="22"/>
      <c r="AN393" s="22"/>
      <c r="AO393" s="22"/>
      <c r="AP393" s="22"/>
    </row>
    <row r="394" spans="1:42" ht="15.75" customHeight="1">
      <c r="A394" s="23"/>
      <c r="H394" s="18"/>
      <c r="AB394" s="22"/>
      <c r="AC394" s="22"/>
      <c r="AN394" s="22"/>
      <c r="AO394" s="22"/>
      <c r="AP394" s="22"/>
    </row>
    <row r="395" spans="1:42" ht="15.75" customHeight="1">
      <c r="A395" s="23"/>
      <c r="H395" s="18"/>
      <c r="AB395" s="22"/>
      <c r="AC395" s="22"/>
      <c r="AN395" s="22"/>
      <c r="AO395" s="22"/>
      <c r="AP395" s="22"/>
    </row>
    <row r="396" spans="1:42" ht="15.75" customHeight="1">
      <c r="A396" s="23"/>
      <c r="H396" s="18"/>
      <c r="AB396" s="22"/>
      <c r="AC396" s="22"/>
      <c r="AN396" s="22"/>
      <c r="AO396" s="22"/>
      <c r="AP396" s="22"/>
    </row>
    <row r="397" spans="1:42" ht="15.75" customHeight="1">
      <c r="A397" s="23"/>
      <c r="H397" s="18"/>
      <c r="AB397" s="22"/>
      <c r="AC397" s="22"/>
      <c r="AN397" s="22"/>
      <c r="AO397" s="22"/>
      <c r="AP397" s="22"/>
    </row>
    <row r="398" spans="1:42" ht="15.75" customHeight="1">
      <c r="A398" s="23"/>
      <c r="H398" s="18"/>
      <c r="AB398" s="22"/>
      <c r="AC398" s="22"/>
      <c r="AN398" s="22"/>
      <c r="AO398" s="22"/>
      <c r="AP398" s="22"/>
    </row>
    <row r="399" spans="1:42" ht="15.75" customHeight="1">
      <c r="A399" s="23"/>
      <c r="H399" s="18"/>
      <c r="AB399" s="22"/>
      <c r="AC399" s="22"/>
      <c r="AN399" s="22"/>
      <c r="AO399" s="22"/>
      <c r="AP399" s="22"/>
    </row>
    <row r="400" spans="1:42" ht="15.75" customHeight="1">
      <c r="A400" s="23"/>
      <c r="H400" s="18"/>
      <c r="AB400" s="22"/>
      <c r="AC400" s="22"/>
      <c r="AN400" s="22"/>
      <c r="AO400" s="22"/>
      <c r="AP400" s="22"/>
    </row>
    <row r="401" spans="1:42" ht="15.75" customHeight="1">
      <c r="A401" s="23"/>
      <c r="H401" s="18"/>
      <c r="AB401" s="22"/>
      <c r="AC401" s="22"/>
      <c r="AN401" s="22"/>
      <c r="AO401" s="22"/>
      <c r="AP401" s="22"/>
    </row>
    <row r="402" spans="1:42" ht="15.75" customHeight="1">
      <c r="A402" s="23"/>
      <c r="H402" s="18"/>
      <c r="AB402" s="22"/>
      <c r="AC402" s="22"/>
      <c r="AN402" s="22"/>
      <c r="AO402" s="22"/>
      <c r="AP402" s="22"/>
    </row>
    <row r="403" spans="1:42" ht="15.75" customHeight="1">
      <c r="A403" s="23"/>
      <c r="H403" s="18"/>
      <c r="AB403" s="22"/>
      <c r="AC403" s="22"/>
      <c r="AN403" s="22"/>
      <c r="AO403" s="22"/>
      <c r="AP403" s="22"/>
    </row>
    <row r="404" spans="1:42" ht="15.75" customHeight="1">
      <c r="A404" s="23"/>
      <c r="H404" s="18"/>
      <c r="AB404" s="22"/>
      <c r="AC404" s="22"/>
      <c r="AN404" s="22"/>
      <c r="AO404" s="22"/>
      <c r="AP404" s="22"/>
    </row>
    <row r="405" spans="1:42" ht="15.75" customHeight="1">
      <c r="A405" s="23"/>
      <c r="H405" s="18"/>
      <c r="AB405" s="22"/>
      <c r="AC405" s="22"/>
      <c r="AN405" s="22"/>
      <c r="AO405" s="22"/>
      <c r="AP405" s="22"/>
    </row>
    <row r="406" spans="1:42" ht="15.75" customHeight="1">
      <c r="A406" s="23"/>
      <c r="H406" s="18"/>
      <c r="AB406" s="22"/>
      <c r="AC406" s="22"/>
      <c r="AN406" s="22"/>
      <c r="AO406" s="22"/>
      <c r="AP406" s="22"/>
    </row>
    <row r="407" spans="1:42" ht="15.75" customHeight="1">
      <c r="A407" s="23"/>
      <c r="H407" s="18"/>
      <c r="AB407" s="22"/>
      <c r="AC407" s="22"/>
      <c r="AN407" s="22"/>
      <c r="AO407" s="22"/>
      <c r="AP407" s="22"/>
    </row>
    <row r="408" spans="1:42" ht="15.75" customHeight="1">
      <c r="A408" s="23"/>
      <c r="H408" s="18"/>
      <c r="AB408" s="22"/>
      <c r="AC408" s="22"/>
      <c r="AN408" s="22"/>
      <c r="AO408" s="22"/>
      <c r="AP408" s="22"/>
    </row>
    <row r="409" spans="1:42" ht="15.75" customHeight="1">
      <c r="A409" s="23"/>
      <c r="H409" s="18"/>
      <c r="AB409" s="22"/>
      <c r="AC409" s="22"/>
      <c r="AN409" s="22"/>
      <c r="AO409" s="22"/>
      <c r="AP409" s="22"/>
    </row>
    <row r="410" spans="1:42" ht="15.75" customHeight="1">
      <c r="A410" s="23"/>
      <c r="H410" s="18"/>
      <c r="AB410" s="22"/>
      <c r="AC410" s="22"/>
      <c r="AN410" s="22"/>
      <c r="AO410" s="22"/>
      <c r="AP410" s="22"/>
    </row>
    <row r="411" spans="1:42" ht="15.75" customHeight="1">
      <c r="A411" s="23"/>
      <c r="H411" s="18"/>
      <c r="AB411" s="22"/>
      <c r="AC411" s="22"/>
      <c r="AN411" s="22"/>
      <c r="AO411" s="22"/>
      <c r="AP411" s="22"/>
    </row>
    <row r="412" spans="1:42" ht="15.75" customHeight="1">
      <c r="A412" s="23"/>
      <c r="H412" s="18"/>
      <c r="AB412" s="22"/>
      <c r="AC412" s="22"/>
      <c r="AN412" s="22"/>
      <c r="AO412" s="22"/>
      <c r="AP412" s="22"/>
    </row>
    <row r="413" spans="1:42" ht="15.75" customHeight="1">
      <c r="A413" s="23"/>
      <c r="H413" s="18"/>
      <c r="AB413" s="22"/>
      <c r="AC413" s="22"/>
      <c r="AN413" s="22"/>
      <c r="AO413" s="22"/>
      <c r="AP413" s="22"/>
    </row>
    <row r="414" spans="1:42" ht="15.75" customHeight="1">
      <c r="A414" s="23"/>
      <c r="H414" s="18"/>
      <c r="AB414" s="22"/>
      <c r="AC414" s="22"/>
      <c r="AN414" s="22"/>
      <c r="AO414" s="22"/>
      <c r="AP414" s="22"/>
    </row>
    <row r="415" spans="1:42" ht="15.75" customHeight="1">
      <c r="A415" s="23"/>
      <c r="H415" s="18"/>
      <c r="AB415" s="22"/>
      <c r="AC415" s="22"/>
      <c r="AN415" s="22"/>
      <c r="AO415" s="22"/>
      <c r="AP415" s="22"/>
    </row>
    <row r="416" spans="1:42" ht="15.75" customHeight="1">
      <c r="A416" s="23"/>
      <c r="H416" s="18"/>
      <c r="AB416" s="22"/>
      <c r="AC416" s="22"/>
      <c r="AN416" s="22"/>
      <c r="AO416" s="22"/>
      <c r="AP416" s="22"/>
    </row>
    <row r="417" spans="1:42" ht="15.75" customHeight="1">
      <c r="A417" s="23"/>
      <c r="H417" s="18"/>
      <c r="AB417" s="22"/>
      <c r="AC417" s="22"/>
      <c r="AN417" s="22"/>
      <c r="AO417" s="22"/>
      <c r="AP417" s="22"/>
    </row>
    <row r="418" spans="1:42" ht="15.75" customHeight="1">
      <c r="A418" s="23"/>
      <c r="H418" s="18"/>
      <c r="AB418" s="22"/>
      <c r="AC418" s="22"/>
      <c r="AN418" s="22"/>
      <c r="AO418" s="22"/>
      <c r="AP418" s="22"/>
    </row>
    <row r="419" spans="1:42" ht="15.75" customHeight="1">
      <c r="A419" s="23"/>
      <c r="H419" s="18"/>
      <c r="AB419" s="22"/>
      <c r="AC419" s="22"/>
      <c r="AN419" s="22"/>
      <c r="AO419" s="22"/>
      <c r="AP419" s="22"/>
    </row>
    <row r="420" spans="1:42" ht="15.75" customHeight="1">
      <c r="A420" s="23"/>
      <c r="H420" s="18"/>
      <c r="AB420" s="22"/>
      <c r="AC420" s="22"/>
      <c r="AN420" s="22"/>
      <c r="AO420" s="22"/>
      <c r="AP420" s="22"/>
    </row>
    <row r="421" spans="1:42" ht="15.75" customHeight="1">
      <c r="A421" s="23"/>
      <c r="H421" s="18"/>
      <c r="AB421" s="22"/>
      <c r="AC421" s="22"/>
      <c r="AN421" s="22"/>
      <c r="AO421" s="22"/>
      <c r="AP421" s="22"/>
    </row>
    <row r="422" spans="1:42" ht="15.75" customHeight="1">
      <c r="A422" s="23"/>
      <c r="H422" s="18"/>
      <c r="AB422" s="22"/>
      <c r="AC422" s="22"/>
      <c r="AN422" s="22"/>
      <c r="AO422" s="22"/>
      <c r="AP422" s="22"/>
    </row>
    <row r="423" spans="1:42" ht="15.75" customHeight="1">
      <c r="A423" s="23"/>
      <c r="H423" s="18"/>
      <c r="AB423" s="22"/>
      <c r="AC423" s="22"/>
      <c r="AN423" s="22"/>
      <c r="AO423" s="22"/>
      <c r="AP423" s="22"/>
    </row>
    <row r="424" spans="1:42" ht="15.75" customHeight="1">
      <c r="A424" s="23"/>
      <c r="H424" s="18"/>
      <c r="AB424" s="22"/>
      <c r="AC424" s="22"/>
      <c r="AN424" s="22"/>
      <c r="AO424" s="22"/>
      <c r="AP424" s="22"/>
    </row>
    <row r="425" spans="1:42" ht="15.75" customHeight="1">
      <c r="A425" s="23"/>
      <c r="H425" s="18"/>
      <c r="AB425" s="22"/>
      <c r="AC425" s="22"/>
      <c r="AN425" s="22"/>
      <c r="AO425" s="22"/>
      <c r="AP425" s="22"/>
    </row>
    <row r="426" spans="1:42" ht="15.75" customHeight="1">
      <c r="A426" s="23"/>
      <c r="H426" s="18"/>
      <c r="AB426" s="22"/>
      <c r="AC426" s="22"/>
      <c r="AN426" s="22"/>
      <c r="AO426" s="22"/>
      <c r="AP426" s="22"/>
    </row>
    <row r="427" spans="1:42" ht="15.75" customHeight="1">
      <c r="A427" s="23"/>
      <c r="H427" s="18"/>
      <c r="AB427" s="22"/>
      <c r="AC427" s="22"/>
      <c r="AN427" s="22"/>
      <c r="AO427" s="22"/>
      <c r="AP427" s="22"/>
    </row>
    <row r="428" spans="1:42" ht="15.75" customHeight="1">
      <c r="A428" s="23"/>
      <c r="H428" s="18"/>
      <c r="AB428" s="22"/>
      <c r="AC428" s="22"/>
      <c r="AN428" s="22"/>
      <c r="AO428" s="22"/>
      <c r="AP428" s="22"/>
    </row>
    <row r="429" spans="1:42" ht="15.75" customHeight="1">
      <c r="A429" s="23"/>
      <c r="H429" s="18"/>
      <c r="AB429" s="22"/>
      <c r="AC429" s="22"/>
      <c r="AN429" s="22"/>
      <c r="AO429" s="22"/>
      <c r="AP429" s="22"/>
    </row>
    <row r="430" spans="1:42" ht="15.75" customHeight="1">
      <c r="A430" s="23"/>
      <c r="H430" s="18"/>
      <c r="AB430" s="22"/>
      <c r="AC430" s="22"/>
      <c r="AN430" s="22"/>
      <c r="AO430" s="22"/>
      <c r="AP430" s="22"/>
    </row>
    <row r="431" spans="1:42" ht="15.75" customHeight="1">
      <c r="A431" s="23"/>
      <c r="H431" s="18"/>
      <c r="AB431" s="22"/>
      <c r="AC431" s="22"/>
      <c r="AN431" s="22"/>
      <c r="AO431" s="22"/>
      <c r="AP431" s="22"/>
    </row>
    <row r="432" spans="1:42" ht="15.75" customHeight="1">
      <c r="A432" s="23"/>
      <c r="H432" s="18"/>
      <c r="AB432" s="22"/>
      <c r="AC432" s="22"/>
      <c r="AN432" s="22"/>
      <c r="AO432" s="22"/>
      <c r="AP432" s="22"/>
    </row>
    <row r="433" spans="1:42" ht="15.75" customHeight="1">
      <c r="A433" s="23"/>
      <c r="H433" s="18"/>
      <c r="AB433" s="22"/>
      <c r="AC433" s="22"/>
      <c r="AN433" s="22"/>
      <c r="AO433" s="22"/>
      <c r="AP433" s="22"/>
    </row>
    <row r="434" spans="1:42" ht="15.75" customHeight="1">
      <c r="A434" s="23"/>
      <c r="H434" s="18"/>
      <c r="AB434" s="22"/>
      <c r="AC434" s="22"/>
      <c r="AN434" s="22"/>
      <c r="AO434" s="22"/>
      <c r="AP434" s="22"/>
    </row>
    <row r="435" spans="1:42" ht="15.75" customHeight="1">
      <c r="A435" s="23"/>
      <c r="H435" s="18"/>
      <c r="AB435" s="22"/>
      <c r="AC435" s="22"/>
      <c r="AN435" s="22"/>
      <c r="AO435" s="22"/>
      <c r="AP435" s="22"/>
    </row>
    <row r="436" spans="1:42" ht="15.75" customHeight="1">
      <c r="A436" s="23"/>
      <c r="H436" s="18"/>
      <c r="AB436" s="22"/>
      <c r="AC436" s="22"/>
      <c r="AN436" s="22"/>
      <c r="AO436" s="22"/>
      <c r="AP436" s="22"/>
    </row>
    <row r="437" spans="1:42" ht="15.75" customHeight="1">
      <c r="A437" s="23"/>
      <c r="H437" s="18"/>
      <c r="AB437" s="22"/>
      <c r="AC437" s="22"/>
      <c r="AN437" s="22"/>
      <c r="AO437" s="22"/>
      <c r="AP437" s="22"/>
    </row>
    <row r="438" spans="1:42" ht="15.75" customHeight="1">
      <c r="A438" s="23"/>
      <c r="H438" s="18"/>
      <c r="AB438" s="22"/>
      <c r="AC438" s="22"/>
      <c r="AN438" s="22"/>
      <c r="AO438" s="22"/>
      <c r="AP438" s="22"/>
    </row>
    <row r="439" spans="1:42" ht="15.75" customHeight="1">
      <c r="A439" s="23"/>
      <c r="H439" s="18"/>
      <c r="AB439" s="22"/>
      <c r="AC439" s="22"/>
      <c r="AN439" s="22"/>
      <c r="AO439" s="22"/>
      <c r="AP439" s="22"/>
    </row>
    <row r="440" spans="1:42" ht="15.75" customHeight="1">
      <c r="A440" s="23"/>
      <c r="H440" s="18"/>
      <c r="AB440" s="22"/>
      <c r="AC440" s="22"/>
      <c r="AN440" s="22"/>
      <c r="AO440" s="22"/>
      <c r="AP440" s="22"/>
    </row>
    <row r="441" spans="1:42" ht="15.75" customHeight="1">
      <c r="A441" s="23"/>
      <c r="H441" s="18"/>
      <c r="AB441" s="22"/>
      <c r="AC441" s="22"/>
      <c r="AN441" s="22"/>
      <c r="AO441" s="22"/>
      <c r="AP441" s="22"/>
    </row>
    <row r="442" spans="1:42" ht="15.75" customHeight="1">
      <c r="A442" s="23"/>
      <c r="H442" s="18"/>
      <c r="AB442" s="22"/>
      <c r="AC442" s="22"/>
      <c r="AN442" s="22"/>
      <c r="AO442" s="22"/>
      <c r="AP442" s="22"/>
    </row>
    <row r="443" spans="1:42" ht="15.75" customHeight="1">
      <c r="A443" s="23"/>
      <c r="H443" s="18"/>
      <c r="AB443" s="22"/>
      <c r="AC443" s="22"/>
      <c r="AN443" s="22"/>
      <c r="AO443" s="22"/>
      <c r="AP443" s="22"/>
    </row>
    <row r="444" spans="1:42" ht="15.75" customHeight="1">
      <c r="A444" s="23"/>
      <c r="H444" s="18"/>
      <c r="AB444" s="22"/>
      <c r="AC444" s="22"/>
      <c r="AN444" s="22"/>
      <c r="AO444" s="22"/>
      <c r="AP444" s="22"/>
    </row>
    <row r="445" spans="1:42" ht="15.75" customHeight="1">
      <c r="A445" s="23"/>
      <c r="H445" s="18"/>
      <c r="AB445" s="22"/>
      <c r="AC445" s="22"/>
      <c r="AN445" s="22"/>
      <c r="AO445" s="22"/>
      <c r="AP445" s="22"/>
    </row>
    <row r="446" spans="1:42" ht="15.75" customHeight="1">
      <c r="A446" s="23"/>
      <c r="H446" s="18"/>
      <c r="AB446" s="22"/>
      <c r="AC446" s="22"/>
      <c r="AN446" s="22"/>
      <c r="AO446" s="22"/>
      <c r="AP446" s="22"/>
    </row>
    <row r="447" spans="1:42" ht="15.75" customHeight="1">
      <c r="A447" s="23"/>
      <c r="H447" s="18"/>
      <c r="AB447" s="22"/>
      <c r="AC447" s="22"/>
      <c r="AN447" s="22"/>
      <c r="AO447" s="22"/>
      <c r="AP447" s="22"/>
    </row>
    <row r="448" spans="1:42" ht="15.75" customHeight="1">
      <c r="A448" s="23"/>
      <c r="H448" s="18"/>
      <c r="AB448" s="22"/>
      <c r="AC448" s="22"/>
      <c r="AN448" s="22"/>
      <c r="AO448" s="22"/>
      <c r="AP448" s="22"/>
    </row>
    <row r="449" spans="1:42" ht="15.75" customHeight="1">
      <c r="A449" s="23"/>
      <c r="H449" s="18"/>
      <c r="AB449" s="22"/>
      <c r="AC449" s="22"/>
      <c r="AN449" s="22"/>
      <c r="AO449" s="22"/>
      <c r="AP449" s="22"/>
    </row>
    <row r="450" spans="1:42" ht="15.75" customHeight="1">
      <c r="A450" s="23"/>
      <c r="H450" s="18"/>
      <c r="AB450" s="22"/>
      <c r="AC450" s="22"/>
      <c r="AN450" s="22"/>
      <c r="AO450" s="22"/>
      <c r="AP450" s="22"/>
    </row>
    <row r="451" spans="1:42" ht="15.75" customHeight="1">
      <c r="A451" s="23"/>
      <c r="H451" s="18"/>
      <c r="AB451" s="22"/>
      <c r="AC451" s="22"/>
      <c r="AN451" s="22"/>
      <c r="AO451" s="22"/>
      <c r="AP451" s="22"/>
    </row>
    <row r="452" spans="1:42" ht="15.75" customHeight="1">
      <c r="A452" s="23"/>
      <c r="H452" s="18"/>
      <c r="AB452" s="22"/>
      <c r="AC452" s="22"/>
      <c r="AN452" s="22"/>
      <c r="AO452" s="22"/>
      <c r="AP452" s="22"/>
    </row>
    <row r="453" spans="1:42" ht="15.75" customHeight="1">
      <c r="A453" s="23"/>
      <c r="H453" s="18"/>
      <c r="AB453" s="22"/>
      <c r="AC453" s="22"/>
      <c r="AN453" s="22"/>
      <c r="AO453" s="22"/>
      <c r="AP453" s="22"/>
    </row>
    <row r="454" spans="1:42" ht="15.75" customHeight="1">
      <c r="A454" s="23"/>
      <c r="H454" s="18"/>
      <c r="AB454" s="22"/>
      <c r="AC454" s="22"/>
      <c r="AN454" s="22"/>
      <c r="AO454" s="22"/>
      <c r="AP454" s="22"/>
    </row>
    <row r="455" spans="1:42" ht="15.75" customHeight="1">
      <c r="A455" s="23"/>
      <c r="H455" s="18"/>
      <c r="AB455" s="22"/>
      <c r="AC455" s="22"/>
      <c r="AN455" s="22"/>
      <c r="AO455" s="22"/>
      <c r="AP455" s="22"/>
    </row>
    <row r="456" spans="1:42" ht="15.75" customHeight="1">
      <c r="A456" s="23"/>
      <c r="H456" s="18"/>
      <c r="AB456" s="22"/>
      <c r="AC456" s="22"/>
      <c r="AN456" s="22"/>
      <c r="AO456" s="22"/>
      <c r="AP456" s="22"/>
    </row>
    <row r="457" spans="1:42" ht="15.75" customHeight="1">
      <c r="A457" s="23"/>
      <c r="H457" s="18"/>
      <c r="AB457" s="22"/>
      <c r="AC457" s="22"/>
      <c r="AN457" s="22"/>
      <c r="AO457" s="22"/>
      <c r="AP457" s="22"/>
    </row>
    <row r="458" spans="1:42" ht="15.75" customHeight="1">
      <c r="A458" s="23"/>
      <c r="H458" s="18"/>
      <c r="AB458" s="22"/>
      <c r="AC458" s="22"/>
      <c r="AN458" s="22"/>
      <c r="AO458" s="22"/>
      <c r="AP458" s="22"/>
    </row>
    <row r="459" spans="1:42" ht="15.75" customHeight="1">
      <c r="A459" s="23"/>
      <c r="H459" s="18"/>
      <c r="AB459" s="22"/>
      <c r="AC459" s="22"/>
      <c r="AN459" s="22"/>
      <c r="AO459" s="22"/>
      <c r="AP459" s="22"/>
    </row>
    <row r="460" spans="1:42" ht="15.75" customHeight="1">
      <c r="A460" s="23"/>
      <c r="H460" s="18"/>
      <c r="AB460" s="22"/>
      <c r="AC460" s="22"/>
      <c r="AN460" s="22"/>
      <c r="AO460" s="22"/>
      <c r="AP460" s="22"/>
    </row>
    <row r="461" spans="1:42" ht="15.75" customHeight="1">
      <c r="A461" s="23"/>
      <c r="H461" s="18"/>
      <c r="AB461" s="22"/>
      <c r="AC461" s="22"/>
      <c r="AN461" s="22"/>
      <c r="AO461" s="22"/>
      <c r="AP461" s="22"/>
    </row>
    <row r="462" spans="1:42" ht="15.75" customHeight="1">
      <c r="A462" s="23"/>
      <c r="H462" s="18"/>
      <c r="AB462" s="22"/>
      <c r="AC462" s="22"/>
      <c r="AN462" s="22"/>
      <c r="AO462" s="22"/>
      <c r="AP462" s="22"/>
    </row>
    <row r="463" spans="1:42" ht="15.75" customHeight="1">
      <c r="A463" s="23"/>
      <c r="H463" s="18"/>
      <c r="AB463" s="22"/>
      <c r="AC463" s="22"/>
      <c r="AN463" s="22"/>
      <c r="AO463" s="22"/>
      <c r="AP463" s="22"/>
    </row>
    <row r="464" spans="1:42" ht="15.75" customHeight="1">
      <c r="A464" s="23"/>
      <c r="H464" s="18"/>
      <c r="AB464" s="22"/>
      <c r="AC464" s="22"/>
      <c r="AN464" s="22"/>
      <c r="AO464" s="22"/>
      <c r="AP464" s="22"/>
    </row>
    <row r="465" spans="1:42" ht="15.75" customHeight="1">
      <c r="A465" s="23"/>
      <c r="H465" s="18"/>
      <c r="AB465" s="22"/>
      <c r="AC465" s="22"/>
      <c r="AN465" s="22"/>
      <c r="AO465" s="22"/>
      <c r="AP465" s="22"/>
    </row>
    <row r="466" spans="1:42" ht="15.75" customHeight="1">
      <c r="A466" s="23"/>
      <c r="H466" s="18"/>
      <c r="AB466" s="22"/>
      <c r="AC466" s="22"/>
      <c r="AN466" s="22"/>
      <c r="AO466" s="22"/>
      <c r="AP466" s="22"/>
    </row>
    <row r="467" spans="1:42" ht="15.75" customHeight="1">
      <c r="A467" s="23"/>
      <c r="H467" s="18"/>
      <c r="AB467" s="22"/>
      <c r="AC467" s="22"/>
      <c r="AN467" s="22"/>
      <c r="AO467" s="22"/>
      <c r="AP467" s="22"/>
    </row>
    <row r="468" spans="1:42" ht="15.75" customHeight="1">
      <c r="A468" s="23"/>
      <c r="H468" s="18"/>
      <c r="AB468" s="22"/>
      <c r="AC468" s="22"/>
      <c r="AN468" s="22"/>
      <c r="AO468" s="22"/>
      <c r="AP468" s="22"/>
    </row>
    <row r="469" spans="1:42" ht="15.75" customHeight="1">
      <c r="A469" s="23"/>
      <c r="H469" s="18"/>
      <c r="AB469" s="22"/>
      <c r="AC469" s="22"/>
      <c r="AN469" s="22"/>
      <c r="AO469" s="22"/>
      <c r="AP469" s="22"/>
    </row>
    <row r="470" spans="1:42" ht="15.75" customHeight="1">
      <c r="A470" s="23"/>
      <c r="H470" s="18"/>
      <c r="AB470" s="22"/>
      <c r="AC470" s="22"/>
      <c r="AN470" s="22"/>
      <c r="AO470" s="22"/>
      <c r="AP470" s="22"/>
    </row>
    <row r="471" spans="1:42" ht="15.75" customHeight="1">
      <c r="A471" s="23"/>
      <c r="H471" s="18"/>
      <c r="AB471" s="22"/>
      <c r="AC471" s="22"/>
      <c r="AN471" s="22"/>
      <c r="AO471" s="22"/>
      <c r="AP471" s="22"/>
    </row>
    <row r="472" spans="1:42" ht="15.75" customHeight="1">
      <c r="A472" s="23"/>
      <c r="H472" s="18"/>
      <c r="AB472" s="22"/>
      <c r="AC472" s="22"/>
      <c r="AN472" s="22"/>
      <c r="AO472" s="22"/>
      <c r="AP472" s="22"/>
    </row>
    <row r="473" spans="1:42" ht="15.75" customHeight="1">
      <c r="A473" s="23"/>
      <c r="H473" s="18"/>
      <c r="AB473" s="22"/>
      <c r="AC473" s="22"/>
      <c r="AN473" s="22"/>
      <c r="AO473" s="22"/>
      <c r="AP473" s="22"/>
    </row>
    <row r="474" spans="1:42" ht="15.75" customHeight="1">
      <c r="A474" s="23"/>
      <c r="H474" s="18"/>
      <c r="AB474" s="22"/>
      <c r="AC474" s="22"/>
      <c r="AN474" s="22"/>
      <c r="AO474" s="22"/>
      <c r="AP474" s="22"/>
    </row>
    <row r="475" spans="1:42" ht="15.75" customHeight="1">
      <c r="A475" s="23"/>
      <c r="H475" s="18"/>
      <c r="AB475" s="22"/>
      <c r="AC475" s="22"/>
      <c r="AN475" s="22"/>
      <c r="AO475" s="22"/>
      <c r="AP475" s="22"/>
    </row>
    <row r="476" spans="1:42" ht="15.75" customHeight="1">
      <c r="A476" s="23"/>
      <c r="H476" s="18"/>
      <c r="AB476" s="22"/>
      <c r="AC476" s="22"/>
      <c r="AN476" s="22"/>
      <c r="AO476" s="22"/>
      <c r="AP476" s="22"/>
    </row>
    <row r="477" spans="1:42" ht="15.75" customHeight="1">
      <c r="A477" s="23"/>
      <c r="H477" s="18"/>
      <c r="AB477" s="22"/>
      <c r="AC477" s="22"/>
      <c r="AN477" s="22"/>
      <c r="AO477" s="22"/>
      <c r="AP477" s="22"/>
    </row>
    <row r="478" spans="1:42" ht="15.75" customHeight="1">
      <c r="A478" s="23"/>
      <c r="H478" s="18"/>
      <c r="AB478" s="22"/>
      <c r="AC478" s="22"/>
      <c r="AN478" s="22"/>
      <c r="AO478" s="22"/>
      <c r="AP478" s="22"/>
    </row>
    <row r="479" spans="1:42" ht="15.75" customHeight="1">
      <c r="A479" s="23"/>
      <c r="H479" s="18"/>
      <c r="AB479" s="22"/>
      <c r="AC479" s="22"/>
      <c r="AN479" s="22"/>
      <c r="AO479" s="22"/>
      <c r="AP479" s="22"/>
    </row>
    <row r="480" spans="1:42" ht="15.75" customHeight="1">
      <c r="A480" s="23"/>
      <c r="H480" s="18"/>
      <c r="AB480" s="22"/>
      <c r="AC480" s="22"/>
      <c r="AN480" s="22"/>
      <c r="AO480" s="22"/>
      <c r="AP480" s="22"/>
    </row>
    <row r="481" spans="1:42" ht="15.75" customHeight="1">
      <c r="A481" s="23"/>
      <c r="H481" s="18"/>
      <c r="AB481" s="22"/>
      <c r="AC481" s="22"/>
      <c r="AN481" s="22"/>
      <c r="AO481" s="22"/>
      <c r="AP481" s="22"/>
    </row>
    <row r="482" spans="1:42" ht="15.75" customHeight="1">
      <c r="A482" s="23"/>
      <c r="H482" s="18"/>
      <c r="AB482" s="22"/>
      <c r="AC482" s="22"/>
      <c r="AN482" s="22"/>
      <c r="AO482" s="22"/>
      <c r="AP482" s="22"/>
    </row>
    <row r="483" spans="1:42" ht="15.75" customHeight="1">
      <c r="A483" s="23"/>
      <c r="H483" s="18"/>
      <c r="AB483" s="22"/>
      <c r="AC483" s="22"/>
      <c r="AN483" s="22"/>
      <c r="AO483" s="22"/>
      <c r="AP483" s="22"/>
    </row>
    <row r="484" spans="1:42" ht="15.75" customHeight="1">
      <c r="A484" s="23"/>
      <c r="H484" s="18"/>
      <c r="AB484" s="22"/>
      <c r="AC484" s="22"/>
      <c r="AN484" s="22"/>
      <c r="AO484" s="22"/>
      <c r="AP484" s="22"/>
    </row>
    <row r="485" spans="1:42" ht="15.75" customHeight="1">
      <c r="A485" s="23"/>
      <c r="H485" s="18"/>
      <c r="AB485" s="22"/>
      <c r="AC485" s="22"/>
      <c r="AN485" s="22"/>
      <c r="AO485" s="22"/>
      <c r="AP485" s="22"/>
    </row>
    <row r="486" spans="1:42" ht="15.75" customHeight="1">
      <c r="A486" s="23"/>
      <c r="H486" s="18"/>
      <c r="AB486" s="22"/>
      <c r="AC486" s="22"/>
      <c r="AN486" s="22"/>
      <c r="AO486" s="22"/>
      <c r="AP486" s="22"/>
    </row>
    <row r="487" spans="1:42" ht="15.75" customHeight="1">
      <c r="A487" s="23"/>
      <c r="H487" s="18"/>
      <c r="AB487" s="22"/>
      <c r="AC487" s="22"/>
      <c r="AN487" s="22"/>
      <c r="AO487" s="22"/>
      <c r="AP487" s="22"/>
    </row>
    <row r="488" spans="1:42" ht="15.75" customHeight="1">
      <c r="A488" s="23"/>
      <c r="H488" s="18"/>
      <c r="AB488" s="22"/>
      <c r="AC488" s="22"/>
      <c r="AN488" s="22"/>
      <c r="AO488" s="22"/>
      <c r="AP488" s="22"/>
    </row>
    <row r="489" spans="1:42" ht="15.75" customHeight="1">
      <c r="A489" s="23"/>
      <c r="H489" s="18"/>
      <c r="AB489" s="22"/>
      <c r="AC489" s="22"/>
      <c r="AN489" s="22"/>
      <c r="AO489" s="22"/>
      <c r="AP489" s="22"/>
    </row>
    <row r="490" spans="1:42" ht="15.75" customHeight="1">
      <c r="A490" s="23"/>
      <c r="H490" s="18"/>
      <c r="AB490" s="22"/>
      <c r="AC490" s="22"/>
      <c r="AN490" s="22"/>
      <c r="AO490" s="22"/>
      <c r="AP490" s="22"/>
    </row>
    <row r="491" spans="1:42" ht="15.75" customHeight="1">
      <c r="A491" s="23"/>
      <c r="H491" s="18"/>
      <c r="AB491" s="22"/>
      <c r="AC491" s="22"/>
      <c r="AN491" s="22"/>
      <c r="AO491" s="22"/>
      <c r="AP491" s="22"/>
    </row>
    <row r="492" spans="1:42" ht="15.75" customHeight="1">
      <c r="A492" s="23"/>
      <c r="H492" s="18"/>
      <c r="AB492" s="22"/>
      <c r="AC492" s="22"/>
      <c r="AN492" s="22"/>
      <c r="AO492" s="22"/>
      <c r="AP492" s="22"/>
    </row>
    <row r="493" spans="1:42" ht="15.75" customHeight="1">
      <c r="A493" s="23"/>
      <c r="H493" s="18"/>
      <c r="AB493" s="22"/>
      <c r="AC493" s="22"/>
      <c r="AN493" s="22"/>
      <c r="AO493" s="22"/>
      <c r="AP493" s="22"/>
    </row>
    <row r="494" spans="1:42" ht="15.75" customHeight="1">
      <c r="A494" s="23"/>
      <c r="H494" s="18"/>
      <c r="AB494" s="22"/>
      <c r="AC494" s="22"/>
      <c r="AN494" s="22"/>
      <c r="AO494" s="22"/>
      <c r="AP494" s="22"/>
    </row>
    <row r="495" spans="1:42" ht="15.75" customHeight="1">
      <c r="A495" s="23"/>
      <c r="H495" s="18"/>
      <c r="AB495" s="22"/>
      <c r="AC495" s="22"/>
      <c r="AN495" s="22"/>
      <c r="AO495" s="22"/>
      <c r="AP495" s="22"/>
    </row>
    <row r="496" spans="1:42" ht="15.75" customHeight="1">
      <c r="A496" s="23"/>
      <c r="H496" s="18"/>
      <c r="AB496" s="22"/>
      <c r="AC496" s="22"/>
      <c r="AN496" s="22"/>
      <c r="AO496" s="22"/>
      <c r="AP496" s="22"/>
    </row>
    <row r="497" spans="1:42" ht="15.75" customHeight="1">
      <c r="A497" s="23"/>
      <c r="H497" s="18"/>
      <c r="AB497" s="22"/>
      <c r="AC497" s="22"/>
      <c r="AN497" s="22"/>
      <c r="AO497" s="22"/>
      <c r="AP497" s="22"/>
    </row>
    <row r="498" spans="1:42" ht="15.75" customHeight="1">
      <c r="A498" s="23"/>
      <c r="H498" s="18"/>
      <c r="AB498" s="22"/>
      <c r="AC498" s="22"/>
      <c r="AN498" s="22"/>
      <c r="AO498" s="22"/>
      <c r="AP498" s="22"/>
    </row>
    <row r="499" spans="1:42" ht="15.75" customHeight="1">
      <c r="A499" s="23"/>
      <c r="H499" s="18"/>
      <c r="AB499" s="22"/>
      <c r="AC499" s="22"/>
      <c r="AN499" s="22"/>
      <c r="AO499" s="22"/>
      <c r="AP499" s="22"/>
    </row>
    <row r="500" spans="1:42" ht="15.75" customHeight="1">
      <c r="A500" s="23"/>
      <c r="H500" s="18"/>
      <c r="AB500" s="22"/>
      <c r="AC500" s="22"/>
      <c r="AN500" s="22"/>
      <c r="AO500" s="22"/>
      <c r="AP500" s="22"/>
    </row>
    <row r="501" spans="1:42" ht="15.75" customHeight="1">
      <c r="A501" s="23"/>
      <c r="H501" s="18"/>
      <c r="AB501" s="22"/>
      <c r="AC501" s="22"/>
      <c r="AN501" s="22"/>
      <c r="AO501" s="22"/>
      <c r="AP501" s="22"/>
    </row>
    <row r="502" spans="1:42" ht="15.75" customHeight="1">
      <c r="A502" s="23"/>
      <c r="H502" s="18"/>
      <c r="AB502" s="22"/>
      <c r="AC502" s="22"/>
      <c r="AN502" s="22"/>
      <c r="AO502" s="22"/>
      <c r="AP502" s="22"/>
    </row>
    <row r="503" spans="1:42" ht="15.75" customHeight="1">
      <c r="A503" s="23"/>
      <c r="H503" s="18"/>
      <c r="AB503" s="22"/>
      <c r="AC503" s="22"/>
      <c r="AN503" s="22"/>
      <c r="AO503" s="22"/>
      <c r="AP503" s="22"/>
    </row>
    <row r="504" spans="1:42" ht="15.75" customHeight="1">
      <c r="A504" s="23"/>
      <c r="H504" s="18"/>
      <c r="AB504" s="22"/>
      <c r="AC504" s="22"/>
      <c r="AN504" s="22"/>
      <c r="AO504" s="22"/>
      <c r="AP504" s="22"/>
    </row>
    <row r="505" spans="1:42" ht="15.75" customHeight="1">
      <c r="A505" s="23"/>
      <c r="H505" s="18"/>
      <c r="AB505" s="22"/>
      <c r="AC505" s="22"/>
      <c r="AN505" s="22"/>
      <c r="AO505" s="22"/>
      <c r="AP505" s="22"/>
    </row>
    <row r="506" spans="1:42" ht="15.75" customHeight="1">
      <c r="A506" s="23"/>
      <c r="H506" s="18"/>
      <c r="AB506" s="22"/>
      <c r="AC506" s="22"/>
      <c r="AN506" s="22"/>
      <c r="AO506" s="22"/>
      <c r="AP506" s="22"/>
    </row>
    <row r="507" spans="1:42" ht="15.75" customHeight="1">
      <c r="A507" s="23"/>
      <c r="H507" s="18"/>
      <c r="AB507" s="22"/>
      <c r="AC507" s="22"/>
      <c r="AN507" s="22"/>
      <c r="AO507" s="22"/>
      <c r="AP507" s="22"/>
    </row>
    <row r="508" spans="1:42" ht="15.75" customHeight="1">
      <c r="A508" s="23"/>
      <c r="H508" s="18"/>
      <c r="AB508" s="22"/>
      <c r="AC508" s="22"/>
      <c r="AN508" s="22"/>
      <c r="AO508" s="22"/>
      <c r="AP508" s="22"/>
    </row>
    <row r="509" spans="1:42" ht="15.75" customHeight="1">
      <c r="A509" s="23"/>
      <c r="H509" s="18"/>
      <c r="AB509" s="22"/>
      <c r="AC509" s="22"/>
      <c r="AN509" s="22"/>
      <c r="AO509" s="22"/>
      <c r="AP509" s="22"/>
    </row>
    <row r="510" spans="1:42" ht="15.75" customHeight="1">
      <c r="A510" s="23"/>
      <c r="H510" s="18"/>
      <c r="AB510" s="22"/>
      <c r="AC510" s="22"/>
      <c r="AN510" s="22"/>
      <c r="AO510" s="22"/>
      <c r="AP510" s="22"/>
    </row>
    <row r="511" spans="1:42" ht="15.75" customHeight="1">
      <c r="A511" s="23"/>
      <c r="H511" s="18"/>
      <c r="AB511" s="22"/>
      <c r="AC511" s="22"/>
      <c r="AN511" s="22"/>
      <c r="AO511" s="22"/>
      <c r="AP511" s="22"/>
    </row>
    <row r="512" spans="1:42" ht="15.75" customHeight="1">
      <c r="A512" s="23"/>
      <c r="H512" s="18"/>
      <c r="AB512" s="22"/>
      <c r="AC512" s="22"/>
      <c r="AN512" s="22"/>
      <c r="AO512" s="22"/>
      <c r="AP512" s="22"/>
    </row>
    <row r="513" spans="1:42" ht="15.75" customHeight="1">
      <c r="A513" s="23"/>
      <c r="H513" s="18"/>
      <c r="AB513" s="22"/>
      <c r="AC513" s="22"/>
      <c r="AN513" s="22"/>
      <c r="AO513" s="22"/>
      <c r="AP513" s="22"/>
    </row>
    <row r="514" spans="1:42" ht="15.75" customHeight="1">
      <c r="A514" s="23"/>
      <c r="H514" s="18"/>
      <c r="AB514" s="22"/>
      <c r="AC514" s="22"/>
      <c r="AN514" s="22"/>
      <c r="AO514" s="22"/>
      <c r="AP514" s="22"/>
    </row>
    <row r="515" spans="1:42" ht="15.75" customHeight="1">
      <c r="A515" s="23"/>
      <c r="H515" s="18"/>
      <c r="AB515" s="22"/>
      <c r="AC515" s="22"/>
      <c r="AN515" s="22"/>
      <c r="AO515" s="22"/>
      <c r="AP515" s="22"/>
    </row>
    <row r="516" spans="1:42" ht="15.75" customHeight="1">
      <c r="A516" s="23"/>
      <c r="H516" s="18"/>
      <c r="AB516" s="22"/>
      <c r="AC516" s="22"/>
      <c r="AN516" s="22"/>
      <c r="AO516" s="22"/>
      <c r="AP516" s="22"/>
    </row>
    <row r="517" spans="1:42" ht="15.75" customHeight="1">
      <c r="A517" s="23"/>
      <c r="H517" s="18"/>
      <c r="AB517" s="22"/>
      <c r="AC517" s="22"/>
      <c r="AN517" s="22"/>
      <c r="AO517" s="22"/>
      <c r="AP517" s="22"/>
    </row>
    <row r="518" spans="1:42" ht="15.75" customHeight="1">
      <c r="A518" s="23"/>
      <c r="H518" s="18"/>
      <c r="AB518" s="22"/>
      <c r="AC518" s="22"/>
      <c r="AN518" s="22"/>
      <c r="AO518" s="22"/>
      <c r="AP518" s="22"/>
    </row>
    <row r="519" spans="1:42" ht="15.75" customHeight="1">
      <c r="A519" s="23"/>
      <c r="H519" s="18"/>
      <c r="AB519" s="22"/>
      <c r="AC519" s="22"/>
      <c r="AN519" s="22"/>
      <c r="AO519" s="22"/>
      <c r="AP519" s="22"/>
    </row>
    <row r="520" spans="1:42" ht="15.75" customHeight="1">
      <c r="A520" s="23"/>
      <c r="H520" s="18"/>
      <c r="AB520" s="22"/>
      <c r="AC520" s="22"/>
      <c r="AN520" s="22"/>
      <c r="AO520" s="22"/>
      <c r="AP520" s="22"/>
    </row>
    <row r="521" spans="1:42" ht="15.75" customHeight="1">
      <c r="A521" s="23"/>
      <c r="H521" s="18"/>
      <c r="AB521" s="22"/>
      <c r="AC521" s="22"/>
      <c r="AN521" s="22"/>
      <c r="AO521" s="22"/>
      <c r="AP521" s="22"/>
    </row>
    <row r="522" spans="1:42" ht="15.75" customHeight="1">
      <c r="A522" s="23"/>
      <c r="H522" s="18"/>
      <c r="AB522" s="22"/>
      <c r="AC522" s="22"/>
      <c r="AN522" s="22"/>
      <c r="AO522" s="22"/>
      <c r="AP522" s="22"/>
    </row>
    <row r="523" spans="1:42" ht="15.75" customHeight="1">
      <c r="A523" s="23"/>
      <c r="H523" s="18"/>
      <c r="AB523" s="22"/>
      <c r="AC523" s="22"/>
      <c r="AN523" s="22"/>
      <c r="AO523" s="22"/>
      <c r="AP523" s="22"/>
    </row>
    <row r="524" spans="1:42" ht="15.75" customHeight="1">
      <c r="A524" s="23"/>
      <c r="H524" s="18"/>
      <c r="AB524" s="22"/>
      <c r="AC524" s="22"/>
      <c r="AN524" s="22"/>
      <c r="AO524" s="22"/>
      <c r="AP524" s="22"/>
    </row>
    <row r="525" spans="1:42" ht="15.75" customHeight="1">
      <c r="A525" s="23"/>
      <c r="H525" s="18"/>
      <c r="AB525" s="22"/>
      <c r="AC525" s="22"/>
      <c r="AN525" s="22"/>
      <c r="AO525" s="22"/>
      <c r="AP525" s="22"/>
    </row>
    <row r="526" spans="1:42" ht="15.75" customHeight="1">
      <c r="A526" s="23"/>
      <c r="H526" s="18"/>
      <c r="AB526" s="22"/>
      <c r="AC526" s="22"/>
      <c r="AN526" s="22"/>
      <c r="AO526" s="22"/>
      <c r="AP526" s="22"/>
    </row>
    <row r="527" spans="1:42" ht="15.75" customHeight="1">
      <c r="A527" s="23"/>
      <c r="H527" s="18"/>
      <c r="AB527" s="22"/>
      <c r="AC527" s="22"/>
      <c r="AN527" s="22"/>
      <c r="AO527" s="22"/>
      <c r="AP527" s="22"/>
    </row>
    <row r="528" spans="1:42" ht="15.75" customHeight="1">
      <c r="A528" s="23"/>
      <c r="H528" s="18"/>
      <c r="AB528" s="22"/>
      <c r="AC528" s="22"/>
      <c r="AN528" s="22"/>
      <c r="AO528" s="22"/>
      <c r="AP528" s="22"/>
    </row>
    <row r="529" spans="1:42" ht="15.75" customHeight="1">
      <c r="A529" s="23"/>
      <c r="H529" s="18"/>
      <c r="AB529" s="22"/>
      <c r="AC529" s="22"/>
      <c r="AN529" s="22"/>
      <c r="AO529" s="22"/>
      <c r="AP529" s="22"/>
    </row>
    <row r="530" spans="1:42" ht="15.75" customHeight="1">
      <c r="A530" s="23"/>
      <c r="H530" s="18"/>
      <c r="AB530" s="22"/>
      <c r="AC530" s="22"/>
      <c r="AN530" s="22"/>
      <c r="AO530" s="22"/>
      <c r="AP530" s="22"/>
    </row>
    <row r="531" spans="1:42" ht="15.75" customHeight="1">
      <c r="A531" s="23"/>
      <c r="H531" s="18"/>
      <c r="AB531" s="22"/>
      <c r="AC531" s="22"/>
      <c r="AN531" s="22"/>
      <c r="AO531" s="22"/>
      <c r="AP531" s="22"/>
    </row>
    <row r="532" spans="1:42" ht="15.75" customHeight="1">
      <c r="A532" s="23"/>
      <c r="H532" s="18"/>
      <c r="AB532" s="22"/>
      <c r="AC532" s="22"/>
      <c r="AN532" s="22"/>
      <c r="AO532" s="22"/>
      <c r="AP532" s="22"/>
    </row>
    <row r="533" spans="1:42" ht="15.75" customHeight="1">
      <c r="A533" s="23"/>
      <c r="H533" s="18"/>
      <c r="AB533" s="22"/>
      <c r="AC533" s="22"/>
      <c r="AN533" s="22"/>
      <c r="AO533" s="22"/>
      <c r="AP533" s="22"/>
    </row>
    <row r="534" spans="1:42" ht="15.75" customHeight="1">
      <c r="A534" s="23"/>
      <c r="H534" s="18"/>
      <c r="AB534" s="22"/>
      <c r="AC534" s="22"/>
      <c r="AN534" s="22"/>
      <c r="AO534" s="22"/>
      <c r="AP534" s="22"/>
    </row>
    <row r="535" spans="1:42" ht="15.75" customHeight="1">
      <c r="A535" s="23"/>
      <c r="H535" s="18"/>
      <c r="AB535" s="22"/>
      <c r="AC535" s="22"/>
      <c r="AN535" s="22"/>
      <c r="AO535" s="22"/>
      <c r="AP535" s="22"/>
    </row>
    <row r="536" spans="1:42" ht="15.75" customHeight="1">
      <c r="A536" s="23"/>
      <c r="H536" s="18"/>
      <c r="AB536" s="22"/>
      <c r="AC536" s="22"/>
      <c r="AN536" s="22"/>
      <c r="AO536" s="22"/>
      <c r="AP536" s="22"/>
    </row>
    <row r="537" spans="1:42" ht="15.75" customHeight="1">
      <c r="A537" s="23"/>
      <c r="H537" s="18"/>
      <c r="AB537" s="22"/>
      <c r="AC537" s="22"/>
      <c r="AN537" s="22"/>
      <c r="AO537" s="22"/>
      <c r="AP537" s="22"/>
    </row>
    <row r="538" spans="1:42" ht="15.75" customHeight="1">
      <c r="A538" s="23"/>
      <c r="H538" s="18"/>
      <c r="AB538" s="22"/>
      <c r="AC538" s="22"/>
      <c r="AN538" s="22"/>
      <c r="AO538" s="22"/>
      <c r="AP538" s="22"/>
    </row>
    <row r="539" spans="1:42" ht="15.75" customHeight="1">
      <c r="A539" s="23"/>
      <c r="H539" s="18"/>
      <c r="AB539" s="22"/>
      <c r="AC539" s="22"/>
      <c r="AN539" s="22"/>
      <c r="AO539" s="22"/>
      <c r="AP539" s="22"/>
    </row>
    <row r="540" spans="1:42" ht="15.75" customHeight="1">
      <c r="A540" s="23"/>
      <c r="H540" s="18"/>
      <c r="AB540" s="22"/>
      <c r="AC540" s="22"/>
      <c r="AN540" s="22"/>
      <c r="AO540" s="22"/>
      <c r="AP540" s="22"/>
    </row>
    <row r="541" spans="1:42" ht="15.75" customHeight="1">
      <c r="A541" s="23"/>
      <c r="H541" s="18"/>
      <c r="AB541" s="22"/>
      <c r="AC541" s="22"/>
      <c r="AN541" s="22"/>
      <c r="AO541" s="22"/>
      <c r="AP541" s="22"/>
    </row>
    <row r="542" spans="1:42" ht="15.75" customHeight="1">
      <c r="A542" s="23"/>
      <c r="H542" s="18"/>
      <c r="AB542" s="22"/>
      <c r="AC542" s="22"/>
      <c r="AN542" s="22"/>
      <c r="AO542" s="22"/>
      <c r="AP542" s="22"/>
    </row>
    <row r="543" spans="1:42" ht="15.75" customHeight="1">
      <c r="A543" s="23"/>
      <c r="H543" s="18"/>
      <c r="AB543" s="22"/>
      <c r="AC543" s="22"/>
      <c r="AN543" s="22"/>
      <c r="AO543" s="22"/>
      <c r="AP543" s="22"/>
    </row>
    <row r="544" spans="1:42" ht="15.75" customHeight="1">
      <c r="A544" s="23"/>
      <c r="H544" s="18"/>
      <c r="AB544" s="22"/>
      <c r="AC544" s="22"/>
      <c r="AN544" s="22"/>
      <c r="AO544" s="22"/>
      <c r="AP544" s="22"/>
    </row>
    <row r="545" spans="1:42" ht="15.75" customHeight="1">
      <c r="A545" s="23"/>
      <c r="H545" s="18"/>
      <c r="AB545" s="22"/>
      <c r="AC545" s="22"/>
      <c r="AN545" s="22"/>
      <c r="AO545" s="22"/>
      <c r="AP545" s="22"/>
    </row>
    <row r="546" spans="1:42" ht="15.75" customHeight="1">
      <c r="A546" s="23"/>
      <c r="H546" s="18"/>
      <c r="AB546" s="22"/>
      <c r="AC546" s="22"/>
      <c r="AN546" s="22"/>
      <c r="AO546" s="22"/>
      <c r="AP546" s="22"/>
    </row>
    <row r="547" spans="1:42" ht="15.75" customHeight="1">
      <c r="A547" s="23"/>
      <c r="H547" s="18"/>
      <c r="AB547" s="22"/>
      <c r="AC547" s="22"/>
      <c r="AN547" s="22"/>
      <c r="AO547" s="22"/>
      <c r="AP547" s="22"/>
    </row>
    <row r="548" spans="1:42" ht="15.75" customHeight="1">
      <c r="A548" s="23"/>
      <c r="H548" s="18"/>
      <c r="AB548" s="22"/>
      <c r="AC548" s="22"/>
      <c r="AN548" s="22"/>
      <c r="AO548" s="22"/>
      <c r="AP548" s="22"/>
    </row>
    <row r="549" spans="1:42" ht="15.75" customHeight="1">
      <c r="A549" s="23"/>
      <c r="H549" s="18"/>
      <c r="AB549" s="22"/>
      <c r="AC549" s="22"/>
      <c r="AN549" s="22"/>
      <c r="AO549" s="22"/>
      <c r="AP549" s="22"/>
    </row>
    <row r="550" spans="1:42" ht="15.75" customHeight="1">
      <c r="A550" s="23"/>
      <c r="H550" s="18"/>
      <c r="AB550" s="22"/>
      <c r="AC550" s="22"/>
      <c r="AN550" s="22"/>
      <c r="AO550" s="22"/>
      <c r="AP550" s="22"/>
    </row>
    <row r="551" spans="1:42" ht="15.75" customHeight="1">
      <c r="A551" s="23"/>
      <c r="H551" s="18"/>
      <c r="AB551" s="22"/>
      <c r="AC551" s="22"/>
      <c r="AN551" s="22"/>
      <c r="AO551" s="22"/>
      <c r="AP551" s="22"/>
    </row>
    <row r="552" spans="1:42" ht="15.75" customHeight="1">
      <c r="A552" s="23"/>
      <c r="H552" s="18"/>
      <c r="AB552" s="22"/>
      <c r="AC552" s="22"/>
      <c r="AN552" s="22"/>
      <c r="AO552" s="22"/>
      <c r="AP552" s="22"/>
    </row>
    <row r="553" spans="1:42" ht="15.75" customHeight="1">
      <c r="A553" s="23"/>
      <c r="H553" s="18"/>
      <c r="AB553" s="22"/>
      <c r="AC553" s="22"/>
      <c r="AN553" s="22"/>
      <c r="AO553" s="22"/>
      <c r="AP553" s="22"/>
    </row>
    <row r="554" spans="1:42" ht="15.75" customHeight="1">
      <c r="A554" s="23"/>
      <c r="H554" s="18"/>
      <c r="AB554" s="22"/>
      <c r="AC554" s="22"/>
      <c r="AN554" s="22"/>
      <c r="AO554" s="22"/>
      <c r="AP554" s="22"/>
    </row>
    <row r="555" spans="1:42" ht="15.75" customHeight="1">
      <c r="A555" s="23"/>
      <c r="H555" s="18"/>
      <c r="AB555" s="22"/>
      <c r="AC555" s="22"/>
      <c r="AN555" s="22"/>
      <c r="AO555" s="22"/>
      <c r="AP555" s="22"/>
    </row>
    <row r="556" spans="1:42" ht="15.75" customHeight="1">
      <c r="A556" s="23"/>
      <c r="H556" s="18"/>
      <c r="AB556" s="22"/>
      <c r="AC556" s="22"/>
      <c r="AN556" s="22"/>
      <c r="AO556" s="22"/>
      <c r="AP556" s="22"/>
    </row>
    <row r="557" spans="1:42" ht="15.75" customHeight="1">
      <c r="A557" s="23"/>
      <c r="H557" s="18"/>
      <c r="AB557" s="22"/>
      <c r="AC557" s="22"/>
      <c r="AN557" s="22"/>
      <c r="AO557" s="22"/>
      <c r="AP557" s="22"/>
    </row>
    <row r="558" spans="1:42" ht="15.75" customHeight="1">
      <c r="A558" s="23"/>
      <c r="H558" s="18"/>
      <c r="AB558" s="22"/>
      <c r="AC558" s="22"/>
      <c r="AN558" s="22"/>
      <c r="AO558" s="22"/>
      <c r="AP558" s="22"/>
    </row>
    <row r="559" spans="1:42" ht="15.75" customHeight="1">
      <c r="A559" s="23"/>
      <c r="H559" s="18"/>
      <c r="AB559" s="22"/>
      <c r="AC559" s="22"/>
      <c r="AN559" s="22"/>
      <c r="AO559" s="22"/>
      <c r="AP559" s="22"/>
    </row>
    <row r="560" spans="1:42" ht="15.75" customHeight="1">
      <c r="A560" s="23"/>
      <c r="H560" s="18"/>
      <c r="AB560" s="22"/>
      <c r="AC560" s="22"/>
      <c r="AN560" s="22"/>
      <c r="AO560" s="22"/>
      <c r="AP560" s="22"/>
    </row>
    <row r="561" spans="1:42" ht="15.75" customHeight="1">
      <c r="A561" s="23"/>
      <c r="H561" s="18"/>
      <c r="AB561" s="22"/>
      <c r="AC561" s="22"/>
      <c r="AN561" s="22"/>
      <c r="AO561" s="22"/>
      <c r="AP561" s="22"/>
    </row>
    <row r="562" spans="1:42" ht="15.75" customHeight="1">
      <c r="A562" s="23"/>
      <c r="H562" s="18"/>
      <c r="AB562" s="22"/>
      <c r="AC562" s="22"/>
      <c r="AN562" s="22"/>
      <c r="AO562" s="22"/>
      <c r="AP562" s="22"/>
    </row>
    <row r="563" spans="1:42" ht="15.75" customHeight="1">
      <c r="A563" s="23"/>
      <c r="H563" s="18"/>
      <c r="AB563" s="22"/>
      <c r="AC563" s="22"/>
      <c r="AN563" s="22"/>
      <c r="AO563" s="22"/>
      <c r="AP563" s="22"/>
    </row>
    <row r="564" spans="1:42" ht="15.75" customHeight="1">
      <c r="A564" s="23"/>
      <c r="H564" s="18"/>
      <c r="AB564" s="22"/>
      <c r="AC564" s="22"/>
      <c r="AN564" s="22"/>
      <c r="AO564" s="22"/>
      <c r="AP564" s="22"/>
    </row>
    <row r="565" spans="1:42" ht="15.75" customHeight="1">
      <c r="A565" s="23"/>
      <c r="H565" s="18"/>
      <c r="AB565" s="22"/>
      <c r="AC565" s="22"/>
      <c r="AN565" s="22"/>
      <c r="AO565" s="22"/>
      <c r="AP565" s="22"/>
    </row>
    <row r="566" spans="1:42" ht="15.75" customHeight="1">
      <c r="A566" s="23"/>
      <c r="H566" s="18"/>
      <c r="AB566" s="22"/>
      <c r="AC566" s="22"/>
      <c r="AN566" s="22"/>
      <c r="AO566" s="22"/>
      <c r="AP566" s="22"/>
    </row>
    <row r="567" spans="1:42" ht="15.75" customHeight="1">
      <c r="A567" s="23"/>
      <c r="H567" s="18"/>
      <c r="AB567" s="22"/>
      <c r="AC567" s="22"/>
      <c r="AN567" s="22"/>
      <c r="AO567" s="22"/>
      <c r="AP567" s="22"/>
    </row>
    <row r="568" spans="1:42" ht="15.75" customHeight="1">
      <c r="A568" s="23"/>
      <c r="H568" s="18"/>
      <c r="AB568" s="22"/>
      <c r="AC568" s="22"/>
      <c r="AN568" s="22"/>
      <c r="AO568" s="22"/>
      <c r="AP568" s="22"/>
    </row>
    <row r="569" spans="1:42" ht="15.75" customHeight="1">
      <c r="A569" s="23"/>
      <c r="H569" s="18"/>
      <c r="AB569" s="22"/>
      <c r="AC569" s="22"/>
      <c r="AN569" s="22"/>
      <c r="AO569" s="22"/>
      <c r="AP569" s="22"/>
    </row>
    <row r="570" spans="1:42" ht="15.75" customHeight="1">
      <c r="A570" s="23"/>
      <c r="H570" s="18"/>
      <c r="AB570" s="22"/>
      <c r="AC570" s="22"/>
      <c r="AN570" s="22"/>
      <c r="AO570" s="22"/>
      <c r="AP570" s="22"/>
    </row>
    <row r="571" spans="1:42" ht="15.75" customHeight="1">
      <c r="A571" s="23"/>
      <c r="H571" s="18"/>
      <c r="AB571" s="22"/>
      <c r="AC571" s="22"/>
      <c r="AN571" s="22"/>
      <c r="AO571" s="22"/>
      <c r="AP571" s="22"/>
    </row>
    <row r="572" spans="1:42" ht="15.75" customHeight="1">
      <c r="A572" s="23"/>
      <c r="H572" s="18"/>
      <c r="AB572" s="22"/>
      <c r="AC572" s="22"/>
      <c r="AN572" s="22"/>
      <c r="AO572" s="22"/>
      <c r="AP572" s="22"/>
    </row>
    <row r="573" spans="1:42" ht="15.75" customHeight="1">
      <c r="A573" s="23"/>
      <c r="H573" s="18"/>
      <c r="AB573" s="22"/>
      <c r="AC573" s="22"/>
      <c r="AN573" s="22"/>
      <c r="AO573" s="22"/>
      <c r="AP573" s="22"/>
    </row>
    <row r="574" spans="1:42" ht="15.75" customHeight="1">
      <c r="A574" s="23"/>
      <c r="H574" s="18"/>
      <c r="AB574" s="22"/>
      <c r="AC574" s="22"/>
      <c r="AN574" s="22"/>
      <c r="AO574" s="22"/>
      <c r="AP574" s="22"/>
    </row>
    <row r="575" spans="1:42" ht="15.75" customHeight="1">
      <c r="A575" s="23"/>
      <c r="H575" s="18"/>
      <c r="AB575" s="22"/>
      <c r="AC575" s="22"/>
      <c r="AN575" s="22"/>
      <c r="AO575" s="22"/>
      <c r="AP575" s="22"/>
    </row>
    <row r="576" spans="1:42" ht="15.75" customHeight="1">
      <c r="A576" s="23"/>
      <c r="H576" s="18"/>
      <c r="AB576" s="22"/>
      <c r="AC576" s="22"/>
      <c r="AN576" s="22"/>
      <c r="AO576" s="22"/>
      <c r="AP576" s="22"/>
    </row>
    <row r="577" spans="1:42" ht="15.75" customHeight="1">
      <c r="A577" s="23"/>
      <c r="H577" s="18"/>
      <c r="AB577" s="22"/>
      <c r="AC577" s="22"/>
      <c r="AN577" s="22"/>
      <c r="AO577" s="22"/>
      <c r="AP577" s="22"/>
    </row>
    <row r="578" spans="1:42" ht="15.75" customHeight="1">
      <c r="A578" s="23"/>
      <c r="H578" s="18"/>
      <c r="AB578" s="22"/>
      <c r="AC578" s="22"/>
      <c r="AN578" s="22"/>
      <c r="AO578" s="22"/>
      <c r="AP578" s="22"/>
    </row>
    <row r="579" spans="1:42" ht="15.75" customHeight="1">
      <c r="A579" s="23"/>
      <c r="H579" s="18"/>
      <c r="AB579" s="22"/>
      <c r="AC579" s="22"/>
      <c r="AN579" s="22"/>
      <c r="AO579" s="22"/>
      <c r="AP579" s="22"/>
    </row>
    <row r="580" spans="1:42" ht="15.75" customHeight="1">
      <c r="A580" s="23"/>
      <c r="H580" s="18"/>
      <c r="AB580" s="22"/>
      <c r="AC580" s="22"/>
      <c r="AN580" s="22"/>
      <c r="AO580" s="22"/>
      <c r="AP580" s="22"/>
    </row>
    <row r="581" spans="1:42" ht="15.75" customHeight="1">
      <c r="A581" s="23"/>
      <c r="H581" s="18"/>
      <c r="AB581" s="22"/>
      <c r="AC581" s="22"/>
      <c r="AN581" s="22"/>
      <c r="AO581" s="22"/>
      <c r="AP581" s="22"/>
    </row>
    <row r="582" spans="1:42" ht="15.75" customHeight="1">
      <c r="A582" s="23"/>
      <c r="H582" s="18"/>
      <c r="AB582" s="22"/>
      <c r="AC582" s="22"/>
      <c r="AN582" s="22"/>
      <c r="AO582" s="22"/>
      <c r="AP582" s="22"/>
    </row>
    <row r="583" spans="1:42" ht="15.75" customHeight="1">
      <c r="A583" s="23"/>
      <c r="H583" s="18"/>
      <c r="AB583" s="22"/>
      <c r="AC583" s="22"/>
      <c r="AN583" s="22"/>
      <c r="AO583" s="22"/>
      <c r="AP583" s="22"/>
    </row>
    <row r="584" spans="1:42" ht="15.75" customHeight="1">
      <c r="A584" s="23"/>
      <c r="H584" s="18"/>
      <c r="AB584" s="22"/>
      <c r="AC584" s="22"/>
      <c r="AN584" s="22"/>
      <c r="AO584" s="22"/>
      <c r="AP584" s="22"/>
    </row>
    <row r="585" spans="1:42" ht="15.75" customHeight="1">
      <c r="A585" s="23"/>
      <c r="H585" s="18"/>
      <c r="AB585" s="22"/>
      <c r="AC585" s="22"/>
      <c r="AN585" s="22"/>
      <c r="AO585" s="22"/>
      <c r="AP585" s="22"/>
    </row>
    <row r="586" spans="1:42" ht="15.75" customHeight="1">
      <c r="A586" s="23"/>
      <c r="H586" s="18"/>
      <c r="AB586" s="22"/>
      <c r="AC586" s="22"/>
      <c r="AN586" s="22"/>
      <c r="AO586" s="22"/>
      <c r="AP586" s="22"/>
    </row>
    <row r="587" spans="1:42" ht="15.75" customHeight="1">
      <c r="A587" s="23"/>
      <c r="H587" s="18"/>
      <c r="AB587" s="22"/>
      <c r="AC587" s="22"/>
      <c r="AN587" s="22"/>
      <c r="AO587" s="22"/>
      <c r="AP587" s="22"/>
    </row>
    <row r="588" spans="1:42" ht="15.75" customHeight="1">
      <c r="A588" s="23"/>
      <c r="H588" s="18"/>
      <c r="AB588" s="22"/>
      <c r="AC588" s="22"/>
      <c r="AN588" s="22"/>
      <c r="AO588" s="22"/>
      <c r="AP588" s="22"/>
    </row>
    <row r="589" spans="1:42" ht="15.75" customHeight="1">
      <c r="A589" s="23"/>
      <c r="H589" s="18"/>
      <c r="AB589" s="22"/>
      <c r="AC589" s="22"/>
      <c r="AN589" s="22"/>
      <c r="AO589" s="22"/>
      <c r="AP589" s="22"/>
    </row>
    <row r="590" spans="1:42" ht="15.75" customHeight="1">
      <c r="A590" s="23"/>
      <c r="H590" s="18"/>
      <c r="AB590" s="22"/>
      <c r="AC590" s="22"/>
      <c r="AN590" s="22"/>
      <c r="AO590" s="22"/>
      <c r="AP590" s="22"/>
    </row>
    <row r="591" spans="1:42" ht="15.75" customHeight="1">
      <c r="A591" s="23"/>
      <c r="H591" s="18"/>
      <c r="AB591" s="22"/>
      <c r="AC591" s="22"/>
      <c r="AN591" s="22"/>
      <c r="AO591" s="22"/>
      <c r="AP591" s="22"/>
    </row>
    <row r="592" spans="1:42" ht="15.75" customHeight="1">
      <c r="A592" s="23"/>
      <c r="H592" s="18"/>
      <c r="AB592" s="22"/>
      <c r="AC592" s="22"/>
      <c r="AN592" s="22"/>
      <c r="AO592" s="22"/>
      <c r="AP592" s="22"/>
    </row>
    <row r="593" spans="1:42" ht="15.75" customHeight="1">
      <c r="A593" s="23"/>
      <c r="H593" s="18"/>
      <c r="AB593" s="22"/>
      <c r="AC593" s="22"/>
      <c r="AN593" s="22"/>
      <c r="AO593" s="22"/>
      <c r="AP593" s="22"/>
    </row>
    <row r="594" spans="1:42" ht="15.75" customHeight="1">
      <c r="A594" s="23"/>
      <c r="H594" s="18"/>
      <c r="AB594" s="22"/>
      <c r="AC594" s="22"/>
      <c r="AN594" s="22"/>
      <c r="AO594" s="22"/>
      <c r="AP594" s="22"/>
    </row>
    <row r="595" spans="1:42" ht="15.75" customHeight="1">
      <c r="A595" s="23"/>
      <c r="H595" s="18"/>
      <c r="AB595" s="22"/>
      <c r="AC595" s="22"/>
      <c r="AN595" s="22"/>
      <c r="AO595" s="22"/>
      <c r="AP595" s="22"/>
    </row>
    <row r="596" spans="1:42" ht="15.75" customHeight="1">
      <c r="A596" s="23"/>
      <c r="H596" s="18"/>
      <c r="AB596" s="22"/>
      <c r="AC596" s="22"/>
      <c r="AN596" s="22"/>
      <c r="AO596" s="22"/>
      <c r="AP596" s="22"/>
    </row>
    <row r="597" spans="1:42" ht="15.75" customHeight="1">
      <c r="A597" s="23"/>
      <c r="H597" s="18"/>
      <c r="AB597" s="22"/>
      <c r="AC597" s="22"/>
      <c r="AN597" s="22"/>
      <c r="AO597" s="22"/>
      <c r="AP597" s="22"/>
    </row>
    <row r="598" spans="1:42" ht="15.75" customHeight="1">
      <c r="A598" s="23"/>
      <c r="H598" s="18"/>
      <c r="AB598" s="22"/>
      <c r="AC598" s="22"/>
      <c r="AN598" s="22"/>
      <c r="AO598" s="22"/>
      <c r="AP598" s="22"/>
    </row>
    <row r="599" spans="1:42" ht="15.75" customHeight="1">
      <c r="A599" s="23"/>
      <c r="H599" s="18"/>
      <c r="AB599" s="22"/>
      <c r="AC599" s="22"/>
      <c r="AN599" s="22"/>
      <c r="AO599" s="22"/>
      <c r="AP599" s="22"/>
    </row>
    <row r="600" spans="1:42" ht="15.75" customHeight="1">
      <c r="A600" s="23"/>
      <c r="H600" s="18"/>
      <c r="AB600" s="22"/>
      <c r="AC600" s="22"/>
      <c r="AN600" s="22"/>
      <c r="AO600" s="22"/>
      <c r="AP600" s="22"/>
    </row>
    <row r="601" spans="1:42" ht="15.75" customHeight="1">
      <c r="A601" s="23"/>
      <c r="H601" s="18"/>
      <c r="AB601" s="22"/>
      <c r="AC601" s="22"/>
      <c r="AN601" s="22"/>
      <c r="AO601" s="22"/>
      <c r="AP601" s="22"/>
    </row>
    <row r="602" spans="1:42" ht="15.75" customHeight="1">
      <c r="A602" s="23"/>
      <c r="H602" s="18"/>
      <c r="AB602" s="22"/>
      <c r="AC602" s="22"/>
      <c r="AN602" s="22"/>
      <c r="AO602" s="22"/>
      <c r="AP602" s="22"/>
    </row>
    <row r="603" spans="1:42" ht="15.75" customHeight="1">
      <c r="A603" s="23"/>
      <c r="H603" s="18"/>
      <c r="AB603" s="22"/>
      <c r="AC603" s="22"/>
      <c r="AN603" s="22"/>
      <c r="AO603" s="22"/>
      <c r="AP603" s="22"/>
    </row>
    <row r="604" spans="1:42" ht="15.75" customHeight="1">
      <c r="A604" s="23"/>
      <c r="H604" s="18"/>
      <c r="AB604" s="22"/>
      <c r="AC604" s="22"/>
      <c r="AN604" s="22"/>
      <c r="AO604" s="22"/>
      <c r="AP604" s="22"/>
    </row>
    <row r="605" spans="1:42" ht="15.75" customHeight="1">
      <c r="A605" s="23"/>
      <c r="H605" s="18"/>
      <c r="AB605" s="22"/>
      <c r="AC605" s="22"/>
      <c r="AN605" s="22"/>
      <c r="AO605" s="22"/>
      <c r="AP605" s="22"/>
    </row>
    <row r="606" spans="1:42" ht="15.75" customHeight="1">
      <c r="A606" s="23"/>
      <c r="H606" s="18"/>
      <c r="AB606" s="22"/>
      <c r="AC606" s="22"/>
      <c r="AN606" s="22"/>
      <c r="AO606" s="22"/>
      <c r="AP606" s="22"/>
    </row>
    <row r="607" spans="1:42" ht="15.75" customHeight="1">
      <c r="A607" s="23"/>
      <c r="H607" s="18"/>
      <c r="AB607" s="22"/>
      <c r="AC607" s="22"/>
      <c r="AN607" s="22"/>
      <c r="AO607" s="22"/>
      <c r="AP607" s="22"/>
    </row>
    <row r="608" spans="1:42" ht="15.75" customHeight="1">
      <c r="A608" s="23"/>
      <c r="H608" s="18"/>
      <c r="AB608" s="22"/>
      <c r="AC608" s="22"/>
      <c r="AN608" s="22"/>
      <c r="AO608" s="22"/>
      <c r="AP608" s="22"/>
    </row>
    <row r="609" spans="1:42" ht="15.75" customHeight="1">
      <c r="A609" s="23"/>
      <c r="H609" s="18"/>
      <c r="AB609" s="22"/>
      <c r="AC609" s="22"/>
      <c r="AN609" s="22"/>
      <c r="AO609" s="22"/>
      <c r="AP609" s="22"/>
    </row>
    <row r="610" spans="1:42" ht="15.75" customHeight="1">
      <c r="A610" s="23"/>
      <c r="H610" s="18"/>
      <c r="AB610" s="22"/>
      <c r="AC610" s="22"/>
      <c r="AN610" s="22"/>
      <c r="AO610" s="22"/>
      <c r="AP610" s="22"/>
    </row>
    <row r="611" spans="1:42" ht="15.75" customHeight="1">
      <c r="A611" s="23"/>
      <c r="H611" s="18"/>
      <c r="AB611" s="22"/>
      <c r="AC611" s="22"/>
      <c r="AN611" s="22"/>
      <c r="AO611" s="22"/>
      <c r="AP611" s="22"/>
    </row>
    <row r="612" spans="1:42" ht="15.75" customHeight="1">
      <c r="A612" s="23"/>
      <c r="H612" s="18"/>
      <c r="AB612" s="22"/>
      <c r="AC612" s="22"/>
      <c r="AN612" s="22"/>
      <c r="AO612" s="22"/>
      <c r="AP612" s="22"/>
    </row>
    <row r="613" spans="1:42" ht="15.75" customHeight="1">
      <c r="A613" s="23"/>
      <c r="H613" s="18"/>
      <c r="AB613" s="22"/>
      <c r="AC613" s="22"/>
      <c r="AN613" s="22"/>
      <c r="AO613" s="22"/>
      <c r="AP613" s="22"/>
    </row>
    <row r="614" spans="1:42" ht="15.75" customHeight="1">
      <c r="A614" s="23"/>
      <c r="H614" s="18"/>
      <c r="AB614" s="22"/>
      <c r="AC614" s="22"/>
      <c r="AN614" s="22"/>
      <c r="AO614" s="22"/>
      <c r="AP614" s="22"/>
    </row>
    <row r="615" spans="1:42" ht="15.75" customHeight="1">
      <c r="A615" s="23"/>
      <c r="H615" s="18"/>
      <c r="AB615" s="22"/>
      <c r="AC615" s="22"/>
      <c r="AN615" s="22"/>
      <c r="AO615" s="22"/>
      <c r="AP615" s="22"/>
    </row>
    <row r="616" spans="1:42" ht="15.75" customHeight="1">
      <c r="A616" s="23"/>
      <c r="H616" s="18"/>
      <c r="AB616" s="22"/>
      <c r="AC616" s="22"/>
      <c r="AN616" s="22"/>
      <c r="AO616" s="22"/>
      <c r="AP616" s="22"/>
    </row>
    <row r="617" spans="1:42" ht="15.75" customHeight="1">
      <c r="A617" s="23"/>
      <c r="H617" s="18"/>
      <c r="AB617" s="22"/>
      <c r="AC617" s="22"/>
      <c r="AN617" s="22"/>
      <c r="AO617" s="22"/>
      <c r="AP617" s="22"/>
    </row>
    <row r="618" spans="1:42" ht="15.75" customHeight="1">
      <c r="A618" s="23"/>
      <c r="H618" s="18"/>
      <c r="AB618" s="22"/>
      <c r="AC618" s="22"/>
      <c r="AN618" s="22"/>
      <c r="AO618" s="22"/>
      <c r="AP618" s="22"/>
    </row>
    <row r="619" spans="1:42" ht="15.75" customHeight="1">
      <c r="A619" s="23"/>
      <c r="H619" s="18"/>
      <c r="AB619" s="22"/>
      <c r="AC619" s="22"/>
      <c r="AN619" s="22"/>
      <c r="AO619" s="22"/>
      <c r="AP619" s="22"/>
    </row>
    <row r="620" spans="1:42" ht="15.75" customHeight="1">
      <c r="A620" s="23"/>
      <c r="H620" s="18"/>
      <c r="AB620" s="22"/>
      <c r="AC620" s="22"/>
      <c r="AN620" s="22"/>
      <c r="AO620" s="22"/>
      <c r="AP620" s="22"/>
    </row>
    <row r="621" spans="1:42" ht="15.75" customHeight="1">
      <c r="A621" s="23"/>
      <c r="H621" s="18"/>
      <c r="AB621" s="22"/>
      <c r="AC621" s="22"/>
      <c r="AN621" s="22"/>
      <c r="AO621" s="22"/>
      <c r="AP621" s="22"/>
    </row>
    <row r="622" spans="1:42" ht="15.75" customHeight="1">
      <c r="A622" s="23"/>
      <c r="H622" s="18"/>
      <c r="AB622" s="22"/>
      <c r="AC622" s="22"/>
      <c r="AN622" s="22"/>
      <c r="AO622" s="22"/>
      <c r="AP622" s="22"/>
    </row>
    <row r="623" spans="1:42" ht="15.75" customHeight="1">
      <c r="A623" s="23"/>
      <c r="H623" s="18"/>
      <c r="AB623" s="22"/>
      <c r="AC623" s="22"/>
      <c r="AN623" s="22"/>
      <c r="AO623" s="22"/>
      <c r="AP623" s="22"/>
    </row>
    <row r="624" spans="1:42" ht="15.75" customHeight="1">
      <c r="A624" s="23"/>
      <c r="H624" s="18"/>
      <c r="AB624" s="22"/>
      <c r="AC624" s="22"/>
      <c r="AN624" s="22"/>
      <c r="AO624" s="22"/>
      <c r="AP624" s="22"/>
    </row>
    <row r="625" spans="1:42" ht="15.75" customHeight="1">
      <c r="A625" s="23"/>
      <c r="H625" s="18"/>
      <c r="AB625" s="22"/>
      <c r="AC625" s="22"/>
      <c r="AN625" s="22"/>
      <c r="AO625" s="22"/>
      <c r="AP625" s="22"/>
    </row>
    <row r="626" spans="1:42" ht="15.75" customHeight="1">
      <c r="A626" s="23"/>
      <c r="H626" s="18"/>
      <c r="AB626" s="22"/>
      <c r="AC626" s="22"/>
      <c r="AN626" s="22"/>
      <c r="AO626" s="22"/>
      <c r="AP626" s="22"/>
    </row>
    <row r="627" spans="1:42" ht="15.75" customHeight="1">
      <c r="A627" s="23"/>
      <c r="H627" s="18"/>
      <c r="AB627" s="22"/>
      <c r="AC627" s="22"/>
      <c r="AN627" s="22"/>
      <c r="AO627" s="22"/>
      <c r="AP627" s="22"/>
    </row>
    <row r="628" spans="1:42" ht="15.75" customHeight="1">
      <c r="A628" s="23"/>
      <c r="H628" s="18"/>
      <c r="AB628" s="22"/>
      <c r="AC628" s="22"/>
      <c r="AN628" s="22"/>
      <c r="AO628" s="22"/>
      <c r="AP628" s="22"/>
    </row>
    <row r="629" spans="1:42" ht="15.75" customHeight="1">
      <c r="A629" s="23"/>
      <c r="H629" s="18"/>
      <c r="AB629" s="22"/>
      <c r="AC629" s="22"/>
      <c r="AN629" s="22"/>
      <c r="AO629" s="22"/>
      <c r="AP629" s="22"/>
    </row>
    <row r="630" spans="1:42" ht="15.75" customHeight="1">
      <c r="A630" s="23"/>
      <c r="H630" s="18"/>
      <c r="AB630" s="22"/>
      <c r="AC630" s="22"/>
      <c r="AN630" s="22"/>
      <c r="AO630" s="22"/>
      <c r="AP630" s="22"/>
    </row>
    <row r="631" spans="1:42" ht="15.75" customHeight="1">
      <c r="A631" s="23"/>
      <c r="H631" s="18"/>
      <c r="AB631" s="22"/>
      <c r="AC631" s="22"/>
      <c r="AN631" s="22"/>
      <c r="AO631" s="22"/>
      <c r="AP631" s="22"/>
    </row>
    <row r="632" spans="1:42" ht="15.75" customHeight="1">
      <c r="A632" s="23"/>
      <c r="H632" s="18"/>
      <c r="AB632" s="22"/>
      <c r="AC632" s="22"/>
      <c r="AN632" s="22"/>
      <c r="AO632" s="22"/>
      <c r="AP632" s="22"/>
    </row>
    <row r="633" spans="1:42" ht="15.75" customHeight="1">
      <c r="A633" s="23"/>
      <c r="H633" s="18"/>
      <c r="AB633" s="22"/>
      <c r="AC633" s="22"/>
      <c r="AN633" s="22"/>
      <c r="AO633" s="22"/>
      <c r="AP633" s="22"/>
    </row>
    <row r="634" spans="1:42" ht="15.75" customHeight="1">
      <c r="A634" s="23"/>
      <c r="H634" s="18"/>
      <c r="AB634" s="22"/>
      <c r="AC634" s="22"/>
      <c r="AN634" s="22"/>
      <c r="AO634" s="22"/>
      <c r="AP634" s="22"/>
    </row>
    <row r="635" spans="1:42" ht="15.75" customHeight="1">
      <c r="A635" s="23"/>
      <c r="H635" s="18"/>
      <c r="AB635" s="22"/>
      <c r="AC635" s="22"/>
      <c r="AN635" s="22"/>
      <c r="AO635" s="22"/>
      <c r="AP635" s="22"/>
    </row>
    <row r="636" spans="1:42" ht="15.75" customHeight="1">
      <c r="A636" s="23"/>
      <c r="H636" s="18"/>
      <c r="AB636" s="22"/>
      <c r="AC636" s="22"/>
      <c r="AN636" s="22"/>
      <c r="AO636" s="22"/>
      <c r="AP636" s="22"/>
    </row>
    <row r="637" spans="1:42" ht="15.75" customHeight="1">
      <c r="A637" s="23"/>
      <c r="H637" s="18"/>
      <c r="AB637" s="22"/>
      <c r="AC637" s="22"/>
      <c r="AN637" s="22"/>
      <c r="AO637" s="22"/>
      <c r="AP637" s="22"/>
    </row>
    <row r="638" spans="1:42" ht="15.75" customHeight="1">
      <c r="A638" s="23"/>
      <c r="H638" s="18"/>
      <c r="AB638" s="22"/>
      <c r="AC638" s="22"/>
      <c r="AN638" s="22"/>
      <c r="AO638" s="22"/>
      <c r="AP638" s="22"/>
    </row>
    <row r="639" spans="1:42" ht="15.75" customHeight="1">
      <c r="A639" s="23"/>
      <c r="H639" s="18"/>
      <c r="AB639" s="22"/>
      <c r="AC639" s="22"/>
      <c r="AN639" s="22"/>
      <c r="AO639" s="22"/>
      <c r="AP639" s="22"/>
    </row>
    <row r="640" spans="1:42" ht="15.75" customHeight="1">
      <c r="A640" s="23"/>
      <c r="H640" s="18"/>
      <c r="AB640" s="22"/>
      <c r="AC640" s="22"/>
      <c r="AN640" s="22"/>
      <c r="AO640" s="22"/>
      <c r="AP640" s="22"/>
    </row>
    <row r="641" spans="1:42" ht="15.75" customHeight="1">
      <c r="A641" s="23"/>
      <c r="H641" s="18"/>
      <c r="AB641" s="22"/>
      <c r="AC641" s="22"/>
      <c r="AN641" s="22"/>
      <c r="AO641" s="22"/>
      <c r="AP641" s="22"/>
    </row>
    <row r="642" spans="1:42" ht="15.75" customHeight="1">
      <c r="A642" s="23"/>
      <c r="H642" s="18"/>
      <c r="AB642" s="22"/>
      <c r="AC642" s="22"/>
      <c r="AN642" s="22"/>
      <c r="AO642" s="22"/>
      <c r="AP642" s="22"/>
    </row>
    <row r="643" spans="1:42" ht="15.75" customHeight="1">
      <c r="A643" s="23"/>
      <c r="H643" s="18"/>
      <c r="AB643" s="22"/>
      <c r="AC643" s="22"/>
      <c r="AN643" s="22"/>
      <c r="AO643" s="22"/>
      <c r="AP643" s="22"/>
    </row>
    <row r="644" spans="1:42" ht="15.75" customHeight="1">
      <c r="A644" s="23"/>
      <c r="H644" s="18"/>
      <c r="AB644" s="22"/>
      <c r="AC644" s="22"/>
      <c r="AN644" s="22"/>
      <c r="AO644" s="22"/>
      <c r="AP644" s="22"/>
    </row>
    <row r="645" spans="1:42" ht="15.75" customHeight="1">
      <c r="A645" s="23"/>
      <c r="H645" s="18"/>
      <c r="AB645" s="22"/>
      <c r="AC645" s="22"/>
      <c r="AN645" s="22"/>
      <c r="AO645" s="22"/>
      <c r="AP645" s="22"/>
    </row>
    <row r="646" spans="1:42" ht="15.75" customHeight="1">
      <c r="A646" s="23"/>
      <c r="H646" s="18"/>
      <c r="AB646" s="22"/>
      <c r="AC646" s="22"/>
      <c r="AN646" s="22"/>
      <c r="AO646" s="22"/>
      <c r="AP646" s="22"/>
    </row>
    <row r="647" spans="1:42" ht="15.75" customHeight="1">
      <c r="A647" s="23"/>
      <c r="H647" s="18"/>
      <c r="AB647" s="22"/>
      <c r="AC647" s="22"/>
      <c r="AN647" s="22"/>
      <c r="AO647" s="22"/>
      <c r="AP647" s="22"/>
    </row>
    <row r="648" spans="1:42" ht="15.75" customHeight="1">
      <c r="A648" s="23"/>
      <c r="H648" s="18"/>
      <c r="AB648" s="22"/>
      <c r="AC648" s="22"/>
      <c r="AN648" s="22"/>
      <c r="AO648" s="22"/>
      <c r="AP648" s="22"/>
    </row>
    <row r="649" spans="1:42" ht="15.75" customHeight="1">
      <c r="A649" s="23"/>
      <c r="H649" s="18"/>
      <c r="AB649" s="22"/>
      <c r="AC649" s="22"/>
      <c r="AN649" s="22"/>
      <c r="AO649" s="22"/>
      <c r="AP649" s="22"/>
    </row>
    <row r="650" spans="1:42" ht="15.75" customHeight="1">
      <c r="A650" s="23"/>
      <c r="H650" s="18"/>
      <c r="AB650" s="22"/>
      <c r="AC650" s="22"/>
      <c r="AN650" s="22"/>
      <c r="AO650" s="22"/>
      <c r="AP650" s="22"/>
    </row>
    <row r="651" spans="1:42" ht="15.75" customHeight="1">
      <c r="A651" s="23"/>
      <c r="H651" s="18"/>
      <c r="AB651" s="22"/>
      <c r="AC651" s="22"/>
      <c r="AN651" s="22"/>
      <c r="AO651" s="22"/>
      <c r="AP651" s="22"/>
    </row>
    <row r="652" spans="1:42" ht="15.75" customHeight="1">
      <c r="A652" s="23"/>
      <c r="H652" s="18"/>
      <c r="AB652" s="22"/>
      <c r="AC652" s="22"/>
      <c r="AN652" s="22"/>
      <c r="AO652" s="22"/>
      <c r="AP652" s="22"/>
    </row>
    <row r="653" spans="1:42" ht="15.75" customHeight="1">
      <c r="A653" s="23"/>
      <c r="H653" s="18"/>
      <c r="AB653" s="22"/>
      <c r="AC653" s="22"/>
      <c r="AN653" s="22"/>
      <c r="AO653" s="22"/>
      <c r="AP653" s="22"/>
    </row>
    <row r="654" spans="1:42" ht="15.75" customHeight="1">
      <c r="A654" s="23"/>
      <c r="H654" s="18"/>
      <c r="AB654" s="22"/>
      <c r="AC654" s="22"/>
      <c r="AN654" s="22"/>
      <c r="AO654" s="22"/>
      <c r="AP654" s="22"/>
    </row>
    <row r="655" spans="1:42" ht="15.75" customHeight="1">
      <c r="A655" s="23"/>
      <c r="H655" s="18"/>
      <c r="AB655" s="22"/>
      <c r="AC655" s="22"/>
      <c r="AN655" s="22"/>
      <c r="AO655" s="22"/>
      <c r="AP655" s="22"/>
    </row>
    <row r="656" spans="1:42" ht="15.75" customHeight="1">
      <c r="A656" s="23"/>
      <c r="H656" s="18"/>
      <c r="AB656" s="22"/>
      <c r="AC656" s="22"/>
      <c r="AN656" s="22"/>
      <c r="AO656" s="22"/>
      <c r="AP656" s="22"/>
    </row>
    <row r="657" spans="1:42" ht="15.75" customHeight="1">
      <c r="A657" s="23"/>
      <c r="H657" s="18"/>
      <c r="AB657" s="22"/>
      <c r="AC657" s="22"/>
      <c r="AN657" s="22"/>
      <c r="AO657" s="22"/>
      <c r="AP657" s="22"/>
    </row>
    <row r="658" spans="1:42" ht="15.75" customHeight="1">
      <c r="A658" s="23"/>
      <c r="H658" s="18"/>
      <c r="AB658" s="22"/>
      <c r="AC658" s="22"/>
      <c r="AN658" s="22"/>
      <c r="AO658" s="22"/>
      <c r="AP658" s="22"/>
    </row>
    <row r="659" spans="1:42" ht="15.75" customHeight="1">
      <c r="A659" s="23"/>
      <c r="H659" s="18"/>
      <c r="AB659" s="22"/>
      <c r="AC659" s="22"/>
      <c r="AN659" s="22"/>
      <c r="AO659" s="22"/>
      <c r="AP659" s="22"/>
    </row>
    <row r="660" spans="1:42" ht="15.75" customHeight="1">
      <c r="A660" s="23"/>
      <c r="H660" s="18"/>
      <c r="AB660" s="22"/>
      <c r="AC660" s="22"/>
      <c r="AN660" s="22"/>
      <c r="AO660" s="22"/>
      <c r="AP660" s="22"/>
    </row>
    <row r="661" spans="1:42" ht="15.75" customHeight="1">
      <c r="A661" s="23"/>
      <c r="H661" s="18"/>
      <c r="AB661" s="22"/>
      <c r="AC661" s="22"/>
      <c r="AN661" s="22"/>
      <c r="AO661" s="22"/>
      <c r="AP661" s="22"/>
    </row>
    <row r="662" spans="1:42" ht="15.75" customHeight="1">
      <c r="A662" s="23"/>
      <c r="H662" s="18"/>
      <c r="AB662" s="22"/>
      <c r="AC662" s="22"/>
      <c r="AN662" s="22"/>
      <c r="AO662" s="22"/>
      <c r="AP662" s="22"/>
    </row>
    <row r="663" spans="1:42" ht="15.75" customHeight="1">
      <c r="A663" s="23"/>
      <c r="H663" s="18"/>
      <c r="AB663" s="22"/>
      <c r="AC663" s="22"/>
      <c r="AN663" s="22"/>
      <c r="AO663" s="22"/>
      <c r="AP663" s="22"/>
    </row>
    <row r="664" spans="1:42" ht="15.75" customHeight="1">
      <c r="A664" s="23"/>
      <c r="H664" s="18"/>
      <c r="AB664" s="22"/>
      <c r="AC664" s="22"/>
      <c r="AN664" s="22"/>
      <c r="AO664" s="22"/>
      <c r="AP664" s="22"/>
    </row>
    <row r="665" spans="1:42" ht="15.75" customHeight="1">
      <c r="A665" s="23"/>
      <c r="H665" s="18"/>
      <c r="AB665" s="22"/>
      <c r="AC665" s="22"/>
      <c r="AN665" s="22"/>
      <c r="AO665" s="22"/>
      <c r="AP665" s="22"/>
    </row>
    <row r="666" spans="1:42" ht="15.75" customHeight="1">
      <c r="A666" s="23"/>
      <c r="H666" s="18"/>
      <c r="AB666" s="22"/>
      <c r="AC666" s="22"/>
      <c r="AN666" s="22"/>
      <c r="AO666" s="22"/>
      <c r="AP666" s="22"/>
    </row>
    <row r="667" spans="1:42" ht="15.75" customHeight="1">
      <c r="A667" s="23"/>
      <c r="H667" s="18"/>
      <c r="AB667" s="22"/>
      <c r="AC667" s="22"/>
      <c r="AN667" s="22"/>
      <c r="AO667" s="22"/>
      <c r="AP667" s="22"/>
    </row>
    <row r="668" spans="1:42" ht="15.75" customHeight="1">
      <c r="A668" s="23"/>
      <c r="H668" s="18"/>
      <c r="AB668" s="22"/>
      <c r="AC668" s="22"/>
      <c r="AN668" s="22"/>
      <c r="AO668" s="22"/>
      <c r="AP668" s="22"/>
    </row>
    <row r="669" spans="1:42" ht="15.75" customHeight="1">
      <c r="A669" s="23"/>
      <c r="H669" s="18"/>
      <c r="AB669" s="22"/>
      <c r="AC669" s="22"/>
      <c r="AN669" s="22"/>
      <c r="AO669" s="22"/>
      <c r="AP669" s="22"/>
    </row>
    <row r="670" spans="1:42" ht="15.75" customHeight="1">
      <c r="A670" s="23"/>
      <c r="H670" s="18"/>
      <c r="AB670" s="22"/>
      <c r="AC670" s="22"/>
      <c r="AN670" s="22"/>
      <c r="AO670" s="22"/>
      <c r="AP670" s="22"/>
    </row>
    <row r="671" spans="1:42" ht="15.75" customHeight="1">
      <c r="A671" s="23"/>
      <c r="H671" s="18"/>
      <c r="AB671" s="22"/>
      <c r="AC671" s="22"/>
      <c r="AN671" s="22"/>
      <c r="AO671" s="22"/>
      <c r="AP671" s="22"/>
    </row>
    <row r="672" spans="1:42" ht="15.75" customHeight="1">
      <c r="A672" s="23"/>
      <c r="H672" s="18"/>
      <c r="AB672" s="22"/>
      <c r="AC672" s="22"/>
      <c r="AN672" s="22"/>
      <c r="AO672" s="22"/>
      <c r="AP672" s="22"/>
    </row>
    <row r="673" spans="1:42" ht="15.75" customHeight="1">
      <c r="A673" s="23"/>
      <c r="H673" s="18"/>
      <c r="AB673" s="22"/>
      <c r="AC673" s="22"/>
      <c r="AN673" s="22"/>
      <c r="AO673" s="22"/>
      <c r="AP673" s="22"/>
    </row>
    <row r="674" spans="1:42" ht="15.75" customHeight="1">
      <c r="A674" s="23"/>
      <c r="H674" s="18"/>
      <c r="AB674" s="22"/>
      <c r="AC674" s="22"/>
      <c r="AN674" s="22"/>
      <c r="AO674" s="22"/>
      <c r="AP674" s="22"/>
    </row>
    <row r="675" spans="1:42" ht="15.75" customHeight="1">
      <c r="A675" s="23"/>
      <c r="H675" s="18"/>
      <c r="AB675" s="22"/>
      <c r="AC675" s="22"/>
      <c r="AN675" s="22"/>
      <c r="AO675" s="22"/>
      <c r="AP675" s="22"/>
    </row>
    <row r="676" spans="1:42" ht="15.75" customHeight="1">
      <c r="A676" s="23"/>
      <c r="H676" s="18"/>
      <c r="AB676" s="22"/>
      <c r="AC676" s="22"/>
      <c r="AN676" s="22"/>
      <c r="AO676" s="22"/>
      <c r="AP676" s="22"/>
    </row>
    <row r="677" spans="1:42" ht="15.75" customHeight="1">
      <c r="A677" s="23"/>
      <c r="H677" s="18"/>
      <c r="AB677" s="22"/>
      <c r="AC677" s="22"/>
      <c r="AN677" s="22"/>
      <c r="AO677" s="22"/>
      <c r="AP677" s="22"/>
    </row>
    <row r="678" spans="1:42" ht="15.75" customHeight="1">
      <c r="A678" s="23"/>
      <c r="H678" s="18"/>
      <c r="AB678" s="22"/>
      <c r="AC678" s="22"/>
      <c r="AN678" s="22"/>
      <c r="AO678" s="22"/>
      <c r="AP678" s="22"/>
    </row>
    <row r="679" spans="1:42" ht="15.75" customHeight="1">
      <c r="A679" s="23"/>
      <c r="H679" s="18"/>
      <c r="AB679" s="22"/>
      <c r="AC679" s="22"/>
      <c r="AN679" s="22"/>
      <c r="AO679" s="22"/>
      <c r="AP679" s="22"/>
    </row>
    <row r="680" spans="1:42" ht="15.75" customHeight="1">
      <c r="A680" s="23"/>
      <c r="H680" s="18"/>
      <c r="AB680" s="22"/>
      <c r="AC680" s="22"/>
      <c r="AN680" s="22"/>
      <c r="AO680" s="22"/>
      <c r="AP680" s="22"/>
    </row>
    <row r="681" spans="1:42" ht="15.75" customHeight="1">
      <c r="A681" s="23"/>
      <c r="H681" s="18"/>
      <c r="AB681" s="22"/>
      <c r="AC681" s="22"/>
      <c r="AN681" s="22"/>
      <c r="AO681" s="22"/>
      <c r="AP681" s="22"/>
    </row>
    <row r="682" spans="1:42" ht="15.75" customHeight="1">
      <c r="A682" s="23"/>
      <c r="H682" s="18"/>
      <c r="AB682" s="22"/>
      <c r="AC682" s="22"/>
      <c r="AN682" s="22"/>
      <c r="AO682" s="22"/>
      <c r="AP682" s="22"/>
    </row>
    <row r="683" spans="1:42" ht="15.75" customHeight="1">
      <c r="A683" s="23"/>
      <c r="H683" s="18"/>
      <c r="AB683" s="22"/>
      <c r="AC683" s="22"/>
      <c r="AN683" s="22"/>
      <c r="AO683" s="22"/>
      <c r="AP683" s="22"/>
    </row>
    <row r="684" spans="1:42" ht="15.75" customHeight="1">
      <c r="A684" s="23"/>
      <c r="H684" s="18"/>
      <c r="AB684" s="22"/>
      <c r="AC684" s="22"/>
      <c r="AN684" s="22"/>
      <c r="AO684" s="22"/>
      <c r="AP684" s="22"/>
    </row>
    <row r="685" spans="1:42" ht="15.75" customHeight="1">
      <c r="A685" s="23"/>
      <c r="H685" s="18"/>
      <c r="AB685" s="22"/>
      <c r="AC685" s="22"/>
      <c r="AN685" s="22"/>
      <c r="AO685" s="22"/>
      <c r="AP685" s="22"/>
    </row>
    <row r="686" spans="1:42" ht="15.75" customHeight="1">
      <c r="A686" s="23"/>
      <c r="H686" s="18"/>
      <c r="AB686" s="22"/>
      <c r="AC686" s="22"/>
      <c r="AN686" s="22"/>
      <c r="AO686" s="22"/>
      <c r="AP686" s="22"/>
    </row>
    <row r="687" spans="1:42" ht="15.75" customHeight="1">
      <c r="A687" s="23"/>
      <c r="H687" s="18"/>
      <c r="AB687" s="22"/>
      <c r="AC687" s="22"/>
      <c r="AN687" s="22"/>
      <c r="AO687" s="22"/>
      <c r="AP687" s="22"/>
    </row>
    <row r="688" spans="1:42" ht="15.75" customHeight="1">
      <c r="A688" s="23"/>
      <c r="H688" s="18"/>
      <c r="AB688" s="22"/>
      <c r="AC688" s="22"/>
      <c r="AN688" s="22"/>
      <c r="AO688" s="22"/>
      <c r="AP688" s="22"/>
    </row>
    <row r="689" spans="1:42" ht="15.75" customHeight="1">
      <c r="A689" s="23"/>
      <c r="H689" s="18"/>
      <c r="AB689" s="22"/>
      <c r="AC689" s="22"/>
      <c r="AN689" s="22"/>
      <c r="AO689" s="22"/>
      <c r="AP689" s="22"/>
    </row>
    <row r="690" spans="1:42" ht="15.75" customHeight="1">
      <c r="A690" s="23"/>
      <c r="H690" s="18"/>
      <c r="AB690" s="22"/>
      <c r="AC690" s="22"/>
      <c r="AN690" s="22"/>
      <c r="AO690" s="22"/>
      <c r="AP690" s="22"/>
    </row>
    <row r="691" spans="1:42" ht="15.75" customHeight="1">
      <c r="A691" s="23"/>
      <c r="H691" s="18"/>
      <c r="AB691" s="22"/>
      <c r="AC691" s="22"/>
      <c r="AN691" s="22"/>
      <c r="AO691" s="22"/>
      <c r="AP691" s="22"/>
    </row>
    <row r="692" spans="1:42" ht="15.75" customHeight="1">
      <c r="A692" s="23"/>
      <c r="H692" s="18"/>
      <c r="AB692" s="22"/>
      <c r="AC692" s="22"/>
      <c r="AN692" s="22"/>
      <c r="AO692" s="22"/>
      <c r="AP692" s="22"/>
    </row>
    <row r="693" spans="1:42" ht="15.75" customHeight="1">
      <c r="A693" s="23"/>
      <c r="H693" s="18"/>
      <c r="AB693" s="22"/>
      <c r="AC693" s="22"/>
      <c r="AN693" s="22"/>
      <c r="AO693" s="22"/>
      <c r="AP693" s="22"/>
    </row>
    <row r="694" spans="1:42" ht="15.75" customHeight="1">
      <c r="A694" s="23"/>
      <c r="H694" s="18"/>
      <c r="AB694" s="22"/>
      <c r="AC694" s="22"/>
      <c r="AN694" s="22"/>
      <c r="AO694" s="22"/>
      <c r="AP694" s="22"/>
    </row>
    <row r="695" spans="1:42" ht="15.75" customHeight="1">
      <c r="A695" s="23"/>
      <c r="H695" s="18"/>
      <c r="AB695" s="22"/>
      <c r="AC695" s="22"/>
      <c r="AN695" s="22"/>
      <c r="AO695" s="22"/>
      <c r="AP695" s="22"/>
    </row>
    <row r="696" spans="1:42" ht="15.75" customHeight="1">
      <c r="A696" s="23"/>
      <c r="H696" s="18"/>
      <c r="AB696" s="22"/>
      <c r="AC696" s="22"/>
      <c r="AN696" s="22"/>
      <c r="AO696" s="22"/>
      <c r="AP696" s="22"/>
    </row>
    <row r="697" spans="1:42" ht="15.75" customHeight="1">
      <c r="A697" s="23"/>
      <c r="H697" s="18"/>
      <c r="AB697" s="22"/>
      <c r="AC697" s="22"/>
      <c r="AN697" s="22"/>
      <c r="AO697" s="22"/>
      <c r="AP697" s="22"/>
    </row>
    <row r="698" spans="1:42" ht="15.75" customHeight="1">
      <c r="A698" s="23"/>
      <c r="H698" s="18"/>
      <c r="AB698" s="22"/>
      <c r="AC698" s="22"/>
      <c r="AN698" s="22"/>
      <c r="AO698" s="22"/>
      <c r="AP698" s="22"/>
    </row>
    <row r="699" spans="1:42" ht="15.75" customHeight="1">
      <c r="A699" s="23"/>
      <c r="H699" s="18"/>
      <c r="AB699" s="22"/>
      <c r="AC699" s="22"/>
      <c r="AN699" s="22"/>
      <c r="AO699" s="22"/>
      <c r="AP699" s="22"/>
    </row>
    <row r="700" spans="1:42" ht="15.75" customHeight="1">
      <c r="A700" s="23"/>
      <c r="H700" s="18"/>
      <c r="AB700" s="22"/>
      <c r="AC700" s="22"/>
      <c r="AN700" s="22"/>
      <c r="AO700" s="22"/>
      <c r="AP700" s="22"/>
    </row>
    <row r="701" spans="1:42" ht="15.75" customHeight="1">
      <c r="A701" s="23"/>
      <c r="H701" s="18"/>
      <c r="AB701" s="22"/>
      <c r="AC701" s="22"/>
      <c r="AN701" s="22"/>
      <c r="AO701" s="22"/>
      <c r="AP701" s="22"/>
    </row>
    <row r="702" spans="1:42" ht="15.75" customHeight="1">
      <c r="A702" s="23"/>
      <c r="H702" s="18"/>
      <c r="AB702" s="22"/>
      <c r="AC702" s="22"/>
      <c r="AN702" s="22"/>
      <c r="AO702" s="22"/>
      <c r="AP702" s="22"/>
    </row>
    <row r="703" spans="1:42" ht="15.75" customHeight="1">
      <c r="A703" s="23"/>
      <c r="H703" s="18"/>
      <c r="AB703" s="22"/>
      <c r="AC703" s="22"/>
      <c r="AN703" s="22"/>
      <c r="AO703" s="22"/>
      <c r="AP703" s="22"/>
    </row>
    <row r="704" spans="1:42" ht="15.75" customHeight="1">
      <c r="A704" s="23"/>
      <c r="H704" s="18"/>
      <c r="AB704" s="22"/>
      <c r="AC704" s="22"/>
      <c r="AN704" s="22"/>
      <c r="AO704" s="22"/>
      <c r="AP704" s="22"/>
    </row>
    <row r="705" spans="1:42" ht="15.75" customHeight="1">
      <c r="A705" s="23"/>
      <c r="H705" s="18"/>
      <c r="AB705" s="22"/>
      <c r="AC705" s="22"/>
      <c r="AN705" s="22"/>
      <c r="AO705" s="22"/>
      <c r="AP705" s="22"/>
    </row>
    <row r="706" spans="1:42" ht="15.75" customHeight="1">
      <c r="A706" s="23"/>
      <c r="H706" s="18"/>
      <c r="AB706" s="22"/>
      <c r="AC706" s="22"/>
      <c r="AN706" s="22"/>
      <c r="AO706" s="22"/>
      <c r="AP706" s="22"/>
    </row>
    <row r="707" spans="1:42" ht="15.75" customHeight="1">
      <c r="A707" s="23"/>
      <c r="H707" s="18"/>
      <c r="AB707" s="22"/>
      <c r="AC707" s="22"/>
      <c r="AN707" s="22"/>
      <c r="AO707" s="22"/>
      <c r="AP707" s="22"/>
    </row>
    <row r="708" spans="1:42" ht="15.75" customHeight="1">
      <c r="A708" s="23"/>
      <c r="H708" s="18"/>
      <c r="AB708" s="22"/>
      <c r="AC708" s="22"/>
      <c r="AN708" s="22"/>
      <c r="AO708" s="22"/>
      <c r="AP708" s="22"/>
    </row>
    <row r="709" spans="1:42" ht="15.75" customHeight="1">
      <c r="A709" s="23"/>
      <c r="H709" s="18"/>
      <c r="AB709" s="22"/>
      <c r="AC709" s="22"/>
      <c r="AN709" s="22"/>
      <c r="AO709" s="22"/>
      <c r="AP709" s="22"/>
    </row>
    <row r="710" spans="1:42" ht="15.75" customHeight="1">
      <c r="A710" s="23"/>
      <c r="H710" s="18"/>
      <c r="AB710" s="22"/>
      <c r="AC710" s="22"/>
      <c r="AN710" s="22"/>
      <c r="AO710" s="22"/>
      <c r="AP710" s="22"/>
    </row>
    <row r="711" spans="1:42" ht="15.75" customHeight="1">
      <c r="A711" s="23"/>
      <c r="H711" s="18"/>
      <c r="AB711" s="22"/>
      <c r="AC711" s="22"/>
      <c r="AN711" s="22"/>
      <c r="AO711" s="22"/>
      <c r="AP711" s="22"/>
    </row>
    <row r="712" spans="1:42" ht="15.75" customHeight="1">
      <c r="A712" s="23"/>
      <c r="H712" s="18"/>
      <c r="AB712" s="22"/>
      <c r="AC712" s="22"/>
      <c r="AN712" s="22"/>
      <c r="AO712" s="22"/>
      <c r="AP712" s="22"/>
    </row>
    <row r="713" spans="1:42" ht="15.75" customHeight="1">
      <c r="A713" s="23"/>
      <c r="H713" s="18"/>
      <c r="AB713" s="22"/>
      <c r="AC713" s="22"/>
      <c r="AN713" s="22"/>
      <c r="AO713" s="22"/>
      <c r="AP713" s="22"/>
    </row>
    <row r="714" spans="1:42" ht="15.75" customHeight="1">
      <c r="A714" s="23"/>
      <c r="H714" s="18"/>
      <c r="AB714" s="22"/>
      <c r="AC714" s="22"/>
      <c r="AN714" s="22"/>
      <c r="AO714" s="22"/>
      <c r="AP714" s="22"/>
    </row>
    <row r="715" spans="1:42" ht="15.75" customHeight="1">
      <c r="A715" s="23"/>
      <c r="H715" s="18"/>
      <c r="AB715" s="22"/>
      <c r="AC715" s="22"/>
      <c r="AN715" s="22"/>
      <c r="AO715" s="22"/>
      <c r="AP715" s="22"/>
    </row>
    <row r="716" spans="1:42" ht="15.75" customHeight="1">
      <c r="A716" s="23"/>
      <c r="H716" s="18"/>
      <c r="AB716" s="22"/>
      <c r="AC716" s="22"/>
      <c r="AN716" s="22"/>
      <c r="AO716" s="22"/>
      <c r="AP716" s="22"/>
    </row>
    <row r="717" spans="1:42" ht="15.75" customHeight="1">
      <c r="A717" s="23"/>
      <c r="H717" s="18"/>
      <c r="AB717" s="22"/>
      <c r="AC717" s="22"/>
      <c r="AN717" s="22"/>
      <c r="AO717" s="22"/>
      <c r="AP717" s="22"/>
    </row>
    <row r="718" spans="1:42" ht="15.75" customHeight="1">
      <c r="A718" s="23"/>
      <c r="H718" s="18"/>
      <c r="AB718" s="22"/>
      <c r="AC718" s="22"/>
      <c r="AN718" s="22"/>
      <c r="AO718" s="22"/>
      <c r="AP718" s="22"/>
    </row>
    <row r="719" spans="1:42" ht="15.75" customHeight="1">
      <c r="A719" s="23"/>
      <c r="H719" s="18"/>
      <c r="AB719" s="22"/>
      <c r="AC719" s="22"/>
      <c r="AN719" s="22"/>
      <c r="AO719" s="22"/>
      <c r="AP719" s="22"/>
    </row>
    <row r="720" spans="1:42" ht="15.75" customHeight="1">
      <c r="A720" s="23"/>
      <c r="H720" s="18"/>
      <c r="AB720" s="22"/>
      <c r="AC720" s="22"/>
      <c r="AN720" s="22"/>
      <c r="AO720" s="22"/>
      <c r="AP720" s="22"/>
    </row>
    <row r="721" spans="1:42" ht="15.75" customHeight="1">
      <c r="A721" s="23"/>
      <c r="H721" s="18"/>
      <c r="AB721" s="22"/>
      <c r="AC721" s="22"/>
      <c r="AN721" s="22"/>
      <c r="AO721" s="22"/>
      <c r="AP721" s="22"/>
    </row>
    <row r="722" spans="1:42" ht="15.75" customHeight="1">
      <c r="A722" s="23"/>
      <c r="H722" s="18"/>
      <c r="AB722" s="22"/>
      <c r="AC722" s="22"/>
      <c r="AN722" s="22"/>
      <c r="AO722" s="22"/>
      <c r="AP722" s="22"/>
    </row>
    <row r="723" spans="1:42" ht="15.75" customHeight="1">
      <c r="A723" s="23"/>
      <c r="H723" s="18"/>
      <c r="AB723" s="22"/>
      <c r="AC723" s="22"/>
      <c r="AN723" s="22"/>
      <c r="AO723" s="22"/>
      <c r="AP723" s="22"/>
    </row>
    <row r="724" spans="1:42" ht="15.75" customHeight="1">
      <c r="A724" s="23"/>
      <c r="H724" s="18"/>
      <c r="AB724" s="22"/>
      <c r="AC724" s="22"/>
      <c r="AN724" s="22"/>
      <c r="AO724" s="22"/>
      <c r="AP724" s="22"/>
    </row>
    <row r="725" spans="1:42" ht="15.75" customHeight="1">
      <c r="A725" s="23"/>
      <c r="H725" s="18"/>
      <c r="AB725" s="22"/>
      <c r="AC725" s="22"/>
      <c r="AN725" s="22"/>
      <c r="AO725" s="22"/>
      <c r="AP725" s="22"/>
    </row>
    <row r="726" spans="1:42" ht="15.75" customHeight="1">
      <c r="A726" s="23"/>
      <c r="H726" s="18"/>
      <c r="AB726" s="22"/>
      <c r="AC726" s="22"/>
      <c r="AN726" s="22"/>
      <c r="AO726" s="22"/>
      <c r="AP726" s="22"/>
    </row>
    <row r="727" spans="1:42" ht="15.75" customHeight="1">
      <c r="A727" s="23"/>
      <c r="H727" s="18"/>
      <c r="AB727" s="22"/>
      <c r="AC727" s="22"/>
      <c r="AN727" s="22"/>
      <c r="AO727" s="22"/>
      <c r="AP727" s="22"/>
    </row>
    <row r="728" spans="1:42" ht="15.75" customHeight="1">
      <c r="A728" s="23"/>
      <c r="H728" s="18"/>
      <c r="AB728" s="22"/>
      <c r="AC728" s="22"/>
      <c r="AN728" s="22"/>
      <c r="AO728" s="22"/>
      <c r="AP728" s="22"/>
    </row>
    <row r="729" spans="1:42" ht="15.75" customHeight="1">
      <c r="A729" s="23"/>
      <c r="H729" s="18"/>
      <c r="AB729" s="22"/>
      <c r="AC729" s="22"/>
      <c r="AN729" s="22"/>
      <c r="AO729" s="22"/>
      <c r="AP729" s="22"/>
    </row>
    <row r="730" spans="1:42" ht="15.75" customHeight="1">
      <c r="A730" s="23"/>
      <c r="H730" s="18"/>
      <c r="AB730" s="22"/>
      <c r="AC730" s="22"/>
      <c r="AN730" s="22"/>
      <c r="AO730" s="22"/>
      <c r="AP730" s="22"/>
    </row>
    <row r="731" spans="1:42" ht="15.75" customHeight="1">
      <c r="A731" s="23"/>
      <c r="H731" s="18"/>
      <c r="AB731" s="22"/>
      <c r="AC731" s="22"/>
      <c r="AN731" s="22"/>
      <c r="AO731" s="22"/>
      <c r="AP731" s="22"/>
    </row>
    <row r="732" spans="1:42" ht="15.75" customHeight="1">
      <c r="A732" s="23"/>
      <c r="H732" s="18"/>
      <c r="AB732" s="22"/>
      <c r="AC732" s="22"/>
      <c r="AN732" s="22"/>
      <c r="AO732" s="22"/>
      <c r="AP732" s="22"/>
    </row>
    <row r="733" spans="1:42" ht="15.75" customHeight="1">
      <c r="A733" s="23"/>
      <c r="H733" s="18"/>
      <c r="AB733" s="22"/>
      <c r="AC733" s="22"/>
      <c r="AN733" s="22"/>
      <c r="AO733" s="22"/>
      <c r="AP733" s="22"/>
    </row>
    <row r="734" spans="1:42" ht="15.75" customHeight="1">
      <c r="A734" s="23"/>
      <c r="H734" s="18"/>
      <c r="AB734" s="22"/>
      <c r="AC734" s="22"/>
      <c r="AN734" s="22"/>
      <c r="AO734" s="22"/>
      <c r="AP734" s="22"/>
    </row>
    <row r="735" spans="1:42" ht="15.75" customHeight="1">
      <c r="A735" s="23"/>
      <c r="H735" s="18"/>
      <c r="AB735" s="22"/>
      <c r="AC735" s="22"/>
      <c r="AN735" s="22"/>
      <c r="AO735" s="22"/>
      <c r="AP735" s="22"/>
    </row>
    <row r="736" spans="1:42" ht="15.75" customHeight="1">
      <c r="A736" s="23"/>
      <c r="H736" s="18"/>
      <c r="AB736" s="22"/>
      <c r="AC736" s="22"/>
      <c r="AN736" s="22"/>
      <c r="AO736" s="22"/>
      <c r="AP736" s="22"/>
    </row>
    <row r="737" spans="1:42" ht="15.75" customHeight="1">
      <c r="A737" s="23"/>
      <c r="H737" s="18"/>
      <c r="AB737" s="22"/>
      <c r="AC737" s="22"/>
      <c r="AN737" s="22"/>
      <c r="AO737" s="22"/>
      <c r="AP737" s="22"/>
    </row>
    <row r="738" spans="1:42" ht="15.75" customHeight="1">
      <c r="A738" s="23"/>
      <c r="H738" s="18"/>
      <c r="AB738" s="22"/>
      <c r="AC738" s="22"/>
      <c r="AN738" s="22"/>
      <c r="AO738" s="22"/>
      <c r="AP738" s="22"/>
    </row>
    <row r="739" spans="1:42" ht="15.75" customHeight="1">
      <c r="A739" s="23"/>
      <c r="H739" s="18"/>
      <c r="AB739" s="22"/>
      <c r="AC739" s="22"/>
      <c r="AN739" s="22"/>
      <c r="AO739" s="22"/>
      <c r="AP739" s="22"/>
    </row>
    <row r="740" spans="1:42" ht="15.75" customHeight="1">
      <c r="A740" s="23"/>
      <c r="H740" s="18"/>
      <c r="AB740" s="22"/>
      <c r="AC740" s="22"/>
      <c r="AN740" s="22"/>
      <c r="AO740" s="22"/>
      <c r="AP740" s="22"/>
    </row>
    <row r="741" spans="1:42" ht="15.75" customHeight="1">
      <c r="A741" s="23"/>
      <c r="H741" s="18"/>
      <c r="AB741" s="22"/>
      <c r="AC741" s="22"/>
      <c r="AN741" s="22"/>
      <c r="AO741" s="22"/>
      <c r="AP741" s="22"/>
    </row>
    <row r="742" spans="1:42" ht="15.75" customHeight="1">
      <c r="A742" s="23"/>
      <c r="H742" s="18"/>
      <c r="AB742" s="22"/>
      <c r="AC742" s="22"/>
      <c r="AN742" s="22"/>
      <c r="AO742" s="22"/>
      <c r="AP742" s="22"/>
    </row>
    <row r="743" spans="1:42" ht="15.75" customHeight="1">
      <c r="A743" s="23"/>
      <c r="H743" s="18"/>
      <c r="AB743" s="22"/>
      <c r="AC743" s="22"/>
      <c r="AN743" s="22"/>
      <c r="AO743" s="22"/>
      <c r="AP743" s="22"/>
    </row>
    <row r="744" spans="1:42" ht="15.75" customHeight="1">
      <c r="A744" s="23"/>
      <c r="H744" s="18"/>
      <c r="AB744" s="22"/>
      <c r="AC744" s="22"/>
      <c r="AN744" s="22"/>
      <c r="AO744" s="22"/>
      <c r="AP744" s="22"/>
    </row>
    <row r="745" spans="1:42" ht="15.75" customHeight="1">
      <c r="A745" s="23"/>
      <c r="H745" s="18"/>
      <c r="AB745" s="22"/>
      <c r="AC745" s="22"/>
      <c r="AN745" s="22"/>
      <c r="AO745" s="22"/>
      <c r="AP745" s="22"/>
    </row>
    <row r="746" spans="1:42" ht="15.75" customHeight="1">
      <c r="A746" s="23"/>
      <c r="H746" s="18"/>
      <c r="AB746" s="22"/>
      <c r="AC746" s="22"/>
      <c r="AN746" s="22"/>
      <c r="AO746" s="22"/>
      <c r="AP746" s="22"/>
    </row>
    <row r="747" spans="1:42" ht="15.75" customHeight="1">
      <c r="A747" s="23"/>
      <c r="H747" s="18"/>
      <c r="AB747" s="22"/>
      <c r="AC747" s="22"/>
      <c r="AN747" s="22"/>
      <c r="AO747" s="22"/>
      <c r="AP747" s="22"/>
    </row>
    <row r="748" spans="1:42" ht="15.75" customHeight="1">
      <c r="A748" s="23"/>
      <c r="H748" s="18"/>
      <c r="AB748" s="22"/>
      <c r="AC748" s="22"/>
      <c r="AN748" s="22"/>
      <c r="AO748" s="22"/>
      <c r="AP748" s="22"/>
    </row>
    <row r="749" spans="1:42" ht="15.75" customHeight="1">
      <c r="A749" s="23"/>
      <c r="H749" s="18"/>
      <c r="AB749" s="22"/>
      <c r="AC749" s="22"/>
      <c r="AN749" s="22"/>
      <c r="AO749" s="22"/>
      <c r="AP749" s="22"/>
    </row>
    <row r="750" spans="1:42" ht="15.75" customHeight="1">
      <c r="A750" s="23"/>
      <c r="H750" s="18"/>
      <c r="AB750" s="22"/>
      <c r="AC750" s="22"/>
      <c r="AN750" s="22"/>
      <c r="AO750" s="22"/>
      <c r="AP750" s="22"/>
    </row>
    <row r="751" spans="1:42" ht="15.75" customHeight="1">
      <c r="A751" s="23"/>
      <c r="H751" s="18"/>
      <c r="AB751" s="22"/>
      <c r="AC751" s="22"/>
      <c r="AN751" s="22"/>
      <c r="AO751" s="22"/>
      <c r="AP751" s="22"/>
    </row>
    <row r="752" spans="1:42" ht="15.75" customHeight="1">
      <c r="A752" s="23"/>
      <c r="H752" s="18"/>
      <c r="AB752" s="22"/>
      <c r="AC752" s="22"/>
      <c r="AN752" s="22"/>
      <c r="AO752" s="22"/>
      <c r="AP752" s="22"/>
    </row>
    <row r="753" spans="1:42" ht="15.75" customHeight="1">
      <c r="A753" s="23"/>
      <c r="H753" s="18"/>
      <c r="AB753" s="22"/>
      <c r="AC753" s="22"/>
      <c r="AN753" s="22"/>
      <c r="AO753" s="22"/>
      <c r="AP753" s="22"/>
    </row>
    <row r="754" spans="1:42" ht="15.75" customHeight="1">
      <c r="A754" s="23"/>
      <c r="H754" s="18"/>
      <c r="AB754" s="22"/>
      <c r="AC754" s="22"/>
      <c r="AN754" s="22"/>
      <c r="AO754" s="22"/>
      <c r="AP754" s="22"/>
    </row>
    <row r="755" spans="1:42" ht="15.75" customHeight="1">
      <c r="A755" s="23"/>
      <c r="H755" s="18"/>
      <c r="AB755" s="22"/>
      <c r="AC755" s="22"/>
      <c r="AN755" s="22"/>
      <c r="AO755" s="22"/>
      <c r="AP755" s="22"/>
    </row>
    <row r="756" spans="1:42" ht="15.75" customHeight="1">
      <c r="A756" s="23"/>
      <c r="H756" s="18"/>
      <c r="AB756" s="22"/>
      <c r="AC756" s="22"/>
      <c r="AN756" s="22"/>
      <c r="AO756" s="22"/>
      <c r="AP756" s="22"/>
    </row>
    <row r="757" spans="1:42" ht="15.75" customHeight="1">
      <c r="A757" s="23"/>
      <c r="H757" s="18"/>
      <c r="AB757" s="22"/>
      <c r="AC757" s="22"/>
      <c r="AN757" s="22"/>
      <c r="AO757" s="22"/>
      <c r="AP757" s="22"/>
    </row>
    <row r="758" spans="1:42" ht="15.75" customHeight="1">
      <c r="A758" s="23"/>
      <c r="H758" s="18"/>
      <c r="AB758" s="22"/>
      <c r="AC758" s="22"/>
      <c r="AN758" s="22"/>
      <c r="AO758" s="22"/>
      <c r="AP758" s="22"/>
    </row>
    <row r="759" spans="1:42" ht="15.75" customHeight="1">
      <c r="A759" s="23"/>
      <c r="H759" s="18"/>
      <c r="AB759" s="22"/>
      <c r="AC759" s="22"/>
      <c r="AN759" s="22"/>
      <c r="AO759" s="22"/>
      <c r="AP759" s="22"/>
    </row>
    <row r="760" spans="1:42" ht="15.75" customHeight="1">
      <c r="A760" s="23"/>
      <c r="H760" s="18"/>
      <c r="AB760" s="22"/>
      <c r="AC760" s="22"/>
      <c r="AN760" s="22"/>
      <c r="AO760" s="22"/>
      <c r="AP760" s="22"/>
    </row>
    <row r="761" spans="1:42" ht="15.75" customHeight="1">
      <c r="A761" s="23"/>
      <c r="H761" s="18"/>
      <c r="AB761" s="22"/>
      <c r="AC761" s="22"/>
      <c r="AN761" s="22"/>
      <c r="AO761" s="22"/>
      <c r="AP761" s="22"/>
    </row>
    <row r="762" spans="1:42" ht="15.75" customHeight="1">
      <c r="A762" s="23"/>
      <c r="H762" s="18"/>
      <c r="AB762" s="22"/>
      <c r="AC762" s="22"/>
      <c r="AN762" s="22"/>
      <c r="AO762" s="22"/>
      <c r="AP762" s="22"/>
    </row>
    <row r="763" spans="1:42" ht="15.75" customHeight="1">
      <c r="A763" s="23"/>
      <c r="H763" s="18"/>
      <c r="AB763" s="22"/>
      <c r="AC763" s="22"/>
      <c r="AN763" s="22"/>
      <c r="AO763" s="22"/>
      <c r="AP763" s="22"/>
    </row>
    <row r="764" spans="1:42" ht="15.75" customHeight="1">
      <c r="A764" s="23"/>
      <c r="H764" s="18"/>
      <c r="AB764" s="22"/>
      <c r="AC764" s="22"/>
      <c r="AN764" s="22"/>
      <c r="AO764" s="22"/>
      <c r="AP764" s="22"/>
    </row>
    <row r="765" spans="1:42" ht="15.75" customHeight="1">
      <c r="A765" s="23"/>
      <c r="H765" s="18"/>
      <c r="AB765" s="22"/>
      <c r="AC765" s="22"/>
      <c r="AN765" s="22"/>
      <c r="AO765" s="22"/>
      <c r="AP765" s="22"/>
    </row>
    <row r="766" spans="1:42" ht="15.75" customHeight="1">
      <c r="A766" s="23"/>
      <c r="H766" s="18"/>
      <c r="AB766" s="22"/>
      <c r="AC766" s="22"/>
      <c r="AN766" s="22"/>
      <c r="AO766" s="22"/>
      <c r="AP766" s="22"/>
    </row>
    <row r="767" spans="1:42" ht="15.75" customHeight="1">
      <c r="A767" s="23"/>
      <c r="H767" s="18"/>
      <c r="AB767" s="22"/>
      <c r="AC767" s="22"/>
      <c r="AN767" s="22"/>
      <c r="AO767" s="22"/>
      <c r="AP767" s="22"/>
    </row>
    <row r="768" spans="1:42" ht="15.75" customHeight="1">
      <c r="A768" s="23"/>
      <c r="H768" s="18"/>
      <c r="AB768" s="22"/>
      <c r="AC768" s="22"/>
      <c r="AN768" s="22"/>
      <c r="AO768" s="22"/>
      <c r="AP768" s="22"/>
    </row>
    <row r="769" spans="1:42" ht="15.75" customHeight="1">
      <c r="A769" s="23"/>
      <c r="H769" s="18"/>
      <c r="AB769" s="22"/>
      <c r="AC769" s="22"/>
      <c r="AN769" s="22"/>
      <c r="AO769" s="22"/>
      <c r="AP769" s="22"/>
    </row>
    <row r="770" spans="1:42" ht="15.75" customHeight="1">
      <c r="A770" s="23"/>
      <c r="H770" s="18"/>
      <c r="AB770" s="22"/>
      <c r="AC770" s="22"/>
      <c r="AN770" s="22"/>
      <c r="AO770" s="22"/>
      <c r="AP770" s="22"/>
    </row>
    <row r="771" spans="1:42" ht="15.75" customHeight="1">
      <c r="A771" s="23"/>
      <c r="H771" s="18"/>
      <c r="AB771" s="22"/>
      <c r="AC771" s="22"/>
      <c r="AN771" s="22"/>
      <c r="AO771" s="22"/>
      <c r="AP771" s="22"/>
    </row>
    <row r="772" spans="1:42" ht="15.75" customHeight="1">
      <c r="A772" s="23"/>
      <c r="H772" s="18"/>
      <c r="AB772" s="22"/>
      <c r="AC772" s="22"/>
      <c r="AN772" s="22"/>
      <c r="AO772" s="22"/>
      <c r="AP772" s="22"/>
    </row>
    <row r="773" spans="1:42" ht="15.75" customHeight="1">
      <c r="A773" s="23"/>
      <c r="H773" s="18"/>
      <c r="AB773" s="22"/>
      <c r="AC773" s="22"/>
      <c r="AN773" s="22"/>
      <c r="AO773" s="22"/>
      <c r="AP773" s="22"/>
    </row>
    <row r="774" spans="1:42" ht="15.75" customHeight="1">
      <c r="A774" s="23"/>
      <c r="H774" s="18"/>
      <c r="AB774" s="22"/>
      <c r="AC774" s="22"/>
      <c r="AN774" s="22"/>
      <c r="AO774" s="22"/>
      <c r="AP774" s="22"/>
    </row>
    <row r="775" spans="1:42" ht="15.75" customHeight="1">
      <c r="A775" s="23"/>
      <c r="H775" s="18"/>
      <c r="AB775" s="22"/>
      <c r="AC775" s="22"/>
      <c r="AN775" s="22"/>
      <c r="AO775" s="22"/>
      <c r="AP775" s="22"/>
    </row>
    <row r="776" spans="1:42" ht="15.75" customHeight="1">
      <c r="A776" s="23"/>
      <c r="H776" s="18"/>
      <c r="AB776" s="22"/>
      <c r="AC776" s="22"/>
      <c r="AN776" s="22"/>
      <c r="AO776" s="22"/>
      <c r="AP776" s="22"/>
    </row>
    <row r="777" spans="1:42" ht="15.75" customHeight="1">
      <c r="A777" s="23"/>
      <c r="H777" s="18"/>
      <c r="AB777" s="22"/>
      <c r="AC777" s="22"/>
      <c r="AN777" s="22"/>
      <c r="AO777" s="22"/>
      <c r="AP777" s="22"/>
    </row>
    <row r="778" spans="1:42" ht="15.75" customHeight="1">
      <c r="A778" s="23"/>
      <c r="H778" s="18"/>
      <c r="AB778" s="22"/>
      <c r="AC778" s="22"/>
      <c r="AN778" s="22"/>
      <c r="AO778" s="22"/>
      <c r="AP778" s="22"/>
    </row>
    <row r="779" spans="1:42" ht="15.75" customHeight="1">
      <c r="A779" s="23"/>
      <c r="H779" s="18"/>
      <c r="AB779" s="22"/>
      <c r="AC779" s="22"/>
      <c r="AN779" s="22"/>
      <c r="AO779" s="22"/>
      <c r="AP779" s="22"/>
    </row>
    <row r="780" spans="1:42" ht="15.75" customHeight="1">
      <c r="A780" s="23"/>
      <c r="H780" s="18"/>
      <c r="AB780" s="22"/>
      <c r="AC780" s="22"/>
      <c r="AN780" s="22"/>
      <c r="AO780" s="22"/>
      <c r="AP780" s="22"/>
    </row>
    <row r="781" spans="1:42" ht="15.75" customHeight="1">
      <c r="A781" s="23"/>
      <c r="H781" s="18"/>
      <c r="AB781" s="22"/>
      <c r="AC781" s="22"/>
      <c r="AN781" s="22"/>
      <c r="AO781" s="22"/>
      <c r="AP781" s="22"/>
    </row>
    <row r="782" spans="1:42" ht="15.75" customHeight="1">
      <c r="A782" s="23"/>
      <c r="H782" s="18"/>
      <c r="AB782" s="22"/>
      <c r="AC782" s="22"/>
      <c r="AN782" s="22"/>
      <c r="AO782" s="22"/>
      <c r="AP782" s="22"/>
    </row>
    <row r="783" spans="1:42" ht="15.75" customHeight="1">
      <c r="A783" s="23"/>
      <c r="H783" s="18"/>
      <c r="AB783" s="22"/>
      <c r="AC783" s="22"/>
      <c r="AN783" s="22"/>
      <c r="AO783" s="22"/>
      <c r="AP783" s="22"/>
    </row>
    <row r="784" spans="1:42" ht="15.75" customHeight="1">
      <c r="A784" s="23"/>
      <c r="H784" s="18"/>
      <c r="AB784" s="22"/>
      <c r="AC784" s="22"/>
      <c r="AN784" s="22"/>
      <c r="AO784" s="22"/>
      <c r="AP784" s="22"/>
    </row>
    <row r="785" spans="1:42" ht="15.75" customHeight="1">
      <c r="A785" s="23"/>
      <c r="H785" s="18"/>
      <c r="AB785" s="22"/>
      <c r="AC785" s="22"/>
      <c r="AN785" s="22"/>
      <c r="AO785" s="22"/>
      <c r="AP785" s="22"/>
    </row>
    <row r="786" spans="1:42" ht="15.75" customHeight="1">
      <c r="A786" s="23"/>
      <c r="H786" s="18"/>
      <c r="AB786" s="22"/>
      <c r="AC786" s="22"/>
      <c r="AN786" s="22"/>
      <c r="AO786" s="22"/>
      <c r="AP786" s="22"/>
    </row>
    <row r="787" spans="1:42" ht="15.75" customHeight="1">
      <c r="A787" s="23"/>
      <c r="H787" s="18"/>
      <c r="AB787" s="22"/>
      <c r="AC787" s="22"/>
      <c r="AN787" s="22"/>
      <c r="AO787" s="22"/>
      <c r="AP787" s="22"/>
    </row>
    <row r="788" spans="1:42" ht="15.75" customHeight="1">
      <c r="A788" s="23"/>
      <c r="H788" s="18"/>
      <c r="AB788" s="22"/>
      <c r="AC788" s="22"/>
      <c r="AN788" s="22"/>
      <c r="AO788" s="22"/>
      <c r="AP788" s="22"/>
    </row>
    <row r="789" spans="1:42" ht="15.75" customHeight="1">
      <c r="A789" s="23"/>
      <c r="H789" s="18"/>
      <c r="AB789" s="22"/>
      <c r="AC789" s="22"/>
      <c r="AN789" s="22"/>
      <c r="AO789" s="22"/>
      <c r="AP789" s="22"/>
    </row>
    <row r="790" spans="1:42" ht="15.75" customHeight="1">
      <c r="A790" s="23"/>
      <c r="H790" s="18"/>
      <c r="AB790" s="22"/>
      <c r="AC790" s="22"/>
      <c r="AN790" s="22"/>
      <c r="AO790" s="22"/>
      <c r="AP790" s="22"/>
    </row>
    <row r="791" spans="1:42" ht="15.75" customHeight="1">
      <c r="A791" s="23"/>
      <c r="H791" s="18"/>
      <c r="AB791" s="22"/>
      <c r="AC791" s="22"/>
      <c r="AN791" s="22"/>
      <c r="AO791" s="22"/>
      <c r="AP791" s="22"/>
    </row>
    <row r="792" spans="1:42" ht="15.75" customHeight="1">
      <c r="A792" s="23"/>
      <c r="H792" s="18"/>
      <c r="AB792" s="22"/>
      <c r="AC792" s="22"/>
      <c r="AN792" s="22"/>
      <c r="AO792" s="22"/>
      <c r="AP792" s="22"/>
    </row>
    <row r="793" spans="1:42" ht="15.75" customHeight="1">
      <c r="A793" s="23"/>
      <c r="H793" s="18"/>
      <c r="AB793" s="22"/>
      <c r="AC793" s="22"/>
      <c r="AN793" s="22"/>
      <c r="AO793" s="22"/>
      <c r="AP793" s="22"/>
    </row>
    <row r="794" spans="1:42" ht="15.75" customHeight="1">
      <c r="A794" s="23"/>
      <c r="H794" s="18"/>
      <c r="AB794" s="22"/>
      <c r="AC794" s="22"/>
      <c r="AN794" s="22"/>
      <c r="AO794" s="22"/>
      <c r="AP794" s="22"/>
    </row>
    <row r="795" spans="1:42" ht="15.75" customHeight="1">
      <c r="A795" s="23"/>
      <c r="H795" s="18"/>
      <c r="AB795" s="22"/>
      <c r="AC795" s="22"/>
      <c r="AN795" s="22"/>
      <c r="AO795" s="22"/>
      <c r="AP795" s="22"/>
    </row>
    <row r="796" spans="1:42" ht="15.75" customHeight="1">
      <c r="A796" s="23"/>
      <c r="H796" s="18"/>
      <c r="AB796" s="22"/>
      <c r="AC796" s="22"/>
      <c r="AN796" s="22"/>
      <c r="AO796" s="22"/>
      <c r="AP796" s="22"/>
    </row>
    <row r="797" spans="1:42" ht="15.75" customHeight="1">
      <c r="A797" s="23"/>
      <c r="H797" s="18"/>
      <c r="AB797" s="22"/>
      <c r="AC797" s="22"/>
      <c r="AN797" s="22"/>
      <c r="AO797" s="22"/>
      <c r="AP797" s="22"/>
    </row>
    <row r="798" spans="1:42" ht="15.75" customHeight="1">
      <c r="A798" s="23"/>
      <c r="H798" s="18"/>
      <c r="AB798" s="22"/>
      <c r="AC798" s="22"/>
      <c r="AN798" s="22"/>
      <c r="AO798" s="22"/>
      <c r="AP798" s="22"/>
    </row>
    <row r="799" spans="1:42" ht="15.75" customHeight="1">
      <c r="A799" s="23"/>
      <c r="H799" s="18"/>
      <c r="AB799" s="22"/>
      <c r="AC799" s="22"/>
      <c r="AN799" s="22"/>
      <c r="AO799" s="22"/>
      <c r="AP799" s="22"/>
    </row>
    <row r="800" spans="1:42" ht="15.75" customHeight="1">
      <c r="A800" s="23"/>
      <c r="H800" s="18"/>
      <c r="AB800" s="22"/>
      <c r="AC800" s="22"/>
      <c r="AN800" s="22"/>
      <c r="AO800" s="22"/>
      <c r="AP800" s="22"/>
    </row>
    <row r="801" spans="1:42" ht="15.75" customHeight="1">
      <c r="A801" s="23"/>
      <c r="H801" s="18"/>
      <c r="AB801" s="22"/>
      <c r="AC801" s="22"/>
      <c r="AN801" s="22"/>
      <c r="AO801" s="22"/>
      <c r="AP801" s="22"/>
    </row>
    <row r="802" spans="1:42" ht="15.75" customHeight="1">
      <c r="A802" s="23"/>
      <c r="H802" s="18"/>
      <c r="AB802" s="22"/>
      <c r="AC802" s="22"/>
      <c r="AN802" s="22"/>
      <c r="AO802" s="22"/>
      <c r="AP802" s="22"/>
    </row>
    <row r="803" spans="1:42" ht="15.75" customHeight="1">
      <c r="A803" s="23"/>
      <c r="H803" s="18"/>
      <c r="AB803" s="22"/>
      <c r="AC803" s="22"/>
      <c r="AN803" s="22"/>
      <c r="AO803" s="22"/>
      <c r="AP803" s="22"/>
    </row>
    <row r="804" spans="1:42" ht="15.75" customHeight="1">
      <c r="A804" s="23"/>
      <c r="H804" s="18"/>
      <c r="AB804" s="22"/>
      <c r="AC804" s="22"/>
      <c r="AN804" s="22"/>
      <c r="AO804" s="22"/>
      <c r="AP804" s="22"/>
    </row>
    <row r="805" spans="1:42" ht="15.75" customHeight="1">
      <c r="A805" s="23"/>
      <c r="H805" s="18"/>
      <c r="AB805" s="22"/>
      <c r="AC805" s="22"/>
      <c r="AN805" s="22"/>
      <c r="AO805" s="22"/>
      <c r="AP805" s="22"/>
    </row>
    <row r="806" spans="1:42" ht="15.75" customHeight="1">
      <c r="A806" s="23"/>
      <c r="H806" s="18"/>
      <c r="AB806" s="22"/>
      <c r="AC806" s="22"/>
      <c r="AN806" s="22"/>
      <c r="AO806" s="22"/>
      <c r="AP806" s="22"/>
    </row>
    <row r="807" spans="1:42" ht="15.75" customHeight="1">
      <c r="A807" s="23"/>
      <c r="H807" s="18"/>
      <c r="AB807" s="22"/>
      <c r="AC807" s="22"/>
      <c r="AN807" s="22"/>
      <c r="AO807" s="22"/>
      <c r="AP807" s="22"/>
    </row>
    <row r="808" spans="1:42" ht="15.75" customHeight="1">
      <c r="A808" s="23"/>
      <c r="H808" s="18"/>
      <c r="AB808" s="22"/>
      <c r="AC808" s="22"/>
      <c r="AN808" s="22"/>
      <c r="AO808" s="22"/>
      <c r="AP808" s="22"/>
    </row>
    <row r="809" spans="1:42" ht="15.75" customHeight="1">
      <c r="A809" s="23"/>
      <c r="H809" s="18"/>
      <c r="AB809" s="22"/>
      <c r="AC809" s="22"/>
      <c r="AN809" s="22"/>
      <c r="AO809" s="22"/>
      <c r="AP809" s="22"/>
    </row>
    <row r="810" spans="1:42" ht="15.75" customHeight="1">
      <c r="A810" s="23"/>
      <c r="H810" s="18"/>
      <c r="AB810" s="22"/>
      <c r="AC810" s="22"/>
      <c r="AN810" s="22"/>
      <c r="AO810" s="22"/>
      <c r="AP810" s="22"/>
    </row>
    <row r="811" spans="1:42" ht="15.75" customHeight="1">
      <c r="A811" s="23"/>
      <c r="H811" s="18"/>
      <c r="AB811" s="22"/>
      <c r="AC811" s="22"/>
      <c r="AN811" s="22"/>
      <c r="AO811" s="22"/>
      <c r="AP811" s="22"/>
    </row>
    <row r="812" spans="1:42" ht="15.75" customHeight="1">
      <c r="A812" s="23"/>
      <c r="H812" s="18"/>
      <c r="AB812" s="22"/>
      <c r="AC812" s="22"/>
      <c r="AN812" s="22"/>
      <c r="AO812" s="22"/>
      <c r="AP812" s="22"/>
    </row>
    <row r="813" spans="1:42" ht="15.75" customHeight="1">
      <c r="A813" s="23"/>
      <c r="H813" s="18"/>
      <c r="AB813" s="22"/>
      <c r="AC813" s="22"/>
      <c r="AN813" s="22"/>
      <c r="AO813" s="22"/>
      <c r="AP813" s="22"/>
    </row>
    <row r="814" spans="1:42" ht="15.75" customHeight="1">
      <c r="A814" s="23"/>
      <c r="H814" s="18"/>
      <c r="AB814" s="22"/>
      <c r="AC814" s="22"/>
      <c r="AN814" s="22"/>
      <c r="AO814" s="22"/>
      <c r="AP814" s="22"/>
    </row>
    <row r="815" spans="1:42" ht="15.75" customHeight="1">
      <c r="A815" s="23"/>
      <c r="H815" s="18"/>
      <c r="AB815" s="22"/>
      <c r="AC815" s="22"/>
      <c r="AN815" s="22"/>
      <c r="AO815" s="22"/>
      <c r="AP815" s="22"/>
    </row>
    <row r="816" spans="1:42" ht="15.75" customHeight="1">
      <c r="A816" s="23"/>
      <c r="H816" s="18"/>
      <c r="AB816" s="22"/>
      <c r="AC816" s="22"/>
      <c r="AN816" s="22"/>
      <c r="AO816" s="22"/>
      <c r="AP816" s="22"/>
    </row>
    <row r="817" spans="1:42" ht="15.75" customHeight="1">
      <c r="A817" s="23"/>
      <c r="H817" s="18"/>
      <c r="AB817" s="22"/>
      <c r="AC817" s="22"/>
      <c r="AN817" s="22"/>
      <c r="AO817" s="22"/>
      <c r="AP817" s="22"/>
    </row>
    <row r="818" spans="1:42" ht="15.75" customHeight="1">
      <c r="A818" s="23"/>
      <c r="H818" s="18"/>
      <c r="AB818" s="22"/>
      <c r="AC818" s="22"/>
      <c r="AN818" s="22"/>
      <c r="AO818" s="22"/>
      <c r="AP818" s="22"/>
    </row>
    <row r="819" spans="1:42" ht="15.75" customHeight="1">
      <c r="A819" s="23"/>
      <c r="H819" s="18"/>
      <c r="AB819" s="22"/>
      <c r="AC819" s="22"/>
      <c r="AN819" s="22"/>
      <c r="AO819" s="22"/>
      <c r="AP819" s="22"/>
    </row>
    <row r="820" spans="1:42" ht="15.75" customHeight="1">
      <c r="A820" s="23"/>
      <c r="H820" s="18"/>
      <c r="AB820" s="22"/>
      <c r="AC820" s="22"/>
      <c r="AN820" s="22"/>
      <c r="AO820" s="22"/>
      <c r="AP820" s="22"/>
    </row>
    <row r="821" spans="1:42" ht="15.75" customHeight="1">
      <c r="A821" s="23"/>
      <c r="H821" s="18"/>
      <c r="AB821" s="22"/>
      <c r="AC821" s="22"/>
      <c r="AN821" s="22"/>
      <c r="AO821" s="22"/>
      <c r="AP821" s="22"/>
    </row>
    <row r="822" spans="1:42" ht="15.75" customHeight="1">
      <c r="A822" s="23"/>
      <c r="H822" s="18"/>
      <c r="AB822" s="22"/>
      <c r="AC822" s="22"/>
      <c r="AN822" s="22"/>
      <c r="AO822" s="22"/>
      <c r="AP822" s="22"/>
    </row>
    <row r="823" spans="1:42" ht="15.75" customHeight="1">
      <c r="A823" s="23"/>
      <c r="H823" s="18"/>
      <c r="AB823" s="22"/>
      <c r="AC823" s="22"/>
      <c r="AN823" s="22"/>
      <c r="AO823" s="22"/>
      <c r="AP823" s="22"/>
    </row>
    <row r="824" spans="1:42" ht="15.75" customHeight="1">
      <c r="A824" s="23"/>
      <c r="H824" s="18"/>
      <c r="AB824" s="22"/>
      <c r="AC824" s="22"/>
      <c r="AN824" s="22"/>
      <c r="AO824" s="22"/>
      <c r="AP824" s="22"/>
    </row>
    <row r="825" spans="1:42" ht="15.75" customHeight="1">
      <c r="A825" s="23"/>
      <c r="H825" s="18"/>
      <c r="AB825" s="22"/>
      <c r="AC825" s="22"/>
      <c r="AN825" s="22"/>
      <c r="AO825" s="22"/>
      <c r="AP825" s="22"/>
    </row>
    <row r="826" spans="1:42" ht="15.75" customHeight="1">
      <c r="A826" s="23"/>
      <c r="H826" s="18"/>
      <c r="AB826" s="22"/>
      <c r="AC826" s="22"/>
      <c r="AN826" s="22"/>
      <c r="AO826" s="22"/>
      <c r="AP826" s="22"/>
    </row>
    <row r="827" spans="1:42" ht="15.75" customHeight="1">
      <c r="A827" s="23"/>
      <c r="H827" s="18"/>
      <c r="AB827" s="22"/>
      <c r="AC827" s="22"/>
      <c r="AN827" s="22"/>
      <c r="AO827" s="22"/>
      <c r="AP827" s="22"/>
    </row>
    <row r="828" spans="1:42" ht="15.75" customHeight="1">
      <c r="A828" s="23"/>
      <c r="H828" s="18"/>
      <c r="AB828" s="22"/>
      <c r="AC828" s="22"/>
      <c r="AN828" s="22"/>
      <c r="AO828" s="22"/>
      <c r="AP828" s="22"/>
    </row>
    <row r="829" spans="1:42" ht="15.75" customHeight="1">
      <c r="A829" s="23"/>
      <c r="H829" s="18"/>
      <c r="AB829" s="22"/>
      <c r="AC829" s="22"/>
      <c r="AN829" s="22"/>
      <c r="AO829" s="22"/>
      <c r="AP829" s="22"/>
    </row>
    <row r="830" spans="1:42" ht="15.75" customHeight="1">
      <c r="A830" s="23"/>
      <c r="H830" s="18"/>
      <c r="AB830" s="22"/>
      <c r="AC830" s="22"/>
      <c r="AN830" s="22"/>
      <c r="AO830" s="22"/>
      <c r="AP830" s="22"/>
    </row>
    <row r="831" spans="1:42" ht="15.75" customHeight="1">
      <c r="A831" s="23"/>
      <c r="H831" s="18"/>
      <c r="AB831" s="22"/>
      <c r="AC831" s="22"/>
      <c r="AN831" s="22"/>
      <c r="AO831" s="22"/>
      <c r="AP831" s="22"/>
    </row>
    <row r="832" spans="1:42" ht="15.75" customHeight="1">
      <c r="A832" s="23"/>
      <c r="H832" s="18"/>
      <c r="AB832" s="22"/>
      <c r="AC832" s="22"/>
      <c r="AN832" s="22"/>
      <c r="AO832" s="22"/>
      <c r="AP832" s="22"/>
    </row>
    <row r="833" spans="1:42" ht="15.75" customHeight="1">
      <c r="A833" s="23"/>
      <c r="H833" s="18"/>
      <c r="AB833" s="22"/>
      <c r="AC833" s="22"/>
      <c r="AN833" s="22"/>
      <c r="AO833" s="22"/>
      <c r="AP833" s="22"/>
    </row>
    <row r="834" spans="1:42" ht="15.75" customHeight="1">
      <c r="A834" s="23"/>
      <c r="H834" s="18"/>
      <c r="AB834" s="22"/>
      <c r="AC834" s="22"/>
      <c r="AN834" s="22"/>
      <c r="AO834" s="22"/>
      <c r="AP834" s="22"/>
    </row>
    <row r="835" spans="1:42" ht="15.75" customHeight="1">
      <c r="A835" s="23"/>
      <c r="H835" s="18"/>
      <c r="AB835" s="22"/>
      <c r="AC835" s="22"/>
      <c r="AN835" s="22"/>
      <c r="AO835" s="22"/>
      <c r="AP835" s="22"/>
    </row>
    <row r="836" spans="1:42" ht="15.75" customHeight="1">
      <c r="A836" s="23"/>
      <c r="H836" s="18"/>
      <c r="AB836" s="22"/>
      <c r="AC836" s="22"/>
      <c r="AN836" s="22"/>
      <c r="AO836" s="22"/>
      <c r="AP836" s="22"/>
    </row>
    <row r="837" spans="1:42" ht="15.75" customHeight="1">
      <c r="A837" s="23"/>
      <c r="H837" s="18"/>
      <c r="AB837" s="22"/>
      <c r="AC837" s="22"/>
      <c r="AN837" s="22"/>
      <c r="AO837" s="22"/>
      <c r="AP837" s="22"/>
    </row>
    <row r="838" spans="1:42" ht="15.75" customHeight="1">
      <c r="A838" s="23"/>
      <c r="H838" s="18"/>
      <c r="AB838" s="22"/>
      <c r="AC838" s="22"/>
      <c r="AN838" s="22"/>
      <c r="AO838" s="22"/>
      <c r="AP838" s="22"/>
    </row>
    <row r="839" spans="1:42" ht="15.75" customHeight="1">
      <c r="A839" s="23"/>
      <c r="H839" s="18"/>
      <c r="AB839" s="22"/>
      <c r="AC839" s="22"/>
      <c r="AN839" s="22"/>
      <c r="AO839" s="22"/>
      <c r="AP839" s="22"/>
    </row>
    <row r="840" spans="1:42" ht="15.75" customHeight="1">
      <c r="A840" s="23"/>
      <c r="H840" s="18"/>
      <c r="AB840" s="22"/>
      <c r="AC840" s="22"/>
      <c r="AN840" s="22"/>
      <c r="AO840" s="22"/>
      <c r="AP840" s="22"/>
    </row>
    <row r="841" spans="1:42" ht="15.75" customHeight="1">
      <c r="A841" s="23"/>
      <c r="H841" s="18"/>
      <c r="AB841" s="22"/>
      <c r="AC841" s="22"/>
      <c r="AN841" s="22"/>
      <c r="AO841" s="22"/>
      <c r="AP841" s="22"/>
    </row>
    <row r="842" spans="1:42" ht="15.75" customHeight="1">
      <c r="A842" s="23"/>
      <c r="H842" s="18"/>
      <c r="AB842" s="22"/>
      <c r="AC842" s="22"/>
      <c r="AN842" s="22"/>
      <c r="AO842" s="22"/>
      <c r="AP842" s="22"/>
    </row>
    <row r="843" spans="1:42" ht="15.75" customHeight="1">
      <c r="A843" s="23"/>
      <c r="H843" s="18"/>
      <c r="AB843" s="22"/>
      <c r="AC843" s="22"/>
      <c r="AN843" s="22"/>
      <c r="AO843" s="22"/>
      <c r="AP843" s="22"/>
    </row>
    <row r="844" spans="1:42" ht="15.75" customHeight="1">
      <c r="A844" s="23"/>
      <c r="H844" s="18"/>
      <c r="AB844" s="22"/>
      <c r="AC844" s="22"/>
      <c r="AN844" s="22"/>
      <c r="AO844" s="22"/>
      <c r="AP844" s="22"/>
    </row>
    <row r="845" spans="1:42" ht="15.75" customHeight="1">
      <c r="A845" s="23"/>
      <c r="H845" s="18"/>
      <c r="AB845" s="22"/>
      <c r="AC845" s="22"/>
      <c r="AN845" s="22"/>
      <c r="AO845" s="22"/>
      <c r="AP845" s="22"/>
    </row>
    <row r="846" spans="1:42" ht="15.75" customHeight="1">
      <c r="A846" s="23"/>
      <c r="H846" s="18"/>
      <c r="AB846" s="22"/>
      <c r="AC846" s="22"/>
      <c r="AN846" s="22"/>
      <c r="AO846" s="22"/>
      <c r="AP846" s="22"/>
    </row>
    <row r="847" spans="1:42" ht="15.75" customHeight="1">
      <c r="A847" s="23"/>
      <c r="H847" s="18"/>
      <c r="AB847" s="22"/>
      <c r="AC847" s="22"/>
      <c r="AN847" s="22"/>
      <c r="AO847" s="22"/>
      <c r="AP847" s="22"/>
    </row>
    <row r="848" spans="1:42" ht="15.75" customHeight="1">
      <c r="A848" s="23"/>
      <c r="H848" s="18"/>
      <c r="AB848" s="22"/>
      <c r="AC848" s="22"/>
      <c r="AN848" s="22"/>
      <c r="AO848" s="22"/>
      <c r="AP848" s="22"/>
    </row>
    <row r="849" spans="1:42" ht="15.75" customHeight="1">
      <c r="A849" s="23"/>
      <c r="H849" s="18"/>
      <c r="AB849" s="22"/>
      <c r="AC849" s="22"/>
      <c r="AN849" s="22"/>
      <c r="AO849" s="22"/>
      <c r="AP849" s="22"/>
    </row>
    <row r="850" spans="1:42" ht="15.75" customHeight="1">
      <c r="A850" s="23"/>
      <c r="H850" s="18"/>
      <c r="AB850" s="22"/>
      <c r="AC850" s="22"/>
      <c r="AN850" s="22"/>
      <c r="AO850" s="22"/>
      <c r="AP850" s="22"/>
    </row>
    <row r="851" spans="1:42" ht="15.75" customHeight="1">
      <c r="A851" s="23"/>
      <c r="H851" s="18"/>
      <c r="AB851" s="22"/>
      <c r="AC851" s="22"/>
      <c r="AN851" s="22"/>
      <c r="AO851" s="22"/>
      <c r="AP851" s="22"/>
    </row>
    <row r="852" spans="1:42" ht="15.75" customHeight="1">
      <c r="A852" s="23"/>
      <c r="H852" s="18"/>
      <c r="AB852" s="22"/>
      <c r="AC852" s="22"/>
      <c r="AN852" s="22"/>
      <c r="AO852" s="22"/>
      <c r="AP852" s="22"/>
    </row>
    <row r="853" spans="1:42" ht="15.75" customHeight="1">
      <c r="A853" s="23"/>
      <c r="H853" s="18"/>
      <c r="AB853" s="22"/>
      <c r="AC853" s="22"/>
      <c r="AN853" s="22"/>
      <c r="AO853" s="22"/>
      <c r="AP853" s="22"/>
    </row>
    <row r="854" spans="1:42" ht="15.75" customHeight="1">
      <c r="A854" s="23"/>
      <c r="H854" s="18"/>
      <c r="AB854" s="22"/>
      <c r="AC854" s="22"/>
      <c r="AN854" s="22"/>
      <c r="AO854" s="22"/>
      <c r="AP854" s="22"/>
    </row>
    <row r="855" spans="1:42" ht="15.75" customHeight="1">
      <c r="A855" s="23"/>
      <c r="H855" s="18"/>
      <c r="AB855" s="22"/>
      <c r="AC855" s="22"/>
      <c r="AN855" s="22"/>
      <c r="AO855" s="22"/>
      <c r="AP855" s="22"/>
    </row>
    <row r="856" spans="1:42" ht="15.75" customHeight="1">
      <c r="A856" s="23"/>
      <c r="H856" s="18"/>
      <c r="AB856" s="22"/>
      <c r="AC856" s="22"/>
      <c r="AN856" s="22"/>
      <c r="AO856" s="22"/>
      <c r="AP856" s="22"/>
    </row>
    <row r="857" spans="1:42" ht="15.75" customHeight="1">
      <c r="A857" s="23"/>
      <c r="H857" s="18"/>
      <c r="AB857" s="22"/>
      <c r="AC857" s="22"/>
      <c r="AN857" s="22"/>
      <c r="AO857" s="22"/>
      <c r="AP857" s="22"/>
    </row>
    <row r="858" spans="1:42" ht="15.75" customHeight="1">
      <c r="A858" s="23"/>
      <c r="H858" s="18"/>
      <c r="AB858" s="22"/>
      <c r="AC858" s="22"/>
      <c r="AN858" s="22"/>
      <c r="AO858" s="22"/>
      <c r="AP858" s="22"/>
    </row>
    <row r="859" spans="1:42" ht="15.75" customHeight="1">
      <c r="A859" s="23"/>
      <c r="H859" s="18"/>
      <c r="AB859" s="22"/>
      <c r="AC859" s="22"/>
      <c r="AN859" s="22"/>
      <c r="AO859" s="22"/>
      <c r="AP859" s="22"/>
    </row>
    <row r="860" spans="1:42" ht="15.75" customHeight="1">
      <c r="A860" s="23"/>
      <c r="H860" s="18"/>
      <c r="AB860" s="22"/>
      <c r="AC860" s="22"/>
      <c r="AN860" s="22"/>
      <c r="AO860" s="22"/>
      <c r="AP860" s="22"/>
    </row>
    <row r="861" spans="1:42" ht="15.75" customHeight="1">
      <c r="A861" s="23"/>
      <c r="H861" s="18"/>
      <c r="AB861" s="22"/>
      <c r="AC861" s="22"/>
      <c r="AN861" s="22"/>
      <c r="AO861" s="22"/>
      <c r="AP861" s="22"/>
    </row>
    <row r="862" spans="1:42" ht="15.75" customHeight="1">
      <c r="A862" s="23"/>
      <c r="H862" s="18"/>
      <c r="AB862" s="22"/>
      <c r="AC862" s="22"/>
      <c r="AN862" s="22"/>
      <c r="AO862" s="22"/>
      <c r="AP862" s="22"/>
    </row>
    <row r="863" spans="1:42" ht="15.75" customHeight="1">
      <c r="A863" s="23"/>
      <c r="H863" s="18"/>
      <c r="AB863" s="22"/>
      <c r="AC863" s="22"/>
      <c r="AN863" s="22"/>
      <c r="AO863" s="22"/>
      <c r="AP863" s="22"/>
    </row>
    <row r="864" spans="1:42" ht="15.75" customHeight="1">
      <c r="A864" s="23"/>
      <c r="H864" s="18"/>
      <c r="AB864" s="22"/>
      <c r="AC864" s="22"/>
      <c r="AN864" s="22"/>
      <c r="AO864" s="22"/>
      <c r="AP864" s="22"/>
    </row>
    <row r="865" spans="1:42" ht="15.75" customHeight="1">
      <c r="A865" s="23"/>
      <c r="H865" s="18"/>
      <c r="AB865" s="22"/>
      <c r="AC865" s="22"/>
      <c r="AN865" s="22"/>
      <c r="AO865" s="22"/>
      <c r="AP865" s="22"/>
    </row>
    <row r="866" spans="1:42" ht="15.75" customHeight="1">
      <c r="A866" s="23"/>
      <c r="H866" s="18"/>
      <c r="AB866" s="22"/>
      <c r="AC866" s="22"/>
      <c r="AN866" s="22"/>
      <c r="AO866" s="22"/>
      <c r="AP866" s="22"/>
    </row>
    <row r="867" spans="1:42" ht="15.75" customHeight="1">
      <c r="A867" s="23"/>
      <c r="H867" s="18"/>
      <c r="AB867" s="22"/>
      <c r="AC867" s="22"/>
      <c r="AN867" s="22"/>
      <c r="AO867" s="22"/>
      <c r="AP867" s="22"/>
    </row>
    <row r="868" spans="1:42" ht="15.75" customHeight="1">
      <c r="A868" s="23"/>
      <c r="H868" s="18"/>
      <c r="AB868" s="22"/>
      <c r="AC868" s="22"/>
      <c r="AN868" s="22"/>
      <c r="AO868" s="22"/>
      <c r="AP868" s="22"/>
    </row>
    <row r="869" spans="1:42" ht="15.75" customHeight="1">
      <c r="A869" s="23"/>
      <c r="H869" s="18"/>
      <c r="AB869" s="22"/>
      <c r="AC869" s="22"/>
      <c r="AN869" s="22"/>
      <c r="AO869" s="22"/>
      <c r="AP869" s="22"/>
    </row>
    <row r="870" spans="1:42" ht="15.75" customHeight="1">
      <c r="A870" s="23"/>
      <c r="H870" s="18"/>
      <c r="AB870" s="22"/>
      <c r="AC870" s="22"/>
      <c r="AN870" s="22"/>
      <c r="AO870" s="22"/>
      <c r="AP870" s="22"/>
    </row>
    <row r="871" spans="1:42" ht="15.75" customHeight="1">
      <c r="A871" s="23"/>
      <c r="H871" s="18"/>
      <c r="AB871" s="22"/>
      <c r="AC871" s="22"/>
      <c r="AN871" s="22"/>
      <c r="AO871" s="22"/>
      <c r="AP871" s="22"/>
    </row>
    <row r="872" spans="1:42" ht="15.75" customHeight="1">
      <c r="A872" s="23"/>
      <c r="H872" s="18"/>
      <c r="AB872" s="22"/>
      <c r="AC872" s="22"/>
      <c r="AN872" s="22"/>
      <c r="AO872" s="22"/>
      <c r="AP872" s="22"/>
    </row>
    <row r="873" spans="1:42" ht="15.75" customHeight="1">
      <c r="A873" s="23"/>
      <c r="H873" s="18"/>
      <c r="AB873" s="22"/>
      <c r="AC873" s="22"/>
      <c r="AN873" s="22"/>
      <c r="AO873" s="22"/>
      <c r="AP873" s="22"/>
    </row>
    <row r="874" spans="1:42" ht="15.75" customHeight="1">
      <c r="A874" s="23"/>
      <c r="H874" s="18"/>
      <c r="AB874" s="22"/>
      <c r="AC874" s="22"/>
      <c r="AN874" s="22"/>
      <c r="AO874" s="22"/>
      <c r="AP874" s="22"/>
    </row>
    <row r="875" spans="1:42" ht="15.75" customHeight="1">
      <c r="A875" s="23"/>
      <c r="H875" s="18"/>
      <c r="AB875" s="22"/>
      <c r="AC875" s="22"/>
      <c r="AN875" s="22"/>
      <c r="AO875" s="22"/>
      <c r="AP875" s="22"/>
    </row>
    <row r="876" spans="1:42" ht="15.75" customHeight="1">
      <c r="A876" s="23"/>
      <c r="H876" s="18"/>
      <c r="AB876" s="22"/>
      <c r="AC876" s="22"/>
      <c r="AN876" s="22"/>
      <c r="AO876" s="22"/>
      <c r="AP876" s="22"/>
    </row>
    <row r="877" spans="1:42" ht="15.75" customHeight="1">
      <c r="A877" s="23"/>
      <c r="H877" s="18"/>
      <c r="AB877" s="22"/>
      <c r="AC877" s="22"/>
      <c r="AN877" s="22"/>
      <c r="AO877" s="22"/>
      <c r="AP877" s="22"/>
    </row>
    <row r="878" spans="1:42" ht="15.75" customHeight="1">
      <c r="A878" s="23"/>
      <c r="H878" s="18"/>
      <c r="AB878" s="22"/>
      <c r="AC878" s="22"/>
      <c r="AN878" s="22"/>
      <c r="AO878" s="22"/>
      <c r="AP878" s="22"/>
    </row>
    <row r="879" spans="1:42" ht="15.75" customHeight="1">
      <c r="A879" s="23"/>
      <c r="H879" s="18"/>
      <c r="AB879" s="22"/>
      <c r="AC879" s="22"/>
      <c r="AN879" s="22"/>
      <c r="AO879" s="22"/>
      <c r="AP879" s="22"/>
    </row>
    <row r="880" spans="1:42" ht="15.75" customHeight="1">
      <c r="A880" s="23"/>
      <c r="H880" s="18"/>
      <c r="AB880" s="22"/>
      <c r="AC880" s="22"/>
      <c r="AN880" s="22"/>
      <c r="AO880" s="22"/>
      <c r="AP880" s="22"/>
    </row>
    <row r="881" spans="1:42" ht="15.75" customHeight="1">
      <c r="A881" s="23"/>
      <c r="H881" s="18"/>
      <c r="AB881" s="22"/>
      <c r="AC881" s="22"/>
      <c r="AN881" s="22"/>
      <c r="AO881" s="22"/>
      <c r="AP881" s="22"/>
    </row>
    <row r="882" spans="1:42" ht="15.75" customHeight="1">
      <c r="A882" s="23"/>
      <c r="H882" s="18"/>
      <c r="AB882" s="22"/>
      <c r="AC882" s="22"/>
      <c r="AN882" s="22"/>
      <c r="AO882" s="22"/>
      <c r="AP882" s="22"/>
    </row>
    <row r="883" spans="1:42" ht="15.75" customHeight="1">
      <c r="A883" s="23"/>
      <c r="H883" s="18"/>
      <c r="AB883" s="22"/>
      <c r="AC883" s="22"/>
      <c r="AN883" s="22"/>
      <c r="AO883" s="22"/>
      <c r="AP883" s="22"/>
    </row>
    <row r="884" spans="1:42" ht="15.75" customHeight="1">
      <c r="A884" s="23"/>
      <c r="H884" s="18"/>
      <c r="AB884" s="22"/>
      <c r="AC884" s="22"/>
      <c r="AN884" s="22"/>
      <c r="AO884" s="22"/>
      <c r="AP884" s="22"/>
    </row>
    <row r="885" spans="1:42" ht="15.75" customHeight="1">
      <c r="A885" s="23"/>
      <c r="H885" s="18"/>
      <c r="AB885" s="22"/>
      <c r="AC885" s="22"/>
      <c r="AN885" s="22"/>
      <c r="AO885" s="22"/>
      <c r="AP885" s="22"/>
    </row>
    <row r="886" spans="1:42" ht="15.75" customHeight="1">
      <c r="A886" s="23"/>
      <c r="H886" s="18"/>
      <c r="AB886" s="22"/>
      <c r="AC886" s="22"/>
      <c r="AN886" s="22"/>
      <c r="AO886" s="22"/>
      <c r="AP886" s="22"/>
    </row>
    <row r="887" spans="1:42" ht="15.75" customHeight="1">
      <c r="A887" s="23"/>
      <c r="H887" s="18"/>
      <c r="AB887" s="22"/>
      <c r="AC887" s="22"/>
      <c r="AN887" s="22"/>
      <c r="AO887" s="22"/>
      <c r="AP887" s="22"/>
    </row>
    <row r="888" spans="1:42" ht="15.75" customHeight="1">
      <c r="A888" s="23"/>
      <c r="H888" s="18"/>
      <c r="AB888" s="22"/>
      <c r="AC888" s="22"/>
      <c r="AN888" s="22"/>
      <c r="AO888" s="22"/>
      <c r="AP888" s="22"/>
    </row>
    <row r="889" spans="1:42" ht="15.75" customHeight="1">
      <c r="A889" s="23"/>
      <c r="H889" s="18"/>
      <c r="AB889" s="22"/>
      <c r="AC889" s="22"/>
      <c r="AN889" s="22"/>
      <c r="AO889" s="22"/>
      <c r="AP889" s="22"/>
    </row>
    <row r="890" spans="1:42" ht="15.75" customHeight="1">
      <c r="A890" s="23"/>
      <c r="H890" s="18"/>
      <c r="AB890" s="22"/>
      <c r="AC890" s="22"/>
      <c r="AN890" s="22"/>
      <c r="AO890" s="22"/>
      <c r="AP890" s="22"/>
    </row>
    <row r="891" spans="1:42" ht="15.75" customHeight="1">
      <c r="A891" s="23"/>
      <c r="H891" s="18"/>
      <c r="AB891" s="22"/>
      <c r="AC891" s="22"/>
      <c r="AN891" s="22"/>
      <c r="AO891" s="22"/>
      <c r="AP891" s="22"/>
    </row>
    <row r="892" spans="1:42" ht="15.75" customHeight="1">
      <c r="A892" s="23"/>
      <c r="H892" s="18"/>
      <c r="AB892" s="22"/>
      <c r="AC892" s="22"/>
      <c r="AN892" s="22"/>
      <c r="AO892" s="22"/>
      <c r="AP892" s="22"/>
    </row>
    <row r="893" spans="1:42" ht="15.75" customHeight="1">
      <c r="A893" s="23"/>
      <c r="H893" s="18"/>
      <c r="AB893" s="22"/>
      <c r="AC893" s="22"/>
      <c r="AN893" s="22"/>
      <c r="AO893" s="22"/>
      <c r="AP893" s="22"/>
    </row>
    <row r="894" spans="1:42" ht="15.75" customHeight="1">
      <c r="A894" s="23"/>
      <c r="H894" s="18"/>
      <c r="AB894" s="22"/>
      <c r="AC894" s="22"/>
      <c r="AN894" s="22"/>
      <c r="AO894" s="22"/>
      <c r="AP894" s="22"/>
    </row>
    <row r="895" spans="1:42" ht="15.75" customHeight="1">
      <c r="A895" s="23"/>
      <c r="H895" s="18"/>
      <c r="AB895" s="22"/>
      <c r="AC895" s="22"/>
      <c r="AN895" s="22"/>
      <c r="AO895" s="22"/>
      <c r="AP895" s="22"/>
    </row>
    <row r="896" spans="1:42" ht="15.75" customHeight="1">
      <c r="A896" s="23"/>
      <c r="H896" s="18"/>
      <c r="AB896" s="22"/>
      <c r="AC896" s="22"/>
      <c r="AN896" s="22"/>
      <c r="AO896" s="22"/>
      <c r="AP896" s="22"/>
    </row>
    <row r="897" spans="1:42" ht="15.75" customHeight="1">
      <c r="A897" s="23"/>
      <c r="H897" s="18"/>
      <c r="AB897" s="22"/>
      <c r="AC897" s="22"/>
      <c r="AN897" s="22"/>
      <c r="AO897" s="22"/>
      <c r="AP897" s="22"/>
    </row>
    <row r="898" spans="1:42" ht="15.75" customHeight="1">
      <c r="A898" s="23"/>
      <c r="H898" s="18"/>
      <c r="AB898" s="22"/>
      <c r="AC898" s="22"/>
      <c r="AN898" s="22"/>
      <c r="AO898" s="22"/>
      <c r="AP898" s="22"/>
    </row>
    <row r="899" spans="1:42" ht="15.75" customHeight="1">
      <c r="A899" s="23"/>
      <c r="H899" s="18"/>
      <c r="AB899" s="22"/>
      <c r="AC899" s="22"/>
      <c r="AN899" s="22"/>
      <c r="AO899" s="22"/>
      <c r="AP899" s="2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2026-02-15T21:24:02Z</dcterms:created>
  <dcterms:modified xsi:type="dcterms:W3CDTF">2026-03-31T23:34:46Z</dcterms:modified>
</cp:coreProperties>
</file>