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Result" sheetId="1" r:id="rId4"/>
    <sheet state="visible" name="Sheet3" sheetId="2" r:id="rId5"/>
    <sheet state="visible" name="PeerSimilarity" sheetId="3" r:id="rId6"/>
    <sheet state="visible" name="temp" sheetId="4" r:id="rId7"/>
    <sheet state="visible" name="Sheet2" sheetId="5" r:id="rId8"/>
  </sheets>
  <definedNames>
    <definedName hidden="1" localSheetId="4" name="_xlnm._FilterDatabase">Sheet2!$C$3:$C$119</definedName>
  </definedNames>
  <calcPr/>
  <extLst>
    <ext uri="GoogleSheetsCustomDataVersion2">
      <go:sheetsCustomData xmlns:go="http://customooxmlschemas.google.com/" r:id="rId9" roundtripDataChecksum="+nPUydtb7ITbf4ANFJYruGd3PusFZZfxJooNdIvB0NQ="/>
    </ext>
  </extLst>
</workbook>
</file>

<file path=xl/sharedStrings.xml><?xml version="1.0" encoding="utf-8"?>
<sst xmlns="http://schemas.openxmlformats.org/spreadsheetml/2006/main" count="52940" uniqueCount="6911">
  <si>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</si>
  <si>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</si>
  <si>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</si>
  <si>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</si>
  <si>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</si>
  <si>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</si>
  <si>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</si>
  <si>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</si>
  <si>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</si>
  <si>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</si>
  <si>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</si>
  <si>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</si>
  <si>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</si>
  <si>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Edit Distance</t>
  </si>
  <si>
    <t>BodyEditDistance</t>
  </si>
  <si>
    <t>Position Distance</t>
  </si>
  <si>
    <t>NoOfMethodsInFile</t>
  </si>
  <si>
    <t>NewMethodsTested</t>
  </si>
  <si>
    <t>MethAdded Count</t>
  </si>
  <si>
    <t>Added</t>
  </si>
  <si>
    <t>MethRemoved Count</t>
  </si>
  <si>
    <t>Removed</t>
  </si>
  <si>
    <t>Duplicated Count</t>
  </si>
  <si>
    <t>Duplicated</t>
  </si>
  <si>
    <t>Reduced Count</t>
  </si>
  <si>
    <t>Reduced</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</si>
  <si>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</si>
  <si>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</si>
  <si>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</si>
  <si>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</si>
  <si>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</si>
  <si>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</si>
  <si>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</si>
  <si>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</si>
  <si>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</si>
  <si>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</si>
  <si>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</si>
  <si>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</si>
  <si>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</si>
  <si>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</si>
  <si>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</si>
  <si>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WHY</t>
  </si>
  <si>
    <t>yes</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</si>
  <si>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</si>
  <si>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</si>
  <si>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</si>
  <si>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</si>
  <si>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</si>
  <si>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</si>
  <si>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</si>
  <si>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</si>
  <si>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</si>
  <si>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</si>
  <si>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</si>
  <si>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</si>
  <si>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</si>
  <si>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comment added</t>
  </si>
  <si>
    <t>no comments</t>
  </si>
  <si>
    <t>no variable declaration</t>
  </si>
  <si>
    <t>changed</t>
  </si>
  <si>
    <t>no constructor</t>
  </si>
  <si>
    <t>identical</t>
  </si>
  <si>
    <t>no chnage</t>
  </si>
  <si>
    <t>similar asserted methods/attributes</t>
  </si>
  <si>
    <t>no exception handling</t>
  </si>
  <si>
    <t/>
  </si>
  <si>
    <t>no</t>
  </si>
  <si>
    <t>apache.commons.codec.binary.Base64Test</t>
  </si>
  <si>
    <t>f6336648d893f0ad455d53ab85f82128937fa41c</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</si>
  <si>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</si>
  <si>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</si>
  <si>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</si>
  <si>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</si>
  <si>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</si>
  <si>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</si>
  <si>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</si>
  <si>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 xml:space="preserve">Adding Chris Black's patch from CODEC-40 adding BigInteger support to Base64. Still needs edge case testing
git-svn-id: https://svn.apache.org/repos/asf/commons/proper/codec/trunk@634904 13f79535-47bb-0310-9956-ffa450edef68
</t>
  </si>
  <si>
    <t>comment removed</t>
  </si>
  <si>
    <t>N/A</t>
  </si>
  <si>
    <t>no literal value</t>
  </si>
  <si>
    <t>similar assertion reduced</t>
  </si>
  <si>
    <t>this is not amplification</t>
  </si>
  <si>
    <t>apache.commons.codec.binary.BinaryCodecTest</t>
  </si>
  <si>
    <t>71a7599e98112c90e3d79518eedf862bd93e4cdd</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</si>
  <si>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</si>
  <si>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</si>
  <si>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</si>
  <si>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</si>
  <si>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</si>
  <si>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</si>
  <si>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</si>
  <si>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[java/lang/String."&lt;init&gt;"]</t>
  </si>
  <si>
    <t>[org/apache/commons/codec/binary/BinaryCodec.encode]</t>
  </si>
  <si>
    <t xml:space="preserve">Refactor common checks in a method and bring code coverage to 100%/100% line/branch.
git-svn-id: https://svn.apache.org/repos/asf/commons/proper/codec/trunk@798433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</si>
  <si>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</si>
  <si>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apache.commons.codec.binary.StringUtilsTest</t>
  </si>
  <si>
    <t>b3607d8b91c7f164cb3b2aa67035bd5c468fcc56</t>
  </si>
  <si>
    <t>1cb3d5a7c83ec4309582ea7c70b783f4b97a71d0</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</si>
  <si>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</si>
  <si>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</si>
  <si>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</si>
  <si>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</si>
  <si>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</si>
  <si>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</si>
  <si>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</si>
  <si>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[java/lang/StringBuffer.append, java/lang/StringBuffer."&lt;init&gt;", org/apache/commons/codec/binary/StringUtils.getBytesUnchecked, java/lang/Class.getName, java/lang/StringBuffer.toString]</t>
  </si>
  <si>
    <t>[org/apache/commons/codec/binary/StringUtils.getBytesUnchecked]</t>
  </si>
  <si>
    <t xml:space="preserve">[CODEC-73] Hex: Make string2byte conversions indepedent of platform default encoding.
Also refactor DigestUtils to call a new method on Hex.
git-svn-id: https://svn.apache.org/repos/asf/commons/proper/codec/trunk@801391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</si>
  <si>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</si>
  <si>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00da5921e530ee96b4a03cb3f085bc292ac675bd</t>
  </si>
  <si>
    <t>9535a94f6934edc9f3cc16d74621ca61429ebf8f</t>
  </si>
  <si>
    <t>public void testCodeIntegerEdgeCases() {
    // TODO
}
/**
 * Tests RFC 1421 section 4.3.2.4 chuck size definition.
 */
public void testRfc1421Section6Dot8ChunkSizeDefinition() {
    assertEquals(64, Base64.PEM_CHUNK_SIZE);
}</t>
  </si>
  <si>
    <t>public void testCodeIntegerEdgeCases() {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</si>
  <si>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</si>
  <si>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</si>
  <si>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</si>
  <si>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</si>
  <si>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f63e8e9a4cd509e3073a2db90e39e985ac7bcf67</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</si>
  <si>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</si>
  <si>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</si>
  <si>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</si>
  <si>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</si>
  <si>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</si>
  <si>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comments changed</t>
  </si>
  <si>
    <t>technical debt</t>
  </si>
  <si>
    <t>apache.commons.codec.binary.Base32Test</t>
  </si>
  <si>
    <t>effccf34b070dafe36e05a181d90d1969443fc0c</t>
  </si>
  <si>
    <t>e810384bf01c1ea545757b06af73a4bb2b2401ab</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</si>
  <si>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</si>
  <si>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</si>
  <si>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</si>
  <si>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</si>
  <si>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</si>
  <si>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</si>
  <si>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</si>
  <si>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</si>
  <si>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</si>
  <si>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</si>
  <si>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apache.commons.codec.language.CaverphoneTest</t>
  </si>
  <si>
    <t>57381cea8e6287999e996da37f41f20f1d2c220a</t>
  </si>
  <si>
    <t>921a97182e6df7b8ee31d142a83f056811cf66c2</t>
  </si>
  <si>
    <t>testSpecificationExamples</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</si>
  <si>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</si>
  <si>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</si>
  <si>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</si>
  <si>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</si>
  <si>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</si>
  <si>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</si>
  <si>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 xml:space="preserve">Use test data from http://caversham.otago.ac.nz/files/working/ctp150804.pdf.
git-svn-id: https://svn.apache.org/repos/asf/commons/proper/codec/trunk@1075447 13f79535-47bb-0310-9956-ffa450edef68
</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</si>
  <si>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</si>
  <si>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</si>
  <si>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</si>
  <si>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</si>
  <si>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</si>
  <si>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</si>
  <si>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 xml:space="preserve">[CODEC-117] Caverphone encodes names starting and ending with "mb" incorrectly.
git-svn-id: https://svn.apache.org/repos/asf/commons/proper/codec/trunk@1075947 13f79535-47bb-0310-9956-ffa450edef68
</t>
  </si>
  <si>
    <t>619fbc2d06101090a7b2ddce227cc379a50003fe</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</si>
  <si>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</si>
  <si>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</si>
  <si>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</si>
  <si>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</si>
  <si>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 xml:space="preserve">Better test method names.
git-svn-id: https://svn.apache.org/repos/asf/commons/proper/codec/trunk@1078234 13f79535-47bb-0310-9956-ffa450edef68
</t>
  </si>
  <si>
    <t>exact same</t>
  </si>
  <si>
    <t>partially similar</t>
  </si>
  <si>
    <t>no exception change</t>
  </si>
  <si>
    <t>interesting, since they all have 1111111</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</si>
  <si>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</si>
  <si>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</si>
  <si>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</si>
  <si>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</si>
  <si>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</si>
  <si>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</si>
  <si>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</si>
  <si>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</si>
  <si>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</si>
  <si>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</si>
  <si>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</si>
  <si>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</si>
  <si>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</si>
  <si>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</si>
  <si>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</si>
  <si>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</si>
  <si>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</si>
  <si>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</si>
  <si>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</si>
  <si>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[org/apache/commons/codec/net/QuotedPrintableCodec.encode]</t>
  </si>
  <si>
    <t>apache.commons.codec.language.ColognePhoneticTest</t>
  </si>
  <si>
    <t>2d76aa8e140c5c5eba12a7513aad7340ec84bf13</t>
  </si>
  <si>
    <t>8c8783500792d097e792eb4f4028a6e2830db48d</t>
  </si>
  <si>
    <t>testAabjoe</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</si>
  <si>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</si>
  <si>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</si>
  <si>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</si>
  <si>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[.checkEncoding]
[.checkEncoding]</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</si>
  <si>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</si>
  <si>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</si>
  <si>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</si>
  <si>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apache.commons.codec.language.bm.BeiderMorseEncoderTest</t>
  </si>
  <si>
    <t>07e106fcd227cb0d5bbac3d18dc7f2ebd3906607</t>
  </si>
  <si>
    <t>d85ae3aaaac18a8f672bab6c1b1acdc3f24ba0a4</t>
  </si>
  <si>
    <t>testEncodeGna</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</si>
  <si>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</si>
  <si>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</si>
  <si>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</si>
  <si>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</si>
  <si>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</si>
  <si>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</si>
  <si>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</si>
  <si>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</si>
  <si>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same constructor</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</si>
  <si>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</si>
  <si>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</si>
  <si>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</si>
  <si>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</si>
  <si>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</si>
  <si>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</si>
  <si>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</si>
  <si>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</si>
  <si>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</si>
  <si>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[org/apache/commons/codec/language/bm/BeiderMorseEncoder.encode]</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</si>
  <si>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</si>
  <si>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</si>
  <si>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</si>
  <si>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</si>
  <si>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</si>
  <si>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</si>
  <si>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</si>
  <si>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</si>
  <si>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</si>
  <si>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org.apache.commons.codec.net.QuotedPrintableCodecTest</t>
  </si>
  <si>
    <t>7e8c20bd1b0593c3496a168be573aed40609a433</t>
  </si>
  <si>
    <t>35cbae7087f2fef6dcf38c3d4fcac0b4d62cb1eb</t>
  </si>
  <si>
    <t>testSafeCharEncodeDecode</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</si>
  <si>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</si>
  <si>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</si>
  <si>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testSafeCharEncodeDecode() throws Exception { QuotedPrintableCodec qpcodec = new QuotedPrintableCodec(); String plain = "S"; String encoded = qpcodec.encode(plain); assertEquals("S", plain, encoded); assertEquals("S", plain,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</si>
  <si>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</si>
  <si>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</si>
  <si>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</si>
  <si>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[org/apache/commons/codec/net/QuotedPrintableCodec.decode]</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</si>
  <si>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</si>
  <si>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</si>
  <si>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</si>
  <si>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</si>
  <si>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</si>
  <si>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</si>
  <si>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</si>
  <si>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</si>
  <si>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</si>
  <si>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common method increased</t>
  </si>
  <si>
    <t>similar asserted methods/attributes | similar assertion duplicated</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</si>
  <si>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</si>
  <si>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</si>
  <si>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</si>
  <si>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</si>
  <si>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</si>
  <si>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</si>
  <si>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</si>
  <si>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</si>
  <si>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</si>
  <si>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org.apache.commons.codec.language.NysiisTest</t>
  </si>
  <si>
    <t>805103c2fd53bf2a82575699da9b4f38a59c17fe</t>
  </si>
  <si>
    <t>84e1e79f3837fd112ae33ce03102abfe55ceedd4</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</si>
  <si>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</si>
  <si>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</si>
  <si>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</si>
  <si>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</si>
  <si>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</si>
  <si>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</si>
  <si>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</si>
  <si>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</si>
  <si>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</si>
  <si>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</si>
  <si>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</si>
  <si>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testCap</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</si>
  <si>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</si>
  <si>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</si>
  <si>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</si>
  <si>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</si>
  <si>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</si>
  <si>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</si>
  <si>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[.encodeAll]</t>
  </si>
  <si>
    <t xml:space="preserve">[CODEC-63] Added explanation for different results to dropby.com, Raised CC to 100/100
git-svn-id: https://svn.apache.org/repos/asf/commons/proper/codec/trunk@1298576 13f79535-47bb-0310-9956-ffa450edef68
</t>
  </si>
  <si>
    <t>60cd70bcee64829c4756e0e7403f43fb385f99e6</t>
  </si>
  <si>
    <t>a68102b3a67cab09f0898ee05cc7547e12061b82</t>
  </si>
  <si>
    <t>testRule5</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</si>
  <si>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</si>
  <si>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</si>
  <si>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</si>
  <si>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</si>
  <si>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</si>
  <si>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</si>
  <si>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</si>
  <si>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</si>
  <si>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comments partially updated</t>
  </si>
  <si>
    <t>arrays.asList (I do not consider this as the overload, since this isnot production method)</t>
  </si>
  <si>
    <t>org.apache.commons.codec.binary.Base32InputStreamTest</t>
  </si>
  <si>
    <t>1fc451c79779bdbf788e8bfbec6dc031a47495d8</t>
  </si>
  <si>
    <t>caa142d0399f10ce3ec6fb843e679e2d8c07c43f</t>
  </si>
  <si>
    <t>testSkipNone</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</si>
  <si>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</si>
  <si>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</si>
  <si>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</si>
  <si>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</si>
  <si>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</si>
  <si>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</si>
  <si>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[org/apache/commons/codec/binary/Base32InputStream.available, java/io/ByteArrayInputStream."&lt;init&gt;"]</t>
  </si>
  <si>
    <t>[org/apache/commons/codec/binary/Base32InputStream.available]</t>
  </si>
  <si>
    <t xml:space="preserve">[CODEC-130] Provided implementation of skip and available for BaseNCodecInputStream, added unit tests.
git-svn-id: https://svn.apache.org/repos/asf/commons/proper/codec/trunk@1302585 13f79535-47bb-0310-9956-ffa450edef68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</si>
  <si>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</si>
  <si>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</si>
  <si>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</si>
  <si>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</si>
  <si>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</si>
  <si>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[java/io/ByteArrayInputStream."&lt;init&gt;"]</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</si>
  <si>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</si>
  <si>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</si>
  <si>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</si>
  <si>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</si>
  <si>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</si>
  <si>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org.apache.commons.codec.binary.Base64InputStreamTest</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</si>
  <si>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</si>
  <si>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</si>
  <si>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</si>
  <si>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</si>
  <si>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</si>
  <si>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[org/apache/commons/codec/binary/Base64InputStream.available, java/io/ByteArrayInputStream."&lt;init&gt;"]</t>
  </si>
  <si>
    <t>[org/apache/commons/codec/binary/Base64InputStream.available]</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</si>
  <si>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</si>
  <si>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</si>
  <si>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</si>
  <si>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</si>
  <si>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comments exact same</t>
  </si>
  <si>
    <t>method deleted | method replaced with overload | common method increased</t>
  </si>
  <si>
    <t>method parameter count chnage</t>
  </si>
  <si>
    <t>both are wrong</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</si>
  <si>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</si>
  <si>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</si>
  <si>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</si>
  <si>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</si>
  <si>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org.apache.commons.codec.digest.UnixCryptTest</t>
  </si>
  <si>
    <t>fc393f7bdf6c971cb0dcd977d3015ad5ce524149</t>
  </si>
  <si>
    <t>536ede39c1bd58ae4aa6138103746b94164287ee</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</si>
  <si>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</si>
  <si>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</si>
  <si>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</si>
  <si>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</si>
  <si>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[org/apache/commons/codec/digest/UnixCrypt.crypt]
[org/apache/commons/codec/digest/UnixCrypt.crypt]</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</si>
  <si>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</si>
  <si>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</si>
  <si>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</si>
  <si>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</si>
  <si>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</si>
  <si>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</si>
  <si>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</si>
  <si>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</si>
  <si>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</si>
  <si>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</si>
  <si>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</si>
  <si>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</si>
  <si>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</si>
  <si>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</si>
  <si>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[java/io/ByteArrayInputStream."&lt;init&gt;", org/apache/commons/codec/digest/DigestUtils.md2Hex]</t>
  </si>
  <si>
    <t>[org/apache/commons/codec/digest/DigestUtils.md2Hex]</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</si>
  <si>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</si>
  <si>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</si>
  <si>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</si>
  <si>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</si>
  <si>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</si>
  <si>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</si>
  <si>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</si>
  <si>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</si>
  <si>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</si>
  <si>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</si>
  <si>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method replaced</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</si>
  <si>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</si>
  <si>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</si>
  <si>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</si>
  <si>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</si>
  <si>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</si>
  <si>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</si>
  <si>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</si>
  <si>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</si>
  <si>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c45a7d3ac48e5e10551b9c98a73b6cd8e1a06958</t>
  </si>
  <si>
    <t>d915d755d1befffaac3a54ed667c05d6b6b74554</t>
  </si>
  <si>
    <t>testShaHex</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</si>
  <si>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</si>
  <si>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</si>
  <si>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</si>
  <si>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</si>
  <si>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</si>
  <si>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</si>
  <si>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[org/apache/commons/codec/digest/DigestUtils.sha1Hex, java/io/ByteArrayInputStream."&lt;init&gt;"]</t>
  </si>
  <si>
    <t>[org/apache/commons/codec/digest/DigestUtils.sha1Hex]</t>
  </si>
  <si>
    <t>[org/apache/commons/codec/digest/DigestUtils.shaHex]</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</si>
  <si>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</si>
  <si>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</si>
  <si>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</si>
  <si>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</si>
  <si>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</si>
  <si>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</si>
  <si>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</si>
  <si>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</si>
  <si>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[org/apache/commons/codec/digest/DigestUtils.md5Hex]</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</si>
  <si>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</si>
  <si>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</si>
  <si>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</si>
  <si>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</si>
  <si>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</si>
  <si>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</si>
  <si>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[org/apache/commons/codec/digest/DigestUtils.md5]</t>
  </si>
  <si>
    <t>org.apache.commons.codec.language.MatchRatingApproachEncoderTest</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</si>
  <si>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</si>
  <si>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</si>
  <si>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</si>
  <si>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</si>
  <si>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</si>
  <si>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</si>
  <si>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</si>
  <si>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</si>
  <si>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</si>
  <si>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</si>
  <si>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</si>
  <si>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</si>
  <si>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</si>
  <si>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</si>
  <si>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</si>
  <si>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</si>
  <si>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</si>
  <si>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</si>
  <si>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</si>
  <si>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</si>
  <si>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</si>
  <si>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</si>
  <si>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</si>
  <si>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</si>
  <si>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</si>
  <si>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</si>
  <si>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</si>
  <si>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</si>
  <si>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</si>
  <si>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</si>
  <si>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</si>
  <si>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</si>
  <si>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</si>
  <si>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</si>
  <si>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</si>
  <si>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</si>
  <si>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</si>
  <si>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</si>
  <si>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</si>
  <si>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</si>
  <si>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</si>
  <si>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</si>
  <si>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</si>
  <si>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</si>
  <si>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</si>
  <si>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</si>
  <si>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</si>
  <si>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</si>
  <si>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</si>
  <si>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</si>
  <si>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</si>
  <si>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</si>
  <si>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</si>
  <si>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</si>
  <si>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</si>
  <si>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</si>
  <si>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</si>
  <si>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</si>
  <si>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</si>
  <si>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</si>
  <si>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</si>
  <si>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</si>
  <si>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</si>
  <si>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</si>
  <si>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</si>
  <si>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</si>
  <si>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</si>
  <si>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</si>
  <si>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</si>
  <si>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</si>
  <si>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</si>
  <si>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</si>
  <si>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</si>
  <si>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</si>
  <si>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</si>
  <si>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</si>
  <si>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</si>
  <si>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</si>
  <si>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</si>
  <si>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</si>
  <si>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</si>
  <si>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</si>
  <si>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</si>
  <si>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</si>
  <si>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</si>
  <si>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</si>
  <si>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</si>
  <si>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</si>
  <si>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</si>
  <si>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</si>
  <si>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</si>
  <si>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</si>
  <si>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</si>
  <si>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</si>
  <si>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</si>
  <si>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</si>
  <si>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</si>
  <si>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</si>
  <si>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</si>
  <si>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</si>
  <si>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</si>
  <si>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</si>
  <si>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</si>
  <si>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</si>
  <si>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</si>
  <si>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</si>
  <si>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</si>
  <si>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</si>
  <si>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</si>
  <si>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</si>
  <si>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</si>
  <si>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</si>
  <si>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</si>
  <si>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org.apache.commons.codec.language.bm.PhoneticEngineRegressionTest</t>
  </si>
  <si>
    <t>5dd9e60cb226c571e13832023489e8bc366ce69c</t>
  </si>
  <si>
    <t>testSolrASHKENAZI</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</si>
  <si>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</si>
  <si>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</si>
  <si>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testSolrASHKENAZI()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</si>
  <si>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</si>
  <si>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</si>
  <si>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</si>
  <si>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</si>
  <si>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[.encode, 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</si>
  <si>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</si>
  <si>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</si>
  <si>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bdc77f1b289f349e09051b482d7b4efbc6cd9f6f</t>
  </si>
  <si>
    <t>testEncodeDecodeNull</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</si>
  <si>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</si>
  <si>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</si>
  <si>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testEncodeDecodeNull() throws Exception { final QuotedPrintableCodec qpcodec = new QuotedPrintableCodec(); assertNull("S", qpcodec.encode((String) null)); assertNull("S", qpcodec.decode((String) null));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</si>
  <si>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</si>
  <si>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</si>
  <si>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</si>
  <si>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constructor parameters changed in count</t>
  </si>
  <si>
    <t>similar asserted methods/attributes | similar assertion duplicated | similar assertion reduced</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</si>
  <si>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</si>
  <si>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</si>
  <si>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</si>
  <si>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</si>
  <si>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</si>
  <si>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</si>
  <si>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</si>
  <si>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</si>
  <si>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</si>
  <si>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</si>
  <si>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</si>
  <si>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similar</t>
  </si>
  <si>
    <t>constructor parameters changed in type</t>
  </si>
  <si>
    <t>common method decreased</t>
  </si>
  <si>
    <t>This is an interesting example. In original method, it seems that "qpcodec.encode(plain)" can be redundant</t>
  </si>
  <si>
    <t>org.apache.commons.codec.binary.HexTest</t>
  </si>
  <si>
    <t>199019d04c26b9aea45c77be6634ba3a49122470</t>
  </si>
  <si>
    <t>2e43440c5ddd84a21032ca0cb6bea9dce9c43940</t>
  </si>
  <si>
    <t>testEncodeEmpty</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</si>
  <si>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</si>
  <si>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</si>
  <si>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</si>
  <si>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</si>
  <si>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</si>
  <si>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</si>
  <si>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[java/util/Arrays.equals]</t>
  </si>
  <si>
    <t>[org/apache/commons/codec/binary/Hex.decode, org/apache/commons/codec/binary/Hex.decodeHex]</t>
  </si>
  <si>
    <t xml:space="preserve">Fix method name.
git-svn-id: https://svn.apache.org/repos/asf/commons/proper/codec/trunk@1637835 13f79535-47bb-0310-9956-ffa450edef68
</t>
  </si>
  <si>
    <t>845c2f7c2659427ebae2f186c237c94c763af335</t>
  </si>
  <si>
    <t>c8ebfacdb707f08a919f9c4231bae2fe821230c2</t>
  </si>
  <si>
    <t>testEncodeStringEmpty</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</si>
  <si>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</si>
  <si>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</si>
  <si>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</si>
  <si>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</si>
  <si>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</si>
  <si>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</si>
  <si>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[org/apache/commons/codec/binary/Hex.decode]</t>
  </si>
  <si>
    <t xml:space="preserve">Split test method in two.
git-svn-id: https://svn.apache.org/repos/asf/commons/proper/codec/trunk@1637844 13f79535-47bb-0310-9956-ffa450edef68
</t>
  </si>
  <si>
    <t>exception type changed</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</si>
  <si>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</si>
  <si>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</si>
  <si>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</si>
  <si>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</si>
  <si>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</si>
  <si>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</si>
  <si>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</si>
  <si>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</si>
  <si>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 xml:space="preserve">Better test method names.
git-svn-id: https://svn.apache.org/repos/asf/commons/proper/codec/trunk@1637846 13f79535-47bb-0310-9956-ffa450edef68
</t>
  </si>
  <si>
    <t>485db150d852d634d21e103040640edfc7dab8b6</t>
  </si>
  <si>
    <t>testDecodeClassCastException</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</si>
  <si>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</si>
  <si>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</si>
  <si>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</si>
  <si>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</si>
  <si>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</si>
  <si>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</si>
  <si>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testDecodeByteArrayEmpty</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</si>
  <si>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</si>
  <si>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</si>
  <si>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</si>
  <si>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</si>
  <si>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</si>
  <si>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</si>
  <si>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[org/apache/commons/codec/binary/Hex.encodeHex, org/apache/commons/codec/binary/Hex.encode]</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</si>
  <si>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</si>
  <si>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</si>
  <si>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</si>
  <si>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</si>
  <si>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</si>
  <si>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</si>
  <si>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</si>
  <si>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</si>
  <si>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</si>
  <si>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</si>
  <si>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</si>
  <si>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</si>
  <si>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</si>
  <si>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</si>
  <si>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</si>
  <si>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</si>
  <si>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method replaced with overload</t>
  </si>
  <si>
    <t>method parameter type change</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</si>
  <si>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</si>
  <si>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</si>
  <si>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</si>
  <si>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</si>
  <si>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</si>
  <si>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</si>
  <si>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</si>
  <si>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</si>
  <si>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</si>
  <si>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</si>
  <si>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</si>
  <si>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</si>
  <si>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[java/lang/String.equals, org/apache/commons/codec/binary/StringUtils.getByteBufferUtf8, java/lang/String."&lt;init&gt;"]</t>
  </si>
  <si>
    <t>[org/apache/commons/codec/binary/StringUtils.getByteBufferUtf8]</t>
  </si>
  <si>
    <t>testEncodeHexByteArrayHelloWorldUpperCaseHex</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</si>
  <si>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</si>
  <si>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</si>
  <si>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</si>
  <si>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</si>
  <si>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</si>
  <si>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</si>
  <si>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@Test
public void testDecodeByteArrayEmpty() throws DecoderException {
    assertTrue(Arrays.equals(new byte[0], new Hex().decode(new byte[0])));
}
@Test
public void testEncodeByteArrayEmpty() throws EncoderException {
    assertTrue(Arrays.equals(new byte[0], new Hex().encode(new byte[0])));
}</t>
  </si>
  <si>
    <t>@Test public void testDecodeByteArrayEmpty() throws DecoderException { assertTrue(Arrays.equals(new byte[0], new Hex().decode(new byte[0]))); }
@Test public void testEncodeByteArrayEmpty() throws EncoderException { assertTrue(Arrays.equals(new byte[0], new Hex().encode(new byte[0]))); }</t>
  </si>
  <si>
    <t>[org/apache/commons/codec/binary/Hex."&lt;init&gt;", org/apache/commons/codec/binary/Hex.decode,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</si>
  <si>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</si>
  <si>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</si>
  <si>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[org/apache/commons/codec/binary/Hex.encode]</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</si>
  <si>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</si>
  <si>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</si>
  <si>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[org/apache/commons/codec/binary/Hex."&lt;init&gt;", org/apache/commons/codec/binary/Hex.encode, java/util/Arrays.equals]
[org/apache/commons/codec/binary/Hex."&lt;init&gt;", org/apache/commons/codec/binary/Hex.encode, java/util/Arrays.equals]</t>
  </si>
  <si>
    <t>@Test
public void testEncodeByteArrayObjectEmpty() throws EncoderException {
    assertTrue(Arrays.equals(new char[0], (char[]) new Hex().encode((Object) new byte[0])));
}</t>
  </si>
  <si>
    <t>testEncodeByteArrayObjectEmpty</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</si>
  <si>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</si>
  <si>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</si>
  <si>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</si>
  <si>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</si>
  <si>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</si>
  <si>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</si>
  <si>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</si>
  <si>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[org/apache/commons/codec/digest/DigestUtils.md5Hex, java/lang/String.length]</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</si>
  <si>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</si>
  <si>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</si>
  <si>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</si>
  <si>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</si>
  <si>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</si>
  <si>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</si>
  <si>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testSha1UpdateWithByteArray</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</si>
  <si>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</si>
  <si>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</si>
  <si>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</si>
  <si>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</si>
  <si>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</si>
  <si>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</si>
  <si>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</si>
  <si>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</si>
  <si>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org.apache.commons.codec.language.SoundexTest</t>
  </si>
  <si>
    <t>28b7b958d39730fc278fd1919bf335c52133a1a2</t>
  </si>
  <si>
    <t>8fc193527df27beeeb638e6e812e8c4df6c72f46</t>
  </si>
  <si>
    <t>testEncodeBatch3</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</si>
  <si>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</si>
  <si>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</si>
  <si>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</si>
  <si>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</si>
  <si>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</si>
  <si>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</si>
  <si>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[.getStringEncoder, org/apache/commons/codec/language/Soundex.encode]</t>
  </si>
  <si>
    <t xml:space="preserve">[CODEC-199] Bug in HW rule in Soundex.
git-svn-id: https://svn.apache.org/repos/asf/commons/proper/codec/trunk@1668441 13f79535-47bb-0310-9956-ffa450edef68
</t>
  </si>
  <si>
    <t>similar asserted methods/attributes | similar assertion reduced</t>
  </si>
  <si>
    <t>1b7b452c7e49efd2bf6fbca0b4239c7aedc993db</t>
  </si>
  <si>
    <t>91901434bd199b104bac6eb89769f78d97f18f3e</t>
  </si>
  <si>
    <t>testDecodeHexCharArrayOddCharacters1</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</si>
  <si>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</si>
  <si>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</si>
  <si>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</si>
  <si>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[.checkDecodeHexCharArrayOddCharacters]
[.checkDecodeHexCharArrayOddCharacters]</t>
  </si>
  <si>
    <t>@Test
public void testDecodeHexStringOddCharacters1() {
    checkDecodeHexCharArrayOddCharacters("A");
}</t>
  </si>
  <si>
    <t>testDecodeHexStringOddCharacters1</t>
  </si>
  <si>
    <t xml:space="preserve">[CODEC-203] Add convenience method decodeHex(String).
git-svn-id: https://svn.apache.org/repos/asf/commons/proper/codec/trunk@1701126 13f79535-47bb-0310-9956-ffa450edef68
</t>
  </si>
  <si>
    <t>f0028e1b90f8d10266f3fe26bafa0882a81ffe82</t>
  </si>
  <si>
    <t>cc279433f33ad0c00e80ff5af734062d92c8a3f7</t>
  </si>
  <si>
    <t>testEncodeHexByteString_ByteArrayOfZeroes</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</si>
  <si>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</si>
  <si>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</si>
  <si>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</si>
  <si>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</si>
  <si>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</si>
  <si>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</si>
  <si>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</si>
  <si>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</si>
  <si>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</si>
  <si>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</si>
  <si>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</si>
  <si>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</si>
  <si>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org.apache.commons.codec.language.ColognePhoneticTest</t>
  </si>
  <si>
    <t>e9a2edc877ebf928ad0c056273f64cdc861ba609</t>
  </si>
  <si>
    <t>a9690db48eadd3643adc34cafd6ccc5d4a5bf589</t>
  </si>
  <si>
    <t>testAaclan</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</si>
  <si>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</si>
  <si>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</si>
  <si>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</si>
  <si>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</si>
  <si>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</si>
  <si>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</si>
  <si>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</si>
  <si>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36fccb4325f924bf46babd4d8d60226f8dd3f154</t>
  </si>
  <si>
    <t>e246d2ac01f1ac741aa4673aed3d028e08a63c73</t>
  </si>
  <si>
    <t>testVariationsMella</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</si>
  <si>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</si>
  <si>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</si>
  <si>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</si>
  <si>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[.checkEncodingVariations]
[.checkEncodingVariations]</t>
  </si>
  <si>
    <t>@Test
public void testSpecialCharsBetweenSameLetters() throws EncoderException {
    final String[] data = { "Test test", "Testtest", "Test-test", "TesT#Test", "TesT?test" };
    this.checkEncodingVariations("28282", data);
}</t>
  </si>
  <si>
    <t>testSpecialCharsBetweenSameLetters</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</si>
  <si>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</si>
  <si>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</si>
  <si>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</si>
  <si>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</si>
  <si>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</si>
  <si>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</si>
  <si>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</si>
  <si>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</si>
  <si>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</si>
  <si>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</si>
  <si>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[org/apache/commons/codec/digest/DigestUtils.sha256Hex]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</si>
  <si>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</si>
  <si>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</si>
  <si>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</si>
  <si>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</si>
  <si>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</si>
  <si>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</si>
  <si>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</si>
  <si>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org.apache.commons.codec.net.BCodecTest</t>
  </si>
  <si>
    <t>48b615756d1d770091ea3322eefc08011ee8b113</t>
  </si>
  <si>
    <t>89bf8c4835873dea14d9e0162ee3c6f8bd965fd0</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</si>
  <si>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</si>
  <si>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</si>
  <si>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</si>
  <si>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</si>
  <si>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</si>
  <si>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testBase64ImpossibleSamples</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</si>
  <si>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</si>
  <si>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</si>
  <si>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org.apache.commons.codec.digest.MurmurHash3Test</t>
  </si>
  <si>
    <t>1645ab953ce98bffaff2424cd0b3d2501e21b04f</t>
  </si>
  <si>
    <t>1490fbf959fc0e7bc5d8be43250689ebf625942d</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</si>
  <si>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</si>
  <si>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</si>
  <si>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</si>
  <si>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</si>
  <si>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</si>
  <si>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</si>
  <si>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</si>
  <si>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</si>
  <si>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</si>
  <si>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</si>
  <si>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</si>
  <si>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</si>
  <si>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</si>
  <si>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</si>
  <si>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</si>
  <si>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</si>
  <si>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</si>
  <si>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</si>
  <si>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[org/apache/commons/codec/digest/MurmurHash3.hash128x64, java/util/Arrays.copyOf]</t>
  </si>
  <si>
    <t>[org/apache/commons/codec/digest/MurmurHash3.hash128x64]</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</si>
  <si>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</si>
  <si>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1b9889762a86ae50657d5ce0048cbf9c5f62ffa7</t>
  </si>
  <si>
    <t>ae6c7c436066e70c0f61f7f004ee2823f1c04d4e</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</si>
  <si>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</si>
  <si>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</si>
  <si>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</si>
  <si>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</si>
  <si>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</si>
  <si>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</si>
  <si>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</si>
  <si>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[java/lang/StringBuilder."&lt;init&gt;", java/lang/StringBuilder.toString, java/lang/StringBuilder.append]</t>
  </si>
  <si>
    <t>Explicit test for hash128x64 with negative seed.</t>
  </si>
  <si>
    <t>org.apache.commons.codec.binary.Base64Test</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</si>
  <si>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</si>
  <si>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</si>
  <si>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</si>
  <si>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</si>
  <si>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</si>
  <si>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</si>
  <si>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</si>
  <si>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 xml:space="preserve">[CODEC-270] Fix masked check of the final bits to discard.
The mask must check all the bits to discard are zero.
</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</si>
  <si>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</si>
  <si>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</si>
  <si>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</si>
  <si>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</si>
  <si>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</si>
  <si>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</si>
  <si>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</si>
  <si>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</si>
  <si>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</si>
  <si>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</si>
  <si>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</si>
  <si>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</si>
  <si>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[java/nio/ByteBuffer.flip, java/util/Arrays.equals]</t>
  </si>
  <si>
    <t>[java/nio/ByteBuffer.flip]</t>
  </si>
  <si>
    <t xml:space="preserve">[CODEC-259] Hex: Only use ByteBuffer.array() if length equals remaining
</t>
  </si>
  <si>
    <t>testEncodeByteBufferEmpty</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</si>
  <si>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</si>
  <si>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</si>
  <si>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</si>
  <si>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</si>
  <si>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</si>
  <si>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</si>
  <si>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new method added</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</si>
  <si>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</si>
  <si>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</si>
  <si>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</si>
  <si>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</si>
  <si>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</si>
  <si>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</si>
  <si>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</si>
  <si>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</si>
  <si>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</si>
  <si>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</si>
  <si>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</si>
  <si>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</si>
  <si>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</si>
  <si>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Test for incremental XXHash32.</t>
  </si>
  <si>
    <t>f5a61f0cd029f18666163f414f848ba0e1b39976</t>
  </si>
  <si>
    <t>b542cf9d098e65a78b71e5671bf700610b03dc07</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</si>
  <si>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</si>
  <si>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</si>
  <si>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</si>
  <si>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</si>
  <si>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</si>
  <si>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[org/apache/commons/codec/digest/MurmurHash3.hash128]</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</si>
  <si>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</si>
  <si>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</si>
  <si>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</si>
  <si>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</si>
  <si>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</si>
  <si>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</si>
  <si>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</si>
  <si>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</si>
  <si>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</si>
  <si>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</si>
  <si>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</si>
  <si>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</si>
  <si>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</si>
  <si>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</si>
  <si>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</si>
  <si>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</si>
  <si>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</si>
  <si>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</si>
  <si>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</si>
  <si>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</si>
  <si>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</si>
  <si>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</si>
  <si>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</si>
  <si>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</si>
  <si>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</si>
  <si>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</si>
  <si>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</si>
  <si>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exception annotation added</t>
  </si>
  <si>
    <t>It can also be considered as "exception changed"</t>
  </si>
  <si>
    <t>9ac33a12a500bbc3ea40685aac61c95169443957</t>
  </si>
  <si>
    <t>3535c17eccb2251fc518aa545a800b4922c8dc35</t>
  </si>
  <si>
    <t>testCodec200</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</si>
  <si>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</si>
  <si>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</si>
  <si>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</si>
  <si>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</si>
  <si>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</si>
  <si>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testConstructors</t>
  </si>
  <si>
    <t>[org/apache/commons/codec/binary/Base32."&lt;init&gt;"]</t>
  </si>
  <si>
    <t>Test all constructors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</si>
  <si>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</si>
  <si>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</si>
  <si>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</si>
  <si>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</si>
  <si>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</si>
  <si>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</si>
  <si>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</si>
  <si>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</si>
  <si>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</si>
  <si>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</si>
  <si>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[java/lang/System.arraycopy]</t>
  </si>
  <si>
    <t>[org/apache/commons/codec/binary/Base16.decode]</t>
  </si>
  <si>
    <t xml:space="preserve">CODEC-305: Fix byte-skipping in Base16 decoding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</si>
  <si>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</si>
  <si>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</si>
  <si>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</si>
  <si>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@Test
public void testUnixCryptWithEmptySalt() {
    assertThrows(IllegalArgumentException.class, () -&gt; UnixCrypt.crypt("secret", ""));
}</t>
  </si>
  <si>
    <t>@Test
public void testUnixCryptWithEmptySalt() {
    assertThrows(IllegalArgumentException.class, () -&gt; UnixCrypt.crypt("secret", ""));
}
/**
 * Unimplemented "$foo$" salt prefixes would be treated as UnixCrypt salt.
 */
@Test
public void testUnixCryptInvalidSalt() {
    assertThrows(IllegalArgumentException.class, () -&gt; UnixCrypt.crypt("secret", "$a"));
}</t>
  </si>
  <si>
    <t>@Test public void testUnixCryptWithEmptySalt()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</si>
  <si>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</si>
  <si>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</si>
  <si>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</si>
  <si>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org.apache.commons.codec.digest.HmacUtilsTest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</si>
  <si>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</si>
  <si>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</si>
  <si>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</si>
  <si>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</si>
  <si>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</si>
  <si>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</si>
  <si>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</si>
  <si>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</si>
  <si>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</si>
  <si>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</si>
  <si>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</si>
  <si>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</si>
  <si>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</si>
  <si>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</si>
  <si>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new method added | method deleted | method replaced</t>
  </si>
  <si>
    <t>No amplification</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</si>
  <si>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</si>
  <si>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</si>
  <si>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</si>
  <si>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</si>
  <si>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</si>
  <si>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</si>
  <si>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</si>
  <si>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</si>
  <si>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</si>
  <si>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</si>
  <si>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</si>
  <si>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</si>
  <si>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</si>
  <si>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</si>
  <si>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</si>
  <si>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</si>
  <si>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</si>
  <si>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</si>
  <si>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</si>
  <si>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</si>
  <si>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</si>
  <si>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</si>
  <si>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</si>
  <si>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</si>
  <si>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</si>
  <si>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</si>
  <si>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</si>
  <si>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</si>
  <si>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</si>
  <si>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</si>
  <si>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</si>
  <si>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</si>
  <si>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</si>
  <si>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</si>
  <si>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</si>
  <si>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</si>
  <si>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</si>
  <si>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</si>
  <si>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</si>
  <si>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</si>
  <si>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</si>
  <si>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</si>
  <si>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</si>
  <si>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</si>
  <si>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</si>
  <si>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</si>
  <si>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</si>
  <si>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</si>
  <si>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org.apache.commons.codec.digest.Sha512CryptTest</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</si>
  <si>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</si>
  <si>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</si>
  <si>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</si>
  <si>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</si>
  <si>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</si>
  <si>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</si>
  <si>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</si>
  <si>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</si>
  <si>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</si>
  <si>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</si>
  <si>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</si>
  <si>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</si>
  <si>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org.apache.commons.codec.digest.Sha256CryptTest</t>
  </si>
  <si>
    <t>a5ab4242940b381dd638984d5a8a7966534b3e9e</t>
  </si>
  <si>
    <t>testSha256LargestThanBlocksize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</si>
  <si>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</si>
  <si>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</si>
  <si>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</si>
  <si>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</si>
  <si>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</si>
  <si>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e1bc2713d5f31e0a04017c9fc6ba4b9e49c8efa2</t>
  </si>
  <si>
    <t>931bb815b690b098936beca76c600f134027f1bd</t>
  </si>
  <si>
    <t>testCodec68</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</si>
  <si>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</si>
  <si>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</si>
  <si>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</si>
  <si>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</si>
  <si>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</si>
  <si>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</si>
  <si>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</si>
  <si>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</si>
  <si>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</si>
  <si>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testEncodeStringWithNull</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</si>
  <si>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</si>
  <si>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</si>
  <si>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</si>
  <si>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</si>
  <si>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</si>
  <si>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</si>
  <si>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</si>
  <si>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</si>
  <si>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</si>
  <si>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</si>
  <si>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</si>
  <si>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</si>
  <si>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</si>
  <si>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</si>
  <si>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</si>
  <si>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</si>
  <si>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</si>
  <si>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</si>
  <si>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</si>
  <si>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</si>
  <si>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</si>
  <si>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</si>
  <si>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</si>
  <si>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</si>
  <si>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</si>
  <si>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</si>
  <si>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</si>
  <si>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</si>
  <si>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</si>
  <si>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</si>
  <si>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</si>
  <si>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</si>
  <si>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</si>
  <si>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new method added | method deleted | method replaced with overload</t>
  </si>
  <si>
    <t>not amplification?</t>
  </si>
  <si>
    <t>3d6d334705a6a90899b4646aa888087643ef7c9a</t>
  </si>
  <si>
    <t>25c95b1b9863973283600bc8f980f4bf92e9829f</t>
  </si>
  <si>
    <t>testBuilderLineAttributes</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</si>
  <si>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</si>
  <si>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</si>
  <si>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</si>
  <si>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</si>
  <si>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</si>
  <si>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testBuilderPadingByte</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</si>
  <si>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</si>
  <si>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</si>
  <si>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</si>
  <si>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</si>
  <si>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 xml:space="preserve">Add Base64 support for a custom padding byte (like Base32)
</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</si>
  <si>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</si>
  <si>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</si>
  <si>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</si>
  <si>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</si>
  <si>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</si>
  <si>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</si>
  <si>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</si>
  <si>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</si>
  <si>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</si>
  <si>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</si>
  <si>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</si>
  <si>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</si>
  <si>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org.apache.commons.codec.digest.Md5CryptTest</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</si>
  <si>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</si>
  <si>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</si>
  <si>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</si>
  <si>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</si>
  <si>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</si>
  <si>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</si>
  <si>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</si>
  <si>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 xml:space="preserve">Md5Crypt now throws IllegalArgumentException on an invalid prefix
</t>
  </si>
  <si>
    <t>org.apache.commons.codec.digest.CryptTest</t>
  </si>
  <si>
    <t>c52d4daddb00ce45ecd7bb0ab2e34fab29569b67</t>
  </si>
  <si>
    <t>testCryptWithBytes</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</si>
  <si>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</si>
  <si>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</si>
  <si>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</si>
  <si>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</si>
  <si>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</si>
  <si>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</si>
  <si>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</si>
  <si>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 xml:space="preserve">method replaced with overload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</si>
  <si>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</si>
  <si>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</si>
  <si>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</si>
  <si>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</si>
  <si>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c56e56a96f3f037c82dcb357896162d30a731d1d</t>
  </si>
  <si>
    <t>870c9a32788c4c9c8f2575416514a1c5eda01cb2</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</si>
  <si>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</si>
  <si>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</si>
  <si>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</si>
  <si>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</si>
  <si>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</si>
  <si>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</si>
  <si>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[.getStringEncoder, org/apache/commons/codec/language/MatchRatingApproachEncoder.isEncodeEquals]</t>
  </si>
  <si>
    <t xml:space="preserve">Add org.apache.commons.codec.language.MatchRatingApproachEncoderTest.testCompareWithWhitespace()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</si>
  <si>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</si>
  <si>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</si>
  <si>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</si>
  <si>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</si>
  <si>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</si>
  <si>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</si>
  <si>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</si>
  <si>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</si>
  <si>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</si>
  <si>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</si>
  <si>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org.apache.commons.codec.DecoderExceptionTest</t>
  </si>
  <si>
    <t>9245cf65a700bb6d5d78890dd039e7860a9133b5</t>
  </si>
  <si>
    <t>testConstructorString</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</si>
  <si>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</si>
  <si>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</si>
  <si>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</si>
  <si>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</si>
  <si>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</si>
  <si>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</si>
  <si>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</si>
  <si>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</si>
  <si>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Tags</t>
  </si>
  <si>
    <t>no assertion addition</t>
  </si>
  <si>
    <t>null/boundary checking</t>
  </si>
  <si>
    <t>[IDEN, ORD_SAME]</t>
  </si>
  <si>
    <t>comments same and updated</t>
  </si>
  <si>
    <t>comments same</t>
  </si>
  <si>
    <t>new attribute in assertion</t>
  </si>
  <si>
    <t>[CMN_COUNT_INC]</t>
  </si>
  <si>
    <t>sample vs chunked data</t>
  </si>
  <si>
    <t>assertion checking added</t>
  </si>
  <si>
    <t>method call inside for loop</t>
  </si>
  <si>
    <t>bug resolve</t>
  </si>
  <si>
    <t>[ADD]</t>
  </si>
  <si>
    <t>new feature</t>
  </si>
  <si>
    <t>more test/coverage exploration</t>
  </si>
  <si>
    <t>similar assertion added</t>
  </si>
  <si>
    <t>new/update feature</t>
  </si>
  <si>
    <t>Input Validation Enforcement/Exception Throw Validation</t>
  </si>
  <si>
    <t>new feature + null/boundary checking</t>
  </si>
  <si>
    <t>feature enhancement</t>
  </si>
  <si>
    <t>changed and similar</t>
  </si>
  <si>
    <t>similar code structure</t>
  </si>
  <si>
    <t>Refactoring/Test Maintenance</t>
  </si>
  <si>
    <t>[ADD, ADD_MUL]</t>
  </si>
  <si>
    <t>identical | method replaced</t>
  </si>
  <si>
    <t>[ADD, REM]</t>
  </si>
  <si>
    <t>identical | method replaced with overload</t>
  </si>
  <si>
    <t>exception handling added</t>
  </si>
  <si>
    <t>bug resolve + null/boundary checking</t>
  </si>
  <si>
    <t>constructor parameters changed in type | constructor parameters changed in count</t>
  </si>
  <si>
    <t>different code block repeat</t>
  </si>
  <si>
    <t>empty string checking</t>
  </si>
  <si>
    <t>null string checking</t>
  </si>
  <si>
    <t>Refactoring/Test Maintenance OR more test/coverage exploration</t>
  </si>
  <si>
    <t>Method1Name</t>
  </si>
  <si>
    <t>M1Body-M2Body</t>
  </si>
  <si>
    <t>M1-M2-NormalizedBody</t>
  </si>
  <si>
    <t>Method2Name</t>
  </si>
  <si>
    <t>JaccardSimilarity</t>
  </si>
  <si>
    <t>PositionDistance</t>
  </si>
  <si>
    <t>clusters</t>
  </si>
  <si>
    <t>UncommonMethods</t>
  </si>
  <si>
    <t>testCodeInteger1</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</si>
  <si>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</si>
  <si>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</si>
  <si>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testCodeInteger2</t>
  </si>
  <si>
    <t>[[testCodeInteger1, testCodeInteger2, testCodeInteger3, testCodeInteger4, testCodeIntegerEdgeCases]]</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</si>
  <si>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</si>
  <si>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testCodeInteger3</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</si>
  <si>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</si>
  <si>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testCodeInteger4</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</si>
  <si>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</si>
  <si>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</si>
  <si>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</si>
  <si>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</si>
  <si>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</si>
  <si>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</si>
  <si>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</si>
  <si>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</si>
  <si>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</si>
  <si>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</si>
  <si>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</si>
  <si>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</si>
  <si>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apache.commons.codec.binary.HexTest</t>
  </si>
  <si>
    <t>981c0002d5accb9ebc056b7a34025fd814c4e17f</t>
  </si>
  <si>
    <t>628ece3a5b40c65bc114cb2ffb219599b19db380</t>
  </si>
  <si>
    <t>testHelloWorldLowerCaseHex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</si>
  <si>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</si>
  <si>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</si>
  <si>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testHelloWorldUpperCaseHex</t>
  </si>
  <si>
    <t>[[testHelloWorldLowerCaseHex, testHelloWorldUpperCaseHex]]</t>
  </si>
  <si>
    <t>apache.commons.codec.language.RefinedSoundexTest</t>
  </si>
  <si>
    <t>cb63f4a959e30de6882b20af10d189c7307a6da2</t>
  </si>
  <si>
    <t>d911f5f22724170639c9968581764b1a84017b52</t>
  </si>
  <si>
    <t>testNewInstance</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</si>
  <si>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</si>
  <si>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</si>
  <si>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testNewInstance3</t>
  </si>
  <si>
    <t>[[testNewInstance, testNewInstance2, testNewInstance3]]</t>
  </si>
  <si>
    <t>b8c2d9d9dc9aab45f83cf49ac93cfa8546e4c08e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</si>
  <si>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</si>
  <si>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</si>
  <si>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</si>
  <si>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</si>
  <si>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</si>
  <si>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testRead0</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</si>
  <si>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</si>
  <si>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t>
  </si>
  <si>
    <t>testReadNull</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</si>
  <si>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</si>
  <si>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</si>
  <si>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testReadOutOfBounds</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</si>
  <si>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</si>
  <si>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testWriteOutOfBounds</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</si>
  <si>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</si>
  <si>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</si>
  <si>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testWriteToNullCoverage</t>
  </si>
  <si>
    <t>apache.commons.codec.binary.StringBytesUtilsTest</t>
  </si>
  <si>
    <t>4d67ff229be56b150180cd6652d118075d171e05</t>
  </si>
  <si>
    <t>testGetBytesIso8859_1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</si>
  <si>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</si>
  <si>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org/apache/commons/codec/binary/StringBytesUtils.getBytesUsAscii, java/util/Arrays.equals]</t>
  </si>
  <si>
    <t>testGetBytesUsAscii</t>
  </si>
  <si>
    <t>[ org/apache/commons/codec/binary/StringBytesUtils.getBytesUsAscii,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</si>
  <si>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</si>
  <si>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org/apache/commons/codec/binary/StringBytesUtils.getBytesUtf8, java/util/Arrays.equals]</t>
  </si>
  <si>
    <t>testGetBytesUtf8</t>
  </si>
  <si>
    <t>[ org/apache/commons/codec/binary/StringBytesUtils.getBytesUtf8,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</si>
  <si>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</si>
  <si>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org/apache/commons/codec/binary/StringBytesUtils.getBytesUtf16Be, java/util/Arrays.equals]</t>
  </si>
  <si>
    <t>testGetBytesUtf16Be</t>
  </si>
  <si>
    <t>[ org/apache/commons/codec/binary/StringBytesUtils.getBytesIso8859_1,  org/apache/commons/codec/binary/StringBytesUtils.getBytesUtf16Be]</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</si>
  <si>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 throws UnsupportedEncodingException {
    String charsetName = "UTF-16";
    testGetSupportedBytes(charsetName);
    byte[] expected = STRING_FIXTURE.getBytes(charsetName);
    byte[] actual = StringBytesUtils.getBytesUtf16(STRING_FIXTURE);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</si>
  <si>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 java/util/Arrays.equals]</t>
  </si>
  <si>
    <t>testGetBytesUtf16</t>
  </si>
  <si>
    <t>[ org/apache/commons/codec/binary/StringBytesUtils.getBytesUtf16,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</si>
  <si>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</si>
  <si>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org/apache/commons/codec/binary/StringBytesUtils.getBytesUtf16Le, java/util/Arrays.equals]</t>
  </si>
  <si>
    <t>testGetBytesUtf16Le</t>
  </si>
  <si>
    <t>[ org/apache/commons/codec/binary/StringBytesUtils.getBytesUtf16Le,  org/apache/commons/codec/binary/StringBytesUtils.getBytesIso8859_1]</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</si>
  <si>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</si>
  <si>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org/apache/commons/codec/binary/StringBytesUtils.getBytesUtf16Be, java/util/Arrays.equals]</t>
  </si>
  <si>
    <t>[ org/apache/commons/codec/binary/StringBytesUtils.getBytesUsAscii,  org/apache/commons/codec/binary/StringBytesUtils.getBytesUtf16Be]</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</si>
  <si>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 throws UnsupportedEncodingException {
    String charsetName = "UTF-16";
    testGetSupportedBytes(charsetName);
    byte[] expected = STRING_FIXTURE.getBytes(charsetName);
    byte[] actual = StringBytesUtils.getBytesUtf16(STRING_FIXTURE);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</si>
  <si>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 java/util/Arrays.equals]</t>
  </si>
  <si>
    <t>[ org/apache/commons/codec/binary/StringBytesUtils.getBytesUsAscii,  org/apache/commons/codec/binary/StringBytesUtils.getBytesUtf16]</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</si>
  <si>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</si>
  <si>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org/apache/commons/codec/binary/StringBytesUtils.getBytesUtf16Le, java/util/Arrays.equals]</t>
  </si>
  <si>
    <t>[ org/apache/commons/codec/binary/StringBytesUtils.getBytesUtf16Le,  org/apache/commons/codec/binary/StringBytesUtils.getBytesUsAscii]</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</si>
  <si>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</si>
  <si>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org/apache/commons/codec/binary/StringBytesUtils.getBytesUtf8, java/util/Arrays.equals]</t>
  </si>
  <si>
    <t>[ org/apache/commons/codec/binary/StringBytesUtils.getBytesUtf8,  org/apache/commons/codec/binary/StringBytesUtils.getBytesUsAscii]</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</si>
  <si>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</si>
  <si>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org/apache/commons/codec/binary/StringBytesUtils.getBytesUtf16Be, java/util/Arrays.equals]</t>
  </si>
  <si>
    <t>[ org/apache/commons/codec/binary/StringBytesUtils.getBytesUtf16,  org/apache/commons/codec/binary/StringBytesUtils.getBytesUtf16Be]</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</si>
  <si>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</si>
  <si>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org/apache/commons/codec/binary/StringBytesUtils.getBytesUtf16Le, java/util/Arrays.equals]</t>
  </si>
  <si>
    <t>[ org/apache/commons/codec/binary/StringBytesUtils.getBytesUtf16Le,  org/apache/commons/codec/binary/StringBytesUtils.getBytesUtf16]</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</si>
  <si>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</si>
  <si>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org/apache/commons/codec/binary/StringBytesUtils.getBytesUtf8, java/util/Arrays.equals]</t>
  </si>
  <si>
    <t>[ org/apache/commons/codec/binary/StringBytesUtils.getBytesUtf8,  org/apache/commons/codec/binary/StringBytesUtils.getBytesUtf16]</t>
  </si>
  <si>
    <t>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</si>
  <si>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org/apache/commons/codec/binary/StringBytesUtils.getBytesUtf16Be, java/util/Arrays.equals]
[.testGetSupportedBytes, java/lang/String.getBytes, org/apache/commons/codec/binary/StringBytesUtils.getBytesUtf16Le, java/util/Arrays.equals]</t>
  </si>
  <si>
    <t>[ org/apache/commons/codec/binary/StringBytesUtils.getBytesUtf16Le,  org/apache/commons/codec/binary/StringBytesUtils.getBytesUtf16Be]</t>
  </si>
  <si>
    <t>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</si>
  <si>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org/apache/commons/codec/binary/StringBytesUtils.getBytesUtf16Be, java/util/Arrays.equals]
[.testGetSupportedBytes, java/lang/String.getBytes, org/apache/commons/codec/binary/StringBytesUtils.getBytesUtf8, java/util/Arrays.equals]</t>
  </si>
  <si>
    <t>[ org/apache/commons/codec/binary/StringBytesUtils.getBytesUtf8,  org/apache/commons/codec/binary/StringBytesUtils.getBytesUtf16Be]</t>
  </si>
  <si>
    <t>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</si>
  <si>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org/apache/commons/codec/binary/StringBytesUtils.getBytesUtf16Le, java/util/Arrays.equals]
[.testGetSupportedBytes, java/lang/String.getBytes, org/apache/commons/codec/binary/StringBytesUtils.getBytesUtf8, java/util/Arrays.equals]</t>
  </si>
  <si>
    <t>[ org/apache/commons/codec/binary/StringBytesUtils.getBytesUtf8,  org/apache/commons/codec/binary/StringBytesUtils.getBytesUtf16Le]</t>
  </si>
  <si>
    <t>testGetSupportedBytesBadEnc</t>
  </si>
  <si>
    <t>public void testGetSupportedBytesBadEnc() {
    try {
        StringBytesUtils.getSupportedBytes(STRING_FIXTURE, "UNKNOWN");
        Assert.fail("Expected " + IllegalStateException.class.getName());
    } catch (IllegalStateException e) {
        // Expected
    }
}
public void testNewStringBadEnc() {
    try {
        StringBytesUtils.newString(BYTES_FIXTURE, "UNKNOWN");
        Assert.fail("Expected " + IllegalStateException.class.getName());
    } catch (IllegalStateException e) {
        // Expected
    }
}</t>
  </si>
  <si>
    <t>[org/apache/commons/codec/binary/StringBytesUtils.getSupportedBytes, java/lang/StringBuffer."&lt;init&gt;", java/lang/StringBuffer.append, .class$, java/lang/Class.getName, java/lang/StringBuffer.append, java/lang/StringBuffer.toString]
[org/apache/commons/codec/binary/StringBytesUtils.newString, java/lang/StringBuffer."&lt;init&gt;", java/lang/StringBuffer.append, .class$, java/lang/Class.getName, java/lang/StringBuffer.append, java/lang/StringBuffer.toString]</t>
  </si>
  <si>
    <t>[org/apache/commons/codec/binary/StringBytesUtils.newString, org/apache/commons/codec/binary/StringBytesUtils.getSupportedBytes]</t>
  </si>
  <si>
    <t>testNewStringIso8859_1</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</si>
  <si>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testNewStringUsAscii() throws UnsupportedEncodingException {
    String charsetName = "US-ASCII";
    testNewString(charsetName);
    String expected = new String(BYTES_FIXTURE, charsetName);
    String actual = StringBytesUtils.newStringUsAscii(BYTES_FIXTURE);
    Assert.assertEquals(expected, actual);
}</t>
  </si>
  <si>
    <t>[.testNewString, java/lang/String."&lt;init&gt;", org/apache/commons/codec/binary/StringBytesUtils.newStringIso8859_1]
[.testNewString, java/lang/String."&lt;init&gt;", org/apache/commons/codec/binary/StringBytesUtils.newStringUsAscii]</t>
  </si>
  <si>
    <t>testNewStringUsAscii</t>
  </si>
  <si>
    <t>[ org/apache/commons/codec/binary/StringBytesUtils.newStringIso8859_1,  org/apache/commons/codec/binary/StringBytesUtils.newStringUsAscii]</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</si>
  <si>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</si>
  <si>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org/apache/commons/codec/binary/StringBytesUtils.newStringIso8859_1]
[.testNewString, java/lang/String."&lt;init&gt;", org/apache/commons/codec/binary/StringBytesUtils.newStringUtf8]</t>
  </si>
  <si>
    <t>testNewStringUtf8</t>
  </si>
  <si>
    <t>[ org/apache/commons/codec/binary/StringBytesUtils.newStringIso8859_1,  org/apache/commons/codec/binary/StringBytesUtils.newStringUtf8]</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</si>
  <si>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</si>
  <si>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org/apache/commons/codec/binary/StringBytesUtils.newStringIso8859_1]
[.testNewString, java/lang/String."&lt;init&gt;", org/apache/commons/codec/binary/StringBytesUtils.newStringUtf16Be]</t>
  </si>
  <si>
    <t>testNewStringUtf16Be</t>
  </si>
  <si>
    <t>[ org/apache/commons/codec/binary/StringBytesUtils.newStringIso8859_1,  org/apache/commons/codec/binary/StringBytesUtils.newStringUtf16Be]</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</si>
  <si>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 throws UnsupportedEncodingException {
    String charsetName = "UTF-16";
    testNewString(charsetName);
    String expected = new String(BYTES_FIXTURE, charsetName);
    String actual = StringBytesUtils.newStringUtf16(BYTES_FIXTURE);
    Assert.assertEquals(expected, actual);
}</t>
  </si>
  <si>
    <t>[.testNewString, java/lang/String."&lt;init&gt;", org/apache/commons/codec/binary/StringBytesUtils.newStringIso8859_1]
[.testNewString, java/lang/String."&lt;init&gt;", org/apache/commons/codec/binary/StringBytesUtils.newStringUtf16]</t>
  </si>
  <si>
    <t>testNewStringUtf16</t>
  </si>
  <si>
    <t>[ org/apache/commons/codec/binary/StringBytesUtils.newStringUtf16,  org/apache/commons/codec/binary/StringBytesUtils.newStringIso8859_1]</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</si>
  <si>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</si>
  <si>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org/apache/commons/codec/binary/StringBytesUtils.newStringIso8859_1]
[.testNewString, java/lang/String."&lt;init&gt;", org/apache/commons/codec/binary/StringBytesUtils.newStringUtf16Le]</t>
  </si>
  <si>
    <t>testNewStringUtf16Le</t>
  </si>
  <si>
    <t>[ org/apache/commons/codec/binary/StringBytesUtils.newStringIso8859_1,  org/apache/commons/codec/binary/StringBytesUtils.newStringUtf16Le]</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</si>
  <si>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</si>
  <si>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org/apache/commons/codec/binary/StringBytesUtils.newStringUsAscii]
[.testNewString, java/lang/String."&lt;init&gt;", org/apache/commons/codec/binary/StringBytesUtils.newStringUtf16Be]</t>
  </si>
  <si>
    <t>[ org/apache/commons/codec/binary/StringBytesUtils.newStringUsAscii,  org/apache/commons/codec/binary/StringBytesUtils.newStringUtf16Be]</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</si>
  <si>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</si>
  <si>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org/apache/commons/codec/binary/StringBytesUtils.newStringUsAscii]
[.testNewString, java/lang/String."&lt;init&gt;", org/apache/commons/codec/binary/StringBytesUtils.newStringUtf8]</t>
  </si>
  <si>
    <t>[ org/apache/commons/codec/binary/StringBytesUtils.newStringUsAscii,  org/apache/commons/codec/binary/StringBytesUtils.newStringUtf8]</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</si>
  <si>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 throws UnsupportedEncodingException {
    String charsetName = "UTF-16";
    testNewString(charsetName);
    String expected = new String(BYTES_FIXTURE, charsetName);
    String actual = StringBytesUtils.newStringUtf16(BYTES_FIXTURE);
    Assert.assertEquals(expected, actual);
}</t>
  </si>
  <si>
    <t>[.testNewString, java/lang/String."&lt;init&gt;", org/apache/commons/codec/binary/StringBytesUtils.newStringUsAscii]
[.testNewString, java/lang/String."&lt;init&gt;", org/apache/commons/codec/binary/StringBytesUtils.newStringUtf16]</t>
  </si>
  <si>
    <t>[ org/apache/commons/codec/binary/StringBytesUtils.newStringUtf16,  org/apache/commons/codec/binary/StringBytesUtils.newStringUsAscii]</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</si>
  <si>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</si>
  <si>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org/apache/commons/codec/binary/StringBytesUtils.newStringUsAscii]
[.testNewString, java/lang/String."&lt;init&gt;", org/apache/commons/codec/binary/StringBytesUtils.newStringUtf16Le]</t>
  </si>
  <si>
    <t>[ org/apache/commons/codec/binary/StringBytesUtils.newStringUsAscii,  org/apache/commons/codec/binary/StringBytesUtils.newStringUtf16Le]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</si>
  <si>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</si>
  <si>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org/apache/commons/codec/binary/StringBytesUtils.newStringUtf16]
[.testNewString, java/lang/String."&lt;init&gt;", org/apache/commons/codec/binary/StringBytesUtils.newStringUtf16Be]</t>
  </si>
  <si>
    <t>[ org/apache/commons/codec/binary/StringBytesUtils.newStringUtf16,  org/apache/commons/codec/binary/StringBytesUtils.newStringUtf16Be]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</si>
  <si>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</si>
  <si>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org/apache/commons/codec/binary/StringBytesUtils.newStringUtf16]
[.testNewString, java/lang/String."&lt;init&gt;", org/apache/commons/codec/binary/StringBytesUtils.newStringUtf16Le]</t>
  </si>
  <si>
    <t>[ org/apache/commons/codec/binary/StringBytesUtils.newStringUtf16,  org/apache/commons/codec/binary/StringBytesUtils.newStringUtf16Le]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</si>
  <si>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</si>
  <si>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
[.testNewString, java/lang/String."&lt;init&gt;", org/apache/commons/codec/binary/StringBytesUtils.newStringUtf8]</t>
  </si>
  <si>
    <t>[ org/apache/commons/codec/binary/StringBytesUtils.newStringUtf16,  org/apache/commons/codec/binary/StringBytesUtils.newStringUtf8]</t>
  </si>
  <si>
    <t>public void testNewStringUtf16Be() throws UnsupportedEncodingException {
    String charsetName = "UTF-16BE";
    testNewString(charsetName);
    String expected = new String(BYTES_FIXTURE, charsetName);
    String actual = StringBytesUtils.newStringUtf16Be(BYTES_FIXTURE);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</si>
  <si>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org/apache/commons/codec/binary/StringBytesUtils.newStringUtf16Be]
[.testNewString, java/lang/String."&lt;init&gt;", org/apache/commons/codec/binary/StringBytesUtils.newStringUtf16Le]</t>
  </si>
  <si>
    <t>[ org/apache/commons/codec/binary/StringBytesUtils.newStringUtf16Le,  org/apache/commons/codec/binary/StringBytesUtils.newStringUtf16Be]</t>
  </si>
  <si>
    <t>public void testNewStringUtf16Be() throws UnsupportedEncodingException {
    String charsetName = "UTF-16BE";
    testNewString(charsetName);
    String expected = new String(BYTES_FIXTURE, charsetName);
    String actual = StringBytesUtils.newStringUtf16Be(BYTES_FIXTURE);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</si>
  <si>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org/apache/commons/codec/binary/StringBytesUtils.newStringUtf16Be]
[.testNewString, java/lang/String."&lt;init&gt;", org/apache/commons/codec/binary/StringBytesUtils.newStringUtf8]</t>
  </si>
  <si>
    <t>[ org/apache/commons/codec/binary/StringBytesUtils.newStringUtf16Be,  org/apache/commons/codec/binary/StringBytesUtils.newStringUtf8]</t>
  </si>
  <si>
    <t>public void testNewStringUtf16Le() throws UnsupportedEncodingException {
    String charsetName = "UTF-16LE";
    testNewString(charsetName);
    String expected = new String(BYTES_FIXTURE, charsetName);
    String actual = StringBytesUtils.newStringUtf16Le(BYTES_FIXTURE);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</si>
  <si>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org/apache/commons/codec/binary/StringBytesUtils.newStringUtf16Le]
[.testNewString, java/lang/String."&lt;init&gt;", org/apache/commons/codec/binary/StringBytesUtils.newStringUtf8]</t>
  </si>
  <si>
    <t>[ org/apache/commons/codec/binary/StringBytesUtils.newStringUtf16Le,  org/apache/commons/codec/binary/StringBytesUtils.newStringUtf8]</t>
  </si>
  <si>
    <t>apache.commons.codec.RequiredCharsetNamesTest</t>
  </si>
  <si>
    <t>testIso8859_1</t>
  </si>
  <si>
    <t>public void testIso8859_1() {
    Assert.assertEquals("ISO-8859-1", RequiredCharsetNames.ISO_8859_1);
}
public void testUtf8() {
    Assert.assertEquals("UTF-8", RequiredCharsetNames.UTF_8);
}</t>
  </si>
  <si>
    <t>testUtf8</t>
  </si>
  <si>
    <t>public void testIso8859_1() {
    Assert.assertEquals("ISO-8859-1", RequiredCharsetNames.ISO_8859_1);
}
public void testUsAscii() {
    Assert.assertEquals("US-ASCII", RequiredCharsetNames.US_ASCII);
}</t>
  </si>
  <si>
    <t>testUsAscii</t>
  </si>
  <si>
    <t>public void testIso8859_1() {
    Assert.assertEquals("ISO-8859-1", RequiredCharsetNames.ISO_8859_1);
}
public void testUtf16() {
    Assert.assertEquals("UTF-16", RequiredCharsetNames.UTF_16);
}</t>
  </si>
  <si>
    <t>testUtf16</t>
  </si>
  <si>
    <t>public void testIso8859_1() {
    Assert.assertEquals("ISO-8859-1", RequiredCharsetNames.ISO_8859_1);
}
public void testUtf16Be() {
    Assert.assertEquals("UTF-16BE", RequiredCharsetNames.UTF_16BE);
}</t>
  </si>
  <si>
    <t>testUtf16Be</t>
  </si>
  <si>
    <t>public void testIso8859_1() {
    Assert.assertEquals("ISO-8859-1", RequiredCharsetNames.ISO_8859_1);
}
public void testUtf16Le() {
    Assert.assertEquals("UTF-16LE", RequiredCharsetNames.UTF_16LE);
}</t>
  </si>
  <si>
    <t>testUtf16Le</t>
  </si>
  <si>
    <t>public void testUsAscii() {
    Assert.assertEquals("US-ASCII", RequiredCharsetNames.US_ASCII);
}
public void testUtf16() {
    Assert.assertEquals("UTF-16", RequiredCharsetNames.UTF_16);
}</t>
  </si>
  <si>
    <t>public void testUsAscii() {
    Assert.assertEquals("US-ASCII", RequiredCharsetNames.US_ASCII);
}
public void testUtf16Be() {
    Assert.assertEquals("UTF-16BE", RequiredCharsetNames.UTF_16BE);
}</t>
  </si>
  <si>
    <t>public void testUsAscii() {
    Assert.assertEquals("US-ASCII", RequiredCharsetNames.US_ASCII);
}
public void testUtf8() {
    Assert.assertEquals("UTF-8", RequiredCharsetNames.UTF_8);
}</t>
  </si>
  <si>
    <t>public void testUsAscii() {
    Assert.assertEquals("US-ASCII", RequiredCharsetNames.US_ASCII);
}
public void testUtf16Le() {
    Assert.assertEquals("UTF-16LE", RequiredCharsetNames.UTF_16LE);
}</t>
  </si>
  <si>
    <t>public void testUtf16() {
    Assert.assertEquals("UTF-16", RequiredCharsetNames.UTF_16);
}
public void testUtf16Be() {
    Assert.assertEquals("UTF-16BE", RequiredCharsetNames.UTF_16BE);
}</t>
  </si>
  <si>
    <t>public void testUtf16() {
    Assert.assertEquals("UTF-16", RequiredCharsetNames.UTF_16);
}
public void testUtf16Le() {
    Assert.assertEquals("UTF-16LE", RequiredCharsetNames.UTF_16LE);
}</t>
  </si>
  <si>
    <t>public void testUtf16() {
    Assert.assertEquals("UTF-16", RequiredCharsetNames.UTF_16);
}
public void testUtf8() {
    Assert.assertEquals("UTF-8", RequiredCharsetNames.UTF_8);
}</t>
  </si>
  <si>
    <t>public void testUtf16Be() {
    Assert.assertEquals("UTF-16BE", RequiredCharsetNames.UTF_16BE);
}
public void testUtf16Le() {
    Assert.assertEquals("UTF-16LE", RequiredCharsetNames.UTF_16LE);
}</t>
  </si>
  <si>
    <t>public void testUtf16Be() {
    Assert.assertEquals("UTF-16BE", RequiredCharsetNames.UTF_16BE);
}
public void testUtf8() {
    Assert.assertEquals("UTF-8", RequiredCharsetNames.UTF_8);
}</t>
  </si>
  <si>
    <t>public void testUtf16Le() {
    Assert.assertEquals("UTF-16LE", RequiredCharsetNames.UTF_16LE);
}
public void testUtf8() {
    Assert.assertEquals("UTF-8", RequiredCharsetNames.UTF_8);
}</t>
  </si>
  <si>
    <t>apache.commons.codec.DecoderExceptionTest</t>
  </si>
  <si>
    <t>2eef8dee31bbaa10ffb1264fbbe9aba1bc92c45b</t>
  </si>
  <si>
    <t>testConstructor0</t>
  </si>
  <si>
    <t>public void testConstructor0() {
    DecoderException e = new DecoderException();
    assertNull(e.getMessage());
    assertNull(e.getCause());
}
public void testConstructorString() {
    DecoderException e = new DecoderException(MSG);
    assertEquals(MSG, e.getMessage());
    assertNull(e.getCause());
}</t>
  </si>
  <si>
    <t>public void testConstructor0() {
    DecoderException e = new DecoderException();
    assertNull(e.getMessage());
    assertNull(e.getCause());
}
public void testConstructorStringThrowable() {
    DecoderException e = new DecoderException(MSG, t);
    assertEquals(MSG, e.getMessage());
    assertEquals(t, e.getCause());
}</t>
  </si>
  <si>
    <t>testConstructorStringThrowable</t>
  </si>
  <si>
    <t>public void testConstructorString() {
    DecoderException e = new DecoderException(MSG);
    assertEquals(MSG, e.getMessage());
    assertNull(e.getCause());
}
public void testConstructorStringThrowable() {
    DecoderException e = new DecoderException(MSG, t);
    assertEquals(MSG, e.getMessage());
    assertEquals(t, e.getCause());
}</t>
  </si>
  <si>
    <t>apache.commons.codec.EncoderExceptionTest</t>
  </si>
  <si>
    <t>public void testConstructor0() {
    EncoderException e = new EncoderException();
    assertNull(e.getMessage());
    assertNull(e.getCause());
}
public void testConstructorString() {
    EncoderException e = new EncoderException(MSG);
    assertEquals(MSG, e.getMessage());
    assertNull(e.getCause());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</si>
  <si>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</si>
  <si>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public void testConstructor0() {
    EncoderException e = new EncoderException();
    assertNull(e.getMessage());
    assertNull(e.getCause());
}
public void testConstructorStringThrowable() {
    EncoderException e = new EncoderException(MSG, t);
    assertEquals(MSG, e.getMessage());
    assertEquals(t, e.getCause());
}</t>
  </si>
  <si>
    <t>public void testConstructorString() {
    EncoderException e = new EncoderException(MSG);
    assertEquals(MSG, e.getMessage());
    assertNull(e.getCause());
}
public void testConstructorStringThrowable() {
    EncoderException e = new EncoderException(MSG, t);
    assertEquals(MSG, e.getMessage());
    assertEquals(t, e.getCause());
}</t>
  </si>
  <si>
    <t>apache.commons.codec.CharEncodingTest</t>
  </si>
  <si>
    <t>a952f092987217322ceb6ab1d559d0612d02a778</t>
  </si>
  <si>
    <t>public void testIso8859_1() {
    Assert.assertEquals("ISO-8859-1", CharEncoding.ISO_8859_1);
}
public void testUtf8() {
    Assert.assertEquals("UTF-8", CharEncoding.UTF_8);
}</t>
  </si>
  <si>
    <t>public void testIso8859_1() {
    Assert.assertEquals("ISO-8859-1", CharEncoding.ISO_8859_1);
}
public void testUsAscii() {
    Assert.assertEquals("US-ASCII", CharEncoding.US_ASCII);
}</t>
  </si>
  <si>
    <t>public void testIso8859_1() {
    Assert.assertEquals("ISO-8859-1", CharEncoding.ISO_8859_1);
}
public void testUtf16() {
    Assert.assertEquals("UTF-16", CharEncoding.UTF_16);
}</t>
  </si>
  <si>
    <t>public void testIso8859_1() {
    Assert.assertEquals("ISO-8859-1", CharEncoding.ISO_8859_1);
}
public void testUtf16Be() {
    Assert.assertEquals("UTF-16BE", CharEncoding.UTF_16BE);
}</t>
  </si>
  <si>
    <t>public void testIso8859_1() {
    Assert.assertEquals("ISO-8859-1", CharEncoding.ISO_8859_1);
}
public void testUtf16Le() {
    Assert.assertEquals("UTF-16LE", CharEncoding.UTF_16LE);
}</t>
  </si>
  <si>
    <t>public void testUsAscii() {
    Assert.assertEquals("US-ASCII", CharEncoding.US_ASCII);
}
public void testUtf16() {
    Assert.assertEquals("UTF-16", CharEncoding.UTF_16);
}</t>
  </si>
  <si>
    <t>public void testUsAscii() {
    Assert.assertEquals("US-ASCII", CharEncoding.US_ASCII);
}
public void testUtf16Be() {
    Assert.assertEquals("UTF-16BE", CharEncoding.UTF_16BE);
}</t>
  </si>
  <si>
    <t>public void testUsAscii() {
    Assert.assertEquals("US-ASCII", CharEncoding.US_ASCII);
}
public void testUtf8() {
    Assert.assertEquals("UTF-8", CharEncoding.UTF_8);
}</t>
  </si>
  <si>
    <t>public void testUsAscii() {
    Assert.assertEquals("US-ASCII", CharEncoding.US_ASCII);
}
public void testUtf16Le() {
    Assert.assertEquals("UTF-16LE", CharEncoding.UTF_16LE);
}</t>
  </si>
  <si>
    <t>public void testUtf16() {
    Assert.assertEquals("UTF-16", CharEncoding.UTF_16);
}
public void testUtf16Be() {
    Assert.assertEquals("UTF-16BE", CharEncoding.UTF_16BE);
}</t>
  </si>
  <si>
    <t>public void testUtf16() {
    Assert.assertEquals("UTF-16", CharEncoding.UTF_16);
}
public void testUtf16Le() {
    Assert.assertEquals("UTF-16LE", CharEncoding.UTF_16LE);
}</t>
  </si>
  <si>
    <t>public void testUtf16() {
    Assert.assertEquals("UTF-16", CharEncoding.UTF_16);
}
public void testUtf8() {
    Assert.assertEquals("UTF-8", CharEncoding.UTF_8);
}</t>
  </si>
  <si>
    <t>public void testUtf16Be() {
    Assert.assertEquals("UTF-16BE", CharEncoding.UTF_16BE);
}
public void testUtf16Le() {
    Assert.assertEquals("UTF-16LE", CharEncoding.UTF_16LE);
}</t>
  </si>
  <si>
    <t>public void testUtf16Be() {
    Assert.assertEquals("UTF-16BE", CharEncoding.UTF_16BE);
}
public void testUtf8() {
    Assert.assertEquals("UTF-8", CharEncoding.UTF_8);
}</t>
  </si>
  <si>
    <t>public void testUtf16Le() {
    Assert.assertEquals("UTF-16LE", CharEncoding.UTF_16LE);
}
public void testUtf8() {
    Assert.assertEquals("UTF-8", CharEncoding.UTF_8);
}</t>
  </si>
  <si>
    <t>20a88d9b49beda71ddee69af92872716fd00f13a</t>
  </si>
  <si>
    <t>fab9e0f107a929697589618995f259992711d263</t>
  </si>
  <si>
    <t>testConstructor_Int_ByteArray_Boolean</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</si>
  <si>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</si>
  <si>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</si>
  <si>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testConstructor_Int_ByteArray_Boolean_UrlSafe</t>
  </si>
  <si>
    <t>[[testConstructor_Int_ByteArray_Boolean, testConstructor_Int_ByteArray_Boolean_UrlSafe]]</t>
  </si>
  <si>
    <t>[ java/lang/String.replaceAll]</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</si>
  <si>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testGetBytesUsAscii() throws UnsupportedEncodingException {
    String charsetName = "US-ASCII";
    testGetSupportedBytes(charsetName);
    byte[] expected = STRING_FIXTURE.getBytes(charsetName);
    byte[] actual = StringUtils.getBytesUsAscii(STRING_FIXTURE);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</si>
  <si>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org/apache/commons/codec/binary/StringUtils.getBytesUsAscii, java/util/Arrays.equals]</t>
  </si>
  <si>
    <t>[ org/apache/commons/codec/binary/StringUtils.getBytesIso8859_1,  org/apache/commons/codec/binary/StringUtils.getBytesUsAscii]</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</si>
  <si>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</si>
  <si>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org/apache/commons/codec/binary/StringUtils.getBytesUtf8, java/util/Arrays.equals]</t>
  </si>
  <si>
    <t>[ org/apache/commons/codec/binary/StringUtils.getBytesIso8859_1,  org/apache/commons/codec/binary/StringUtils.getBytesUtf8]</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</si>
  <si>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</si>
  <si>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org/apache/commons/codec/binary/StringUtils.getBytesUtf16Be, java/util/Arrays.equals]</t>
  </si>
  <si>
    <t>[ org/apache/commons/codec/binary/StringUtils.getBytesUtf16Be,  org/apache/commons/codec/binary/StringUtils.getBytesIso8859_1]</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</si>
  <si>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 throws UnsupportedEncodingException {
    String charsetName = "UTF-16";
    testGetSupportedBytes(charsetName);
    byte[] expected = STRING_FIXTURE.getBytes(charsetName);
    byte[] actual = StringUtils.getBytesUtf16(STRING_FIXTURE);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</si>
  <si>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 java/util/Arrays.equals]</t>
  </si>
  <si>
    <t>[ org/apache/commons/codec/binary/StringUtils.getBytesIso8859_1,  org/apache/commons/codec/binary/StringUtils.getBytesUtf16]</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</si>
  <si>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</si>
  <si>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org/apache/commons/codec/binary/StringUtils.getBytesUtf16Le, java/util/Arrays.equals]</t>
  </si>
  <si>
    <t>[ org/apache/commons/codec/binary/StringUtils.getBytesIso8859_1,  org/apache/commons/codec/binary/StringUtils.getBytesUtf16Le]</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</si>
  <si>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</si>
  <si>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org/apache/commons/codec/binary/StringUtils.getBytesUtf16Be, java/util/Arrays.equals]</t>
  </si>
  <si>
    <t>[ org/apache/commons/codec/binary/StringUtils.getBytesUtf16Be,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</si>
  <si>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 throws UnsupportedEncodingException {
    String charsetName = "UTF-16";
    testGetSupportedBytes(charsetName);
    byte[] expected = STRING_FIXTURE.getBytes(charsetName);
    byte[] actual = StringUtils.getBytesUtf16(STRING_FIXTURE);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</si>
  <si>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 java/util/Arrays.equals]</t>
  </si>
  <si>
    <t>[ org/apache/commons/codec/binary/StringUtils.getBytesUtf16,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</si>
  <si>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</si>
  <si>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org/apache/commons/codec/binary/StringUtils.getBytesUtf16Le, java/util/Arrays.equals]</t>
  </si>
  <si>
    <t>[ org/apache/commons/codec/binary/StringUtils.getBytesUtf16Le,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</si>
  <si>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</si>
  <si>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org/apache/commons/codec/binary/StringUtils.getBytesUtf8, java/util/Arrays.equals]</t>
  </si>
  <si>
    <t>[ org/apache/commons/codec/binary/StringUtils.getBytesUsAscii,  org/apache/commons/codec/binary/StringUtils.getBytesUtf8]</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</si>
  <si>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</si>
  <si>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org/apache/commons/codec/binary/StringUtils.getBytesUtf16Be, java/util/Arrays.equals]</t>
  </si>
  <si>
    <t>[ org/apache/commons/codec/binary/StringUtils.getBytesUtf16Be,  org/apache/commons/codec/binary/StringUtils.getBytesUtf16]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</si>
  <si>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</si>
  <si>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org/apache/commons/codec/binary/StringUtils.getBytesUtf16Le, java/util/Arrays.equals]</t>
  </si>
  <si>
    <t>[ org/apache/commons/codec/binary/StringUtils.getBytesUtf16Le,  org/apache/commons/codec/binary/StringUtils.getBytesUtf16]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</si>
  <si>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</si>
  <si>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org/apache/commons/codec/binary/StringUtils.getBytesUtf8, java/util/Arrays.equals]</t>
  </si>
  <si>
    <t>[ org/apache/commons/codec/binary/StringUtils.getBytesUtf16,  org/apache/commons/codec/binary/StringUtils.getBytesUtf8]</t>
  </si>
  <si>
    <t>public void testGetBytesUtf16Be() throws UnsupportedEncodingException {
    String charsetName = "UTF-16BE";
    testGetSupportedBytes(charsetName);
    byte[] expected = STRING_FIXTURE.getBytes(charsetName);
    byte[] actual = StringUtils.getBytesUtf16Be(STRING_FIXTURE);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</si>
  <si>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org/apache/commons/codec/binary/StringUtils.getBytesUtf16Be, java/util/Arrays.equals]
[.testGetSupportedBytes, java/lang/String.getBytes, org/apache/commons/codec/binary/StringUtils.getBytesUtf16Le, java/util/Arrays.equals]</t>
  </si>
  <si>
    <t>[ org/apache/commons/codec/binary/StringUtils.getBytesUtf16Be,  org/apache/commons/codec/binary/StringUtils.getBytesUtf16Le]</t>
  </si>
  <si>
    <t>public void testGetBytesUtf16Be() throws UnsupportedEncodingException {
    String charsetName = "UTF-16BE";
    testGetSupportedBytes(charsetName);
    byte[] expected = STRING_FIXTURE.getBytes(charsetName);
    byte[] actual = StringUtils.getBytesUtf16Be(STRING_FIXTURE);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</si>
  <si>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org/apache/commons/codec/binary/StringUtils.getBytesUtf16Be, java/util/Arrays.equals]
[.testGetSupportedBytes, java/lang/String.getBytes, org/apache/commons/codec/binary/StringUtils.getBytesUtf8, java/util/Arrays.equals]</t>
  </si>
  <si>
    <t>[ org/apache/commons/codec/binary/StringUtils.getBytesUtf16Be,  org/apache/commons/codec/binary/StringUtils.getBytesUtf8]</t>
  </si>
  <si>
    <t>public void testGetBytesUtf16Le() throws UnsupportedEncodingException {
    String charsetName = "UTF-16LE";
    testGetSupportedBytes(charsetName);
    byte[] expected = STRING_FIXTURE.getBytes(charsetName);
    byte[] actual = StringUtils.getBytesUtf16Le(STRING_FIXTURE);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</si>
  <si>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org/apache/commons/codec/binary/StringUtils.getBytesUtf16Le, java/util/Arrays.equals]
[.testGetSupportedBytes, java/lang/String.getBytes, org/apache/commons/codec/binary/StringUtils.getBytesUtf8, java/util/Arrays.equals]</t>
  </si>
  <si>
    <t>[ org/apache/commons/codec/binary/StringUtils.getBytesUtf16Le,  org/apache/commons/codec/binary/StringUtils.getBytesUtf8]</t>
  </si>
  <si>
    <t>public void testGetSupportedBytesBadEnc() {
    try {
        StringUtils.getSupportedBytes(STRING_FIXTURE, "UNKNOWN");
        Assert.fail("Expected " + IllegalStateException.class.getName());
    } catch (IllegalStateException e) {
        // Expected
    }
}
public void testNewStringBadEnc() {
    try {
        StringUtils.newString(BYTES_FIXTURE, "UNKNOWN");
        Assert.fail("Expected " + IllegalStateException.class.getName());
    } catch (IllegalStateException e) {
        // Expected
    }
}</t>
  </si>
  <si>
    <t>[org/apache/commons/codec/binary/StringUtils.getSupportedBytes, java/lang/StringBuffer."&lt;init&gt;", java/lang/StringBuffer.append, .class$, java/lang/Class.getName, java/lang/StringBuffer.append, java/lang/StringBuffer.toString]
[org/apache/commons/codec/binary/StringUtils.newString, java/lang/StringBuffer."&lt;init&gt;", java/lang/StringBuffer.append, .class$, java/lang/Class.getName, java/lang/StringBuffer.append, java/lang/StringBuffer.toString]</t>
  </si>
  <si>
    <t>[org/apache/commons/codec/binary/StringUtils.newString, org/apache/commons/codec/binary/StringUtils.getSupportedBytes]</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</si>
  <si>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testNewStringUsAscii() throws UnsupportedEncodingException {
    String charsetName = "US-ASCII";
    testNewString(charsetName);
    String expected = new String(BYTES_FIXTURE, charsetName);
    String actual = StringUtils.newStringUsAscii(BYTES_FIXTURE);
    Assert.assertEquals(expected, actual);
}</t>
  </si>
  <si>
    <t>[.testNewString, java/lang/String."&lt;init&gt;", org/apache/commons/codec/binary/StringUtils.newStringIso8859_1]
[.testNewString, java/lang/String."&lt;init&gt;", org/apache/commons/codec/binary/StringUtils.newStringUsAscii]</t>
  </si>
  <si>
    <t>[ org/apache/commons/codec/binary/StringUtils.newStringIso8859_1,  org/apache/commons/codec/binary/StringUtils.newStringUsAscii]</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</si>
  <si>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</si>
  <si>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org/apache/commons/codec/binary/StringUtils.newStringIso8859_1]
[.testNewString, java/lang/String."&lt;init&gt;", org/apache/commons/codec/binary/StringUtils.newStringUtf8]</t>
  </si>
  <si>
    <t>[ org/apache/commons/codec/binary/StringUtils.newStringUtf8,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</si>
  <si>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</si>
  <si>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org/apache/commons/codec/binary/StringUtils.newStringIso8859_1]
[.testNewString, java/lang/String."&lt;init&gt;", org/apache/commons/codec/binary/StringUtils.newStringUtf16Be]</t>
  </si>
  <si>
    <t>[ org/apache/commons/codec/binary/StringUtils.newStringUtf16Be,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</si>
  <si>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</si>
  <si>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org/apache/commons/codec/binary/StringUtils.newStringIso8859_1]
[.testNewString, java/lang/String."&lt;init&gt;", org/apache/commons/codec/binary/StringUtils.newStringUtf16]</t>
  </si>
  <si>
    <t>[ org/apache/commons/codec/binary/StringUtils.newStringUtf16,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</si>
  <si>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</si>
  <si>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org/apache/commons/codec/binary/StringUtils.newStringIso8859_1]
[.testNewString, java/lang/String."&lt;init&gt;", org/apache/commons/codec/binary/StringUtils.newStringUtf16Le]</t>
  </si>
  <si>
    <t>[ org/apache/commons/codec/binary/StringUtils.newStringUtf16Le,  org/apache/commons/codec/binary/StringUtils.newStringIso8859_1]</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</si>
  <si>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</si>
  <si>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org/apache/commons/codec/binary/StringUtils.newStringUsAscii]
[.testNewString, java/lang/String."&lt;init&gt;", org/apache/commons/codec/binary/StringUtils.newStringUtf16Be]</t>
  </si>
  <si>
    <t>[ org/apache/commons/codec/binary/StringUtils.newStringUtf16Be,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</si>
  <si>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</si>
  <si>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org/apache/commons/codec/binary/StringUtils.newStringUsAscii]
[.testNewString, java/lang/String."&lt;init&gt;", org/apache/commons/codec/binary/StringUtils.newStringUtf8]</t>
  </si>
  <si>
    <t>[ org/apache/commons/codec/binary/StringUtils.newStringUtf8,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</si>
  <si>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</si>
  <si>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org/apache/commons/codec/binary/StringUtils.newStringUsAscii]
[.testNewString, java/lang/String."&lt;init&gt;", org/apache/commons/codec/binary/StringUtils.newStringUtf16]</t>
  </si>
  <si>
    <t>[ org/apache/commons/codec/binary/StringUtils.newStringUtf16,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</si>
  <si>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</si>
  <si>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org/apache/commons/codec/binary/StringUtils.newStringUsAscii]
[.testNewString, java/lang/String."&lt;init&gt;", org/apache/commons/codec/binary/StringUtils.newStringUtf16Le]</t>
  </si>
  <si>
    <t>[ org/apache/commons/codec/binary/StringUtils.newStringUtf16Le,  org/apache/commons/codec/binary/StringUtils.newStringUsAscii]</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</si>
  <si>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</si>
  <si>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org/apache/commons/codec/binary/StringUtils.newStringUtf16]
[.testNewString, java/lang/String."&lt;init&gt;", org/apache/commons/codec/binary/StringUtils.newStringUtf16Be]</t>
  </si>
  <si>
    <t>[ org/apache/commons/codec/binary/StringUtils.newStringUtf16,  org/apache/commons/codec/binary/StringUtils.newStringUtf16Be]</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</si>
  <si>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</si>
  <si>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org/apache/commons/codec/binary/StringUtils.newStringUtf16]
[.testNewString, java/lang/String."&lt;init&gt;", org/apache/commons/codec/binary/StringUtils.newStringUtf16Le]</t>
  </si>
  <si>
    <t>[ org/apache/commons/codec/binary/StringUtils.newStringUtf16,  org/apache/commons/codec/binary/StringUtils.newStringUtf16Le]</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</si>
  <si>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</si>
  <si>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
[.testNewString, java/lang/String."&lt;init&gt;", org/apache/commons/codec/binary/StringUtils.newStringUtf8]</t>
  </si>
  <si>
    <t>[ org/apache/commons/codec/binary/StringUtils.newStringUtf16,  org/apache/commons/codec/binary/StringUtils.newStringUtf8]</t>
  </si>
  <si>
    <t>public void testNewStringUtf16Be() throws UnsupportedEncodingException {
    String charsetName = "UTF-16BE";
    testNewString(charsetName);
    String expected = new String(BYTES_FIXTURE, charsetName);
    String actual = StringUtils.newStringUtf16Be(BYTES_FIXTURE);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</si>
  <si>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org/apache/commons/codec/binary/StringUtils.newStringUtf16Be]
[.testNewString, java/lang/String."&lt;init&gt;", org/apache/commons/codec/binary/StringUtils.newStringUtf16Le]</t>
  </si>
  <si>
    <t>[ org/apache/commons/codec/binary/StringUtils.newStringUtf16Be,  org/apache/commons/codec/binary/StringUtils.newStringUtf16Le]</t>
  </si>
  <si>
    <t>public void testNewStringUtf16Be() throws UnsupportedEncodingException {
    String charsetName = "UTF-16BE";
    testNewString(charsetName);
    String expected = new String(BYTES_FIXTURE, charsetName);
    String actual = StringUtils.newStringUtf16Be(BYTES_FIXTURE);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</si>
  <si>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org/apache/commons/codec/binary/StringUtils.newStringUtf16Be]
[.testNewString, java/lang/String."&lt;init&gt;", org/apache/commons/codec/binary/StringUtils.newStringUtf8]</t>
  </si>
  <si>
    <t>[ org/apache/commons/codec/binary/StringUtils.newStringUtf16Be,  org/apache/commons/codec/binary/StringUtils.newStringUtf8]</t>
  </si>
  <si>
    <t>public void testNewStringUtf16Le() throws UnsupportedEncodingException {
    String charsetName = "UTF-16LE";
    testNewString(charsetName);
    String expected = new String(BYTES_FIXTURE, charsetName);
    String actual = StringUtils.newStringUtf16Le(BYTES_FIXTURE);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</si>
  <si>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org/apache/commons/codec/binary/StringUtils.newStringUtf16Le]
[.testNewString, java/lang/String."&lt;init&gt;", org/apache/commons/codec/binary/StringUtils.newStringUtf8]</t>
  </si>
  <si>
    <t>[ org/apache/commons/codec/binary/StringUtils.newStringUtf8,  org/apache/commons/codec/binary/StringUtils.newStringUtf16Le]</t>
  </si>
  <si>
    <t>testFromAsciiCharArray</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</si>
  <si>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</si>
  <si>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</si>
  <si>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testFromAsciiByteArray</t>
  </si>
  <si>
    <t>[[testDecodeByteArray], [testFromAsciiCharArray, testFromAsciiByteArray, testEncodeByteArray]]</t>
  </si>
  <si>
    <t>[ java/lang/String.toCharArray,  java/lang/String.getBytes]</t>
  </si>
  <si>
    <t>apache.commons.codec.language.DoubleMetaphone2Test</t>
  </si>
  <si>
    <t>3b8cd11d086e4e09e801deb114d34abb80175ac0</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</si>
  <si>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</si>
  <si>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</si>
  <si>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</si>
  <si>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</si>
  <si>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testDecodeHexOddCharacters1</t>
  </si>
  <si>
    <t>public void testDecodeHexOddCharacters1() {
    checkDecodeHexOddCharacters(new char[] { 'A' });
}
public void testDecodeHexOddCharacters3() {
    checkDecodeHexOddCharacters(new char[] { 'A', 'B', 'C' });
}</t>
  </si>
  <si>
    <t>[.checkDecodeHexOddCharacters]
[.checkDecodeHexOddCharacters]</t>
  </si>
  <si>
    <t>testDecodeHexOddCharacters3</t>
  </si>
  <si>
    <t>[[testCustomCharset], [testDecodeHexOddCharacters1, testDecodeHexOddCharacters3, testDecodeHexOddCharacters5], [testRequiredCharset]]</t>
  </si>
  <si>
    <t>public void testDecodeHexOddCharacters1() {
    checkDecodeHexOddCharacters(new char[] { 'A' });
}
public void testDecodeHexOddCharacters5() {
    checkDecodeHexOddCharacters(new char[] { 'A', 'B', 'C', 'D', 'E' });
}</t>
  </si>
  <si>
    <t>testDecodeHexOddCharacters5</t>
  </si>
  <si>
    <t>public void testDecodeHexOddCharacters3() {
    checkDecodeHexOddCharacters(new char[] { 'A', 'B', 'C' });
}
public void testDecodeHexOddCharacters5() {
    checkDecodeHexOddCharacters(new char[] { 'A', 'B', 'C', 'D', 'E' });
}</t>
  </si>
  <si>
    <t>f06bed0901b6faa2ed3a99a5c4a6d44e19b96541</t>
  </si>
  <si>
    <t>d89939d5d56b0b2dfabdcf7af2bc83ad32884cce</t>
  </si>
  <si>
    <t>testCustomCharsetBadNameEncodeByteArray</t>
  </si>
  <si>
    <t>public void testCustomCharsetBadNameEncodeByteArray() {
    try {
        new Hex(BAD_ENCODING_NAME).encode("Hello World".getBytes());
        fail("Expected " + IllegalStateException.class.getName());
    } catch (IllegalStateException e) {
        // Expected
    }
}
public void testCustomCharsetBadNameDecodeObject() {
    try {
        new Hex(BAD_ENCODING_NAME).decode("Hello World".getBytes());
        fail("Expected " + DecoderException.class.getName());
    } catch (DecoderException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</si>
  <si>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</si>
  <si>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testCustomCharsetBadNameDecodeObject</t>
  </si>
  <si>
    <t>[[testCustomCharsetBadNameEncodeByteArray, testCustomCharsetBadNameEncodeObject, testCustomCharsetBadNameDecodeObject, testCustomCharsetToString]]</t>
  </si>
  <si>
    <t>[ org/apache/commons/codec/binary/Hex.decode,  org/apache/commons/codec/binary/Hex.encode]</t>
  </si>
  <si>
    <t>public void testCustomCharsetBadNameEncodeByteArray() {
    try {
        new Hex(BAD_ENCODING_NAME).encode("Hello World".getBytes());
        fail("Expected " + IllegalStateException.class.getName());
    } catch (IllegalStateException e) {
        // Expected
    }
}
public void testCustomCharsetBadNameEncodeObject() {
    try {
        new Hex(BAD_ENCODING_NAME).encode("Hello World");
        fail("Expected " + EncoderException.class.getName());
    } catch (EncoderException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</si>
  <si>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org/apache/commons/codec/binary/Hex.encode, java/lang/StringBuffer."&lt;init&gt;", java/lang/StringBuffer.append, .class$, java/lang/Class.getName, java/lang/StringBuffer.append, java/lang/StringBuffer.toString]</t>
  </si>
  <si>
    <t>testCustomCharsetBadNameEncodeObject</t>
  </si>
  <si>
    <t>[ java/lang/String.getBytes]</t>
  </si>
  <si>
    <t>public void testCustomCharsetBadNameEncodeObject() {
    try {
        new Hex(BAD_ENCODING_NAME).encode("Hello World");
        fail("Expected " + EncoderException.class.getName());
    } catch (EncoderException e) {
        // Expected
    }
}
public void testCustomCharsetBadNameDecodeObject() {
    try {
        new Hex(BAD_ENCODING_NAME).decode("Hello World".getBytes());
        fail("Expected " + DecoderException.class.getName());
    } catch (DecoderException e) {
        // Expected
    }
}</t>
  </si>
  <si>
    <t>[org/apache/commons/codec/binary/Hex."&lt;init&gt;",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</si>
  <si>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 org/apache/commons/codec/binary/Hex.decode,  org/apache/commons/codec/binary/Hex.encode,  java/lang/String.getBytes]</t>
  </si>
  <si>
    <t>apache.commons.codec.binary.Base64Codec13Test</t>
  </si>
  <si>
    <t>cbe33f0a85fd9f2c04efb96296a26880995618b0</t>
  </si>
  <si>
    <t>testEncoder</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</si>
  <si>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</si>
  <si>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org/apache/commons/codec/BinaryEncoder.encode, java/util/Arrays.equals, java/lang/StringBuffer."&lt;init&gt;", java/lang/StringBuffer.append, java/lang/StringBuffer.append, java/lang/StringBuffer.toString]</t>
  </si>
  <si>
    <t>testBinaryEncoder</t>
  </si>
  <si>
    <t>[ org/apache/commons/codec/Encoder.encode,  org/apache/commons/codec/BinaryEncoder.encode]</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</si>
  <si>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</si>
  <si>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org/apache/commons/codec/Decoder.decode, java/util/Arrays.equals, java/lang/StringBuffer."&lt;init&gt;", java/lang/StringBuffer.append, java/lang/StringBuffer.append, java/lang/StringBuffer.toString]</t>
  </si>
  <si>
    <t>testDecoder</t>
  </si>
  <si>
    <t>[ org/apache/commons/codec/Decoder.decode,  org/apache/commons/codec/Encoder.encode]</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</si>
  <si>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</si>
  <si>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</si>
  <si>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testBinaryDecoder</t>
  </si>
  <si>
    <t>[ org/apache/commons/codec/Encoder.encode,  org/apache/commons/codec/BinaryDecoder.decode]</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</si>
  <si>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</si>
  <si>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</si>
  <si>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 org/apache/commons/codec/Decoder.decode,  org/apache/commons/codec/BinaryDecoder.decode]</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</si>
  <si>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</si>
  <si>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org/apache/commons/codec/BinaryEncoder.encode, java/util/Arrays.equals, java/lang/StringBuffer."&lt;init&gt;", java/lang/StringBuffer.append, java/lang/StringBuffer.append, java/lang/StringBuffer.toString]</t>
  </si>
  <si>
    <t>[ org/apache/commons/codec/Decoder.decode,  org/apache/commons/codec/BinaryEncoder.encode]</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</si>
  <si>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</si>
  <si>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org/apache/commons/codec/BinaryEncoder.encode,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</si>
  <si>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 org/apache/commons/codec/BinaryDecoder.decode,  org/apache/commons/codec/BinaryEncoder.encode]</t>
  </si>
  <si>
    <t>testStaticEncode</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</si>
  <si>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</si>
  <si>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org/apache/commons/codec/binary/Base64.encodeBase64,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</si>
  <si>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testStaticDecode</t>
  </si>
  <si>
    <t>[ org/apache/commons/codec/binary/Base64.encodeBase64,  org/apache/commons/codec/binary/Base64.decodeBase64]</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</si>
  <si>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</si>
  <si>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org/apache/commons/codec/binary/Base64.encodeBase64, java/util/Arrays.equals, java/lang/StringBuffer."&lt;init&gt;", java/lang/StringBuffer.append, java/lang/StringBuffer.append, java/lang/StringBuffer.toString]
[.utf8, org/apache/commons/codec/binary/Base64.encodeBase64Chunked, java/util/Arrays.equals, java/lang/StringBuffer."&lt;init&gt;", java/lang/StringBuffer.append, java/lang/StringBuffer.append, java/lang/StringBuffer.toString]</t>
  </si>
  <si>
    <t>testStaticEncodeChunked</t>
  </si>
  <si>
    <t>[ org/apache/commons/codec/binary/Base64.encodeBase64Chunked,  org/apache/commons/codec/binary/Base64.encodeBase64]</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</si>
  <si>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</si>
  <si>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testStaticDecodeChunked</t>
  </si>
  <si>
    <t>/**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</si>
  <si>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org/apache/commons/codec/binary/Base64.decodeBase64,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</si>
  <si>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</si>
  <si>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org/apache/commons/codec/binary/Base64.decodeBase64, java/util/Arrays.equals, java/lang/StringBuffer."&lt;init&gt;", java/lang/StringBuffer.append, java/lang/StringBuffer.append, java/lang/StringBuffer.toString]
[.utf8, org/apache/commons/codec/binary/Base64.encodeBase64Chunked, java/util/Arrays.equals, java/lang/StringBuffer."&lt;init&gt;", java/lang/StringBuffer.append, java/lang/StringBuffer.append, java/lang/StringBuffer.toString]</t>
  </si>
  <si>
    <t>[ org/apache/commons/codec/binary/Base64.encodeBase64Chunked,  org/apache/commons/codec/binary/Base64.decodeBase64]</t>
  </si>
  <si>
    <t>/**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</si>
  <si>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org/apache/commons/codec/binary/Base64.encodeBase64Chunked,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</si>
  <si>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testBase64EmptyInputStreamMimeChuckSize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</si>
  <si>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</si>
  <si>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</si>
  <si>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testBase64EmptyInputStreamPemChuckSize</t>
  </si>
  <si>
    <t>[[testBase64EmptyInputStreamMimeChuckSize, testBase64EmptyInputStreamPemChuckSize]]</t>
  </si>
  <si>
    <t>testBase64EmptyOutputStreamMimeChunkSize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</si>
  <si>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</si>
  <si>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</si>
  <si>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testBase64EmptyOutputStreamPemChunkSize</t>
  </si>
  <si>
    <t>[[testBase64EmptyOutputStreamMimeChunkSize, testBase64EmptyOutputStreamPemChunkSize]]</t>
  </si>
  <si>
    <t>apache.commons.codec.binary.Base32OutputStreamTest</t>
  </si>
  <si>
    <t>59c42b102e5396b2ebd4541ed9007f385a00c357</t>
  </si>
  <si>
    <t>testBase32EmptyOutputStreamMimeChunkSize</t>
  </si>
  <si>
    <t>//    /**
//     * Test the Base32OutputStream implementation against the special NPE inducing input
//     * identified in the CODEC-98 bug.
//     *
//     * @throws Exception for some failure scenarios.
//     */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public void testBase32EmptyOutputStreamMimeChunkSize() throws Exception {
    testBase32EmptyOutputStream(Base32.MIME_CHUNK_SIZE);
}
/**
 * Test the Base32OutputStream implementation against empty input.
 *
 * @throws Exception
 *             for some failure scenarios.
 */
public void testBase32EmptyOutputStreamPemChunkSize() throws Exception {
    testBase32EmptyOutputStream(Base32.PEM_CHUNK_SIZE);
}</t>
  </si>
  <si>
    <t>[.testBase32EmptyOutputStream]
[.testBase32EmptyOutputStream]</t>
  </si>
  <si>
    <t>testBase32EmptyOutputStreamPemChunkSize</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</si>
  <si>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</si>
  <si>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</si>
  <si>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</si>
  <si>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testBase32EmptyInputStreamMimeChuckSize</t>
  </si>
  <si>
    <t>//    /**
//     * Test for the CODEC-101 bug:  InputStream.read(byte[]) should never return 0
//     * because Java's builtin InputStreamReader hates that.
//     *
//     * @throws Exception for some failure scenarios.
//     */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public void testBase32EmptyInputStreamMimeChuckSize() throws Exception {
    testBase32EmptyInputStream(Base32.MIME_CHUNK_SIZE);
}
/**
 * Tests the Base32InputStream implementation against empty input.
 *
 * @throws Exception
 *             for some failure scenarios.
 */
public void testBase32EmptyInputStreamPemChuckSize() throws Exception {
    testBase32EmptyInputStream(Base32.PEM_CHUNK_SIZE);
}</t>
  </si>
  <si>
    <t>[.testBase32EmptyInputStream]
[.testBase32EmptyInputStream]</t>
  </si>
  <si>
    <t>testBase32EmptyInputStreamPemChuckSize</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</si>
  <si>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</si>
  <si>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</si>
  <si>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</si>
  <si>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</si>
  <si>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
 * Tests read returning 0
 *
 * @throws Exception
 */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</si>
  <si>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t>
  </si>
  <si>
    <t>/**
 * Tests read returning 0
 *
 * @throws Exception
 */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</si>
  <si>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t>
  </si>
  <si>
    <t>/**
 * Tests read with null.
 *
 * @throws Exception
 *             for some failure scenarios.
 */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Tests read throwing IndexOutOfBoundsException
 *
 * @throws Exception
 */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</si>
  <si>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86db7462a497898e3d18bb3d8403ec3120a3074a</t>
  </si>
  <si>
    <t>testRandomBytes</t>
  </si>
  <si>
    <t>public void testRandomBytes() {
    for (int i = 0; i &lt; 20; i++) {
        Base32 codec = new Base32();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</si>
  <si>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</si>
  <si>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testRandomBytesHex</t>
  </si>
  <si>
    <t>public void testRandomBytes() {
    for (int i = 0; i &lt; 20; i++) {
        Base32 codec = new Base32();
        byte[][] b = Base32TestData.randomData(codec, i);
        assertEquals("" + i + " " + codec.lineLength, b[1].length, codec.getEncodedLength(b[0]));
        //assertEquals(b[0],codec.decode(b[1]));
    }
}
public void testRandomBytesChunked() {
    for (int i = 0; i &lt; 20; i++) {
        Base32 codec = new Base32(10);
        byte[][] b = Base32TestData.randomData(codec, i);
        assertEquals("" + i + " " + codec.lineLength, b[1].length, codec.getEncodedLength(b[0]));
        //assertEquals(b[0],codec.decode(b[1]));
    }
}</t>
  </si>
  <si>
    <t>testRandomBytesChunked</t>
  </si>
  <si>
    <t>public void testRandomBytesChunked() {
    for (int i = 0; i &lt; 20; i++) {
        Base32 codec = new Base32(10);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</si>
  <si>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apache.commons.codec.binary.BaseNCodecTest</t>
  </si>
  <si>
    <t>testIsInAlphabetByte</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</si>
  <si>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</si>
  <si>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</si>
  <si>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</si>
  <si>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</si>
  <si>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</si>
  <si>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testIsInAlphabetByteArrayBoolean</t>
  </si>
  <si>
    <t>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</si>
  <si>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</si>
  <si>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f1994bd1aebbd9fe53917c67b3b89b6725fec385</t>
  </si>
  <si>
    <t>49e0d8b05af2fc585b75611ece80cc786f3afbfb</t>
  </si>
  <si>
    <t>public void testAaclan() {
    this.checkEncoding("0856", "Aaclan");
}
public void testHyphen() {
    this.checkEncoding("174845214", "bergisch-gladbach");
}</t>
  </si>
  <si>
    <t>testHyphen</t>
  </si>
  <si>
    <t>public void testAaclan() {
    this.checkEncoding("0856", "Aaclan");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</si>
  <si>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</si>
  <si>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</si>
  <si>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72c8759a22c6552a2dfcdf61b29729f981752879</t>
  </si>
  <si>
    <t>84e270e7028695df4bf4725ad4c9997d1a3a0669</t>
  </si>
  <si>
    <t>testVariationsMeyer</t>
  </si>
  <si>
    <t>public void testVariationsMeyer() {
    String[] data = { "Meier", "Maier", "Mair", "Meyer", "Meyr", "Mejer", "Major" };
    this.checkEncodingVariations("67", data);
}
public void testVariationsMella() {
    String[] data = { "mella", "milah", "moulla", "mellah", "muehle", "mule" };
    this.checkEncodingVariations("65", data);
}</t>
  </si>
  <si>
    <t>[[testVariationsMeyer, testVariationsMella]]</t>
  </si>
  <si>
    <t>testDavidHoodRevisitedCommonCodeAT11111111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</si>
  <si>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</si>
  <si>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testDavidHoodRevisitedRandomNameTTA1111111</t>
  </si>
  <si>
    <t>[[testDavidHoodRevisitedCommonCodeAT11111111, testDavidHoodRevisitedExamples, testDavidHoodRevisitedRandomNameKLN1111111, testDavidHoodRevisitedRandomNameTTA1111111, testDavidHoodRevisitedRandomNameTN11111111, testDavidHoodRevisitedRandomWords]]</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</si>
  <si>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</si>
  <si>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</si>
  <si>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</si>
  <si>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testDavidHoodRevisitedRandomNameKLN1111111</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</si>
  <si>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</si>
  <si>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</si>
  <si>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</si>
  <si>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testCaverphoneRevisitedCommonCodeAT11111111</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</si>
  <si>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</si>
  <si>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</si>
  <si>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[[testCaverphoneRevisitedCommonCodeAT11111111, testCaverphoneRevisitedExamples, testCaverphoneRevisitedRandomNameKLN1111111, testCaverphoneRevisitedRandomNameTN11111111, testCaverphoneRevisitedRandomNameTTA1111111, testCaverphoneRevisitedRandomWords]]</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</si>
  <si>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</si>
  <si>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</si>
  <si>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</si>
  <si>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testCaverphoneRevisitedRandomNameKLN1111111</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</si>
  <si>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</si>
  <si>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</si>
  <si>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</si>
  <si>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apache.commons.codec.language.Caverphone1Test</t>
  </si>
  <si>
    <t>7656a09e8587355ee142e730f5df99ce72b382e5</t>
  </si>
  <si>
    <t>public void testEndMb() throws EncoderException {
    String[][] data = { { "mb", "M11111" }, { "mbmb", "MPM111" } };
    this.checkEncodings(data);
}
/**
 * Tests examples from http://en.wikipedia.org/wiki/Caverphone
 *
 * @throws EncoderException
 */
public void testWikipediaExamples() throws EncoderException {
    String[][] data = { { "Lee", "L11111" }, { "Thompson", "TMPSN1" } };
    this.checkEncodings(data);
}</t>
  </si>
  <si>
    <t>testWikipediaExamples</t>
  </si>
  <si>
    <t>public void testEndMb() throws EncoderException {
    String[][] data = { { "mb", "M11111" }, { "mbmb", "MPM111" } };
    this.checkEncodings(data);
}
/**
 * Tests example from http://caversham.otago.ac.nz/files/working/ctp060902.pdf
 *
 * @throws EncoderException
 */
public void testSpecificationV1Examples() throws EncoderException {
    String[][] data = { { "David", "TFT111" }, { "Whittle", "WTL111" } };
    this.checkEncodings(data);
}</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</si>
  <si>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</si>
  <si>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</si>
  <si>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</si>
  <si>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</si>
  <si>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</si>
  <si>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</si>
  <si>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apache.commons.codec.language.Caverphone2Test</t>
  </si>
  <si>
    <t>608a7d6373e320789aaf7f1b9f91a5cf8af81998</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</si>
  <si>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</si>
  <si>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</si>
  <si>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</si>
  <si>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
 * See http://caversham.otago.ac.nz/files/working/ctp150804.pdf
 *
 * @throws EncoderException
 */
@Test
public void testCaverphoneRevisitedExamples() throws EncoderException {
    String[][] data = { { "Stevenson", "STFNSN1111" }, { "Peter", "PTA1111111" } };
    this.checkEncodings(data);
}
@Test
public void testEndMb() throws EncoderException {
    String[][] data = { { "mb", "M111111111" }, { "mbmb", "MPM1111111" } };
    this.checkEncodings(data);
}</t>
  </si>
  <si>
    <t>/**
 * See http://caversham.otago.ac.nz/files/working/ctp150804.pdf
 *
 * @throws EncoderException
 */
@Test
public void testCaverphoneRevisitedExamples() throws EncoderException {
    String[][] data = { { "Stevenson", "STFNSN1111" }, { "Peter", "PTA1111111"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</si>
  <si>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</si>
  <si>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</si>
  <si>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</si>
  <si>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
public void testEndMb() throws EncoderException {
    String[][] data = { { "mb", "M111111111" }, { "mbmb", "MPM1111111"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</si>
  <si>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29524ee6b16bde662d61c69635760f574f12c1b7</t>
  </si>
  <si>
    <t>26951aa855bdd1927609a2dc72900a0adac08c6f</t>
  </si>
  <si>
    <t>testSpeedCheck2</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</si>
  <si>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</si>
  <si>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</si>
  <si>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testSpeedCheck3</t>
  </si>
  <si>
    <t>[[testSpeedCheck2, testSpeedCheck3]]</t>
  </si>
  <si>
    <t>apache.commons.codec2.language.Caverphone2Test</t>
  </si>
  <si>
    <t>21d7caa09a2f0e4565670204e20301f9f8d71ed2</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</si>
  <si>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</si>
  <si>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</si>
  <si>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</si>
  <si>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</si>
  <si>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</si>
  <si>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</si>
  <si>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testCCedilla</t>
  </si>
  <si>
    <t>@Test
public void testCCedilla() {
    this.getDoubleMetaphone().isDoubleMetaphoneEqual("�", "S");
}
@Test
public void testNTilde() {
    this.getDoubleMetaphone().isDoubleMetaphoneEqual("�", "N");
}</t>
  </si>
  <si>
    <t>[.getDoubleMetaphone, org/apache/commons/codec2/language/DoubleMetaphone.isDoubleMetaphoneEqual]
[.getDoubleMetaphone, org/apache/commons/codec2/language/DoubleMetaphone.isDoubleMetaphoneEqual]</t>
  </si>
  <si>
    <t>testNTilde</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</si>
  <si>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</si>
  <si>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</si>
  <si>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</si>
  <si>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</si>
  <si>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</si>
  <si>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org/apache/commons/codec2/BinaryEncoder.encode, java/util/Arrays.equals, java/lang/StringBuilder."&lt;init&gt;", java/lang/StringBuilder.append, java/lang/StringBuilder.append, java/lang/StringBuilder.toString]</t>
  </si>
  <si>
    <t>[ org/apache/commons/codec2/BinaryEncoder.encode,  org/apache/commons/codec2/Encoder.encode]</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</si>
  <si>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</si>
  <si>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org/apache/commons/codec2/Decoder.decode, java/util/Arrays.equals, java/lang/StringBuilder."&lt;init&gt;", java/lang/StringBuilder.append, java/lang/StringBuilder.append, java/lang/StringBuilder.toString]</t>
  </si>
  <si>
    <t>[ org/apache/commons/codec2/Decoder.decode,  org/apache/commons/codec2/Encoder.encode]</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</si>
  <si>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</si>
  <si>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</si>
  <si>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org/apache/commons/codec2/Encoder.encode]</t>
  </si>
  <si>
    <t>/**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</si>
  <si>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org/apache/commons/codec2/Decoder.decode,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</si>
  <si>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org/apache/commons/codec2/Decoder.decode]</t>
  </si>
  <si>
    <t>/**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</si>
  <si>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[org/apache/commons/codec2/binary/Base64."&lt;init&gt;", .utf8, org/apache/commons/codec2/Decoder.decode, java/util/Arrays.equals, java/lang/StringBuilder."&lt;init&gt;", java/lang/StringBuilder.append, java/lang/StringBuilder.append, java/lang/StringBuilder.toString]
[org/apache/commons/codec2/binary/Base64."&lt;init&gt;", .utf8, org/apache/commons/codec2/BinaryEncoder.encode, java/util/Arrays.equals, java/lang/StringBuilder."&lt;init&gt;", java/lang/StringBuilder.append, java/lang/StringBuilder.append, java/lang/StringBuilder.toString]</t>
  </si>
  <si>
    <t>[ org/apache/commons/codec2/Decoder.decode,  org/apache/commons/codec2/BinaryEncoder.encode]</t>
  </si>
  <si>
    <t>/**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</si>
  <si>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org/apache/commons/codec2/BinaryEncoder.encode,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</si>
  <si>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org/apache/commons/codec2/BinaryEncoder.encode]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</si>
  <si>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</si>
  <si>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org/apache/commons/codec2/binary/Base64.encodeBase64,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t>
  </si>
  <si>
    <t>[ org/apache/commons/codec2/binary/Base64.encodeBase64,  org/apache/commons/codec2/binary/Base64.decodeBase64]</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</si>
  <si>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</si>
  <si>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org/apache/commons/codec2/binary/Base64.encodeBase64, java/util/Arrays.equals, java/lang/StringBuilder."&lt;init&gt;", java/lang/StringBuilder.append, java/lang/StringBuilder.append, java/lang/StringBuilder.toString]
[.utf8, org/apache/commons/codec2/binary/Base64.encodeBase64Chunked, java/util/Arrays.equals, java/lang/StringBuilder."&lt;init&gt;", java/lang/StringBuilder.append, java/lang/StringBuilder.append, java/lang/StringBuilder.toString]</t>
  </si>
  <si>
    <t>[ org/apache/commons/codec2/binary/Base64.encodeBase64,  org/apache/commons/codec2/binary/Base64.encodeBase64Chunked]</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</si>
  <si>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</si>
  <si>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org/apache/commons/codec2/binary/Base64.decodeBase64,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 .initSTRINGS, .initCHUNKED_STRINGS, .initBYTES]</t>
  </si>
  <si>
    <t>[ .initSTRINGS,  .initCHUNKED_STRINGS,  .initBYTES]</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</si>
  <si>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</si>
  <si>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org/apache/commons/codec2/binary/Base64.decodeBase64, java/util/Arrays.equals, java/lang/StringBuilder."&lt;init&gt;", java/lang/StringBuilder.append, java/lang/StringBuilder.append, java/lang/StringBuilder.toString]
[.utf8, org/apache/commons/codec2/binary/Base64.encodeBase64Chunked, java/util/Arrays.equals, java/lang/StringBuilder."&lt;init&gt;", java/lang/StringBuilder.append, java/lang/StringBuilder.append, java/lang/StringBuilder.toString]</t>
  </si>
  <si>
    <t>[ org/apache/commons/codec2/binary/Base64.encodeBase64Chunked,  org/apache/commons/codec2/binary/Base64.decodeBase64]</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</si>
  <si>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</si>
  <si>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org/apache/commons/codec2/binary/Base64.encodeBase64Chunked,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 .initSTRINGS, .initCHUNKED_STRINGS, .initBYTES]</t>
  </si>
  <si>
    <t>[ org/apache/commons/codec2/binary/Base64.encodeBase64Chunked,  .initSTRINGS,  .initCHUNKED_STRINGS,  org/apache/commons/codec2/binary/Base64.decodeBase64,  .initBYTES]</t>
  </si>
  <si>
    <t>apache.commons.codec2.net.QCodecTest</t>
  </si>
  <si>
    <t>testBasicEncodeDecode</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</si>
  <si>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testUnsafeEncodeDecode() throws Exception {
    QCodec qcodec = new QCodec();
    String plain = "?_=\r\n";
    String encoded = qcodec.encode(plain);
    assertEquals("Unsafe chars Q encoding test", "=?UTF-8?Q?=3F=5F=3D=0D=0A?=", encoded);
    assertEquals("Unsafe chars Q decoding test", plain, qcodec.decode(encoded));
}</t>
  </si>
  <si>
    <t>[org/apache/commons/codec2/net/QCodec."&lt;init&gt;", org/apache/commons/codec2/net/QCodec.encode, org/apache/commons/codec2/net/QCodec.decode]
[org/apache/commons/codec2/net/QCodec."&lt;init&gt;", org/apache/commons/codec2/net/QCodec.encode, org/apache/commons/codec2/net/QCodec.decode]</t>
  </si>
  <si>
    <t>testUnsafeEncodeDecode</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</si>
  <si>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testEncodeDecodeNull() throws Exception {
    QCodec qcodec = new QCodec();
    assertNull("Null string Q encoding test", qcodec.encode((String) null));
    assertNull("Null string Q decoding test", qcodec.decode((String) null));
}</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</si>
  <si>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</si>
  <si>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testInvalidEncoding</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</si>
  <si>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testEncodeDecodeNull() throws Exception {
    QCodec qcodec = new QCodec();
    assertNull("Null string Q encoding test", qcodec.encode((String) null));
    assertNull("Null string Q decoding test", qcodec.decode((String) null));
}</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</si>
  <si>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</si>
  <si>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
public void testEncodeDecodeNull() throws Exception {
    QCodec qcodec = new QCodec();
    assertNull("Null string Q encoding test", qcodec.encode((String) null));
    assertNull("Null string Q decoding test", qcodec.decode((String) null));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</si>
  <si>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
public void testEncodeStringWithNull() throws Exception {
    QCodec qcodec = new QCodec();
    String test = null;
    String result = qcodec.encode(test, "charset");
    assertEquals("Result should be null", null, result);
}
@Test
public void testDecodeStringWithNull() throws Exception {
    QCodec qcodec = new QCodec();
    String test = null;
    String result = qcodec.decode(test);
    assertEquals("Result should be null", null, result);
}</t>
  </si>
  <si>
    <t>[org/apache/commons/codec2/net/QCodec."&lt;init&gt;", org/apache/commons/codec2/net/QCodec.encode]
[org/apache/commons/codec2/net/QCodec."&lt;init&gt;", org/apache/commons/codec2/net/QCodec.decode]</t>
  </si>
  <si>
    <t>[ org/apache/commons/codec2/net/QCodec.decode,  org/apache/commons/codec2/net/QCodec.encode]</t>
  </si>
  <si>
    <t>testEncodeObjects</t>
  </si>
  <si>
    <t>@Test
public void testEncodeObjects() throws Exception {
    QCodec qcodec = new QCodec();
    String plain = "1+1 = 2";
    String encoded = (String) qcodec.encode((Object) plain);
    assertEquals("Basic Q encoding test", "=?UTF-8?Q?1+1 =3D 2?=", encoded);
    Object result = qcodec.encode((Object) null);
    assertEquals("Encoding a null Object should return null", null, result);
    try {
        Object dObj = new Double(3.0);
        qcodec.encode(dObj);
        fail("Trying to url encode a Double object should cause an exception.");
    } catch (EncoderException ee) {
        // Exception expected, test segment passes.
    }
}
@Test
public void testDecodeObjects() throws Exception {
    QCodec qcodec = new QCodec();
    String decoded = "=?UTF-8?Q?1+1 =3D 2?=";
    String plain = (String) qcodec.decode((Object) decoded);
    assertEquals("Basic Q decoding test", "1+1 = 2", plain);
    Object result = qcodec.decode((Object) null);
    assertEquals("Decoding a null Object should return null", null, result);
    try {
        Object dObj = new Double(3.0);
        qcodec.decode(dObj);
        fail("Trying to url encode a Double object should cause an exception.");
    } catch (DecoderException ee) {
        // Exception expected, test segment passes.
    }
}</t>
  </si>
  <si>
    <t>[org/apache/commons/codec2/net/QCodec."&lt;init&gt;", org/apache/commons/codec2/net/QCodec.encode, org/apache/commons/codec2/net/QCodec.encode, java/lang/Double."&lt;init&gt;", org/apache/commons/codec2/net/QCodec.encode]
[org/apache/commons/codec2/net/QCodec."&lt;init&gt;", org/apache/commons/codec2/net/QCodec.decode, org/apache/commons/codec2/net/QCodec.decode, java/lang/Double."&lt;init&gt;", org/apache/commons/codec2/net/QCodec.decode]</t>
  </si>
  <si>
    <t>testDecodeObjects</t>
  </si>
  <si>
    <t>apache.commons.codec2.language.Caverphone1Test</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</si>
  <si>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</si>
  <si>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</si>
  <si>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
 * Tests example from http://caversham.otago.ac.nz/files/working/ctp060902.pdf
 *
 * @throws EncoderException
 */
@Test
public void testSpecificationV1Examples() throws EncoderException {
    String[][] data = { { "David", "TFT111" }, { "Whittle", "WTL111" } };
    this.checkEncodings(data);
}
/**
 * Tests examples from http://en.wikipedia.org/wiki/Caverphone
 *
 * @throws EncoderException
 */
@Test
public void testWikipediaExamples() throws EncoderException {
    String[][] data = { { "Lee", "L11111" }, { "Thompson", "TMPSN1" } };
    this.checkEncodings(data);
}</t>
  </si>
  <si>
    <t>apache.commons.codec2.net.URLCodecTest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</si>
  <si>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</si>
  <si>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</si>
  <si>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org/apache/commons/codec2/net/URLCodec."&lt;init&gt;", .validateState, org/apache/commons/codec2/net/URLCodec.encode, org/apache/commons/codec2/net/URLCodec.encode, org/apache/commons/codec2/net/URLCodec.encode, org/apache/commons/codec2/net/URLCodec.decode, org/apache/commons/codec2/net/URLCodec.encode, org/apache/commons/codec2/net/URLCodec.decode, .validateState]
[org/apache/commons/codec2/net/URLCodec."&lt;init&gt;", org/apache/commons/codec2/net/URLCodec.encode, org/apache/commons/codec2/net/URLCodec.decode, .validateState]</t>
  </si>
  <si>
    <t>[ org/apache/commons/codec2/net/URLCodec."&lt;init&gt;",  .constructString, org/apache/commons/codec2/net/URLCodec."&lt;init&gt;", .constructString]</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</si>
  <si>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</si>
  <si>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</si>
  <si>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</si>
  <si>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</si>
  <si>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</si>
  <si>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[org/apache/commons/codec2/net/URLCodec."&lt;init&gt;", org/apache/commons/codec2/net/URLCodec.encode, org/apache/commons/codec2/net/URLCodec.decode, .validateState]
[org/apache/commons/codec2/net/URLCodec."&lt;init&gt;", org/apache/commons/codec2/net/URLCodec.encode, org/apache/commons/codec2/net/URLCodec.decode, .validateState]</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</si>
  <si>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</si>
  <si>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</si>
  <si>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</si>
  <si>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</si>
  <si>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</si>
  <si>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</si>
  <si>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</si>
  <si>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</si>
  <si>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testEncodeDecodeNull() throws Exception {
    URLCodec urlCodec = new URLCodec();
    assertNull("Null string URL encoding test", urlCodec.encode((String) null));
    assertNull("Null string URL decoding test", urlCodec.decode((String) null));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</si>
  <si>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testEncodeNull() throws Exception {
    URLCodec urlCodec = new URLCodec();
    byte[] plain = null;
    byte[] encoded = urlCodec.encode(plain);
    assertEquals("Encoding a null string should return null", null, encoded);
    this.validateState(urlCodec);
}
@Test
public void testDefaultEncoding() throws Exception {
    String plain = "Hello there!";
    URLCodec urlCodec = new URLCodec("UnicodeBig");
    // To work around a weird quirk in Java 1.2.2
    urlCodec.encode(plain);
    String encoded1 = urlCodec.encode(plain, "UnicodeBig");
    String encoded2 = urlCodec.encode(plain);
    assertEquals(encoded1, encoded2);
    this.validateState(urlCodec);
}</t>
  </si>
  <si>
    <t>[org/apache/commons/codec2/net/URLCodec."&lt;init&gt;", org/apache/commons/codec2/net/URLCodec.encode, .validateState]
[org/apache/commons/codec2/net/URLCodec."&lt;init&gt;", org/apache/commons/codec2/net/URLCodec.encode, org/apache/commons/codec2/net/URLCodec.encode, org/apache/commons/codec2/net/URLCodec.encode, .validateState]</t>
  </si>
  <si>
    <t>@Test
public void testEncodeStringWithNull() throws Exception {
    URLCodec urlCodec = new URLCodec();
    String test = null;
    String result = urlCodec.encode(test, "charset");
    assertEquals("Result should be null", null, result);
}
@Test
public void testDecodeStringWithNull() throws Exception {
    URLCodec urlCodec = new URLCodec();
    String test = null;
    String result = urlCodec.decode(test, "charset");
    assertEquals("Result should be null", null, result);
}</t>
  </si>
  <si>
    <t>[org/apache/commons/codec2/net/URLCodec."&lt;init&gt;", org/apache/commons/codec2/net/URLCodec.encode]
[org/apache/commons/codec2/net/URLCodec."&lt;init&gt;", org/apache/commons/codec2/net/URLCodec.decode]</t>
  </si>
  <si>
    <t>[ org/apache/commons/codec2/net/URLCodec.decode,  org/apache/commons/codec2/net/URLCodec.encode]</t>
  </si>
  <si>
    <t>@Test
public void testEncodeObjects() throws Exception {
    URLCodec urlCodec = new URLCodec();
    String plain = "Hello there!";
    String encoded = (String) urlCodec.encode((Object) plain);
    assertEquals("Basic URL encoding test", "Hello+there%21", encoded);
    byte[] plainBA = plain.getBytes("UTF-8");
    byte[] encodedBA = (byte[]) urlCodec.encode((Object) plainBA);
    encoded = new String(encodedBA);
    assertEquals("Basic URL encoding test", "Hello+there%21", encoded);
    Object result = urlCodec.encode((Object) null);
    assertEquals("Encoding a null Object should return null", null, result);
    try {
        Object dObj = new Double(3.0);
        urlCodec.encode(dObj);
        fail("Trying to url encode a Double object should cause an exception.");
    } catch (EncoderException ee) {
        // Exception expected, test segment passes.
    }
    this.validateState(urlCodec);
}
@Test
public void testDecodeObjects() throws Exception {
    URLCodec urlCodec = new URLCodec();
    String plain = "Hello+there%21";
    String decoded = (String) urlCodec.decode((Object) plain);
    assertEquals("Basic URL decoding test", "Hello there!", decoded);
    byte[] plainBA = plain.getBytes("UTF-8");
    byte[] decodedBA = (byte[]) urlCodec.decode((Object) plainBA);
    decoded = new String(decodedBA);
    assertEquals("Basic URL decoding test", "Hello there!", decoded);
    Object result = urlCodec.decode((Object) null);
    assertEquals("Decoding a null Object should return null", null, result);
    try {
        Object dObj = new Double(3.0);
        urlCodec.decode(dObj);
        fail("Trying to url encode a Double object should cause an exception.");
    } catch (DecoderException ee) {
        // Exception expected, test segment passes.
    }
    this.validateState(urlCodec);
}</t>
  </si>
  <si>
    <t>[org/apache/commons/codec2/net/URLCodec."&lt;init&gt;", org/apache/commons/codec2/net/URLCodec.encode, java/lang/String.getBytes, org/apache/commons/codec2/net/URLCodec.encode, java/lang/String."&lt;init&gt;", org/apache/commons/codec2/net/URLCodec.encode, java/lang/Double."&lt;init&gt;", org/apache/commons/codec2/net/URLCodec.encode, .validateState]
[org/apache/commons/codec2/net/URLCodec."&lt;init&gt;", org/apache/commons/codec2/net/URLCodec.decode, java/lang/String.getBytes, org/apache/commons/codec2/net/URLCodec.decode, java/lang/String."&lt;init&gt;", org/apache/commons/codec2/net/URLCodec.decode, java/lang/Double."&lt;init&gt;", org/apache/commons/codec2/net/URLCodec.decode, .validateState]</t>
  </si>
  <si>
    <t>apache.commons.codec2.BinaryEncoderAbstractTest</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</si>
  <si>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</si>
  <si>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</si>
  <si>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apache.commons.codec2.digest.DigestUtilsTest</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</si>
  <si>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</si>
  <si>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org/apache/commons/codec2/digest/DigestUtils.md5Hex, java/lang/String.length, .getBytesUtf8, org/apache/commons/codec2/digest/DigestUtils.md5Hex, java/lang/String.length]
[.getBytesUtf8, org/apache/commons/codec2/digest/DigestUtils.md5, .getBytesUtf8, org/apache/commons/codec2/digest/DigestUtils.md5]</t>
  </si>
  <si>
    <t>[ org/apache/commons/codec2/digest/DigestUtils.md5,  java/lang/String.length,  org/apache/commons/codec2/digest/DigestUtils.md5Hex]</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</si>
  <si>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</si>
  <si>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</si>
  <si>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[org/apache/commons/codec2/digest/DigestUtils.sha256Hex, .getBytesUtf8, org/apache/commons/codec2/digest/DigestUtils.sha256Hex, org/apache/commons/codec2/digest/DigestUtils.sha256Hex, org/apache/commons/codec2/digest/DigestUtils.sha256Hex, java/io/ByteArrayInputStream."&lt;init&gt;", org/apache/commons/codec2/digest/DigestUtils.sha256Hex]
[org/apache/commons/codec2/digest/DigestUtils.shaHex, .getBytesUtf8, org/apache/commons/codec2/digest/DigestUtils.shaHex, org/apache/commons/codec2/digest/DigestUtils.shaHex, org/apache/commons/codec2/digest/DigestUtils.shaHex, java/io/ByteArrayInputStream."&lt;init&gt;", org/apache/commons/codec2/digest/DigestUtils.shaHex]</t>
  </si>
  <si>
    <t>[org/apache/commons/codec2/digest/DigestUtils.shaHex,  org/apache/commons/codec2/digest/DigestUtils.shaHex, org/apache/commons/codec2/digest/DigestUtils.sha256Hex,  org/apache/commons/codec2/digest/DigestUtils.sha256Hex]</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</si>
  <si>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</si>
  <si>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</si>
  <si>
    <t>[org/apache/commons/codec2/digest/DigestUtils.sha384Hex, .getBytesUtf8, org/apache/commons/codec2/digest/DigestUtils.sha384Hex, org/apache/commons/codec2/digest/DigestUtils.sha384Hex, org/apache/commons/codec2/digest/DigestUtils.sha384Hex, java/io/ByteArrayInputStream."&lt;init&gt;", org/apache/commons/codec2/digest/DigestUtils.sha384Hex]
[org/apache/commons/codec2/digest/DigestUtils.sha512Hex, .getBytesUtf8, org/apache/commons/codec2/digest/DigestUtils.sha512Hex, org/apache/commons/codec2/digest/DigestUtils.sha512Hex, org/apache/commons/codec2/digest/DigestUtils.sha512Hex, java/io/ByteArrayInputStream."&lt;init&gt;", org/apache/commons/codec2/digest/DigestUtils.sha512Hex]</t>
  </si>
  <si>
    <t>testSha512</t>
  </si>
  <si>
    <t>[ org/apache/commons/codec2/digest/DigestUtils.sha384Hex, org/apache/commons/codec2/digest/DigestUtils.sha384Hex, org/apache/commons/codec2/digest/DigestUtils.sha512Hex,  org/apache/commons/codec2/digest/DigestUtils.sha512Hex]</t>
  </si>
  <si>
    <t>apache.commons.codec2.binary.StringUtilsTest</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</si>
  <si>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</si>
  <si>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org/apache/commons/codec2/binary/StringUtils.getBytesUsAscii, java/util/Arrays.equals]</t>
  </si>
  <si>
    <t>[ org/apache/commons/codec2/binary/StringUtils.getBytesIso8859_1,  org/apache/commons/codec2/binary/StringUtils.getBytesUsAscii]</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</si>
  <si>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</si>
  <si>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org/apache/commons/codec2/binary/StringUtils.getBytesUtf8, java/util/Arrays.equals]</t>
  </si>
  <si>
    <t>[ org/apache/commons/codec2/binary/StringUtils.getBytesIso8859_1,  org/apache/commons/codec2/binary/StringUtils.getBytesUtf8]</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</si>
  <si>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</si>
  <si>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org/apache/commons/codec2/binary/StringUtils.getBytesUtf16Be, java/util/Arrays.equals]</t>
  </si>
  <si>
    <t>[ org/apache/commons/codec2/binary/StringUtils.getBytesUtf16Be,  org/apache/commons/codec2/binary/StringUtils.getBytesIso8859_1]</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</si>
  <si>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</si>
  <si>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 java/util/Arrays.equals]</t>
  </si>
  <si>
    <t>[ org/apache/commons/codec2/binary/StringUtils.getBytesIso8859_1,  org/apache/commons/codec2/binary/StringUtils.getBytesUtf16]</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</si>
  <si>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</si>
  <si>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org/apache/commons/codec2/binary/StringUtils.getBytesUtf16Le, java/util/Arrays.equals]</t>
  </si>
  <si>
    <t>[ org/apache/commons/codec2/binary/StringUtils.getBytesIso8859_1,  org/apache/commons/codec2/binary/StringUtils.getBytesUtf16Le]</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</si>
  <si>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</si>
  <si>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org/apache/commons/codec2/binary/StringUtils.getBytesUtf16Be, java/util/Arrays.equals]</t>
  </si>
  <si>
    <t>[ org/apache/commons/codec2/binary/StringUtils.getBytesUtf16Be,  org/apache/commons/codec2/binary/StringUtils.getBytesUsAscii]</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</si>
  <si>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</si>
  <si>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 java/util/Arrays.equals]</t>
  </si>
  <si>
    <t>[ org/apache/commons/codec2/binary/StringUtils.getBytesUtf16,  org/apache/commons/codec2/binary/StringUtils.getBytesUsAscii]</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</si>
  <si>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</si>
  <si>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org/apache/commons/codec2/binary/StringUtils.getBytesUtf16Le, java/util/Arrays.equals]</t>
  </si>
  <si>
    <t>[ org/apache/commons/codec2/binary/StringUtils.getBytesUsAscii,  org/apache/commons/codec2/binary/StringUtils.getBytesUtf16Le]</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</si>
  <si>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</si>
  <si>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org/apache/commons/codec2/binary/StringUtils.getBytesUtf8, java/util/Arrays.equals]</t>
  </si>
  <si>
    <t>[ org/apache/commons/codec2/binary/StringUtils.getBytesUtf8,  org/apache/commons/codec2/binary/StringUtils.getBytesUsAscii]</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</si>
  <si>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</si>
  <si>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org/apache/commons/codec2/binary/StringUtils.getBytesUtf16Be, java/util/Arrays.equals]</t>
  </si>
  <si>
    <t>[ org/apache/commons/codec2/binary/StringUtils.getBytesUtf16Be,  org/apache/commons/codec2/binary/StringUtils.getBytesUtf16]</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</si>
  <si>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</si>
  <si>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org/apache/commons/codec2/binary/StringUtils.getBytesUtf16Le, java/util/Arrays.equals]</t>
  </si>
  <si>
    <t>[ org/apache/commons/codec2/binary/StringUtils.getBytesUtf16,  org/apache/commons/codec2/binary/StringUtils.getBytesUtf16Le]</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</si>
  <si>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</si>
  <si>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org/apache/commons/codec2/binary/StringUtils.getBytesUtf8, java/util/Arrays.equals]</t>
  </si>
  <si>
    <t>[ org/apache/commons/codec2/binary/StringUtils.getBytesUtf8,  org/apache/commons/codec2/binary/StringUtils.getBytesUtf16]</t>
  </si>
  <si>
    <t>@Test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</si>
  <si>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org/apache/commons/codec2/binary/StringUtils.getBytesUtf16Be, java/util/Arrays.equals]
[.testGetBytesUnchecked, java/lang/String.getBytes, org/apache/commons/codec2/binary/StringUtils.getBytesUtf16Le, java/util/Arrays.equals]</t>
  </si>
  <si>
    <t>[ org/apache/commons/codec2/binary/StringUtils.getBytesUtf16Be,  org/apache/commons/codec2/binary/StringUtils.getBytesUtf16Le]</t>
  </si>
  <si>
    <t>@Test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</si>
  <si>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org/apache/commons/codec2/binary/StringUtils.getBytesUtf16Be, java/util/Arrays.equals]
[.testGetBytesUnchecked, java/lang/String.getBytes, org/apache/commons/codec2/binary/StringUtils.getBytesUtf8, java/util/Arrays.equals]</t>
  </si>
  <si>
    <t>[ org/apache/commons/codec2/binary/StringUtils.getBytesUtf16Be,  org/apache/commons/codec2/binary/StringUtils.getBytesUtf8]</t>
  </si>
  <si>
    <t>@Test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</si>
  <si>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org/apache/commons/codec2/binary/StringUtils.getBytesUtf16Le, java/util/Arrays.equals]
[.testGetBytesUnchecked, java/lang/String.getBytes, org/apache/commons/codec2/binary/StringUtils.getBytesUtf8, java/util/Arrays.equals]</t>
  </si>
  <si>
    <t>[ org/apache/commons/codec2/binary/StringUtils.getBytesUtf8,  org/apache/commons/codec2/binary/StringUtils.getBytesUtf16Le]</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</si>
  <si>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testNewStringUsAscii() throws UnsupportedEncodingException {
    String charsetName = "US-ASCII";
    testNewString(charsetName);
    String expected = new String(BYTES_FIXTURE, charsetName);
    String actual = StringUtils.newStringUsAscii(BYTES_FIXTURE);
    Assert.assertEquals(expected, actual);
}</t>
  </si>
  <si>
    <t>[.testNewString, java/lang/String."&lt;init&gt;", org/apache/commons/codec2/binary/StringUtils.newStringIso8859_1]
[.testNewString, java/lang/String."&lt;init&gt;", org/apache/commons/codec2/binary/StringUtils.newStringUsAscii]</t>
  </si>
  <si>
    <t>[ org/apache/commons/codec2/binary/StringUtils.newStringIso8859_1,  org/apache/commons/codec2/binary/StringUtils.newStringUsAscii]</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</si>
  <si>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</si>
  <si>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org/apache/commons/codec2/binary/StringUtils.newStringIso8859_1]
[.testNewString, java/lang/String."&lt;init&gt;", org/apache/commons/codec2/binary/StringUtils.newStringUtf8]</t>
  </si>
  <si>
    <t>[ org/apache/commons/codec2/binary/StringUtils.newStringIso8859_1,  org/apache/commons/codec2/binary/StringUtils.newStringUtf8]</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</si>
  <si>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</si>
  <si>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org/apache/commons/codec2/binary/StringUtils.newStringIso8859_1]
[.testNewString, java/lang/String."&lt;init&gt;", org/apache/commons/codec2/binary/StringUtils.newStringUtf16Be]</t>
  </si>
  <si>
    <t>[ org/apache/commons/codec2/binary/StringUtils.newStringIso8859_1,  org/apache/commons/codec2/binary/StringUtils.newStringUtf16Be]</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</si>
  <si>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</si>
  <si>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org/apache/commons/codec2/binary/StringUtils.newStringIso8859_1]
[.testNewString, java/lang/String."&lt;init&gt;", org/apache/commons/codec2/binary/StringUtils.newStringUtf16]</t>
  </si>
  <si>
    <t>[ org/apache/commons/codec2/binary/StringUtils.newStringUtf16,  org/apache/commons/codec2/binary/StringUtils.newStringIso8859_1]</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</si>
  <si>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</si>
  <si>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org/apache/commons/codec2/binary/StringUtils.newStringIso8859_1]
[.testNewString, java/lang/String."&lt;init&gt;", org/apache/commons/codec2/binary/StringUtils.newStringUtf16Le]</t>
  </si>
  <si>
    <t>[ org/apache/commons/codec2/binary/StringUtils.newStringUtf16Le,  org/apache/commons/codec2/binary/StringUtils.newStringIso8859_1]</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</si>
  <si>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</si>
  <si>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org/apache/commons/codec2/binary/StringUtils.newStringUsAscii]
[.testNewString, java/lang/String."&lt;init&gt;", org/apache/commons/codec2/binary/StringUtils.newStringUtf16Be]</t>
  </si>
  <si>
    <t>[ org/apache/commons/codec2/binary/StringUtils.newStringUsAscii,  org/apache/commons/codec2/binary/StringUtils.newStringUtf16Be]</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</si>
  <si>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</si>
  <si>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org/apache/commons/codec2/binary/StringUtils.newStringUsAscii]
[.testNewString, java/lang/String."&lt;init&gt;", org/apache/commons/codec2/binary/StringUtils.newStringUtf8]</t>
  </si>
  <si>
    <t>[ org/apache/commons/codec2/binary/StringUtils.newStringUsAscii,  org/apache/commons/codec2/binary/StringUtils.newStringUtf8]</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</si>
  <si>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</si>
  <si>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org/apache/commons/codec2/binary/StringUtils.newStringUsAscii]
[.testNewString, java/lang/String."&lt;init&gt;", org/apache/commons/codec2/binary/StringUtils.newStringUtf16]</t>
  </si>
  <si>
    <t>[ org/apache/commons/codec2/binary/StringUtils.newStringUtf16,  org/apache/commons/codec2/binary/StringUtils.newStringUsAscii]</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</si>
  <si>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</si>
  <si>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org/apache/commons/codec2/binary/StringUtils.newStringUsAscii]
[.testNewString, java/lang/String."&lt;init&gt;", org/apache/commons/codec2/binary/StringUtils.newStringUtf16Le]</t>
  </si>
  <si>
    <t>[ org/apache/commons/codec2/binary/StringUtils.newStringUtf16Le,  org/apache/commons/codec2/binary/StringUtils.newStringUsAscii]</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</si>
  <si>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</si>
  <si>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org/apache/commons/codec2/binary/StringUtils.newStringUtf16]
[.testNewString, java/lang/String."&lt;init&gt;", org/apache/commons/codec2/binary/StringUtils.newStringUtf16Be]</t>
  </si>
  <si>
    <t>[ org/apache/commons/codec2/binary/StringUtils.newStringUtf16,  org/apache/commons/codec2/binary/StringUtils.newStringUtf16Be]</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</si>
  <si>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</si>
  <si>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
[.testNewString, java/lang/String."&lt;init&gt;", org/apache/commons/codec2/binary/StringUtils.newStringUtf16Le]</t>
  </si>
  <si>
    <t>[ org/apache/commons/codec2/binary/StringUtils.newStringUtf16,  org/apache/commons/codec2/binary/StringUtils.newStringUtf16Le]</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</si>
  <si>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</si>
  <si>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
[.testNewString, java/lang/String."&lt;init&gt;", org/apache/commons/codec2/binary/StringUtils.newStringUtf8]</t>
  </si>
  <si>
    <t>[ org/apache/commons/codec2/binary/StringUtils.newStringUtf16,  org/apache/commons/codec2/binary/StringUtils.newStringUtf8]</t>
  </si>
  <si>
    <t>@Test
public void testNewStringUtf16Be() throws UnsupportedEncodingException {
    String charsetName = "UTF-16BE";
    testNewString(charsetName);
    String expected = new String(BYTES_FIXTURE, charsetName);
    String actual = StringUtils.newStringUtf16Be(BYTES_FIXTURE);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</si>
  <si>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org/apache/commons/codec2/binary/StringUtils.newStringUtf16Be]
[.testNewString, java/lang/String."&lt;init&gt;", org/apache/commons/codec2/binary/StringUtils.newStringUtf16Le]</t>
  </si>
  <si>
    <t>[ org/apache/commons/codec2/binary/StringUtils.newStringUtf16Le,  org/apache/commons/codec2/binary/StringUtils.newStringUtf16Be]</t>
  </si>
  <si>
    <t>@Test
public void testNewStringUtf16Be() throws UnsupportedEncodingException {
    String charsetName = "UTF-16BE";
    testNewString(charsetName);
    String expected = new String(BYTES_FIXTURE, charsetName);
    String actual = StringUtils.newStringUtf16Be(BYTES_FIXTURE);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</si>
  <si>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org/apache/commons/codec2/binary/StringUtils.newStringUtf16Be]
[.testNewString, java/lang/String."&lt;init&gt;", org/apache/commons/codec2/binary/StringUtils.newStringUtf8]</t>
  </si>
  <si>
    <t>[ org/apache/commons/codec2/binary/StringUtils.newStringUtf8,  org/apache/commons/codec2/binary/StringUtils.newStringUtf16Be]</t>
  </si>
  <si>
    <t>@Test
public void testNewStringUtf16Le() throws UnsupportedEncodingException {
    String charsetName = "UTF-16LE";
    testNewString(charsetName);
    String expected = new String(BYTES_FIXTURE, charsetName);
    String actual = StringUtils.newStringUtf16Le(BYTES_FIXTURE);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</si>
  <si>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org/apache/commons/codec2/binary/StringUtils.newStringUtf16Le]
[.testNewString, java/lang/String."&lt;init&gt;", org/apache/commons/codec2/binary/StringUtils.newStringUtf8]</t>
  </si>
  <si>
    <t>[ org/apache/commons/codec2/binary/StringUtils.newStringUtf16Le,  org/apache/commons/codec2/binary/StringUtils.newStringUtf8]</t>
  </si>
  <si>
    <t>apache.commons.codec2.DecoderExceptionTest</t>
  </si>
  <si>
    <t>@Test
public void testConstructor0() {
    DecoderException e = new DecoderException();
    assertNull(e.getMessage());
    assertNull(e.getCause());
}
@Test
public void testConstructorString() {
    DecoderException e = new DecoderException(MSG);
    assertEquals(MSG, e.getMessage());
    assertNull(e.getCause());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</si>
  <si>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</si>
  <si>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</si>
  <si>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</si>
  <si>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apache.commons.codec2.binary.Base64Test</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</si>
  <si>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t>
  </si>
  <si>
    <t>[java/math/BigInteger."&lt;init&gt;", org/apache/commons/codec2/binary/Base64.encodeInteger, java/lang/String."&lt;init&gt;", java/lang/String.getBytes, org/apache/commons/codec2/binary/Base64.decodeInteger]
[java/math/BigInteger."&lt;init&gt;", org/apache/commons/codec2/binary/Base64.encodeInteger, java/lang/String."&lt;init&gt;", java/lang/String.getBytes, org/apache/commons/codec2/binary/Base64.decodeInteger]</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</si>
  <si>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</si>
  <si>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</si>
  <si>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</si>
  <si>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</si>
  <si>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</si>
  <si>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testCodeIntegerEdgeCases() {
    // TODO
}
/**
 * Tests RFC 1421 section 4.3.2.4 chuck size definition.
 */
@Test
public void testRfc1421Section6Dot8ChunkSizeDefinition() {
    assertEquals(64, Base64.PEM_CHUNK_SIZE);
}</t>
  </si>
  <si>
    <t>@Test
public void testCodeIntegerEdgeCases() {
    // TODO
}
/**
 * Tests RFC 2045 section 6.8 chuck size definition.
 */
@Test
public void testRfc2045Section6Dot8ChunkSizeDefinition() {
    assertEquals(76, Base64.MIME_CHUNK_SIZE);
}</t>
  </si>
  <si>
    <t>@Test
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@Test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</si>
  <si>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[org/apache/commons/codec2/binary/Base64."&lt;init&gt;", org/apache/commons/codec2/binary/Base64.encode, java/lang/String.replace, org/apache/commons/codec2/binary/StringUtils.newStringUtf8]
[org/apache/commons/codec2/binary/Base64."&lt;init&gt;", org/apache/commons/codec2/binary/Base64.encode, java/lang/String.replaceAll, java/lang/String.replace, java/lang/String.replace, java/lang/String.replace, org/apache/commons/codec2/binary/StringUtils.newStringUtf8]</t>
  </si>
  <si>
    <t>testDecodePadMarkerIndex2</t>
  </si>
  <si>
    <t>/**
 * Tests conditional true branch for "marker0" test.
 */
@Test
public void testDecodePadMarkerIndex2() throws UnsupportedEncodingException {
    assertEquals("A", new String(Base64.decodeBase64("QQ==".getBytes("UTF-8"))));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</si>
  <si>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t>
  </si>
  <si>
    <t>testIgnoringNonBase64InDecode</t>
  </si>
  <si>
    <t>/**
 * Tests conditional true branch for "marker0" test.
 */
@Test
public void testDecodePadMarkerIndex2() throws UnsupportedEncodingException {
    assertEquals("A", new String(Base64.decodeBase64("QQ==".getBytes("UTF-8"))));
}
/**
 * Tests conditional branches for "marker1" test.
 */
@Test
public void testDecodePadMarkerIndex3() throws UnsupportedEncodingException {
    assertEquals("AA", new String(Base64.decodeBase64("QUE=".getBytes("UTF-8"))));
    assertEquals("AAA", new String(Base64.decodeBase64("QUFB".getBytes("UTF-8"))));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</si>
  <si>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</si>
  <si>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testDecodePadMarkerIndex3</t>
  </si>
  <si>
    <t>/**
 * Tests conditional true branch for "marker0" test.
 */
@Test
public void testDecodePadMarkerIndex2() throws UnsupportedEncodingException {
    assertEquals("A", new String(Base64.decodeBase64("QQ==".getBytes("UTF-8"))));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</si>
  <si>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java/lang/String."&lt;init&gt;"]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</si>
  <si>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testDecodePadOnlyChunked</t>
  </si>
  <si>
    <t>/**
 * Tests conditional true branch for "marker0" test.
 */
@Test
public void testDecodePadMarkerIndex2() throws UnsupportedEncodingException {
    assertEquals("A", new String(Base64.decodeBase64("QQ==".getBytes("UTF-8"))));
}
@Test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t>
  </si>
  <si>
    <t>testDecodePadOnly</t>
  </si>
  <si>
    <t>/**
 * Tests conditional true branch for "marker0" test.
 */
@Test
public void testDecodePadMarkerIndex2() throws UnsupportedEncodingException {
    assertEquals("A", new String(Base64.decodeBase64("QQ==".getBytes("UTF-8"))));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</si>
  <si>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</si>
  <si>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testKnownDecodings</t>
  </si>
  <si>
    <t>/**
 * Tests conditional branches for "marker1" test.
 */
@Test
public void testDecodePadMarkerIndex3() throws UnsupportedEncodingException {
    assertEquals("AA", new String(Base64.decodeBase64("QUE=".getBytes("UTF-8"))));
    assertEquals("AAA", new String(Base64.decodeBase64("QUFB".getBytes("UTF-8"))));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</si>
  <si>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</si>
  <si>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
 * Tests conditional branches for "marker1" test.
 */
@Test
public void testDecodePadMarkerIndex3() throws UnsupportedEncodingException {
    assertEquals("AA", new String(Base64.decodeBase64("QUE=".getBytes("UTF-8"))));
    assertEquals("AAA", new String(Base64.decodeBase64("QUFB".getBytes("UTF-8"))));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</si>
  <si>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</si>
  <si>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
 * Tests conditional branches for "marker1" test.
 */
@Test
public void testDecodePadMarkerIndex3() throws UnsupportedEncodingException {
    assertEquals("AA", new String(Base64.decodeBase64("QUE=".getBytes("UTF-8"))));
    assertEquals("AAA", new String(Base64.decodeBase64("QUFB".getBytes("UTF-8"))));
}
@Test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t>
  </si>
  <si>
    <t>/**
 * Tests conditional branches for "marker1" test.
 */
@Test
public void testDecodePadMarkerIndex3() throws UnsupportedEncodingException {
    assertEquals("AA", new String(Base64.decodeBase64("QUE=".getBytes("UTF-8"))));
    assertEquals("AAA", new String(Base64.decodeBase64("QUFB".getBytes("UTF-8"))));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</si>
  <si>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</si>
  <si>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</si>
  <si>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</si>
  <si>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</si>
  <si>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</si>
  <si>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</si>
  <si>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</si>
  <si>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</si>
  <si>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testIgnoringNonBase64InDecode() throws Exception {
    assertEquals("The quick brown fox jumped over the lazy dogs.", new String(Base64.decodeBase64("VGhlIH@$#$@%F1aWN@#@#@@rIGJyb3duIGZve\n\r\t%#%#%#%CBqd##$#$W1wZWQgb3ZlciB0aGUgbGF6eSBkb2dzLg==".getBytes("UTF-8"))));
}</t>
  </si>
  <si>
    <t>@Test
public void testIgnoringNonBase64InDecode() throws Exception {
    assertEquals("The quick brown fox jumped over the lazy dogs.", new String(Base64.decodeBase64("VGhlIH@$#$@%F1aWN@#@#@@rIGJyb3duIGZve\n\r\t%#%#%#%CBqd##$#$W1wZWQgb3ZlciB0aGUgbGF6eSBkb2dzLg==".getBytes("UTF-8"))));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</si>
  <si>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testPairs</t>
  </si>
  <si>
    <t>@Test
public void testPairs() {
    assertEquals("AAA=", new String(Base64.encodeBase64(new byte[] { 0, 0 })));
    for (int i = -128; i &lt;= 127; i++) {
        byte[] test = { (byte) i, (byte) i };
        assertTrue(Arrays.equals(test,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</si>
  <si>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[org/apache/commons/codec2/binary/Base64.encodeBase64, java/lang/String."&lt;init&gt;", org/apache/commons/codec2/binary/Base64.encodeBase64, org/apache/commons/codec2/binary/Base64.decodeBase64, java/util/Arrays.equals]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org/apache/commons/codec2/binary/Base64.decodeBase64, java/util/Arrays.equals]</t>
  </si>
  <si>
    <t>testSingletons</t>
  </si>
  <si>
    <t>/**
 * Tests RFC 2045 section 6.8 chuck size definition.
 */
@Test
public void testRfc2045Section6Dot8ChunkSizeDefinition() {
    assertEquals(76, Base64.MIME_CHUNK_SIZE);
}
/**
 * Tests RFC 1421 section 4.3.2.4 chuck size definition.
 */
@Test
public void testRfc1421Section6Dot8ChunkSizeDefinition() {
    assertEquals(64, Base64.PEM_CHUNK_SIZE);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</si>
  <si>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</si>
  <si>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org/apache/commons/codec2/binary/Base64.decodeBase64, java/util/Arrays.equals]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</si>
  <si>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testSingletonsChunked</t>
  </si>
  <si>
    <t>[ org/apache/commons/codec2/binary/Base64.encodeBase64,  org/apache/commons/codec2/binary/Base64.encodeBase64Chunked,  org/apache/commons/codec2/binary/Base64.decodeBase64,  java/util/Arrays.equals, org/apache/commons/codec2/binary/Base64.encodeBase64Chunked, org/apache/commons/codec2/binary/Base64.encodeBase64]</t>
  </si>
  <si>
    <t>@Test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
@Test
public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</si>
  <si>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</si>
  <si>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testTripletsChunked</t>
  </si>
  <si>
    <t>testTriplets</t>
  </si>
  <si>
    <t>@Test
public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
@Test
public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</si>
  <si>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</si>
  <si>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 org/apache/commons/codec2/binary/Base64.encodeBase64,  org/apache/commons/codec2/binary/Base64.encodeBase64Chunked, org/apache/commons/codec2/binary/Base64.encodeBase64Chunked, org/apache/commons/codec2/binary/Base64.encodeBase64]</t>
  </si>
  <si>
    <t>apache.commons.codec2.binary.HexTest</t>
  </si>
  <si>
    <t>@Test
public void testCustomCharsetBadNameEncodeByteArray() throws UnsupportedEncodingException {
    try {
        new Hex(BAD_ENCODING_NAME).encode("Hello World".getBytes("UTF-8"));
        fail("Expected " + IllegalStateException.class.getName());
    } catch (IllegalStateException e) {
        // Expected
    }
}
@Test
public void testCustomCharsetBadNameDecodeObject() throws UnsupportedEncodingException {
    try {
        new Hex(BAD_ENCODING_NAME).decode("Hello World".getBytes("UTF-8"));
        fail("Expected " + DecoderException.class.getName());
    } catch (DecoderException e) {
        // Expected
    }
}</t>
  </si>
  <si>
    <t>[org/apache/commons/codec2/binary/Hex."&lt;init&gt;", java/lang/String.getBytes, org/apache/commons/codec2/binary/Hex.encode, java/lang/StringBuilder."&lt;init&gt;", java/lang/StringBuilder.append, java/lang/Class.getName, java/lang/StringBuilder.append, java/lang/StringBuilder.toString]
[org/apache/commons/codec2/binary/Hex."&lt;init&gt;", java/lang/String.getBytes, org/apache/commons/codec2/binary/Hex.decode, java/lang/StringBuilder."&lt;init&gt;", java/lang/StringBuilder.append, java/lang/Class.getName, java/lang/StringBuilder.append, java/lang/StringBuilder.toString]</t>
  </si>
  <si>
    <t>[ org/apache/commons/codec2/binary/Hex.decode,  org/apache/commons/codec2/binary/Hex.encode]</t>
  </si>
  <si>
    <t>@Test
public void testCustomCharsetBadNameEncodeByteArray() throws UnsupportedEncodingException {
    try {
        new Hex(BAD_ENCODING_NAME).encode("Hello World".getBytes("UTF-8"));
        fail("Expected " + IllegalStateException.class.getName());
    } catch (IllegalStateException e) {
        // Expected
    }
}
@Test
public void testCustomCharsetBadNameEncodeObject() {
    try {
        new Hex(BAD_ENCODING_NAME).encode("Hello World");
        fail("Expected " + EncoderException.class.getName());
    } catch (EncoderException e) {
        // Expected
    }
}</t>
  </si>
  <si>
    <t>[org/apache/commons/codec2/binary/Hex."&lt;init&gt;", java/lang/String.getBytes, org/apache/commons/codec2/binary/Hex.encode, java/lang/StringBuilder."&lt;init&gt;", java/lang/StringBuilder.append, java/lang/Class.getName, java/lang/StringBuilder.append, java/lang/StringBuilder.toString]
[org/apache/commons/codec2/binary/Hex."&lt;init&gt;", org/apache/commons/codec2/binary/Hex.encode, java/lang/StringBuilder."&lt;init&gt;", java/lang/StringBuilder.append, java/lang/Class.getName, java/lang/StringBuilder.append, java/lang/StringBuilder.toString]</t>
  </si>
  <si>
    <t>testDecodeArrayOddCharacters</t>
  </si>
  <si>
    <t>@Test
public void testDecodeArrayOddCharacters() {
    try {
        new Hex().decode(new byte[] { 65 });
        fail("An exception wasn't thrown when trying to decode an odd number of characters");
    } catch (DecoderException e) {
        // Expected exception
    }
}
@Test
public void testDecodeClassCastException() {
    try {
        new Hex().decode(new int[] { 65 });
        fail("An exception wasn't thrown when trying to decode.");
    } catch (DecoderException e) {
        // Expected exception
    }
}</t>
  </si>
  <si>
    <t>[org/apache/commons/codec2/binary/Hex."&lt;init&gt;", org/apache/commons/codec2/binary/Hex.decode]
[org/apache/commons/codec2/binary/Hex."&lt;init&gt;", org/apache/commons/codec2/binary/Hex.decode]</t>
  </si>
  <si>
    <t>@Test
public void testDecodeArrayOddCharacters() {
    try {
        new Hex().decode(new byte[] { 65 });
        fail("An exception wasn't thrown when trying to decode an odd number of characters");
    } catch (DecoderException e) {
        // Expected exception
    }
}
@Test
public void testDecodeStringOddCharacters() {
    try {
        new Hex().decode("6");
        fail("An exception wasn't thrown when trying to decode an odd number of characters");
    } catch (DecoderException e) {
        // Expected exception
    }
}</t>
  </si>
  <si>
    <t>testDecodeStringOddCharacters</t>
  </si>
  <si>
    <t>@Test
public void testDecodeArrayOddCharacters() {
    try {
        new Hex().decode(new byte[] { 65 });
        fail("An exception wasn't thrown when trying to decode an odd number of characters");
    } catch (DecoderException e) {
        // Expected exception
    }
}
@Test
public void testDecodeBadCharacterPos0() {
    try {
        new Hex().decode("q0");
        fail("An exception wasn't thrown when trying to decode an illegal character");
    } catch (DecoderException e) {
        // Expected exception
    }
}</t>
  </si>
  <si>
    <t>@Test
public void testDecodeArrayOddCharacters() {
    try {
        new Hex().decode(new byte[] { 65 });
        fail("An exception wasn't thrown when trying to decode an odd number of characters");
    } catch (DecoderException e) {
        // Expected exception
    }
}
@Test
public void testDecodeBadCharacterPos1() {
    try {
        new Hex().decode("0q");
        fail("An exception wasn't thrown when trying to decode an illegal character");
    } catch (DecoderException e) {
        // Expected exception
    }
}</t>
  </si>
  <si>
    <t>testDecodeBadCharacterPos1</t>
  </si>
  <si>
    <t>@Test
public void testDecodeBadCharacterPos0() {
    try {
        new Hex().decode("q0");
        fail("An exception wasn't thrown when trying to decode an illegal character");
    } catch (DecoderException e) {
        // Expected exception
    }
}
@Test
public void testDecodeBadCharacterPos1() {
    try {
        new Hex().decode("0q");
        fail("An exception wasn't thrown when trying to decode an illegal character");
    } catch (DecoderException e) {
        // Expected exception
    }
}</t>
  </si>
  <si>
    <t>@Test
public void testDecodeBadCharacterPos0() {
    try {
        new Hex().decode("q0");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</si>
  <si>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testDecodeBadCharacterPos0() {
    try {
        new Hex().decode("q0");
        fail("An exception wasn't thrown when trying to decode an illegal character");
    } catch (DecoderException e) {
        // Expected exception
    }
}
@Test
public void testDecodeClassCastException() {
    try {
        new Hex().decode(new int[] { 65 });
        fail("An exception wasn't thrown when trying to decode.");
    } catch (DecoderException e) {
        // Expected exception
    }
}</t>
  </si>
  <si>
    <t>@Test
public void testDecodeBadCharacterPos1() {
    try {
        new Hex().decode("0q");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</si>
  <si>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testDecodeBadCharacterPos1() {
    try {
        new Hex().decode("0q");
        fail("An exception wasn't thrown when trying to decode an illegal character");
    } catch (DecoderException e) {
        // Expected exception
    }
}
@Test
public void testDecodeClassCastException() {
    try {
        new Hex().decode(new int[] { 65 });
        fail("An exception wasn't thrown when trying to decode.");
    } catch (DecoderException e) {
        // Expected exception
    }
}</t>
  </si>
  <si>
    <t>@Test
public void testDecodeClassCastException() {
    try {
        new Hex().decode(new int[] { 65 });
        fail("An exception wasn't thrown when trying to decode.");
    } catch (DecoderException e) {
        // Expected exception
    }
}
@Test
public void testEncodeClassCastException() {
    try {
        new Hex().encode(new int[] { 65 });
        fail("An exception wasn't thrown when trying to encode.");
    } catch (EncoderException e) {
        // Expected exception
    }
}</t>
  </si>
  <si>
    <t>[org/apache/commons/codec2/binary/Hex."&lt;init&gt;", org/apache/commons/codec2/binary/Hex.decode]
[org/apache/commons/codec2/binary/Hex."&lt;init&gt;", org/apache/commons/codec2/binary/Hex.encode]</t>
  </si>
  <si>
    <t>testEncodeClassCastException</t>
  </si>
  <si>
    <t>@Test
public void testDecodeClassCastException() {
    try {
        new Hex().decode(new int[] { 65 });
        fail("An exception wasn't thrown when trying to decode.");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</si>
  <si>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testDecodeHexOddCharacters1() {
    checkDecodeHexOddCharacters(new char[] { 'A' });
}
@Test
public void testDecodeHexOddCharacters3() {
    checkDecodeHexOddCharacters(new char[] { 'A', 'B', 'C' });
}</t>
  </si>
  <si>
    <t>@Test
public void testDecodeHexOddCharacters1() {
    checkDecodeHexOddCharacters(new char[] { 'A' });
}
@Test
public void testDecodeHexOddCharacters5() {
    checkDecodeHexOddCharacters(new char[] { 'A', 'B', 'C', 'D', 'E' });
}</t>
  </si>
  <si>
    <t>@Test
public void testDecodeHexOddCharacters3() {
    checkDecodeHexOddCharacters(new char[] { 'A', 'B', 'C' });
}
@Test
public void testDecodeHexOddCharacters5() {
    checkDecodeHexOddCharacters(new char[] { 'A', 'B', 'C', 'D', 'E' });
}</t>
  </si>
  <si>
    <t>testDencodeEmpty</t>
  </si>
  <si>
    <t>@Test
public void testDencodeEmpty() throws DecoderException {
    assertTrue(Arrays.equals(new byte[0], Hex.decodeHex(new char[0])));
    assertTrue(Arrays.equals(new byte[0], new Hex().decode(new byte[0])));
    assertTrue(Arrays.equals(new byte[0], (byte[]) new Hex().decode("")));
}
@Test
public void testEncodeEmpty() throws EncoderException {
    assertTrue(Arrays.equals(new char[0], Hex.encodeHex(new byte[0])));
    assertTrue(Arrays.equals(new byte[0], new Hex().encode(new byte[0])));
    assertTrue(Arrays.equals(new char[0], (char[]) new Hex().encode("")));
}</t>
  </si>
  <si>
    <t>[org/apache/commons/codec2/binary/Hex.decodeHex, java/util/Arrays.equals, org/apache/commons/codec2/binary/Hex."&lt;init&gt;", org/apache/commons/codec2/binary/Hex.decode, java/util/Arrays.equals, org/apache/commons/codec2/binary/Hex."&lt;init&gt;", org/apache/commons/codec2/binary/Hex.decode, java/util/Arrays.equals]
[org/apache/commons/codec2/binary/Hex.encodeHex, java/util/Arrays.equals, org/apache/commons/codec2/binary/Hex."&lt;init&gt;", org/apache/commons/codec2/binary/Hex.encode, java/util/Arrays.equals, org/apache/commons/codec2/binary/Hex."&lt;init&gt;", org/apache/commons/codec2/binary/Hex.encode, java/util/Arrays.equals]</t>
  </si>
  <si>
    <t>[ org/apache/commons/codec2/binary/Hex.decode, org/apache/commons/codec2/binary/Hex.decodeHex, org/apache/commons/codec2/binary/Hex.encodeHex,  org/apache/commons/codec2/binary/Hex.encode]</t>
  </si>
  <si>
    <t>@Test
public void testHelloWorldLowerCaseHex() {
    byte[] b = StringUtils.getBytesUtf8("Hello World");
    final String expected = "48656c6c6f20576f726c64";
    char[] actual;
    actual = Hex.encodeHex(b);
    assertTrue(expected.equals(new String(actual)));
    actual = Hex.encodeHex(b, true);
    assertTrue(expected.equals(new String(actual)));
    actual = Hex.encodeHex(b, false);
    assertFalse(expected.equals(new String(actual)));
}
@Test
public void testHelloWorldUpperCaseHex() {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</si>
  <si>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[org/apache/commons/codec2/binary/StringUtils.getBytesUtf8, org/apache/commons/codec2/binary/Hex.encodeHex, java/lang/String."&lt;init&gt;", java/lang/String.equals, org/apache/commons/codec2/binary/Hex.encodeHex, java/lang/String."&lt;init&gt;", java/lang/String.equals, org/apache/commons/codec2/binary/Hex.encodeHex, java/lang/String."&lt;init&gt;", java/lang/String.equals]
[org/apache/commons/codec2/binary/StringUtils.getBytesUtf8, org/apache/commons/codec2/binary/Hex.encodeHex, java/lang/String."&lt;init&gt;", java/lang/String.equals, org/apache/commons/codec2/binary/Hex.encodeHex, java/lang/String."&lt;init&gt;", java/lang/String.equals, org/apache/commons/codec2/binary/Hex.encodeHex, java/lang/String."&lt;init&gt;", java/lang/String.equals]</t>
  </si>
  <si>
    <t>apache.commons.codec2.binary.BaseNCodecTest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</si>
  <si>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</si>
  <si>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</si>
  <si>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</si>
  <si>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</si>
  <si>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</si>
  <si>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</si>
  <si>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</si>
  <si>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throws UnsupportedEncodingException {
    assertEquals(0, BinaryCodec.fromAscii((byte[]) null).length);
    assertEquals(0, BinaryCodec.fromAscii(new byte[0]).length);
    // With a single raw binary
    byte[] bits = new byte[1];
    byte[] decoded = BinaryCodec.fromAscii("00000000".getBytes("UTF-8"));
    assertEquals(new String(bits), new String(decoded));
    bits = new byte[1];
    bits[0] = BIT_0;
    decoded = BinaryCodec.fromAscii("00000001".getBytes("UTF-8"));
    assertEquals(new String(bits), new String(decoded));
    bits = new byte[1];
    bits[0] = BIT_0 | BIT_1;
    decoded = BinaryCodec.fromAscii("00000011".getBytes("UTF-8"));
    assertEquals(new String(bits), new String(decoded));
    bits = new byte[1];
    bits[0] = BIT_0 | BIT_1 | BIT_2;
    decoded = BinaryCodec.fromAscii("00000111".getBytes("UTF-8"));
    assertEquals(new String(bits), new String(decoded));
    bits = new byte[1];
    bits[0] = BIT_0 | BIT_1 | BIT_2 | BIT_3;
    decoded = BinaryCodec.fromAscii("00001111".getBytes("UTF-8"));
    assertEquals(new String(bits), new String(decoded));
    bits = new byte[1];
    bits[0] = BIT_0 | BIT_1 | BIT_2 | BIT_3 | BIT_4;
    decoded = BinaryCodec.fromAscii("00011111".getBytes("UTF-8"));
    assertEquals(new String(bits), new String(decoded));
    bits = new byte[1];
    bits[0] = BIT_0 | BIT_1 | BIT_2 | BIT_3 | BIT_4 | BIT_5;
    decoded = BinaryCodec.fromAscii("00111111".getBytes("UTF-8"));
    assertEquals(new String(bits), new String(decoded));
    bits = new byte[1];
    bits[0] = BIT_0 | BIT_1 | BIT_2 | BIT_3 | BIT_4 | BIT_5 | BIT_6;
    decoded = BinaryCodec.fromAscii("01111111".getBytes("UTF-8"));
    assertEquals(new String(bits), new String(decoded));
    bits = new byte[1];
    bits[0] = (byte) (BIT_0 | BIT_1 | BIT_2 | BIT_3 | BIT_4 | BIT_5 | BIT_6 | BIT_7);
    decoded = BinaryCodec.fromAscii("11111111".getBytes("UTF-8"));
    assertEquals(new String(bits), new String(decoded));
    // With a two raw binaries
    bits = new byte[2];
    bits[0] = (byte) (BIT_0 | BIT_1 | BIT_2 | BIT_3 | BIT_4 | BIT_5 | BIT_6 | BIT_7);
    decoded = BinaryCodec.fromAscii("0000000011111111".getBytes("UTF-8"));
    assertEquals(new String(bits), new String(decoded));
    bits = new byte[2];
    bits[1] = BIT_0;
    bits[0] = (byte) (BIT_0 | BIT_1 | BIT_2 | BIT_3 | BIT_4 | BIT_5 | BIT_6 | BIT_7);
    decoded = BinaryCodec.fromAscii("0000000111111111".getBytes("UTF-8"));
    assertEquals(new String(bits), new String(decoded));
    bits = new byte[2];
    bits[1] = BIT_0 | BIT_1;
    bits[0] = (byte) (BIT_0 | BIT_1 | BIT_2 | BIT_3 | BIT_4 | BIT_5 | BIT_6 | BIT_7);
    decoded = BinaryCodec.fromAscii("0000001111111111".getBytes("UTF-8"));
    assertEquals(new String(bits), new String(decoded));
    bits = new byte[2];
    bits[1] = BIT_0 | BIT_1 | BIT_2;
    bits[0] = (byte) (BIT_0 | BIT_1 | BIT_2 | BIT_3 | BIT_4 | BIT_5 | BIT_6 | BIT_7);
    decoded = BinaryCodec.fromAscii("0000011111111111".getBytes("UTF-8"));
    assertEquals(new String(bits), new String(decoded));
    bits = new byte[2];
    bits[1] = BIT_0 | BIT_1 | BIT_2 | BIT_3;
    bits[0] = (byte) (BIT_0 | BIT_1 | BIT_2 | BIT_3 | BIT_4 | BIT_5 | BIT_6 | BIT_7);
    decoded = BinaryCodec.fromAscii("0000111111111111".getBytes("UTF-8"));
    assertEquals(new String(bits), new String(decoded));
    bits = new byte[2];
    bits[1] = BIT_0 | BIT_1 | BIT_2 | BIT_3 | BIT_4;
    bits[0] = (byte) (BIT_0 | BIT_1 | BIT_2 | BIT_3 | BIT_4 | BIT_5 | BIT_6 | BIT_7);
    decoded = BinaryCodec.fromAscii("0001111111111111".getBytes("UTF-8"));
    assertEquals(new String(bits), new String(decoded));
    bits = new byte[2];
    bits[1] = BIT_0 | BIT_1 | BIT_2 | BIT_3 | BIT_4 | BIT_5;
    bits[0] = (byte) (BIT_0 | BIT_1 | BIT_2 | BIT_3 | BIT_4 | BIT_5 | BIT_6 | BIT_7);
    decoded = BinaryCodec.fromAscii("0011111111111111".getBytes("UTF-8"));
    assertEquals(new String(bits), new String(decoded));
    bits = new byte[2];
    bits[1] = BIT_0 | BIT_1 | BIT_2 | BIT_3 | BIT_4 | BIT_5 | BIT_6;
    bits[0] = (byte) (BIT_0 | BIT_1 | BIT_2 | BIT_3 | BIT_4 | BIT_5 | BIT_6 | BIT_7);
    decoded = BinaryCodec.fromAscii("0111111111111111".getBytes("UTF-8"));
    assertEquals(new String(bits), new String(decoded));
    bits = new byte[2];
    bits[1] = (byte) (BIT_0 | BIT_1 | BIT_2 | BIT_3 | BIT_4 | BIT_5 | BIT_6 | BIT_7);
    bits[0] = (byte) (BIT_0 | BIT_1 | BIT_2 | BIT_3 | BIT_4 | BIT_5 | BIT_6 | BIT_7);
    decoded = BinaryCodec.fromAscii("1111111111111111".getBytes("UTF-8"));
    assertEquals(new String(bits), new String(decoded));
    assertEquals(0, BinaryCodec.fromAscii((byte[]) null).length);
}</t>
  </si>
  <si>
    <t>[org/apache/commons/codec2/binary/BinaryCodec.fromAscii, org/apache/commons/codec2/binary/BinaryCodec.fromAscii,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org/apache/commons/codec2/binary/BinaryCodec.fromAscii]
[org/apache/commons/codec2/binary/BinaryCodec.fromAscii, org/apache/commons/codec2/binary/BinaryCodec.fromAscii,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org/apache/commons/codec2/binary/BinaryCodec.fromAscii]</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</si>
  <si>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</si>
  <si>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</si>
  <si>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</si>
  <si>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</si>
  <si>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t>
  </si>
  <si>
    <t>testToAsciiChars</t>
  </si>
  <si>
    <t>[ org/apache/commons/codec2/binary/BinaryCodec.toAsciiBytes, org/apache/commons/codec2/binary/BinaryCodec.toAsciiChars,  org/apache/commons/codec2/binary/BinaryCodec.toAsciiChars, org/apache/commons/codec2/binary/BinaryCodec.toAsciiBytes]</t>
  </si>
  <si>
    <t>testEncodeObjectNull</t>
  </si>
  <si>
    <t>// ------------------------------------------------------------------------
//
// Test encode(Object)
//
// ------------------------------------------------------------------------
/*
     * Tests for Object encode(Object)
     */
@Test
public void testEncodeObjectNull() throws Exception {
    Object obj = new byte[0];
    assertEquals(0, ((char[]) instance.encode(obj)).length);
}
/*
     * Tests for Object encode(Object)
     */
@Test
public void testEncodeObjectException() {
    try {
        instance.encode("");
    } catch (EncoderException e) {
        // all is well.
        return;
    }
    fail("Expected EncoderException");
}</t>
  </si>
  <si>
    <t>[org/apache/commons/codec2/binary/BinaryCodec.encode]
[org/apache/commons/codec2/binary/BinaryCodec.encode]</t>
  </si>
  <si>
    <t>testEncodeObjectException</t>
  </si>
  <si>
    <t>apache.commons.codec2.language.bm.BeiderMorseEncoderTest</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</si>
  <si>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@Test(timeout = 10000L)
public void testLongestEnglishSurname() throws EncoderException {
    BeiderMorseEncoder bmpm = createGenericApproxEncoder();
    bmpm.encode("MacGhilleseatheanaich");
}</t>
  </si>
  <si>
    <t>[.createGenericApproxEncoder, org/apache/commons/codec2/language/bm/BeiderMorseEncoder.encode]
[.createGenericApproxEncoder, org/apache/commons/codec2/language/bm/BeiderMorseEncoder.encode]</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</si>
  <si>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</si>
  <si>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</si>
  <si>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testIsMetaphoneEqual1</t>
  </si>
  <si>
    <t>@Test
public void testIsMetaphoneEqual1() {
    this.assertMetaphoneEqual(new String[][] { { "Case", "case" }, { "CASE", "Case" }, { "caSe", "cAsE" }, { "quick", "cookie" } });
}
/**
 * Matches computed from http://www.lanw.com/java/phonetic/default.htm
 */
@Test
public void testIsMetaphoneEqual2() {
    this.assertMetaphoneEqual(new String[][] { { "Lawrence", "Lorenza" }, { "Gary", "Cahra" } });
}</t>
  </si>
  <si>
    <t>[.assertMetaphoneEqual]
[.assertMetaphoneEqual]</t>
  </si>
  <si>
    <t>testIsMetaphoneEqual2</t>
  </si>
  <si>
    <t>testIsMetaphoneEqualAero</t>
  </si>
  <si>
    <t>/**
 * Initial AE case.
 *
 * Match data computed from http://www.lanw.com/java/phonetic/default.htm
 */
@Test
public void testIsMetaphoneEqualAero() {
    this.assertIsMetaphoneEqual("Aero", new String[] { "Eure" });
}
/**
 * Initial WR case.
 *
 * Match data computed from http://www.lanw.com/java/phonetic/default.htm
 */
@Test
public void testIsMetaphoneEqualWright() {
    this.assertIsMetaphoneEqual("Wright", new String[] { "Rota", "Rudd", "Ryde" });
}</t>
  </si>
  <si>
    <t>[.assertIsMetaphoneEqual]
[.assertIsMetaphoneEqual]</t>
  </si>
  <si>
    <t>testIsMetaphoneEqualWright</t>
  </si>
  <si>
    <t>/**
 * Initial AE case.
 *
 * Match data computed from http://www.lanw.com/java/phonetic/default.htm
 */
@Test
public void testIsMetaphoneEqualAero() {
    this.assertIsMetaphoneEqual("Aero", new String[] { "Eure" });
}
/**
 * Initial A, not followed by an E case.
 *
 * Match data computed from http://www.lanw.com/java/phonetic/default.htm
 */
@Test
public void testIsMetaphoneEqualAlbert() {
    this.assertIsMetaphoneEqual("Albert", new String[] { "Ailbert", "Alberik", "Albert", "Alberto", "Albrecht" });
}</t>
  </si>
  <si>
    <t>testIsMetaphoneEqualAlbert</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</si>
  <si>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testIsMetaphoneEqualParis() {
    this.assertIsMetaphoneEqual("Paris", new String[] { "Pearcy", "Perris", "Piercy", "Pierz", "Pryse" });
}</t>
  </si>
  <si>
    <t>testIsMetaphoneEqualParis</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</si>
  <si>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testIsMetaphoneEqualRay() {
    this.assertIsMetaphoneEqual("Ray", new String[] { "Ray", "Rey", "Roi", "Roy", "Ruy" });
}</t>
  </si>
  <si>
    <t>testIsMetaphoneEqualRay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</si>
  <si>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testIsMetaphoneEqualPeter() {
    this.assertIsMetaphoneEqual("Peter", new String[] { "Peadar", "Peder", "Pedro", "Peter", "Petr", "Peyter", "Pieter", "Pietro", "Piotr" });
}</t>
  </si>
  <si>
    <t>testIsMetaphoneEqualPeter</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</si>
  <si>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testIsMetaphoneEqualXalan() {
    this.assertIsMetaphoneEqual("Xalan", new String[] { "Celene", "Celina", "Celine", "Selena", "Selene", "Selina", "Seline", "Suellen", "Xylina" });
}</t>
  </si>
  <si>
    <t>testIsMetaphoneEqualXalan</t>
  </si>
  <si>
    <t>/**
 * Initial AE case.
 *
 * Match data computed from http://www.lanw.com/java/phonetic/default.htm
 */
@Test
public void testIsMetaphoneEqualAero() {
    this.assertIsMetaphoneEqual("Aero", new String[] { "Eure" });
}
/**
 * Initial WH case.
 *
 * Match data computed from http://www.lanw.com/java/phonetic/default.htm
 */
@Test
public void testIsMetaphoneEqualWhite() {
    this.assertIsMetaphoneEqual("White", new String[] { "Wade", "Wait", "Waite", "Wat", "Whit", "Wiatt", "Wit", "Wittie", "Witty", "Wood", "Woodie", "Woody" });
}</t>
  </si>
  <si>
    <t>testIsMetaphoneEqualWhite</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</si>
  <si>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testIsMetaphoneEqualSusan() {
    this.assertIsMetaphoneEqual("Susan", new String[] { "Siusan", "Sosanna", "Susan", "Susana", "Susann", "Susanna", "Susannah", "Susanne", "Suzann", "Suzanna", "Suzanne", "Zuzana" });
}</t>
  </si>
  <si>
    <t>testIsMetaphoneEqualSusan</t>
  </si>
  <si>
    <t>/**
 * Initial AE case.
 *
 * Match data computed from http://www.lanw.com/java/phonetic/default.htm
 */
@Test
public void testIsMetaphoneEqualAero() {
    this.assertIsMetaphoneEqual("Aero", new String[] { "Eure" });
}
/**
 * Initial KN case.
 *
 * Match data computed from http://www.lanw.com/java/phonetic/default.htm
 */
@Test
public void testIsMetaphoneEqualKnight() {
    this.assertIsMetaphoneEqual("Knight", new String[] { "Hynda", "Nada", "Nadia", "Nady", "Nat", "Nata", "Natty", "Neda", "Nedda", "Nedi", "Netta", "Netti", "Nettie", "Netty", "Nita", "Nydia" });
}</t>
  </si>
  <si>
    <t>testIsMetaphoneEqualKnight</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</si>
  <si>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</si>
  <si>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testIsMetaphoneEqualMary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</si>
  <si>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</si>
  <si>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testIsMetaphoneEqualGary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</si>
  <si>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</si>
  <si>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testIsMetaphoneEqualJohn</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</si>
  <si>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testIsMetaphoneEqualSusan() {
    this.assertIsMetaphoneEqual("Susan", new String[] { "Siusan", "Sosanna", "Susan", "Susana", "Susann", "Susanna", "Susannah", "Susanne", "Suzann", "Suzanna", "Suzanne", "Zuzana"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</si>
  <si>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testIsMetaphoneEqualPeter() {
    this.assertIsMetaphoneEqual("Peter", new String[] { "Peadar", "Peder", "Pedro", "Peter", "Petr", "Peyter", "Pieter", "Pietro", "Piotr"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</si>
  <si>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testIsMetaphoneEqualXalan() {
    this.assertIsMetaphoneEqual("Xalan", new String[] { "Celene", "Celina", "Celine", "Selena", "Selene", "Selina", "Seline", "Suellen", "Xylina" });
}</t>
  </si>
  <si>
    <t>/**
 * Initial WH case.
 *
 * Match data computed from http://www.lanw.com/java/phonetic/default.htm
 */
@Test
public void testIsMetaphoneEqualWhite() {
    this.assertIsMetaphoneEqual("White", new String[] { "Wade", "Wait", "Waite", "Wat", "Whit", "Wiatt", "Wit", "Wittie", "Witty", "Wood", "Woodie", "Woody" });
}
/**
 * Initial KN case.
 *
 * Match data computed from http://www.lanw.com/java/phonetic/default.htm
 */
@Test
public void testIsMetaphoneEqualKnight() {
    this.assertIsMetaphoneEqual("Knight", new String[] { "Hynda", "Nada", "Nadia", "Nady", "Nat", "Nata", "Natty", "Neda", "Nedda", "Nedi", "Netta", "Netti", "Nettie", "Netty", "Nita", "Nydia"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</si>
  <si>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</si>
  <si>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testIsMetaphoneEqualParis() {
    this.assertIsMetaphoneEqual("Paris", new String[] { "Pearcy", "Perris", "Piercy", "Pierz", "Pryse"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</si>
  <si>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testIsMetaphoneEqualRay() {
    this.assertIsMetaphoneEqual("Ray", new String[] { "Ray", "Rey", "Roi", "Roy", "Ruy" });
}</t>
  </si>
  <si>
    <t>/**
 * Initial WH case.
 *
 * Match data computed from http://www.lanw.com/java/phonetic/default.htm
 */
@Test
public void testIsMetaphoneEqualWhite() {
    this.assertIsMetaphoneEqual("White", new String[] { "Wade", "Wait", "Waite", "Wat", "Whit", "Wiatt", "Wit", "Wittie", "Witty", "Wood", "Woodie", "Woody" });
}
/**
 * Initial A, not followed by an E case.
 *
 * Match data computed from http://www.lanw.com/java/phonetic/default.htm
 */
@Test
public void testIsMetaphoneEqualAlbert() {
    this.assertIsMetaphoneEqual("Albert", new String[] { "Ailbert", "Alberik", "Albert", "Alberto", "Albrecht" });
}</t>
  </si>
  <si>
    <t>/**
 * Initial WH case.
 *
 * Match data computed from http://www.lanw.com/java/phonetic/default.htm
 */
@Test
public void testIsMetaphoneEqualWhite() {
    this.assertIsMetaphoneEqual("White", new String[] { "Wade", "Wait", "Waite", "Wat", "Whit", "Wiatt", "Wit", "Wittie", "Witty", "Wood", "Woodie", "Woody" });
}
/**
 * Initial WR case.
 *
 * Match data computed from http://www.lanw.com/java/phonetic/default.htm
 */
@Test
public void testIsMetaphoneEqualWright() {
    this.assertIsMetaphoneEqual("Wright", new String[] { "Rota", "Rudd", "Ryde"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</si>
  <si>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</si>
  <si>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</si>
  <si>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testIsMetaphoneEqualParis() {
    this.assertIsMetaphoneEqual("Paris", new String[] { "Pearcy", "Perris", "Piercy", "Pierz", "Pryse"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</si>
  <si>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testIsMetaphoneEqualRay() {
    this.assertIsMetaphoneEqual("Ray", new String[] { "Ray", "Rey", "Roi", "Roy", "Ruy" });
}</t>
  </si>
  <si>
    <t>/**
 * Initial A, not followed by an E case.
 *
 * Match data computed from http://www.lanw.com/java/phonetic/default.htm
 */
@Test
public void testIsMetaphoneEqualAlbert() {
    this.assertIsMetaphoneEqual("Albert", new String[] { "Ailbert", "Alberik", "Albert", "Alberto", "Albrecht" });
}
/**
 * Initial WR case.
 *
 * Match data computed from http://www.lanw.com/java/phonetic/default.htm
 */
@Test
public void testIsMetaphoneEqualWright() {
    this.assertIsMetaphoneEqual("Wright", new String[] { "Rota", "Rudd", "Ryde"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</si>
  <si>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testIsMetaphoneEqualPeter() {
    this.assertIsMetaphoneEqual("Peter", new String[] { "Peadar", "Peder", "Pedro", "Peter", "Petr", "Peyter", "Pieter", "Pietro", "Piotr"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</si>
  <si>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testIsMetaphoneEqualXalan() {
    this.assertIsMetaphoneEqual("Xalan", new String[] { "Celene", "Celina", "Celine", "Selena", "Selene", "Selina", "Seline", "Suellen", "Xylina"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</si>
  <si>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testIsMetaphoneEqualSusan() {
    this.assertIsMetaphoneEqual("Susan", new String[] { "Siusan", "Sosanna", "Susan", "Susana", "Susann", "Susanna", "Susannah", "Susanne", "Suzann", "Suzanna", "Suzanne", "Zuzana" });
}</t>
  </si>
  <si>
    <t>/**
 * Initial A, not followed by an E case.
 *
 * Match data computed from http://www.lanw.com/java/phonetic/default.htm
 */
@Test
public void testIsMetaphoneEqualAlbert() {
    this.assertIsMetaphoneEqual("Albert", new String[] { "Ailbert", "Alberik", "Albert", "Alberto", "Albrecht" });
}
/**
 * Initial KN case.
 *
 * Match data computed from http://www.lanw.com/java/phonetic/default.htm
 */
@Test
public void testIsMetaphoneEqualKnight() {
    this.assertIsMetaphoneEqual("Knight", new String[] { "Hynda", "Nada", "Nadia", "Nady", "Nat", "Nata", "Natty", "Neda", "Nedda", "Nedi", "Netta", "Netti", "Nettie", "Netty", "Nita", "Nydia"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</si>
  <si>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</si>
  <si>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</si>
  <si>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</si>
  <si>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</si>
  <si>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</si>
  <si>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KN case.
 *
 * Match data computed from http://www.lanw.com/java/phonetic/default.htm
 */
@Test
public void testIsMetaphoneEqualKnight() {
    this.assertIsMetaphoneEqual("Knight", new String[] { "Hynda", "Nada", "Nadia", "Nady", "Nat", "Nata", "Natty", "Neda", "Nedda", "Nedi", "Netta", "Netti", "Nettie", "Netty", "Nita", "Nydia"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</si>
  <si>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</si>
  <si>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</si>
  <si>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</si>
  <si>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</si>
  <si>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</si>
  <si>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</si>
  <si>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</si>
  <si>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Initial KN case.
 *
 * Match data computed from http://www.lanw.com/java/phonetic/default.htm
 */
@Test
public void testIsMetaphoneEqualKnight() {
    this.assertIsMetaphoneEqual("Knight", new String[] { "Hynda", "Nada", "Nadia", "Nady", "Nat", "Nata", "Natty", "Neda", "Nedda", "Nedi", "Netta", "Netti", "Nettie", "Netty", "Nita", "Nydia"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</si>
  <si>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</si>
  <si>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</si>
  <si>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</si>
  <si>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</si>
  <si>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</si>
  <si>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Initial WR case.
 *
 * Match data computed from http://www.lanw.com/java/phonetic/default.htm
 */
@Test
public void testIsMetaphoneEqualWright() {
    this.assertIsMetaphoneEqual("Wright", new String[] { "Rota", "Rudd", "Ryde"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</si>
  <si>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testIsMetaphoneEqualSusan() {
    this.assertIsMetaphoneEqual("Susan", new String[] { "Siusan", "Sosanna", "Susan", "Susana", "Susann", "Susanna", "Susannah", "Susanne", "Suzann", "Suzanna", "Suzanne", "Zuzana"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</si>
  <si>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</si>
  <si>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testIsMetaphoneEqualXalan() {
    this.assertIsMetaphoneEqual("Xalan", new String[] { "Celene", "Celina", "Celine", "Selena", "Selene", "Selina", "Seline", "Suellen", "Xylina"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</si>
  <si>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testIsMetaphoneEqualPeter() {
    this.assertIsMetaphoneEqual("Peter", new String[] { "Peadar", "Peder", "Pedro", "Peter", "Petr", "Peyter", "Pieter", "Pietro", "Piotr"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</si>
  <si>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testIsMetaphoneEqualParis() {
    this.assertIsMetaphoneEqual("Paris", new String[] { "Pearcy", "Perris", "Piercy", "Pierz", "Pryse"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</si>
  <si>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testIsMetaphoneEqualRay() {
    this.assertIsMetaphoneEqual("Ray", new String[] { "Ray", "Rey", "Roi", "Roy", "Ruy" });
}</t>
  </si>
  <si>
    <t>/**
 * Initial KN case.
 *
 * Match data computed from http://www.lanw.com/java/phonetic/default.htm
 */
@Test
public void testIsMetaphoneEqualKnight() {
    this.assertIsMetaphoneEqual("Knight", new String[] { "Hynda", "Nada", "Nadia", "Nady", "Nat", "Nata", "Natty", "Neda", "Nedda", "Nedi", "Netta", "Netti", "Nettie", "Netty", "Nita", "Nydia"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</si>
  <si>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</si>
  <si>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</si>
  <si>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</si>
  <si>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</si>
  <si>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</si>
  <si>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</si>
  <si>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</si>
  <si>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testIsMetaphoneEqualParis() {
    this.assertIsMetaphoneEqual("Paris", new String[] { "Pearcy", "Perris", "Piercy", "Pierz", "Pryse"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</si>
  <si>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</si>
  <si>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</si>
  <si>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</si>
  <si>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</si>
  <si>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</si>
  <si>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</si>
  <si>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testIsMetaphoneEqualPeter() {
    this.assertIsMetaphoneEqual("Peter", new String[] { "Peadar", "Peder", "Pedro", "Peter", "Petr", "Peyter", "Pieter", "Pietro", "Piotr"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</si>
  <si>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testIsMetaphoneEqualRay() {
    this.assertIsMetaphoneEqual("Ray", new String[] { "Ray", "Rey", "Roi", "Roy", "Ruy"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</si>
  <si>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testIsMetaphoneEqualRay() {
    this.assertIsMetaphoneEqual("Ray", new String[] { "Ray", "Rey", "Roi", "Roy", "Ruy"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</si>
  <si>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testIsMetaphoneEqualRay() {
    this.assertIsMetaphoneEqual("Ray", new String[] { "Ray", "Rey", "Roi", "Roy", "Ruy"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</si>
  <si>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testIsMetaphoneEqualSusan() {
    this.assertIsMetaphoneEqual("Susan", new String[] { "Siusan", "Sosanna", "Susan", "Susana", "Susann", "Susanna", "Susannah", "Susanne", "Suzann", "Suzanna", "Suzanne", "Zuzana"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</si>
  <si>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testIsMetaphoneEqualSusan() {
    this.assertIsMetaphoneEqual("Susan", new String[] { "Siusan", "Sosanna", "Susan", "Susana", "Susann", "Susanna", "Susannah", "Susanne", "Suzann", "Suzanna", "Suzanne", "Zuzana" });
}
/**
 * Initial WR case.
 *
 * Match data computed from http://www.lanw.com/java/phonetic/default.htm
 */
@Test
public void testIsMetaphoneEqualWright() {
    this.assertIsMetaphoneEqual("Wright", new String[] { "Rota", "Rudd", "Ryde" });
}</t>
  </si>
  <si>
    <t>/**
 * Initial WR case.
 *
 * Match data computed from http://www.lanw.com/java/phonetic/default.htm
 */
@Test
public void testIsMetaphoneEqualWright() {
    this.assertIsMetaphoneEqual("Wright", new String[] { "Rota", "Rudd", "Ryde" });
}
/**
 * Match data computed from http://www.lanw.com/java/phonetic/default.htm
 */
@Test
public void testIsMetaphoneEqualXalan() {
    this.assertIsMetaphoneEqual("Xalan", new String[] { "Celene", "Celina", "Celine", "Selena", "Selene", "Selina", "Seline", "Suellen", "Xylina" });
}</t>
  </si>
  <si>
    <t>testMetaphone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</si>
  <si>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</si>
  <si>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</si>
  <si>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testTranslateOfSCHAndCH</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</si>
  <si>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testTranslateToJOfDGEOrDGIOrDGY() {
    assertEquals("TJ", this.getMetaphone().metaphone("DODGY"));
    assertEquals("TJ", this.getMetaphone().metaphone("DODGE"));
    assertEquals("AJMT", this.getMetaphone().metaphone("ADGIEMTI"));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</si>
  <si>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</si>
  <si>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testTranslateToJOfDGEOrDGIOrDGY</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</si>
  <si>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testDiscardOfSCEOrSCIOrSCY() {
    assertEquals("SNS", this.getMetaphone().metaphone("SCIENCE"));
    assertEquals("SN", this.getMetaphone().metaphone("SCENE"));
    assertEquals("S", this.getMetaphone().metaphone("SCY"));
}</t>
  </si>
  <si>
    <t>testDiscardOfSCEOrSCIOrSCY</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</si>
  <si>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testWordEndingInMB() {
    assertEquals("KM", this.getMetaphone().metaphone("COMB"));
    assertEquals("TM", this.getMetaphone().metaphone("TOMB"));
    assertEquals("WM", this.getMetaphone().metaphone("WOMB"));
}</t>
  </si>
  <si>
    <t>testWordEndingInMB</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</si>
  <si>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testSHAndSIOAndSIAToX() {
    assertEquals("XT", this.getMetaphone().metaphone("SHOT"));
    assertEquals("OTXN", this.getMetaphone().metaphone("ODSIAN"));
    assertEquals("PLXN", this.getMetaphone().metaphone("PULSION"));
}</t>
  </si>
  <si>
    <t>testSHAndSIOAndSIAToX</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</si>
  <si>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testDiscardOfSilentHAfterG() {
    assertEquals("KNT", this.getMetaphone().metaphone("GHENT"));
    assertEquals("B", this.getMetaphone().metaphone("BAUGH"));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</si>
  <si>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</si>
  <si>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testDiscardOfSilentHAfterG</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</si>
  <si>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</si>
  <si>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testDiscardOfSilentGN</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</si>
  <si>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testTIOAndTIAToX() {
    assertEquals("OX", this.getMetaphone().metaphone("OTIA"));
    assertEquals("PRXN", this.getMetaphone().metaphone("PORTION"));
}</t>
  </si>
  <si>
    <t>testTIOAndTIAToX</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</si>
  <si>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testTCH() {
    assertEquals("RX", this.getMetaphone().metaphone("RETCH"));
    assertEquals("WX", this.getMetaphone().metaphone("WATCH"));
}</t>
  </si>
  <si>
    <t>testTCH</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</si>
  <si>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</si>
  <si>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</si>
  <si>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testExceedLength</t>
  </si>
  <si>
    <t>[ .getMetaphone]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</si>
  <si>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testWordsWithCIA() {
    assertEquals("XP", this.getMetaphone().metaphone("CIAPO"));
}</t>
  </si>
  <si>
    <t>testWordsWithCIA</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</si>
  <si>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
 * Tests (CODEC-57) Metaphone.metaphone(String) returns an empty string when passed the word "why"
 */
@Test
public void testWhy() {
    // PHP returns "H". The original metaphone returns an empty string.
    assertEquals("", this.getMetaphone().metaphone("WHY"));
}</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</si>
  <si>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testPHTOF() {
    assertEquals("FX", this.getMetaphone().metaphone("PHISH"));
}</t>
  </si>
  <si>
    <t>@Test
public void testWordEndingInMB() {
    assertEquals("KM", this.getMetaphone().metaphone("COMB"));
    assertEquals("TM", this.getMetaphone().metaphone("TOMB"));
    assertEquals("WM", this.getMetaphone().metaphone("WOMB"));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</si>
  <si>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</si>
  <si>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testDiscardOfSCEOrSCIOrSCY() {
    assertEquals("SNS", this.getMetaphone().metaphone("SCIENCE"));
    assertEquals("SN", this.getMetaphone().metaphone("SCENE"));
    assertEquals("S", this.getMetaphone().metaphone("SCY"));
}</t>
  </si>
  <si>
    <t>@Test
public void testWordEndingInMB() {
    assertEquals("KM", this.getMetaphone().metaphone("COMB"));
    assertEquals("TM", this.getMetaphone().metaphone("TOMB"));
    assertEquals("WM", this.getMetaphone().metaphone("WOMB"));
}
@Test
public void testTranslateToJOfDGEOrDGIOrDGY() {
    assertEquals("TJ", this.getMetaphone().metaphone("DODGY"));
    assertEquals("TJ", this.getMetaphone().metaphone("DODGE"));
    assertEquals("AJMT", this.getMetaphone().metaphone("ADGIEMTI"));
}</t>
  </si>
  <si>
    <t>@Test
public void testWordEndingInMB() {
    assertEquals("KM", this.getMetaphone().metaphone("COMB"));
    assertEquals("TM", this.getMetaphone().metaphone("TOMB"));
    assertEquals("WM", this.getMetaphone().metaphone("WOMB"));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</si>
  <si>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</si>
  <si>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</si>
  <si>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</si>
  <si>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testDiscardOfSilentHAfterG() {
    assertEquals("KNT", this.getMetaphone().metaphone("GHENT"));
    assertEquals("B", this.getMetaphone().metaphone("BAUGH"));
}</t>
  </si>
  <si>
    <t>@Test
public void testWordEndingInMB() {
    assertEquals("KM", this.getMetaphone().metaphone("COMB"));
    assertEquals("TM", this.getMetaphone().metaphone("TOMB"));
    assertEquals("WM", this.getMetaphone().metaphone("WOMB"));
}
@Test
public void testTIOAndTIAToX() {
    assertEquals("OX", this.getMetaphone().metaphone("OTIA"));
    assertEquals("PRXN", this.getMetaphone().metaphone("PORTION"));
}</t>
  </si>
  <si>
    <t>@Test
public void testWordEndingInMB() {
    assertEquals("KM", this.getMetaphone().metaphone("COMB"));
    assertEquals("TM", this.getMetaphone().metaphone("TOMB"));
    assertEquals("WM", this.getMetaphone().metaphone("WOMB"));
}
@Test
public void testTCH() {
    assertEquals("RX", this.getMetaphone().metaphone("RETCH"));
    assertEquals("WX", this.getMetaphone().metaphone("WATCH"));
}</t>
  </si>
  <si>
    <t>@Test
public void testWordEndingInMB() {
    assertEquals("KM", this.getMetaphone().metaphone("COMB"));
    assertEquals("TM", this.getMetaphone().metaphone("TOMB"));
    assertEquals("WM", this.getMetaphone().metaphone("WOMB"));
}
@Test
public void testWordsWithCIA() {
    assertEquals("XP", this.getMetaphone().metaphone("CIAPO"));
}</t>
  </si>
  <si>
    <t>[.getMetaphone,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</si>
  <si>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testExceedLength() {
    // should be AKSKS, but istruncated by Max Code Length
    assertEquals("AKSK", this.getMetaphone().metaphone("AXEAXE"));
}</t>
  </si>
  <si>
    <t>@Test
public void testWordEndingInMB() {
    assertEquals("KM", this.getMetaphone().metaphone("COMB"));
    assertEquals("TM", this.getMetaphone().metaphone("TOMB"));
    assertEquals("WM", this.getMetaphone().metaphone("WOMB"));
}
/**
 * Tests (CODEC-57) Metaphone.metaphone(String) returns an empty string when passed the word "why"
 */
@Test
public void testWhy() {
    // PHP returns "H". The original metaphone returns an empty string.
    assertEquals("", this.getMetaphone().metaphone("WHY"));
}</t>
  </si>
  <si>
    <t>@Test
public void testWordEndingInMB() {
    assertEquals("KM", this.getMetaphone().metaphone("COMB"));
    assertEquals("TM", this.getMetaphone().metaphone("TOMB"));
    assertEquals("WM", this.getMetaphone().metaphone("WOMB"));
}
@Test
public void testPHTOF() {
    assertEquals("FX", this.getMetaphone().metaphone("PHISH"));
}</t>
  </si>
  <si>
    <t>@Test
public void testDiscardOfSCEOrSCIOrSCY() {
    assertEquals("SNS", this.getMetaphone().metaphone("SCIENCE"));
    assertEquals("SN", this.getMetaphone().metaphone("SCENE"));
    assertEquals("S", this.getMetaphone().metaphone("SCY"));
}
@Test
public void testTranslateToJOfDGEOrDGIOrDGY() {
    assertEquals("TJ", this.getMetaphone().metaphone("DODGY"));
    assertEquals("TJ", this.getMetaphone().metaphone("DODGE"));
    assertEquals("AJMT", this.getMetaphone().metaphone("ADGIEMTI"));
}</t>
  </si>
  <si>
    <t>@Test
public void testDiscardOfSCEOrSCIOrSCY() {
    assertEquals("SNS", this.getMetaphone().metaphone("SCIENCE"));
    assertEquals("SN", this.getMetaphone().metaphone("SCENE"));
    assertEquals("S", this.getMetaphone().metaphone("SCY"));
}
@Test
public void testSHAndSIOAndSIAToX() {
    assertEquals("XT", this.getMetaphone().metaphone("SHOT"));
    assertEquals("OTXN", this.getMetaphone().metaphone("ODSIAN"));
    assertEquals("PLXN", this.getMetaphone().metaphone("PULSION"));
}</t>
  </si>
  <si>
    <t>@Test
public void testDiscardOfSCEOrSCIOrSCY() {
    assertEquals("SNS", this.getMetaphone().metaphone("SCIENCE"));
    assertEquals("SN", this.getMetaphone().metaphone("SCENE"));
    assertEquals("S", this.getMetaphone().metaphone("SCY"));
}
@Test
public void testTranslateOfSCHAndCH() {
    assertEquals("SKTL", this.getMetaphone().metaphone("SCHEDULE"));
    assertEquals("SKMT", this.getMetaphone().metaphone("SCHEMATIC"));
    assertEquals("KRKT", this.getMetaphone().metaphone("CHARACTER"));
    assertEquals("TX", this.getMetaphone().metaphone("TEACH"));
}</t>
  </si>
  <si>
    <t>@Test
public void testDiscardOfSCEOrSCIOrSCY() {
    assertEquals("SNS", this.getMetaphone().metaphone("SCIENCE"));
    assertEquals("SN", this.getMetaphone().metaphone("SCENE"));
    assertEquals("S", this.getMetaphone().metaphone("SCY"));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</si>
  <si>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testDiscardOfSCEOrSCIOrSCY() {
    assertEquals("SNS", this.getMetaphone().metaphone("SCIENCE"));
    assertEquals("SN", this.getMetaphone().metaphone("SCENE"));
    assertEquals("S", this.getMetaphone().metaphone("SCY"));
}
@Test
public void testDiscardOfSilentHAfterG() {
    assertEquals("KNT", this.getMetaphone().metaphone("GHENT"));
    assertEquals("B", this.getMetaphone().metaphone("BAUGH"));
}</t>
  </si>
  <si>
    <t>@Test
public void testDiscardOfSCEOrSCIOrSCY() {
    assertEquals("SNS", this.getMetaphone().metaphone("SCIENCE"));
    assertEquals("SN", this.getMetaphone().metaphone("SCENE"));
    assertEquals("S", this.getMetaphone().metaphone("SCY"));
}
@Test
public void testTIOAndTIAToX() {
    assertEquals("OX", this.getMetaphone().metaphone("OTIA"));
    assertEquals("PRXN", this.getMetaphone().metaphone("PORTION"));
}</t>
  </si>
  <si>
    <t>@Test
public void testDiscardOfSCEOrSCIOrSCY() {
    assertEquals("SNS", this.getMetaphone().metaphone("SCIENCE"));
    assertEquals("SN", this.getMetaphone().metaphone("SCENE"));
    assertEquals("S", this.getMetaphone().metaphone("SCY"));
}
@Test
public void testTCH() {
    assertEquals("RX", this.getMetaphone().metaphone("RETCH"));
    assertEquals("WX", this.getMetaphone().metaphone("WATCH"));
}</t>
  </si>
  <si>
    <t>@Test
public void testDiscardOfSCEOrSCIOrSCY() {
    assertEquals("SNS", this.getMetaphone().metaphone("SCIENCE"));
    assertEquals("SN", this.getMetaphone().metaphone("SCENE"));
    assertEquals("S", this.getMetaphone().metaphone("SCY"));
}
@Test
public void testExceedLength() {
    // should be AKSKS, but istruncated by Max Code Length
    assertEquals("AKSK", this.getMetaphone().metaphone("AXEAXE"));
}</t>
  </si>
  <si>
    <t>@Test
public void testDiscardOfSCEOrSCIOrSCY() {
    assertEquals("SNS", this.getMetaphone().metaphone("SCIENCE"));
    assertEquals("SN", this.getMetaphone().metaphone("SCENE"));
    assertEquals("S", this.getMetaphone().metaphone("SCY"));
}
@Test
public void testWordsWithCIA() {
    assertEquals("XP", this.getMetaphone().metaphone("CIAPO"));
}</t>
  </si>
  <si>
    <t>@Test
public void testDiscardOfSCEOrSCIOrSCY() {
    assertEquals("SNS", this.getMetaphone().metaphone("SCIENCE"));
    assertEquals("SN", this.getMetaphone().metaphone("SCENE"));
    assertEquals("S", this.getMetaphone().metaphone("SCY"));
}
@Test
public void testPHTOF() {
    assertEquals("FX", this.getMetaphone().metaphone("PHISH"));
}</t>
  </si>
  <si>
    <t>@Test
public void testDiscardOfSCEOrSCIOrSCY() {
    assertEquals("SNS", this.getMetaphone().metaphone("SCIENCE"));
    assertEquals("SN", this.getMetaphone().metaphone("SCENE"));
    assertEquals("S", this.getMetaphone().metaphone("SCY"));
}
/**
 * Tests (CODEC-57) Metaphone.metaphone(String) returns an empty string when passed the word "why"
 */
@Test
public void testWhy() {
    // PHP returns "H". The original metaphone returns an empty string.
    assertEquals("", this.getMetaphone().metaphone("WHY"));
}</t>
  </si>
  <si>
    <t>/**
 * Tests (CODEC-57) Metaphone.metaphone(String) returns an empty string when passed the word "why"
 */
@Test
public void testWhy() {
    // PHP returns "H". The original metaphone returns an empty string.
    assertEquals("", this.getMetaphone().metaphone("WHY"));
}
@Test
public void testPHTOF() {
    assertEquals("FX", this.getMetaphone().metaphone("PHISH"));
}</t>
  </si>
  <si>
    <t>[.getMetaphone,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</si>
  <si>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testWordsWithCIA() {
    assertEquals("XP", this.getMetaphone().metaphone("CIAPO"));
}</t>
  </si>
  <si>
    <t>/**
 * Tests (CODEC-57) Metaphone.metaphone(String) returns an empty string when passed the word "why"
 */
@Test
public void testWhy() {
    // PHP returns "H". The original metaphone returns an empty string.
    assertEquals("", this.getMetaphone().metaphone("WHY"));
}
@Test
public void testExceedLength() {
    // should be AKSKS, but istruncated by Max Code Length
    assertEquals("AKSK", this.getMetaphone().metaphone("AXEAXE"));
}</t>
  </si>
  <si>
    <t>/**
 * Tests (CODEC-57) Metaphone.metaphone(String) returns an empty string when passed the word "why"
 */
@Test
public void testWhy() {
    // PHP returns "H". The original metaphone returns an empty string.
    assertEquals("", this.getMetaphone().metaphone("WHY"));
}
@Test
public void testTCH() {
    assertEquals("RX", this.getMetaphone().metaphone("RETCH"));
    assertEquals("WX", this.getMetaphone().metaphone("WATCH"));
}</t>
  </si>
  <si>
    <t>[.getMetaphone, org/apache/commons/codec2/language/Metaphone.metaphone]
[.getMetaphone,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</si>
  <si>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testTIOAndTIAToX() {
    assertEquals("OX", this.getMetaphone().metaphone("OTIA"));
    assertEquals("PRXN", this.getMetaphone().metaphone("PORTION"));
}</t>
  </si>
  <si>
    <t>/**
 * Tests (CODEC-57) Metaphone.metaphone(String) returns an empty string when passed the word "why"
 */
@Test
public void testWhy() {
    // PHP returns "H". The original metaphone returns an empty string.
    assertEquals("", this.getMetaphone().metaphone("WHY"));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</si>
  <si>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
 * Tests (CODEC-57) Metaphone.metaphone(String) returns an empty string when passed the word "why"
 */
@Test
public void testWhy() {
    // PHP returns "H". The original metaphone returns an empty string.
    assertEquals("", this.getMetaphone().metaphone("WHY"));
}
@Test
public void testDiscardOfSilentHAfterG() {
    assertEquals("KNT", this.getMetaphone().metaphone("GHENT"));
    assertEquals("B", this.getMetaphone().metaphone("BAUGH"));
}</t>
  </si>
  <si>
    <t>/**
 * Tests (CODEC-57) Metaphone.metaphone(String) returns an empty string when passed the word "why"
 */
@Test
public void testWhy() {
    // PHP returns "H". The original metaphone returns an empty string.
    assertEquals("", this.getMetaphone().metaphone("WHY"));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</si>
  <si>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</si>
  <si>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testTranslateToJOfDGEOrDGIOrDGY() {
    assertEquals("TJ", this.getMetaphone().metaphone("DODGY"));
    assertEquals("TJ", this.getMetaphone().metaphone("DODGE"));
    assertEquals("AJMT", this.getMetaphone().metaphone("ADGIEMTI"));
}</t>
  </si>
  <si>
    <t>/**
 * Tests (CODEC-57) Metaphone.metaphone(String) returns an empty string when passed the word "why"
 */
@Test
public void testWhy() {
    // PHP returns "H". The original metaphone returns an empty string.
    assertEquals("", this.getMetaphone().metaphone("WHY"));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</si>
  <si>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</si>
  <si>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testWordsWithCIA() {
    assertEquals("XP", this.getMetaphone().metaphone("CIAPO"));
}
@Test
public void testPHTOF() {
    assertEquals("FX", this.getMetaphone().metaphone("PHISH"));
}</t>
  </si>
  <si>
    <t>@Test
public void testWordsWithCIA() {
    assertEquals("XP", this.getMetaphone().metaphone("CIAPO"));
}
@Test
public void testExceedLength() {
    // should be AKSKS, but istruncated by Max Code Length
    assertEquals("AKSK", this.getMetaphone().metaphone("AXEAXE"));
}</t>
  </si>
  <si>
    <t>@Test
public void testWordsWithCIA() {
    assertEquals("XP", this.getMetaphone().metaphone("CIAPO"));
}
@Test
public void testTCH() {
    assertEquals("RX", this.getMetaphone().metaphone("RETCH"));
    assertEquals("WX", this.getMetaphone().metaphone("WATCH"));
}</t>
  </si>
  <si>
    <t>@Test
public void testWordsWithCIA() {
    assertEquals("XP", this.getMetaphone().metaphone("CIAPO"));
}
@Test
public void testTIOAndTIAToX() {
    assertEquals("OX", this.getMetaphone().metaphone("OTIA"));
    assertEquals("PRXN", this.getMetaphone().metaphone("PORTION"));
}</t>
  </si>
  <si>
    <t>@Test
public void testWordsWithCIA() {
    assertEquals("XP", this.getMetaphone().metaphone("CIAPO"));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</si>
  <si>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testWordsWithCIA() {
    assertEquals("XP", this.getMetaphone().metaphone("CIAPO"));
}
@Test
public void testDiscardOfSilentHAfterG() {
    assertEquals("KNT", this.getMetaphone().metaphone("GHENT"));
    assertEquals("B", this.getMetaphone().metaphone("BAUGH"));
}</t>
  </si>
  <si>
    <t>@Test
public void testWordsWithCIA() {
    assertEquals("XP", this.getMetaphone().metaphone("CIAPO"));
}
@Test
public void testSHAndSIOAndSIAToX() {
    assertEquals("XT", this.getMetaphone().metaphone("SHOT"));
    assertEquals("OTXN", this.getMetaphone().metaphone("ODSIAN"));
    assertEquals("PLXN", this.getMetaphone().metaphone("PULSION"));
}</t>
  </si>
  <si>
    <t>@Test
public void testWordsWithCIA() {
    assertEquals("XP", this.getMetaphone().metaphone("CIAPO"));
}
@Test
public void testTranslateToJOfDGEOrDGIOrDGY() {
    assertEquals("TJ", this.getMetaphone().metaphone("DODGY"));
    assertEquals("TJ", this.getMetaphone().metaphone("DODGE"));
    assertEquals("AJMT", this.getMetaphone().metaphone("ADGIEMTI"));
}</t>
  </si>
  <si>
    <t>@Test
public void testWordsWithCIA() {
    assertEquals("XP", this.getMetaphone().metaphone("CIAPO"));
}
@Test
public void testTranslateOfSCHAndCH() {
    assertEquals("SKTL", this.getMetaphone().metaphone("SCHEDULE"));
    assertEquals("SKMT", this.getMetaphone().metaphone("SCHEMATIC"));
    assertEquals("KRKT", this.getMetaphone().metaphone("CHARACTER"));
    assertEquals("TX", this.getMetaphone().metaphone("TEACH"));
}</t>
  </si>
  <si>
    <t>@Test
public void testTranslateOfSCHAndCH() {
    assertEquals("SKTL", this.getMetaphone().metaphone("SCHEDULE"));
    assertEquals("SKMT", this.getMetaphone().metaphone("SCHEMATIC"));
    assertEquals("KRKT", this.getMetaphone().metaphone("CHARACTER"));
    assertEquals("TX", this.getMetaphone().metaphone("TEACH"));
}
@Test
public void testTranslateToJOfDGEOrDGIOrDGY() {
    assertEquals("TJ", this.getMetaphone().metaphone("DODGY"));
    assertEquals("TJ", this.getMetaphone().metaphone("DODGE"));
    assertEquals("AJMT", this.getMetaphone().metaphone("ADGIEMTI"));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</si>
  <si>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</si>
  <si>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testSHAndSIOAndSIAToX() {
    assertEquals("XT", this.getMetaphone().metaphone("SHOT"));
    assertEquals("OTXN", this.getMetaphone().metaphone("ODSIAN"));
    assertEquals("PLXN", this.getMetaphone().metaphone("PULSION"));
}</t>
  </si>
  <si>
    <t>@Test
public void testTranslateOfSCHAndCH() {
    assertEquals("SKTL", this.getMetaphone().metaphone("SCHEDULE"));
    assertEquals("SKMT", this.getMetaphone().metaphone("SCHEMATIC"));
    assertEquals("KRKT", this.getMetaphone().metaphone("CHARACTER"));
    assertEquals("TX", this.getMetaphone().metaphone("TEACH"));
}
@Test
public void testDiscardOfSilentHAfterG() {
    assertEquals("KNT", this.getMetaphone().metaphone("GHENT"));
    assertEquals("B", this.getMetaphone().metaphone("BAUGH"));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</si>
  <si>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</si>
  <si>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</si>
  <si>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testTranslateOfSCHAndCH() {
    assertEquals("SKTL", this.getMetaphone().metaphone("SCHEDULE"));
    assertEquals("SKMT", this.getMetaphone().metaphone("SCHEMATIC"));
    assertEquals("KRKT", this.getMetaphone().metaphone("CHARACTER"));
    assertEquals("TX", this.getMetaphone().metaphone("TEACH"));
}
@Test
public void testTIOAndTIAToX() {
    assertEquals("OX", this.getMetaphone().metaphone("OTIA"));
    assertEquals("PRXN", this.getMetaphone().metaphone("PORTION"));
}</t>
  </si>
  <si>
    <t>@Test
public void testTranslateOfSCHAndCH() {
    assertEquals("SKTL", this.getMetaphone().metaphone("SCHEDULE"));
    assertEquals("SKMT", this.getMetaphone().metaphone("SCHEMATIC"));
    assertEquals("KRKT", this.getMetaphone().metaphone("CHARACTER"));
    assertEquals("TX", this.getMetaphone().metaphone("TEACH"));
}
@Test
public void testTCH() {
    assertEquals("RX", this.getMetaphone().metaphone("RETCH"));
    assertEquals("WX", this.getMetaphone().metaphone("WATCH"));
}</t>
  </si>
  <si>
    <t>@Test
public void testTranslateOfSCHAndCH() {
    assertEquals("SKTL", this.getMetaphone().metaphone("SCHEDULE"));
    assertEquals("SKMT", this.getMetaphone().metaphone("SCHEMATIC"));
    assertEquals("KRKT", this.getMetaphone().metaphone("CHARACTER"));
    assertEquals("TX", this.getMetaphone().metaphone("TEACH"));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</si>
  <si>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</si>
  <si>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testPHTOF() {
    assertEquals("FX", this.getMetaphone().metaphone("PHISH"));
}</t>
  </si>
  <si>
    <t>@Test
public void testTranslateToJOfDGEOrDGIOrDGY() {
    assertEquals("TJ", this.getMetaphone().metaphone("DODGY"));
    assertEquals("TJ", this.getMetaphone().metaphone("DODGE"));
    assertEquals("AJMT", this.getMetaphone().metaphone("ADGIEMTI"));
}
@Test
public void testSHAndSIOAndSIAToX() {
    assertEquals("XT", this.getMetaphone().metaphone("SHOT"));
    assertEquals("OTXN", this.getMetaphone().metaphone("ODSIAN"));
    assertEquals("PLXN", this.getMetaphone().metaphone("PULSION"));
}</t>
  </si>
  <si>
    <t>@Test
public void testTranslateToJOfDGEOrDGIOrDGY() {
    assertEquals("TJ", this.getMetaphone().metaphone("DODGY"));
    assertEquals("TJ", this.getMetaphone().metaphone("DODGE"));
    assertEquals("AJMT", this.getMetaphone().metaphone("ADGIEMTI"));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</si>
  <si>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testTranslateToJOfDGEOrDGIOrDGY() {
    assertEquals("TJ", this.getMetaphone().metaphone("DODGY"));
    assertEquals("TJ", this.getMetaphone().metaphone("DODGE"));
    assertEquals("AJMT", this.getMetaphone().metaphone("ADGIEMTI"));
}
@Test
public void testDiscardOfSilentHAfterG() {
    assertEquals("KNT", this.getMetaphone().metaphone("GHENT"));
    assertEquals("B", this.getMetaphone().metaphone("BAUGH"));
}</t>
  </si>
  <si>
    <t>@Test
public void testTranslateToJOfDGEOrDGIOrDGY() {
    assertEquals("TJ", this.getMetaphone().metaphone("DODGY"));
    assertEquals("TJ", this.getMetaphone().metaphone("DODGE"));
    assertEquals("AJMT", this.getMetaphone().metaphone("ADGIEMTI"));
}
@Test
public void testTIOAndTIAToX() {
    assertEquals("OX", this.getMetaphone().metaphone("OTIA"));
    assertEquals("PRXN", this.getMetaphone().metaphone("PORTION"));
}</t>
  </si>
  <si>
    <t>@Test
public void testTranslateToJOfDGEOrDGIOrDGY() {
    assertEquals("TJ", this.getMetaphone().metaphone("DODGY"));
    assertEquals("TJ", this.getMetaphone().metaphone("DODGE"));
    assertEquals("AJMT", this.getMetaphone().metaphone("ADGIEMTI"));
}
@Test
public void testTCH() {
    assertEquals("RX", this.getMetaphone().metaphone("RETCH"));
    assertEquals("WX", this.getMetaphone().metaphone("WATCH"));
}</t>
  </si>
  <si>
    <t>@Test
public void testTranslateToJOfDGEOrDGIOrDGY() {
    assertEquals("TJ", this.getMetaphone().metaphone("DODGY"));
    assertEquals("TJ", this.getMetaphone().metaphone("DODGE"));
    assertEquals("AJMT", this.getMetaphone().metaphone("ADGIEMTI"));
}
@Test
public void testExceedLength() {
    // should be AKSKS, but istruncated by Max Code Length
    assertEquals("AKSK", this.getMetaphone().metaphone("AXEAXE"));
}</t>
  </si>
  <si>
    <t>@Test
public void testTranslateToJOfDGEOrDGIOrDGY() {
    assertEquals("TJ", this.getMetaphone().metaphone("DODGY"));
    assertEquals("TJ", this.getMetaphone().metaphone("DODGE"));
    assertEquals("AJMT", this.getMetaphone().metaphone("ADGIEMTI"));
}
@Test
public void testPHTOF() {
    assertEquals("FX", this.getMetaphone().metaphone("PHISH"));
}</t>
  </si>
  <si>
    <t>@Test
public void testDiscardOfSilentHAfterG() {
    assertEquals("KNT", this.getMetaphone().metaphone("GHENT"));
    assertEquals("B", this.getMetaphone().metaphone("BAUGH"));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</si>
  <si>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[.getMetaphone, org/apache/commons/codec2/language/Metaphone.metaphone, .getMetaphone,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</si>
  <si>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testTIOAndTIAToX() {
    assertEquals("OX", this.getMetaphone().metaphone("OTIA"));
    assertEquals("PRXN", this.getMetaphone().metaphone("PORTION"));
}</t>
  </si>
  <si>
    <t>@Test
public void testDiscardOfSilentHAfterG() {
    assertEquals("KNT", this.getMetaphone().metaphone("GHENT"));
    assertEquals("B", this.getMetaphone().metaphone("BAUGH"));
}
@Test
public void testTCH() {
    assertEquals("RX", this.getMetaphone().metaphone("RETCH"));
    assertEquals("WX", this.getMetaphone().metaphone("WATCH"));
}</t>
  </si>
  <si>
    <t>@Test
public void testDiscardOfSilentHAfterG() {
    assertEquals("KNT", this.getMetaphone().metaphone("GHENT"));
    assertEquals("B", this.getMetaphone().metaphone("BAUGH"));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</si>
  <si>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</si>
  <si>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</si>
  <si>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</si>
  <si>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testPHTOF() {
    assertEquals("FX", this.getMetaphone().metaphone("PHISH"));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</si>
  <si>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testTIOAndTIAToX() {
    assertEquals("OX", this.getMetaphone().metaphone("OTIA"));
    assertEquals("PRXN", this.getMetaphone().metaphone("PORTION"));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</si>
  <si>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testTCH() {
    assertEquals("RX", this.getMetaphone().metaphone("RETCH"));
    assertEquals("WX", this.getMetaphone().metaphone("WATCH"));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</si>
  <si>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testSHAndSIOAndSIAToX() {
    assertEquals("XT", this.getMetaphone().metaphone("SHOT"));
    assertEquals("OTXN", this.getMetaphone().metaphone("ODSIAN"));
    assertEquals("PLXN", this.getMetaphone().metaphone("PULSION"));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</si>
  <si>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testExceedLength() {
    // should be AKSKS, but istruncated by Max Code Length
    assertEquals("AKSK", this.getMetaphone().metaphone("AXEAXE"));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</si>
  <si>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testPHTOF() {
    assertEquals("FX", this.getMetaphone().metaphone("PHISH"));
}</t>
  </si>
  <si>
    <t>@Test
public void testPHTOF() {
    assertEquals("FX", this.getMetaphone().metaphone("PHISH"));
}
@Test
public void testExceedLength() {
    // should be AKSKS, but istruncated by Max Code Length
    assertEquals("AKSK", this.getMetaphone().metaphone("AXEAXE"));
}</t>
  </si>
  <si>
    <t>@Test
public void testPHTOF() {
    assertEquals("FX", this.getMetaphone().metaphone("PHISH"));
}
@Test
public void testTCH() {
    assertEquals("RX", this.getMetaphone().metaphone("RETCH"));
    assertEquals("WX", this.getMetaphone().metaphone("WATCH"));
}</t>
  </si>
  <si>
    <t>@Test
public void testPHTOF() {
    assertEquals("FX", this.getMetaphone().metaphone("PHISH"));
}
@Test
public void testTIOAndTIAToX() {
    assertEquals("OX", this.getMetaphone().metaphone("OTIA"));
    assertEquals("PRXN", this.getMetaphone().metaphone("PORTION"));
}</t>
  </si>
  <si>
    <t>@Test
public void testPHTOF() {
    assertEquals("FX", this.getMetaphone().metaphone("PHISH"));
}
@Test
public void testSHAndSIOAndSIAToX() {
    assertEquals("XT", this.getMetaphone().metaphone("SHOT"));
    assertEquals("OTXN", this.getMetaphone().metaphone("ODSIAN"));
    assertEquals("PLXN", this.getMetaphone().metaphone("PULSION"));
}</t>
  </si>
  <si>
    <t>@Test
public void testSHAndSIOAndSIAToX() {
    assertEquals("XT", this.getMetaphone().metaphone("SHOT"));
    assertEquals("OTXN", this.getMetaphone().metaphone("ODSIAN"));
    assertEquals("PLXN", this.getMetaphone().metaphone("PULSION"));
}
@Test
public void testTIOAndTIAToX() {
    assertEquals("OX", this.getMetaphone().metaphone("OTIA"));
    assertEquals("PRXN", this.getMetaphone().metaphone("PORTION"));
}</t>
  </si>
  <si>
    <t>@Test
public void testSHAndSIOAndSIAToX() {
    assertEquals("XT", this.getMetaphone().metaphone("SHOT"));
    assertEquals("OTXN", this.getMetaphone().metaphone("ODSIAN"));
    assertEquals("PLXN", this.getMetaphone().metaphone("PULSION"));
}
@Test
public void testTCH() {
    assertEquals("RX", this.getMetaphone().metaphone("RETCH"));
    assertEquals("WX", this.getMetaphone().metaphone("WATCH"));
}</t>
  </si>
  <si>
    <t>@Test
public void testSHAndSIOAndSIAToX() {
    assertEquals("XT", this.getMetaphone().metaphone("SHOT"));
    assertEquals("OTXN", this.getMetaphone().metaphone("ODSIAN"));
    assertEquals("PLXN", this.getMetaphone().metaphone("PULSION"));
}
@Test
public void testExceedLength() {
    // should be AKSKS, but istruncated by Max Code Length
    assertEquals("AKSK", this.getMetaphone().metaphone("AXEAXE"));
}</t>
  </si>
  <si>
    <t>@Test
public void testTIOAndTIAToX() {
    assertEquals("OX", this.getMetaphone().metaphone("OTIA"));
    assertEquals("PRXN", this.getMetaphone().metaphone("PORTION"));
}
@Test
public void testTCH() {
    assertEquals("RX", this.getMetaphone().metaphone("RETCH"));
    assertEquals("WX", this.getMetaphone().metaphone("WATCH"));
}</t>
  </si>
  <si>
    <t>@Test
public void testTIOAndTIAToX() {
    assertEquals("OX", this.getMetaphone().metaphone("OTIA"));
    assertEquals("PRXN", this.getMetaphone().metaphone("PORTION"));
}
@Test
public void testExceedLength() {
    // should be AKSKS, but istruncated by Max Code Length
    assertEquals("AKSK", this.getMetaphone().metaphone("AXEAXE"));
}</t>
  </si>
  <si>
    <t>@Test
public void testTCH() {
    assertEquals("RX", this.getMetaphone().metaphone("RETCH"));
    assertEquals("WX", this.getMetaphone().metaphone("WATCH"));
}
@Test
public void testExceedLength() {
    // should be AKSKS, but istruncated by Max Code Length
    assertEquals("AKSK", this.getMetaphone().metaphone("AXEAXE"));
}</t>
  </si>
  <si>
    <t>apache.commons.codec2.binary.Base32InputStreamTest</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</si>
  <si>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org.apache.commons.codec2.binary.Base32InputStreamTest.testInputStreamReader(Base32InputStreamTest.java:75)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</si>
  <si>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</si>
  <si>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org/apache/commons/codec2/binary/StringUtils.getBytesUtf8, .testByteByByte, org/apache/commons/codec2/binary/Base32."&lt;init&gt;", org/apache/commons/codec2/binary/Base32TestData.randomData, .testByteByByte]</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</si>
  <si>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</si>
  <si>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[org/apache/commons/codec2/binary/StringUtils.getBytesUtf8, java/io/ByteArrayInputStream."&lt;init&gt;", org/apache/commons/codec2/binary/Base32InputStream."&lt;init&gt;", org/apache/commons/codec2/binary/Base32InputStream.read]
[org/apache/commons/codec2/binary/StringUtils.getBytesUtf8, java/io/ByteArrayInputStream."&lt;init&gt;", org/apache/commons/codec2/binary/Base32InputStream."&lt;init&gt;", org/apache/commons/codec2/binary/Base32InputStream.read]</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</si>
  <si>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</si>
  <si>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[org/apache/commons/codec2/binary/StringUtils.getBytesUtf8, java/io/ByteArrayInputStream."&lt;init&gt;", org/apache/commons/codec2/binary/Base32InputStream."&lt;init&gt;", org/apache/commons/codec2/binary/Base32InputStream.read]
[org/apache/commons/codec2/binary/StringUtils.getBytesUtf8, java/io/ByteArrayInputStream."&lt;init&gt;", org/apache/commons/codec2/binary/Base32InputStream."&lt;init&gt;", org/apache/commons/codec2/binary/Base32InputStream.read, org/apache/commons/codec2/binary/Base32InputStream.read, org/apache/commons/codec2/binary/Base32InputStream.read, org/apache/commons/codec2/binary/Base32InputStream.read]</t>
  </si>
  <si>
    <t>/**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</si>
  <si>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apache.commons.codec2.binary.Base64OutputStreamTest</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</si>
  <si>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</si>
  <si>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</si>
  <si>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org/apache/commons/codec2/binary/Base64OutputStream."&lt;init&gt;", org/apache/commons/codec2/binary/Base64OutputStream.write, org/apache/commons/codec2/binary/Base64OutputStream.write, org/apache/commons/codec2/binary/Base64OutputStream.write, org/apache/commons/codec2/binary/Base64OutputStream.write]
[java/io/ByteArrayOutputStream."&lt;init&gt;", org/apache/commons/codec2/binary/Base64OutputStream."&lt;init&gt;", org/apache/commons/codec2/binary/Base64OutputStream.write]</t>
  </si>
  <si>
    <t>apache.commons.codec2.binary.Base32Test</t>
  </si>
  <si>
    <t>@Test
public void testBase32Samples() throws Exception {
    Base32 codec = new Base32();
    for (String[] element : BASE32_TEST_CASES) {
        assertEquals(element[1], codec.encodeAsString(element[0].getBytes("UTF-8")));
    }
}
@Test
public void testBase32HexSamples() throws Exception {
    Base32 codec = new Base32(true);
    for (String[] element : BASE32HEX_TEST_CASES) {
        assertEquals(element[1], codec.encodeAsString(element[0].getBytes("UTF-8")));
    }
}</t>
  </si>
  <si>
    <t>[org/apache/commons/codec2/binary/Base32."&lt;init&gt;", java/lang/String.getBytes, org/apache/commons/codec2/binary/Base32.encodeAsString]
[org/apache/commons/codec2/binary/Base32."&lt;init&gt;", java/lang/String.getBytes, org/apache/commons/codec2/binary/Base32.encodeAsString]</t>
  </si>
  <si>
    <t>testBase32HexSamples</t>
  </si>
  <si>
    <t>@Test
public void testBase32Samples() throws Exception {
    Base32 codec = new Base32();
    for (String[] element : BASE32_TEST_CASES) {
        assertEquals(element[1], codec.encodeAsString(element[0].getBytes("UTF-8")));
    }
}
@Test
public void testBase32Chunked() throws Exception {
    Base32 codec = new Base32(20);
    for (String[] element : BASE32_TEST_CASES_CHUNKED) {
        assertEquals(element[1], codec.encodeAsString(element[0].getBytes("UTF-8")));
    }
}</t>
  </si>
  <si>
    <t>@Test
public void testBase32HexSamples() throws Exception {
    Base32 codec = new Base32(true);
    for (String[] element : BASE32HEX_TEST_CASES) {
        assertEquals(element[1], codec.encodeAsString(element[0].getBytes("UTF-8")));
    }
}
@Test
public void testBase32Chunked() throws Exception {
    Base32 codec = new Base32(20);
    for (String[] element : BASE32_TEST_CASES_CHUNKED) {
        assertEquals(element[1], codec.encodeAsString(element[0].getBytes("UTF-8")));
    }
}</t>
  </si>
  <si>
    <t>@Test
public void testRandomBytes() {
    for (int i = 0; i &lt; 20; i++) {
        Base32 codec = new Base32();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</si>
  <si>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
[org/apache/commons/codec2/binary/Base32."&lt;init&gt;",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t>
  </si>
  <si>
    <t>@Test
public void testRandomBytes() {
    for (int i = 0; i &lt; 20; i++) {
        Base32 codec = new Base32();
        byte[][] b = Base32TestData.randomData(codec, i);
        assertEquals("" + i + " " + codec.lineLength, b[1].length, codec.getEncodedLength(b[0]));
        //assertEquals(b[0],codec.decode(b[1]));
    }
}
@Test
public void testRandomBytesChunked() {
    for (int i = 0; i &lt; 20; i++) {
        Base32 codec = new Base32(10);
        byte[][] b = Base32TestData.randomData(codec, i);
        assertEquals("" + i + " " + codec.lineLength, b[1].length, codec.getEncodedLength(b[0]));
        //assertEquals(b[0],codec.decode(b[1]));
    }
}</t>
  </si>
  <si>
    <t>@Test
public void testRandomBytesChunked() {
    for (int i = 0; i &lt; 20; i++) {
        Base32 codec = new Base32(10);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</si>
  <si>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</si>
  <si>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</si>
  <si>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</si>
  <si>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</si>
  <si>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testIso8859_1() {
    Assert.assertEquals("ISO-8859-1", CharEncoding.ISO_8859_1);
}
@Test
public void testUtf8() {
    Assert.assertEquals("UTF-8", CharEncoding.UTF_8);
}</t>
  </si>
  <si>
    <t>@Test
public void testIso8859_1() {
    Assert.assertEquals("ISO-8859-1", CharEncoding.ISO_8859_1);
}
@Test
public void testUsAscii() {
    Assert.assertEquals("US-ASCII", CharEncoding.US_ASCII);
}</t>
  </si>
  <si>
    <t>@Test
public void testIso8859_1() {
    Assert.assertEquals("ISO-8859-1", CharEncoding.ISO_8859_1);
}
@Test
public void testUtf16() {
    Assert.assertEquals("UTF-16", CharEncoding.UTF_16);
}</t>
  </si>
  <si>
    <t>@Test
public void testIso8859_1() {
    Assert.assertEquals("ISO-8859-1", CharEncoding.ISO_8859_1);
}
@Test
public void testUtf16Be() {
    Assert.assertEquals("UTF-16BE", CharEncoding.UTF_16BE);
}</t>
  </si>
  <si>
    <t>@Test
public void testIso8859_1() {
    Assert.assertEquals("ISO-8859-1", CharEncoding.ISO_8859_1);
}
@Test
public void testUtf16Le() {
    Assert.assertEquals("UTF-16LE", CharEncoding.UTF_16LE);
}</t>
  </si>
  <si>
    <t>@Test
public void testUsAscii() {
    Assert.assertEquals("US-ASCII", CharEncoding.US_ASCII);
}
@Test
public void testUtf16() {
    Assert.assertEquals("UTF-16", CharEncoding.UTF_16);
}</t>
  </si>
  <si>
    <t>@Test
public void testUsAscii() {
    Assert.assertEquals("US-ASCII", CharEncoding.US_ASCII);
}
@Test
public void testUtf16Be() {
    Assert.assertEquals("UTF-16BE", CharEncoding.UTF_16BE);
}</t>
  </si>
  <si>
    <t>@Test
public void testUsAscii() {
    Assert.assertEquals("US-ASCII", CharEncoding.US_ASCII);
}
@Test
public void testUtf8() {
    Assert.assertEquals("UTF-8", CharEncoding.UTF_8);
}</t>
  </si>
  <si>
    <t>@Test
public void testUsAscii() {
    Assert.assertEquals("US-ASCII", CharEncoding.US_ASCII);
}
@Test
public void testUtf16Le() {
    Assert.assertEquals("UTF-16LE", CharEncoding.UTF_16LE);
}</t>
  </si>
  <si>
    <t>@Test
public void testUtf16() {
    Assert.assertEquals("UTF-16", CharEncoding.UTF_16);
}
@Test
public void testUtf16Be() {
    Assert.assertEquals("UTF-16BE", CharEncoding.UTF_16BE);
}</t>
  </si>
  <si>
    <t>@Test
public void testUtf16() {
    Assert.assertEquals("UTF-16", CharEncoding.UTF_16);
}
@Test
public void testUtf16Le() {
    Assert.assertEquals("UTF-16LE", CharEncoding.UTF_16LE);
}</t>
  </si>
  <si>
    <t>@Test
public void testUtf16() {
    Assert.assertEquals("UTF-16", CharEncoding.UTF_16);
}
@Test
public void testUtf8() {
    Assert.assertEquals("UTF-8", CharEncoding.UTF_8);
}</t>
  </si>
  <si>
    <t>@Test
public void testUtf16Be() {
    Assert.assertEquals("UTF-16BE", CharEncoding.UTF_16BE);
}
@Test
public void testUtf16Le() {
    Assert.assertEquals("UTF-16LE", CharEncoding.UTF_16LE);
}</t>
  </si>
  <si>
    <t>@Test
public void testUtf16Be() {
    Assert.assertEquals("UTF-16BE", CharEncoding.UTF_16BE);
}
@Test
public void testUtf8() {
    Assert.assertEquals("UTF-8", CharEncoding.UTF_8);
}</t>
  </si>
  <si>
    <t>@Test
public void testUtf16Le() {
    Assert.assertEquals("UTF-16LE", CharEncoding.UTF_16LE);
}
@Test
public void testUtf8() {
    Assert.assertEquals("UTF-8", CharEncoding.UTF_8);
}</t>
  </si>
  <si>
    <t>apache.commons.codec2.binary.Base32OutputStreamTest</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</si>
  <si>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testBase32EmptyOutputStream(Base32.MIME_CHUNK_SIZE);
}
/**
 * Test the Base32OutputStream implementation against empty input.
 *
 * @throws Exception
 *             for some failure scenarios.
 */
@Test
public void testBase32EmptyOutputStreamPemChunkSize() throws Exception {
    testBase32EmptyOutputStream(Base32.PEM_CHUNK_SIZE);
}</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</si>
  <si>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</si>
  <si>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</si>
  <si>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org/apache/commons/codec2/binary/Base32."&lt;init&gt;", org/apache/commons/codec2/binary/Base32TestData.randomData, .testByteByByte]</t>
  </si>
  <si>
    <t>testBase32OutputStreamByteByByte</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</si>
  <si>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</si>
  <si>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org/apache/commons/codec2/binary/Base32OutputStream."&lt;init&gt;", org/apache/commons/codec2/binary/Base32OutputStream.write, org/apache/commons/codec2/binary/Base32OutputStream.write, org/apache/commons/codec2/binary/Base32OutputStream.write, org/apache/commons/codec2/binary/Base32OutputStream.write]
[java/io/ByteArrayOutputStream."&lt;init&gt;", org/apache/commons/codec2/binary/Base32OutputStream."&lt;init&gt;", org/apache/commons/codec2/binary/Base32OutputStream.write]</t>
  </si>
  <si>
    <t>apache.commons.codec2.language.ColognePhoneticTest</t>
  </si>
  <si>
    <t>@Test
public void testAabjoe() throws EncoderException {
    this.checkEncoding("01", "Aabjoe");
}
@Test
public void testAaclan() throws EncoderException {
    this.checkEncoding("0856", "Aaclan");
}</t>
  </si>
  <si>
    <t>@Test
public void testAaclan() throws EncoderException {
    this.checkEncoding("0856", "Aaclan");
}
/**
 * Tests [CODEC-122]
 *
 * @throws EncoderException
 */
@Test
public void testAychlmajrForCodec122() throws EncoderException {
    this.checkEncoding("04567", "Aychlmajr");
}</t>
  </si>
  <si>
    <t>testEdgeCases</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</si>
  <si>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t>
  </si>
  <si>
    <t>testExamples</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</si>
  <si>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"65752682" } };
    this.checkEncodings(data);
}</t>
  </si>
  <si>
    <t>@Test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"65752682" } };
    this.checkEncodings(data);
}</t>
  </si>
  <si>
    <t>@Test
public void testVariationsMella() throws EncoderException {
    String[] data = { "mella", "milah", "moulla", "mellah", "muehle", "mule" };
    this.checkEncodingVariations("65", data);
}
@Test
public void testVariationsMeyer() throws EncoderException {
    String[] data = { "Meier", "Maier", "Mair", "Meyer", "Meyr", "Mejer", "Major" };
    this.checkEncodingVariations("67", data);
}</t>
  </si>
  <si>
    <t>apache.commons.codec2.language.SoundexTest</t>
  </si>
  <si>
    <t>testB650</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</si>
  <si>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</si>
  <si>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testEncodeIgnoreHyphens</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</si>
  <si>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</si>
  <si>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testMsSqlServer2</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</si>
  <si>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@Test
public void testEncodeIgnoreApostrophes() throws EncoderException {
    this.checkEncodingVariations("O165", (new String[] { "OBrien", "'OBrien", "O'Brien", "OB'rien", "OBr'ien", "OBri'en", "OBrie'n", "OBrien'" }));
}</t>
  </si>
  <si>
    <t>testEncodeIgnoreApostrophes</t>
  </si>
  <si>
    <t>testBadCharacters</t>
  </si>
  <si>
    <t>@Test
public void testBadCharacters() {
    Assert.assertEquals("H452", this.getSoundexEncoder().encode("HOL&gt;MES"));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</si>
  <si>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[.getSoundexEncoder, org/apache/commons/codec2/language/Soundex.encode]
[.getSoundexEncoder, org/apache/commons/codec2/language/Soundex.encode]</t>
  </si>
  <si>
    <t>testHWRuleEx1</t>
  </si>
  <si>
    <t>@Test
public void testBadCharacters() {
    Assert.assertEquals("H452", this.getSoundexEncoder().encode("HOL&gt;MES"));
}
@Test
public void testEncodeIgnoreTrimmable() {
    Assert.assertEquals("W252", this.getSoundexEncoder().encode(" \t\n\r Washington \t\n\r "));
}</t>
  </si>
  <si>
    <t>testEncodeIgnoreTrimmable</t>
  </si>
  <si>
    <t>@Test
public void testBadCharacters() {
    Assert.assertEquals("H452", this.getSoundexEncoder().encode("HOL&gt;MES"));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</si>
  <si>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[.getSoundexEncoder, org/apache/commons/codec2/language/Soundex.encode]
[.getSoundexEncoder, org/apache/commons/codec2/language/Soundex.encode, .getSoundexEncoder, org/apache/commons/codec2/language/Soundex.encode]</t>
  </si>
  <si>
    <t>testHWRuleEx2</t>
  </si>
  <si>
    <t>[ .getSoundexEncoder]</t>
  </si>
  <si>
    <t>@Test
public void testBadCharacters() {
    Assert.assertEquals("H452", this.getSoundexEncoder().encode("HOL&gt;MES"));
}
/**
 * Examples for MS SQLServer from
 * http://msdn.microsoft.com/library/default.asp?url=/library/en-us/tsqlref/ts_setu-sus_3o6w.asp
 */
@Test
public void testMsSqlServer1() {
    Assert.assertEquals("S530", this.getSoundexEncoder().encode("Smith"));
    Assert.assertEquals("S530", this.getSoundexEncoder().encode("Smythe"));
}</t>
  </si>
  <si>
    <t>testMsSqlServer1</t>
  </si>
  <si>
    <t>@Test
public void testBadCharacters() {
    Assert.assertEquals("H452", this.getSoundexEncoder().encode("HOL&gt;MES"));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</si>
  <si>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</si>
  <si>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testBadCharacters() {
    Assert.assertEquals("H452", this.getSoundexEncoder().encode("HOL&gt;MES"));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</si>
  <si>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</si>
  <si>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testEncodeBatch4</t>
  </si>
  <si>
    <t>@Test
public void testBadCharacters() {
    Assert.assertEquals("H452", this.getSoundexEncoder().encode("HOL&gt;MES"));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</si>
  <si>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</si>
  <si>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testMsSqlServer3</t>
  </si>
  <si>
    <t>@Test
public void testBadCharacters() {
    Assert.assertEquals("H452", this.getSoundexEncoder().encode("HOL&gt;MES"));
}
@Test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</si>
  <si>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</si>
  <si>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testEncodeBasic</t>
  </si>
  <si>
    <t>@Test
public void testBadCharacters() {
    Assert.assertEquals("H452", this.getSoundexEncoder().encode("HOL&gt;MES"));
}
/**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</si>
  <si>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</si>
  <si>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testEncodeBatch2</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</si>
  <si>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</si>
  <si>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</si>
  <si>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</si>
  <si>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</si>
  <si>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</si>
  <si>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</si>
  <si>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</si>
  <si>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</si>
  <si>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</si>
  <si>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</si>
  <si>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</si>
  <si>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</si>
  <si>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</si>
  <si>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</si>
  <si>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</si>
  <si>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</si>
  <si>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</si>
  <si>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</si>
  <si>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</si>
  <si>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</si>
  <si>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</si>
  <si>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</si>
  <si>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</si>
  <si>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</si>
  <si>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</si>
  <si>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</si>
  <si>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</si>
  <si>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</si>
  <si>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</si>
  <si>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</si>
  <si>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</si>
  <si>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</si>
  <si>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</si>
  <si>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</si>
  <si>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</si>
  <si>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</si>
  <si>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</si>
  <si>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</si>
  <si>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</si>
  <si>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</si>
  <si>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</si>
  <si>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</si>
  <si>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</si>
  <si>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</si>
  <si>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@Test
public void testEncodeIgnoreApostrophes() throws EncoderException {
    this.checkEncodingVariations("O165", (new String[] { "OBrien", "'OBrien", "O'Brien", "OB'rien", "OBr'ien", "OBri'en", "OBrie'n", "OBrien'"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</si>
  <si>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
public void testEncodeIgnoreApostrophes() throws EncoderException {
    this.checkEncodingVariations("O165", (new String[] { "OBrien", "'OBrien", "O'Brien", "OB'rien", "OBr'ien", "OBri'en", "OBrie'n", "OBrien'"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</si>
  <si>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</si>
  <si>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@Test
public void testEncodeIgnoreTrimmable() {
    Assert.assertEquals("W252", this.getSoundexEncoder().encode(" \t\n\r Washington \t\n\r "));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</si>
  <si>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@Test
public void testEncodeIgnoreTrimmable() {
    Assert.assertEquals("W252", this.getSoundexEncoder().encode(" \t\n\r Washington \t\n\r "));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</si>
  <si>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@Test
public void testEncodeIgnoreTrimmable() {
    Assert.assertEquals("W252", this.getSoundexEncoder().encode(" \t\n\r Washington \t\n\r "));
}
/**
 * Examples for MS SQLServer from
 * http://msdn.microsoft.com/library/default.asp?url=/library/en-us/tsqlref/ts_setu-sus_3o6w.asp
 */
@Test
public void testMsSqlServer1() {
    Assert.assertEquals("S530", this.getSoundexEncoder().encode("Smith"));
    Assert.assertEquals("S530", this.getSoundexEncoder().encode("Smythe"));
}</t>
  </si>
  <si>
    <t>@Test
public void testEncodeIgnoreTrimmable() {
    Assert.assertEquals("W252", this.getSoundexEncoder().encode(" \t\n\r Washington \t\n\r "));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</si>
  <si>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</si>
  <si>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Examples for MS SQLServer from
 * http://msdn.microsoft.com/library/default.asp?url=/library/en-us/tsqlref/ts_setu-sus_3o6w.asp
 */
@Test
public void testMsSqlServer1() {
    Assert.assertEquals("S530", this.getSoundexEncoder().encode("Smith"));
    Assert.assertEquals("S530", this.getSoundexEncoder().encode("Smythe"));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</si>
  <si>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</si>
  <si>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Consonants from the same code group separated by W or H are treated as one.
 *
 * Test data from http://www.myatt.demon.co.uk/sxalg.htm
 */
@Test
public void testHWRuleEx2() {
    Assert.assertEquals("B312", this.getSoundexEncoder().encode("BOOTHDAVIS"));
    Assert.assertEquals("B312", this.getSoundexEncoder().encode("BOOTH-DAVIS"));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</si>
  <si>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t>
  </si>
  <si>
    <t>/**
 * Consonants from the same code group separated by W or H are treated as one.
 *
 * Test data from http://www.myatt.demon.co.uk/sxalg.htm
 */
@Test
public void testHWRuleEx2() {
    Assert.assertEquals("B312", this.getSoundexEncoder().encode("BOOTHDAVIS"));
    Assert.assertEquals("B312", this.getSoundexEncoder().encode("BOOTH-DAVIS"));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</si>
  <si>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</si>
  <si>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for MS SQLServer from
 * http://msdn.microsoft.com/library/default.asp?url=/library/en-us/tsqlref/ts_setu-sus_3o6w.asp
 */
@Test
public void testMsSqlServer1() {
    Assert.assertEquals("S530", this.getSoundexEncoder().encode("Smith"));
    Assert.assertEquals("S530", this.getSoundexEncoder().encode("Smythe"));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</si>
  <si>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https://issues.apache.org/jira/browse/CODEC-54 https://issues.apache.org/jira/browse/CODEC-56
 */
@Test
public void testNewInstance() {
    Assert.assertEquals("W452", new Soundex().soundex("Williams"));
}
@Test
public void testNewInstance3() {
    Assert.assertEquals("W452", new Soundex(Soundex.US_ENGLISH_MAPPING_STRING).soundex("Williams"));
}</t>
  </si>
  <si>
    <t>[org/apache/commons/codec2/language/Soundex."&lt;init&gt;", org/apache/commons/codec2/language/Soundex.soundex]
[org/apache/commons/codec2/language/Soundex."&lt;init&gt;", org/apache/commons/codec2/language/Soundex.soundex]</t>
  </si>
  <si>
    <t>testUsMappingEWithAcute</t>
  </si>
  <si>
    <t>/**
 * Fancy characters are not mapped by the default US mapping.
 *
 * http://issues.apache.org/bugzilla/show_bug.cgi?id=29080
 */
@Test
public void testUsMappingEWithAcute() {
    Assert.assertEquals("E000", this.getSoundexEncoder().encode("e"));
    if (Character.isLetter('�')) {
        try {
            Assert.assertEquals("�000", this.getSoundexEncoder().encode("�"));
            Assert.fail("Expected IllegalArgumentException not thrown");
        } catch (IllegalArgumentException e) {
            // expected
        }
    } else {
        Assert.assertEquals("", this.getSoundexEncoder().encode("�"));
    }
}
/**
 * Fancy characters are not mapped by the default US mapping.
 *
 * http://issues.apache.org/bugzilla/show_bug.cgi?id=29080
 */
@Test
public void testUsMappingOWithDiaeresis() {
    Assert.assertEquals("O000", this.getSoundexEncoder().encode("o"));
    if (Character.isLetter('�')) {
        try {
            Assert.assertEquals("�000", this.getSoundexEncoder().encode("�"));
            Assert.fail("Expected IllegalArgumentException not thrown");
        } catch (IllegalArgumentException e) {
            // expected
        }
    } else {
        Assert.assertEquals("", this.getSoundexEncoder().encode("�"));
    }
}</t>
  </si>
  <si>
    <t>[.getSoundexEncoder, org/apache/commons/codec2/language/Soundex.encode, java/lang/Character.isLetter, .getSoundexEncoder, org/apache/commons/codec2/language/Soundex.encode, .getSoundexEncoder, org/apache/commons/codec2/language/Soundex.encode]
[.getSoundexEncoder, org/apache/commons/codec2/language/Soundex.encode, java/lang/Character.isLetter, .getSoundexEncoder, org/apache/commons/codec2/language/Soundex.encode, .getSoundexEncoder, org/apache/commons/codec2/language/Soundex.encode]</t>
  </si>
  <si>
    <t>testUsMappingOWithDiaeresis</t>
  </si>
  <si>
    <t>apache.commons.codec2.net.QuotedPrintableCodecTest</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</si>
  <si>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t>
  </si>
  <si>
    <t>[org/apache/commons/codec2/net/QuotedPrintableCodec."&lt;init&gt;", org/apache/commons/codec2/net/QuotedPrintableCodec.encode, org/apache/commons/codec2/net/QuotedPrintableCodec.decode]
[org/apache/commons/codec2/net/QuotedPrintableCodec."&lt;init&gt;", org/apache/commons/codec2/net/QuotedPrintableCodec.encode, org/apache/commons/codec2/net/QuotedPrintableCodec.decode]</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</si>
  <si>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</si>
  <si>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</si>
  <si>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</si>
  <si>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</si>
  <si>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</si>
  <si>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</si>
  <si>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</si>
  <si>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</si>
  <si>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testEncodeDecodeNull() throws Exception {
    QuotedPrintableCodec qpcodec = new QuotedPrintableCodec();
    assertNull("Null string quoted-printable encoding test", qpcodec.encode((String) null));
    assertNull("Null string quoted-printable decoding test", qpcodec.decode((String) null));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</si>
  <si>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testDecodeInvalid</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</si>
  <si>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public void testDecodeStringWithNull() throws Exception {
    QuotedPrintableCodec qpcodec = new QuotedPrintableCodec();
    String test = null;
    String result = qpcodec.decode(test, "charset");
    assertEquals("Result should be null", null, result);
}</t>
  </si>
  <si>
    <t>[org/apache/commons/codec2/net/QuotedPrintableCodec."&lt;init&gt;", org/apache/commons/codec2/net/QuotedPrintableCodec.decode, org/apache/commons/codec2/net/QuotedPrintableCodec.decode, org/apache/commons/codec2/net/QuotedPrintableCodec.decode]
[org/apache/commons/codec2/net/QuotedPrintableCodec."&lt;init&gt;", org/apache/commons/codec2/net/QuotedPrintableCodec.decode]</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</si>
  <si>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</si>
  <si>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testEncodeNull() throws Exception {
    QuotedPrintableCodec qpcodec = new QuotedPrintableCodec();
    byte[] plain = null;
    byte[] encoded = qpcodec.encode(plain);
    assertEquals("Encoding a null string should return null", null, encoded);
}
@Test
public void testEncodeStringWithNull() throws Exception {
    QuotedPrintableCodec qpcodec = new QuotedPrintableCodec();
    String test = null;
    String result = qpcodec.encode(test, "charset");
    assertEquals("Result should be null", null, result);
}</t>
  </si>
  <si>
    <t>[org/apache/commons/codec2/net/QuotedPrintableCodec."&lt;init&gt;", org/apache/commons/codec2/net/QuotedPrintableCodec.encode]
[org/apache/commons/codec2/net/QuotedPrintableCodec."&lt;init&gt;", org/apache/commons/codec2/net/QuotedPrintableCodec.encode]</t>
  </si>
  <si>
    <t>@Test
public void testEncodeNull() throws Exception {
    QuotedPrintableCodec qpcodec = new QuotedPrintableCodec();
    byte[] plain = null;
    byte[] encoded = qpcodec.encode(plain);
    assertEquals("Encoding a null string should return null", null, encoded);
}
@Test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</si>
  <si>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[org/apache/commons/codec2/net/QuotedPrintableCodec."&lt;init&gt;", org/apache/commons/codec2/net/QuotedPrintableCodec.encode]
[org/apache/commons/codec2/net/QuotedPrintableCodec."&lt;init&gt;", org/apache/commons/codec2/net/QuotedPrintableCodec.encode, org/apache/commons/codec2/net/QuotedPrintableCodec.encode, org/apache/commons/codec2/net/QuotedPrintableCodec.encode]</t>
  </si>
  <si>
    <t>@Test
public void testEncodeNull() throws Exception {
    QuotedPrintableCodec qpcodec = new QuotedPrintableCodec();
    byte[] plain = null;
    byte[] encoded = qpcodec.encode(plain);
    assertEquals("Encoding a null string should return null", null, 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</si>
  <si>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testEncodeStringWithNull() throws Exception {
    QuotedPrintableCodec qpcodec = new QuotedPrintableCodec();
    String test = null;
    String result = qpcodec.encode(test, "charset");
    assertEquals("Result should be null", null, result);
}
@Test
public void testDecodeStringWithNull() throws Exception {
    QuotedPrintableCodec qpcodec = new QuotedPrintableCodec();
    String test = null;
    String result = qpcodec.decode(test, "charset");
    assertEquals("Result should be null", null, result);
}</t>
  </si>
  <si>
    <t>[org/apache/commons/codec2/net/QuotedPrintableCodec."&lt;init&gt;", org/apache/commons/codec2/net/QuotedPrintableCodec.encode]
[org/apache/commons/codec2/net/QuotedPrintableCodec."&lt;init&gt;", org/apache/commons/codec2/net/QuotedPrintableCodec.decode]</t>
  </si>
  <si>
    <t>[ org/apache/commons/codec2/net/QuotedPrintableCodec.decode,  org/apache/commons/codec2/net/QuotedPrintableCodec.encode]</t>
  </si>
  <si>
    <t>@Test
public void testEncodeStringWithNull() throws Exception {
    QuotedPrintableCodec qpcodec = new QuotedPrintableCodec();
    String test = null;
    String result = qpcodec.encode(test, "charset");
    assertEquals("Result should be null", null, result);
}
@Test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</si>
  <si>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testEncodeStringWithNull() throws Exception {
    QuotedPrintableCodec qpcodec = new QuotedPrintableCodec();
    String test = null;
    String result = qpcodec.encode(test, "charset");
    assertEquals("Result should be null", null, result);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</si>
  <si>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[org/apache/commons/codec2/net/QuotedPrintableCodec."&lt;init&gt;", org/apache/commons/codec2/net/QuotedPrintableCodec.decode]
[org/apache/commons/codec2/net/QuotedPrintableCodec."&lt;init&gt;", org/apache/commons/codec2/net/QuotedPrintableCodec.decode]</t>
  </si>
  <si>
    <t>@Test
public void testEncodeObjects() throws Exception {
    QuotedPrintableCodec qpcodec = new QuotedPrintableCodec();
    String plain = "1+1 = 2";
    String encoded = (String) qpcodec.encode((Object) plain);
    assertEquals("Basic quoted-printable encoding test", "1+1 =3D 2", encoded);
    byte[] plainBA = plain.getBytes("UTF-8");
    byte[] encodedBA = (byte[]) qpcodec.encode((Object) plainBA);
    encoded = new String(encodedBA);
    assertEquals("Basic quoted-printable encoding test", "1+1 =3D 2", encoded);
    Object result = qpcodec.encode((Object) null);
    assertEquals("Encoding a null Object should return null", null, result);
    try {
        Object dObj = new Double(3.0);
        qpcodec.encode(dObj);
        fail("Trying to url encode a Double object should cause an exception.");
    } catch (EncoderException ee) {
        // Exception expected, test segment passes.
    }
}
@Test
public void testDecodeObjects() throws Exception {
    QuotedPrintableCodec qpcodec = new QuotedPrintableCodec();
    String plain = "1+1 =3D 2";
    String decoded = (String) qpcodec.decode((Object) plain);
    assertEquals("Basic quoted-printable decoding test", "1+1 = 2", decoded);
    byte[] plainBA = plain.getBytes("UTF-8");
    byte[] decodedBA = (byte[]) qpcodec.decode((Object) plainBA);
    decoded = new String(decodedBA);
    assertEquals("Basic quoted-printable decoding test", "1+1 = 2", decoded);
    Object result = qpcodec.decode((Object) null);
    assertEquals("Decoding a null Object should return null", null, result);
    try {
        Object dObj = new Double(3.0);
        qpcodec.decode(dObj);
        fail("Trying to url encode a Double object should cause an exception.");
    } catch (DecoderException ee) {
        // Exception expected, test segment passes.
    }
}</t>
  </si>
  <si>
    <t>[org/apache/commons/codec2/net/QuotedPrintableCodec."&lt;init&gt;", org/apache/commons/codec2/net/QuotedPrintableCodec.encode, java/lang/String.getBytes, org/apache/commons/codec2/net/QuotedPrintableCodec.encode, java/lang/String."&lt;init&gt;", org/apache/commons/codec2/net/QuotedPrintableCodec.encode, java/lang/Double."&lt;init&gt;", org/apache/commons/codec2/net/QuotedPrintableCodec.encode]
[org/apache/commons/codec2/net/QuotedPrintableCodec."&lt;init&gt;", org/apache/commons/codec2/net/QuotedPrintableCodec.decode, java/lang/String.getBytes, org/apache/commons/codec2/net/QuotedPrintableCodec.decode, java/lang/String."&lt;init&gt;", org/apache/commons/codec2/net/QuotedPrintableCodec.decode, java/lang/Double."&lt;init&gt;", org/apache/commons/codec2/net/QuotedPrintableCodec.decode]</t>
  </si>
  <si>
    <t>[org/apache/commons/codec2/net/QuotedPrintableCodec."&lt;init&gt;", org/apache/commons/codec2/net/QuotedPrintableCodec.encode, org/apache/commons/codec2/net/QuotedPrintableCodec.encode, org/apache/commons/codec2/net/QuotedPrintableCodec.encode]
[org/apache/commons/codec2/net/QuotedPrintableCodec."&lt;init&gt;", org/apache/commons/codec2/net/QuotedPrintableCodec.encode]</t>
  </si>
  <si>
    <t>[org/apache/commons/codec2/net/QuotedPrintableCodec."&lt;init&gt;", org/apache/commons/codec2/net/QuotedPrintableCodec.decode]
[org/apache/commons/codec2/net/QuotedPrintableCodec."&lt;init&gt;", org/apache/commons/codec2/net/QuotedPrintableCodec.encode]</t>
  </si>
  <si>
    <t>apache.commons.codec2.net.BCodecTest</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</si>
  <si>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</si>
  <si>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[org/apache/commons/codec2/net/BCodec."&lt;init&gt;", org/apache/commons/codec2/net/BCodec.encode, org/apache/commons/codec2/net/BCodec.decode]
[org/apache/commons/codec2/net/BCodec."&lt;init&gt;", org/apache/commons/codec2/net/BCodec.encode, org/apache/commons/codec2/net/BCodec.decode]</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</si>
  <si>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</si>
  <si>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testEncodeDecodeNull() throws Exception {
    BCodec bcodec = new BCodec();
    assertNull("Null string B encoding test", bcodec.encode((String) null));
    assertNull("Null string B decoding test", bcodec.decode((String) null));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</si>
  <si>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testEncodeStringWithNull() throws Exception {
    BCodec bcodec = new BCodec();
    String test = null;
    String result = bcodec.encode(test, "charset");
    assertEquals("Result should be null", null, result);
}
@Test
public void testDecodeStringWithNull() throws Exception {
    BCodec bcodec = new BCodec();
    String test = null;
    String result = bcodec.decode(test);
    assertEquals("Result should be null", null, result);
}</t>
  </si>
  <si>
    <t>[org/apache/commons/codec2/net/BCodec."&lt;init&gt;", org/apache/commons/codec2/net/BCodec.encode]
[org/apache/commons/codec2/net/BCodec."&lt;init&gt;", org/apache/commons/codec2/net/BCodec.decode]</t>
  </si>
  <si>
    <t>[ org/apache/commons/codec2/net/BCodec.encode,  org/apache/commons/codec2/net/BCodec.decode]</t>
  </si>
  <si>
    <t>@Test
public void testEncodeObjects() throws Exception {
    BCodec bcodec = new BCodec();
    String plain = "what not";
    String encoded = (String) bcodec.encode((Object) plain);
    assertEquals("Basic B encoding test", "=?UTF-8?B?d2hhdCBub3Q=?=", encoded);
    Object result = bcodec.encode((Object) null);
    assertEquals("Encoding a null Object should return null", null, result);
    try {
        Object dObj = new Double(3.0);
        bcodec.encode(dObj);
        fail("Trying to url encode a Double object should cause an exception.");
    } catch (EncoderException ee) {
        // Exception expected, test segment passes.
    }
}
@Test
public void testDecodeObjects() throws Exception {
    BCodec bcodec = new BCodec();
    String decoded = "=?UTF-8?B?d2hhdCBub3Q=?=";
    String plain = (String) bcodec.decode((Object) decoded);
    assertEquals("Basic B decoding test", "what not", plain);
    Object result = bcodec.decode((Object) null);
    assertEquals("Decoding a null Object should return null", null, result);
    try {
        Object dObj = new Double(3.0);
        bcodec.decode(dObj);
        fail("Trying to url encode a Double object should cause an exception.");
    } catch (DecoderException ee) {
        // Exception expected, test segment passes.
    }
}</t>
  </si>
  <si>
    <t>[org/apache/commons/codec2/net/BCodec."&lt;init&gt;", org/apache/commons/codec2/net/BCodec.encode, org/apache/commons/codec2/net/BCodec.encode, java/lang/Double."&lt;init&gt;", org/apache/commons/codec2/net/BCodec.encode]
[org/apache/commons/codec2/net/BCodec."&lt;init&gt;", org/apache/commons/codec2/net/BCodec.decode, org/apache/commons/codec2/net/BCodec.decode, java/lang/Double."&lt;init&gt;", org/apache/commons/codec2/net/BCodec.decode]</t>
  </si>
  <si>
    <t>apache.commons.codec2.binary.Base64InputStreamTest</t>
  </si>
  <si>
    <t>/**
 * Tests the Base64InputStream implementation against empty input.
 *
 * @throws Exception
 *             for some failure scenarios.
 */
@Test
public void testBase64EmptyInputStreamMimeChuckSize() throws Exception {
    testBase64EmptyInputStream(Base64.MIME_CHUNK_SIZE);
}
/**
 * Tests the Base64InputStream implementation against empty input.
 *
 * @throws Exception
 *             for some failure scenarios.
 */
@Test
public void testBase64EmptyInputStreamPemChuckSize() throws Exception {
    testBase64EmptyInputStream(Base64.PEM_CHUNK_SIZE);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</si>
  <si>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Base64.MIME_CHUNK_SIZE, CRLF);
    // Single Byte test.
    encoded = StringUtils.getBytesUtf8("AA==\r\n");
    decoded = new byte[] { (byte) 0 };
    testByChunk(encoded, decoded, Base64.MIME_CHUNK_SIZE, CRLF);
    // OpenSSL interop test.
    encoded = StringUtils.getBytesUtf8(Base64TestData.ENCODED_64_CHARS_PER_LINE);
    decoded = Base64TestData.DECODED;
    testByChunk(encoded, decoded, Base64.PEM_CHUNK_SIZE, LF);
    // Single Line test.
    String singleLine = Base64TestData.ENCODED_64_CHARS_PER_LINE.replaceAll("\n", "");
    encoded = StringUtils.getBytesUtf8(singleLine);
    decoded = Base64TestData.DECODED;
    testByChunk(encoded, decoded, 0, LF);
    // test random data of sizes 0 thru 150
    for (int i = 0; i &lt;= 150; i++) {
        byte[][] randomData = Base64TestData.randomData(i, false);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Base64.MIME_CHUNK_SIZE, CRLF);
    // Single Byte test.
    encoded = StringUtils.getBytesUtf8("AA==\r\n");
    decoded = new byte[] { (byte) 0 };
    testByteByByte(encoded, decoded, Base64.MIME_CHUNK_SIZE, CRLF);
    // OpenSSL interop test.
    encoded = StringUtils.getBytesUtf8(Base64TestData.ENCODED_64_CHARS_PER_LINE);
    decoded = Base64TestData.DECODED;
    testByteByByte(encoded, decoded, Base64.PEM_CHUNK_SIZE, LF);
    // Single Line test.
    String singleLine = Base64TestData.ENCODED_64_CHARS_PER_LINE.replaceAll("\n", "");
    encoded = StringUtils.getBytesUtf8(singleLine);
    decoded = Base64TestData.DECODED;
    testByteByByte(encoded, decoded, 0, LF);
    // test random data of sizes 0 thru 150
    for (int i = 0; i &lt;= 150; i++) {
        byte[][] randomData = Base64TestData.randomData(i, false);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</si>
  <si>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org/apache/commons/codec2/binary/StringUtils.getBytesUtf8, .testByChunk, java/lang/String.replaceAll, org/apache/commons/codec2/binary/StringUtils.getBytesUtf8, .testByChunk, org/apache/commons/codec2/binary/Base64TestData.randomData, .testByChunk]
[org/apache/commons/codec2/binary/StringUtils.getBytesUtf8, org/apache/commons/codec2/binary/StringUtils.getBytesUtf8, .testByteByByte, org/apache/commons/codec2/binary/StringUtils.getBytesUtf8, .testByteByByte, org/apache/commons/codec2/binary/StringUtils.getBytesUtf8, .testByteByByte, java/lang/String.replaceAll, org/apache/commons/codec2/binary/StringUtils.getBytesUtf8, .testByteByByte, org/apache/commons/codec2/binary/Base64TestData.randomData, .testByteByByte]</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</si>
  <si>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</si>
  <si>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</si>
  <si>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</si>
  <si>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 org/apache/commons/codec2/binary/Base64InputStream.read, org/apache/commons/codec2/binary/Base64InputStream.read, org/apache/commons/codec2/binary/Base64InputStream.read]</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</si>
  <si>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</si>
  <si>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apache.commons.codec2.EncoderExceptionTest</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</si>
  <si>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</si>
  <si>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</si>
  <si>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@Test
public void testConstructor0() {
    EncoderException e = new EncoderException();
    assertNull(e.getMessage());
    assertNull(e.getCause());
}
@Test
public void testConstructorStringThrowable() {
    EncoderException e = new EncoderException(MSG, t);
    assertEquals(MSG, e.getMessage());
    assertEquals(t, e.getCause());
}</t>
  </si>
  <si>
    <t>@Test
public void testConstructorString() {
    EncoderException e = new EncoderException(MSG);
    assertEquals(MSG, e.getMessage());
    assertNull(e.getCause());
}
@Test
public void testConstructorStringThrowable() {
    EncoderException e = new EncoderException(MSG, t);
    assertEquals(MSG, e.getMessage());
    assertEquals(t, e.getCause());
}</t>
  </si>
  <si>
    <t>apache.commons.codec.language.DoubleMetaphoneTest</t>
  </si>
  <si>
    <t>d905bc98e372c13c1c43ccc60bfa688bf7531e07</t>
  </si>
  <si>
    <t>[.getDoubleMetaphone, org/apache/commons/codec/language/DoubleMetaphone.isDoubleMetaphoneEqual]
[.getDoubleMetaphone, org/apache/commons/codec/language/DoubleMetaphone.isDoubleMetaphoneEqual]</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</si>
  <si>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</si>
  <si>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</si>
  <si>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[org/apache/commons/codec/net/BCodec."&lt;init&gt;", org/apache/commons/codec/net/BCodec.encode, org/apache/commons/codec/net/BCodec.decode]
[org/apache/commons/codec/net/BCodec."&lt;init&gt;", org/apache/commons/codec/net/BCodec.encode, org/apache/commons/codec/net/BCodec.decode]</t>
  </si>
  <si>
    <t>[org/apache/commons/codec/net/BCodec."&lt;init&gt;", org/apache/commons/codec/net/BCodec.encode]
[org/apache/commons/codec/net/BCodec."&lt;init&gt;", org/apache/commons/codec/net/BCodec.decode]</t>
  </si>
  <si>
    <t>[ org/apache/commons/codec/net/BCodec.encode,  org/apache/commons/codec/net/BCodec.decode]</t>
  </si>
  <si>
    <t>[org/apache/commons/codec/net/BCodec."&lt;init&gt;", org/apache/commons/codec/net/BCodec.encode, org/apache/commons/codec/net/BCodec.encode, java/lang/Double."&lt;init&gt;", org/apache/commons/codec/net/BCodec.encode]
[org/apache/commons/codec/net/BCodec."&lt;init&gt;", org/apache/commons/codec/net/BCodec.decode, org/apache/commons/codec/net/BCodec.decode, java/lang/Double."&lt;init&gt;", org/apache/commons/codec/net/BCodec.decode]</t>
  </si>
  <si>
    <t>apache.commons.codec.net.QCodecTest</t>
  </si>
  <si>
    <t>[org/apache/commons/codec/net/QCodec."&lt;init&gt;", org/apache/commons/codec/net/QCodec.encode, org/apache/commons/codec/net/QCodec.decode]
[org/apache/commons/codec/net/QCodec."&lt;init&gt;", org/apache/commons/codec/net/QCodec.encode, org/apache/commons/codec/net/QCodec.decode]</t>
  </si>
  <si>
    <t>[org/apache/commons/codec/net/QCodec."&lt;init&gt;", org/apache/commons/codec/net/QCodec.encode]
[org/apache/commons/codec/net/QCodec."&lt;init&gt;", org/apache/commons/codec/net/QCodec.decode]</t>
  </si>
  <si>
    <t>[ org/apache/commons/codec/net/QCodec.decode,  org/apache/commons/codec/net/QCodec.encode]</t>
  </si>
  <si>
    <t>[org/apache/commons/codec/net/QCodec."&lt;init&gt;", org/apache/commons/codec/net/QCodec.encode, org/apache/commons/codec/net/QCodec.encode, java/lang/Double."&lt;init&gt;", org/apache/commons/codec/net/QCodec.encode]
[org/apache/commons/codec/net/QCodec."&lt;init&gt;", org/apache/commons/codec/net/QCodec.decode, org/apache/commons/codec/net/QCodec.decode, java/lang/Double."&lt;init&gt;", org/apache/commons/codec/net/QCodec.decode]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</si>
  <si>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</si>
  <si>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</si>
  <si>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</si>
  <si>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</si>
  <si>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</si>
  <si>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</si>
  <si>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</si>
  <si>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</si>
  <si>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</si>
  <si>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</si>
  <si>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</si>
  <si>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</si>
  <si>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</si>
  <si>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</si>
  <si>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</si>
  <si>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</si>
  <si>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t>
  </si>
  <si>
    <t>[org/apache/commons/codec/binary/Hex."&lt;init&gt;", java/lang/String.getBytes, org/apache/commons/codec/binary/Hex.encode, java/lang/StringBuilder."&lt;init&gt;", java/lang/StringBuilder.append, java/lang/Class.getName, java/lang/StringBuilder.append, java/lang/StringBuilder.toString]
[org/apache/commons/codec/binary/Hex."&lt;init&gt;", java/lang/String.getBytes, org/apache/commons/codec/binary/Hex.decode, java/lang/StringBuilder."&lt;init&gt;", java/lang/StringBuilder.append, java/lang/Class.getName, java/lang/StringBuilder.append, java/lang/StringBuilder.toString]</t>
  </si>
  <si>
    <t>[org/apache/commons/codec/binary/Hex."&lt;init&gt;", java/lang/String.getBytes, org/apache/commons/codec/binary/Hex.encode, java/lang/StringBuilder."&lt;init&gt;", java/lang/StringBuilder.append, java/lang/Class.getName, java/lang/StringBuilder.append, java/lang/StringBuilder.toString]
[org/apache/commons/codec/binary/Hex."&lt;init&gt;", org/apache/commons/codec/binary/Hex.encode, java/lang/StringBuilder."&lt;init&gt;", java/lang/StringBuilder.append, java/lang/Class.getName, java/lang/StringBuilder.append, java/lang/StringBuilder.toString]</t>
  </si>
  <si>
    <t>[org/apache/commons/codec/binary/Hex."&lt;init&gt;", org/apache/commons/codec/binary/Hex.decode]
[org/apache/commons/codec/binary/Hex."&lt;init&gt;", org/apache/commons/codec/binary/Hex.encode]</t>
  </si>
  <si>
    <t>[org/apache/commons/codec/binary/Hex.decodeHex, java/util/Arrays.equals, org/apache/commons/codec/binary/Hex."&lt;init&gt;", org/apache/commons/codec/binary/Hex.decode, java/util/Arrays.equals, org/apache/commons/codec/binary/Hex."&lt;init&gt;", org/apache/commons/codec/binary/Hex.decode, java/util/Arrays.equals]
[org/apache/commons/codec/binary/Hex.encodeHex, java/util/Arrays.equals, org/apache/commons/codec/binary/Hex."&lt;init&gt;", org/apache/commons/codec/binary/Hex.encode, java/util/Arrays.equals, org/apache/commons/codec/binary/Hex."&lt;init&gt;", org/apache/commons/codec/binary/Hex.encode, java/util/Arrays.equals]</t>
  </si>
  <si>
    <t>[ org/apache/commons/codec/binary/Hex.decode, org/apache/commons/codec/binary/Hex.decodeHex, org/apache/commons/codec/binary/Hex.encodeHex,  org/apache/commons/codec/binary/Hex.encode]</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</si>
  <si>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</si>
  <si>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t>
  </si>
  <si>
    <t>[org/apache/commons/codec/net/QuotedPrintableCodec."&lt;init&gt;", org/apache/commons/codec/net/QuotedPrintableCodec.decode, org/apache/commons/codec/net/QuotedPrintableCodec.decode, org/apache/commons/codec/net/QuotedPrintableCodec.decode]
[org/apache/commons/codec/net/QuotedPrintableCodec."&lt;init&gt;", org/apache/commons/codec/net/QuotedPrintableCodec.decode]</t>
  </si>
  <si>
    <t>[org/apache/commons/codec/net/QuotedPrintableCodec."&lt;init&gt;", org/apache/commons/codec/net/QuotedPrintableCodec.encode]
[org/apache/commons/codec/net/QuotedPrintableCodec."&lt;init&gt;", org/apache/commons/codec/net/QuotedPrintableCodec.encode, org/apache/commons/codec/net/QuotedPrintableCodec.encode, org/apache/commons/codec/net/QuotedPrintableCodec.encode]</t>
  </si>
  <si>
    <t>[org/apache/commons/codec/net/QuotedPrintableCodec."&lt;init&gt;", org/apache/commons/codec/net/QuotedPrintableCodec.encode]
[org/apache/commons/codec/net/QuotedPrintableCodec."&lt;init&gt;", org/apache/commons/codec/net/QuotedPrintableCodec.decode]</t>
  </si>
  <si>
    <t>[org/apache/commons/codec/net/QuotedPrintableCodec."&lt;init&gt;", org/apache/commons/codec/net/QuotedPrintableCodec.encode, java/lang/String.getBytes, org/apache/commons/codec/net/QuotedPrintableCodec.encode, java/lang/String."&lt;init&gt;", org/apache/commons/codec/net/QuotedPrintableCodec.encode, java/lang/Double."&lt;init&gt;", org/apache/commons/codec/net/QuotedPrintableCodec.encode]
[org/apache/commons/codec/net/QuotedPrintableCodec."&lt;init&gt;", org/apache/commons/codec/net/QuotedPrintableCodec.decode, java/lang/String.getBytes, org/apache/commons/codec/net/QuotedPrintableCodec.decode, java/lang/String."&lt;init&gt;", org/apache/commons/codec/net/QuotedPrintableCodec.decode, java/lang/Double."&lt;init&gt;", org/apache/commons/codec/net/QuotedPrintableCodec.decode]</t>
  </si>
  <si>
    <t>[java/lang/String.getBytes,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</si>
  <si>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</si>
  <si>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</si>
  <si>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</si>
  <si>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</si>
  <si>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</si>
  <si>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</si>
  <si>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</si>
  <si>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</si>
  <si>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t>
  </si>
  <si>
    <t>[org/apache/commons/codec/binary/Base64.encodeBase64,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</si>
  <si>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</si>
  <si>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java/util/Arrays.equals, org/apache/commons/codec/binary/Base64.encodeBase64Chunked,  org/apache/commons/codec/binary/Base64.encodeBase64,  org/apache/commons/codec/binary/Base64.decodeBase64, org/apache/commons/codec/binary/Base64.encodeBase64]</t>
  </si>
  <si>
    <t>[org/apache/commons/codec/binary/Base64.encodeBase64Chunked,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</si>
  <si>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</si>
  <si>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org/apache/commons/codec/binary/Base64.encodeBase64Chunked,  org/apache/commons/codec/binary/Base64.encodeBase64, org/apache/commons/codec/binary/Base64.encodeBase64]</t>
  </si>
  <si>
    <t>[.testGetBytesUnchecked, java/lang/String.getBytes, org/apache/commons/codec/binary/StringUtils.getBytesIso8859_1, java/util/Arrays.equals]
[.testGetBytesUnchecked, java/lang/String.getBytes, org/apache/commons/codec/binary/StringUtils.getBytesUsAscii, java/util/Arrays.equals]</t>
  </si>
  <si>
    <t>[.testGetBytesUnchecked, java/lang/String.getBytes, org/apache/commons/codec/binary/StringUtils.getBytesIso8859_1, java/util/Arrays.equals]
[.testGetBytesUnchecked, java/lang/String.getBytes, org/apache/commons/codec/binary/StringUtils.getBytesUtf8, java/util/Arrays.equals]</t>
  </si>
  <si>
    <t>[.testGetBytesUnchecked, java/lang/String.getBytes, org/apache/commons/codec/binary/StringUtils.getBytesIso8859_1, java/util/Arrays.equals]
[.testGetBytesUnchecked, java/lang/String.getBytes, org/apache/commons/codec/binary/StringUtils.getBytesUtf16Be, java/util/Arrays.equals]</t>
  </si>
  <si>
    <t>[.testGetBytesUnchecked, java/lang/String.getBytes, org/apache/commons/codec/binary/StringUtils.getBytesIso8859_1, java/util/Arrays.equals]
[.testGetBytesUnchecked, java/lang/String.getBytes, org/apache/commons/codec/binary/StringUtils.getBytesUtf16, java/util/Arrays.equals]</t>
  </si>
  <si>
    <t>[.testGetBytesUnchecked, java/lang/String.getBytes, org/apache/commons/codec/binary/StringUtils.getBytesIso8859_1, java/util/Arrays.equals]
[.testGetBytesUnchecked, java/lang/String.getBytes, org/apache/commons/codec/binary/StringUtils.getBytesUtf16Le, java/util/Arrays.equals]</t>
  </si>
  <si>
    <t>[.testGetBytesUnchecked, java/lang/String.getBytes, org/apache/commons/codec/binary/StringUtils.getBytesUsAscii, java/util/Arrays.equals]
[.testGetBytesUnchecked, java/lang/String.getBytes, org/apache/commons/codec/binary/StringUtils.getBytesUtf16Be, java/util/Arrays.equals]</t>
  </si>
  <si>
    <t>[.testGetBytesUnchecked, java/lang/String.getBytes, org/apache/commons/codec/binary/StringUtils.getBytesUsAscii, java/util/Arrays.equals]
[.testGetBytesUnchecked, java/lang/String.getBytes, org/apache/commons/codec/binary/StringUtils.getBytesUtf16, java/util/Arrays.equals]</t>
  </si>
  <si>
    <t>[.testGetBytesUnchecked, java/lang/String.getBytes, org/apache/commons/codec/binary/StringUtils.getBytesUsAscii, java/util/Arrays.equals]
[.testGetBytesUnchecked, java/lang/String.getBytes, org/apache/commons/codec/binary/StringUtils.getBytesUtf16Le, java/util/Arrays.equals]</t>
  </si>
  <si>
    <t>[.testGetBytesUnchecked, java/lang/String.getBytes, org/apache/commons/codec/binary/StringUtils.getBytesUsAscii, java/util/Arrays.equals]
[.testGetBytesUnchecked, java/lang/String.getBytes, org/apache/commons/codec/binary/StringUtils.getBytesUtf8, java/util/Arrays.equals]</t>
  </si>
  <si>
    <t>[.testGetBytesUnchecked, java/lang/String.getBytes, org/apache/commons/codec/binary/StringUtils.getBytesUtf16, java/util/Arrays.equals]
[.testGetBytesUnchecked, java/lang/String.getBytes, org/apache/commons/codec/binary/StringUtils.getBytesUtf16Be, java/util/Arrays.equals]</t>
  </si>
  <si>
    <t>[.testGetBytesUnchecked, java/lang/String.getBytes, org/apache/commons/codec/binary/StringUtils.getBytesUtf16, java/util/Arrays.equals]
[.testGetBytesUnchecked, java/lang/String.getBytes, org/apache/commons/codec/binary/StringUtils.getBytesUtf16Le, java/util/Arrays.equals]</t>
  </si>
  <si>
    <t>[.testGetBytesUnchecked, java/lang/String.getBytes, org/apache/commons/codec/binary/StringUtils.getBytesUtf16, java/util/Arrays.equals]
[.testGetBytesUnchecked, java/lang/String.getBytes, org/apache/commons/codec/binary/StringUtils.getBytesUtf8, java/util/Arrays.equals]</t>
  </si>
  <si>
    <t>[.testGetBytesUnchecked, java/lang/String.getBytes, org/apache/commons/codec/binary/StringUtils.getBytesUtf16Be, java/util/Arrays.equals]
[.testGetBytesUnchecked, java/lang/String.getBytes, org/apache/commons/codec/binary/StringUtils.getBytesUtf16Le, java/util/Arrays.equals]</t>
  </si>
  <si>
    <t>[.testGetBytesUnchecked, java/lang/String.getBytes, org/apache/commons/codec/binary/StringUtils.getBytesUtf16Be, java/util/Arrays.equals]
[.testGetBytesUnchecked, java/lang/String.getBytes, org/apache/commons/codec/binary/StringUtils.getBytesUtf8, java/util/Arrays.equals]</t>
  </si>
  <si>
    <t>[.testGetBytesUnchecked, java/lang/String.getBytes, org/apache/commons/codec/binary/StringUtils.getBytesUtf16Le, java/util/Arrays.equals]
[.testGetBytesUnchecked, java/lang/String.getBytes, org/apache/commons/codec/binary/StringUtils.getBytesUtf8, java/util/Arrays.equals]</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</si>
  <si>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</si>
  <si>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</si>
  <si>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</si>
  <si>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 org/apache/commons/codec/binary/BinaryCodec.toAsciiBytes, org/apache/commons/codec/binary/BinaryCodec.toAsciiBytes, org/apache/commons/codec/binary/BinaryCodec.toAsciiChars,  org/apache/commons/codec/binary/BinaryCodec.toAsciiChars]</t>
  </si>
  <si>
    <t>[org/apache/commons/codec/binary/BinaryCodec.encode]
[org/apache/commons/codec/binary/BinaryCodec.encode]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</si>
  <si>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</si>
  <si>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[org/apache/commons/codec/binary/StringUtils.getBytesUtf8, org/apache/commons/codec/binary/StringUtils.getBytesUtf8, .testByChunk,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org/apache/commons/codec/binary/Base32TestData.randomData, .testByteByByte]</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</si>
  <si>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</si>
  <si>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apache.commons.codec.digest.DigestUtilsTest</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</si>
  <si>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</si>
  <si>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 java/lang/String.length,  org/apache/commons/codec/digest/DigestUtils.md5,  org/apache/commons/codec/digest/DigestUtils.md5Hex]</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</si>
  <si>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</si>
  <si>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org/apache/commons/codec/digest/DigestUtils.shaHex, org/apache/commons/codec/digest/DigestUtils.sha256Hex,  org/apache/commons/codec/digest/DigestUtils.sha256Hex]</t>
  </si>
  <si>
    <t>[org/apache/commons/codec/digest/DigestUtils.sha384Hex, .getBytesUtf8,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[org/apache/commons/codec/digest/DigestUtils.sha512Hex, .getBytesUtf8, org/apache/commons/codec/digest/DigestUtils.sha512Hex, org/apache/commons/codec/digest/DigestUtils.sha512Hex, org/apache/commons/codec/digest/DigestUtils.sha512Hex, java/io/ByteArrayInputStream."&lt;init&gt;", org/apache/commons/codec/digest/DigestUtils.sha512Hex]</t>
  </si>
  <si>
    <t>[org/apache/commons/codec/digest/DigestUtils.sha384Hex,  org/apache/commons/codec/digest/DigestUtils.sha384Hex, org/apache/commons/codec/digest/DigestUtils.sha512Hex,  org/apache/commons/codec/digest/DigestUtils.sha512Hex]</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</si>
  <si>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org/apache/commons/codec/binary/Base64TestData.randomData, .testByteByByte]</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</si>
  <si>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</si>
  <si>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</si>
  <si>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</si>
  <si>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</si>
  <si>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</si>
  <si>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org/apache/commons/codec/Decoder.decode, java/util/Arrays.equals, java/lang/StringBuilder."&lt;init&gt;", java/lang/StringBuilder.append, java/lang/StringBuilder.append, java/lang/StringBuilder.toString]</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</si>
  <si>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</si>
  <si>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</si>
  <si>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</si>
  <si>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</si>
  <si>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</si>
  <si>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org/apache/commons/codec/Decoder.decode,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</si>
  <si>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</si>
  <si>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org/apache/commons/codec/BinaryEncoder.encode,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</si>
  <si>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</si>
  <si>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[.utf8, org/apache/commons/codec/binary/Base64.encodeBase64,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</si>
  <si>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[.utf8, org/apache/commons/codec/binary/Base64.decodeBase64,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</si>
  <si>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[.utf8, org/apache/commons/codec/binary/Base64.decodeBase64,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</si>
  <si>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[.utf8, org/apache/commons/codec/binary/Base64.encodeBase64Chunked,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</si>
  <si>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 org/apache/commons/codec/binary/Base64.encodeBase64Chunked,  .initSTRINGS,  .initCHUNKED_STRINGS,  .initBYTES,  org/apache/commons/codec/binary/Base64.decodeBase64]</t>
  </si>
  <si>
    <t>apache.commons.codec.BinaryEncoderAbstractTest</t>
  </si>
  <si>
    <t>[.makeEncoder, org/apache/commons/codec/BinaryEncoder.encode]
[.makeEncoder, org/apache/commons/codec/BinaryEncoder.encode]</t>
  </si>
  <si>
    <t>[.createGenericApproxEncoder, org/apache/commons/codec/language/bm/BeiderMorseEncoder.encode]
[.createGenericApproxEncoder, org/apache/commons/codec/language/bm/BeiderMorseEncoder.encode]</t>
  </si>
  <si>
    <t>apache.commons.codec.net.URLCodecTest</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</si>
  <si>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</si>
  <si>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</si>
  <si>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</si>
  <si>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[org/apache/commons/codec/net/URLCodec."&lt;init&gt;", org/apache/commons/codec/net/URLCodec.encode, .validateState]
[org/apache/commons/codec/net/URLCodec."&lt;init&gt;", org/apache/commons/codec/net/URLCodec.encode, org/apache/commons/codec/net/URLCodec.encode, org/apache/commons/codec/net/URLCodec.encode, .validateState]</t>
  </si>
  <si>
    <t>[org/apache/commons/codec/net/URLCodec."&lt;init&gt;", org/apache/commons/codec/net/URLCodec.encode]
[org/apache/commons/codec/net/URLCodec."&lt;init&gt;", org/apache/commons/codec/net/URLCodec.decode]</t>
  </si>
  <si>
    <t>[ org/apache/commons/codec/net/URLCodec.decode,  org/apache/commons/codec/net/URLCodec.encode]</t>
  </si>
  <si>
    <t>[org/apache/commons/codec/net/URLCodec."&lt;init&gt;", org/apache/commons/codec/net/URLCodec.encode, java/lang/String.getBytes, org/apache/commons/codec/net/URLCodec.encode, java/lang/String."&lt;init&gt;", org/apache/commons/codec/net/URLCodec.encode, java/lang/Double."&lt;init&gt;", org/apache/commons/codec/net/URLCodec.encode, .validateState]
[org/apache/commons/codec/net/URLCodec."&lt;init&gt;", org/apache/commons/codec/net/URLCodec.decode, java/lang/String.getBytes, org/apache/commons/codec/net/URLCodec.decode, java/lang/String."&lt;init&gt;", org/apache/commons/codec/net/URLCodec.decode, java/lang/Double."&lt;init&gt;", org/apache/commons/codec/net/URLCodec.decode, .validateState]</t>
  </si>
  <si>
    <t>apache.commons.codec.language.SoundexTest</t>
  </si>
  <si>
    <t>[.getSoundexEncoder,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</si>
  <si>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</si>
  <si>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</si>
  <si>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</si>
  <si>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</si>
  <si>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</si>
  <si>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</si>
  <si>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</si>
  <si>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</si>
  <si>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</si>
  <si>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</si>
  <si>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</si>
  <si>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</si>
  <si>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</si>
  <si>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</si>
  <si>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</si>
  <si>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</si>
  <si>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</si>
  <si>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</si>
  <si>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</si>
  <si>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</si>
  <si>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</si>
  <si>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</si>
  <si>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</si>
  <si>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</si>
  <si>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</si>
  <si>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</si>
  <si>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[org/apache/commons/codec/language/Soundex."&lt;init&gt;", org/apache/commons/codec/language/Soundex.soundex]
[org/apache/commons/codec/language/Soundex."&lt;init&gt;", org/apache/commons/codec/language/Soundex.soundex]</t>
  </si>
  <si>
    <t>[.getSoundexEncoder, org/apache/commons/codec/language/Soundex.encode, java/lang/Character.isLetter, .getSoundexEncoder, org/apache/commons/codec/language/Soundex.encode, .getSoundexEncoder, org/apache/commons/codec/language/Soundex.encode]
[.getSoundexEncoder, org/apache/commons/codec/language/Soundex.encode, java/lang/Character.isLetter, .getSoundexEncoder, org/apache/commons/codec/language/Soundex.encode, .getSoundexEncoder, org/apache/commons/codec/language/Soundex.encode]</t>
  </si>
  <si>
    <t>org.apache.commons.codec.binary.Base64OutputStreamTest</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</si>
  <si>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</si>
  <si>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@Test
public void testCodeIntegerEdgeCases() {
    // TODO
}
/**
 * Tests RFC 1421 section 4.3.2.4 chuck size definition.
 */
@Test
public void testRfc1421Section6Dot8ChunkSizeDefinition() {
    assertEquals(64, BaseNCodec.PEM_CHUNK_SIZE);
}</t>
  </si>
  <si>
    <t>@Test
public void testCodeIntegerEdgeCases() {
    // TODO
}
/**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</si>
  <si>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
 * Tests RFC 1421 section 4.3.2.4 chuck size definition.
 */
@Test
public void testRfc1421Section6Dot8ChunkSizeDefinition() {
    assertEquals(64, BaseNCodec.PEM_CHUNK_SIZE);
}</t>
  </si>
  <si>
    <t>org.apache.commons.codec.language.MetaphoneTest</t>
  </si>
  <si>
    <t>/**
 * Tests the Base64InputStream implementation against empty input.
 *
 * @throws Exception
 *             for some failure scenarios.
 */
@Test
public void testBase64EmptyInputStreamMimeChuckSize() throws Exception {
    testBase64EmptyInputStream(BaseNCodec.MIME_CHUNK_SIZE);
}
/**
 * Tests the Base64InputStream implementation against empty input.
 *
 * @throws Exception
 *             for some failure scenarios.
 */
@Test
public void testBase64EmptyInputStreamPemChuckSize() throws Exception {
    testBase64EmptyInputStream(BaseNCodec.PEM_CHUNK_SIZE);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</si>
  <si>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Base64TestData.DECODED;
    testByChunk(encoded, decoded, BaseNCodec.PEM_CHUNK_SIZE, LF);
    // Single Line test.
    String singleLine = Base64TestData.ENCODED_64_CHARS_PER_LINE.replaceAll("\n", "");
    encoded = StringUtils.getBytesUtf8(singleLine);
    decoded = Base64TestData.DECODED;
    testByChunk(encoded, decoded, 0, LF);
    // test random data of sizes 0 thru 150
    for (int i = 0; i &lt;= 150; i++) {
        byte[][] randomData = Base64TestData.randomData(i, false);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Base64TestData.DECODED;
    testByteByByte(encoded, decoded, BaseNCodec.PEM_CHUNK_SIZE, LF);
    // Single Line test.
    String singleLine = Base64TestData.ENCODED_64_CHARS_PER_LINE.replaceAll("\n", "");
    encoded = StringUtils.getBytesUtf8(singleLine);
    decoded = Base64TestData.DECODED;
    testByteByByte(encoded, decoded, 0, LF);
    // test random data of sizes 0 thru 150
    for (int i = 0; i &lt;= 150; i++) {
        byte[][] randomData = Base64TestData.randomData(i, false);
        encoded = randomData[1];
        decoded = randomData[0];
        testByteByByte(encoded, decoded, 0, LF);
    }
}</t>
  </si>
  <si>
    <t>org.apache.commons.codec.language.Caverphone2Test</t>
  </si>
  <si>
    <t>org.apache.commons.codec.language.Caverphone1Test</t>
  </si>
  <si>
    <t>org.apache.commons.codec.language.bm.BeiderMorseEncoderTest</t>
  </si>
  <si>
    <t>org.apache.commons.codec.language.RefinedSoundexTest</t>
  </si>
  <si>
    <t>org.apache.commons.codec.BinaryEncoderAbstractTest</t>
  </si>
  <si>
    <t>org.apache.commons.codec.language.DoubleMetaphone2Test</t>
  </si>
  <si>
    <t>org.apache.commons.codec.binary.BaseNCodecTest</t>
  </si>
  <si>
    <t>org.apache.commons.codec.net.QCodecTest</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</si>
  <si>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testBase32EmptyInputStream(BaseNCodec.MIME_CHUNK_SIZE);
}
/**
 * Tests the Base32InputStream implementation against empty input.
 *
 * @throws Exception
 *             for some failure scenarios.
 */
@Test
public void testBase32EmptyInputStreamPemChuckSize() throws Exception {
    testBase32EmptyInputStream(BaseNCodec.PEM_CHUNK_SIZE);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</si>
  <si>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</si>
  <si>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@Test
public void testCCedilla() {
    // c-cedilla
    assertTrue(this.getDoubleMetaphone().isDoubleMetaphoneEqual("\u00e7", "S"));
}
@Test
public void testNTilde() {
    // n-tilde
    assertTrue(this.getDoubleMetaphone().isDoubleMetaphoneEqual("\u00f1", "N"));
}</t>
  </si>
  <si>
    <t>org.apache.commons.codec.binary.Base32OutputStreamTest</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</si>
  <si>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testBase32EmptyOutputStream(BaseNCodec.MIME_CHUNK_SIZE);
}
/**
 * Test the Base32OutputStream implementation against empty input.
 *
 * @throws Exception
 *             for some failure scenarios.
 */
@Test
public void testBase32EmptyOutputStreamPemChunkSize() throws Exception {
    testBase32EmptyOutputStream(BaseNCodec.PEM_CHUNK_SIZE);
}</t>
  </si>
  <si>
    <t>org.apache.commons.codec.binary.Base64Codec13Test</t>
  </si>
  <si>
    <t>org.apache.commons.codec.binary.StringUtilsTest</t>
  </si>
  <si>
    <t>/**
 * Fancy characters are not mapped by the default US mapping.
 *
 * http://issues.apache.org/bugzilla/show_bug.cgi?id=29080
 */
@Test
public void testUsMappingEWithAcute() {
    Assert.assertEquals("E000", this.getSoundexEncoder().encode("e"));
    if (Character.isLetter('\u00e9')) {
        // e-acute
        try {
            //         uppercase E-acute
            Assert.assertEquals("\u00c9000", this.getSoundexEncoder().encode("\u00e9"));
            Assert.fail("Expected IllegalArgumentException not thrown");
        } catch (IllegalArgumentException e) {
            // expected
        }
    } else {
        Assert.assertEquals("", this.getSoundexEncoder().encode("\u00e9"));
    }
}
/**
 * Fancy characters are not mapped by the default US mapping.
 *
 * http://issues.apache.org/bugzilla/show_bug.cgi?id=29080
 */
@Test
public void testUsMappingOWithDiaeresis() {
    Assert.assertEquals("O000", this.getSoundexEncoder().encode("o"));
    if (Character.isLetter('\u00f6')) {
        // o-umlaut
        try {
            //         uppercase O-umlaut
            Assert.assertEquals("\u00d6000", this.getSoundexEncoder().encode("\u00f6"));
            Assert.fail("Expected IllegalArgumentException not thrown");
        } catch (IllegalArgumentException e) {
            // expected
        }
    } else {
        Assert.assertEquals("", this.getSoundexEncoder().encode("\u00f6"));
    }
}</t>
  </si>
  <si>
    <t>org.apache.commons.codec.EncoderExceptionTest</t>
  </si>
  <si>
    <t>org.apache.commons.codec.binary.BinaryCodecTest</t>
  </si>
  <si>
    <t>org.apache.commons.codec.CharEncodingTest</t>
  </si>
  <si>
    <t>@Test
public void testEdgeCases() throws EncoderException {
    String[][] data = { { "a", "0" }, { "e", "0" }, { "i", "0" }, { "o", "0" }, { "u", "0" }, // a-umlaut
    { "\u00E4", "0" }, // o-umlaut
    { "\u00F6", "0" }, // u-umlaut
    { "\u00FC", "0" }, { "aa", "0" }, { "ha", "0" }, { "h", "" }, { "aha", "0" }, { "b", "1" }, { "p", "1" }, { "ph", "3" }, { "f", "3" }, { "v", "3" }, { "w", "3" }, { "g", "4" }, { "k", "4" }, { "q", "4" }, { "x", "48" }, { "ax", "048" }, { "cx", "48" }, { "l", "5" }, { "cl", "45" }, { "acl", "085" }, { "mn", "6" }, { "r", "7" } };
    this.checkEncodings(data);
}
@Test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t>
  </si>
  <si>
    <t>@Test
public void testEdgeCases() throws EncoderException {
    String[][] data = { { "a", "0" }, { "e", "0" }, { "i", "0" }, { "o", "0" }, { "u", "0" }, // a-umlaut
    { "\u00E4", "0" }, // o-umlaut
    { "\u00F6", "0" }, // u-umlaut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 "M\u00fcller-L\u00fcdenscheidt", "65752682" } };
    this.checkEncodings(data);
}</t>
  </si>
  <si>
    <t>@Test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 "M\u00fcller-L\u00fcdenscheidt", "65752682" } };
    this.checkEncodings(data);
}</t>
  </si>
  <si>
    <t>org.apache.commons.codec.net.URLCodecTest</t>
  </si>
  <si>
    <t>034c04194dba4a3d8b7282940f3f99ade6bf9a95</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</si>
  <si>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</si>
  <si>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testSkipToEnd</t>
  </si>
  <si>
    <t>[[testSkipNone, testSkipPastEnd, testSkipToEnd]]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</si>
  <si>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</si>
  <si>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testSkipPastEnd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</si>
  <si>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</si>
  <si>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21015931d11bae2a37e390ff70ae55606a692ac1</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</si>
  <si>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</si>
  <si>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</si>
  <si>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</si>
  <si>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</si>
  <si>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</si>
  <si>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[[testSkipNotEncodedCRLF, testTrailingSpecial, testUltimateSoftBreak, testFinalBytes]]</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</si>
  <si>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</si>
  <si>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</si>
  <si>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</si>
  <si>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</si>
  <si>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testOthers()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 Others
    new String[] { "O'Daniel", "ODANAL" }, new String[] { "O'Donnel", "ODANAL" }, new String[] { "Cory", "CARY" }, new String[] { "Corey", "CARY" }, new String[] { "Kory", "CARY" }, //
    new String[] { "FUZZY", "FASY" });
    for (String[] arr : testValues) {
        Assert.assertEquals("Problem with " + arr[0], arr[1], createStringEncoder(false).encode(arr[0]));
    }
}</t>
  </si>
  <si>
    <t>testOthers</t>
  </si>
  <si>
    <t>testBran</t>
  </si>
  <si>
    <t>@Test
public void testBran() throws EncoderException {
    encodeAll(new String[] { "Brian", "Brown", "Brun" }, "BRAN");
}
@Test
public void testDan() throws EncoderException {
    this.encodeAll(new String[] { "Dane", "Dean", "Dionne" }, "DAN");
}</t>
  </si>
  <si>
    <t>[.encodeAll]
[.encodeAll]</t>
  </si>
  <si>
    <t>testDan</t>
  </si>
  <si>
    <t>@Test
public void testBran() throws EncoderException {
    encodeAll(new String[] { "Brian", "Brown", "Brun" }, "BRAN");
}
@Test
public void testCap() throws EncoderException {
    this.encodeAll(new String[] { "Capp", "Cope", "Copp", "Kipp" }, "CAP");
}</t>
  </si>
  <si>
    <t>@Test
public void testBran() throws EncoderException {
    encodeAll(new String[] { "Brian", "Brown", "Brun" }, "BRAN");
}
@Test
public void testTranan() throws EncoderException {
    this.encodeAll(new String[] { "Trueman", "Truman" }, "TRANAN");
}</t>
  </si>
  <si>
    <t>testTranan</t>
  </si>
  <si>
    <t>@Test
public void testBran() throws EncoderException {
    encodeAll(new String[] { "Brian", "Brown", "Brun" }, "BRAN");
}
@Test
public void testSnat() throws EncoderException {
    this.encodeAll(new String[] { "Smith", "Schmit" }, "SNAT");
}</t>
  </si>
  <si>
    <t>testSnat</t>
  </si>
  <si>
    <t>@Test
public void testBran() throws EncoderException {
    encodeAll(new String[] { "Brian", "Brown", "Brun" }, "BRAN");
}
@Test
public void testDad() throws EncoderException {
    // Data Quality and Record Linkage Techniques P.121 claims this is DAN,
    // but it should be DAD, verified also with dropby.com
    this.encodeAll(new String[] { "Dent" }, "DAD");
}</t>
  </si>
  <si>
    <t>testDad</t>
  </si>
  <si>
    <t>@Test
public void testBran() throws EncoderException {
    encodeAll(new String[] { "Brian", "Brown", "Brun" }, "BRAN");
}
@Test
public void testSnad() throws EncoderException {
    // Data Quality and Record Linkage Techniques P.121 claims this is SNAT,
    // but it should be SNAD
    this.encodeAll(new String[] { "Schmidt" }, "SNAD");
}</t>
  </si>
  <si>
    <t>testSnad</t>
  </si>
  <si>
    <t>@Test
public void testBran() throws EncoderException {
    encodeAll(new String[] { "Brian", "Brown", "Brun" }, "BRAN");
}
@Test
public void testFal() throws EncoderException {
    this.encodeAll(new String[] { "Phil" }, "FAL");
}</t>
  </si>
  <si>
    <t>testFal</t>
  </si>
  <si>
    <t>@Test
public void testCap() throws EncoderException {
    this.encodeAll(new String[] { "Capp", "Cope", "Copp", "Kipp" }, "CAP");
}
@Test
public void testDan() throws EncoderException {
    this.encodeAll(new String[] { "Dane", "Dean", "Dionne" }, "DAN");
}</t>
  </si>
  <si>
    <t>@Test
public void testCap() throws EncoderException {
    this.encodeAll(new String[] { "Capp", "Cope", "Copp", "Kipp" }, "CAP");
}
@Test
public void testSnat() throws EncoderException {
    this.encodeAll(new String[] { "Smith", "Schmit" }, "SNAT");
}</t>
  </si>
  <si>
    <t>@Test
public void testCap() throws EncoderException {
    this.encodeAll(new String[] { "Capp", "Cope", "Copp", "Kipp" }, "CAP");
}
@Test
public void testTranan() throws EncoderException {
    this.encodeAll(new String[] { "Trueman", "Truman" }, "TRANAN");
}</t>
  </si>
  <si>
    <t>@Test
public void testCap() throws EncoderException {
    this.encodeAll(new String[] { "Capp", "Cope", "Copp", "Kipp" }, "CAP");
}
@Test
public void testDad() throws EncoderException {
    // Data Quality and Record Linkage Techniques P.121 claims this is DAN,
    // but it should be DAD, verified also with dropby.com
    this.encodeAll(new String[] { "Dent" }, "DAD");
}</t>
  </si>
  <si>
    <t>@Test
public void testCap() throws EncoderException {
    this.encodeAll(new String[] { "Capp", "Cope", "Copp", "Kipp" }, "CAP");
}
@Test
public void testFal() throws EncoderException {
    this.encodeAll(new String[] { "Phil" }, "FAL");
}</t>
  </si>
  <si>
    <t>@Test
public void testCap() throws EncoderException {
    this.encodeAll(new String[] { "Capp", "Cope", "Copp", "Kipp" }, "CAP");
}
@Test
public void testSnad() throws EncoderException {
    // Data Quality and Record Linkage Techniques P.121 claims this is SNAT,
    // but it should be SNAD
    this.encodeAll(new String[] { "Schmidt" }, "SNAD");
}</t>
  </si>
  <si>
    <t>@Test
public void testDan() throws EncoderException {
    this.encodeAll(new String[] { "Dane", "Dean", "Dionne" }, "DAN");
}
@Test
public void testSnat() throws EncoderException {
    this.encodeAll(new String[] { "Smith", "Schmit" }, "SNAT");
}</t>
  </si>
  <si>
    <t>@Test
public void testDan() throws EncoderException {
    this.encodeAll(new String[] { "Dane", "Dean", "Dionne" }, "DAN");
}
@Test
public void testTranan() throws EncoderException {
    this.encodeAll(new String[] { "Trueman", "Truman" }, "TRANAN");
}</t>
  </si>
  <si>
    <t>@Test
public void testDan() throws EncoderException {
    this.encodeAll(new String[] { "Dane", "Dean", "Dionne" }, "DAN");
}
@Test
public void testDad() throws EncoderException {
    // Data Quality and Record Linkage Techniques P.121 claims this is DAN,
    // but it should be DAD, verified also with dropby.com
    this.encodeAll(new String[] { "Dent" }, "DAD");
}</t>
  </si>
  <si>
    <t>@Test
public void testDan() throws EncoderException {
    this.encodeAll(new String[] { "Dane", "Dean", "Dionne" }, "DAN");
}
@Test
public void testFal() throws EncoderException {
    this.encodeAll(new String[] { "Phil" }, "FAL");
}</t>
  </si>
  <si>
    <t>@Test
public void testDan() throws EncoderException {
    this.encodeAll(new String[] { "Dane", "Dean", "Dionne" }, "DAN");
}
@Test
public void testSnad() throws EncoderException {
    // Data Quality and Record Linkage Techniques P.121 claims this is SNAT,
    // but it should be SNAD
    this.encodeAll(new String[] { "Schmidt" }, "SNAD");
}</t>
  </si>
  <si>
    <t>@Test
public void testDad() throws EncoderException {
    // Data Quality and Record Linkage Techniques P.121 claims this is DAN,
    // but it should be DAD, verified also with dropby.com
    this.encodeAll(new String[] { "Dent" }, "DAD");
}
@Test
public void testSnad() throws EncoderException {
    // Data Quality and Record Linkage Techniques P.121 claims this is SNAT,
    // but it should be SNAD
    this.encodeAll(new String[] { "Schmidt" }, "SNAD");
}</t>
  </si>
  <si>
    <t>@Test
public void testDad() throws EncoderException {
    // Data Quality and Record Linkage Techniques P.121 claims this is DAN,
    // but it should be DAD, verified also with dropby.com
    this.encodeAll(new String[] { "Dent" }, "DAD");
}
@Test
public void testFal() throws EncoderException {
    this.encodeAll(new String[] { "Phil" }, "FAL");
}</t>
  </si>
  <si>
    <t>@Test
public void testDad() throws EncoderException {
    // Data Quality and Record Linkage Techniques P.121 claims this is DAN,
    // but it should be DAD, verified also with dropby.com
    this.encodeAll(new String[] { "Dent" }, "DAD");
}
@Test
public void testSnat() throws EncoderException {
    this.encodeAll(new String[] { "Smith", "Schmit" }, "SNAT");
}</t>
  </si>
  <si>
    <t>@Test
public void testDad() throws EncoderException {
    // Data Quality and Record Linkage Techniques P.121 claims this is DAN,
    // but it should be DAD, verified also with dropby.com
    this.encodeAll(new String[] { "Dent" }, "DAD");
}
@Test
public void testTranan() throws EncoderException {
    this.encodeAll(new String[] { "Trueman", "Truman" }, "TRANAN");
}</t>
  </si>
  <si>
    <t>@Test
public void testSnat() throws EncoderException {
    this.encodeAll(new String[] { "Smith", "Schmit" }, "SNAT");
}
@Test
public void testTranan() throws EncoderException {
    this.encodeAll(new String[] { "Trueman", "Truman" }, "TRANAN");
}</t>
  </si>
  <si>
    <t>@Test
public void testSnat() throws EncoderException {
    this.encodeAll(new String[] { "Smith", "Schmit" }, "SNAT");
}
@Test
public void testSnad() throws EncoderException {
    // Data Quality and Record Linkage Techniques P.121 claims this is SNAT,
    // but it should be SNAD
    this.encodeAll(new String[] { "Schmidt" }, "SNAD");
}</t>
  </si>
  <si>
    <t>@Test
public void testSnat() throws EncoderException {
    this.encodeAll(new String[] { "Smith", "Schmit" }, "SNAT");
}
@Test
public void testFal() throws EncoderException {
    this.encodeAll(new String[] { "Phil" }, "FAL");
}</t>
  </si>
  <si>
    <t>@Test
public void testSnad() throws EncoderException {
    // Data Quality and Record Linkage Techniques P.121 claims this is SNAT,
    // but it should be SNAD
    this.encodeAll(new String[] { "Schmidt" }, "SNAD");
}
@Test
public void testFal() throws EncoderException {
    this.encodeAll(new String[] { "Phil" }, "FAL");
}</t>
  </si>
  <si>
    <t>@Test
public void testSnad() throws EncoderException {
    // Data Quality and Record Linkage Techniques P.121 claims this is SNAT,
    // but it should be SNAD
    this.encodeAll(new String[] { "Schmidt" }, "SNAD");
}
@Test
public void testTranan() throws EncoderException {
    this.encodeAll(new String[] { "Trueman", "Truman" }, "TRANAN");
}</t>
  </si>
  <si>
    <t>@Test
public void testFal() throws EncoderException {
    this.encodeAll(new String[] { "Phil" }, "FAL");
}
@Test
public void testTranan() throws EncoderException {
    this.encodeAll(new String[] { "Trueman", "Truman" }, "TRANAN");
}</t>
  </si>
  <si>
    <t>9869cfec93717e4a74433b5b954903a87e6e0868</t>
  </si>
  <si>
    <t>28cb227f3b335fd11422e0579ed715624f6ed670</t>
  </si>
  <si>
    <t>testRule1</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</si>
  <si>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</si>
  <si>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</si>
  <si>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[[testRule1, testRule2, testRule4Dot1, testRule5, testRule6, testRule7]]</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</si>
  <si>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</si>
  <si>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</si>
  <si>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</si>
  <si>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</si>
  <si>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</si>
  <si>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</si>
  <si>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</si>
  <si>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</si>
  <si>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</si>
  <si>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</si>
  <si>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</si>
  <si>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</si>
  <si>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</si>
  <si>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</si>
  <si>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</si>
  <si>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</si>
  <si>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</si>
  <si>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</si>
  <si>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</si>
  <si>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</si>
  <si>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</si>
  <si>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</si>
  <si>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 org/apache/commons/codec/binary/Base32InputStream.read]</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</si>
  <si>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</si>
  <si>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</si>
  <si>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org/apache/commons/codec/binary/Base64InputStream.available]</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</si>
  <si>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</si>
  <si>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 org/apache/commons/codec/binary/Base64InputStream.read]</t>
  </si>
  <si>
    <t>org.apache.commons.codec.CharsetsTest</t>
  </si>
  <si>
    <t>453c56cff0dbbc0ecefaa7f20b8df6d11d6d12ec</t>
  </si>
  <si>
    <t>@Test
public void testIso8859_1() {
    Assert.assertEquals("ISO-8859-1", Charsets.ISO_8859_1.name());
}
@Test
public void testUtf8() {
    Assert.assertEquals("UTF-8", Charsets.UTF_8.name());
}</t>
  </si>
  <si>
    <t>[java/nio/charset/Charset.name]
[java/nio/charset/Charset.name]</t>
  </si>
  <si>
    <t>@Test
public void testIso8859_1() {
    Assert.assertEquals("ISO-8859-1", Charsets.ISO_8859_1.name());
}
@Test
public void testUsAscii() {
    Assert.assertEquals("US-ASCII", Charsets.US_ASCII.name());
}</t>
  </si>
  <si>
    <t>@Test
public void testIso8859_1() {
    Assert.assertEquals("ISO-8859-1", Charsets.ISO_8859_1.name());
}
@Test
public void testUtf16() {
    Assert.assertEquals("UTF-16", Charsets.UTF_16.name());
}</t>
  </si>
  <si>
    <t>@Test
public void testIso8859_1() {
    Assert.assertEquals("ISO-8859-1", Charsets.ISO_8859_1.name());
}
@Test
public void testUtf16Be() {
    Assert.assertEquals("UTF-16BE", Charsets.UTF_16BE.name());
}</t>
  </si>
  <si>
    <t>@Test
public void testIso8859_1() {
    Assert.assertEquals("ISO-8859-1", Charsets.ISO_8859_1.name());
}
@Test
public void testUtf16Le() {
    Assert.assertEquals("UTF-16LE", Charsets.UTF_16LE.name());
}</t>
  </si>
  <si>
    <t>@Test
public void testUsAscii() {
    Assert.assertEquals("US-ASCII", Charsets.US_ASCII.name());
}
@Test
public void testUtf16() {
    Assert.assertEquals("UTF-16", Charsets.UTF_16.name());
}</t>
  </si>
  <si>
    <t>@Test
public void testUsAscii() {
    Assert.assertEquals("US-ASCII", Charsets.US_ASCII.name());
}
@Test
public void testUtf16Be() {
    Assert.assertEquals("UTF-16BE", Charsets.UTF_16BE.name());
}</t>
  </si>
  <si>
    <t>@Test
public void testUsAscii() {
    Assert.assertEquals("US-ASCII", Charsets.US_ASCII.name());
}
@Test
public void testUtf8() {
    Assert.assertEquals("UTF-8", Charsets.UTF_8.name());
}</t>
  </si>
  <si>
    <t>@Test
public void testUsAscii() {
    Assert.assertEquals("US-ASCII", Charsets.US_ASCII.name());
}
@Test
public void testUtf16Le() {
    Assert.assertEquals("UTF-16LE", Charsets.UTF_16LE.name());
}</t>
  </si>
  <si>
    <t>@Test
public void testUtf16() {
    Assert.assertEquals("UTF-16", Charsets.UTF_16.name());
}
@Test
public void testUtf16Be() {
    Assert.assertEquals("UTF-16BE", Charsets.UTF_16BE.name());
}</t>
  </si>
  <si>
    <t>@Test
public void testUtf16() {
    Assert.assertEquals("UTF-16", Charsets.UTF_16.name());
}
@Test
public void testUtf16Le() {
    Assert.assertEquals("UTF-16LE", Charsets.UTF_16LE.name());
}</t>
  </si>
  <si>
    <t>@Test
public void testUtf16() {
    Assert.assertEquals("UTF-16", Charsets.UTF_16.name());
}
@Test
public void testUtf8() {
    Assert.assertEquals("UTF-8", Charsets.UTF_8.name());
}</t>
  </si>
  <si>
    <t>@Test
public void testUtf16Be() {
    Assert.assertEquals("UTF-16BE", Charsets.UTF_16BE.name());
}
@Test
public void testUtf16Le() {
    Assert.assertEquals("UTF-16LE", Charsets.UTF_16LE.name());
}</t>
  </si>
  <si>
    <t>@Test
public void testUtf16Be() {
    Assert.assertEquals("UTF-16BE", Charsets.UTF_16BE.name());
}
@Test
public void testUtf8() {
    Assert.assertEquals("UTF-8", Charsets.UTF_8.name());
}</t>
  </si>
  <si>
    <t>@Test
public void testUtf16Le() {
    Assert.assertEquals("UTF-16LE", Charsets.UTF_16LE.name());
}
@Test
public void testUtf8() {
    Assert.assertEquals("UTF-8", Charsets.UTF_8.name());
}</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</si>
  <si>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</si>
  <si>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</si>
  <si>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IllegalArgumentException.class)
public void testUnixCryptWithEmptySalt() throws Exception {
    UnixCrypt.crypt("secret", "");
}</t>
  </si>
  <si>
    <t>/**
 * Unimplemented "$foo$" salt prefixes would be threated as UnixCrypt salt.
 */
@Test(expected = IllegalArgumentException.class)
public void testUnicCryptInvalidSalt() throws Exception {
    UnixCrypt.crypt("secret", "$a");
}
@Test(expected = NullPointerException.class)
public void testUnixCryptNullData() {
    UnixCrypt.crypt((byte[]) null);
}</t>
  </si>
  <si>
    <t>testUnixCryptNullData</t>
  </si>
  <si>
    <t>@Test(expected = NullPointerException.class)
public void testUnixCryptNullData() {
    UnixCrypt.crypt((byte[]) null);
}
@Test(expected = IllegalArgumentException.class)
public void testUnixCryptWithEmptySalt() throws Exception {
    UnixCrypt.crypt("secret", "");
}</t>
  </si>
  <si>
    <t>org.apache.commons.codec.digest.Apr1CryptTest</t>
  </si>
  <si>
    <t>testApr1CryptStrings</t>
  </si>
  <si>
    <t>@Test
public void testApr1CryptStrings() throws Exception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throws Exception {
    Md5Crypt.apr1Crypt((byte[]) null);
}</t>
  </si>
  <si>
    <t>[org/apache/commons/codec/digest/Md5Crypt.apr1Crypt,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t>
  </si>
  <si>
    <t>testApr1CryptNullData</t>
  </si>
  <si>
    <t>[ org/apache/commons/codec/digest/Md5Crypt.apr1Crypt]</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</si>
  <si>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</si>
  <si>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</si>
  <si>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</si>
  <si>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</si>
  <si>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</si>
  <si>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</si>
  <si>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00530c91c80b6b926beb5b6f9c11127403407543</t>
  </si>
  <si>
    <t>testUpdateWithByteArray</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</si>
  <si>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</si>
  <si>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</si>
  <si>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testUpdateWithString</t>
  </si>
  <si>
    <t>[[testUpdateWithByteArray, testUpdateWithString]]</t>
  </si>
  <si>
    <t>[ java/lang/String.getBytes,  org/apache/commons/codec/binary/StringUtils.getBytesUtf8]</t>
  </si>
  <si>
    <t>2cb3bbda5a0c09bdb4da5533df4ef7061c1c8125</t>
  </si>
  <si>
    <t>testSolrGENERIC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</si>
  <si>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</si>
  <si>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</si>
  <si>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testSolrSEPHARDIC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</si>
  <si>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</si>
  <si>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</si>
  <si>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</si>
  <si>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testApr1LongSalt</t>
  </si>
  <si>
    <t>@Test
public void testApr1LongSalt() {
    assertEquals("$apr1$12345678$0lqb/6VUFP8JY/s/jTrIk0", Md5Crypt.apr1Crypt("secret", "12345678901234567890"));
}
@Test(expected = IllegalArgumentException.class)
public void testApr1CryptWithInvalidSalt() {
    Md5Crypt.apr1Crypt(new byte[0], "!");
}</t>
  </si>
  <si>
    <t>[org/apache/commons/codec/digest/Md5Crypt.apr1Crypt]
[org/apache/commons/codec/digest/Md5Crypt.apr1Crypt]</t>
  </si>
  <si>
    <t>testApr1CryptWithInvalidSalt</t>
  </si>
  <si>
    <t>07639a36fa0cec75b4d513b27bbefbedb9fc46d1</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</si>
  <si>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</si>
  <si>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</si>
  <si>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testShaUpdateWithByteArray</t>
  </si>
  <si>
    <t>[[testSha1UpdateWithByteArray, testShaUpdateWithByteArray, testSha1UpdateWithString, testShaUpdateWithString]]</t>
  </si>
  <si>
    <t>[org/apache/commons/codec/digest/DigestUtils.getSha1Digest,  org/apache/commons/codec/digest/DigestUtils.getSha1Digest, org/apache/commons/codec/digest/DigestUtils.getShaDigest,  org/apache/commons/codec/digest/DigestUtils.getShaDigest]</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</si>
  <si>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</si>
  <si>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</si>
  <si>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testSha1UpdateWithString</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</si>
  <si>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</si>
  <si>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testShaUpdateWithString</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</si>
  <si>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</si>
  <si>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</si>
  <si>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</si>
  <si>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</si>
  <si>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</si>
  <si>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</si>
  <si>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</si>
  <si>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[[testMd5HexLength], [testMd5Length]]</t>
  </si>
  <si>
    <t>e2701a5a1872adc57a2735d39ac9a0dca37f75e3</t>
  </si>
  <si>
    <t>// ********** BEGIN REGION - TEST SUPPORT METHODS
@Test
public final void testAccentRemoval_AllLower_SuccessfullyRemoved() {
    assertEquals("aeiou", getMatchRatingApproachEncoder().removeAccents("áéíóú"));
}
@Test
public final void testAccentRemoval_GerSpanFrenMix_SuccessfullyRemoved() {
    assertEquals("aeoußAEOUnNa", getMatchRatingApproachEncoder().removeAccents("äëöüßÄËÖÜñÑà"));
}</t>
  </si>
  <si>
    <t>[.getMatchRatingApproachEncoder, org/apache/commons/codec/language/MatchRatingApproachEncoder.removeAccents]
[.getMatchRatingApproachEncoder, org/apache/commons/codec/language/MatchRatingApproachEncoder.removeAccents]</t>
  </si>
  <si>
    <t>testAccentRemoval_GerSpanFrenMix_SuccessfullyRemoved</t>
  </si>
  <si>
    <t>// ********** BEGIN REGION - TEST SUPPORT METHODS
@Test
public final void testAccentRemoval_AllLower_SuccessfullyRemoved() {
    assertEquals("aeiou", getMatchRatingApproachEncoder().removeAccents("áéíóú"));
}
@Test
public final void testAccentRemoval_UpperandLower_SuccessfullyRemovedAndCaseInvariant() {
    assertEquals("AeiOuu", getMatchRatingApproachEncoder().removeAccents("ÁeíÓuu"));
}</t>
  </si>
  <si>
    <t>testAccentRemoval_UpperandLower_SuccessfullyRemovedAndCaseInvariant</t>
  </si>
  <si>
    <t>// ********** BEGIN REGION - TEST SUPPORT METHODS
@Test
public final void testAccentRemoval_AllLower_SuccessfullyRemoved() {
    assertEquals("aeiou", getMatchRatingApproachEncoder().removeAccents("áéíóú"));
}
@Test
public final void testAccentRemoval_ComprehensiveAccentMix_AllSuccessfullyRemoved() {
    assertEquals("E,E,E,E,U,U,I,I,A,A,O,e,e,e,e,u,u,i,i,a,a,o,c", getMatchRatingApproachEncoder().removeAccents("È,É,Ê,Ë,Û,Ù,Ï,Î,À,Â,Ô,è,é,ê,ë,û,ù,ï,î,à,â,ô,ç"));
}</t>
  </si>
  <si>
    <t>testAccentRemoval_ComprehensiveAccentMix_AllSuccessfullyRemoved</t>
  </si>
  <si>
    <t>// ********** BEGIN REGION - TEST SUPPORT METHODS
@Test
public final void testAccentRemoval_AllLower_SuccessfullyRemoved() {
    assertEquals("aeiou", getMatchRatingApproachEncoder().removeAccents("áéíóú"));
}
@Test
public final void testAccentRemoval_WithSpaces_SuccessfullyRemovedAndSpacesInvariant() {
    assertEquals("ae io  u", getMatchRatingApproachEncoder().removeAccents("áé íó  ú"));
}</t>
  </si>
  <si>
    <t>// ********** BEGIN REGION - TEST SUPPORT METHODS
@Test
public final void testAccentRemoval_AllLower_SuccessfullyRemoved() {
    assertEquals("aeiou", getMatchRatingApproachEncoder().removeAccents("áéíóú"));
}
@Test
public final void testAccentRemovalNormalString_NoChange() {
    assertEquals("Colorless green ideas sleep furiously", getMatchRatingApproachEncoder().removeAccents("Colorless green ideas sleep furiously"));
}</t>
  </si>
  <si>
    <t>testAccentRemovalNormalString_NoChange</t>
  </si>
  <si>
    <t>// ********** BEGIN REGION - TEST SUPPORT METHODS
@Test
public final void testAccentRemoval_AllLower_SuccessfullyRemoved() {
    assertEquals("aeiou", getMatchRatingApproachEncoder().removeAccents("áéíóú"));
}
@Test
public final void testAccentRemoval_NINO_NoChange() {
    assertEquals("", getMatchRatingApproachEncoder().removeAccents(""));
}</t>
  </si>
  <si>
    <t>testAccentRemoval_NINO_NoChange</t>
  </si>
  <si>
    <t>// ********** BEGIN REGION - TEST SUPPORT METHODS
@Test
public final void testAccentRemoval_AllLower_SuccessfullyRemoved() {
    assertEquals("aeiou", getMatchRatingApproachEncoder().removeAccents("áéíóú"));
}
@Test
public final void testAccentRemoval_MixedWithUnusualChars_SuccessfullyRemovedAndUnusualcharactersInvariant() {
    assertEquals("A-e'i.,o&amp;u", getMatchRatingApproachEncoder().removeAccents("Á-e'í.,ó&amp;ú"));
}</t>
  </si>
  <si>
    <t>testAccentRemoval_MixedWithUnusualChars_SuccessfullyRemovedAndUnusualcharactersInvariant</t>
  </si>
  <si>
    <t>@Test
public final void testAccentRemoval_WithSpaces_SuccessfullyRemovedAndSpacesInvariant() {
    assertEquals("ae io  u", getMatchRatingApproachEncoder().removeAccents("áé íó  ú"));
}
@Test
public final void testAccentRemoval_UpperandLower_SuccessfullyRemovedAndCaseInvariant() {
    assertEquals("AeiOuu", getMatchRatingApproachEncoder().removeAccents("ÁeíÓuu"));
}</t>
  </si>
  <si>
    <t>@Test
public final void testAccentRemoval_WithSpaces_SuccessfullyRemovedAndSpacesInvariant() {
    assertEquals("ae io  u", getMatchRatingApproachEncoder().removeAccents("áé íó  ú"));
}
@Test
public final void testAccentRemoval_MixedWithUnusualChars_SuccessfullyRemovedAndUnusualcharactersInvariant() {
    assertEquals("A-e'i.,o&amp;u", getMatchRatingApproachEncoder().removeAccents("Á-e'í.,ó&amp;ú"));
}</t>
  </si>
  <si>
    <t>@Test
public final void testAccentRemoval_WithSpaces_SuccessfullyRemovedAndSpacesInvariant() {
    assertEquals("ae io  u", getMatchRatingApproachEncoder().removeAccents("áé íó  ú"));
}
@Test
public final void testAccentRemoval_GerSpanFrenMix_SuccessfullyRemoved() {
    assertEquals("aeoußAEOUnNa", getMatchRatingApproachEncoder().removeAccents("äëöüßÄËÖÜñÑà"));
}</t>
  </si>
  <si>
    <t>@Test
public final void testAccentRemoval_WithSpaces_SuccessfullyRemovedAndSpacesInvariant() {
    assertEquals("ae io  u", getMatchRatingApproachEncoder().removeAccents("áé íó  ú"));
}
@Test
public final void testAccentRemoval_ComprehensiveAccentMix_AllSuccessfullyRemoved() {
    assertEquals("E,E,E,E,U,U,I,I,A,A,O,e,e,e,e,u,u,i,i,a,a,o,c", getMatchRatingApproachEncoder().removeAccents("È,É,Ê,Ë,Û,Ù,Ï,Î,À,Â,Ô,è,é,ê,ë,û,ù,ï,î,à,â,ô,ç"));
}</t>
  </si>
  <si>
    <t>@Test
public final void testAccentRemoval_WithSpaces_SuccessfullyRemovedAndSpacesInvariant() {
    assertEquals("ae io  u", getMatchRatingApproachEncoder().removeAccents("áé íó  ú"));
}
@Test
public final void testAccentRemovalNormalString_NoChange() {
    assertEquals("Colorless green ideas sleep furiously", getMatchRatingApproachEncoder().removeAccents("Colorless green ideas sleep furiously"));
}</t>
  </si>
  <si>
    <t>@Test
public final void testAccentRemoval_WithSpaces_SuccessfullyRemovedAndSpacesInvariant() {
    assertEquals("ae io  u", getMatchRatingApproachEncoder().removeAccents("áé íó  ú"));
}
@Test
public final void testAccentRemoval_NINO_NoChange() {
    assertEquals("", getMatchRatingApproachEncoder().removeAccents(""));
}</t>
  </si>
  <si>
    <t>@Test
public final void testAccentRemoval_UpperandLower_SuccessfullyRemovedAndCaseInvariant() {
    assertEquals("AeiOuu", getMatchRatingApproachEncoder().removeAccents("ÁeíÓuu"));
}
@Test
public final void testAccentRemoval_GerSpanFrenMix_SuccessfullyRemoved() {
    assertEquals("aeoußAEOUnNa", getMatchRatingApproachEncoder().removeAccents("äëöüßÄËÖÜñÑà"));
}</t>
  </si>
  <si>
    <t>@Test
public final void testAccentRemoval_UpperandLower_SuccessfullyRemovedAndCaseInvariant() {
    assertEquals("AeiOuu", getMatchRatingApproachEncoder().removeAccents("ÁeíÓuu"));
}
@Test
public final void testAccentRemoval_MixedWithUnusualChars_SuccessfullyRemovedAndUnusualcharactersInvariant() {
    assertEquals("A-e'i.,o&amp;u", getMatchRatingApproachEncoder().removeAccents("Á-e'í.,ó&amp;ú"));
}</t>
  </si>
  <si>
    <t>@Test
public final void testAccentRemoval_UpperandLower_SuccessfullyRemovedAndCaseInvariant() {
    assertEquals("AeiOuu", getMatchRatingApproachEncoder().removeAccents("ÁeíÓuu"));
}
@Test
public final void testAccentRemoval_ComprehensiveAccentMix_AllSuccessfullyRemoved() {
    assertEquals("E,E,E,E,U,U,I,I,A,A,O,e,e,e,e,u,u,i,i,a,a,o,c", getMatchRatingApproachEncoder().removeAccents("È,É,Ê,Ë,Û,Ù,Ï,Î,À,Â,Ô,è,é,ê,ë,û,ù,ï,î,à,â,ô,ç"));
}</t>
  </si>
  <si>
    <t>@Test
public final void testAccentRemoval_UpperandLower_SuccessfullyRemovedAndCaseInvariant() {
    assertEquals("AeiOuu", getMatchRatingApproachEncoder().removeAccents("ÁeíÓuu"));
}
@Test
public final void testAccentRemovalNormalString_NoChange() {
    assertEquals("Colorless green ideas sleep furiously", getMatchRatingApproachEncoder().removeAccents("Colorless green ideas sleep furiously"));
}</t>
  </si>
  <si>
    <t>@Test
public final void testAccentRemoval_UpperandLower_SuccessfullyRemovedAndCaseInvariant() {
    assertEquals("AeiOuu", getMatchRatingApproachEncoder().removeAccents("ÁeíÓuu"));
}
@Test
public final void testAccentRemoval_NINO_NoChange() {
    assertEquals("", getMatchRatingApproachEncoder().removeAccents(""));
}</t>
  </si>
  <si>
    <t>@Test
public final void testAccentRemoval_MixedWithUnusualChars_SuccessfullyRemovedAndUnusualcharactersInvariant() {
    assertEquals("A-e'i.,o&amp;u", getMatchRatingApproachEncoder().removeAccents("Á-e'í.,ó&amp;ú"));
}
@Test
public final void testAccentRemoval_GerSpanFrenMix_SuccessfullyRemoved() {
    assertEquals("aeoußAEOUnNa", getMatchRatingApproachEncoder().removeAccents("äëöüßÄËÖÜñÑà"));
}</t>
  </si>
  <si>
    <t>@Test
public final void testAccentRemoval_MixedWithUnusualChars_SuccessfullyRemovedAndUnusualcharactersInvariant() {
    assertEquals("A-e'i.,o&amp;u", getMatchRatingApproachEncoder().removeAccents("Á-e'í.,ó&amp;ú"));
}
@Test
public final void testAccentRemoval_ComprehensiveAccentMix_AllSuccessfullyRemoved() {
    assertEquals("E,E,E,E,U,U,I,I,A,A,O,e,e,e,e,u,u,i,i,a,a,o,c", getMatchRatingApproachEncoder().removeAccents("È,É,Ê,Ë,Û,Ù,Ï,Î,À,Â,Ô,è,é,ê,ë,û,ù,ï,î,à,â,ô,ç"));
}</t>
  </si>
  <si>
    <t>@Test
public final void testAccentRemoval_MixedWithUnusualChars_SuccessfullyRemovedAndUnusualcharactersInvariant() {
    assertEquals("A-e'i.,o&amp;u", getMatchRatingApproachEncoder().removeAccents("Á-e'í.,ó&amp;ú"));
}
@Test
public final void testAccentRemovalNormalString_NoChange() {
    assertEquals("Colorless green ideas sleep furiously", getMatchRatingApproachEncoder().removeAccents("Colorless green ideas sleep furiously"));
}</t>
  </si>
  <si>
    <t>@Test
public final void testAccentRemoval_MixedWithUnusualChars_SuccessfullyRemovedAndUnusualcharactersInvariant() {
    assertEquals("A-e'i.,o&amp;u", getMatchRatingApproachEncoder().removeAccents("Á-e'í.,ó&amp;ú"));
}
@Test
public final void testAccentRemoval_NINO_NoChange() {
    assertEquals("", getMatchRatingApproachEncoder().removeAccents(""));
}</t>
  </si>
  <si>
    <t>@Test
public final void testAccentRemoval_GerSpanFrenMix_SuccessfullyRemoved() {
    assertEquals("aeoußAEOUnNa", getMatchRatingApproachEncoder().removeAccents("äëöüßÄËÖÜñÑà"));
}
@Test
public final void testAccentRemoval_ComprehensiveAccentMix_AllSuccessfullyRemoved() {
    assertEquals("E,E,E,E,U,U,I,I,A,A,O,e,e,e,e,u,u,i,i,a,a,o,c", getMatchRatingApproachEncoder().removeAccents("È,É,Ê,Ë,Û,Ù,Ï,Î,À,Â,Ô,è,é,ê,ë,û,ù,ï,î,à,â,ô,ç"));
}</t>
  </si>
  <si>
    <t>@Test
public final void testAccentRemoval_GerSpanFrenMix_SuccessfullyRemoved() {
    assertEquals("aeoußAEOUnNa", getMatchRatingApproachEncoder().removeAccents("äëöüßÄËÖÜñÑà"));
}
@Test
public final void testAccentRemovalNormalString_NoChange() {
    assertEquals("Colorless green ideas sleep furiously", getMatchRatingApproachEncoder().removeAccents("Colorless green ideas sleep furiously"));
}</t>
  </si>
  <si>
    <t>@Test
public final void testAccentRemoval_GerSpanFrenMix_SuccessfullyRemoved() {
    assertEquals("aeoußAEOUnNa", getMatchRatingApproachEncoder().removeAccents("äëöüßÄËÖÜñÑà"));
}
@Test
public final void testAccentRemoval_NINO_NoChange() {
    assertEquals("", getMatchRatingApproachEncoder().removeAccents(""));
}</t>
  </si>
  <si>
    <t>@Test
public final void testAccentRemoval_ComprehensiveAccentMix_AllSuccessfullyRemoved() {
    assertEquals("E,E,E,E,U,U,I,I,A,A,O,e,e,e,e,u,u,i,i,a,a,o,c", getMatchRatingApproachEncoder().removeAccents("È,É,Ê,Ë,Û,Ù,Ï,Î,À,Â,Ô,è,é,ê,ë,û,ù,ï,î,à,â,ô,ç"));
}
@Test
public final void testAccentRemovalNormalString_NoChange() {
    assertEquals("Colorless green ideas sleep furiously", getMatchRatingApproachEncoder().removeAccents("Colorless green ideas sleep furiously"));
}</t>
  </si>
  <si>
    <t>@Test
public final void testAccentRemoval_ComprehensiveAccentMix_AllSuccessfullyRemoved() {
    assertEquals("E,E,E,E,U,U,I,I,A,A,O,e,e,e,e,u,u,i,i,a,a,o,c", getMatchRatingApproachEncoder().removeAccents("È,É,Ê,Ë,Û,Ù,Ï,Î,À,Â,Ô,è,é,ê,ë,û,ù,ï,î,à,â,ô,ç"));
}
@Test
public final void testAccentRemoval_NINO_NoChange() {
    assertEquals("", getMatchRatingApproachEncoder().removeAccents(""));
}</t>
  </si>
  <si>
    <t>@Test
public final void testAccentRemovalNormalString_NoChange() {
    assertEquals("Colorless green ideas sleep furiously", getMatchRatingApproachEncoder().removeAccents("Colorless green ideas sleep furiously"));
}
@Test
public final void testAccentRemoval_NINO_NoChange() {
    assertEquals("", getMatchRatingApproachEncoder().removeAccents(""));
}</t>
  </si>
  <si>
    <t>testRemoveSingleDoubleConsonants_BUBLE_RemovedSuccessfully</t>
  </si>
  <si>
    <t>@Test
public final void testRemoveSingleDoubleConsonants_BUBLE_RemovedSuccessfully() {
    assertEquals("BUBLE", getMatchRatingApproachEncoder().removeDoubleConsonants("BUBBLE"));
}
@Test
public final void testRemoveDoubleConsonants_MISSISSIPPI_RemovedSuccessfully() {
    assertEquals("MISISIPI", getMatchRatingApproachEncoder().removeDoubleConsonants("MISSISSIPPI"));
}</t>
  </si>
  <si>
    <t>[.getMatchRatingApproachEncoder, org/apache/commons/codec/language/MatchRatingApproachEncoder.removeDoubleConsonants]
[.getMatchRatingApproachEncoder, org/apache/commons/codec/language/MatchRatingApproachEncoder.removeDoubleConsonants]</t>
  </si>
  <si>
    <t>testRemoveDoubleConsonants_MISSISSIPPI_RemovedSuccessfully</t>
  </si>
  <si>
    <t>@Test
public final void testRemoveSingleDoubleConsonants_BUBLE_RemovedSuccessfully() {
    assertEquals("BUBLE", getMatchRatingApproachEncoder().removeDoubleConsonants("BUBBLE"));
}
@Test
public final void testRemoveDoubleDoubleVowel_BEETLE_NotRemoved() {
    assertEquals("BEETLE", getMatchRatingApproachEncoder().removeDoubleConsonants("BEETLE"));
}</t>
  </si>
  <si>
    <t>testRemoveDoubleDoubleVowel_BEETLE_NotRemoved</t>
  </si>
  <si>
    <t>@Test
public final void testRemoveDoubleConsonants_MISSISSIPPI_RemovedSuccessfully() {
    assertEquals("MISISIPI", getMatchRatingApproachEncoder().removeDoubleConsonants("MISSISSIPPI"));
}
@Test
public final void testRemoveDoubleDoubleVowel_BEETLE_NotRemoved() {
    assertEquals("BEETLE", getMatchRatingApproachEncoder().removeDoubleConsonants("BEETLE"));
}</t>
  </si>
  <si>
    <t>testRemoveVowel_ALESSANDRA_Returns_ALSSNDR</t>
  </si>
  <si>
    <t>@Test
public final void testRemoveVowel_ALESSANDRA_Returns_ALSSNDR() {
    assertEquals("ALSSNDR", getMatchRatingApproachEncoder().removeVowels("ALESSANDRA"));
}
@Test
public final void testRemoveVowel__AIDAN_Returns_ADN() {
    assertEquals("ADN", getMatchRatingApproachEncoder().removeVowels("AIDAN"));
}</t>
  </si>
  <si>
    <t>[.getMatchRatingApproachEncoder, org/apache/commons/codec/language/MatchRatingApproachEncoder.removeVowels]
[.getMatchRatingApproachEncoder, org/apache/commons/codec/language/MatchRatingApproachEncoder.removeVowels]</t>
  </si>
  <si>
    <t>testRemoveVowel__AIDAN_Returns_ADN</t>
  </si>
  <si>
    <t>@Test
public final void testRemoveVowel_ALESSANDRA_Returns_ALSSNDR() {
    assertEquals("ALSSNDR", getMatchRatingApproachEncoder().removeVowels("ALESSANDRA"));
}
@Test
public final void testRemoveVowel__DECLAN_Returns_DCLN() {
    assertEquals("DCLN", getMatchRatingApproachEncoder().removeVowels("DECLAN"));
}</t>
  </si>
  <si>
    <t>testRemoveVowel__DECLAN_Returns_DCLN</t>
  </si>
  <si>
    <t>@Test
public final void testRemoveVowel__AIDAN_Returns_ADN() {
    assertEquals("ADN", getMatchRatingApproachEncoder().removeVowels("AIDAN"));
}
@Test
public final void testRemoveVowel__DECLAN_Returns_DCLN() {
    assertEquals("DCLN", getMatchRatingApproachEncoder().removeVowels("DECLAN"));
}</t>
  </si>
  <si>
    <t>testGetFirstLast3__ALEXANDER_Returns_Aleder</t>
  </si>
  <si>
    <t>@Test
public final void testGetFirstLast3__ALEXANDER_Returns_Aleder() {
    assertEquals("Aleder", getMatchRatingApproachEncoder().getFirst3Last3("Alexzander"));
}
@Test
public final void testGetFirstLast3_PETE_Returns_PETE() {
    assertEquals("PETE", getMatchRatingApproachEncoder().getFirst3Last3("PETE"));
}</t>
  </si>
  <si>
    <t>[.getMatchRatingApproachEncoder, org/apache/commons/codec/language/MatchRatingApproachEncoder.getFirst3Last3]
[.getMatchRatingApproachEncoder, org/apache/commons/codec/language/MatchRatingApproachEncoder.getFirst3Last3]</t>
  </si>
  <si>
    <t>testGetFirstLast3_PETE_Returns_PETE</t>
  </si>
  <si>
    <t>testleftTorightThenRightToLeft_ALEXANDER_ALEXANDRA_Returns4</t>
  </si>
  <si>
    <t>@Test
public final void testleftTorightThenRightToLeft_ALEXANDER_ALEXANDRA_Returns4() {
    assertEquals(4, getMatchRatingApproachEncoder().leftToRightThenRightToLeftProcessing("ALEXANDER", "ALEXANDRA"));
}
@Test
public final void testleftTorightThenRightToLeft_EINSTEIN_MICHAELA_Returns0() {
    assertEquals(0, getMatchRatingApproachEncoder().leftToRightThenRightToLeftProcessing("EINSTEIN", "MICHAELA"));
}</t>
  </si>
  <si>
    <t>[.getMatchRatingApproachEncoder, org/apache/commons/codec/language/MatchRatingApproachEncoder.leftToRightThenRightToLeftProcessing]
[.getMatchRatingApproachEncoder, org/apache/commons/codec/language/MatchRatingApproachEncoder.leftToRightThenRightToLeftProcessing]</t>
  </si>
  <si>
    <t>testleftTorightThenRightToLeft_EINSTEIN_MICHAELA_Returns0</t>
  </si>
  <si>
    <t>@Test
public final void testGetMinRating_7_Return4_Successfully() {
    assertEquals(4, getMatchRatingApproachEncoder().getMinRating(7));
}
@Test
public final void testGetMinRating_2_Return1_Successfully() {
    assertEquals(1, getMatchRatingApproachEncoder().getMinRating(13));
}</t>
  </si>
  <si>
    <t>[.getMatchRatingApproachEncoder, org/apache/commons/codec/language/MatchRatingApproachEncoder.getMinRating]
[.getMatchRatingApproachEncoder, org/apache/commons/codec/language/MatchRatingApproachEncoder.getMinRating]</t>
  </si>
  <si>
    <t>testGetMinRating_2_Return1_Successfully</t>
  </si>
  <si>
    <t>@Test
public final void testGetMinRating_7_Return4_Successfully() {
    assertEquals(4, getMatchRatingApproachEncoder().getMinRating(7));
}
@Test
public final void testGetMinRating_2_Returns5_Successfully() {
    assertEquals(5, getMatchRatingApproachEncoder().getMinRating(2));
}</t>
  </si>
  <si>
    <t>@Test
public final void testGetMinRating_2_Returns5_Successfully() {
    assertEquals(5, getMatchRatingApproachEncoder().getMinRating(2));
}
@Test
public final void testGetMinRating_2_Return1_Successfully() {
    assertEquals(1, getMatchRatingApproachEncoder().getMinRating(13));
}</t>
  </si>
  <si>
    <t>// ***** END REGION - TEST SUPPORT METHODS
// ***** BEGIN REGION - TEST GET MRA ENCODING
@Test
public final void testGetEncoding_HARPER_HRPR() {
    assertEquals("HRPR", getMatchRatingApproachEncoder().encode("HARPER"));
}
@Test
public final void testGetEncoding_SMITH_to_SMTH() {
    assertEquals("SMTH", getMatchRatingApproachEncoder().encode("Smith"));
}</t>
  </si>
  <si>
    <t>[.getMatchRatingApproachEncoder, org/apache/commons/codec/language/MatchRatingApproachEncoder.encode]
[.getMatchRatingApproachEncoder, org/apache/commons/codec/language/MatchRatingApproachEncoder.encode]</t>
  </si>
  <si>
    <t>testGetEncoding_SMITH_to_SMTH</t>
  </si>
  <si>
    <t>// ***** END REGION - TEST SUPPORT METHODS
// ***** BEGIN REGION - TEST GET MRA ENCODING
@Test
public final void testGetEncoding_HARPER_HRPR() {
    assertEquals("HRPR", getMatchRatingApproachEncoder().encode("HARPER"));
}
@Test
public final void testGetEncoding_SMYTH_to_SMYTH() {
    assertEquals("SMYTH", getMatchRatingApproachEncoder().encode("Smyth"));
}</t>
  </si>
  <si>
    <t>testGetEncoding_SMYTH_to_SMYTH</t>
  </si>
  <si>
    <t>// ***** END REGION - TEST SUPPORT METHODS
// ***** BEGIN REGION - TEST GET MRA ENCODING
@Test
public final void testGetEncoding_HARPER_HRPR() {
    assertEquals("HRPR", getMatchRatingApproachEncoder().encode("HARPER"));
}
@Test
public final void testGetEncoding_Space_to_Nothing() {
    assertEquals("", getMatchRatingApproachEncoder().encode(" "));
}</t>
  </si>
  <si>
    <t>testGetEncoding_Space_to_Nothing</t>
  </si>
  <si>
    <t>// ***** END REGION - TEST SUPPORT METHODS
// ***** BEGIN REGION - TEST GET MRA ENCODING
@Test
public final void testGetEncoding_HARPER_HRPR() {
    assertEquals("HRPR", getMatchRatingApproachEncoder().encode("HARPER"));
}
@Test
public final void testGetEncoding_NoSpace_to_Nothing() {
    assertEquals("", getMatchRatingApproachEncoder().encode(""));
}</t>
  </si>
  <si>
    <t>testGetEncoding_NoSpace_to_Nothing</t>
  </si>
  <si>
    <t>// ***** END REGION - TEST SUPPORT METHODS
// ***** BEGIN REGION - TEST GET MRA ENCODING
@Test
public final void testGetEncoding_HARPER_HRPR() {
    assertEquals("HRPR", getMatchRatingApproachEncoder().encode("HARPER"));
}
@Test
public final void testGetEncoding_Null_to_Nothing() {
    assertEquals("", getMatchRatingApproachEncoder().encode(null));
}</t>
  </si>
  <si>
    <t>testGetEncoding_Null_to_Nothing</t>
  </si>
  <si>
    <t>// ***** END REGION - TEST SUPPORT METHODS
// ***** BEGIN REGION - TEST GET MRA ENCODING
@Test
public final void testGetEncoding_HARPER_HRPR() {
    assertEquals("HRPR", getMatchRatingApproachEncoder().encode("HARPER"));
}
@Test
public final void testGetEncoding_One_Letter_to_Nothing() {
    assertEquals("", getMatchRatingApproachEncoder().encode("E"));
}</t>
  </si>
  <si>
    <t>testGetEncoding_One_Letter_to_Nothing</t>
  </si>
  <si>
    <t>@Test
public final void testGetEncoding_SMITH_to_SMTH() {
    assertEquals("SMTH", getMatchRatingApproachEncoder().encode("Smith"));
}
@Test
public final void testGetEncoding_SMYTH_to_SMYTH() {
    assertEquals("SMYTH", getMatchRatingApproachEncoder().encode("Smyth"));
}</t>
  </si>
  <si>
    <t>@Test
public final void testGetEncoding_SMITH_to_SMTH() {
    assertEquals("SMTH", getMatchRatingApproachEncoder().encode("Smith"));
}
@Test
public final void testGetEncoding_Space_to_Nothing() {
    assertEquals("", getMatchRatingApproachEncoder().encode(" "));
}</t>
  </si>
  <si>
    <t>@Test
public final void testGetEncoding_SMITH_to_SMTH() {
    assertEquals("SMTH", getMatchRatingApproachEncoder().encode("Smith"));
}
@Test
public final void testGetEncoding_NoSpace_to_Nothing() {
    assertEquals("", getMatchRatingApproachEncoder().encode(""));
}</t>
  </si>
  <si>
    <t>@Test
public final void testGetEncoding_SMITH_to_SMTH() {
    assertEquals("SMTH", getMatchRatingApproachEncoder().encode("Smith"));
}
@Test
public final void testGetEncoding_Null_to_Nothing() {
    assertEquals("", getMatchRatingApproachEncoder().encode(null));
}</t>
  </si>
  <si>
    <t>@Test
public final void testGetEncoding_SMITH_to_SMTH() {
    assertEquals("SMTH", getMatchRatingApproachEncoder().encode("Smith"));
}
@Test
public final void testGetEncoding_One_Letter_to_Nothing() {
    assertEquals("", getMatchRatingApproachEncoder().encode("E"));
}</t>
  </si>
  <si>
    <t>@Test
public final void testGetEncoding_SMYTH_to_SMYTH() {
    assertEquals("SMYTH", getMatchRatingApproachEncoder().encode("Smyth"));
}
@Test
public final void testGetEncoding_Space_to_Nothing() {
    assertEquals("", getMatchRatingApproachEncoder().encode(" "));
}</t>
  </si>
  <si>
    <t>@Test
public final void testGetEncoding_SMYTH_to_SMYTH() {
    assertEquals("SMYTH", getMatchRatingApproachEncoder().encode("Smyth"));
}
@Test
public final void testGetEncoding_NoSpace_to_Nothing() {
    assertEquals("", getMatchRatingApproachEncoder().encode(""));
}</t>
  </si>
  <si>
    <t>@Test
public final void testGetEncoding_SMYTH_to_SMYTH() {
    assertEquals("SMYTH", getMatchRatingApproachEncoder().encode("Smyth"));
}
@Test
public final void testGetEncoding_Null_to_Nothing() {
    assertEquals("", getMatchRatingApproachEncoder().encode(null));
}</t>
  </si>
  <si>
    <t>@Test
public final void testGetEncoding_SMYTH_to_SMYTH() {
    assertEquals("SMYTH", getMatchRatingApproachEncoder().encode("Smyth"));
}
@Test
public final void testGetEncoding_One_Letter_to_Nothing() {
    assertEquals("", getMatchRatingApproachEncoder().encode("E"));
}</t>
  </si>
  <si>
    <t>@Test
public final void testGetEncoding_Space_to_Nothing() {
    assertEquals("", getMatchRatingApproachEncoder().encode(" "));
}
@Test
public final void testGetEncoding_NoSpace_to_Nothing() {
    assertEquals("", getMatchRatingApproachEncoder().encode(""));
}</t>
  </si>
  <si>
    <t>@Test
public final void testGetEncoding_Space_to_Nothing() {
    assertEquals("", getMatchRatingApproachEncoder().encode(" "));
}
@Test
public final void testGetEncoding_One_Letter_to_Nothing() {
    assertEquals("", getMatchRatingApproachEncoder().encode("E"));
}</t>
  </si>
  <si>
    <t>@Test
public final void testGetEncoding_Space_to_Nothing() {
    assertEquals("", getMatchRatingApproachEncoder().encode(" "));
}
@Test
public final void testGetEncoding_Null_to_Nothing() {
    assertEquals("", getMatchRatingApproachEncoder().encode(null));
}</t>
  </si>
  <si>
    <t>@Test
public final void testGetEncoding_NoSpace_to_Nothing() {
    assertEquals("", getMatchRatingApproachEncoder().encode(""));
}
@Test
public final void testGetEncoding_One_Letter_to_Nothing() {
    assertEquals("", getMatchRatingApproachEncoder().encode("E"));
}</t>
  </si>
  <si>
    <t>@Test
public final void testGetEncoding_NoSpace_to_Nothing() {
    assertEquals("", getMatchRatingApproachEncoder().encode(""));
}
@Test
public final void testGetEncoding_Null_to_Nothing() {
    assertEquals("", getMatchRatingApproachEncoder().encode(null));
}</t>
  </si>
  <si>
    <t>@Test
public final void testGetEncoding_Null_to_Nothing() {
    assertEquals("", getMatchRatingApproachEncoder().encode(null));
}
@Test
public final void testGetEncoding_One_Letter_to_Nothing() {
    assertEquals("", getMatchRatingApproachEncoder().encode("E"));
}</t>
  </si>
  <si>
    <t>testCompare_SMITH_SMYTH_SuccessfullyMatched</t>
  </si>
  <si>
    <t>// ***** END REGION - TEST GET MRA ENCODING
// ***** BEGIN REGION - TEST GET MRA COMPARISONS
@Test
public final void testCompare_SMITH_SMYTH_SuccessfullyMatched() {
    assertTrue(getMatchRatingApproachEncoder().isEncodeEquals("smith", "smyth"));
}
@Test
public final void testCompare_SEAN_SHAUN_SuccessfullyMatched() {
    assertTrue(getMatchRatingApproachEncoder().isEncodeEquals("Séan", "Shaun"));
}</t>
  </si>
  <si>
    <t>[.getMatchRatingApproachEncoder, org/apache/commons/codec/language/MatchRatingApproachEncoder.isEncodeEquals]
[.getMatchRatingApproachEncoder, org/apache/commons/codec/language/MatchRatingApproachEncoder.isEncodeEquals]</t>
  </si>
  <si>
    <t>testCompare_SEAN_SHAUN_SuccessfullyMatched</t>
  </si>
  <si>
    <t>// ***** END REGION - TEST GET MRA ENCODING
// ***** BEGIN REGION - TEST GET MRA COMPARISONS
@Test
public final void testCompare_SMITH_SMYTH_SuccessfullyMatched() {
    assertTrue(getMatchRatingApproachEncoder().isEncodeEquals("smith", "smyth"));
}
@Test
public final void testCompare_BRIAN_BRYAN_SuccessfullyMatched() {
    assertTrue(getMatchRatingApproachEncoder().isEncodeEquals("Brian", "Bryan"));
}</t>
  </si>
  <si>
    <t>testCompare_BRIAN_BRYAN_SuccessfullyMatched</t>
  </si>
  <si>
    <t>// ***** END REGION - TEST GET MRA ENCODING
// ***** BEGIN REGION - TEST GET MRA COMPARISONS
@Test
public final void testCompare_SMITH_SMYTH_SuccessfullyMatched() {
    assertTrue(getMatchRatingApproachEncoder().isEncodeEquals("smith", "smyth"));
}
@Test
public final void testCompare_SAM_SAMUEL_SuccessfullyMatched() {
    assertTrue(getMatchRatingApproachEncoder().isEncodeEquals("Sam", "Samuel"));
}</t>
  </si>
  <si>
    <t>testCompare_SAM_SAMUEL_SuccessfullyMatched</t>
  </si>
  <si>
    <t>// ***** END REGION - TEST GET MRA ENCODING
// ***** BEGIN REGION - TEST GET MRA COMPARISONS
@Test
public final void testCompare_SMITH_SMYTH_SuccessfullyMatched() {
    assertTrue(getMatchRatingApproachEncoder().isEncodeEquals("smith", "smyth"));
}
@Test
public final void testCompare_SOPHIE_SOFIA_SuccessfullyMatched() {
    assertTrue(getMatchRatingApproachEncoder().isEncodeEquals("Sophie", "Sofia"));
}</t>
  </si>
  <si>
    <t>testCompare_SOPHIE_SOFIA_SuccessfullyMatched</t>
  </si>
  <si>
    <t>// ***** END REGION - TEST GET MRA ENCODING
// ***** BEGIN REGION - TEST GET MRA COMPARISONS
@Test
public final void testCompare_SMITH_SMYTH_SuccessfullyMatched() {
    assertTrue(getMatchRatingApproachEncoder().isEncodeEquals("smith", "smyth"));
}
@Test
public final void testCompare_STEPHEN_STEFAN_SuccessfullyMatched() {
    assertTrue(getMatchRatingApproachEncoder().isEncodeEquals("Stephen", "Stefan"));
}</t>
  </si>
  <si>
    <t>testCompare_STEPHEN_STEFAN_SuccessfullyMatched</t>
  </si>
  <si>
    <t>// ***** END REGION - TEST GET MRA ENCODING
// ***** BEGIN REGION - TEST GET MRA COMPARISONS
@Test
public final void testCompare_SMITH_SMYTH_SuccessfullyMatched() {
    assertTrue(getMatchRatingApproachEncoder().isEncodeEquals("smith", "smyth"));
}
@Test
public final void testCompare_STEPHEN_STEVEN_SuccessfullyMatched() {
    assertTrue(getMatchRatingApproachEncoder().isEncodeEquals("Stephen", "Steven"));
}</t>
  </si>
  <si>
    <t>testCompare_STEPHEN_STEVEN_SuccessfullyMatched</t>
  </si>
  <si>
    <t>// ***** END REGION - TEST GET MRA ENCODING
// ***** BEGIN REGION - TEST GET MRA COMPARISONS
@Test
public final void testCompare_SMITH_SMYTH_SuccessfullyMatched() {
    assertTrue(getMatchRatingApproachEncoder().isEncodeEquals("smith", "smyth"));
}
@Test
public final void testCompare_MICKY_MICHAEL_SuccessfullyMatched() {
    assertTrue(getMatchRatingApproachEncoder().isEncodeEquals("Micky", "Michael"));
}</t>
  </si>
  <si>
    <t>testCompare_MICKY_MICHAEL_SuccessfullyMatched</t>
  </si>
  <si>
    <t>// ***** END REGION - TEST GET MRA ENCODING
// ***** BEGIN REGION - TEST GET MRA COMPARISONS
@Test
public final void testCompare_SMITH_SMYTH_SuccessfullyMatched() {
    assertTrue(getMatchRatingApproachEncoder().isEncodeEquals("smith", "smyth"));
}
@Test
public final void testCompare_STEVEN_STEFAN_SuccessfullyMatched() {
    assertTrue(getMatchRatingApproachEncoder().isEncodeEquals("Steven", "Stefan"));
}</t>
  </si>
  <si>
    <t>testCompare_STEVEN_STEFAN_SuccessfullyMatched</t>
  </si>
  <si>
    <t>// ***** END REGION - TEST GET MRA ENCODING
// ***** BEGIN REGION - TEST GET MRA COMPARISONS
@Test
public final void testCompare_SMITH_SMYTH_SuccessfullyMatched() {
    assertTrue(getMatchRatingApproachEncoder().isEncodeEquals("smith", "smyth"));
}
@Test
public final void testCompare_TOMASZ_TOM_SuccessfullyMatched() {
    assertTrue(getMatchRatingApproachEncoder().isEncodeEquals("Tomasz", "tom"));
}</t>
  </si>
  <si>
    <t>testCompare_TOMASZ_TOM_SuccessfullyMatched</t>
  </si>
  <si>
    <t>// ***** END REGION - TEST GET MRA ENCODING
// ***** BEGIN REGION - TEST GET MRA COMPARISONS
@Test
public final void testCompare_SMITH_SMYTH_SuccessfullyMatched() {
    assertTrue(getMatchRatingApproachEncoder().isEncodeEquals("smith", "smyth"));
}
@Test
public final void testCompare_OONA_OONAGH_SuccessfullyMatched() {
    assertTrue(getMatchRatingApproachEncoder().isEncodeEquals("Oona", "Oonagh"));
}</t>
  </si>
  <si>
    <t>testCompare_OONA_OONAGH_SuccessfullyMatched</t>
  </si>
  <si>
    <t>// ***** END REGION - TEST GET MRA ENCODING
// ***** BEGIN REGION - TEST GET MRA COMPARISONS
@Test
public final void testCompare_SMITH_SMYTH_SuccessfullyMatched() {
    assertTrue(getMatchRatingApproachEncoder().isEncodeEquals("smith", "smyth"));
}
@Test
public final void testCompare_BURNS_BOURNE_SuccessfullyMatched() {
    assertTrue(getMatchRatingApproachEncoder().isEncodeEquals("Burns", "Bourne"));
}</t>
  </si>
  <si>
    <t>testCompare_BURNS_BOURNE_SuccessfullyMatched</t>
  </si>
  <si>
    <t>// ***** END REGION - TEST GET MRA ENCODING
// ***** BEGIN REGION - TEST GET MRA COMPARISONS
@Test
public final void testCompare_SMITH_SMYTH_SuccessfullyMatched() {
    assertTrue(getMatchRatingApproachEncoder().isEncodeEquals("smith", "smyth"));
}
@Test
public final void testCompare_ZACH_ZAKARIA_SuccessfullyMatched() {
    assertTrue(getMatchRatingApproachEncoder().isEncodeEquals("Zach", "Zacharia"));
}</t>
  </si>
  <si>
    <t>testCompare_ZACH_ZAKARIA_SuccessfullyMatched</t>
  </si>
  <si>
    <t>// ***** END REGION - TEST GET MRA ENCODING
// ***** BEGIN REGION - TEST GET MRA COMPARISONS
@Test
public final void testCompare_SMITH_SMYTH_SuccessfullyMatched() {
    assertTrue(getMatchRatingApproachEncoder().isEncodeEquals("smith", "smyth"));
}
// **** END YIDDISH/SLAVIC SECTION ****
@Test
public final void testCompare_PETERSON_PETERS_SuccessfullyMatched() {
    assertTrue(getMatchRatingApproachEncoder().isEncodeEquals("Peterson", "Peters"));
}</t>
  </si>
  <si>
    <t>testCompare_PETERSON_PETERS_SuccessfullyMatched</t>
  </si>
  <si>
    <t>// ***** END REGION - TEST GET MRA ENCODING
// ***** BEGIN REGION - TEST GET MRA COMPARISONS
@Test
public final void testCompare_SMITH_SMYTH_SuccessfullyMatched() {
    assertTrue(getMatchRatingApproachEncoder().isEncodeEquals("smith", "smyth"));
}
@Test
public final void testCompare_CATHERINE_KATHRYN_SuccessfullyMatched() {
    assertTrue(getMatchRatingApproachEncoder().isEncodeEquals("Catherine", "Kathryn"));
}</t>
  </si>
  <si>
    <t>testCompare_CATHERINE_KATHRYN_SuccessfullyMatched</t>
  </si>
  <si>
    <t>// ***** END REGION - TEST GET MRA ENCODING
// ***** BEGIN REGION - TEST GET MRA COMPARISONS
@Test
public final void testCompare_SMITH_SMYTH_SuccessfullyMatched() {
    assertTrue(getMatchRatingApproachEncoder().isEncodeEquals("smith", "smyth"));
}
@Test
public final void testCompare_SmallInput_CARK_Kl_SuccessfullyMatched() {
    assertTrue(getMatchRatingApproachEncoder().isEncodeEquals("Kl", "Karl"));
}</t>
  </si>
  <si>
    <t>testCompare_SmallInput_CARK_Kl_SuccessfullyMatched</t>
  </si>
  <si>
    <t>// ***** END REGION - TEST GET MRA ENCODING
// ***** BEGIN REGION - TEST GET MRA COMPARISONS
@Test
public final void testCompare_SMITH_SMYTH_SuccessfullyMatched() {
    assertTrue(getMatchRatingApproachEncoder().isEncodeEquals("smith", "smyth"));
}
@Test
public final void testCompare_FRANCISZEK_FRANCES_SuccessfullyMatched() {
    assertTrue(getMatchRatingApproachEncoder().isEncodeEquals("Franciszek", "Frances"));
}</t>
  </si>
  <si>
    <t>testCompare_FRANCISZEK_FRANCES_SuccessfullyMatched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</si>
  <si>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testCompare_Surname_HAILEY_HALLEY_SuccessfullyMatched() {
    assertTrue(getMatchRatingApproachEncoder().isEncodeEquals("Hailey", "Halley"));
}</t>
  </si>
  <si>
    <t>testCompare_Surname_HAILEY_HALLEY_SuccessfullyMatched</t>
  </si>
  <si>
    <t>// ***** END REGION - TEST GET MRA ENCODING
// ***** BEGIN REGION - TEST GET MRA COMPARISONS
@Test
public final void testCompare_SMITH_SMYTH_SuccessfullyMatched() {
    assertTrue(getMatchRatingApproachEncoder().isEncodeEquals("smith", "smyth"));
}
@Test
public final void testCompare_MCGOWAN_MCGEOGHEGAN_SuccessfullyMatched() {
    assertTrue(getMatchRatingApproachEncoder().isEncodeEquals("McGowan", "Mc Geoghegan"));
}</t>
  </si>
  <si>
    <t>testCompare_MCGOWAN_MCGEOGHEGAN_SuccessfullyMatched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</si>
  <si>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testCompare_Surname_MOSKOWITZ_MOSKOVITZ_SuccessfullyMatched() {
    assertTrue(getMatchRatingApproachEncoder().isEncodeEquals("Moskowitz", "Moskovitz"));
}</t>
  </si>
  <si>
    <t>testCompare_Surname_MOSKOWITZ_MOSKOVITZ_SuccessfullyMatched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</si>
  <si>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testCompare_Surname_LIPSHITZ_LIPPSZYC_SuccessfullyMatched() {
    assertTrue(getMatchRatingApproachEncoder().isEncodeEquals("LIPSHITZ", "LIPPSZYC"));
}</t>
  </si>
  <si>
    <t>testCompare_Surname_LIPSHITZ_LIPPSZYC_SuccessfullyMatched</t>
  </si>
  <si>
    <t>// ***** END REGION - TEST GET MRA ENCODING
// ***** BEGIN REGION - TEST GET MRA COMPARISONS
@Test
public final void testCompare_SMITH_SMYTH_SuccessfullyMatched() {
    assertTrue(getMatchRatingApproachEncoder().isEncodeEquals("smith", "smyth"));
}
// **** BEGIN YIDDISH/SLAVIC SECTION ****
@Test
public final void testCompare_Surname_AUERBACH_UHRBACH_SuccessfullyMatched() {
    assertTrue(getMatchRatingApproachEncoder().isEncodeEquals("Auerbach", "Uhrbach"));
}</t>
  </si>
  <si>
    <t>testCompare_Surname_AUERBACH_UHRBACH_SuccessfullyMatched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</si>
  <si>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testCompare_Surname_PRZEMYSL_PSHEMESHIL_SuccessfullyMatched() {
    assertTrue(getMatchRatingApproachEncoder().isEncodeEquals(" P rz e m y s l", " P sh e m e sh i l"));
}</t>
  </si>
  <si>
    <t>testCompare_Surname_PRZEMYSL_PSHEMESHIL_SuccessfullyMatched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</si>
  <si>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testCompare_Surname_LEWINSKY_LEVINSKI_SuccessfullyMatched() {
    assertTrue(getMatchRatingApproachEncoder().isEncodeEquals("LEWINSKY", "LEVINSKI"));
}</t>
  </si>
  <si>
    <t>testCompare_Surname_LEWINSKY_LEVINSKI_SuccessfullyMatched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</si>
  <si>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testCompare_Surname_SZLAMAWICZ_SHLAMOVITZ_SuccessfullyMatched() {
    assertTrue(getMatchRatingApproachEncoder().isEncodeEquals("SZLAMAWICZ", "SHLAMOVITZ"));
}</t>
  </si>
  <si>
    <t>testCompare_Surname_SZLAMAWICZ_SHLAMOVITZ_SuccessfullyMatched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</si>
  <si>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testCompare_Surname_COOPERFLYNN_SUPERLYN_SuccessfullyMatched() {
    assertTrue(getMatchRatingApproachEncoder().isEncodeEquals("Cooper-Flynn", "Super-Lyn"));
}</t>
  </si>
  <si>
    <t>testCompare_Surname_COOPERFLYNN_SUPERLYN_SuccessfullyMatched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</si>
  <si>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testCompare_Surname_ROSOCHOWACIEC_ROSOKHOVATSETS_SuccessfullyMatched() {
    assertTrue(getMatchRatingApproachEncoder().isEncodeEquals("R o s o ch o w a c ie c", " R o s o k ho v a ts e ts"));
}</t>
  </si>
  <si>
    <t>testCompare_Surname_ROSOCHOWACIEC_ROSOKHOVATSETS_SuccessfullyMatched</t>
  </si>
  <si>
    <t>// ***** END REGION - TEST GET MRA ENCODING
// ***** BEGIN REGION - TEST GET MRA COMPARISONS
@Test
public final void testCompare_SMITH_SMYTH_SuccessfullyMatched() {
    assertTrue(getMatchRatingApproachEncoder().isEncodeEquals("smith", "smyth"));
}
// ***** Begin Region - Test Get Encoding - Surnames
@Test
public final void testCompare_Surname_OSULLIVAN_OSUILLEABHAIN_SuccessfulMatch() {
    assertTrue(getMatchRatingApproachEncoder().isEncodeEquals("O'Sullivan", "Ó ' Súilleabháin"));
}</t>
  </si>
  <si>
    <t>testCompare_Surname_OSULLIVAN_OSUILLEABHAIN_SuccessfulMatch</t>
  </si>
  <si>
    <t>// ***** END REGION - TEST GET MRA ENCODING
// ***** BEGIN REGION - TEST GET MRA COMPARISONS
@Test
public final void testCompare_SMITH_SMYTH_SuccessfullyMatched() {
    assertTrue(getMatchRatingApproachEncoder().isEncodeEquals("smith", "smyth"));
}
@Test
public final void testCompare_Forenames_SEAN_JOHN_MatchExpected() {
    assertTrue(getMatchRatingApproachEncoder().isEncodeEquals("Sean", "John"));
}</t>
  </si>
  <si>
    <t>testCompare_Forenames_SEAN_JOHN_MatchExpected</t>
  </si>
  <si>
    <t>// ***** END REGION - TEST GET MRA ENCODING
// ***** BEGIN REGION - TEST GET MRA COMPARISONS
@Test
public final void testCompare_SMITH_SMYTH_SuccessfullyMatched() {
    assertTrue(getMatchRatingApproachEncoder().isEncodeEquals("smith", "smyth"));
}
@Test
public final void testCompare_ShortNames_AL_ED_WorksButNoMatch() {
    assertFalse(getMatchRatingApproachEncoder().isEncodeEquals("Al", "Ed"));
}</t>
  </si>
  <si>
    <t>// ***** END REGION - TEST GET MRA ENCODING
// ***** BEGIN REGION - TEST GET MRA COMPARISONS
@Test
public final void testCompare_SMITH_SMYTH_SuccessfullyMatched() {
    assertTrue(getMatchRatingApproachEncoder().isEncodeEquals("smith", "smyth"));
}
@Test
public final void testCompare_KARL_ALESSANDRO_DoesNotMatch() {
    assertFalse(getMatchRatingApproachEncoder().isEncodeEquals("Karl", "Alessandro"));
}</t>
  </si>
  <si>
    <t>testCompare_KARL_ALESSANDRO_DoesNotMatch</t>
  </si>
  <si>
    <t>// ***** END REGION - TEST GET MRA ENCODING
// ***** BEGIN REGION - TEST GET MRA COMPARISONS
@Test
public final void testCompare_SMITH_SMYTH_SuccessfullyMatched() {
    assertTrue(getMatchRatingApproachEncoder().isEncodeEquals("smith", "smyth"));
}
@Test
public final void testCompare_Forenames_SEAN_PETE_NoMatchExpected() {
    assertFalse(getMatchRatingApproachEncoder().isEncodeEquals("Sean", "Pete"));
}</t>
  </si>
  <si>
    <t>testCompare_Forenames_SEAN_PETE_NoMatchExpected</t>
  </si>
  <si>
    <t>// ***** END REGION - TEST GET MRA ENCODING
// ***** BEGIN REGION - TEST GET MRA COMPARISONS
@Test
public final void testCompare_SMITH_SMYTH_SuccessfullyMatched() {
    assertTrue(getMatchRatingApproachEncoder().isEncodeEquals("smith", "smyth"));
}
@Test
public final void testCompare_LongSurnames_OMUIRCHEARTAIGH_OMIREADHAIGH_SuccessfulMatch() {
    assertTrue(getMatchRatingApproachEncoder().isEncodeEquals("o'muireadhaigh", "Ó 'Muircheartaigh "));
}</t>
  </si>
  <si>
    <t>testCompare_LongSurnames_OMUIRCHEARTAIGH_OMIREADHAIGH_SuccessfulMatch</t>
  </si>
  <si>
    <t>// ***** END REGION - TEST GET MRA ENCODING
// ***** BEGIN REGION - TEST GET MRA COMPARISONS
@Test
public final void testCompare_SMITH_SMYTH_SuccessfullyMatched() {
    assertTrue(getMatchRatingApproachEncoder().isEncodeEquals("smith", "smyth"));
}
@Test
public final void testCompare_COLM_COLIN_WithAccentsAndSymbolsAndSpaces_SuccessfullyMatched() {
    assertTrue(getMatchRatingApproachEncoder().isEncodeEquals("Cólm.   ", "C-olín"));
}</t>
  </si>
  <si>
    <t>testCompare_COLM_COLIN_WithAccentsAndSymbolsAndSpaces_SuccessfullyMatched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</si>
  <si>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testCompare_Surnames_MURPHY_LYNCH_NoMatchExpected() {
    assertFalse(getMatchRatingApproachEncoder().isEncodeEquals("Murphy", "Lynch"));
}</t>
  </si>
  <si>
    <t>testCompare_Surnames_MURPHY_LYNCH_NoMatchExpected</t>
  </si>
  <si>
    <t>// ***** END REGION - TEST GET MRA ENCODING
// ***** BEGIN REGION - TEST GET MRA COMPARISONS
@Test
public final void testCompare_SMITH_SMYTH_SuccessfullyMatched() {
    assertTrue(getMatchRatingApproachEncoder().isEncodeEquals("smith", "smyth"));
}
@Test
public final void testCompare_Forenames_UNA_OONAGH_ShouldSuccessfullyMatchButDoesNot() {
    // Disappointing
    assertFalse(getMatchRatingApproachEncoder().isEncodeEquals("Úna", "Oonagh"));
}</t>
  </si>
  <si>
    <t>testCompare_Forenames_UNA_OONAGH_ShouldSuccessfullyMatchButDoesNot</t>
  </si>
  <si>
    <t>// ***** END REGION - TEST GET MRA ENCODING
// ***** BEGIN REGION - TEST GET MRA COMPARISONS
@Test
public final void testCompare_SMITH_SMYTH_SuccessfullyMatched() {
    assertTrue(getMatchRatingApproachEncoder().isEncodeEquals("smith", "smyth"));
}
@Test
public final void testCompare_SurnamesCornerCase_MURPHY_Space_NoMatch() {
    assertFalse(getMatchRatingApproachEncoder().isEncodeEquals("Murphy", " "));
}</t>
  </si>
  <si>
    <t>// ***** END REGION - TEST GET MRA ENCODING
// ***** BEGIN REGION - TEST GET MRA COMPARISONS
@Test
public final void testCompare_SMITH_SMYTH_SuccessfullyMatched() {
    assertTrue(getMatchRatingApproachEncoder().isEncodeEquals("smith", "smyth"));
}
@Test
public final void testCompare_SurnameCornerCase_Nulls_NoMatch() {
    assertFalse(getMatchRatingApproachEncoder().isEncodeEquals(null, null));
}</t>
  </si>
  <si>
    <t>// ***** END REGION - TEST GET MRA ENCODING
// ***** BEGIN REGION - TEST GET MRA COMPARISONS
@Test
public final void testCompare_SMITH_SMYTH_SuccessfullyMatched() {
    assertTrue(getMatchRatingApproachEncoder().isEncodeEquals("smith", "smyth"));
}
@Test
public final void testCompareNameToSingleLetter_KARL_C_DoesNotMatch() {
    assertFalse(getMatchRatingApproachEncoder().isEncodeEquals("Karl", "C"));
}</t>
  </si>
  <si>
    <t>testCompareNameToSingleLetter_KARL_C_DoesNotMatch</t>
  </si>
  <si>
    <t>// ***** END REGION - TEST GET MRA ENCODING
// ***** BEGIN REGION - TEST GET MRA COMPARISONS
@Test
public final void testCompare_SMITH_SMYTH_SuccessfullyMatched() {
    assertTrue(getMatchRatingApproachEncoder().isEncodeEquals("smith", "smyth"));
}
@Test
public final void testCompare_SurnamesCornerCase_MURPHY_NoSpace_NoMatch() {
    assertFalse(getMatchRatingApproachEncoder().isEncodeEquals("Murphy", ""));
}</t>
  </si>
  <si>
    <t>// ***** END REGION - TEST GET MRA ENCODING
// ***** BEGIN REGION - TEST GET MRA COMPARISONS
@Test
public final void testCompare_SMITH_SMYTH_SuccessfullyMatched() {
    assertTrue(getMatchRatingApproachEncoder().isEncodeEquals("smith", "smyth"));
}
@Test
public final void testCompare_LongSurnames_MORIARTY_OMUIRCHEARTAIGH_DoesNotSuccessfulMatch() {
    assertFalse(getMatchRatingApproachEncoder().isEncodeEquals("Moriarty", "OMuircheartaigh"));
}</t>
  </si>
  <si>
    <t>testCompare_LongSurnames_MORIARTY_OMUIRCHEARTAIGH_DoesNotSuccessfulMatch</t>
  </si>
  <si>
    <t>@Test
public final void testCompare_BURNS_BOURNE_SuccessfullyMatched() {
    assertTrue(getMatchRatingApproachEncoder().isEncodeEquals("Burns", "Bourne"));
}
@Test
public final void testCompare_BRIAN_BRYAN_SuccessfullyMatched() {
    assertTrue(getMatchRatingApproachEncoder().isEncodeEquals("Brian", "Bryan"));
}</t>
  </si>
  <si>
    <t>@Test
public final void testCompare_BURNS_BOURNE_SuccessfullyMatched() {
    assertTrue(getMatchRatingApproachEncoder().isEncodeEquals("Burns", "Bourne"));
}
@Test
public final void testCompare_SEAN_SHAUN_SuccessfullyMatched() {
    assertTrue(getMatchRatingApproachEncoder().isEncodeEquals("Séan", "Shaun"));
}</t>
  </si>
  <si>
    <t>@Test
public final void testCompare_BURNS_BOURNE_SuccessfullyMatched() {
    assertTrue(getMatchRatingApproachEncoder().isEncodeEquals("Burns", "Bourne"));
}
@Test
public final void testCompare_OONA_OONAGH_SuccessfullyMatched() {
    assertTrue(getMatchRatingApproachEncoder().isEncodeEquals("Oona", "Oonagh"));
}</t>
  </si>
  <si>
    <t>@Test
public final void testCompare_BURNS_BOURNE_SuccessfullyMatched() {
    assertTrue(getMatchRatingApproachEncoder().isEncodeEquals("Burns", "Bourne"));
}
@Test
public final void testCompare_TOMASZ_TOM_SuccessfullyMatched() {
    assertTrue(getMatchRatingApproachEncoder().isEncodeEquals("Tomasz", "tom"));
}</t>
  </si>
  <si>
    <t>@Test
public final void testCompare_BURNS_BOURNE_SuccessfullyMatched() {
    assertTrue(getMatchRatingApproachEncoder().isEncodeEquals("Burns", "Bourne"));
}
@Test
public final void testCompare_SAM_SAMUEL_SuccessfullyMatched() {
    assertTrue(getMatchRatingApproachEncoder().isEncodeEquals("Sam", "Samuel"));
}</t>
  </si>
  <si>
    <t>@Test
public final void testCompare_BURNS_BOURNE_SuccessfullyMatched() {
    assertTrue(getMatchRatingApproachEncoder().isEncodeEquals("Burns", "Bourne"));
}
@Test
public final void testCompare_MICKY_MICHAEL_SuccessfullyMatched() {
    assertTrue(getMatchRatingApproachEncoder().isEncodeEquals("Micky", "Michael"));
}</t>
  </si>
  <si>
    <t>@Test
public final void testCompare_BURNS_BOURNE_SuccessfullyMatched() {
    assertTrue(getMatchRatingApproachEncoder().isEncodeEquals("Burns", "Bourne"));
}
@Test
public final void testCompare_ZACH_ZAKARIA_SuccessfullyMatched() {
    assertTrue(getMatchRatingApproachEncoder().isEncodeEquals("Zach", "Zacharia"));
}</t>
  </si>
  <si>
    <t>@Test
public final void testCompare_BURNS_BOURNE_SuccessfullyMatched() {
    assertTrue(getMatchRatingApproachEncoder().isEncodeEquals("Burns", "Bourne"));
}
@Test
public final void testCompare_SOPHIE_SOFIA_SuccessfullyMatched() {
    assertTrue(getMatchRatingApproachEncoder().isEncodeEquals("Sophie", "Sofia"));
}</t>
  </si>
  <si>
    <t>@Test
public final void testCompare_BURNS_BOURNE_SuccessfullyMatched() {
    assertTrue(getMatchRatingApproachEncoder().isEncodeEquals("Burns", "Bourne"));
}
@Test
public final void testCompare_STEVEN_STEFAN_SuccessfullyMatched() {
    assertTrue(getMatchRatingApproachEncoder().isEncodeEquals("Steven", "Stefan"));
}</t>
  </si>
  <si>
    <t>@Test
public final void testCompare_BURNS_BOURNE_SuccessfullyMatched() {
    assertTrue(getMatchRatingApproachEncoder().isEncodeEquals("Burns", "Bourne"));
}
@Test
public final void testCompare_FRANCISZEK_FRANCES_SuccessfullyMatched() {
    assertTrue(getMatchRatingApproachEncoder().isEncodeEquals("Franciszek", "Frances"));
}</t>
  </si>
  <si>
    <t>@Test
public final void testCompare_BURNS_BOURNE_SuccessfullyMatched() {
    assertTrue(getMatchRatingApproachEncoder().isEncodeEquals("Burns", "Bourne"));
}
@Test
public final void testCompare_CATHERINE_KATHRYN_SuccessfullyMatched() {
    assertTrue(getMatchRatingApproachEncoder().isEncodeEquals("Catherine", "Kathryn"));
}</t>
  </si>
  <si>
    <t>@Test
public final void testCompare_BURNS_BOURNE_SuccessfullyMatched() {
    assertTrue(getMatchRatingApproachEncoder().isEncodeEquals("Burns", "Bourne"));
}
// **** END YIDDISH/SLAVIC SECTION ****
@Test
public final void testCompare_PETERSON_PETERS_SuccessfullyMatched() {
    assertTrue(getMatchRatingApproachEncoder().isEncodeEquals("Peterson", "Peters"));
}</t>
  </si>
  <si>
    <t>@Test
public final void testCompare_BURNS_BOURNE_SuccessfullyMatched() {
    assertTrue(getMatchRatingApproachEncoder().isEncodeEquals("Burns", "Bourne"));
}
@Test
public final void testCompare_STEPHEN_STEFAN_SuccessfullyMatched() {
    assertTrue(getMatchRatingApproachEncoder().isEncodeEquals("Stephen", "Stefan"));
}</t>
  </si>
  <si>
    <t>@Test
public final void testCompare_BURNS_BOURNE_SuccessfullyMatched() {
    assertTrue(getMatchRatingApproachEncoder().isEncodeEquals("Burns", "Bourne"));
}
@Test
public final void testCompare_STEPHEN_STEVEN_SuccessfullyMatched() {
    assertTrue(getMatchRatingApproachEncoder().isEncodeEquals("Stephen", "Steven"));
}</t>
  </si>
  <si>
    <t>@Test
public final void testCompare_BURNS_BOURNE_SuccessfullyMatched() {
    assertTrue(getMatchRatingApproachEncoder().isEncodeEquals("Burns", "Bourne"));
}
@Test
public final void testCompare_MCGOWAN_MCGEOGHEGAN_SuccessfullyMatched() {
    assertTrue(getMatchRatingApproachEncoder().isEncodeEquals("McGowan", "Mc Geoghegan"));
}</t>
  </si>
  <si>
    <t>@Test
public final void testCompare_BURNS_BOURNE_SuccessfullyMatched() {
    assertTrue(getMatchRatingApproachEncoder().isEncodeEquals("Burns", "Bourne"));
}
@Test
public final void testCompare_SmallInput_CARK_Kl_SuccessfullyMatched() {
    assertTrue(getMatchRatingApproachEncoder().isEncodeEquals("Kl", "Karl"));
}</t>
  </si>
  <si>
    <t>@Test
public final void testCompare_BURNS_BOURNE_SuccessfullyMatched() {
    assertTrue(getMatchRatingApproachEncoder().isEncodeEquals("Burns", "Bourne"));
}
@Test
public final void testCompare_Surname_HAILEY_HALLEY_SuccessfullyMatched() {
    assertTrue(getMatchRatingApproachEncoder().isEncodeEquals("Hailey", "Halley"));
}</t>
  </si>
  <si>
    <t>@Test
public final void testCompare_BURNS_BOURNE_SuccessfullyMatched() {
    assertTrue(getMatchRatingApproachEncoder().isEncodeEquals("Burns", "Bourne"));
}
// **** BEGIN YIDDISH/SLAVIC SECTION ****
@Test
public final void testCompare_Surname_AUERBACH_UHRBACH_SuccessfullyMatched() {
    assertTrue(getMatchRatingApproachEncoder().isEncodeEquals("Auerbach", "Uhrbach"));
}</t>
  </si>
  <si>
    <t>@Test
public final void testCompare_BURNS_BOURNE_SuccessfullyMatched() {
    assertTrue(getMatchRatingApproachEncoder().isEncodeEquals("Burns", "Bourne"));
}
@Test
public final void testCompare_Surname_LEWINSKY_LEVINSKI_SuccessfullyMatched() {
    assertTrue(getMatchRatingApproachEncoder().isEncodeEquals("LEWINSKY", "LEVINSKI"));
}</t>
  </si>
  <si>
    <t>@Test
public final void testCompare_BURNS_BOURNE_SuccessfullyMatched() {
    assertTrue(getMatchRatingApproachEncoder().isEncodeEquals("Burns", "Bourne"));
}
@Test
public final void testCompare_Surname_COOPERFLYNN_SUPERLYN_SuccessfullyMatched() {
    assertTrue(getMatchRatingApproachEncoder().isEncodeEquals("Cooper-Flynn", "Super-Lyn"));
}</t>
  </si>
  <si>
    <t>@Test
public final void testCompare_BURNS_BOURNE_SuccessfullyMatched() {
    assertTrue(getMatchRatingApproachEncoder().isEncodeEquals("Burns", "Bourne"));
}
@Test
public final void testCompare_Surname_PRZEMYSL_PSHEMESHIL_SuccessfullyMatched() {
    assertTrue(getMatchRatingApproachEncoder().isEncodeEquals(" P rz e m y s l", " P sh e m e sh i l"));
}</t>
  </si>
  <si>
    <t>@Test
public final void testCompare_BURNS_BOURNE_SuccessfullyMatched() {
    assertTrue(getMatchRatingApproachEncoder().isEncodeEquals("Burns", "Bourne"));
}
@Test
public final void testCompare_Surname_LIPSHITZ_LIPPSZYC_SuccessfullyMatched() {
    assertTrue(getMatchRatingApproachEncoder().isEncodeEquals("LIPSHITZ", "LIPPSZYC"));
}</t>
  </si>
  <si>
    <t>@Test
public final void testCompare_BURNS_BOURNE_SuccessfullyMatched() {
    assertTrue(getMatchRatingApproachEncoder().isEncodeEquals("Burns", "Bourne"));
}
@Test
public final void testCompare_Surname_MOSKOWITZ_MOSKOVITZ_SuccessfullyMatched() {
    assertTrue(getMatchRatingApproachEncoder().isEncodeEquals("Moskowitz", "Moskovitz"));
}</t>
  </si>
  <si>
    <t>@Test
public final void testCompare_BURNS_BOURNE_SuccessfullyMatched() {
    assertTrue(getMatchRatingApproachEncoder().isEncodeEquals("Burns", "Bourne"));
}
@Test
public final void testCompare_Surname_SZLAMAWICZ_SHLAMOVITZ_SuccessfullyMatched() {
    assertTrue(getMatchRatingApproachEncoder().isEncodeEquals("SZLAMAWICZ", "SHLAMOVITZ"));
}</t>
  </si>
  <si>
    <t>@Test
public final void testCompare_BURNS_BOURNE_SuccessfullyMatched() {
    assertTrue(getMatchRatingApproachEncoder().isEncodeEquals("Burns", "Bourne"));
}
@Test
public final void testCompare_Surname_ROSOCHOWACIEC_ROSOKHOVATSETS_SuccessfullyMatched() {
    assertTrue(getMatchRatingApproachEncoder().isEncodeEquals("R o s o ch o w a c ie c", " R o s o k ho v a ts e ts"));
}</t>
  </si>
  <si>
    <t>@Test
public final void testCompare_BURNS_BOURNE_SuccessfullyMatched() {
    assertTrue(getMatchRatingApproachEncoder().isEncodeEquals("Burns", "Bourne"));
}
@Test
public final void testCompare_KARL_ALESSANDRO_DoesNotMatch() {
    assertFalse(getMatchRatingApproachEncoder().isEncodeEquals("Karl", "Alessandro"));
}</t>
  </si>
  <si>
    <t>@Test
public final void testCompare_BURNS_BOURNE_SuccessfullyMatched() {
    assertTrue(getMatchRatingApproachEncoder().isEncodeEquals("Burns", "Bourne"));
}
// ***** Begin Region - Test Get Encoding - Surnames
@Test
public final void testCompare_Surname_OSULLIVAN_OSUILLEABHAIN_SuccessfulMatch() {
    assertTrue(getMatchRatingApproachEncoder().isEncodeEquals("O'Sullivan", "Ó ' Súilleabháin"));
}</t>
  </si>
  <si>
    <t>@Test
public final void testCompare_BURNS_BOURNE_SuccessfullyMatched() {
    assertTrue(getMatchRatingApproachEncoder().isEncodeEquals("Burns", "Bourne"));
}
@Test
public final void testCompare_Forenames_SEAN_JOHN_MatchExpected() {
    assertTrue(getMatchRatingApproachEncoder().isEncodeEquals("Sean", "John"));
}</t>
  </si>
  <si>
    <t>@Test
public final void testCompare_BURNS_BOURNE_SuccessfullyMatched() {
    assertTrue(getMatchRatingApproachEncoder().isEncodeEquals("Burns", "Bourne"));
}
@Test
public final void testCompare_ShortNames_AL_ED_WorksButNoMatch() {
    assertFalse(getMatchRatingApproachEncoder().isEncodeEquals("Al", "Ed"));
}</t>
  </si>
  <si>
    <t>@Test
public final void testCompare_BURNS_BOURNE_SuccessfullyMatched() {
    assertTrue(getMatchRatingApproachEncoder().isEncodeEquals("Burns", "Bourne"));
}
@Test
public final void testCompare_Forenames_UNA_OONAGH_ShouldSuccessfullyMatchButDoesNot() {
    // Disappointing
    assertFalse(getMatchRatingApproachEncoder().isEncodeEquals("Úna", "Oonagh"));
}</t>
  </si>
  <si>
    <t>@Test
public final void testCompare_BURNS_BOURNE_SuccessfullyMatched() {
    assertTrue(getMatchRatingApproachEncoder().isEncodeEquals("Burns", "Bourne"));
}
@Test
public final void testCompare_Forenames_SEAN_PETE_NoMatchExpected() {
    assertFalse(getMatchRatingApproachEncoder().isEncodeEquals("Sean", "Pete"));
}</t>
  </si>
  <si>
    <t>@Test
public final void testCompare_BURNS_BOURNE_SuccessfullyMatched() {
    assertTrue(getMatchRatingApproachEncoder().isEncodeEquals("Burns", "Bourne"));
}
@Test
public final void testCompare_COLM_COLIN_WithAccentsAndSymbolsAndSpaces_SuccessfullyMatched() {
    assertTrue(getMatchRatingApproachEncoder().isEncodeEquals("Cólm.   ", "C-olín"));
}</t>
  </si>
  <si>
    <t>@Test
public final void testCompare_BURNS_BOURNE_SuccessfullyMatched() {
    assertTrue(getMatchRatingApproachEncoder().isEncodeEquals("Burns", "Bourne"));
}
@Test
public final void testCompare_Surnames_MURPHY_LYNCH_NoMatchExpected() {
    assertFalse(getMatchRatingApproachEncoder().isEncodeEquals("Murphy", "Lynch"));
}</t>
  </si>
  <si>
    <t>@Test
public final void testCompare_BURNS_BOURNE_SuccessfullyMatched() {
    assertTrue(getMatchRatingApproachEncoder().isEncodeEquals("Burns", "Bourne"));
}
@Test
public final void testCompare_LongSurnames_OMUIRCHEARTAIGH_OMIREADHAIGH_SuccessfulMatch() {
    assertTrue(getMatchRatingApproachEncoder().isEncodeEquals("o'muireadhaigh", "Ó 'Muircheartaigh "));
}</t>
  </si>
  <si>
    <t>@Test
public final void testCompare_BURNS_BOURNE_SuccessfullyMatched() {
    assertTrue(getMatchRatingApproachEncoder().isEncodeEquals("Burns", "Bourne"));
}
@Test
public final void testCompareNameToSingleLetter_KARL_C_DoesNotMatch() {
    assertFalse(getMatchRatingApproachEncoder().isEncodeEquals("Karl", "C"));
}</t>
  </si>
  <si>
    <t>@Test
public final void testCompare_BURNS_BOURNE_SuccessfullyMatched() {
    assertTrue(getMatchRatingApproachEncoder().isEncodeEquals("Burns", "Bourne"));
}
@Test
public final void testCompare_SurnamesCornerCase_MURPHY_Space_NoMatch() {
    assertFalse(getMatchRatingApproachEncoder().isEncodeEquals("Murphy", " "));
}</t>
  </si>
  <si>
    <t>@Test
public final void testCompare_BURNS_BOURNE_SuccessfullyMatched() {
    assertTrue(getMatchRatingApproachEncoder().isEncodeEquals("Burns", "Bourne"));
}
@Test
public final void testCompare_SurnamesCornerCase_MURPHY_NoSpace_NoMatch() {
    assertFalse(getMatchRatingApproachEncoder().isEncodeEquals("Murphy", ""));
}</t>
  </si>
  <si>
    <t>@Test
public final void testCompare_BURNS_BOURNE_SuccessfullyMatched() {
    assertTrue(getMatchRatingApproachEncoder().isEncodeEquals("Burns", "Bourne"));
}
@Test
public final void testCompare_SurnameCornerCase_Nulls_NoMatch() {
    assertFalse(getMatchRatingApproachEncoder().isEncodeEquals(null, null));
}</t>
  </si>
  <si>
    <t>@Test
public final void testCompare_BURNS_BOURNE_SuccessfullyMatched() {
    assertTrue(getMatchRatingApproachEncoder().isEncodeEquals("Burns", "Bourne"));
}
@Test
public final void testCompare_LongSurnames_MORIARTY_OMUIRCHEARTAIGH_DoesNotSuccessfulMatch() {
    assertFalse(getMatchRatingApproachEncoder().isEncodeEquals("Moriarty", "OMuircheartaigh"));
}</t>
  </si>
  <si>
    <t>@Test
public final void testCompare_ShortNames_AL_ED_WorksButNoMatch() {
    assertFalse(getMatchRatingApproachEncoder().isEncodeEquals("Al", "Ed"));
}
@Test
public final void testCompare_KARL_ALESSANDRO_DoesNotMatch() {
    assertFalse(getMatchRatingApproachEncoder().isEncodeEquals("Karl", "Alessandro"));
}</t>
  </si>
  <si>
    <t>@Test
public final void testCompare_ShortNames_AL_ED_WorksButNoMatch() {
    assertFalse(getMatchRatingApproachEncoder().isEncodeEquals("Al", "Ed"));
}
@Test
public final void testCompare_Forenames_SEAN_PETE_NoMatchExpected() {
    assertFalse(getMatchRatingApproachEncoder().isEncodeEquals("Sean", "Pete"));
}</t>
  </si>
  <si>
    <t>@Test
public final void testCompare_ShortNames_AL_ED_WorksButNoMatch() {
    assertFalse(getMatchRatingApproachEncoder().isEncodeEquals("Al", "Ed"));
}
@Test
public final void testCompare_Surnames_MURPHY_LYNCH_NoMatchExpected() {
    assertFalse(getMatchRatingApproachEncoder().isEncodeEquals("Murphy", "Lynch"));
}</t>
  </si>
  <si>
    <t>@Test
public final void testCompare_ShortNames_AL_ED_WorksButNoMatch() {
    assertFalse(getMatchRatingApproachEncoder().isEncodeEquals("Al", "Ed"));
}
@Test
public final void testCompare_SurnamesCornerCase_MURPHY_NoSpace_NoMatch() {
    assertFalse(getMatchRatingApproachEncoder().isEncodeEquals("Murphy", ""));
}</t>
  </si>
  <si>
    <t>@Test
public final void testCompare_ShortNames_AL_ED_WorksButNoMatch() {
    assertFalse(getMatchRatingApproachEncoder().isEncodeEquals("Al", "Ed"));
}
@Test
public final void testCompare_SurnamesCornerCase_MURPHY_Space_NoMatch() {
    assertFalse(getMatchRatingApproachEncoder().isEncodeEquals("Murphy", " "));
}</t>
  </si>
  <si>
    <t>@Test
public final void testCompare_ShortNames_AL_ED_WorksButNoMatch() {
    assertFalse(getMatchRatingApproachEncoder().isEncodeEquals("Al", "Ed"));
}
@Test
public final void testCompareNameToSingleLetter_KARL_C_DoesNotMatch() {
    assertFalse(getMatchRatingApproachEncoder().isEncodeEquals("Karl", "C"));
}</t>
  </si>
  <si>
    <t>@Test
public final void testCompare_ShortNames_AL_ED_WorksButNoMatch() {
    assertFalse(getMatchRatingApproachEncoder().isEncodeEquals("Al", "Ed"));
}
@Test
public final void testCompare_STEVEN_STEFAN_SuccessfullyMatched() {
    assertTrue(getMatchRatingApproachEncoder().isEncodeEquals("Steven", "Stefan"));
}</t>
  </si>
  <si>
    <t>@Test
public final void testCompare_ShortNames_AL_ED_WorksButNoMatch() {
    assertFalse(getMatchRatingApproachEncoder().isEncodeEquals("Al", "Ed"));
}
@Test
public final void testCompare_STEPHEN_STEFAN_SuccessfullyMatched() {
    assertTrue(getMatchRatingApproachEncoder().isEncodeEquals("Stephen", "Stefan"));
}</t>
  </si>
  <si>
    <t>@Test
public final void testCompare_ShortNames_AL_ED_WorksButNoMatch() {
    assertFalse(getMatchRatingApproachEncoder().isEncodeEquals("Al", "Ed"));
}
@Test
public final void testCompare_SEAN_SHAUN_SuccessfullyMatched() {
    assertTrue(getMatchRatingApproachEncoder().isEncodeEquals("Séan", "Shaun"));
}</t>
  </si>
  <si>
    <t>@Test
public final void testCompare_ShortNames_AL_ED_WorksButNoMatch() {
    assertFalse(getMatchRatingApproachEncoder().isEncodeEquals("Al", "Ed"));
}
@Test
public final void testCompare_Forenames_SEAN_JOHN_MatchExpected() {
    assertTrue(getMatchRatingApproachEncoder().isEncodeEquals("Sean", "John"));
}</t>
  </si>
  <si>
    <t>@Test
public final void testCompare_ShortNames_AL_ED_WorksButNoMatch() {
    assertFalse(getMatchRatingApproachEncoder().isEncodeEquals("Al", "Ed"));
}
@Test
public final void testCompare_BRIAN_BRYAN_SuccessfullyMatched() {
    assertTrue(getMatchRatingApproachEncoder().isEncodeEquals("Brian", "Bryan"));
}</t>
  </si>
  <si>
    <t>@Test
public final void testCompare_ShortNames_AL_ED_WorksButNoMatch() {
    assertFalse(getMatchRatingApproachEncoder().isEncodeEquals("Al", "Ed"));
}
@Test
public final void testCompare_SAM_SAMUEL_SuccessfullyMatched() {
    assertTrue(getMatchRatingApproachEncoder().isEncodeEquals("Sam", "Samuel"));
}</t>
  </si>
  <si>
    <t>@Test
public final void testCompare_ShortNames_AL_ED_WorksButNoMatch() {
    assertFalse(getMatchRatingApproachEncoder().isEncodeEquals("Al", "Ed"));
}
@Test
public final void testCompare_SOPHIE_SOFIA_SuccessfullyMatched() {
    assertTrue(getMatchRatingApproachEncoder().isEncodeEquals("Sophie", "Sofia"));
}</t>
  </si>
  <si>
    <t>@Test
public final void testCompare_ShortNames_AL_ED_WorksButNoMatch() {
    assertFalse(getMatchRatingApproachEncoder().isEncodeEquals("Al", "Ed"));
}
@Test
public final void testCompare_Surname_HAILEY_HALLEY_SuccessfullyMatched() {
    assertTrue(getMatchRatingApproachEncoder().isEncodeEquals("Hailey", "Halley"));
}</t>
  </si>
  <si>
    <t>@Test
public final void testCompare_ShortNames_AL_ED_WorksButNoMatch() {
    assertFalse(getMatchRatingApproachEncoder().isEncodeEquals("Al", "Ed"));
}
@Test
public final void testCompare_SurnameCornerCase_Nulls_NoMatch() {
    assertFalse(getMatchRatingApproachEncoder().isEncodeEquals(null, null));
}</t>
  </si>
  <si>
    <t>@Test
public final void testCompare_ShortNames_AL_ED_WorksButNoMatch() {
    assertFalse(getMatchRatingApproachEncoder().isEncodeEquals("Al", "Ed"));
}
@Test
public final void testCompare_STEPHEN_STEVEN_SuccessfullyMatched() {
    assertTrue(getMatchRatingApproachEncoder().isEncodeEquals("Stephen", "Steven"));
}</t>
  </si>
  <si>
    <t>@Test
public final void testCompare_ShortNames_AL_ED_WorksButNoMatch() {
    assertFalse(getMatchRatingApproachEncoder().isEncodeEquals("Al", "Ed"));
}
@Test
public final void testCompare_MICKY_MICHAEL_SuccessfullyMatched() {
    assertTrue(getMatchRatingApproachEncoder().isEncodeEquals("Micky", "Michael"));
}</t>
  </si>
  <si>
    <t>@Test
public final void testCompare_ShortNames_AL_ED_WorksButNoMatch() {
    assertFalse(getMatchRatingApproachEncoder().isEncodeEquals("Al", "Ed"));
}
@Test
public final void testCompare_SmallInput_CARK_Kl_SuccessfullyMatched() {
    assertTrue(getMatchRatingApproachEncoder().isEncodeEquals("Kl", "Karl"));
}</t>
  </si>
  <si>
    <t>@Test
public final void testCompare_ShortNames_AL_ED_WorksButNoMatch() {
    assertFalse(getMatchRatingApproachEncoder().isEncodeEquals("Al", "Ed"));
}
@Test
public final void testCompare_ZACH_ZAKARIA_SuccessfullyMatched() {
    assertTrue(getMatchRatingApproachEncoder().isEncodeEquals("Zach", "Zacharia"));
}</t>
  </si>
  <si>
    <t>@Test
public final void testCompare_ShortNames_AL_ED_WorksButNoMatch() {
    assertFalse(getMatchRatingApproachEncoder().isEncodeEquals("Al", "Ed"));
}
@Test
public final void testCompare_OONA_OONAGH_SuccessfullyMatched() {
    assertTrue(getMatchRatingApproachEncoder().isEncodeEquals("Oona", "Oonagh"));
}</t>
  </si>
  <si>
    <t>@Test
public final void testCompare_ShortNames_AL_ED_WorksButNoMatch() {
    assertFalse(getMatchRatingApproachEncoder().isEncodeEquals("Al", "Ed"));
}
@Test
public final void testCompare_FRANCISZEK_FRANCES_SuccessfullyMatched() {
    assertTrue(getMatchRatingApproachEncoder().isEncodeEquals("Franciszek", "Frances"));
}</t>
  </si>
  <si>
    <t>@Test
public final void testCompare_ShortNames_AL_ED_WorksButNoMatch() {
    assertFalse(getMatchRatingApproachEncoder().isEncodeEquals("Al", "Ed"));
}
@Test
public final void testCompare_TOMASZ_TOM_SuccessfullyMatched() {
    assertTrue(getMatchRatingApproachEncoder().isEncodeEquals("Tomasz", "tom"));
}</t>
  </si>
  <si>
    <t>@Test
public final void testCompare_ShortNames_AL_ED_WorksButNoMatch() {
    assertFalse(getMatchRatingApproachEncoder().isEncodeEquals("Al", "Ed"));
}
// **** END YIDDISH/SLAVIC SECTION ****
@Test
public final void testCompare_PETERSON_PETERS_SuccessfullyMatched() {
    assertTrue(getMatchRatingApproachEncoder().isEncodeEquals("Peterson", "Peters"));
}</t>
  </si>
  <si>
    <t>@Test
public final void testCompare_ShortNames_AL_ED_WorksButNoMatch() {
    assertFalse(getMatchRatingApproachEncoder().isEncodeEquals("Al", "Ed"));
}
@Test
public final void testCompare_CATHERINE_KATHRYN_SuccessfullyMatched() {
    assertTrue(getMatchRatingApproachEncoder().isEncodeEquals("Catherine", "Kathryn"));
}</t>
  </si>
  <si>
    <t>@Test
public final void testCompare_ShortNames_AL_ED_WorksButNoMatch() {
    assertFalse(getMatchRatingApproachEncoder().isEncodeEquals("Al", "Ed"));
}
@Test
public final void testCompare_MCGOWAN_MCGEOGHEGAN_SuccessfullyMatched() {
    assertTrue(getMatchRatingApproachEncoder().isEncodeEquals("McGowan", "Mc Geoghegan"));
}</t>
  </si>
  <si>
    <t>@Test
public final void testCompare_ShortNames_AL_ED_WorksButNoMatch() {
    assertFalse(getMatchRatingApproachEncoder().isEncodeEquals("Al", "Ed"));
}
// **** BEGIN YIDDISH/SLAVIC SECTION ****
@Test
public final void testCompare_Surname_AUERBACH_UHRBACH_SuccessfullyMatched() {
    assertTrue(getMatchRatingApproachEncoder().isEncodeEquals("Auerbach", "Uhrbach"));
}</t>
  </si>
  <si>
    <t>@Test
public final void testCompare_ShortNames_AL_ED_WorksButNoMatch() {
    assertFalse(getMatchRatingApproachEncoder().isEncodeEquals("Al", "Ed"));
}
@Test
public final void testCompare_Forenames_UNA_OONAGH_ShouldSuccessfullyMatchButDoesNot() {
    // Disappointing
    assertFalse(getMatchRatingApproachEncoder().isEncodeEquals("Úna", "Oonagh"));
}</t>
  </si>
  <si>
    <t>@Test
public final void testCompare_ShortNames_AL_ED_WorksButNoMatch() {
    assertFalse(getMatchRatingApproachEncoder().isEncodeEquals("Al", "Ed"));
}
@Test
public final void testCompare_Surname_LEWINSKY_LEVINSKI_SuccessfullyMatched() {
    assertTrue(getMatchRatingApproachEncoder().isEncodeEquals("LEWINSKY", "LEVINSKI"));
}</t>
  </si>
  <si>
    <t>@Test
public final void testCompare_ShortNames_AL_ED_WorksButNoMatch() {
    assertFalse(getMatchRatingApproachEncoder().isEncodeEquals("Al", "Ed"));
}
@Test
public final void testCompare_Surname_PRZEMYSL_PSHEMESHIL_SuccessfullyMatched() {
    assertTrue(getMatchRatingApproachEncoder().isEncodeEquals(" P rz e m y s l", " P sh e m e sh i l"));
}</t>
  </si>
  <si>
    <t>@Test
public final void testCompare_ShortNames_AL_ED_WorksButNoMatch() {
    assertFalse(getMatchRatingApproachEncoder().isEncodeEquals("Al", "Ed"));
}
@Test
public final void testCompare_Surname_LIPSHITZ_LIPPSZYC_SuccessfullyMatched() {
    assertTrue(getMatchRatingApproachEncoder().isEncodeEquals("LIPSHITZ", "LIPPSZYC"));
}</t>
  </si>
  <si>
    <t>@Test
public final void testCompare_ShortNames_AL_ED_WorksButNoMatch() {
    assertFalse(getMatchRatingApproachEncoder().isEncodeEquals("Al", "Ed"));
}
@Test
public final void testCompare_Surname_COOPERFLYNN_SUPERLYN_SuccessfullyMatched() {
    assertTrue(getMatchRatingApproachEncoder().isEncodeEquals("Cooper-Flynn", "Super-Lyn"));
}</t>
  </si>
  <si>
    <t>@Test
public final void testCompare_ShortNames_AL_ED_WorksButNoMatch() {
    assertFalse(getMatchRatingApproachEncoder().isEncodeEquals("Al", "Ed"));
}
@Test
public final void testCompare_Surname_MOSKOWITZ_MOSKOVITZ_SuccessfullyMatched() {
    assertTrue(getMatchRatingApproachEncoder().isEncodeEquals("Moskowitz", "Moskovitz"));
}</t>
  </si>
  <si>
    <t>@Test
public final void testCompare_ShortNames_AL_ED_WorksButNoMatch() {
    assertFalse(getMatchRatingApproachEncoder().isEncodeEquals("Al", "Ed"));
}
// ***** Begin Region - Test Get Encoding - Surnames
@Test
public final void testCompare_Surname_OSULLIVAN_OSUILLEABHAIN_SuccessfulMatch() {
    assertTrue(getMatchRatingApproachEncoder().isEncodeEquals("O'Sullivan", "Ó ' Súilleabháin"));
}</t>
  </si>
  <si>
    <t>@Test
public final void testCompare_ShortNames_AL_ED_WorksButNoMatch() {
    assertFalse(getMatchRatingApproachEncoder().isEncodeEquals("Al", "Ed"));
}
@Test
public final void testCompare_Surname_SZLAMAWICZ_SHLAMOVITZ_SuccessfullyMatched() {
    assertTrue(getMatchRatingApproachEncoder().isEncodeEquals("SZLAMAWICZ", "SHLAMOVITZ"));
}</t>
  </si>
  <si>
    <t>@Test
public final void testCompare_ShortNames_AL_ED_WorksButNoMatch() {
    assertFalse(getMatchRatingApproachEncoder().isEncodeEquals("Al", "Ed"));
}
@Test
public final void testCompare_LongSurnames_MORIARTY_OMUIRCHEARTAIGH_DoesNotSuccessfulMatch() {
    assertFalse(getMatchRatingApproachEncoder().isEncodeEquals("Moriarty", "OMuircheartaigh"));
}</t>
  </si>
  <si>
    <t>@Test
public final void testCompare_ShortNames_AL_ED_WorksButNoMatch() {
    assertFalse(getMatchRatingApproachEncoder().isEncodeEquals("Al", "Ed"));
}
@Test
public final void testCompare_LongSurnames_OMUIRCHEARTAIGH_OMIREADHAIGH_SuccessfulMatch() {
    assertTrue(getMatchRatingApproachEncoder().isEncodeEquals("o'muireadhaigh", "Ó 'Muircheartaigh "));
}</t>
  </si>
  <si>
    <t>@Test
public final void testCompare_ShortNames_AL_ED_WorksButNoMatch() {
    assertFalse(getMatchRatingApproachEncoder().isEncodeEquals("Al", "Ed"));
}
@Test
public final void testCompare_Surname_ROSOCHOWACIEC_ROSOKHOVATSETS_SuccessfullyMatched() {
    assertTrue(getMatchRatingApproachEncoder().isEncodeEquals("R o s o ch o w a c ie c", " R o s o k ho v a ts e ts"));
}</t>
  </si>
  <si>
    <t>@Test
public final void testCompare_ShortNames_AL_ED_WorksButNoMatch() {
    assertFalse(getMatchRatingApproachEncoder().isEncodeEquals("Al", "Ed"));
}
@Test
public final void testCompare_COLM_COLIN_WithAccentsAndSymbolsAndSpaces_SuccessfullyMatched() {
    assertTrue(getMatchRatingApproachEncoder().isEncodeEquals("Cólm.   ", "C-olín"));
}</t>
  </si>
  <si>
    <t>@Test
public final void testCompare_CATHERINE_KATHRYN_SuccessfullyMatched() {
    assertTrue(getMatchRatingApproachEncoder().isEncodeEquals("Catherine", "Kathryn"));
}
@Test
public final void testCompare_STEVEN_STEFAN_SuccessfullyMatched() {
    assertTrue(getMatchRatingApproachEncoder().isEncodeEquals("Steven", "Stefan"));
}</t>
  </si>
  <si>
    <t>@Test
public final void testCompare_CATHERINE_KATHRYN_SuccessfullyMatched() {
    assertTrue(getMatchRatingApproachEncoder().isEncodeEquals("Catherine", "Kathryn"));
}
// **** END YIDDISH/SLAVIC SECTION ****
@Test
public final void testCompare_PETERSON_PETERS_SuccessfullyMatched() {
    assertTrue(getMatchRatingApproachEncoder().isEncodeEquals("Peterson", "Peters"));
}</t>
  </si>
  <si>
    <t>@Test
public final void testCompare_CATHERINE_KATHRYN_SuccessfullyMatched() {
    assertTrue(getMatchRatingApproachEncoder().isEncodeEquals("Catherine", "Kathryn"));
}
@Test
public final void testCompare_SEAN_SHAUN_SuccessfullyMatched() {
    assertTrue(getMatchRatingApproachEncoder().isEncodeEquals("Séan", "Shaun"));
}</t>
  </si>
  <si>
    <t>@Test
public final void testCompare_CATHERINE_KATHRYN_SuccessfullyMatched() {
    assertTrue(getMatchRatingApproachEncoder().isEncodeEquals("Catherine", "Kathryn"));
}
@Test
public final void testCompare_STEPHEN_STEFAN_SuccessfullyMatched() {
    assertTrue(getMatchRatingApproachEncoder().isEncodeEquals("Stephen", "Stefan"));
}</t>
  </si>
  <si>
    <t>@Test
public final void testCompare_CATHERINE_KATHRYN_SuccessfullyMatched() {
    assertTrue(getMatchRatingApproachEncoder().isEncodeEquals("Catherine", "Kathryn"));
}
@Test
public final void testCompare_BRIAN_BRYAN_SuccessfullyMatched() {
    assertTrue(getMatchRatingApproachEncoder().isEncodeEquals("Brian", "Bryan"));
}</t>
  </si>
  <si>
    <t>@Test
public final void testCompare_CATHERINE_KATHRYN_SuccessfullyMatched() {
    assertTrue(getMatchRatingApproachEncoder().isEncodeEquals("Catherine", "Kathryn"));
}
@Test
public final void testCompare_ZACH_ZAKARIA_SuccessfullyMatched() {
    assertTrue(getMatchRatingApproachEncoder().isEncodeEquals("Zach", "Zacharia"));
}</t>
  </si>
  <si>
    <t>@Test
public final void testCompare_CATHERINE_KATHRYN_SuccessfullyMatched() {
    assertTrue(getMatchRatingApproachEncoder().isEncodeEquals("Catherine", "Kathryn"));
}
@Test
public final void testCompare_STEPHEN_STEVEN_SuccessfullyMatched() {
    assertTrue(getMatchRatingApproachEncoder().isEncodeEquals("Stephen", "Steven"));
}</t>
  </si>
  <si>
    <t>@Test
public final void testCompare_CATHERINE_KATHRYN_SuccessfullyMatched() {
    assertTrue(getMatchRatingApproachEncoder().isEncodeEquals("Catherine", "Kathryn"));
}
@Test
public final void testCompare_SOPHIE_SOFIA_SuccessfullyMatched() {
    assertTrue(getMatchRatingApproachEncoder().isEncodeEquals("Sophie", "Sofia"));
}</t>
  </si>
  <si>
    <t>@Test
public final void testCompare_CATHERINE_KATHRYN_SuccessfullyMatched() {
    assertTrue(getMatchRatingApproachEncoder().isEncodeEquals("Catherine", "Kathryn"));
}
@Test
public final void testCompare_TOMASZ_TOM_SuccessfullyMatched() {
    assertTrue(getMatchRatingApproachEncoder().isEncodeEquals("Tomasz", "tom"));
}</t>
  </si>
  <si>
    <t>@Test
public final void testCompare_CATHERINE_KATHRYN_SuccessfullyMatched() {
    assertTrue(getMatchRatingApproachEncoder().isEncodeEquals("Catherine", "Kathryn"));
}
@Test
public final void testCompare_OONA_OONAGH_SuccessfullyMatched() {
    assertTrue(getMatchRatingApproachEncoder().isEncodeEquals("Oona", "Oonagh"));
}</t>
  </si>
  <si>
    <t>@Test
public final void testCompare_CATHERINE_KATHRYN_SuccessfullyMatched() {
    assertTrue(getMatchRatingApproachEncoder().isEncodeEquals("Catherine", "Kathryn"));
}
@Test
public final void testCompare_SAM_SAMUEL_SuccessfullyMatched() {
    assertTrue(getMatchRatingApproachEncoder().isEncodeEquals("Sam", "Samuel"));
}</t>
  </si>
  <si>
    <t>@Test
public final void testCompare_CATHERINE_KATHRYN_SuccessfullyMatched() {
    assertTrue(getMatchRatingApproachEncoder().isEncodeEquals("Catherine", "Kathryn"));
}
@Test
public final void testCompare_MICKY_MICHAEL_SuccessfullyMatched() {
    assertTrue(getMatchRatingApproachEncoder().isEncodeEquals("Micky", "Michael"));
}</t>
  </si>
  <si>
    <t>@Test
public final void testCompare_CATHERINE_KATHRYN_SuccessfullyMatched() {
    assertTrue(getMatchRatingApproachEncoder().isEncodeEquals("Catherine", "Kathryn"));
}
@Test
public final void testCompare_MCGOWAN_MCGEOGHEGAN_SuccessfullyMatched() {
    assertTrue(getMatchRatingApproachEncoder().isEncodeEquals("McGowan", "Mc Geoghegan"));
}</t>
  </si>
  <si>
    <t>@Test
public final void testCompare_CATHERINE_KATHRYN_SuccessfullyMatched() {
    assertTrue(getMatchRatingApproachEncoder().isEncodeEquals("Catherine", "Kathryn"));
}
@Test
public final void testCompare_SmallInput_CARK_Kl_SuccessfullyMatched() {
    assertTrue(getMatchRatingApproachEncoder().isEncodeEquals("Kl", "Karl"));
}</t>
  </si>
  <si>
    <t>@Test
public final void testCompare_CATHERINE_KATHRYN_SuccessfullyMatched() {
    assertTrue(getMatchRatingApproachEncoder().isEncodeEquals("Catherine", "Kathryn"));
}
@Test
public final void testCompare_FRANCISZEK_FRANCES_SuccessfullyMatched() {
    assertTrue(getMatchRatingApproachEncoder().isEncodeEquals("Franciszek", "Frances"));
}</t>
  </si>
  <si>
    <t>@Test
public final void testCompare_CATHERINE_KATHRYN_SuccessfullyMatched() {
    assertTrue(getMatchRatingApproachEncoder().isEncodeEquals("Catherine", "Kathryn"));
}
@Test
public final void testCompare_Surname_HAILEY_HALLEY_SuccessfullyMatched() {
    assertTrue(getMatchRatingApproachEncoder().isEncodeEquals("Hailey", "Halley"));
}</t>
  </si>
  <si>
    <t>@Test
public final void testCompare_CATHERINE_KATHRYN_SuccessfullyMatched() {
    assertTrue(getMatchRatingApproachEncoder().isEncodeEquals("Catherine", "Kathryn"));
}
@Test
public final void testCompare_Surname_COOPERFLYNN_SUPERLYN_SuccessfullyMatched() {
    assertTrue(getMatchRatingApproachEncoder().isEncodeEquals("Cooper-Flynn", "Super-Lyn"));
}</t>
  </si>
  <si>
    <t>@Test
public final void testCompare_CATHERINE_KATHRYN_SuccessfullyMatched() {
    assertTrue(getMatchRatingApproachEncoder().isEncodeEquals("Catherine", "Kathryn"));
}
// **** BEGIN YIDDISH/SLAVIC SECTION ****
@Test
public final void testCompare_Surname_AUERBACH_UHRBACH_SuccessfullyMatched() {
    assertTrue(getMatchRatingApproachEncoder().isEncodeEquals("Auerbach", "Uhrbach"));
}</t>
  </si>
  <si>
    <t>@Test
public final void testCompare_CATHERINE_KATHRYN_SuccessfullyMatched() {
    assertTrue(getMatchRatingApproachEncoder().isEncodeEquals("Catherine", "Kathryn"));
}
@Test
public final void testCompare_Surname_LEWINSKY_LEVINSKI_SuccessfullyMatched() {
    assertTrue(getMatchRatingApproachEncoder().isEncodeEquals("LEWINSKY", "LEVINSKI"));
}</t>
  </si>
  <si>
    <t>@Test
public final void testCompare_CATHERINE_KATHRYN_SuccessfullyMatched() {
    assertTrue(getMatchRatingApproachEncoder().isEncodeEquals("Catherine", "Kathryn"));
}
@Test
public final void testCompare_Surname_LIPSHITZ_LIPPSZYC_SuccessfullyMatched() {
    assertTrue(getMatchRatingApproachEncoder().isEncodeEquals("LIPSHITZ", "LIPPSZYC"));
}</t>
  </si>
  <si>
    <t>@Test
public final void testCompare_CATHERINE_KATHRYN_SuccessfullyMatched() {
    assertTrue(getMatchRatingApproachEncoder().isEncodeEquals("Catherine", "Kathryn"));
}
@Test
public final void testCompare_Surname_MOSKOWITZ_MOSKOVITZ_SuccessfullyMatched() {
    assertTrue(getMatchRatingApproachEncoder().isEncodeEquals("Moskowitz", "Moskovitz"));
}</t>
  </si>
  <si>
    <t>@Test
public final void testCompare_CATHERINE_KATHRYN_SuccessfullyMatched() {
    assertTrue(getMatchRatingApproachEncoder().isEncodeEquals("Catherine", "Kathryn"));
}
@Test
public final void testCompare_Surname_PRZEMYSL_PSHEMESHIL_SuccessfullyMatched() {
    assertTrue(getMatchRatingApproachEncoder().isEncodeEquals(" P rz e m y s l", " P sh e m e sh i l"));
}</t>
  </si>
  <si>
    <t>@Test
public final void testCompare_CATHERINE_KATHRYN_SuccessfullyMatched() {
    assertTrue(getMatchRatingApproachEncoder().isEncodeEquals("Catherine", "Kathryn"));
}
@Test
public final void testCompare_Surname_SZLAMAWICZ_SHLAMOVITZ_SuccessfullyMatched() {
    assertTrue(getMatchRatingApproachEncoder().isEncodeEquals("SZLAMAWICZ", "SHLAMOVITZ"));
}</t>
  </si>
  <si>
    <t>@Test
public final void testCompare_CATHERINE_KATHRYN_SuccessfullyMatched() {
    assertTrue(getMatchRatingApproachEncoder().isEncodeEquals("Catherine", "Kathryn"));
}
@Test
public final void testCompare_Surname_ROSOCHOWACIEC_ROSOKHOVATSETS_SuccessfullyMatched() {
    assertTrue(getMatchRatingApproachEncoder().isEncodeEquals("R o s o ch o w a c ie c", " R o s o k ho v a ts e ts"));
}</t>
  </si>
  <si>
    <t>@Test
public final void testCompare_CATHERINE_KATHRYN_SuccessfullyMatched() {
    assertTrue(getMatchRatingApproachEncoder().isEncodeEquals("Catherine", "Kathryn"));
}
// ***** Begin Region - Test Get Encoding - Surnames
@Test
public final void testCompare_Surname_OSULLIVAN_OSUILLEABHAIN_SuccessfulMatch() {
    assertTrue(getMatchRatingApproachEncoder().isEncodeEquals("O'Sullivan", "Ó ' Súilleabháin"));
}</t>
  </si>
  <si>
    <t>@Test
public final void testCompare_CATHERINE_KATHRYN_SuccessfullyMatched() {
    assertTrue(getMatchRatingApproachEncoder().isEncodeEquals("Catherine", "Kathryn"));
}
@Test
public final void testCompare_KARL_ALESSANDRO_DoesNotMatch() {
    assertFalse(getMatchRatingApproachEncoder().isEncodeEquals("Karl", "Alessandro"));
}</t>
  </si>
  <si>
    <t>@Test
public final void testCompare_CATHERINE_KATHRYN_SuccessfullyMatched() {
    assertTrue(getMatchRatingApproachEncoder().isEncodeEquals("Catherine", "Kathryn"));
}
@Test
public final void testCompare_Forenames_SEAN_JOHN_MatchExpected() {
    assertTrue(getMatchRatingApproachEncoder().isEncodeEquals("Sean", "John"));
}</t>
  </si>
  <si>
    <t>@Test
public final void testCompare_CATHERINE_KATHRYN_SuccessfullyMatched() {
    assertTrue(getMatchRatingApproachEncoder().isEncodeEquals("Catherine", "Kathryn"));
}
@Test
public final void testCompare_COLM_COLIN_WithAccentsAndSymbolsAndSpaces_SuccessfullyMatched() {
    assertTrue(getMatchRatingApproachEncoder().isEncodeEquals("Cólm.   ", "C-olín"));
}</t>
  </si>
  <si>
    <t>@Test
public final void testCompare_CATHERINE_KATHRYN_SuccessfullyMatched() {
    assertTrue(getMatchRatingApproachEncoder().isEncodeEquals("Catherine", "Kathryn"));
}
@Test
public final void testCompare_Forenames_UNA_OONAGH_ShouldSuccessfullyMatchButDoesNot() {
    // Disappointing
    assertFalse(getMatchRatingApproachEncoder().isEncodeEquals("Úna", "Oonagh"));
}</t>
  </si>
  <si>
    <t>@Test
public final void testCompare_CATHERINE_KATHRYN_SuccessfullyMatched() {
    assertTrue(getMatchRatingApproachEncoder().isEncodeEquals("Catherine", "Kathryn"));
}
@Test
public final void testCompare_LongSurnames_OMUIRCHEARTAIGH_OMIREADHAIGH_SuccessfulMatch() {
    assertTrue(getMatchRatingApproachEncoder().isEncodeEquals("o'muireadhaigh", "Ó 'Muircheartaigh "));
}</t>
  </si>
  <si>
    <t>@Test
public final void testCompare_CATHERINE_KATHRYN_SuccessfullyMatched() {
    assertTrue(getMatchRatingApproachEncoder().isEncodeEquals("Catherine", "Kathryn"));
}
@Test
public final void testCompare_Forenames_SEAN_PETE_NoMatchExpected() {
    assertFalse(getMatchRatingApproachEncoder().isEncodeEquals("Sean", "Pete"));
}</t>
  </si>
  <si>
    <t>@Test
public final void testCompare_CATHERINE_KATHRYN_SuccessfullyMatched() {
    assertTrue(getMatchRatingApproachEncoder().isEncodeEquals("Catherine", "Kathryn"));
}
@Test
public final void testCompareNameToSingleLetter_KARL_C_DoesNotMatch() {
    assertFalse(getMatchRatingApproachEncoder().isEncodeEquals("Karl", "C"));
}</t>
  </si>
  <si>
    <t>@Test
public final void testCompare_CATHERINE_KATHRYN_SuccessfullyMatched() {
    assertTrue(getMatchRatingApproachEncoder().isEncodeEquals("Catherine", "Kathryn"));
}
@Test
public final void testCompare_Surnames_MURPHY_LYNCH_NoMatchExpected() {
    assertFalse(getMatchRatingApproachEncoder().isEncodeEquals("Murphy", "Lynch"));
}</t>
  </si>
  <si>
    <t>@Test
public final void testCompare_CATHERINE_KATHRYN_SuccessfullyMatched() {
    assertTrue(getMatchRatingApproachEncoder().isEncodeEquals("Catherine", "Kathryn"));
}
@Test
public final void testCompare_SurnamesCornerCase_MURPHY_Space_NoMatch() {
    assertFalse(getMatchRatingApproachEncoder().isEncodeEquals("Murphy", " "));
}</t>
  </si>
  <si>
    <t>@Test
public final void testCompare_CATHERINE_KATHRYN_SuccessfullyMatched() {
    assertTrue(getMatchRatingApproachEncoder().isEncodeEquals("Catherine", "Kathryn"));
}
@Test
public final void testCompare_SurnamesCornerCase_MURPHY_NoSpace_NoMatch() {
    assertFalse(getMatchRatingApproachEncoder().isEncodeEquals("Murphy", ""));
}</t>
  </si>
  <si>
    <t>@Test
public final void testCompare_CATHERINE_KATHRYN_SuccessfullyMatched() {
    assertTrue(getMatchRatingApproachEncoder().isEncodeEquals("Catherine", "Kathryn"));
}
@Test
public final void testCompare_LongSurnames_MORIARTY_OMUIRCHEARTAIGH_DoesNotSuccessfulMatch() {
    assertFalse(getMatchRatingApproachEncoder().isEncodeEquals("Moriarty", "OMuircheartaigh"));
}</t>
  </si>
  <si>
    <t>@Test
public final void testCompare_CATHERINE_KATHRYN_SuccessfullyMatched() {
    assertTrue(getMatchRatingApproachEncoder().isEncodeEquals("Catherine", "Kathryn"));
}
@Test
public final void testCompare_SurnameCornerCase_Nulls_NoMatch() {
    assertFalse(getMatchRatingApproachEncoder().isEncodeEquals(null, null));
}</t>
  </si>
  <si>
    <t>@Test
public final void testCompare_BRIAN_BRYAN_SuccessfullyMatched() {
    assertTrue(getMatchRatingApproachEncoder().isEncodeEquals("Brian", "Bryan"));
}
@Test
public final void testCompare_SEAN_SHAUN_SuccessfullyMatched() {
    assertTrue(getMatchRatingApproachEncoder().isEncodeEquals("Séan", "Shaun"));
}</t>
  </si>
  <si>
    <t>@Test
public final void testCompare_BRIAN_BRYAN_SuccessfullyMatched() {
    assertTrue(getMatchRatingApproachEncoder().isEncodeEquals("Brian", "Bryan"));
}
@Test
public final void testCompare_STEVEN_STEFAN_SuccessfullyMatched() {
    assertTrue(getMatchRatingApproachEncoder().isEncodeEquals("Steven", "Stefan"));
}</t>
  </si>
  <si>
    <t>@Test
public final void testCompare_BRIAN_BRYAN_SuccessfullyMatched() {
    assertTrue(getMatchRatingApproachEncoder().isEncodeEquals("Brian", "Bryan"));
}
@Test
public final void testCompare_OONA_OONAGH_SuccessfullyMatched() {
    assertTrue(getMatchRatingApproachEncoder().isEncodeEquals("Oona", "Oonagh"));
}</t>
  </si>
  <si>
    <t>@Test
public final void testCompare_BRIAN_BRYAN_SuccessfullyMatched() {
    assertTrue(getMatchRatingApproachEncoder().isEncodeEquals("Brian", "Bryan"));
}
@Test
public final void testCompare_STEPHEN_STEFAN_SuccessfullyMatched() {
    assertTrue(getMatchRatingApproachEncoder().isEncodeEquals("Stephen", "Stefan"));
}</t>
  </si>
  <si>
    <t>@Test
public final void testCompare_BRIAN_BRYAN_SuccessfullyMatched() {
    assertTrue(getMatchRatingApproachEncoder().isEncodeEquals("Brian", "Bryan"));
}
@Test
public final void testCompare_TOMASZ_TOM_SuccessfullyMatched() {
    assertTrue(getMatchRatingApproachEncoder().isEncodeEquals("Tomasz", "tom"));
}</t>
  </si>
  <si>
    <t>@Test
public final void testCompare_BRIAN_BRYAN_SuccessfullyMatched() {
    assertTrue(getMatchRatingApproachEncoder().isEncodeEquals("Brian", "Bryan"));
}
@Test
public final void testCompare_SAM_SAMUEL_SuccessfullyMatched() {
    assertTrue(getMatchRatingApproachEncoder().isEncodeEquals("Sam", "Samuel"));
}</t>
  </si>
  <si>
    <t>@Test
public final void testCompare_BRIAN_BRYAN_SuccessfullyMatched() {
    assertTrue(getMatchRatingApproachEncoder().isEncodeEquals("Brian", "Bryan"));
}
@Test
public final void testCompare_STEPHEN_STEVEN_SuccessfullyMatched() {
    assertTrue(getMatchRatingApproachEncoder().isEncodeEquals("Stephen", "Steven"));
}</t>
  </si>
  <si>
    <t>@Test
public final void testCompare_BRIAN_BRYAN_SuccessfullyMatched() {
    assertTrue(getMatchRatingApproachEncoder().isEncodeEquals("Brian", "Bryan"));
}
@Test
public final void testCompare_MICKY_MICHAEL_SuccessfullyMatched() {
    assertTrue(getMatchRatingApproachEncoder().isEncodeEquals("Micky", "Michael"));
}</t>
  </si>
  <si>
    <t>@Test
public final void testCompare_BRIAN_BRYAN_SuccessfullyMatched() {
    assertTrue(getMatchRatingApproachEncoder().isEncodeEquals("Brian", "Bryan"));
}
@Test
public final void testCompare_ZACH_ZAKARIA_SuccessfullyMatched() {
    assertTrue(getMatchRatingApproachEncoder().isEncodeEquals("Zach", "Zacharia"));
}</t>
  </si>
  <si>
    <t>@Test
public final void testCompare_BRIAN_BRYAN_SuccessfullyMatched() {
    assertTrue(getMatchRatingApproachEncoder().isEncodeEquals("Brian", "Bryan"));
}
@Test
public final void testCompare_SOPHIE_SOFIA_SuccessfullyMatched() {
    assertTrue(getMatchRatingApproachEncoder().isEncodeEquals("Sophie", "Sofia"));
}</t>
  </si>
  <si>
    <t>@Test
public final void testCompare_BRIAN_BRYAN_SuccessfullyMatched() {
    assertTrue(getMatchRatingApproachEncoder().isEncodeEquals("Brian", "Bryan"));
}
// **** END YIDDISH/SLAVIC SECTION ****
@Test
public final void testCompare_PETERSON_PETERS_SuccessfullyMatched() {
    assertTrue(getMatchRatingApproachEncoder().isEncodeEquals("Peterson", "Peters"));
}</t>
  </si>
  <si>
    <t>@Test
public final void testCompare_BRIAN_BRYAN_SuccessfullyMatched() {
    assertTrue(getMatchRatingApproachEncoder().isEncodeEquals("Brian", "Bryan"));
}
@Test
public final void testCompare_FRANCISZEK_FRANCES_SuccessfullyMatched() {
    assertTrue(getMatchRatingApproachEncoder().isEncodeEquals("Franciszek", "Frances"));
}</t>
  </si>
  <si>
    <t>@Test
public final void testCompare_BRIAN_BRYAN_SuccessfullyMatched() {
    assertTrue(getMatchRatingApproachEncoder().isEncodeEquals("Brian", "Bryan"));
}
@Test
public final void testCompare_MCGOWAN_MCGEOGHEGAN_SuccessfullyMatched() {
    assertTrue(getMatchRatingApproachEncoder().isEncodeEquals("McGowan", "Mc Geoghegan"));
}</t>
  </si>
  <si>
    <t>@Test
public final void testCompare_BRIAN_BRYAN_SuccessfullyMatched() {
    assertTrue(getMatchRatingApproachEncoder().isEncodeEquals("Brian", "Bryan"));
}
@Test
public final void testCompare_SmallInput_CARK_Kl_SuccessfullyMatched() {
    assertTrue(getMatchRatingApproachEncoder().isEncodeEquals("Kl", "Karl"));
}</t>
  </si>
  <si>
    <t>@Test
public final void testCompare_BRIAN_BRYAN_SuccessfullyMatched() {
    assertTrue(getMatchRatingApproachEncoder().isEncodeEquals("Brian", "Bryan"));
}
@Test
public final void testCompare_Surname_HAILEY_HALLEY_SuccessfullyMatched() {
    assertTrue(getMatchRatingApproachEncoder().isEncodeEquals("Hailey", "Halley"));
}</t>
  </si>
  <si>
    <t>@Test
public final void testCompare_BRIAN_BRYAN_SuccessfullyMatched() {
    assertTrue(getMatchRatingApproachEncoder().isEncodeEquals("Brian", "Bryan"));
}
// **** BEGIN YIDDISH/SLAVIC SECTION ****
@Test
public final void testCompare_Surname_AUERBACH_UHRBACH_SuccessfullyMatched() {
    assertTrue(getMatchRatingApproachEncoder().isEncodeEquals("Auerbach", "Uhrbach"));
}</t>
  </si>
  <si>
    <t>@Test
public final void testCompare_BRIAN_BRYAN_SuccessfullyMatched() {
    assertTrue(getMatchRatingApproachEncoder().isEncodeEquals("Brian", "Bryan"));
}
@Test
public final void testCompare_Surname_LEWINSKY_LEVINSKI_SuccessfullyMatched() {
    assertTrue(getMatchRatingApproachEncoder().isEncodeEquals("LEWINSKY", "LEVINSKI"));
}</t>
  </si>
  <si>
    <t>@Test
public final void testCompare_BRIAN_BRYAN_SuccessfullyMatched() {
    assertTrue(getMatchRatingApproachEncoder().isEncodeEquals("Brian", "Bryan"));
}
@Test
public final void testCompare_Surname_COOPERFLYNN_SUPERLYN_SuccessfullyMatched() {
    assertTrue(getMatchRatingApproachEncoder().isEncodeEquals("Cooper-Flynn", "Super-Lyn"));
}</t>
  </si>
  <si>
    <t>@Test
public final void testCompare_BRIAN_BRYAN_SuccessfullyMatched() {
    assertTrue(getMatchRatingApproachEncoder().isEncodeEquals("Brian", "Bryan"));
}
@Test
public final void testCompare_Surname_LIPSHITZ_LIPPSZYC_SuccessfullyMatched() {
    assertTrue(getMatchRatingApproachEncoder().isEncodeEquals("LIPSHITZ", "LIPPSZYC"));
}</t>
  </si>
  <si>
    <t>@Test
public final void testCompare_BRIAN_BRYAN_SuccessfullyMatched() {
    assertTrue(getMatchRatingApproachEncoder().isEncodeEquals("Brian", "Bryan"));
}
@Test
public final void testCompare_Surname_PRZEMYSL_PSHEMESHIL_SuccessfullyMatched() {
    assertTrue(getMatchRatingApproachEncoder().isEncodeEquals(" P rz e m y s l", " P sh e m e sh i l"));
}</t>
  </si>
  <si>
    <t>@Test
public final void testCompare_BRIAN_BRYAN_SuccessfullyMatched() {
    assertTrue(getMatchRatingApproachEncoder().isEncodeEquals("Brian", "Bryan"));
}
@Test
public final void testCompare_Surname_MOSKOWITZ_MOSKOVITZ_SuccessfullyMatched() {
    assertTrue(getMatchRatingApproachEncoder().isEncodeEquals("Moskowitz", "Moskovitz"));
}</t>
  </si>
  <si>
    <t>@Test
public final void testCompare_BRIAN_BRYAN_SuccessfullyMatched() {
    assertTrue(getMatchRatingApproachEncoder().isEncodeEquals("Brian", "Bryan"));
}
@Test
public final void testCompare_Surname_SZLAMAWICZ_SHLAMOVITZ_SuccessfullyMatched() {
    assertTrue(getMatchRatingApproachEncoder().isEncodeEquals("SZLAMAWICZ", "SHLAMOVITZ"));
}</t>
  </si>
  <si>
    <t>@Test
public final void testCompare_BRIAN_BRYAN_SuccessfullyMatched() {
    assertTrue(getMatchRatingApproachEncoder().isEncodeEquals("Brian", "Bryan"));
}
// ***** Begin Region - Test Get Encoding - Surnames
@Test
public final void testCompare_Surname_OSULLIVAN_OSUILLEABHAIN_SuccessfulMatch() {
    assertTrue(getMatchRatingApproachEncoder().isEncodeEquals("O'Sullivan", "Ó ' Súilleabháin"));
}</t>
  </si>
  <si>
    <t>@Test
public final void testCompare_BRIAN_BRYAN_SuccessfullyMatched() {
    assertTrue(getMatchRatingApproachEncoder().isEncodeEquals("Brian", "Bryan"));
}
@Test
public final void testCompare_KARL_ALESSANDRO_DoesNotMatch() {
    assertFalse(getMatchRatingApproachEncoder().isEncodeEquals("Karl", "Alessandro"));
}</t>
  </si>
  <si>
    <t>@Test
public final void testCompare_BRIAN_BRYAN_SuccessfullyMatched() {
    assertTrue(getMatchRatingApproachEncoder().isEncodeEquals("Brian", "Bryan"));
}
@Test
public final void testCompare_Surname_ROSOCHOWACIEC_ROSOKHOVATSETS_SuccessfullyMatched() {
    assertTrue(getMatchRatingApproachEncoder().isEncodeEquals("R o s o ch o w a c ie c", " R o s o k ho v a ts e ts"));
}</t>
  </si>
  <si>
    <t>@Test
public final void testCompare_BRIAN_BRYAN_SuccessfullyMatched() {
    assertTrue(getMatchRatingApproachEncoder().isEncodeEquals("Brian", "Bryan"));
}
@Test
public final void testCompare_Forenames_SEAN_JOHN_MatchExpected() {
    assertTrue(getMatchRatingApproachEncoder().isEncodeEquals("Sean", "John"));
}</t>
  </si>
  <si>
    <t>@Test
public final void testCompare_BRIAN_BRYAN_SuccessfullyMatched() {
    assertTrue(getMatchRatingApproachEncoder().isEncodeEquals("Brian", "Bryan"));
}
@Test
public final void testCompare_Forenames_UNA_OONAGH_ShouldSuccessfullyMatchButDoesNot() {
    // Disappointing
    assertFalse(getMatchRatingApproachEncoder().isEncodeEquals("Úna", "Oonagh"));
}</t>
  </si>
  <si>
    <t>@Test
public final void testCompare_BRIAN_BRYAN_SuccessfullyMatched() {
    assertTrue(getMatchRatingApproachEncoder().isEncodeEquals("Brian", "Bryan"));
}
@Test
public final void testCompare_Forenames_SEAN_PETE_NoMatchExpected() {
    assertFalse(getMatchRatingApproachEncoder().isEncodeEquals("Sean", "Pete"));
}</t>
  </si>
  <si>
    <t>@Test
public final void testCompare_BRIAN_BRYAN_SuccessfullyMatched() {
    assertTrue(getMatchRatingApproachEncoder().isEncodeEquals("Brian", "Bryan"));
}
@Test
public final void testCompare_COLM_COLIN_WithAccentsAndSymbolsAndSpaces_SuccessfullyMatched() {
    assertTrue(getMatchRatingApproachEncoder().isEncodeEquals("Cólm.   ", "C-olín"));
}</t>
  </si>
  <si>
    <t>@Test
public final void testCompare_BRIAN_BRYAN_SuccessfullyMatched() {
    assertTrue(getMatchRatingApproachEncoder().isEncodeEquals("Brian", "Bryan"));
}
@Test
public final void testCompare_Surnames_MURPHY_LYNCH_NoMatchExpected() {
    assertFalse(getMatchRatingApproachEncoder().isEncodeEquals("Murphy", "Lynch"));
}</t>
  </si>
  <si>
    <t>@Test
public final void testCompare_BRIAN_BRYAN_SuccessfullyMatched() {
    assertTrue(getMatchRatingApproachEncoder().isEncodeEquals("Brian", "Bryan"));
}
@Test
public final void testCompare_LongSurnames_OMUIRCHEARTAIGH_OMIREADHAIGH_SuccessfulMatch() {
    assertTrue(getMatchRatingApproachEncoder().isEncodeEquals("o'muireadhaigh", "Ó 'Muircheartaigh "));
}</t>
  </si>
  <si>
    <t>@Test
public final void testCompare_BRIAN_BRYAN_SuccessfullyMatched() {
    assertTrue(getMatchRatingApproachEncoder().isEncodeEquals("Brian", "Bryan"));
}
@Test
public final void testCompare_SurnamesCornerCase_MURPHY_Space_NoMatch() {
    assertFalse(getMatchRatingApproachEncoder().isEncodeEquals("Murphy", " "));
}</t>
  </si>
  <si>
    <t>@Test
public final void testCompare_BRIAN_BRYAN_SuccessfullyMatched() {
    assertTrue(getMatchRatingApproachEncoder().isEncodeEquals("Brian", "Bryan"));
}
@Test
public final void testCompare_SurnamesCornerCase_MURPHY_NoSpace_NoMatch() {
    assertFalse(getMatchRatingApproachEncoder().isEncodeEquals("Murphy", ""));
}</t>
  </si>
  <si>
    <t>@Test
public final void testCompare_BRIAN_BRYAN_SuccessfullyMatched() {
    assertTrue(getMatchRatingApproachEncoder().isEncodeEquals("Brian", "Bryan"));
}
@Test
public final void testCompareNameToSingleLetter_KARL_C_DoesNotMatch() {
    assertFalse(getMatchRatingApproachEncoder().isEncodeEquals("Karl", "C"));
}</t>
  </si>
  <si>
    <t>@Test
public final void testCompare_BRIAN_BRYAN_SuccessfullyMatched() {
    assertTrue(getMatchRatingApproachEncoder().isEncodeEquals("Brian", "Bryan"));
}
@Test
public final void testCompare_SurnameCornerCase_Nulls_NoMatch() {
    assertFalse(getMatchRatingApproachEncoder().isEncodeEquals(null, null));
}</t>
  </si>
  <si>
    <t>@Test
public final void testCompare_BRIAN_BRYAN_SuccessfullyMatched() {
    assertTrue(getMatchRatingApproachEncoder().isEncodeEquals("Brian", "Bryan"));
}
@Test
public final void testCompare_LongSurnames_MORIARTY_OMUIRCHEARTAIGH_DoesNotSuccessfulMatch() {
    assertFalse(getMatchRatingApproachEncoder().isEncodeEquals("Moriarty", "OMuircheartaigh"));
}</t>
  </si>
  <si>
    <t>@Test
public final void testCompare_SEAN_SHAUN_SuccessfullyMatched() {
    assertTrue(getMatchRatingApproachEncoder().isEncodeEquals("Séan", "Shaun"));
}
@Test
public final void testCompare_SAM_SAMUEL_SuccessfullyMatched() {
    assertTrue(getMatchRatingApproachEncoder().isEncodeEquals("Sam", "Samuel"));
}</t>
  </si>
  <si>
    <t>@Test
public final void testCompare_SEAN_SHAUN_SuccessfullyMatched() {
    assertTrue(getMatchRatingApproachEncoder().isEncodeEquals("Séan", "Shaun"));
}
@Test
public final void testCompare_STEVEN_STEFAN_SuccessfullyMatched() {
    assertTrue(getMatchRatingApproachEncoder().isEncodeEquals("Steven", "Stefan"));
}</t>
  </si>
  <si>
    <t>@Test
public final void testCompare_SEAN_SHAUN_SuccessfullyMatched() {
    assertTrue(getMatchRatingApproachEncoder().isEncodeEquals("Séan", "Shaun"));
}
@Test
public final void testCompare_STEPHEN_STEFAN_SuccessfullyMatched() {
    assertTrue(getMatchRatingApproachEncoder().isEncodeEquals("Stephen", "Stefan"));
}</t>
  </si>
  <si>
    <t>@Test
public final void testCompare_SEAN_SHAUN_SuccessfullyMatched() {
    assertTrue(getMatchRatingApproachEncoder().isEncodeEquals("Séan", "Shaun"));
}
@Test
public final void testCompare_STEPHEN_STEVEN_SuccessfullyMatched() {
    assertTrue(getMatchRatingApproachEncoder().isEncodeEquals("Stephen", "Steven"));
}</t>
  </si>
  <si>
    <t>@Test
public final void testCompare_SEAN_SHAUN_SuccessfullyMatched() {
    assertTrue(getMatchRatingApproachEncoder().isEncodeEquals("Séan", "Shaun"));
}
@Test
public final void testCompare_SOPHIE_SOFIA_SuccessfullyMatched() {
    assertTrue(getMatchRatingApproachEncoder().isEncodeEquals("Sophie", "Sofia"));
}</t>
  </si>
  <si>
    <t>@Test
public final void testCompare_SEAN_SHAUN_SuccessfullyMatched() {
    assertTrue(getMatchRatingApproachEncoder().isEncodeEquals("Séan", "Shaun"));
}
@Test
public final void testCompare_OONA_OONAGH_SuccessfullyMatched() {
    assertTrue(getMatchRatingApproachEncoder().isEncodeEquals("Oona", "Oonagh"));
}</t>
  </si>
  <si>
    <t>@Test
public final void testCompare_SEAN_SHAUN_SuccessfullyMatched() {
    assertTrue(getMatchRatingApproachEncoder().isEncodeEquals("Séan", "Shaun"));
}
@Test
public final void testCompare_MICKY_MICHAEL_SuccessfullyMatched() {
    assertTrue(getMatchRatingApproachEncoder().isEncodeEquals("Micky", "Michael"));
}</t>
  </si>
  <si>
    <t>@Test
public final void testCompare_SEAN_SHAUN_SuccessfullyMatched() {
    assertTrue(getMatchRatingApproachEncoder().isEncodeEquals("Séan", "Shaun"));
}
@Test
public final void testCompare_ZACH_ZAKARIA_SuccessfullyMatched() {
    assertTrue(getMatchRatingApproachEncoder().isEncodeEquals("Zach", "Zacharia"));
}</t>
  </si>
  <si>
    <t>@Test
public final void testCompare_SEAN_SHAUN_SuccessfullyMatched() {
    assertTrue(getMatchRatingApproachEncoder().isEncodeEquals("Séan", "Shaun"));
}
@Test
public final void testCompare_TOMASZ_TOM_SuccessfullyMatched() {
    assertTrue(getMatchRatingApproachEncoder().isEncodeEquals("Tomasz", "tom"));
}</t>
  </si>
  <si>
    <t>@Test
public final void testCompare_SEAN_SHAUN_SuccessfullyMatched() {
    assertTrue(getMatchRatingApproachEncoder().isEncodeEquals("Séan", "Shaun"));
}
// **** END YIDDISH/SLAVIC SECTION ****
@Test
public final void testCompare_PETERSON_PETERS_SuccessfullyMatched() {
    assertTrue(getMatchRatingApproachEncoder().isEncodeEquals("Peterson", "Peters"));
}</t>
  </si>
  <si>
    <t>@Test
public final void testCompare_SEAN_SHAUN_SuccessfullyMatched() {
    assertTrue(getMatchRatingApproachEncoder().isEncodeEquals("Séan", "Shaun"));
}
@Test
public final void testCompare_MCGOWAN_MCGEOGHEGAN_SuccessfullyMatched() {
    assertTrue(getMatchRatingApproachEncoder().isEncodeEquals("McGowan", "Mc Geoghegan"));
}</t>
  </si>
  <si>
    <t>@Test
public final void testCompare_SEAN_SHAUN_SuccessfullyMatched() {
    assertTrue(getMatchRatingApproachEncoder().isEncodeEquals("Séan", "Shaun"));
}
@Test
public final void testCompare_FRANCISZEK_FRANCES_SuccessfullyMatched() {
    assertTrue(getMatchRatingApproachEncoder().isEncodeEquals("Franciszek", "Frances"));
}</t>
  </si>
  <si>
    <t>@Test
public final void testCompare_SEAN_SHAUN_SuccessfullyMatched() {
    assertTrue(getMatchRatingApproachEncoder().isEncodeEquals("Séan", "Shaun"));
}
@Test
public final void testCompare_SmallInput_CARK_Kl_SuccessfullyMatched() {
    assertTrue(getMatchRatingApproachEncoder().isEncodeEquals("Kl", "Karl"));
}</t>
  </si>
  <si>
    <t>@Test
public final void testCompare_SEAN_SHAUN_SuccessfullyMatched() {
    assertTrue(getMatchRatingApproachEncoder().isEncodeEquals("Séan", "Shaun"));
}
@Test
public final void testCompare_Surname_HAILEY_HALLEY_SuccessfullyMatched() {
    assertTrue(getMatchRatingApproachEncoder().isEncodeEquals("Hailey", "Halley"));
}</t>
  </si>
  <si>
    <t>@Test
public final void testCompare_SEAN_SHAUN_SuccessfullyMatched() {
    assertTrue(getMatchRatingApproachEncoder().isEncodeEquals("Séan", "Shaun"));
}
// **** BEGIN YIDDISH/SLAVIC SECTION ****
@Test
public final void testCompare_Surname_AUERBACH_UHRBACH_SuccessfullyMatched() {
    assertTrue(getMatchRatingApproachEncoder().isEncodeEquals("Auerbach", "Uhrbach"));
}</t>
  </si>
  <si>
    <t>@Test
public final void testCompare_SEAN_SHAUN_SuccessfullyMatched() {
    assertTrue(getMatchRatingApproachEncoder().isEncodeEquals("Séan", "Shaun"));
}
@Test
public final void testCompare_Surname_LEWINSKY_LEVINSKI_SuccessfullyMatched() {
    assertTrue(getMatchRatingApproachEncoder().isEncodeEquals("LEWINSKY", "LEVINSKI"));
}</t>
  </si>
  <si>
    <t>@Test
public final void testCompare_SEAN_SHAUN_SuccessfullyMatched() {
    assertTrue(getMatchRatingApproachEncoder().isEncodeEquals("Séan", "Shaun"));
}
@Test
public final void testCompare_Surname_LIPSHITZ_LIPPSZYC_SuccessfullyMatched() {
    assertTrue(getMatchRatingApproachEncoder().isEncodeEquals("LIPSHITZ", "LIPPSZYC"));
}</t>
  </si>
  <si>
    <t>@Test
public final void testCompare_SEAN_SHAUN_SuccessfullyMatched() {
    assertTrue(getMatchRatingApproachEncoder().isEncodeEquals("Séan", "Shaun"));
}
@Test
public final void testCompare_Surname_COOPERFLYNN_SUPERLYN_SuccessfullyMatched() {
    assertTrue(getMatchRatingApproachEncoder().isEncodeEquals("Cooper-Flynn", "Super-Lyn"));
}</t>
  </si>
  <si>
    <t>@Test
public final void testCompare_SEAN_SHAUN_SuccessfullyMatched() {
    assertTrue(getMatchRatingApproachEncoder().isEncodeEquals("Séan", "Shaun"));
}
@Test
public final void testCompare_Surname_PRZEMYSL_PSHEMESHIL_SuccessfullyMatched() {
    assertTrue(getMatchRatingApproachEncoder().isEncodeEquals(" P rz e m y s l", " P sh e m e sh i l"));
}</t>
  </si>
  <si>
    <t>@Test
public final void testCompare_SEAN_SHAUN_SuccessfullyMatched() {
    assertTrue(getMatchRatingApproachEncoder().isEncodeEquals("Séan", "Shaun"));
}
@Test
public final void testCompare_Surname_SZLAMAWICZ_SHLAMOVITZ_SuccessfullyMatched() {
    assertTrue(getMatchRatingApproachEncoder().isEncodeEquals("SZLAMAWICZ", "SHLAMOVITZ"));
}</t>
  </si>
  <si>
    <t>@Test
public final void testCompare_SEAN_SHAUN_SuccessfullyMatched() {
    assertTrue(getMatchRatingApproachEncoder().isEncodeEquals("Séan", "Shaun"));
}
@Test
public final void testCompare_Surname_MOSKOWITZ_MOSKOVITZ_SuccessfullyMatched() {
    assertTrue(getMatchRatingApproachEncoder().isEncodeEquals("Moskowitz", "Moskovitz"));
}</t>
  </si>
  <si>
    <t>@Test
public final void testCompare_SEAN_SHAUN_SuccessfullyMatched() {
    assertTrue(getMatchRatingApproachEncoder().isEncodeEquals("Séan", "Shaun"));
}
// ***** Begin Region - Test Get Encoding - Surnames
@Test
public final void testCompare_Surname_OSULLIVAN_OSUILLEABHAIN_SuccessfulMatch() {
    assertTrue(getMatchRatingApproachEncoder().isEncodeEquals("O'Sullivan", "Ó ' Súilleabháin"));
}</t>
  </si>
  <si>
    <t>@Test
public final void testCompare_SEAN_SHAUN_SuccessfullyMatched() {
    assertTrue(getMatchRatingApproachEncoder().isEncodeEquals("Séan", "Shaun"));
}
@Test
public final void testCompare_Surname_ROSOCHOWACIEC_ROSOKHOVATSETS_SuccessfullyMatched() {
    assertTrue(getMatchRatingApproachEncoder().isEncodeEquals("R o s o ch o w a c ie c", " R o s o k ho v a ts e ts"));
}</t>
  </si>
  <si>
    <t>@Test
public final void testCompare_SEAN_SHAUN_SuccessfullyMatched() {
    assertTrue(getMatchRatingApproachEncoder().isEncodeEquals("Séan", "Shaun"));
}
@Test
public final void testCompare_Forenames_SEAN_JOHN_MatchExpected() {
    assertTrue(getMatchRatingApproachEncoder().isEncodeEquals("Sean", "John"));
}</t>
  </si>
  <si>
    <t>@Test
public final void testCompare_SEAN_SHAUN_SuccessfullyMatched() {
    assertTrue(getMatchRatingApproachEncoder().isEncodeEquals("Séan", "Shaun"));
}
@Test
public final void testCompare_KARL_ALESSANDRO_DoesNotMatch() {
    assertFalse(getMatchRatingApproachEncoder().isEncodeEquals("Karl", "Alessandro"));
}</t>
  </si>
  <si>
    <t>@Test
public final void testCompare_SEAN_SHAUN_SuccessfullyMatched() {
    assertTrue(getMatchRatingApproachEncoder().isEncodeEquals("Séan", "Shaun"));
}
@Test
public final void testCompare_Forenames_SEAN_PETE_NoMatchExpected() {
    assertFalse(getMatchRatingApproachEncoder().isEncodeEquals("Sean", "Pete"));
}</t>
  </si>
  <si>
    <t>@Test
public final void testCompare_SEAN_SHAUN_SuccessfullyMatched() {
    assertTrue(getMatchRatingApproachEncoder().isEncodeEquals("Séan", "Shaun"));
}
@Test
public final void testCompare_COLM_COLIN_WithAccentsAndSymbolsAndSpaces_SuccessfullyMatched() {
    assertTrue(getMatchRatingApproachEncoder().isEncodeEquals("Cólm.   ", "C-olín"));
}</t>
  </si>
  <si>
    <t>@Test
public final void testCompare_SEAN_SHAUN_SuccessfullyMatched() {
    assertTrue(getMatchRatingApproachEncoder().isEncodeEquals("Séan", "Shaun"));
}
@Test
public final void testCompare_Forenames_UNA_OONAGH_ShouldSuccessfullyMatchButDoesNot() {
    // Disappointing
    assertFalse(getMatchRatingApproachEncoder().isEncodeEquals("Úna", "Oonagh"));
}</t>
  </si>
  <si>
    <t>@Test
public final void testCompare_SEAN_SHAUN_SuccessfullyMatched() {
    assertTrue(getMatchRatingApproachEncoder().isEncodeEquals("Séan", "Shaun"));
}
@Test
public final void testCompare_Surnames_MURPHY_LYNCH_NoMatchExpected() {
    assertFalse(getMatchRatingApproachEncoder().isEncodeEquals("Murphy", "Lynch"));
}</t>
  </si>
  <si>
    <t>@Test
public final void testCompare_SEAN_SHAUN_SuccessfullyMatched() {
    assertTrue(getMatchRatingApproachEncoder().isEncodeEquals("Séan", "Shaun"));
}
@Test
public final void testCompare_LongSurnames_OMUIRCHEARTAIGH_OMIREADHAIGH_SuccessfulMatch() {
    assertTrue(getMatchRatingApproachEncoder().isEncodeEquals("o'muireadhaigh", "Ó 'Muircheartaigh "));
}</t>
  </si>
  <si>
    <t>@Test
public final void testCompare_SEAN_SHAUN_SuccessfullyMatched() {
    assertTrue(getMatchRatingApproachEncoder().isEncodeEquals("Séan", "Shaun"));
}
@Test
public final void testCompare_SurnameCornerCase_Nulls_NoMatch() {
    assertFalse(getMatchRatingApproachEncoder().isEncodeEquals(null, null));
}</t>
  </si>
  <si>
    <t>@Test
public final void testCompare_SEAN_SHAUN_SuccessfullyMatched() {
    assertTrue(getMatchRatingApproachEncoder().isEncodeEquals("Séan", "Shaun"));
}
@Test
public final void testCompareNameToSingleLetter_KARL_C_DoesNotMatch() {
    assertFalse(getMatchRatingApproachEncoder().isEncodeEquals("Karl", "C"));
}</t>
  </si>
  <si>
    <t>@Test
public final void testCompare_SEAN_SHAUN_SuccessfullyMatched() {
    assertTrue(getMatchRatingApproachEncoder().isEncodeEquals("Séan", "Shaun"));
}
@Test
public final void testCompare_SurnamesCornerCase_MURPHY_Space_NoMatch() {
    assertFalse(getMatchRatingApproachEncoder().isEncodeEquals("Murphy", " "));
}</t>
  </si>
  <si>
    <t>@Test
public final void testCompare_SEAN_SHAUN_SuccessfullyMatched() {
    assertTrue(getMatchRatingApproachEncoder().isEncodeEquals("Séan", "Shaun"));
}
@Test
public final void testCompare_SurnamesCornerCase_MURPHY_NoSpace_NoMatch() {
    assertFalse(getMatchRatingApproachEncoder().isEncodeEquals("Murphy", ""));
}</t>
  </si>
  <si>
    <t>@Test
public final void testCompare_SEAN_SHAUN_SuccessfullyMatched() {
    assertTrue(getMatchRatingApproachEncoder().isEncodeEquals("Séan", "Shaun"));
}
@Test
public final void testCompare_LongSurnames_MORIARTY_OMUIRCHEARTAIGH_DoesNotSuccessfulMatch() {
    assertFalse(getMatchRatingApproachEncoder().isEncodeEquals("Moriarty", "OMuircheartaigh"));
}</t>
  </si>
  <si>
    <t>@Test
public final void testCompare_COLM_COLIN_WithAccentsAndSymbolsAndSpaces_SuccessfullyMatched() {
    assertTrue(getMatchRatingApproachEncoder().isEncodeEquals("Cólm.   ", "C-olín"));
}
@Test
public final void testCompare_MCGOWAN_MCGEOGHEGAN_SuccessfullyMatched() {
    assertTrue(getMatchRatingApproachEncoder().isEncodeEquals("McGowan", "Mc Geoghegan"));
}</t>
  </si>
  <si>
    <t>@Test
public final void testCompare_COLM_COLIN_WithAccentsAndSymbolsAndSpaces_SuccessfullyMatched() {
    assertTrue(getMatchRatingApproachEncoder().isEncodeEquals("Cólm.   ", "C-olín"));
}
@Test
public final void testCompare_ZACH_ZAKARIA_SuccessfullyMatched() {
    assertTrue(getMatchRatingApproachEncoder().isEncodeEquals("Zach", "Zacharia"));
}</t>
  </si>
  <si>
    <t>@Test
public final void testCompare_COLM_COLIN_WithAccentsAndSymbolsAndSpaces_SuccessfullyMatched() {
    assertTrue(getMatchRatingApproachEncoder().isEncodeEquals("Cólm.   ", "C-olín"));
}
@Test
public final void testCompare_OONA_OONAGH_SuccessfullyMatched() {
    assertTrue(getMatchRatingApproachEncoder().isEncodeEquals("Oona", "Oonagh"));
}</t>
  </si>
  <si>
    <t>@Test
public final void testCompare_COLM_COLIN_WithAccentsAndSymbolsAndSpaces_SuccessfullyMatched() {
    assertTrue(getMatchRatingApproachEncoder().isEncodeEquals("Cólm.   ", "C-olín"));
}
@Test
public final void testCompare_SOPHIE_SOFIA_SuccessfullyMatched() {
    assertTrue(getMatchRatingApproachEncoder().isEncodeEquals("Sophie", "Sofia"));
}</t>
  </si>
  <si>
    <t>@Test
public final void testCompare_COLM_COLIN_WithAccentsAndSymbolsAndSpaces_SuccessfullyMatched() {
    assertTrue(getMatchRatingApproachEncoder().isEncodeEquals("Cólm.   ", "C-olín"));
}
@Test
public final void testCompare_MICKY_MICHAEL_SuccessfullyMatched() {
    assertTrue(getMatchRatingApproachEncoder().isEncodeEquals("Micky", "Michael"));
}</t>
  </si>
  <si>
    <t>@Test
public final void testCompare_COLM_COLIN_WithAccentsAndSymbolsAndSpaces_SuccessfullyMatched() {
    assertTrue(getMatchRatingApproachEncoder().isEncodeEquals("Cólm.   ", "C-olín"));
}
@Test
public final void testCompare_SmallInput_CARK_Kl_SuccessfullyMatched() {
    assertTrue(getMatchRatingApproachEncoder().isEncodeEquals("Kl", "Karl"));
}</t>
  </si>
  <si>
    <t>@Test
public final void testCompare_COLM_COLIN_WithAccentsAndSymbolsAndSpaces_SuccessfullyMatched() {
    assertTrue(getMatchRatingApproachEncoder().isEncodeEquals("Cólm.   ", "C-olín"));
}
// **** BEGIN YIDDISH/SLAVIC SECTION ****
@Test
public final void testCompare_Surname_AUERBACH_UHRBACH_SuccessfullyMatched() {
    assertTrue(getMatchRatingApproachEncoder().isEncodeEquals("Auerbach", "Uhrbach"));
}</t>
  </si>
  <si>
    <t>@Test
public final void testCompare_COLM_COLIN_WithAccentsAndSymbolsAndSpaces_SuccessfullyMatched() {
    assertTrue(getMatchRatingApproachEncoder().isEncodeEquals("Cólm.   ", "C-olín"));
}
@Test
public final void testCompare_STEVEN_STEFAN_SuccessfullyMatched() {
    assertTrue(getMatchRatingApproachEncoder().isEncodeEquals("Steven", "Stefan"));
}</t>
  </si>
  <si>
    <t>@Test
public final void testCompare_COLM_COLIN_WithAccentsAndSymbolsAndSpaces_SuccessfullyMatched() {
    assertTrue(getMatchRatingApproachEncoder().isEncodeEquals("Cólm.   ", "C-olín"));
}
@Test
public final void testCompare_STEPHEN_STEFAN_SuccessfullyMatched() {
    assertTrue(getMatchRatingApproachEncoder().isEncodeEquals("Stephen", "Stefan"));
}</t>
  </si>
  <si>
    <t>@Test
public final void testCompare_COLM_COLIN_WithAccentsAndSymbolsAndSpaces_SuccessfullyMatched() {
    assertTrue(getMatchRatingApproachEncoder().isEncodeEquals("Cólm.   ", "C-olín"));
}
@Test
public final void testCompare_TOMASZ_TOM_SuccessfullyMatched() {
    assertTrue(getMatchRatingApproachEncoder().isEncodeEquals("Tomasz", "tom"));
}</t>
  </si>
  <si>
    <t>@Test
public final void testCompare_COLM_COLIN_WithAccentsAndSymbolsAndSpaces_SuccessfullyMatched() {
    assertTrue(getMatchRatingApproachEncoder().isEncodeEquals("Cólm.   ", "C-olín"));
}
@Test
public final void testCompare_FRANCISZEK_FRANCES_SuccessfullyMatched() {
    assertTrue(getMatchRatingApproachEncoder().isEncodeEquals("Franciszek", "Frances"));
}</t>
  </si>
  <si>
    <t>@Test
public final void testCompare_COLM_COLIN_WithAccentsAndSymbolsAndSpaces_SuccessfullyMatched() {
    assertTrue(getMatchRatingApproachEncoder().isEncodeEquals("Cólm.   ", "C-olín"));
}
// **** END YIDDISH/SLAVIC SECTION ****
@Test
public final void testCompare_PETERSON_PETERS_SuccessfullyMatched() {
    assertTrue(getMatchRatingApproachEncoder().isEncodeEquals("Peterson", "Peters"));
}</t>
  </si>
  <si>
    <t>@Test
public final void testCompare_COLM_COLIN_WithAccentsAndSymbolsAndSpaces_SuccessfullyMatched() {
    assertTrue(getMatchRatingApproachEncoder().isEncodeEquals("Cólm.   ", "C-olín"));
}
@Test
public final void testCompare_Surname_SZLAMAWICZ_SHLAMOVITZ_SuccessfullyMatched() {
    assertTrue(getMatchRatingApproachEncoder().isEncodeEquals("SZLAMAWICZ", "SHLAMOVITZ"));
}</t>
  </si>
  <si>
    <t>@Test
public final void testCompare_COLM_COLIN_WithAccentsAndSymbolsAndSpaces_SuccessfullyMatched() {
    assertTrue(getMatchRatingApproachEncoder().isEncodeEquals("Cólm.   ", "C-olín"));
}
@Test
public final void testCompare_SAM_SAMUEL_SuccessfullyMatched() {
    assertTrue(getMatchRatingApproachEncoder().isEncodeEquals("Sam", "Samuel"));
}</t>
  </si>
  <si>
    <t>@Test
public final void testCompare_COLM_COLIN_WithAccentsAndSymbolsAndSpaces_SuccessfullyMatched() {
    assertTrue(getMatchRatingApproachEncoder().isEncodeEquals("Cólm.   ", "C-olín"));
}
@Test
public final void testCompare_Surname_LEWINSKY_LEVINSKI_SuccessfullyMatched() {
    assertTrue(getMatchRatingApproachEncoder().isEncodeEquals("LEWINSKY", "LEVINSKI"));
}</t>
  </si>
  <si>
    <t>@Test
public final void testCompare_COLM_COLIN_WithAccentsAndSymbolsAndSpaces_SuccessfullyMatched() {
    assertTrue(getMatchRatingApproachEncoder().isEncodeEquals("Cólm.   ", "C-olín"));
}
@Test
public final void testCompare_Surname_ROSOCHOWACIEC_ROSOKHOVATSETS_SuccessfullyMatched() {
    assertTrue(getMatchRatingApproachEncoder().isEncodeEquals("R o s o ch o w a c ie c", " R o s o k ho v a ts e ts"));
}</t>
  </si>
  <si>
    <t>@Test
public final void testCompare_COLM_COLIN_WithAccentsAndSymbolsAndSpaces_SuccessfullyMatched() {
    assertTrue(getMatchRatingApproachEncoder().isEncodeEquals("Cólm.   ", "C-olín"));
}
@Test
public final void testCompare_Surname_HAILEY_HALLEY_SuccessfullyMatched() {
    assertTrue(getMatchRatingApproachEncoder().isEncodeEquals("Hailey", "Halley"));
}</t>
  </si>
  <si>
    <t>@Test
public final void testCompare_COLM_COLIN_WithAccentsAndSymbolsAndSpaces_SuccessfullyMatched() {
    assertTrue(getMatchRatingApproachEncoder().isEncodeEquals("Cólm.   ", "C-olín"));
}
@Test
public final void testCompare_Surname_PRZEMYSL_PSHEMESHIL_SuccessfullyMatched() {
    assertTrue(getMatchRatingApproachEncoder().isEncodeEquals(" P rz e m y s l", " P sh e m e sh i l"));
}</t>
  </si>
  <si>
    <t>@Test
public final void testCompare_COLM_COLIN_WithAccentsAndSymbolsAndSpaces_SuccessfullyMatched() {
    assertTrue(getMatchRatingApproachEncoder().isEncodeEquals("Cólm.   ", "C-olín"));
}
@Test
public final void testCompare_STEPHEN_STEVEN_SuccessfullyMatched() {
    assertTrue(getMatchRatingApproachEncoder().isEncodeEquals("Stephen", "Steven"));
}</t>
  </si>
  <si>
    <t>@Test
public final void testCompare_COLM_COLIN_WithAccentsAndSymbolsAndSpaces_SuccessfullyMatched() {
    assertTrue(getMatchRatingApproachEncoder().isEncodeEquals("Cólm.   ", "C-olín"));
}
@Test
public final void testCompare_Surname_LIPSHITZ_LIPPSZYC_SuccessfullyMatched() {
    assertTrue(getMatchRatingApproachEncoder().isEncodeEquals("LIPSHITZ", "LIPPSZYC"));
}</t>
  </si>
  <si>
    <t>@Test
public final void testCompare_COLM_COLIN_WithAccentsAndSymbolsAndSpaces_SuccessfullyMatched() {
    assertTrue(getMatchRatingApproachEncoder().isEncodeEquals("Cólm.   ", "C-olín"));
}
@Test
public final void testCompare_Surname_MOSKOWITZ_MOSKOVITZ_SuccessfullyMatched() {
    assertTrue(getMatchRatingApproachEncoder().isEncodeEquals("Moskowitz", "Moskovitz"));
}</t>
  </si>
  <si>
    <t>@Test
public final void testCompare_COLM_COLIN_WithAccentsAndSymbolsAndSpaces_SuccessfullyMatched() {
    assertTrue(getMatchRatingApproachEncoder().isEncodeEquals("Cólm.   ", "C-olín"));
}
@Test
public final void testCompare_Surname_COOPERFLYNN_SUPERLYN_SuccessfullyMatched() {
    assertTrue(getMatchRatingApproachEncoder().isEncodeEquals("Cooper-Flynn", "Super-Lyn"));
}</t>
  </si>
  <si>
    <t>@Test
public final void testCompare_COLM_COLIN_WithAccentsAndSymbolsAndSpaces_SuccessfullyMatched() {
    assertTrue(getMatchRatingApproachEncoder().isEncodeEquals("Cólm.   ", "C-olín"));
}
// ***** Begin Region - Test Get Encoding - Surnames
@Test
public final void testCompare_Surname_OSULLIVAN_OSUILLEABHAIN_SuccessfulMatch() {
    assertTrue(getMatchRatingApproachEncoder().isEncodeEquals("O'Sullivan", "Ó ' Súilleabháin"));
}</t>
  </si>
  <si>
    <t>@Test
public final void testCompare_COLM_COLIN_WithAccentsAndSymbolsAndSpaces_SuccessfullyMatched() {
    assertTrue(getMatchRatingApproachEncoder().isEncodeEquals("Cólm.   ", "C-olín"));
}
@Test
public final void testCompare_LongSurnames_OMUIRCHEARTAIGH_OMIREADHAIGH_SuccessfulMatch() {
    assertTrue(getMatchRatingApproachEncoder().isEncodeEquals("o'muireadhaigh", "Ó 'Muircheartaigh "));
}</t>
  </si>
  <si>
    <t>@Test
public final void testCompare_COLM_COLIN_WithAccentsAndSymbolsAndSpaces_SuccessfullyMatched() {
    assertTrue(getMatchRatingApproachEncoder().isEncodeEquals("Cólm.   ", "C-olín"));
}
@Test
public final void testCompare_LongSurnames_MORIARTY_OMUIRCHEARTAIGH_DoesNotSuccessfulMatch() {
    assertFalse(getMatchRatingApproachEncoder().isEncodeEquals("Moriarty", "OMuircheartaigh"));
}</t>
  </si>
  <si>
    <t>@Test
public final void testCompare_COLM_COLIN_WithAccentsAndSymbolsAndSpaces_SuccessfullyMatched() {
    assertTrue(getMatchRatingApproachEncoder().isEncodeEquals("Cólm.   ", "C-olín"));
}
@Test
public final void testCompare_Forenames_UNA_OONAGH_ShouldSuccessfullyMatchButDoesNot() {
    // Disappointing
    assertFalse(getMatchRatingApproachEncoder().isEncodeEquals("Úna", "Oonagh"));
}</t>
  </si>
  <si>
    <t>@Test
public final void testCompare_COLM_COLIN_WithAccentsAndSymbolsAndSpaces_SuccessfullyMatched() {
    assertTrue(getMatchRatingApproachEncoder().isEncodeEquals("Cólm.   ", "C-olín"));
}
@Test
public final void testCompare_Forenames_SEAN_JOHN_MatchExpected() {
    assertTrue(getMatchRatingApproachEncoder().isEncodeEquals("Sean", "John"));
}</t>
  </si>
  <si>
    <t>@Test
public final void testCompare_COLM_COLIN_WithAccentsAndSymbolsAndSpaces_SuccessfullyMatched() {
    assertTrue(getMatchRatingApproachEncoder().isEncodeEquals("Cólm.   ", "C-olín"));
}
@Test
public final void testCompare_KARL_ALESSANDRO_DoesNotMatch() {
    assertFalse(getMatchRatingApproachEncoder().isEncodeEquals("Karl", "Alessandro"));
}</t>
  </si>
  <si>
    <t>@Test
public final void testCompare_COLM_COLIN_WithAccentsAndSymbolsAndSpaces_SuccessfullyMatched() {
    assertTrue(getMatchRatingApproachEncoder().isEncodeEquals("Cólm.   ", "C-olín"));
}
@Test
public final void testCompare_SurnamesCornerCase_MURPHY_NoSpace_NoMatch() {
    assertFalse(getMatchRatingApproachEncoder().isEncodeEquals("Murphy", ""));
}</t>
  </si>
  <si>
    <t>@Test
public final void testCompare_COLM_COLIN_WithAccentsAndSymbolsAndSpaces_SuccessfullyMatched() {
    assertTrue(getMatchRatingApproachEncoder().isEncodeEquals("Cólm.   ", "C-olín"));
}
@Test
public final void testCompare_SurnamesCornerCase_MURPHY_Space_NoMatch() {
    assertFalse(getMatchRatingApproachEncoder().isEncodeEquals("Murphy", " "));
}</t>
  </si>
  <si>
    <t>@Test
public final void testCompare_COLM_COLIN_WithAccentsAndSymbolsAndSpaces_SuccessfullyMatched() {
    assertTrue(getMatchRatingApproachEncoder().isEncodeEquals("Cólm.   ", "C-olín"));
}
@Test
public final void testCompareNameToSingleLetter_KARL_C_DoesNotMatch() {
    assertFalse(getMatchRatingApproachEncoder().isEncodeEquals("Karl", "C"));
}</t>
  </si>
  <si>
    <t>@Test
public final void testCompare_COLM_COLIN_WithAccentsAndSymbolsAndSpaces_SuccessfullyMatched() {
    assertTrue(getMatchRatingApproachEncoder().isEncodeEquals("Cólm.   ", "C-olín"));
}
@Test
public final void testCompare_Forenames_SEAN_PETE_NoMatchExpected() {
    assertFalse(getMatchRatingApproachEncoder().isEncodeEquals("Sean", "Pete"));
}</t>
  </si>
  <si>
    <t>@Test
public final void testCompare_COLM_COLIN_WithAccentsAndSymbolsAndSpaces_SuccessfullyMatched() {
    assertTrue(getMatchRatingApproachEncoder().isEncodeEquals("Cólm.   ", "C-olín"));
}
@Test
public final void testCompare_Surnames_MURPHY_LYNCH_NoMatchExpected() {
    assertFalse(getMatchRatingApproachEncoder().isEncodeEquals("Murphy", "Lynch"));
}</t>
  </si>
  <si>
    <t>@Test
public final void testCompare_COLM_COLIN_WithAccentsAndSymbolsAndSpaces_SuccessfullyMatched() {
    assertTrue(getMatchRatingApproachEncoder().isEncodeEquals("Cólm.   ", "C-olín"));
}
@Test
public final void testCompare_SurnameCornerCase_Nulls_NoMatch() {
    assertFalse(getMatchRatingApproachEncoder().isEncodeEquals(null, null));
}</t>
  </si>
  <si>
    <t>@Test
public final void testCompare_STEPHEN_STEVEN_SuccessfullyMatched() {
    assertTrue(getMatchRatingApproachEncoder().isEncodeEquals("Stephen", "Steven"));
}
@Test
public final void testCompare_STEPHEN_STEFAN_SuccessfullyMatched() {
    assertTrue(getMatchRatingApproachEncoder().isEncodeEquals("Stephen", "Stefan"));
}</t>
  </si>
  <si>
    <t>@Test
public final void testCompare_STEPHEN_STEVEN_SuccessfullyMatched() {
    assertTrue(getMatchRatingApproachEncoder().isEncodeEquals("Stephen", "Steven"));
}
@Test
public final void testCompare_STEVEN_STEFAN_SuccessfullyMatched() {
    assertTrue(getMatchRatingApproachEncoder().isEncodeEquals("Steven", "Stefan"));
}</t>
  </si>
  <si>
    <t>@Test
public final void testCompare_STEPHEN_STEVEN_SuccessfullyMatched() {
    assertTrue(getMatchRatingApproachEncoder().isEncodeEquals("Stephen", "Steven"));
}
@Test
public final void testCompare_SOPHIE_SOFIA_SuccessfullyMatched() {
    assertTrue(getMatchRatingApproachEncoder().isEncodeEquals("Sophie", "Sofia"));
}</t>
  </si>
  <si>
    <t>@Test
public final void testCompare_STEPHEN_STEVEN_SuccessfullyMatched() {
    assertTrue(getMatchRatingApproachEncoder().isEncodeEquals("Stephen", "Steven"));
}
// **** END YIDDISH/SLAVIC SECTION ****
@Test
public final void testCompare_PETERSON_PETERS_SuccessfullyMatched() {
    assertTrue(getMatchRatingApproachEncoder().isEncodeEquals("Peterson", "Peters"));
}</t>
  </si>
  <si>
    <t>@Test
public final void testCompare_STEPHEN_STEVEN_SuccessfullyMatched() {
    assertTrue(getMatchRatingApproachEncoder().isEncodeEquals("Stephen", "Steven"));
}
@Test
public final void testCompare_SAM_SAMUEL_SuccessfullyMatched() {
    assertTrue(getMatchRatingApproachEncoder().isEncodeEquals("Sam", "Samuel"));
}</t>
  </si>
  <si>
    <t>@Test
public final void testCompare_STEPHEN_STEVEN_SuccessfullyMatched() {
    assertTrue(getMatchRatingApproachEncoder().isEncodeEquals("Stephen", "Steven"));
}
@Test
public final void testCompare_TOMASZ_TOM_SuccessfullyMatched() {
    assertTrue(getMatchRatingApproachEncoder().isEncodeEquals("Tomasz", "tom"));
}</t>
  </si>
  <si>
    <t>@Test
public final void testCompare_STEPHEN_STEVEN_SuccessfullyMatched() {
    assertTrue(getMatchRatingApproachEncoder().isEncodeEquals("Stephen", "Steven"));
}
@Test
public final void testCompare_MICKY_MICHAEL_SuccessfullyMatched() {
    assertTrue(getMatchRatingApproachEncoder().isEncodeEquals("Micky", "Michael"));
}</t>
  </si>
  <si>
    <t>@Test
public final void testCompare_STEPHEN_STEVEN_SuccessfullyMatched() {
    assertTrue(getMatchRatingApproachEncoder().isEncodeEquals("Stephen", "Steven"));
}
@Test
public final void testCompare_ZACH_ZAKARIA_SuccessfullyMatched() {
    assertTrue(getMatchRatingApproachEncoder().isEncodeEquals("Zach", "Zacharia"));
}</t>
  </si>
  <si>
    <t>@Test
public final void testCompare_STEPHEN_STEVEN_SuccessfullyMatched() {
    assertTrue(getMatchRatingApproachEncoder().isEncodeEquals("Stephen", "Steven"));
}
@Test
public final void testCompare_OONA_OONAGH_SuccessfullyMatched() {
    assertTrue(getMatchRatingApproachEncoder().isEncodeEquals("Oona", "Oonagh"));
}</t>
  </si>
  <si>
    <t>@Test
public final void testCompare_STEPHEN_STEVEN_SuccessfullyMatched() {
    assertTrue(getMatchRatingApproachEncoder().isEncodeEquals("Stephen", "Steven"));
}
@Test
public final void testCompare_MCGOWAN_MCGEOGHEGAN_SuccessfullyMatched() {
    assertTrue(getMatchRatingApproachEncoder().isEncodeEquals("McGowan", "Mc Geoghegan"));
}</t>
  </si>
  <si>
    <t>@Test
public final void testCompare_STEPHEN_STEVEN_SuccessfullyMatched() {
    assertTrue(getMatchRatingApproachEncoder().isEncodeEquals("Stephen", "Steven"));
}
@Test
public final void testCompare_FRANCISZEK_FRANCES_SuccessfullyMatched() {
    assertTrue(getMatchRatingApproachEncoder().isEncodeEquals("Franciszek", "Frances"));
}</t>
  </si>
  <si>
    <t>@Test
public final void testCompare_STEPHEN_STEVEN_SuccessfullyMatched() {
    assertTrue(getMatchRatingApproachEncoder().isEncodeEquals("Stephen", "Steven"));
}
@Test
public final void testCompare_Surname_HAILEY_HALLEY_SuccessfullyMatched() {
    assertTrue(getMatchRatingApproachEncoder().isEncodeEquals("Hailey", "Halley"));
}</t>
  </si>
  <si>
    <t>@Test
public final void testCompare_STEPHEN_STEVEN_SuccessfullyMatched() {
    assertTrue(getMatchRatingApproachEncoder().isEncodeEquals("Stephen", "Steven"));
}
@Test
public final void testCompare_SmallInput_CARK_Kl_SuccessfullyMatched() {
    assertTrue(getMatchRatingApproachEncoder().isEncodeEquals("Kl", "Karl"));
}</t>
  </si>
  <si>
    <t>@Test
public final void testCompare_STEPHEN_STEVEN_SuccessfullyMatched() {
    assertTrue(getMatchRatingApproachEncoder().isEncodeEquals("Stephen", "Steven"));
}
@Test
public final void testCompare_Surname_LEWINSKY_LEVINSKI_SuccessfullyMatched() {
    assertTrue(getMatchRatingApproachEncoder().isEncodeEquals("LEWINSKY", "LEVINSKI"));
}</t>
  </si>
  <si>
    <t>@Test
public final void testCompare_STEPHEN_STEVEN_SuccessfullyMatched() {
    assertTrue(getMatchRatingApproachEncoder().isEncodeEquals("Stephen", "Steven"));
}
@Test
public final void testCompare_Surname_PRZEMYSL_PSHEMESHIL_SuccessfullyMatched() {
    assertTrue(getMatchRatingApproachEncoder().isEncodeEquals(" P rz e m y s l", " P sh e m e sh i l"));
}</t>
  </si>
  <si>
    <t>@Test
public final void testCompare_STEPHEN_STEVEN_SuccessfullyMatched() {
    assertTrue(getMatchRatingApproachEncoder().isEncodeEquals("Stephen", "Steven"));
}
@Test
public final void testCompare_Surname_COOPERFLYNN_SUPERLYN_SuccessfullyMatched() {
    assertTrue(getMatchRatingApproachEncoder().isEncodeEquals("Cooper-Flynn", "Super-Lyn"));
}</t>
  </si>
  <si>
    <t>@Test
public final void testCompare_STEPHEN_STEVEN_SuccessfullyMatched() {
    assertTrue(getMatchRatingApproachEncoder().isEncodeEquals("Stephen", "Steven"));
}
@Test
public final void testCompare_Surname_LIPSHITZ_LIPPSZYC_SuccessfullyMatched() {
    assertTrue(getMatchRatingApproachEncoder().isEncodeEquals("LIPSHITZ", "LIPPSZYC"));
}</t>
  </si>
  <si>
    <t>@Test
public final void testCompare_STEPHEN_STEVEN_SuccessfullyMatched() {
    assertTrue(getMatchRatingApproachEncoder().isEncodeEquals("Stephen", "Steven"));
}
// **** BEGIN YIDDISH/SLAVIC SECTION ****
@Test
public final void testCompare_Surname_AUERBACH_UHRBACH_SuccessfullyMatched() {
    assertTrue(getMatchRatingApproachEncoder().isEncodeEquals("Auerbach", "Uhrbach"));
}</t>
  </si>
  <si>
    <t>@Test
public final void testCompare_STEPHEN_STEVEN_SuccessfullyMatched() {
    assertTrue(getMatchRatingApproachEncoder().isEncodeEquals("Stephen", "Steven"));
}
@Test
public final void testCompare_Surname_MOSKOWITZ_MOSKOVITZ_SuccessfullyMatched() {
    assertTrue(getMatchRatingApproachEncoder().isEncodeEquals("Moskowitz", "Moskovitz"));
}</t>
  </si>
  <si>
    <t>@Test
public final void testCompare_STEPHEN_STEVEN_SuccessfullyMatched() {
    assertTrue(getMatchRatingApproachEncoder().isEncodeEquals("Stephen", "Steven"));
}
@Test
public final void testCompare_Surname_SZLAMAWICZ_SHLAMOVITZ_SuccessfullyMatched() {
    assertTrue(getMatchRatingApproachEncoder().isEncodeEquals("SZLAMAWICZ", "SHLAMOVITZ"));
}</t>
  </si>
  <si>
    <t>@Test
public final void testCompare_STEPHEN_STEVEN_SuccessfullyMatched() {
    assertTrue(getMatchRatingApproachEncoder().isEncodeEquals("Stephen", "Steven"));
}
@Test
public final void testCompare_Surname_ROSOCHOWACIEC_ROSOKHOVATSETS_SuccessfullyMatched() {
    assertTrue(getMatchRatingApproachEncoder().isEncodeEquals("R o s o ch o w a c ie c", " R o s o k ho v a ts e ts"));
}</t>
  </si>
  <si>
    <t>@Test
public final void testCompare_STEPHEN_STEVEN_SuccessfullyMatched() {
    assertTrue(getMatchRatingApproachEncoder().isEncodeEquals("Stephen", "Steven"));
}
// ***** Begin Region - Test Get Encoding - Surnames
@Test
public final void testCompare_Surname_OSULLIVAN_OSUILLEABHAIN_SuccessfulMatch() {
    assertTrue(getMatchRatingApproachEncoder().isEncodeEquals("O'Sullivan", "Ó ' Súilleabháin"));
}</t>
  </si>
  <si>
    <t>@Test
public final void testCompare_STEPHEN_STEVEN_SuccessfullyMatched() {
    assertTrue(getMatchRatingApproachEncoder().isEncodeEquals("Stephen", "Steven"));
}
@Test
public final void testCompare_Forenames_SEAN_JOHN_MatchExpected() {
    assertTrue(getMatchRatingApproachEncoder().isEncodeEquals("Sean", "John"));
}</t>
  </si>
  <si>
    <t>@Test
public final void testCompare_STEPHEN_STEVEN_SuccessfullyMatched() {
    assertTrue(getMatchRatingApproachEncoder().isEncodeEquals("Stephen", "Steven"));
}
@Test
public final void testCompare_KARL_ALESSANDRO_DoesNotMatch() {
    assertFalse(getMatchRatingApproachEncoder().isEncodeEquals("Karl", "Alessandro"));
}</t>
  </si>
  <si>
    <t>@Test
public final void testCompare_STEPHEN_STEVEN_SuccessfullyMatched() {
    assertTrue(getMatchRatingApproachEncoder().isEncodeEquals("Stephen", "Steven"));
}
@Test
public final void testCompare_Forenames_UNA_OONAGH_ShouldSuccessfullyMatchButDoesNot() {
    // Disappointing
    assertFalse(getMatchRatingApproachEncoder().isEncodeEquals("Úna", "Oonagh"));
}</t>
  </si>
  <si>
    <t>@Test
public final void testCompare_STEPHEN_STEVEN_SuccessfullyMatched() {
    assertTrue(getMatchRatingApproachEncoder().isEncodeEquals("Stephen", "Steven"));
}
@Test
public final void testCompare_Forenames_SEAN_PETE_NoMatchExpected() {
    assertFalse(getMatchRatingApproachEncoder().isEncodeEquals("Sean", "Pete"));
}</t>
  </si>
  <si>
    <t>@Test
public final void testCompare_STEPHEN_STEVEN_SuccessfullyMatched() {
    assertTrue(getMatchRatingApproachEncoder().isEncodeEquals("Stephen", "Steven"));
}
@Test
public final void testCompare_Surnames_MURPHY_LYNCH_NoMatchExpected() {
    assertFalse(getMatchRatingApproachEncoder().isEncodeEquals("Murphy", "Lynch"));
}</t>
  </si>
  <si>
    <t>@Test
public final void testCompare_STEPHEN_STEVEN_SuccessfullyMatched() {
    assertTrue(getMatchRatingApproachEncoder().isEncodeEquals("Stephen", "Steven"));
}
@Test
public final void testCompare_LongSurnames_OMUIRCHEARTAIGH_OMIREADHAIGH_SuccessfulMatch() {
    assertTrue(getMatchRatingApproachEncoder().isEncodeEquals("o'muireadhaigh", "Ó 'Muircheartaigh "));
}</t>
  </si>
  <si>
    <t>@Test
public final void testCompare_STEPHEN_STEVEN_SuccessfullyMatched() {
    assertTrue(getMatchRatingApproachEncoder().isEncodeEquals("Stephen", "Steven"));
}
@Test
public final void testCompareNameToSingleLetter_KARL_C_DoesNotMatch() {
    assertFalse(getMatchRatingApproachEncoder().isEncodeEquals("Karl", "C"));
}</t>
  </si>
  <si>
    <t>@Test
public final void testCompare_STEPHEN_STEVEN_SuccessfullyMatched() {
    assertTrue(getMatchRatingApproachEncoder().isEncodeEquals("Stephen", "Steven"));
}
@Test
public final void testCompare_SurnamesCornerCase_MURPHY_Space_NoMatch() {
    assertFalse(getMatchRatingApproachEncoder().isEncodeEquals("Murphy", " "));
}</t>
  </si>
  <si>
    <t>@Test
public final void testCompare_STEPHEN_STEVEN_SuccessfullyMatched() {
    assertTrue(getMatchRatingApproachEncoder().isEncodeEquals("Stephen", "Steven"));
}
@Test
public final void testCompare_SurnamesCornerCase_MURPHY_NoSpace_NoMatch() {
    assertFalse(getMatchRatingApproachEncoder().isEncodeEquals("Murphy", ""));
}</t>
  </si>
  <si>
    <t>@Test
public final void testCompare_STEPHEN_STEVEN_SuccessfullyMatched() {
    assertTrue(getMatchRatingApproachEncoder().isEncodeEquals("Stephen", "Steven"));
}
@Test
public final void testCompare_SurnameCornerCase_Nulls_NoMatch() {
    assertFalse(getMatchRatingApproachEncoder().isEncodeEquals(null, null));
}</t>
  </si>
  <si>
    <t>@Test
public final void testCompare_STEPHEN_STEVEN_SuccessfullyMatched() {
    assertTrue(getMatchRatingApproachEncoder().isEncodeEquals("Stephen", "Steven"));
}
@Test
public final void testCompare_LongSurnames_MORIARTY_OMUIRCHEARTAIGH_DoesNotSuccessfulMatch() {
    assertFalse(getMatchRatingApproachEncoder().isEncodeEquals("Moriarty", "OMuircheartaigh"));
}</t>
  </si>
  <si>
    <t>@Test
public final void testCompare_STEVEN_STEFAN_SuccessfullyMatched() {
    assertTrue(getMatchRatingApproachEncoder().isEncodeEquals("Steven", "Stefan"));
}
@Test
public final void testCompare_STEPHEN_STEFAN_SuccessfullyMatched() {
    assertTrue(getMatchRatingApproachEncoder().isEncodeEquals("Stephen", "Stefan"));
}</t>
  </si>
  <si>
    <t>@Test
public final void testCompare_STEVEN_STEFAN_SuccessfullyMatched() {
    assertTrue(getMatchRatingApproachEncoder().isEncodeEquals("Steven", "Stefan"));
}
@Test
public final void testCompare_SOPHIE_SOFIA_SuccessfullyMatched() {
    assertTrue(getMatchRatingApproachEncoder().isEncodeEquals("Sophie", "Sofia"));
}</t>
  </si>
  <si>
    <t>@Test
public final void testCompare_STEVEN_STEFAN_SuccessfullyMatched() {
    assertTrue(getMatchRatingApproachEncoder().isEncodeEquals("Steven", "Stefan"));
}
// **** END YIDDISH/SLAVIC SECTION ****
@Test
public final void testCompare_PETERSON_PETERS_SuccessfullyMatched() {
    assertTrue(getMatchRatingApproachEncoder().isEncodeEquals("Peterson", "Peters"));
}</t>
  </si>
  <si>
    <t>@Test
public final void testCompare_STEVEN_STEFAN_SuccessfullyMatched() {
    assertTrue(getMatchRatingApproachEncoder().isEncodeEquals("Steven", "Stefan"));
}
@Test
public final void testCompare_SAM_SAMUEL_SuccessfullyMatched() {
    assertTrue(getMatchRatingApproachEncoder().isEncodeEquals("Sam", "Samuel"));
}</t>
  </si>
  <si>
    <t>@Test
public final void testCompare_STEVEN_STEFAN_SuccessfullyMatched() {
    assertTrue(getMatchRatingApproachEncoder().isEncodeEquals("Steven", "Stefan"));
}
@Test
public final void testCompare_TOMASZ_TOM_SuccessfullyMatched() {
    assertTrue(getMatchRatingApproachEncoder().isEncodeEquals("Tomasz", "tom"));
}</t>
  </si>
  <si>
    <t>@Test
public final void testCompare_STEVEN_STEFAN_SuccessfullyMatched() {
    assertTrue(getMatchRatingApproachEncoder().isEncodeEquals("Steven", "Stefan"));
}
@Test
public final void testCompare_MICKY_MICHAEL_SuccessfullyMatched() {
    assertTrue(getMatchRatingApproachEncoder().isEncodeEquals("Micky", "Michael"));
}</t>
  </si>
  <si>
    <t>@Test
public final void testCompare_STEVEN_STEFAN_SuccessfullyMatched() {
    assertTrue(getMatchRatingApproachEncoder().isEncodeEquals("Steven", "Stefan"));
}
@Test
public final void testCompare_ZACH_ZAKARIA_SuccessfullyMatched() {
    assertTrue(getMatchRatingApproachEncoder().isEncodeEquals("Zach", "Zacharia"));
}</t>
  </si>
  <si>
    <t>@Test
public final void testCompare_STEVEN_STEFAN_SuccessfullyMatched() {
    assertTrue(getMatchRatingApproachEncoder().isEncodeEquals("Steven", "Stefan"));
}
@Test
public final void testCompare_OONA_OONAGH_SuccessfullyMatched() {
    assertTrue(getMatchRatingApproachEncoder().isEncodeEquals("Oona", "Oonagh"));
}</t>
  </si>
  <si>
    <t>@Test
public final void testCompare_STEVEN_STEFAN_SuccessfullyMatched() {
    assertTrue(getMatchRatingApproachEncoder().isEncodeEquals("Steven", "Stefan"));
}
@Test
public final void testCompare_MCGOWAN_MCGEOGHEGAN_SuccessfullyMatched() {
    assertTrue(getMatchRatingApproachEncoder().isEncodeEquals("McGowan", "Mc Geoghegan"));
}</t>
  </si>
  <si>
    <t>@Test
public final void testCompare_STEVEN_STEFAN_SuccessfullyMatched() {
    assertTrue(getMatchRatingApproachEncoder().isEncodeEquals("Steven", "Stefan"));
}
@Test
public final void testCompare_FRANCISZEK_FRANCES_SuccessfullyMatched() {
    assertTrue(getMatchRatingApproachEncoder().isEncodeEquals("Franciszek", "Frances"));
}</t>
  </si>
  <si>
    <t>@Test
public final void testCompare_STEVEN_STEFAN_SuccessfullyMatched() {
    assertTrue(getMatchRatingApproachEncoder().isEncodeEquals("Steven", "Stefan"));
}
@Test
public final void testCompare_SmallInput_CARK_Kl_SuccessfullyMatched() {
    assertTrue(getMatchRatingApproachEncoder().isEncodeEquals("Kl", "Karl"));
}</t>
  </si>
  <si>
    <t>@Test
public final void testCompare_STEVEN_STEFAN_SuccessfullyMatched() {
    assertTrue(getMatchRatingApproachEncoder().isEncodeEquals("Steven", "Stefan"));
}
@Test
public final void testCompare_Surname_HAILEY_HALLEY_SuccessfullyMatched() {
    assertTrue(getMatchRatingApproachEncoder().isEncodeEquals("Hailey", "Halley"));
}</t>
  </si>
  <si>
    <t>@Test
public final void testCompare_STEVEN_STEFAN_SuccessfullyMatched() {
    assertTrue(getMatchRatingApproachEncoder().isEncodeEquals("Steven", "Stefan"));
}
@Test
public final void testCompare_Surname_LEWINSKY_LEVINSKI_SuccessfullyMatched() {
    assertTrue(getMatchRatingApproachEncoder().isEncodeEquals("LEWINSKY", "LEVINSKI"));
}</t>
  </si>
  <si>
    <t>@Test
public final void testCompare_STEVEN_STEFAN_SuccessfullyMatched() {
    assertTrue(getMatchRatingApproachEncoder().isEncodeEquals("Steven", "Stefan"));
}
// **** BEGIN YIDDISH/SLAVIC SECTION ****
@Test
public final void testCompare_Surname_AUERBACH_UHRBACH_SuccessfullyMatched() {
    assertTrue(getMatchRatingApproachEncoder().isEncodeEquals("Auerbach", "Uhrbach"));
}</t>
  </si>
  <si>
    <t>@Test
public final void testCompare_STEVEN_STEFAN_SuccessfullyMatched() {
    assertTrue(getMatchRatingApproachEncoder().isEncodeEquals("Steven", "Stefan"));
}
@Test
public final void testCompare_Surname_COOPERFLYNN_SUPERLYN_SuccessfullyMatched() {
    assertTrue(getMatchRatingApproachEncoder().isEncodeEquals("Cooper-Flynn", "Super-Lyn"));
}</t>
  </si>
  <si>
    <t>@Test
public final void testCompare_STEVEN_STEFAN_SuccessfullyMatched() {
    assertTrue(getMatchRatingApproachEncoder().isEncodeEquals("Steven", "Stefan"));
}
@Test
public final void testCompare_Surname_LIPSHITZ_LIPPSZYC_SuccessfullyMatched() {
    assertTrue(getMatchRatingApproachEncoder().isEncodeEquals("LIPSHITZ", "LIPPSZYC"));
}</t>
  </si>
  <si>
    <t>@Test
public final void testCompare_STEVEN_STEFAN_SuccessfullyMatched() {
    assertTrue(getMatchRatingApproachEncoder().isEncodeEquals("Steven", "Stefan"));
}
@Test
public final void testCompare_Surname_PRZEMYSL_PSHEMESHIL_SuccessfullyMatched() {
    assertTrue(getMatchRatingApproachEncoder().isEncodeEquals(" P rz e m y s l", " P sh e m e sh i l"));
}</t>
  </si>
  <si>
    <t>@Test
public final void testCompare_STEVEN_STEFAN_SuccessfullyMatched() {
    assertTrue(getMatchRatingApproachEncoder().isEncodeEquals("Steven", "Stefan"));
}
@Test
public final void testCompare_Surname_MOSKOWITZ_MOSKOVITZ_SuccessfullyMatched() {
    assertTrue(getMatchRatingApproachEncoder().isEncodeEquals("Moskowitz", "Moskovitz"));
}</t>
  </si>
  <si>
    <t>@Test
public final void testCompare_STEVEN_STEFAN_SuccessfullyMatched() {
    assertTrue(getMatchRatingApproachEncoder().isEncodeEquals("Steven", "Stefan"));
}
@Test
public final void testCompare_Surname_SZLAMAWICZ_SHLAMOVITZ_SuccessfullyMatched() {
    assertTrue(getMatchRatingApproachEncoder().isEncodeEquals("SZLAMAWICZ", "SHLAMOVITZ"));
}</t>
  </si>
  <si>
    <t>@Test
public final void testCompare_STEVEN_STEFAN_SuccessfullyMatched() {
    assertTrue(getMatchRatingApproachEncoder().isEncodeEquals("Steven", "Stefan"));
}
// ***** Begin Region - Test Get Encoding - Surnames
@Test
public final void testCompare_Surname_OSULLIVAN_OSUILLEABHAIN_SuccessfulMatch() {
    assertTrue(getMatchRatingApproachEncoder().isEncodeEquals("O'Sullivan", "Ó ' Súilleabháin"));
}</t>
  </si>
  <si>
    <t>@Test
public final void testCompare_STEVEN_STEFAN_SuccessfullyMatched() {
    assertTrue(getMatchRatingApproachEncoder().isEncodeEquals("Steven", "Stefan"));
}
@Test
public final void testCompare_Surname_ROSOCHOWACIEC_ROSOKHOVATSETS_SuccessfullyMatched() {
    assertTrue(getMatchRatingApproachEncoder().isEncodeEquals("R o s o ch o w a c ie c", " R o s o k ho v a ts e ts"));
}</t>
  </si>
  <si>
    <t>@Test
public final void testCompare_STEVEN_STEFAN_SuccessfullyMatched() {
    assertTrue(getMatchRatingApproachEncoder().isEncodeEquals("Steven", "Stefan"));
}
@Test
public final void testCompare_Forenames_SEAN_JOHN_MatchExpected() {
    assertTrue(getMatchRatingApproachEncoder().isEncodeEquals("Sean", "John"));
}</t>
  </si>
  <si>
    <t>@Test
public final void testCompare_STEVEN_STEFAN_SuccessfullyMatched() {
    assertTrue(getMatchRatingApproachEncoder().isEncodeEquals("Steven", "Stefan"));
}
@Test
public final void testCompare_KARL_ALESSANDRO_DoesNotMatch() {
    assertFalse(getMatchRatingApproachEncoder().isEncodeEquals("Karl", "Alessandro"));
}</t>
  </si>
  <si>
    <t>@Test
public final void testCompare_STEVEN_STEFAN_SuccessfullyMatched() {
    assertTrue(getMatchRatingApproachEncoder().isEncodeEquals("Steven", "Stefan"));
}
@Test
public final void testCompare_Forenames_SEAN_PETE_NoMatchExpected() {
    assertFalse(getMatchRatingApproachEncoder().isEncodeEquals("Sean", "Pete"));
}</t>
  </si>
  <si>
    <t>@Test
public final void testCompare_STEVEN_STEFAN_SuccessfullyMatched() {
    assertTrue(getMatchRatingApproachEncoder().isEncodeEquals("Steven", "Stefan"));
}
@Test
public final void testCompare_Forenames_UNA_OONAGH_ShouldSuccessfullyMatchButDoesNot() {
    // Disappointing
    assertFalse(getMatchRatingApproachEncoder().isEncodeEquals("Úna", "Oonagh"));
}</t>
  </si>
  <si>
    <t>@Test
public final void testCompare_STEVEN_STEFAN_SuccessfullyMatched() {
    assertTrue(getMatchRatingApproachEncoder().isEncodeEquals("Steven", "Stefan"));
}
@Test
public final void testCompare_Surnames_MURPHY_LYNCH_NoMatchExpected() {
    assertFalse(getMatchRatingApproachEncoder().isEncodeEquals("Murphy", "Lynch"));
}</t>
  </si>
  <si>
    <t>@Test
public final void testCompare_STEVEN_STEFAN_SuccessfullyMatched() {
    assertTrue(getMatchRatingApproachEncoder().isEncodeEquals("Steven", "Stefan"));
}
@Test
public final void testCompare_LongSurnames_OMUIRCHEARTAIGH_OMIREADHAIGH_SuccessfulMatch() {
    assertTrue(getMatchRatingApproachEncoder().isEncodeEquals("o'muireadhaigh", "Ó 'Muircheartaigh "));
}</t>
  </si>
  <si>
    <t>@Test
public final void testCompare_STEVEN_STEFAN_SuccessfullyMatched() {
    assertTrue(getMatchRatingApproachEncoder().isEncodeEquals("Steven", "Stefan"));
}
@Test
public final void testCompareNameToSingleLetter_KARL_C_DoesNotMatch() {
    assertFalse(getMatchRatingApproachEncoder().isEncodeEquals("Karl", "C"));
}</t>
  </si>
  <si>
    <t>@Test
public final void testCompare_STEVEN_STEFAN_SuccessfullyMatched() {
    assertTrue(getMatchRatingApproachEncoder().isEncodeEquals("Steven", "Stefan"));
}
@Test
public final void testCompare_SurnamesCornerCase_MURPHY_Space_NoMatch() {
    assertFalse(getMatchRatingApproachEncoder().isEncodeEquals("Murphy", " "));
}</t>
  </si>
  <si>
    <t>@Test
public final void testCompare_STEVEN_STEFAN_SuccessfullyMatched() {
    assertTrue(getMatchRatingApproachEncoder().isEncodeEquals("Steven", "Stefan"));
}
@Test
public final void testCompare_SurnamesCornerCase_MURPHY_NoSpace_NoMatch() {
    assertFalse(getMatchRatingApproachEncoder().isEncodeEquals("Murphy", ""));
}</t>
  </si>
  <si>
    <t>@Test
public final void testCompare_STEVEN_STEFAN_SuccessfullyMatched() {
    assertTrue(getMatchRatingApproachEncoder().isEncodeEquals("Steven", "Stefan"));
}
@Test
public final void testCompare_SurnameCornerCase_Nulls_NoMatch() {
    assertFalse(getMatchRatingApproachEncoder().isEncodeEquals(null, null));
}</t>
  </si>
  <si>
    <t>@Test
public final void testCompare_STEVEN_STEFAN_SuccessfullyMatched() {
    assertTrue(getMatchRatingApproachEncoder().isEncodeEquals("Steven", "Stefan"));
}
@Test
public final void testCompare_LongSurnames_MORIARTY_OMUIRCHEARTAIGH_DoesNotSuccessfulMatch() {
    assertFalse(getMatchRatingApproachEncoder().isEncodeEquals("Moriarty", "OMuircheartaigh"));
}</t>
  </si>
  <si>
    <t>@Test
public final void testCompare_STEPHEN_STEFAN_SuccessfullyMatched() {
    assertTrue(getMatchRatingApproachEncoder().isEncodeEquals("Stephen", "Stefan"));
}
@Test
public final void testCompare_SOPHIE_SOFIA_SuccessfullyMatched() {
    assertTrue(getMatchRatingApproachEncoder().isEncodeEquals("Sophie", "Sofia"));
}</t>
  </si>
  <si>
    <t>@Test
public final void testCompare_STEPHEN_STEFAN_SuccessfullyMatched() {
    assertTrue(getMatchRatingApproachEncoder().isEncodeEquals("Stephen", "Stefan"));
}
// **** END YIDDISH/SLAVIC SECTION ****
@Test
public final void testCompare_PETERSON_PETERS_SuccessfullyMatched() {
    assertTrue(getMatchRatingApproachEncoder().isEncodeEquals("Peterson", "Peters"));
}</t>
  </si>
  <si>
    <t>@Test
public final void testCompare_STEPHEN_STEFAN_SuccessfullyMatched() {
    assertTrue(getMatchRatingApproachEncoder().isEncodeEquals("Stephen", "Stefan"));
}
@Test
public final void testCompare_TOMASZ_TOM_SuccessfullyMatched() {
    assertTrue(getMatchRatingApproachEncoder().isEncodeEquals("Tomasz", "tom"));
}</t>
  </si>
  <si>
    <t>@Test
public final void testCompare_STEPHEN_STEFAN_SuccessfullyMatched() {
    assertTrue(getMatchRatingApproachEncoder().isEncodeEquals("Stephen", "Stefan"));
}
@Test
public final void testCompare_SAM_SAMUEL_SuccessfullyMatched() {
    assertTrue(getMatchRatingApproachEncoder().isEncodeEquals("Sam", "Samuel"));
}</t>
  </si>
  <si>
    <t>@Test
public final void testCompare_STEPHEN_STEFAN_SuccessfullyMatched() {
    assertTrue(getMatchRatingApproachEncoder().isEncodeEquals("Stephen", "Stefan"));
}
@Test
public final void testCompare_ZACH_ZAKARIA_SuccessfullyMatched() {
    assertTrue(getMatchRatingApproachEncoder().isEncodeEquals("Zach", "Zacharia"));
}</t>
  </si>
  <si>
    <t>@Test
public final void testCompare_STEPHEN_STEFAN_SuccessfullyMatched() {
    assertTrue(getMatchRatingApproachEncoder().isEncodeEquals("Stephen", "Stefan"));
}
@Test
public final void testCompare_MICKY_MICHAEL_SuccessfullyMatched() {
    assertTrue(getMatchRatingApproachEncoder().isEncodeEquals("Micky", "Michael"));
}</t>
  </si>
  <si>
    <t>@Test
public final void testCompare_STEPHEN_STEFAN_SuccessfullyMatched() {
    assertTrue(getMatchRatingApproachEncoder().isEncodeEquals("Stephen", "Stefan"));
}
@Test
public final void testCompare_OONA_OONAGH_SuccessfullyMatched() {
    assertTrue(getMatchRatingApproachEncoder().isEncodeEquals("Oona", "Oonagh"));
}</t>
  </si>
  <si>
    <t>@Test
public final void testCompare_STEPHEN_STEFAN_SuccessfullyMatched() {
    assertTrue(getMatchRatingApproachEncoder().isEncodeEquals("Stephen", "Stefan"));
}
@Test
public final void testCompare_MCGOWAN_MCGEOGHEGAN_SuccessfullyMatched() {
    assertTrue(getMatchRatingApproachEncoder().isEncodeEquals("McGowan", "Mc Geoghegan"));
}</t>
  </si>
  <si>
    <t>@Test
public final void testCompare_STEPHEN_STEFAN_SuccessfullyMatched() {
    assertTrue(getMatchRatingApproachEncoder().isEncodeEquals("Stephen", "Stefan"));
}
@Test
public final void testCompare_FRANCISZEK_FRANCES_SuccessfullyMatched() {
    assertTrue(getMatchRatingApproachEncoder().isEncodeEquals("Franciszek", "Frances"));
}</t>
  </si>
  <si>
    <t>@Test
public final void testCompare_STEPHEN_STEFAN_SuccessfullyMatched() {
    assertTrue(getMatchRatingApproachEncoder().isEncodeEquals("Stephen", "Stefan"));
}
@Test
public final void testCompare_SmallInput_CARK_Kl_SuccessfullyMatched() {
    assertTrue(getMatchRatingApproachEncoder().isEncodeEquals("Kl", "Karl"));
}</t>
  </si>
  <si>
    <t>@Test
public final void testCompare_STEPHEN_STEFAN_SuccessfullyMatched() {
    assertTrue(getMatchRatingApproachEncoder().isEncodeEquals("Stephen", "Stefan"));
}
@Test
public final void testCompare_Surname_HAILEY_HALLEY_SuccessfullyMatched() {
    assertTrue(getMatchRatingApproachEncoder().isEncodeEquals("Hailey", "Halley"));
}</t>
  </si>
  <si>
    <t>@Test
public final void testCompare_STEPHEN_STEFAN_SuccessfullyMatched() {
    assertTrue(getMatchRatingApproachEncoder().isEncodeEquals("Stephen", "Stefan"));
}
@Test
public final void testCompare_Surname_LEWINSKY_LEVINSKI_SuccessfullyMatched() {
    assertTrue(getMatchRatingApproachEncoder().isEncodeEquals("LEWINSKY", "LEVINSKI"));
}</t>
  </si>
  <si>
    <t>@Test
public final void testCompare_STEPHEN_STEFAN_SuccessfullyMatched() {
    assertTrue(getMatchRatingApproachEncoder().isEncodeEquals("Stephen", "Stefan"));
}
// **** BEGIN YIDDISH/SLAVIC SECTION ****
@Test
public final void testCompare_Surname_AUERBACH_UHRBACH_SuccessfullyMatched() {
    assertTrue(getMatchRatingApproachEncoder().isEncodeEquals("Auerbach", "Uhrbach"));
}</t>
  </si>
  <si>
    <t>@Test
public final void testCompare_STEPHEN_STEFAN_SuccessfullyMatched() {
    assertTrue(getMatchRatingApproachEncoder().isEncodeEquals("Stephen", "Stefan"));
}
@Test
public final void testCompare_Surname_COOPERFLYNN_SUPERLYN_SuccessfullyMatched() {
    assertTrue(getMatchRatingApproachEncoder().isEncodeEquals("Cooper-Flynn", "Super-Lyn"));
}</t>
  </si>
  <si>
    <t>@Test
public final void testCompare_STEPHEN_STEFAN_SuccessfullyMatched() {
    assertTrue(getMatchRatingApproachEncoder().isEncodeEquals("Stephen", "Stefan"));
}
@Test
public final void testCompare_Surname_PRZEMYSL_PSHEMESHIL_SuccessfullyMatched() {
    assertTrue(getMatchRatingApproachEncoder().isEncodeEquals(" P rz e m y s l", " P sh e m e sh i l"));
}</t>
  </si>
  <si>
    <t>@Test
public final void testCompare_STEPHEN_STEFAN_SuccessfullyMatched() {
    assertTrue(getMatchRatingApproachEncoder().isEncodeEquals("Stephen", "Stefan"));
}
@Test
public final void testCompare_Surname_LIPSHITZ_LIPPSZYC_SuccessfullyMatched() {
    assertTrue(getMatchRatingApproachEncoder().isEncodeEquals("LIPSHITZ", "LIPPSZYC"));
}</t>
  </si>
  <si>
    <t>@Test
public final void testCompare_STEPHEN_STEFAN_SuccessfullyMatched() {
    assertTrue(getMatchRatingApproachEncoder().isEncodeEquals("Stephen", "Stefan"));
}
@Test
public final void testCompare_Surname_MOSKOWITZ_MOSKOVITZ_SuccessfullyMatched() {
    assertTrue(getMatchRatingApproachEncoder().isEncodeEquals("Moskowitz", "Moskovitz"));
}</t>
  </si>
  <si>
    <t>@Test
public final void testCompare_STEPHEN_STEFAN_SuccessfullyMatched() {
    assertTrue(getMatchRatingApproachEncoder().isEncodeEquals("Stephen", "Stefan"));
}
@Test
public final void testCompare_Surname_SZLAMAWICZ_SHLAMOVITZ_SuccessfullyMatched() {
    assertTrue(getMatchRatingApproachEncoder().isEncodeEquals("SZLAMAWICZ", "SHLAMOVITZ"));
}</t>
  </si>
  <si>
    <t>@Test
public final void testCompare_STEPHEN_STEFAN_SuccessfullyMatched() {
    assertTrue(getMatchRatingApproachEncoder().isEncodeEquals("Stephen", "Stefan"));
}
// ***** Begin Region - Test Get Encoding - Surnames
@Test
public final void testCompare_Surname_OSULLIVAN_OSUILLEABHAIN_SuccessfulMatch() {
    assertTrue(getMatchRatingApproachEncoder().isEncodeEquals("O'Sullivan", "Ó ' Súilleabháin"));
}</t>
  </si>
  <si>
    <t>@Test
public final void testCompare_STEPHEN_STEFAN_SuccessfullyMatched() {
    assertTrue(getMatchRatingApproachEncoder().isEncodeEquals("Stephen", "Stefan"));
}
@Test
public final void testCompare_Surname_ROSOCHOWACIEC_ROSOKHOVATSETS_SuccessfullyMatched() {
    assertTrue(getMatchRatingApproachEncoder().isEncodeEquals("R o s o ch o w a c ie c", " R o s o k ho v a ts e ts"));
}</t>
  </si>
  <si>
    <t>@Test
public final void testCompare_STEPHEN_STEFAN_SuccessfullyMatched() {
    assertTrue(getMatchRatingApproachEncoder().isEncodeEquals("Stephen", "Stefan"));
}
@Test
public final void testCompare_Forenames_SEAN_JOHN_MatchExpected() {
    assertTrue(getMatchRatingApproachEncoder().isEncodeEquals("Sean", "John"));
}</t>
  </si>
  <si>
    <t>@Test
public final void testCompare_STEPHEN_STEFAN_SuccessfullyMatched() {
    assertTrue(getMatchRatingApproachEncoder().isEncodeEquals("Stephen", "Stefan"));
}
@Test
public final void testCompare_KARL_ALESSANDRO_DoesNotMatch() {
    assertFalse(getMatchRatingApproachEncoder().isEncodeEquals("Karl", "Alessandro"));
}</t>
  </si>
  <si>
    <t>@Test
public final void testCompare_STEPHEN_STEFAN_SuccessfullyMatched() {
    assertTrue(getMatchRatingApproachEncoder().isEncodeEquals("Stephen", "Stefan"));
}
@Test
public final void testCompare_Forenames_SEAN_PETE_NoMatchExpected() {
    assertFalse(getMatchRatingApproachEncoder().isEncodeEquals("Sean", "Pete"));
}</t>
  </si>
  <si>
    <t>@Test
public final void testCompare_STEPHEN_STEFAN_SuccessfullyMatched() {
    assertTrue(getMatchRatingApproachEncoder().isEncodeEquals("Stephen", "Stefan"));
}
@Test
public final void testCompare_Forenames_UNA_OONAGH_ShouldSuccessfullyMatchButDoesNot() {
    // Disappointing
    assertFalse(getMatchRatingApproachEncoder().isEncodeEquals("Úna", "Oonagh"));
}</t>
  </si>
  <si>
    <t>@Test
public final void testCompare_STEPHEN_STEFAN_SuccessfullyMatched() {
    assertTrue(getMatchRatingApproachEncoder().isEncodeEquals("Stephen", "Stefan"));
}
@Test
public final void testCompare_LongSurnames_OMUIRCHEARTAIGH_OMIREADHAIGH_SuccessfulMatch() {
    assertTrue(getMatchRatingApproachEncoder().isEncodeEquals("o'muireadhaigh", "Ó 'Muircheartaigh "));
}</t>
  </si>
  <si>
    <t>@Test
public final void testCompare_STEPHEN_STEFAN_SuccessfullyMatched() {
    assertTrue(getMatchRatingApproachEncoder().isEncodeEquals("Stephen", "Stefan"));
}
@Test
public final void testCompare_Surnames_MURPHY_LYNCH_NoMatchExpected() {
    assertFalse(getMatchRatingApproachEncoder().isEncodeEquals("Murphy", "Lynch"));
}</t>
  </si>
  <si>
    <t>@Test
public final void testCompare_STEPHEN_STEFAN_SuccessfullyMatched() {
    assertTrue(getMatchRatingApproachEncoder().isEncodeEquals("Stephen", "Stefan"));
}
@Test
public final void testCompareNameToSingleLetter_KARL_C_DoesNotMatch() {
    assertFalse(getMatchRatingApproachEncoder().isEncodeEquals("Karl", "C"));
}</t>
  </si>
  <si>
    <t>@Test
public final void testCompare_STEPHEN_STEFAN_SuccessfullyMatched() {
    assertTrue(getMatchRatingApproachEncoder().isEncodeEquals("Stephen", "Stefan"));
}
@Test
public final void testCompare_SurnamesCornerCase_MURPHY_Space_NoMatch() {
    assertFalse(getMatchRatingApproachEncoder().isEncodeEquals("Murphy", " "));
}</t>
  </si>
  <si>
    <t>@Test
public final void testCompare_STEPHEN_STEFAN_SuccessfullyMatched() {
    assertTrue(getMatchRatingApproachEncoder().isEncodeEquals("Stephen", "Stefan"));
}
@Test
public final void testCompare_SurnamesCornerCase_MURPHY_NoSpace_NoMatch() {
    assertFalse(getMatchRatingApproachEncoder().isEncodeEquals("Murphy", ""));
}</t>
  </si>
  <si>
    <t>@Test
public final void testCompare_STEPHEN_STEFAN_SuccessfullyMatched() {
    assertTrue(getMatchRatingApproachEncoder().isEncodeEquals("Stephen", "Stefan"));
}
@Test
public final void testCompare_SurnameCornerCase_Nulls_NoMatch() {
    assertFalse(getMatchRatingApproachEncoder().isEncodeEquals(null, null));
}</t>
  </si>
  <si>
    <t>@Test
public final void testCompare_STEPHEN_STEFAN_SuccessfullyMatched() {
    assertTrue(getMatchRatingApproachEncoder().isEncodeEquals("Stephen", "Stefan"));
}
@Test
public final void testCompare_LongSurnames_MORIARTY_OMUIRCHEARTAIGH_DoesNotSuccessfulMatch() {
    assertFalse(getMatchRatingApproachEncoder().isEncodeEquals("Moriarty", "OMuircheartaigh"));
}</t>
  </si>
  <si>
    <t>@Test
public final void testCompare_SAM_SAMUEL_SuccessfullyMatched() {
    assertTrue(getMatchRatingApproachEncoder().isEncodeEquals("Sam", "Samuel"));
}
@Test
public final void testCompare_TOMASZ_TOM_SuccessfullyMatched() {
    assertTrue(getMatchRatingApproachEncoder().isEncodeEquals("Tomasz", "tom"));
}</t>
  </si>
  <si>
    <t>@Test
public final void testCompare_SAM_SAMUEL_SuccessfullyMatched() {
    assertTrue(getMatchRatingApproachEncoder().isEncodeEquals("Sam", "Samuel"));
}
@Test
public final void testCompare_ZACH_ZAKARIA_SuccessfullyMatched() {
    assertTrue(getMatchRatingApproachEncoder().isEncodeEquals("Zach", "Zacharia"));
}</t>
  </si>
  <si>
    <t>@Test
public final void testCompare_SAM_SAMUEL_SuccessfullyMatched() {
    assertTrue(getMatchRatingApproachEncoder().isEncodeEquals("Sam", "Samuel"));
}
@Test
public final void testCompare_MICKY_MICHAEL_SuccessfullyMatched() {
    assertTrue(getMatchRatingApproachEncoder().isEncodeEquals("Micky", "Michael"));
}</t>
  </si>
  <si>
    <t>@Test
public final void testCompare_SAM_SAMUEL_SuccessfullyMatched() {
    assertTrue(getMatchRatingApproachEncoder().isEncodeEquals("Sam", "Samuel"));
}
@Test
public final void testCompare_SOPHIE_SOFIA_SuccessfullyMatched() {
    assertTrue(getMatchRatingApproachEncoder().isEncodeEquals("Sophie", "Sofia"));
}</t>
  </si>
  <si>
    <t>@Test
public final void testCompare_SAM_SAMUEL_SuccessfullyMatched() {
    assertTrue(getMatchRatingApproachEncoder().isEncodeEquals("Sam", "Samuel"));
}
@Test
public final void testCompare_OONA_OONAGH_SuccessfullyMatched() {
    assertTrue(getMatchRatingApproachEncoder().isEncodeEquals("Oona", "Oonagh"));
}</t>
  </si>
  <si>
    <t>@Test
public final void testCompare_SAM_SAMUEL_SuccessfullyMatched() {
    assertTrue(getMatchRatingApproachEncoder().isEncodeEquals("Sam", "Samuel"));
}
// **** END YIDDISH/SLAVIC SECTION ****
@Test
public final void testCompare_PETERSON_PETERS_SuccessfullyMatched() {
    assertTrue(getMatchRatingApproachEncoder().isEncodeEquals("Peterson", "Peters"));
}</t>
  </si>
  <si>
    <t>@Test
public final void testCompare_SAM_SAMUEL_SuccessfullyMatched() {
    assertTrue(getMatchRatingApproachEncoder().isEncodeEquals("Sam", "Samuel"));
}
@Test
public final void testCompare_FRANCISZEK_FRANCES_SuccessfullyMatched() {
    assertTrue(getMatchRatingApproachEncoder().isEncodeEquals("Franciszek", "Frances"));
}</t>
  </si>
  <si>
    <t>@Test
public final void testCompare_SAM_SAMUEL_SuccessfullyMatched() {
    assertTrue(getMatchRatingApproachEncoder().isEncodeEquals("Sam", "Samuel"));
}
@Test
public final void testCompare_SmallInput_CARK_Kl_SuccessfullyMatched() {
    assertTrue(getMatchRatingApproachEncoder().isEncodeEquals("Kl", "Karl"));
}</t>
  </si>
  <si>
    <t>@Test
public final void testCompare_SAM_SAMUEL_SuccessfullyMatched() {
    assertTrue(getMatchRatingApproachEncoder().isEncodeEquals("Sam", "Samuel"));
}
@Test
public final void testCompare_Surname_HAILEY_HALLEY_SuccessfullyMatched() {
    assertTrue(getMatchRatingApproachEncoder().isEncodeEquals("Hailey", "Halley"));
}</t>
  </si>
  <si>
    <t>@Test
public final void testCompare_SAM_SAMUEL_SuccessfullyMatched() {
    assertTrue(getMatchRatingApproachEncoder().isEncodeEquals("Sam", "Samuel"));
}
@Test
public final void testCompare_MCGOWAN_MCGEOGHEGAN_SuccessfullyMatched() {
    assertTrue(getMatchRatingApproachEncoder().isEncodeEquals("McGowan", "Mc Geoghegan"));
}</t>
  </si>
  <si>
    <t>@Test
public final void testCompare_SAM_SAMUEL_SuccessfullyMatched() {
    assertTrue(getMatchRatingApproachEncoder().isEncodeEquals("Sam", "Samuel"));
}
// **** BEGIN YIDDISH/SLAVIC SECTION ****
@Test
public final void testCompare_Surname_AUERBACH_UHRBACH_SuccessfullyMatched() {
    assertTrue(getMatchRatingApproachEncoder().isEncodeEquals("Auerbach", "Uhrbach"));
}</t>
  </si>
  <si>
    <t>@Test
public final void testCompare_SAM_SAMUEL_SuccessfullyMatched() {
    assertTrue(getMatchRatingApproachEncoder().isEncodeEquals("Sam", "Samuel"));
}
@Test
public final void testCompare_Surname_PRZEMYSL_PSHEMESHIL_SuccessfullyMatched() {
    assertTrue(getMatchRatingApproachEncoder().isEncodeEquals(" P rz e m y s l", " P sh e m e sh i l"));
}</t>
  </si>
  <si>
    <t>@Test
public final void testCompare_SAM_SAMUEL_SuccessfullyMatched() {
    assertTrue(getMatchRatingApproachEncoder().isEncodeEquals("Sam", "Samuel"));
}
@Test
public final void testCompare_Surname_LEWINSKY_LEVINSKI_SuccessfullyMatched() {
    assertTrue(getMatchRatingApproachEncoder().isEncodeEquals("LEWINSKY", "LEVINSKI"));
}</t>
  </si>
  <si>
    <t>@Test
public final void testCompare_SAM_SAMUEL_SuccessfullyMatched() {
    assertTrue(getMatchRatingApproachEncoder().isEncodeEquals("Sam", "Samuel"));
}
@Test
public final void testCompare_Surname_LIPSHITZ_LIPPSZYC_SuccessfullyMatched() {
    assertTrue(getMatchRatingApproachEncoder().isEncodeEquals("LIPSHITZ", "LIPPSZYC"));
}</t>
  </si>
  <si>
    <t>@Test
public final void testCompare_SAM_SAMUEL_SuccessfullyMatched() {
    assertTrue(getMatchRatingApproachEncoder().isEncodeEquals("Sam", "Samuel"));
}
@Test
public final void testCompare_Surname_SZLAMAWICZ_SHLAMOVITZ_SuccessfullyMatched() {
    assertTrue(getMatchRatingApproachEncoder().isEncodeEquals("SZLAMAWICZ", "SHLAMOVITZ"));
}</t>
  </si>
  <si>
    <t>@Test
public final void testCompare_SAM_SAMUEL_SuccessfullyMatched() {
    assertTrue(getMatchRatingApproachEncoder().isEncodeEquals("Sam", "Samuel"));
}
@Test
public final void testCompare_Surname_COOPERFLYNN_SUPERLYN_SuccessfullyMatched() {
    assertTrue(getMatchRatingApproachEncoder().isEncodeEquals("Cooper-Flynn", "Super-Lyn"));
}</t>
  </si>
  <si>
    <t>@Test
public final void testCompare_SAM_SAMUEL_SuccessfullyMatched() {
    assertTrue(getMatchRatingApproachEncoder().isEncodeEquals("Sam", "Samuel"));
}
@Test
public final void testCompare_Surname_MOSKOWITZ_MOSKOVITZ_SuccessfullyMatched() {
    assertTrue(getMatchRatingApproachEncoder().isEncodeEquals("Moskowitz", "Moskovitz"));
}</t>
  </si>
  <si>
    <t>@Test
public final void testCompare_SAM_SAMUEL_SuccessfullyMatched() {
    assertTrue(getMatchRatingApproachEncoder().isEncodeEquals("Sam", "Samuel"));
}
@Test
public final void testCompare_Surname_ROSOCHOWACIEC_ROSOKHOVATSETS_SuccessfullyMatched() {
    assertTrue(getMatchRatingApproachEncoder().isEncodeEquals("R o s o ch o w a c ie c", " R o s o k ho v a ts e ts"));
}</t>
  </si>
  <si>
    <t>@Test
public final void testCompare_SAM_SAMUEL_SuccessfullyMatched() {
    assertTrue(getMatchRatingApproachEncoder().isEncodeEquals("Sam", "Samuel"));
}
// ***** Begin Region - Test Get Encoding - Surnames
@Test
public final void testCompare_Surname_OSULLIVAN_OSUILLEABHAIN_SuccessfulMatch() {
    assertTrue(getMatchRatingApproachEncoder().isEncodeEquals("O'Sullivan", "Ó ' Súilleabháin"));
}</t>
  </si>
  <si>
    <t>@Test
public final void testCompare_SAM_SAMUEL_SuccessfullyMatched() {
    assertTrue(getMatchRatingApproachEncoder().isEncodeEquals("Sam", "Samuel"));
}
@Test
public final void testCompare_Forenames_SEAN_JOHN_MatchExpected() {
    assertTrue(getMatchRatingApproachEncoder().isEncodeEquals("Sean", "John"));
}</t>
  </si>
  <si>
    <t>@Test
public final void testCompare_SAM_SAMUEL_SuccessfullyMatched() {
    assertTrue(getMatchRatingApproachEncoder().isEncodeEquals("Sam", "Samuel"));
}
@Test
public final void testCompare_KARL_ALESSANDRO_DoesNotMatch() {
    assertFalse(getMatchRatingApproachEncoder().isEncodeEquals("Karl", "Alessandro"));
}</t>
  </si>
  <si>
    <t>@Test
public final void testCompare_SAM_SAMUEL_SuccessfullyMatched() {
    assertTrue(getMatchRatingApproachEncoder().isEncodeEquals("Sam", "Samuel"));
}
@Test
public final void testCompare_Forenames_SEAN_PETE_NoMatchExpected() {
    assertFalse(getMatchRatingApproachEncoder().isEncodeEquals("Sean", "Pete"));
}</t>
  </si>
  <si>
    <t>@Test
public final void testCompare_SAM_SAMUEL_SuccessfullyMatched() {
    assertTrue(getMatchRatingApproachEncoder().isEncodeEquals("Sam", "Samuel"));
}
@Test
public final void testCompare_Surnames_MURPHY_LYNCH_NoMatchExpected() {
    assertFalse(getMatchRatingApproachEncoder().isEncodeEquals("Murphy", "Lynch"));
}</t>
  </si>
  <si>
    <t>@Test
public final void testCompare_SAM_SAMUEL_SuccessfullyMatched() {
    assertTrue(getMatchRatingApproachEncoder().isEncodeEquals("Sam", "Samuel"));
}
@Test
public final void testCompare_Forenames_UNA_OONAGH_ShouldSuccessfullyMatchButDoesNot() {
    // Disappointing
    assertFalse(getMatchRatingApproachEncoder().isEncodeEquals("Úna", "Oonagh"));
}</t>
  </si>
  <si>
    <t>@Test
public final void testCompare_SAM_SAMUEL_SuccessfullyMatched() {
    assertTrue(getMatchRatingApproachEncoder().isEncodeEquals("Sam", "Samuel"));
}
@Test
public final void testCompare_LongSurnames_OMUIRCHEARTAIGH_OMIREADHAIGH_SuccessfulMatch() {
    assertTrue(getMatchRatingApproachEncoder().isEncodeEquals("o'muireadhaigh", "Ó 'Muircheartaigh "));
}</t>
  </si>
  <si>
    <t>@Test
public final void testCompare_SAM_SAMUEL_SuccessfullyMatched() {
    assertTrue(getMatchRatingApproachEncoder().isEncodeEquals("Sam", "Samuel"));
}
@Test
public final void testCompareNameToSingleLetter_KARL_C_DoesNotMatch() {
    assertFalse(getMatchRatingApproachEncoder().isEncodeEquals("Karl", "C"));
}</t>
  </si>
  <si>
    <t>@Test
public final void testCompare_SAM_SAMUEL_SuccessfullyMatched() {
    assertTrue(getMatchRatingApproachEncoder().isEncodeEquals("Sam", "Samuel"));
}
@Test
public final void testCompare_SurnamesCornerCase_MURPHY_Space_NoMatch() {
    assertFalse(getMatchRatingApproachEncoder().isEncodeEquals("Murphy", " "));
}</t>
  </si>
  <si>
    <t>@Test
public final void testCompare_SAM_SAMUEL_SuccessfullyMatched() {
    assertTrue(getMatchRatingApproachEncoder().isEncodeEquals("Sam", "Samuel"));
}
@Test
public final void testCompare_SurnameCornerCase_Nulls_NoMatch() {
    assertFalse(getMatchRatingApproachEncoder().isEncodeEquals(null, null));
}</t>
  </si>
  <si>
    <t>@Test
public final void testCompare_SAM_SAMUEL_SuccessfullyMatched() {
    assertTrue(getMatchRatingApproachEncoder().isEncodeEquals("Sam", "Samuel"));
}
@Test
public final void testCompare_SurnamesCornerCase_MURPHY_NoSpace_NoMatch() {
    assertFalse(getMatchRatingApproachEncoder().isEncodeEquals("Murphy", ""));
}</t>
  </si>
  <si>
    <t>@Test
public final void testCompare_SAM_SAMUEL_SuccessfullyMatched() {
    assertTrue(getMatchRatingApproachEncoder().isEncodeEquals("Sam", "Samuel"));
}
@Test
public final void testCompare_LongSurnames_MORIARTY_OMUIRCHEARTAIGH_DoesNotSuccessfulMatch() {
    assertFalse(getMatchRatingApproachEncoder().isEncodeEquals("Moriarty", "OMuircheartaigh"));
}</t>
  </si>
  <si>
    <t>@Test
public final void testCompare_MICKY_MICHAEL_SuccessfullyMatched() {
    assertTrue(getMatchRatingApproachEncoder().isEncodeEquals("Micky", "Michael"));
}
@Test
public final void testCompare_ZACH_ZAKARIA_SuccessfullyMatched() {
    assertTrue(getMatchRatingApproachEncoder().isEncodeEquals("Zach", "Zacharia"));
}</t>
  </si>
  <si>
    <t>@Test
public final void testCompare_MICKY_MICHAEL_SuccessfullyMatched() {
    assertTrue(getMatchRatingApproachEncoder().isEncodeEquals("Micky", "Michael"));
}
@Test
public final void testCompare_OONA_OONAGH_SuccessfullyMatched() {
    assertTrue(getMatchRatingApproachEncoder().isEncodeEquals("Oona", "Oonagh"));
}</t>
  </si>
  <si>
    <t>@Test
public final void testCompare_MICKY_MICHAEL_SuccessfullyMatched() {
    assertTrue(getMatchRatingApproachEncoder().isEncodeEquals("Micky", "Michael"));
}
@Test
public final void testCompare_SOPHIE_SOFIA_SuccessfullyMatched() {
    assertTrue(getMatchRatingApproachEncoder().isEncodeEquals("Sophie", "Sofia"));
}</t>
  </si>
  <si>
    <t>@Test
public final void testCompare_MICKY_MICHAEL_SuccessfullyMatched() {
    assertTrue(getMatchRatingApproachEncoder().isEncodeEquals("Micky", "Michael"));
}
@Test
public final void testCompare_TOMASZ_TOM_SuccessfullyMatched() {
    assertTrue(getMatchRatingApproachEncoder().isEncodeEquals("Tomasz", "tom"));
}</t>
  </si>
  <si>
    <t>@Test
public final void testCompare_MICKY_MICHAEL_SuccessfullyMatched() {
    assertTrue(getMatchRatingApproachEncoder().isEncodeEquals("Micky", "Michael"));
}
// **** END YIDDISH/SLAVIC SECTION ****
@Test
public final void testCompare_PETERSON_PETERS_SuccessfullyMatched() {
    assertTrue(getMatchRatingApproachEncoder().isEncodeEquals("Peterson", "Peters"));
}</t>
  </si>
  <si>
    <t>@Test
public final void testCompare_MICKY_MICHAEL_SuccessfullyMatched() {
    assertTrue(getMatchRatingApproachEncoder().isEncodeEquals("Micky", "Michael"));
}
@Test
public final void testCompare_MCGOWAN_MCGEOGHEGAN_SuccessfullyMatched() {
    assertTrue(getMatchRatingApproachEncoder().isEncodeEquals("McGowan", "Mc Geoghegan"));
}</t>
  </si>
  <si>
    <t>@Test
public final void testCompare_MICKY_MICHAEL_SuccessfullyMatched() {
    assertTrue(getMatchRatingApproachEncoder().isEncodeEquals("Micky", "Michael"));
}
@Test
public final void testCompare_FRANCISZEK_FRANCES_SuccessfullyMatched() {
    assertTrue(getMatchRatingApproachEncoder().isEncodeEquals("Franciszek", "Frances"));
}</t>
  </si>
  <si>
    <t>@Test
public final void testCompare_MICKY_MICHAEL_SuccessfullyMatched() {
    assertTrue(getMatchRatingApproachEncoder().isEncodeEquals("Micky", "Michael"));
}
@Test
public final void testCompare_Surname_HAILEY_HALLEY_SuccessfullyMatched() {
    assertTrue(getMatchRatingApproachEncoder().isEncodeEquals("Hailey", "Halley"));
}</t>
  </si>
  <si>
    <t>@Test
public final void testCompare_MICKY_MICHAEL_SuccessfullyMatched() {
    assertTrue(getMatchRatingApproachEncoder().isEncodeEquals("Micky", "Michael"));
}
@Test
public final void testCompare_SmallInput_CARK_Kl_SuccessfullyMatched() {
    assertTrue(getMatchRatingApproachEncoder().isEncodeEquals("Kl", "Karl"));
}</t>
  </si>
  <si>
    <t>@Test
public final void testCompare_MICKY_MICHAEL_SuccessfullyMatched() {
    assertTrue(getMatchRatingApproachEncoder().isEncodeEquals("Micky", "Michael"));
}
// **** BEGIN YIDDISH/SLAVIC SECTION ****
@Test
public final void testCompare_Surname_AUERBACH_UHRBACH_SuccessfullyMatched() {
    assertTrue(getMatchRatingApproachEncoder().isEncodeEquals("Auerbach", "Uhrbach"));
}</t>
  </si>
  <si>
    <t>@Test
public final void testCompare_MICKY_MICHAEL_SuccessfullyMatched() {
    assertTrue(getMatchRatingApproachEncoder().isEncodeEquals("Micky", "Michael"));
}
@Test
public final void testCompare_Surname_LEWINSKY_LEVINSKI_SuccessfullyMatched() {
    assertTrue(getMatchRatingApproachEncoder().isEncodeEquals("LEWINSKY", "LEVINSKI"));
}</t>
  </si>
  <si>
    <t>@Test
public final void testCompare_MICKY_MICHAEL_SuccessfullyMatched() {
    assertTrue(getMatchRatingApproachEncoder().isEncodeEquals("Micky", "Michael"));
}
@Test
public final void testCompare_Surname_LIPSHITZ_LIPPSZYC_SuccessfullyMatched() {
    assertTrue(getMatchRatingApproachEncoder().isEncodeEquals("LIPSHITZ", "LIPPSZYC"));
}</t>
  </si>
  <si>
    <t>@Test
public final void testCompare_MICKY_MICHAEL_SuccessfullyMatched() {
    assertTrue(getMatchRatingApproachEncoder().isEncodeEquals("Micky", "Michael"));
}
@Test
public final void testCompare_Surname_PRZEMYSL_PSHEMESHIL_SuccessfullyMatched() {
    assertTrue(getMatchRatingApproachEncoder().isEncodeEquals(" P rz e m y s l", " P sh e m e sh i l"));
}</t>
  </si>
  <si>
    <t>@Test
public final void testCompare_MICKY_MICHAEL_SuccessfullyMatched() {
    assertTrue(getMatchRatingApproachEncoder().isEncodeEquals("Micky", "Michael"));
}
@Test
public final void testCompare_Surname_SZLAMAWICZ_SHLAMOVITZ_SuccessfullyMatched() {
    assertTrue(getMatchRatingApproachEncoder().isEncodeEquals("SZLAMAWICZ", "SHLAMOVITZ"));
}</t>
  </si>
  <si>
    <t>@Test
public final void testCompare_MICKY_MICHAEL_SuccessfullyMatched() {
    assertTrue(getMatchRatingApproachEncoder().isEncodeEquals("Micky", "Michael"));
}
@Test
public final void testCompare_Surname_MOSKOWITZ_MOSKOVITZ_SuccessfullyMatched() {
    assertTrue(getMatchRatingApproachEncoder().isEncodeEquals("Moskowitz", "Moskovitz"));
}</t>
  </si>
  <si>
    <t>@Test
public final void testCompare_MICKY_MICHAEL_SuccessfullyMatched() {
    assertTrue(getMatchRatingApproachEncoder().isEncodeEquals("Micky", "Michael"));
}
@Test
public final void testCompare_Surname_COOPERFLYNN_SUPERLYN_SuccessfullyMatched() {
    assertTrue(getMatchRatingApproachEncoder().isEncodeEquals("Cooper-Flynn", "Super-Lyn"));
}</t>
  </si>
  <si>
    <t>@Test
public final void testCompare_MICKY_MICHAEL_SuccessfullyMatched() {
    assertTrue(getMatchRatingApproachEncoder().isEncodeEquals("Micky", "Michael"));
}
@Test
public final void testCompare_Surname_ROSOCHOWACIEC_ROSOKHOVATSETS_SuccessfullyMatched() {
    assertTrue(getMatchRatingApproachEncoder().isEncodeEquals("R o s o ch o w a c ie c", " R o s o k ho v a ts e ts"));
}</t>
  </si>
  <si>
    <t>@Test
public final void testCompare_MICKY_MICHAEL_SuccessfullyMatched() {
    assertTrue(getMatchRatingApproachEncoder().isEncodeEquals("Micky", "Michael"));
}
// ***** Begin Region - Test Get Encoding - Surnames
@Test
public final void testCompare_Surname_OSULLIVAN_OSUILLEABHAIN_SuccessfulMatch() {
    assertTrue(getMatchRatingApproachEncoder().isEncodeEquals("O'Sullivan", "Ó ' Súilleabháin"));
}</t>
  </si>
  <si>
    <t>@Test
public final void testCompare_MICKY_MICHAEL_SuccessfullyMatched() {
    assertTrue(getMatchRatingApproachEncoder().isEncodeEquals("Micky", "Michael"));
}
@Test
public final void testCompare_Forenames_SEAN_JOHN_MatchExpected() {
    assertTrue(getMatchRatingApproachEncoder().isEncodeEquals("Sean", "John"));
}</t>
  </si>
  <si>
    <t>@Test
public final void testCompare_MICKY_MICHAEL_SuccessfullyMatched() {
    assertTrue(getMatchRatingApproachEncoder().isEncodeEquals("Micky", "Michael"));
}
@Test
public final void testCompare_KARL_ALESSANDRO_DoesNotMatch() {
    assertFalse(getMatchRatingApproachEncoder().isEncodeEquals("Karl", "Alessandro"));
}</t>
  </si>
  <si>
    <t>@Test
public final void testCompare_MICKY_MICHAEL_SuccessfullyMatched() {
    assertTrue(getMatchRatingApproachEncoder().isEncodeEquals("Micky", "Michael"));
}
@Test
public final void testCompare_LongSurnames_OMUIRCHEARTAIGH_OMIREADHAIGH_SuccessfulMatch() {
    assertTrue(getMatchRatingApproachEncoder().isEncodeEquals("o'muireadhaigh", "Ó 'Muircheartaigh "));
}</t>
  </si>
  <si>
    <t>@Test
public final void testCompare_MICKY_MICHAEL_SuccessfullyMatched() {
    assertTrue(getMatchRatingApproachEncoder().isEncodeEquals("Micky", "Michael"));
}
@Test
public final void testCompare_Forenames_UNA_OONAGH_ShouldSuccessfullyMatchButDoesNot() {
    // Disappointing
    assertFalse(getMatchRatingApproachEncoder().isEncodeEquals("Úna", "Oonagh"));
}</t>
  </si>
  <si>
    <t>@Test
public final void testCompare_MICKY_MICHAEL_SuccessfullyMatched() {
    assertTrue(getMatchRatingApproachEncoder().isEncodeEquals("Micky", "Michael"));
}
@Test
public final void testCompare_Surnames_MURPHY_LYNCH_NoMatchExpected() {
    assertFalse(getMatchRatingApproachEncoder().isEncodeEquals("Murphy", "Lynch"));
}</t>
  </si>
  <si>
    <t>@Test
public final void testCompare_MICKY_MICHAEL_SuccessfullyMatched() {
    assertTrue(getMatchRatingApproachEncoder().isEncodeEquals("Micky", "Michael"));
}
@Test
public final void testCompare_Forenames_SEAN_PETE_NoMatchExpected() {
    assertFalse(getMatchRatingApproachEncoder().isEncodeEquals("Sean", "Pete"));
}</t>
  </si>
  <si>
    <t>@Test
public final void testCompare_MICKY_MICHAEL_SuccessfullyMatched() {
    assertTrue(getMatchRatingApproachEncoder().isEncodeEquals("Micky", "Michael"));
}
@Test
public final void testCompareNameToSingleLetter_KARL_C_DoesNotMatch() {
    assertFalse(getMatchRatingApproachEncoder().isEncodeEquals("Karl", "C"));
}</t>
  </si>
  <si>
    <t>@Test
public final void testCompare_MICKY_MICHAEL_SuccessfullyMatched() {
    assertTrue(getMatchRatingApproachEncoder().isEncodeEquals("Micky", "Michael"));
}
@Test
public final void testCompare_LongSurnames_MORIARTY_OMUIRCHEARTAIGH_DoesNotSuccessfulMatch() {
    assertFalse(getMatchRatingApproachEncoder().isEncodeEquals("Moriarty", "OMuircheartaigh"));
}</t>
  </si>
  <si>
    <t>@Test
public final void testCompare_MICKY_MICHAEL_SuccessfullyMatched() {
    assertTrue(getMatchRatingApproachEncoder().isEncodeEquals("Micky", "Michael"));
}
@Test
public final void testCompare_SurnamesCornerCase_MURPHY_Space_NoMatch() {
    assertFalse(getMatchRatingApproachEncoder().isEncodeEquals("Murphy", " "));
}</t>
  </si>
  <si>
    <t>@Test
public final void testCompare_MICKY_MICHAEL_SuccessfullyMatched() {
    assertTrue(getMatchRatingApproachEncoder().isEncodeEquals("Micky", "Michael"));
}
@Test
public final void testCompare_SurnamesCornerCase_MURPHY_NoSpace_NoMatch() {
    assertFalse(getMatchRatingApproachEncoder().isEncodeEquals("Murphy", ""));
}</t>
  </si>
  <si>
    <t>@Test
public final void testCompare_MICKY_MICHAEL_SuccessfullyMatched() {
    assertTrue(getMatchRatingApproachEncoder().isEncodeEquals("Micky", "Michael"));
}
@Test
public final void testCompare_SurnameCornerCase_Nulls_NoMatch() {
    assertFalse(getMatchRatingApproachEncoder().isEncodeEquals(null, null));
}</t>
  </si>
  <si>
    <t>@Test
public final void testCompare_OONA_OONAGH_SuccessfullyMatched() {
    assertTrue(getMatchRatingApproachEncoder().isEncodeEquals("Oona", "Oonagh"));
}
@Test
public final void testCompare_TOMASZ_TOM_SuccessfullyMatched() {
    assertTrue(getMatchRatingApproachEncoder().isEncodeEquals("Tomasz", "tom"));
}</t>
  </si>
  <si>
    <t>@Test
public final void testCompare_OONA_OONAGH_SuccessfullyMatched() {
    assertTrue(getMatchRatingApproachEncoder().isEncodeEquals("Oona", "Oonagh"));
}
@Test
public final void testCompare_ZACH_ZAKARIA_SuccessfullyMatched() {
    assertTrue(getMatchRatingApproachEncoder().isEncodeEquals("Zach", "Zacharia"));
}</t>
  </si>
  <si>
    <t>@Test
public final void testCompare_OONA_OONAGH_SuccessfullyMatched() {
    assertTrue(getMatchRatingApproachEncoder().isEncodeEquals("Oona", "Oonagh"));
}
@Test
public final void testCompare_SOPHIE_SOFIA_SuccessfullyMatched() {
    assertTrue(getMatchRatingApproachEncoder().isEncodeEquals("Sophie", "Sofia"));
}</t>
  </si>
  <si>
    <t>@Test
public final void testCompare_OONA_OONAGH_SuccessfullyMatched() {
    assertTrue(getMatchRatingApproachEncoder().isEncodeEquals("Oona", "Oonagh"));
}
// **** END YIDDISH/SLAVIC SECTION ****
@Test
public final void testCompare_PETERSON_PETERS_SuccessfullyMatched() {
    assertTrue(getMatchRatingApproachEncoder().isEncodeEquals("Peterson", "Peters"));
}</t>
  </si>
  <si>
    <t>@Test
public final void testCompare_OONA_OONAGH_SuccessfullyMatched() {
    assertTrue(getMatchRatingApproachEncoder().isEncodeEquals("Oona", "Oonagh"));
}
@Test
public final void testCompare_MCGOWAN_MCGEOGHEGAN_SuccessfullyMatched() {
    assertTrue(getMatchRatingApproachEncoder().isEncodeEquals("McGowan", "Mc Geoghegan"));
}</t>
  </si>
  <si>
    <t>@Test
public final void testCompare_OONA_OONAGH_SuccessfullyMatched() {
    assertTrue(getMatchRatingApproachEncoder().isEncodeEquals("Oona", "Oonagh"));
}
@Test
public final void testCompare_FRANCISZEK_FRANCES_SuccessfullyMatched() {
    assertTrue(getMatchRatingApproachEncoder().isEncodeEquals("Franciszek", "Frances"));
}</t>
  </si>
  <si>
    <t>@Test
public final void testCompare_OONA_OONAGH_SuccessfullyMatched() {
    assertTrue(getMatchRatingApproachEncoder().isEncodeEquals("Oona", "Oonagh"));
}
@Test
public final void testCompare_SmallInput_CARK_Kl_SuccessfullyMatched() {
    assertTrue(getMatchRatingApproachEncoder().isEncodeEquals("Kl", "Karl"));
}</t>
  </si>
  <si>
    <t>@Test
public final void testCompare_OONA_OONAGH_SuccessfullyMatched() {
    assertTrue(getMatchRatingApproachEncoder().isEncodeEquals("Oona", "Oonagh"));
}
@Test
public final void testCompare_Surname_HAILEY_HALLEY_SuccessfullyMatched() {
    assertTrue(getMatchRatingApproachEncoder().isEncodeEquals("Hailey", "Halley"));
}</t>
  </si>
  <si>
    <t>@Test
public final void testCompare_OONA_OONAGH_SuccessfullyMatched() {
    assertTrue(getMatchRatingApproachEncoder().isEncodeEquals("Oona", "Oonagh"));
}
// **** BEGIN YIDDISH/SLAVIC SECTION ****
@Test
public final void testCompare_Surname_AUERBACH_UHRBACH_SuccessfullyMatched() {
    assertTrue(getMatchRatingApproachEncoder().isEncodeEquals("Auerbach", "Uhrbach"));
}</t>
  </si>
  <si>
    <t>@Test
public final void testCompare_OONA_OONAGH_SuccessfullyMatched() {
    assertTrue(getMatchRatingApproachEncoder().isEncodeEquals("Oona", "Oonagh"));
}
@Test
public final void testCompare_Surname_MOSKOWITZ_MOSKOVITZ_SuccessfullyMatched() {
    assertTrue(getMatchRatingApproachEncoder().isEncodeEquals("Moskowitz", "Moskovitz"));
}</t>
  </si>
  <si>
    <t>@Test
public final void testCompare_OONA_OONAGH_SuccessfullyMatched() {
    assertTrue(getMatchRatingApproachEncoder().isEncodeEquals("Oona", "Oonagh"));
}
@Test
public final void testCompare_Surname_LEWINSKY_LEVINSKI_SuccessfullyMatched() {
    assertTrue(getMatchRatingApproachEncoder().isEncodeEquals("LEWINSKY", "LEVINSKI"));
}</t>
  </si>
  <si>
    <t>@Test
public final void testCompare_OONA_OONAGH_SuccessfullyMatched() {
    assertTrue(getMatchRatingApproachEncoder().isEncodeEquals("Oona", "Oonagh"));
}
@Test
public final void testCompare_Surname_COOPERFLYNN_SUPERLYN_SuccessfullyMatched() {
    assertTrue(getMatchRatingApproachEncoder().isEncodeEquals("Cooper-Flynn", "Super-Lyn"));
}</t>
  </si>
  <si>
    <t>@Test
public final void testCompare_OONA_OONAGH_SuccessfullyMatched() {
    assertTrue(getMatchRatingApproachEncoder().isEncodeEquals("Oona", "Oonagh"));
}
@Test
public final void testCompare_Surname_LIPSHITZ_LIPPSZYC_SuccessfullyMatched() {
    assertTrue(getMatchRatingApproachEncoder().isEncodeEquals("LIPSHITZ", "LIPPSZYC"));
}</t>
  </si>
  <si>
    <t>@Test
public final void testCompare_OONA_OONAGH_SuccessfullyMatched() {
    assertTrue(getMatchRatingApproachEncoder().isEncodeEquals("Oona", "Oonagh"));
}
@Test
public final void testCompare_Surname_PRZEMYSL_PSHEMESHIL_SuccessfullyMatched() {
    assertTrue(getMatchRatingApproachEncoder().isEncodeEquals(" P rz e m y s l", " P sh e m e sh i l"));
}</t>
  </si>
  <si>
    <t>@Test
public final void testCompare_OONA_OONAGH_SuccessfullyMatched() {
    assertTrue(getMatchRatingApproachEncoder().isEncodeEquals("Oona", "Oonagh"));
}
@Test
public final void testCompare_Surname_SZLAMAWICZ_SHLAMOVITZ_SuccessfullyMatched() {
    assertTrue(getMatchRatingApproachEncoder().isEncodeEquals("SZLAMAWICZ", "SHLAMOVITZ"));
}</t>
  </si>
  <si>
    <t>@Test
public final void testCompare_OONA_OONAGH_SuccessfullyMatched() {
    assertTrue(getMatchRatingApproachEncoder().isEncodeEquals("Oona", "Oonagh"));
}
@Test
public final void testCompare_Surname_ROSOCHOWACIEC_ROSOKHOVATSETS_SuccessfullyMatched() {
    assertTrue(getMatchRatingApproachEncoder().isEncodeEquals("R o s o ch o w a c ie c", " R o s o k ho v a ts e ts"));
}</t>
  </si>
  <si>
    <t>@Test
public final void testCompare_OONA_OONAGH_SuccessfullyMatched() {
    assertTrue(getMatchRatingApproachEncoder().isEncodeEquals("Oona", "Oonagh"));
}
@Test
public final void testCompare_Forenames_UNA_OONAGH_ShouldSuccessfullyMatchButDoesNot() {
    // Disappointing
    assertFalse(getMatchRatingApproachEncoder().isEncodeEquals("Úna", "Oonagh"));
}</t>
  </si>
  <si>
    <t>@Test
public final void testCompare_OONA_OONAGH_SuccessfullyMatched() {
    assertTrue(getMatchRatingApproachEncoder().isEncodeEquals("Oona", "Oonagh"));
}
// ***** Begin Region - Test Get Encoding - Surnames
@Test
public final void testCompare_Surname_OSULLIVAN_OSUILLEABHAIN_SuccessfulMatch() {
    assertTrue(getMatchRatingApproachEncoder().isEncodeEquals("O'Sullivan", "Ó ' Súilleabháin"));
}</t>
  </si>
  <si>
    <t>@Test
public final void testCompare_OONA_OONAGH_SuccessfullyMatched() {
    assertTrue(getMatchRatingApproachEncoder().isEncodeEquals("Oona", "Oonagh"));
}
@Test
public final void testCompare_Forenames_SEAN_JOHN_MatchExpected() {
    assertTrue(getMatchRatingApproachEncoder().isEncodeEquals("Sean", "John"));
}</t>
  </si>
  <si>
    <t>@Test
public final void testCompare_OONA_OONAGH_SuccessfullyMatched() {
    assertTrue(getMatchRatingApproachEncoder().isEncodeEquals("Oona", "Oonagh"));
}
@Test
public final void testCompare_KARL_ALESSANDRO_DoesNotMatch() {
    assertFalse(getMatchRatingApproachEncoder().isEncodeEquals("Karl", "Alessandro"));
}</t>
  </si>
  <si>
    <t>@Test
public final void testCompare_OONA_OONAGH_SuccessfullyMatched() {
    assertTrue(getMatchRatingApproachEncoder().isEncodeEquals("Oona", "Oonagh"));
}
@Test
public final void testCompare_Forenames_SEAN_PETE_NoMatchExpected() {
    assertFalse(getMatchRatingApproachEncoder().isEncodeEquals("Sean", "Pete"));
}</t>
  </si>
  <si>
    <t>@Test
public final void testCompare_OONA_OONAGH_SuccessfullyMatched() {
    assertTrue(getMatchRatingApproachEncoder().isEncodeEquals("Oona", "Oonagh"));
}
@Test
public final void testCompare_LongSurnames_OMUIRCHEARTAIGH_OMIREADHAIGH_SuccessfulMatch() {
    assertTrue(getMatchRatingApproachEncoder().isEncodeEquals("o'muireadhaigh", "Ó 'Muircheartaigh "));
}</t>
  </si>
  <si>
    <t>@Test
public final void testCompare_OONA_OONAGH_SuccessfullyMatched() {
    assertTrue(getMatchRatingApproachEncoder().isEncodeEquals("Oona", "Oonagh"));
}
@Test
public final void testCompare_Surnames_MURPHY_LYNCH_NoMatchExpected() {
    assertFalse(getMatchRatingApproachEncoder().isEncodeEquals("Murphy", "Lynch"));
}</t>
  </si>
  <si>
    <t>@Test
public final void testCompare_OONA_OONAGH_SuccessfullyMatched() {
    assertTrue(getMatchRatingApproachEncoder().isEncodeEquals("Oona", "Oonagh"));
}
@Test
public final void testCompareNameToSingleLetter_KARL_C_DoesNotMatch() {
    assertFalse(getMatchRatingApproachEncoder().isEncodeEquals("Karl", "C"));
}</t>
  </si>
  <si>
    <t>@Test
public final void testCompare_OONA_OONAGH_SuccessfullyMatched() {
    assertTrue(getMatchRatingApproachEncoder().isEncodeEquals("Oona", "Oonagh"));
}
@Test
public final void testCompare_SurnameCornerCase_Nulls_NoMatch() {
    assertFalse(getMatchRatingApproachEncoder().isEncodeEquals(null, null));
}</t>
  </si>
  <si>
    <t>@Test
public final void testCompare_OONA_OONAGH_SuccessfullyMatched() {
    assertTrue(getMatchRatingApproachEncoder().isEncodeEquals("Oona", "Oonagh"));
}
@Test
public final void testCompare_SurnamesCornerCase_MURPHY_Space_NoMatch() {
    assertFalse(getMatchRatingApproachEncoder().isEncodeEquals("Murphy", " "));
}</t>
  </si>
  <si>
    <t>@Test
public final void testCompare_OONA_OONAGH_SuccessfullyMatched() {
    assertTrue(getMatchRatingApproachEncoder().isEncodeEquals("Oona", "Oonagh"));
}
@Test
public final void testCompare_LongSurnames_MORIARTY_OMUIRCHEARTAIGH_DoesNotSuccessfulMatch() {
    assertFalse(getMatchRatingApproachEncoder().isEncodeEquals("Moriarty", "OMuircheartaigh"));
}</t>
  </si>
  <si>
    <t>@Test
public final void testCompare_OONA_OONAGH_SuccessfullyMatched() {
    assertTrue(getMatchRatingApproachEncoder().isEncodeEquals("Oona", "Oonagh"));
}
@Test
public final void testCompare_SurnamesCornerCase_MURPHY_NoSpace_NoMatch() {
    assertFalse(getMatchRatingApproachEncoder().isEncodeEquals("Murphy", ""));
}</t>
  </si>
  <si>
    <t>@Test
public final void testCompare_SOPHIE_SOFIA_SuccessfullyMatched() {
    assertTrue(getMatchRatingApproachEncoder().isEncodeEquals("Sophie", "Sofia"));
}
@Test
public final void testCompare_TOMASZ_TOM_SuccessfullyMatched() {
    assertTrue(getMatchRatingApproachEncoder().isEncodeEquals("Tomasz", "tom"));
}</t>
  </si>
  <si>
    <t>@Test
public final void testCompare_SOPHIE_SOFIA_SuccessfullyMatched() {
    assertTrue(getMatchRatingApproachEncoder().isEncodeEquals("Sophie", "Sofia"));
}
@Test
public final void testCompare_ZACH_ZAKARIA_SuccessfullyMatched() {
    assertTrue(getMatchRatingApproachEncoder().isEncodeEquals("Zach", "Zacharia"));
}</t>
  </si>
  <si>
    <t>@Test
public final void testCompare_SOPHIE_SOFIA_SuccessfullyMatched() {
    assertTrue(getMatchRatingApproachEncoder().isEncodeEquals("Sophie", "Sofia"));
}
// **** END YIDDISH/SLAVIC SECTION ****
@Test
public final void testCompare_PETERSON_PETERS_SuccessfullyMatched() {
    assertTrue(getMatchRatingApproachEncoder().isEncodeEquals("Peterson", "Peters"));
}</t>
  </si>
  <si>
    <t>@Test
public final void testCompare_SOPHIE_SOFIA_SuccessfullyMatched() {
    assertTrue(getMatchRatingApproachEncoder().isEncodeEquals("Sophie", "Sofia"));
}
@Test
public final void testCompare_SmallInput_CARK_Kl_SuccessfullyMatched() {
    assertTrue(getMatchRatingApproachEncoder().isEncodeEquals("Kl", "Karl"));
}</t>
  </si>
  <si>
    <t>@Test
public final void testCompare_SOPHIE_SOFIA_SuccessfullyMatched() {
    assertTrue(getMatchRatingApproachEncoder().isEncodeEquals("Sophie", "Sofia"));
}
@Test
public final void testCompare_FRANCISZEK_FRANCES_SuccessfullyMatched() {
    assertTrue(getMatchRatingApproachEncoder().isEncodeEquals("Franciszek", "Frances"));
}</t>
  </si>
  <si>
    <t>@Test
public final void testCompare_SOPHIE_SOFIA_SuccessfullyMatched() {
    assertTrue(getMatchRatingApproachEncoder().isEncodeEquals("Sophie", "Sofia"));
}
@Test
public final void testCompare_Surname_HAILEY_HALLEY_SuccessfullyMatched() {
    assertTrue(getMatchRatingApproachEncoder().isEncodeEquals("Hailey", "Halley"));
}</t>
  </si>
  <si>
    <t>@Test
public final void testCompare_SOPHIE_SOFIA_SuccessfullyMatched() {
    assertTrue(getMatchRatingApproachEncoder().isEncodeEquals("Sophie", "Sofia"));
}
@Test
public final void testCompare_MCGOWAN_MCGEOGHEGAN_SuccessfullyMatched() {
    assertTrue(getMatchRatingApproachEncoder().isEncodeEquals("McGowan", "Mc Geoghegan"));
}</t>
  </si>
  <si>
    <t>@Test
public final void testCompare_SOPHIE_SOFIA_SuccessfullyMatched() {
    assertTrue(getMatchRatingApproachEncoder().isEncodeEquals("Sophie", "Sofia"));
}
@Test
public final void testCompare_Surname_MOSKOWITZ_MOSKOVITZ_SuccessfullyMatched() {
    assertTrue(getMatchRatingApproachEncoder().isEncodeEquals("Moskowitz", "Moskovitz"));
}</t>
  </si>
  <si>
    <t>@Test
public final void testCompare_SOPHIE_SOFIA_SuccessfullyMatched() {
    assertTrue(getMatchRatingApproachEncoder().isEncodeEquals("Sophie", "Sofia"));
}
@Test
public final void testCompare_Surname_LIPSHITZ_LIPPSZYC_SuccessfullyMatched() {
    assertTrue(getMatchRatingApproachEncoder().isEncodeEquals("LIPSHITZ", "LIPPSZYC"));
}</t>
  </si>
  <si>
    <t>@Test
public final void testCompare_SOPHIE_SOFIA_SuccessfullyMatched() {
    assertTrue(getMatchRatingApproachEncoder().isEncodeEquals("Sophie", "Sofia"));
}
// **** BEGIN YIDDISH/SLAVIC SECTION ****
@Test
public final void testCompare_Surname_AUERBACH_UHRBACH_SuccessfullyMatched() {
    assertTrue(getMatchRatingApproachEncoder().isEncodeEquals("Auerbach", "Uhrbach"));
}</t>
  </si>
  <si>
    <t>@Test
public final void testCompare_SOPHIE_SOFIA_SuccessfullyMatched() {
    assertTrue(getMatchRatingApproachEncoder().isEncodeEquals("Sophie", "Sofia"));
}
@Test
public final void testCompare_Surname_PRZEMYSL_PSHEMESHIL_SuccessfullyMatched() {
    assertTrue(getMatchRatingApproachEncoder().isEncodeEquals(" P rz e m y s l", " P sh e m e sh i l"));
}</t>
  </si>
  <si>
    <t>@Test
public final void testCompare_SOPHIE_SOFIA_SuccessfullyMatched() {
    assertTrue(getMatchRatingApproachEncoder().isEncodeEquals("Sophie", "Sofia"));
}
@Test
public final void testCompare_Surname_LEWINSKY_LEVINSKI_SuccessfullyMatched() {
    assertTrue(getMatchRatingApproachEncoder().isEncodeEquals("LEWINSKY", "LEVINSKI"));
}</t>
  </si>
  <si>
    <t>@Test
public final void testCompare_SOPHIE_SOFIA_SuccessfullyMatched() {
    assertTrue(getMatchRatingApproachEncoder().isEncodeEquals("Sophie", "Sofia"));
}
@Test
public final void testCompare_Surname_SZLAMAWICZ_SHLAMOVITZ_SuccessfullyMatched() {
    assertTrue(getMatchRatingApproachEncoder().isEncodeEquals("SZLAMAWICZ", "SHLAMOVITZ"));
}</t>
  </si>
  <si>
    <t>@Test
public final void testCompare_SOPHIE_SOFIA_SuccessfullyMatched() {
    assertTrue(getMatchRatingApproachEncoder().isEncodeEquals("Sophie", "Sofia"));
}
@Test
public final void testCompare_Surname_COOPERFLYNN_SUPERLYN_SuccessfullyMatched() {
    assertTrue(getMatchRatingApproachEncoder().isEncodeEquals("Cooper-Flynn", "Super-Lyn"));
}</t>
  </si>
  <si>
    <t>@Test
public final void testCompare_SOPHIE_SOFIA_SuccessfullyMatched() {
    assertTrue(getMatchRatingApproachEncoder().isEncodeEquals("Sophie", "Sofia"));
}
@Test
public final void testCompare_Surname_ROSOCHOWACIEC_ROSOKHOVATSETS_SuccessfullyMatched() {
    assertTrue(getMatchRatingApproachEncoder().isEncodeEquals("R o s o ch o w a c ie c", " R o s o k ho v a ts e ts"));
}</t>
  </si>
  <si>
    <t>@Test
public final void testCompare_SOPHIE_SOFIA_SuccessfullyMatched() {
    assertTrue(getMatchRatingApproachEncoder().isEncodeEquals("Sophie", "Sofia"));
}
// ***** Begin Region - Test Get Encoding - Surnames
@Test
public final void testCompare_Surname_OSULLIVAN_OSUILLEABHAIN_SuccessfulMatch() {
    assertTrue(getMatchRatingApproachEncoder().isEncodeEquals("O'Sullivan", "Ó ' Súilleabháin"));
}</t>
  </si>
  <si>
    <t>@Test
public final void testCompare_SOPHIE_SOFIA_SuccessfullyMatched() {
    assertTrue(getMatchRatingApproachEncoder().isEncodeEquals("Sophie", "Sofia"));
}
@Test
public final void testCompare_Forenames_SEAN_JOHN_MatchExpected() {
    assertTrue(getMatchRatingApproachEncoder().isEncodeEquals("Sean", "John"));
}</t>
  </si>
  <si>
    <t>@Test
public final void testCompare_SOPHIE_SOFIA_SuccessfullyMatched() {
    assertTrue(getMatchRatingApproachEncoder().isEncodeEquals("Sophie", "Sofia"));
}
@Test
public final void testCompare_KARL_ALESSANDRO_DoesNotMatch() {
    assertFalse(getMatchRatingApproachEncoder().isEncodeEquals("Karl", "Alessandro"));
}</t>
  </si>
  <si>
    <t>@Test
public final void testCompare_SOPHIE_SOFIA_SuccessfullyMatched() {
    assertTrue(getMatchRatingApproachEncoder().isEncodeEquals("Sophie", "Sofia"));
}
@Test
public final void testCompare_Forenames_UNA_OONAGH_ShouldSuccessfullyMatchButDoesNot() {
    // Disappointing
    assertFalse(getMatchRatingApproachEncoder().isEncodeEquals("Úna", "Oonagh"));
}</t>
  </si>
  <si>
    <t>@Test
public final void testCompare_SOPHIE_SOFIA_SuccessfullyMatched() {
    assertTrue(getMatchRatingApproachEncoder().isEncodeEquals("Sophie", "Sofia"));
}
@Test
public final void testCompare_Forenames_SEAN_PETE_NoMatchExpected() {
    assertFalse(getMatchRatingApproachEncoder().isEncodeEquals("Sean", "Pete"));
}</t>
  </si>
  <si>
    <t>@Test
public final void testCompare_SOPHIE_SOFIA_SuccessfullyMatched() {
    assertTrue(getMatchRatingApproachEncoder().isEncodeEquals("Sophie", "Sofia"));
}
@Test
public final void testCompare_LongSurnames_OMUIRCHEARTAIGH_OMIREADHAIGH_SuccessfulMatch() {
    assertTrue(getMatchRatingApproachEncoder().isEncodeEquals("o'muireadhaigh", "Ó 'Muircheartaigh "));
}</t>
  </si>
  <si>
    <t>@Test
public final void testCompare_SOPHIE_SOFIA_SuccessfullyMatched() {
    assertTrue(getMatchRatingApproachEncoder().isEncodeEquals("Sophie", "Sofia"));
}
@Test
public final void testCompare_Surnames_MURPHY_LYNCH_NoMatchExpected() {
    assertFalse(getMatchRatingApproachEncoder().isEncodeEquals("Murphy", "Lynch"));
}</t>
  </si>
  <si>
    <t>@Test
public final void testCompare_SOPHIE_SOFIA_SuccessfullyMatched() {
    assertTrue(getMatchRatingApproachEncoder().isEncodeEquals("Sophie", "Sofia"));
}
@Test
public final void testCompareNameToSingleLetter_KARL_C_DoesNotMatch() {
    assertFalse(getMatchRatingApproachEncoder().isEncodeEquals("Karl", "C"));
}</t>
  </si>
  <si>
    <t>@Test
public final void testCompare_SOPHIE_SOFIA_SuccessfullyMatched() {
    assertTrue(getMatchRatingApproachEncoder().isEncodeEquals("Sophie", "Sofia"));
}
@Test
public final void testCompare_SurnamesCornerCase_MURPHY_Space_NoMatch() {
    assertFalse(getMatchRatingApproachEncoder().isEncodeEquals("Murphy", " "));
}</t>
  </si>
  <si>
    <t>@Test
public final void testCompare_SOPHIE_SOFIA_SuccessfullyMatched() {
    assertTrue(getMatchRatingApproachEncoder().isEncodeEquals("Sophie", "Sofia"));
}
@Test
public final void testCompare_SurnameCornerCase_Nulls_NoMatch() {
    assertFalse(getMatchRatingApproachEncoder().isEncodeEquals(null, null));
}</t>
  </si>
  <si>
    <t>@Test
public final void testCompare_SOPHIE_SOFIA_SuccessfullyMatched() {
    assertTrue(getMatchRatingApproachEncoder().isEncodeEquals("Sophie", "Sofia"));
}
@Test
public final void testCompare_SurnamesCornerCase_MURPHY_NoSpace_NoMatch() {
    assertFalse(getMatchRatingApproachEncoder().isEncodeEquals("Murphy", ""));
}</t>
  </si>
  <si>
    <t>@Test
public final void testCompare_SOPHIE_SOFIA_SuccessfullyMatched() {
    assertTrue(getMatchRatingApproachEncoder().isEncodeEquals("Sophie", "Sofia"));
}
@Test
public final void testCompare_LongSurnames_MORIARTY_OMUIRCHEARTAIGH_DoesNotSuccessfulMatch() {
    assertFalse(getMatchRatingApproachEncoder().isEncodeEquals("Moriarty", "OMuircheartaigh"));
}</t>
  </si>
  <si>
    <t>@Test
public final void testCompare_FRANCISZEK_FRANCES_SuccessfullyMatched() {
    assertTrue(getMatchRatingApproachEncoder().isEncodeEquals("Franciszek", "Frances"));
}
@Test
public final void testCompare_ZACH_ZAKARIA_SuccessfullyMatched() {
    assertTrue(getMatchRatingApproachEncoder().isEncodeEquals("Zach", "Zacharia"));
}</t>
  </si>
  <si>
    <t>@Test
public final void testCompare_FRANCISZEK_FRANCES_SuccessfullyMatched() {
    assertTrue(getMatchRatingApproachEncoder().isEncodeEquals("Franciszek", "Frances"));
}
@Test
public final void testCompare_TOMASZ_TOM_SuccessfullyMatched() {
    assertTrue(getMatchRatingApproachEncoder().isEncodeEquals("Tomasz", "tom"));
}</t>
  </si>
  <si>
    <t>@Test
public final void testCompare_FRANCISZEK_FRANCES_SuccessfullyMatched() {
    assertTrue(getMatchRatingApproachEncoder().isEncodeEquals("Franciszek", "Frances"));
}
// **** END YIDDISH/SLAVIC SECTION ****
@Test
public final void testCompare_PETERSON_PETERS_SuccessfullyMatched() {
    assertTrue(getMatchRatingApproachEncoder().isEncodeEquals("Peterson", "Peters"));
}</t>
  </si>
  <si>
    <t>@Test
public final void testCompare_FRANCISZEK_FRANCES_SuccessfullyMatched() {
    assertTrue(getMatchRatingApproachEncoder().isEncodeEquals("Franciszek", "Frances"));
}
@Test
public final void testCompare_SmallInput_CARK_Kl_SuccessfullyMatched() {
    assertTrue(getMatchRatingApproachEncoder().isEncodeEquals("Kl", "Karl"));
}</t>
  </si>
  <si>
    <t>@Test
public final void testCompare_FRANCISZEK_FRANCES_SuccessfullyMatched() {
    assertTrue(getMatchRatingApproachEncoder().isEncodeEquals("Franciszek", "Frances"));
}
@Test
public final void testCompare_MCGOWAN_MCGEOGHEGAN_SuccessfullyMatched() {
    assertTrue(getMatchRatingApproachEncoder().isEncodeEquals("McGowan", "Mc Geoghegan"));
}</t>
  </si>
  <si>
    <t>@Test
public final void testCompare_FRANCISZEK_FRANCES_SuccessfullyMatched() {
    assertTrue(getMatchRatingApproachEncoder().isEncodeEquals("Franciszek", "Frances"));
}
@Test
public final void testCompare_Surname_HAILEY_HALLEY_SuccessfullyMatched() {
    assertTrue(getMatchRatingApproachEncoder().isEncodeEquals("Hailey", "Halley"));
}</t>
  </si>
  <si>
    <t>@Test
public final void testCompare_FRANCISZEK_FRANCES_SuccessfullyMatched() {
    assertTrue(getMatchRatingApproachEncoder().isEncodeEquals("Franciszek", "Frances"));
}
@Test
public final void testCompare_Surname_LEWINSKY_LEVINSKI_SuccessfullyMatched() {
    assertTrue(getMatchRatingApproachEncoder().isEncodeEquals("LEWINSKY", "LEVINSKI"));
}</t>
  </si>
  <si>
    <t>@Test
public final void testCompare_FRANCISZEK_FRANCES_SuccessfullyMatched() {
    assertTrue(getMatchRatingApproachEncoder().isEncodeEquals("Franciszek", "Frances"));
}
// **** BEGIN YIDDISH/SLAVIC SECTION ****
@Test
public final void testCompare_Surname_AUERBACH_UHRBACH_SuccessfullyMatched() {
    assertTrue(getMatchRatingApproachEncoder().isEncodeEquals("Auerbach", "Uhrbach"));
}</t>
  </si>
  <si>
    <t>@Test
public final void testCompare_FRANCISZEK_FRANCES_SuccessfullyMatched() {
    assertTrue(getMatchRatingApproachEncoder().isEncodeEquals("Franciszek", "Frances"));
}
@Test
public final void testCompare_Surname_PRZEMYSL_PSHEMESHIL_SuccessfullyMatched() {
    assertTrue(getMatchRatingApproachEncoder().isEncodeEquals(" P rz e m y s l", " P sh e m e sh i l"));
}</t>
  </si>
  <si>
    <t>@Test
public final void testCompare_FRANCISZEK_FRANCES_SuccessfullyMatched() {
    assertTrue(getMatchRatingApproachEncoder().isEncodeEquals("Franciszek", "Frances"));
}
@Test
public final void testCompare_Surname_LIPSHITZ_LIPPSZYC_SuccessfullyMatched() {
    assertTrue(getMatchRatingApproachEncoder().isEncodeEquals("LIPSHITZ", "LIPPSZYC"));
}</t>
  </si>
  <si>
    <t>@Test
public final void testCompare_FRANCISZEK_FRANCES_SuccessfullyMatched() {
    assertTrue(getMatchRatingApproachEncoder().isEncodeEquals("Franciszek", "Frances"));
}
@Test
public final void testCompare_Surname_COOPERFLYNN_SUPERLYN_SuccessfullyMatched() {
    assertTrue(getMatchRatingApproachEncoder().isEncodeEquals("Cooper-Flynn", "Super-Lyn"));
}</t>
  </si>
  <si>
    <t>@Test
public final void testCompare_FRANCISZEK_FRANCES_SuccessfullyMatched() {
    assertTrue(getMatchRatingApproachEncoder().isEncodeEquals("Franciszek", "Frances"));
}
@Test
public final void testCompare_Surname_SZLAMAWICZ_SHLAMOVITZ_SuccessfullyMatched() {
    assertTrue(getMatchRatingApproachEncoder().isEncodeEquals("SZLAMAWICZ", "SHLAMOVITZ"));
}</t>
  </si>
  <si>
    <t>@Test
public final void testCompare_FRANCISZEK_FRANCES_SuccessfullyMatched() {
    assertTrue(getMatchRatingApproachEncoder().isEncodeEquals("Franciszek", "Frances"));
}
@Test
public final void testCompare_Surname_MOSKOWITZ_MOSKOVITZ_SuccessfullyMatched() {
    assertTrue(getMatchRatingApproachEncoder().isEncodeEquals("Moskowitz", "Moskovitz"));
}</t>
  </si>
  <si>
    <t>@Test
public final void testCompare_FRANCISZEK_FRANCES_SuccessfullyMatched() {
    assertTrue(getMatchRatingApproachEncoder().isEncodeEquals("Franciszek", "Frances"));
}
@Test
public final void testCompare_Surname_ROSOCHOWACIEC_ROSOKHOVATSETS_SuccessfullyMatched() {
    assertTrue(getMatchRatingApproachEncoder().isEncodeEquals("R o s o ch o w a c ie c", " R o s o k ho v a ts e ts"));
}</t>
  </si>
  <si>
    <t>@Test
public final void testCompare_FRANCISZEK_FRANCES_SuccessfullyMatched() {
    assertTrue(getMatchRatingApproachEncoder().isEncodeEquals("Franciszek", "Frances"));
}
@Test
public final void testCompare_Forenames_SEAN_JOHN_MatchExpected() {
    assertTrue(getMatchRatingApproachEncoder().isEncodeEquals("Sean", "John"));
}</t>
  </si>
  <si>
    <t>@Test
public final void testCompare_FRANCISZEK_FRANCES_SuccessfullyMatched() {
    assertTrue(getMatchRatingApproachEncoder().isEncodeEquals("Franciszek", "Frances"));
}
@Test
public final void testCompare_KARL_ALESSANDRO_DoesNotMatch() {
    assertFalse(getMatchRatingApproachEncoder().isEncodeEquals("Karl", "Alessandro"));
}</t>
  </si>
  <si>
    <t>@Test
public final void testCompare_FRANCISZEK_FRANCES_SuccessfullyMatched() {
    assertTrue(getMatchRatingApproachEncoder().isEncodeEquals("Franciszek", "Frances"));
}
// ***** Begin Region - Test Get Encoding - Surnames
@Test
public final void testCompare_Surname_OSULLIVAN_OSUILLEABHAIN_SuccessfulMatch() {
    assertTrue(getMatchRatingApproachEncoder().isEncodeEquals("O'Sullivan", "Ó ' Súilleabháin"));
}</t>
  </si>
  <si>
    <t>@Test
public final void testCompare_FRANCISZEK_FRANCES_SuccessfullyMatched() {
    assertTrue(getMatchRatingApproachEncoder().isEncodeEquals("Franciszek", "Frances"));
}
@Test
public final void testCompare_Forenames_UNA_OONAGH_ShouldSuccessfullyMatchButDoesNot() {
    // Disappointing
    assertFalse(getMatchRatingApproachEncoder().isEncodeEquals("Úna", "Oonagh"));
}</t>
  </si>
  <si>
    <t>@Test
public final void testCompare_FRANCISZEK_FRANCES_SuccessfullyMatched() {
    assertTrue(getMatchRatingApproachEncoder().isEncodeEquals("Franciszek", "Frances"));
}
@Test
public final void testCompare_Forenames_SEAN_PETE_NoMatchExpected() {
    assertFalse(getMatchRatingApproachEncoder().isEncodeEquals("Sean", "Pete"));
}</t>
  </si>
  <si>
    <t>@Test
public final void testCompare_FRANCISZEK_FRANCES_SuccessfullyMatched() {
    assertTrue(getMatchRatingApproachEncoder().isEncodeEquals("Franciszek", "Frances"));
}
@Test
public final void testCompare_LongSurnames_OMUIRCHEARTAIGH_OMIREADHAIGH_SuccessfulMatch() {
    assertTrue(getMatchRatingApproachEncoder().isEncodeEquals("o'muireadhaigh", "Ó 'Muircheartaigh "));
}</t>
  </si>
  <si>
    <t>@Test
public final void testCompare_FRANCISZEK_FRANCES_SuccessfullyMatched() {
    assertTrue(getMatchRatingApproachEncoder().isEncodeEquals("Franciszek", "Frances"));
}
@Test
public final void testCompareNameToSingleLetter_KARL_C_DoesNotMatch() {
    assertFalse(getMatchRatingApproachEncoder().isEncodeEquals("Karl", "C"));
}</t>
  </si>
  <si>
    <t>@Test
public final void testCompare_FRANCISZEK_FRANCES_SuccessfullyMatched() {
    assertTrue(getMatchRatingApproachEncoder().isEncodeEquals("Franciszek", "Frances"));
}
@Test
public final void testCompare_Surnames_MURPHY_LYNCH_NoMatchExpected() {
    assertFalse(getMatchRatingApproachEncoder().isEncodeEquals("Murphy", "Lynch"));
}</t>
  </si>
  <si>
    <t>@Test
public final void testCompare_FRANCISZEK_FRANCES_SuccessfullyMatched() {
    assertTrue(getMatchRatingApproachEncoder().isEncodeEquals("Franciszek", "Frances"));
}
@Test
public final void testCompare_SurnamesCornerCase_MURPHY_Space_NoMatch() {
    assertFalse(getMatchRatingApproachEncoder().isEncodeEquals("Murphy", " "));
}</t>
  </si>
  <si>
    <t>@Test
public final void testCompare_FRANCISZEK_FRANCES_SuccessfullyMatched() {
    assertTrue(getMatchRatingApproachEncoder().isEncodeEquals("Franciszek", "Frances"));
}
@Test
public final void testCompare_SurnamesCornerCase_MURPHY_NoSpace_NoMatch() {
    assertFalse(getMatchRatingApproachEncoder().isEncodeEquals("Murphy", ""));
}</t>
  </si>
  <si>
    <t>@Test
public final void testCompare_FRANCISZEK_FRANCES_SuccessfullyMatched() {
    assertTrue(getMatchRatingApproachEncoder().isEncodeEquals("Franciszek", "Frances"));
}
@Test
public final void testCompare_LongSurnames_MORIARTY_OMUIRCHEARTAIGH_DoesNotSuccessfulMatch() {
    assertFalse(getMatchRatingApproachEncoder().isEncodeEquals("Moriarty", "OMuircheartaigh"));
}</t>
  </si>
  <si>
    <t>@Test
public final void testCompare_FRANCISZEK_FRANCES_SuccessfullyMatched() {
    assertTrue(getMatchRatingApproachEncoder().isEncodeEquals("Franciszek", "Frances"));
}
@Test
public final void testCompare_SurnameCornerCase_Nulls_NoMatch() {
    assertFalse(getMatchRatingApproachEncoder().isEncodeEquals(null, null));
}</t>
  </si>
  <si>
    <t>@Test
public final void testCompare_TOMASZ_TOM_SuccessfullyMatched() {
    assertTrue(getMatchRatingApproachEncoder().isEncodeEquals("Tomasz", "tom"));
}
@Test
public final void testCompare_ZACH_ZAKARIA_SuccessfullyMatched() {
    assertTrue(getMatchRatingApproachEncoder().isEncodeEquals("Zach", "Zacharia"));
}</t>
  </si>
  <si>
    <t>@Test
public final void testCompare_TOMASZ_TOM_SuccessfullyMatched() {
    assertTrue(getMatchRatingApproachEncoder().isEncodeEquals("Tomasz", "tom"));
}
// **** END YIDDISH/SLAVIC SECTION ****
@Test
public final void testCompare_PETERSON_PETERS_SuccessfullyMatched() {
    assertTrue(getMatchRatingApproachEncoder().isEncodeEquals("Peterson", "Peters"));
}</t>
  </si>
  <si>
    <t>@Test
public final void testCompare_TOMASZ_TOM_SuccessfullyMatched() {
    assertTrue(getMatchRatingApproachEncoder().isEncodeEquals("Tomasz", "tom"));
}
@Test
public final void testCompare_MCGOWAN_MCGEOGHEGAN_SuccessfullyMatched() {
    assertTrue(getMatchRatingApproachEncoder().isEncodeEquals("McGowan", "Mc Geoghegan"));
}</t>
  </si>
  <si>
    <t>@Test
public final void testCompare_TOMASZ_TOM_SuccessfullyMatched() {
    assertTrue(getMatchRatingApproachEncoder().isEncodeEquals("Tomasz", "tom"));
}
@Test
public final void testCompare_SmallInput_CARK_Kl_SuccessfullyMatched() {
    assertTrue(getMatchRatingApproachEncoder().isEncodeEquals("Kl", "Karl"));
}</t>
  </si>
  <si>
    <t>@Test
public final void testCompare_TOMASZ_TOM_SuccessfullyMatched() {
    assertTrue(getMatchRatingApproachEncoder().isEncodeEquals("Tomasz", "tom"));
}
@Test
public final void testCompare_Surname_HAILEY_HALLEY_SuccessfullyMatched() {
    assertTrue(getMatchRatingApproachEncoder().isEncodeEquals("Hailey", "Halley"));
}</t>
  </si>
  <si>
    <t>@Test
public final void testCompare_TOMASZ_TOM_SuccessfullyMatched() {
    assertTrue(getMatchRatingApproachEncoder().isEncodeEquals("Tomasz", "tom"));
}
@Test
public final void testCompare_Surname_MOSKOWITZ_MOSKOVITZ_SuccessfullyMatched() {
    assertTrue(getMatchRatingApproachEncoder().isEncodeEquals("Moskowitz", "Moskovitz"));
}</t>
  </si>
  <si>
    <t>@Test
public final void testCompare_TOMASZ_TOM_SuccessfullyMatched() {
    assertTrue(getMatchRatingApproachEncoder().isEncodeEquals("Tomasz", "tom"));
}
@Test
public final void testCompare_Surname_LIPSHITZ_LIPPSZYC_SuccessfullyMatched() {
    assertTrue(getMatchRatingApproachEncoder().isEncodeEquals("LIPSHITZ", "LIPPSZYC"));
}</t>
  </si>
  <si>
    <t>@Test
public final void testCompare_TOMASZ_TOM_SuccessfullyMatched() {
    assertTrue(getMatchRatingApproachEncoder().isEncodeEquals("Tomasz", "tom"));
}
// **** BEGIN YIDDISH/SLAVIC SECTION ****
@Test
public final void testCompare_Surname_AUERBACH_UHRBACH_SuccessfullyMatched() {
    assertTrue(getMatchRatingApproachEncoder().isEncodeEquals("Auerbach", "Uhrbach"));
}</t>
  </si>
  <si>
    <t>@Test
public final void testCompare_TOMASZ_TOM_SuccessfullyMatched() {
    assertTrue(getMatchRatingApproachEncoder().isEncodeEquals("Tomasz", "tom"));
}
@Test
public final void testCompare_Surname_PRZEMYSL_PSHEMESHIL_SuccessfullyMatched() {
    assertTrue(getMatchRatingApproachEncoder().isEncodeEquals(" P rz e m y s l", " P sh e m e sh i l"));
}</t>
  </si>
  <si>
    <t>@Test
public final void testCompare_TOMASZ_TOM_SuccessfullyMatched() {
    assertTrue(getMatchRatingApproachEncoder().isEncodeEquals("Tomasz", "tom"));
}
@Test
public final void testCompare_Surname_LEWINSKY_LEVINSKI_SuccessfullyMatched() {
    assertTrue(getMatchRatingApproachEncoder().isEncodeEquals("LEWINSKY", "LEVINSKI"));
}</t>
  </si>
  <si>
    <t>@Test
public final void testCompare_TOMASZ_TOM_SuccessfullyMatched() {
    assertTrue(getMatchRatingApproachEncoder().isEncodeEquals("Tomasz", "tom"));
}
@Test
public final void testCompare_Surname_SZLAMAWICZ_SHLAMOVITZ_SuccessfullyMatched() {
    assertTrue(getMatchRatingApproachEncoder().isEncodeEquals("SZLAMAWICZ", "SHLAMOVITZ"));
}</t>
  </si>
  <si>
    <t>@Test
public final void testCompare_TOMASZ_TOM_SuccessfullyMatched() {
    assertTrue(getMatchRatingApproachEncoder().isEncodeEquals("Tomasz", "tom"));
}
@Test
public final void testCompare_Surname_COOPERFLYNN_SUPERLYN_SuccessfullyMatched() {
    assertTrue(getMatchRatingApproachEncoder().isEncodeEquals("Cooper-Flynn", "Super-Lyn"));
}</t>
  </si>
  <si>
    <t>@Test
public final void testCompare_TOMASZ_TOM_SuccessfullyMatched() {
    assertTrue(getMatchRatingApproachEncoder().isEncodeEquals("Tomasz", "tom"));
}
@Test
public final void testCompare_Forenames_SEAN_JOHN_MatchExpected() {
    assertTrue(getMatchRatingApproachEncoder().isEncodeEquals("Sean", "John"));
}</t>
  </si>
  <si>
    <t>@Test
public final void testCompare_TOMASZ_TOM_SuccessfullyMatched() {
    assertTrue(getMatchRatingApproachEncoder().isEncodeEquals("Tomasz", "tom"));
}
@Test
public final void testCompare_Surname_ROSOCHOWACIEC_ROSOKHOVATSETS_SuccessfullyMatched() {
    assertTrue(getMatchRatingApproachEncoder().isEncodeEquals("R o s o ch o w a c ie c", " R o s o k ho v a ts e ts"));
}</t>
  </si>
  <si>
    <t>@Test
public final void testCompare_TOMASZ_TOM_SuccessfullyMatched() {
    assertTrue(getMatchRatingApproachEncoder().isEncodeEquals("Tomasz", "tom"));
}
@Test
public final void testCompare_KARL_ALESSANDRO_DoesNotMatch() {
    assertFalse(getMatchRatingApproachEncoder().isEncodeEquals("Karl", "Alessandro"));
}</t>
  </si>
  <si>
    <t>@Test
public final void testCompare_TOMASZ_TOM_SuccessfullyMatched() {
    assertTrue(getMatchRatingApproachEncoder().isEncodeEquals("Tomasz", "tom"));
}
// ***** Begin Region - Test Get Encoding - Surnames
@Test
public final void testCompare_Surname_OSULLIVAN_OSUILLEABHAIN_SuccessfulMatch() {
    assertTrue(getMatchRatingApproachEncoder().isEncodeEquals("O'Sullivan", "Ó ' Súilleabháin"));
}</t>
  </si>
  <si>
    <t>@Test
public final void testCompare_TOMASZ_TOM_SuccessfullyMatched() {
    assertTrue(getMatchRatingApproachEncoder().isEncodeEquals("Tomasz", "tom"));
}
@Test
public final void testCompare_Forenames_SEAN_PETE_NoMatchExpected() {
    assertFalse(getMatchRatingApproachEncoder().isEncodeEquals("Sean", "Pete"));
}</t>
  </si>
  <si>
    <t>@Test
public final void testCompare_TOMASZ_TOM_SuccessfullyMatched() {
    assertTrue(getMatchRatingApproachEncoder().isEncodeEquals("Tomasz", "tom"));
}
@Test
public final void testCompare_Surnames_MURPHY_LYNCH_NoMatchExpected() {
    assertFalse(getMatchRatingApproachEncoder().isEncodeEquals("Murphy", "Lynch"));
}</t>
  </si>
  <si>
    <t>@Test
public final void testCompare_TOMASZ_TOM_SuccessfullyMatched() {
    assertTrue(getMatchRatingApproachEncoder().isEncodeEquals("Tomasz", "tom"));
}
@Test
public final void testCompare_Forenames_UNA_OONAGH_ShouldSuccessfullyMatchButDoesNot() {
    // Disappointing
    assertFalse(getMatchRatingApproachEncoder().isEncodeEquals("Úna", "Oonagh"));
}</t>
  </si>
  <si>
    <t>@Test
public final void testCompare_TOMASZ_TOM_SuccessfullyMatched() {
    assertTrue(getMatchRatingApproachEncoder().isEncodeEquals("Tomasz", "tom"));
}
@Test
public final void testCompare_LongSurnames_OMUIRCHEARTAIGH_OMIREADHAIGH_SuccessfulMatch() {
    assertTrue(getMatchRatingApproachEncoder().isEncodeEquals("o'muireadhaigh", "Ó 'Muircheartaigh "));
}</t>
  </si>
  <si>
    <t>@Test
public final void testCompare_TOMASZ_TOM_SuccessfullyMatched() {
    assertTrue(getMatchRatingApproachEncoder().isEncodeEquals("Tomasz", "tom"));
}
@Test
public final void testCompareNameToSingleLetter_KARL_C_DoesNotMatch() {
    assertFalse(getMatchRatingApproachEncoder().isEncodeEquals("Karl", "C"));
}</t>
  </si>
  <si>
    <t>@Test
public final void testCompare_TOMASZ_TOM_SuccessfullyMatched() {
    assertTrue(getMatchRatingApproachEncoder().isEncodeEquals("Tomasz", "tom"));
}
@Test
public final void testCompare_SurnameCornerCase_Nulls_NoMatch() {
    assertFalse(getMatchRatingApproachEncoder().isEncodeEquals(null, null));
}</t>
  </si>
  <si>
    <t>@Test
public final void testCompare_TOMASZ_TOM_SuccessfullyMatched() {
    assertTrue(getMatchRatingApproachEncoder().isEncodeEquals("Tomasz", "tom"));
}
@Test
public final void testCompare_SurnamesCornerCase_MURPHY_Space_NoMatch() {
    assertFalse(getMatchRatingApproachEncoder().isEncodeEquals("Murphy", " "));
}</t>
  </si>
  <si>
    <t>@Test
public final void testCompare_TOMASZ_TOM_SuccessfullyMatched() {
    assertTrue(getMatchRatingApproachEncoder().isEncodeEquals("Tomasz", "tom"));
}
@Test
public final void testCompare_SurnamesCornerCase_MURPHY_NoSpace_NoMatch() {
    assertFalse(getMatchRatingApproachEncoder().isEncodeEquals("Murphy", ""));
}</t>
  </si>
  <si>
    <t>@Test
public final void testCompare_TOMASZ_TOM_SuccessfullyMatched() {
    assertTrue(getMatchRatingApproachEncoder().isEncodeEquals("Tomasz", "tom"));
}
@Test
public final void testCompare_LongSurnames_MORIARTY_OMUIRCHEARTAIGH_DoesNotSuccessfulMatch() {
    assertFalse(getMatchRatingApproachEncoder().isEncodeEquals("Moriarty", "OMuircheartaigh"));
}</t>
  </si>
  <si>
    <t>@Test
public final void testCompare_SmallInput_CARK_Kl_SuccessfullyMatched() {
    assertTrue(getMatchRatingApproachEncoder().isEncodeEquals("Kl", "Karl"));
}
@Test
public final void testCompare_ZACH_ZAKARIA_SuccessfullyMatched() {
    assertTrue(getMatchRatingApproachEncoder().isEncodeEquals("Zach", "Zacharia"));
}</t>
  </si>
  <si>
    <t>@Test
public final void testCompare_SmallInput_CARK_Kl_SuccessfullyMatched() {
    assertTrue(getMatchRatingApproachEncoder().isEncodeEquals("Kl", "Karl"));
}
// **** END YIDDISH/SLAVIC SECTION ****
@Test
public final void testCompare_PETERSON_PETERS_SuccessfullyMatched() {
    assertTrue(getMatchRatingApproachEncoder().isEncodeEquals("Peterson", "Peters"));
}</t>
  </si>
  <si>
    <t>@Test
public final void testCompare_SmallInput_CARK_Kl_SuccessfullyMatched() {
    assertTrue(getMatchRatingApproachEncoder().isEncodeEquals("Kl", "Karl"));
}
@Test
public final void testCompare_Surname_HAILEY_HALLEY_SuccessfullyMatched() {
    assertTrue(getMatchRatingApproachEncoder().isEncodeEquals("Hailey", "Halley"));
}</t>
  </si>
  <si>
    <t>@Test
public final void testCompare_SmallInput_CARK_Kl_SuccessfullyMatched() {
    assertTrue(getMatchRatingApproachEncoder().isEncodeEquals("Kl", "Karl"));
}
@Test
public final void testCompare_MCGOWAN_MCGEOGHEGAN_SuccessfullyMatched() {
    assertTrue(getMatchRatingApproachEncoder().isEncodeEquals("McGowan", "Mc Geoghegan"));
}</t>
  </si>
  <si>
    <t>@Test
public final void testCompare_SmallInput_CARK_Kl_SuccessfullyMatched() {
    assertTrue(getMatchRatingApproachEncoder().isEncodeEquals("Kl", "Karl"));
}
@Test
public final void testCompare_Surname_LEWINSKY_LEVINSKI_SuccessfullyMatched() {
    assertTrue(getMatchRatingApproachEncoder().isEncodeEquals("LEWINSKY", "LEVINSKI"));
}</t>
  </si>
  <si>
    <t>@Test
public final void testCompare_SmallInput_CARK_Kl_SuccessfullyMatched() {
    assertTrue(getMatchRatingApproachEncoder().isEncodeEquals("Kl", "Karl"));
}
// **** BEGIN YIDDISH/SLAVIC SECTION ****
@Test
public final void testCompare_Surname_AUERBACH_UHRBACH_SuccessfullyMatched() {
    assertTrue(getMatchRatingApproachEncoder().isEncodeEquals("Auerbach", "Uhrbach"));
}</t>
  </si>
  <si>
    <t>@Test
public final void testCompare_SmallInput_CARK_Kl_SuccessfullyMatched() {
    assertTrue(getMatchRatingApproachEncoder().isEncodeEquals("Kl", "Karl"));
}
@Test
public final void testCompare_Surname_LIPSHITZ_LIPPSZYC_SuccessfullyMatched() {
    assertTrue(getMatchRatingApproachEncoder().isEncodeEquals("LIPSHITZ", "LIPPSZYC"));
}</t>
  </si>
  <si>
    <t>@Test
public final void testCompare_SmallInput_CARK_Kl_SuccessfullyMatched() {
    assertTrue(getMatchRatingApproachEncoder().isEncodeEquals("Kl", "Karl"));
}
@Test
public final void testCompare_Surname_MOSKOWITZ_MOSKOVITZ_SuccessfullyMatched() {
    assertTrue(getMatchRatingApproachEncoder().isEncodeEquals("Moskowitz", "Moskovitz"));
}</t>
  </si>
  <si>
    <t>@Test
public final void testCompare_SmallInput_CARK_Kl_SuccessfullyMatched() {
    assertTrue(getMatchRatingApproachEncoder().isEncodeEquals("Kl", "Karl"));
}
@Test
public final void testCompare_Surname_PRZEMYSL_PSHEMESHIL_SuccessfullyMatched() {
    assertTrue(getMatchRatingApproachEncoder().isEncodeEquals(" P rz e m y s l", " P sh e m e sh i l"));
}</t>
  </si>
  <si>
    <t>@Test
public final void testCompare_SmallInput_CARK_Kl_SuccessfullyMatched() {
    assertTrue(getMatchRatingApproachEncoder().isEncodeEquals("Kl", "Karl"));
}
@Test
public final void testCompare_Surname_SZLAMAWICZ_SHLAMOVITZ_SuccessfullyMatched() {
    assertTrue(getMatchRatingApproachEncoder().isEncodeEquals("SZLAMAWICZ", "SHLAMOVITZ"));
}</t>
  </si>
  <si>
    <t>@Test
public final void testCompare_SmallInput_CARK_Kl_SuccessfullyMatched() {
    assertTrue(getMatchRatingApproachEncoder().isEncodeEquals("Kl", "Karl"));
}
@Test
public final void testCompare_Surname_COOPERFLYNN_SUPERLYN_SuccessfullyMatched() {
    assertTrue(getMatchRatingApproachEncoder().isEncodeEquals("Cooper-Flynn", "Super-Lyn"));
}</t>
  </si>
  <si>
    <t>@Test
public final void testCompare_SmallInput_CARK_Kl_SuccessfullyMatched() {
    assertTrue(getMatchRatingApproachEncoder().isEncodeEquals("Kl", "Karl"));
}
@Test
public final void testCompare_Surname_ROSOCHOWACIEC_ROSOKHOVATSETS_SuccessfullyMatched() {
    assertTrue(getMatchRatingApproachEncoder().isEncodeEquals("R o s o ch o w a c ie c", " R o s o k ho v a ts e ts"));
}</t>
  </si>
  <si>
    <t>@Test
public final void testCompare_SmallInput_CARK_Kl_SuccessfullyMatched() {
    assertTrue(getMatchRatingApproachEncoder().isEncodeEquals("Kl", "Karl"));
}
// ***** Begin Region - Test Get Encoding - Surnames
@Test
public final void testCompare_Surname_OSULLIVAN_OSUILLEABHAIN_SuccessfulMatch() {
    assertTrue(getMatchRatingApproachEncoder().isEncodeEquals("O'Sullivan", "Ó ' Súilleabháin"));
}</t>
  </si>
  <si>
    <t>@Test
public final void testCompare_SmallInput_CARK_Kl_SuccessfullyMatched() {
    assertTrue(getMatchRatingApproachEncoder().isEncodeEquals("Kl", "Karl"));
}
@Test
public final void testCompare_Forenames_UNA_OONAGH_ShouldSuccessfullyMatchButDoesNot() {
    // Disappointing
    assertFalse(getMatchRatingApproachEncoder().isEncodeEquals("Úna", "Oonagh"));
}</t>
  </si>
  <si>
    <t>@Test
public final void testCompare_SmallInput_CARK_Kl_SuccessfullyMatched() {
    assertTrue(getMatchRatingApproachEncoder().isEncodeEquals("Kl", "Karl"));
}
@Test
public final void testCompare_Forenames_SEAN_JOHN_MatchExpected() {
    assertTrue(getMatchRatingApproachEncoder().isEncodeEquals("Sean", "John"));
}</t>
  </si>
  <si>
    <t>@Test
public final void testCompare_SmallInput_CARK_Kl_SuccessfullyMatched() {
    assertTrue(getMatchRatingApproachEncoder().isEncodeEquals("Kl", "Karl"));
}
@Test
public final void testCompare_KARL_ALESSANDRO_DoesNotMatch() {
    assertFalse(getMatchRatingApproachEncoder().isEncodeEquals("Karl", "Alessandro"));
}</t>
  </si>
  <si>
    <t>@Test
public final void testCompare_SmallInput_CARK_Kl_SuccessfullyMatched() {
    assertTrue(getMatchRatingApproachEncoder().isEncodeEquals("Kl", "Karl"));
}
@Test
public final void testCompare_LongSurnames_OMUIRCHEARTAIGH_OMIREADHAIGH_SuccessfulMatch() {
    assertTrue(getMatchRatingApproachEncoder().isEncodeEquals("o'muireadhaigh", "Ó 'Muircheartaigh "));
}</t>
  </si>
  <si>
    <t>@Test
public final void testCompare_SmallInput_CARK_Kl_SuccessfullyMatched() {
    assertTrue(getMatchRatingApproachEncoder().isEncodeEquals("Kl", "Karl"));
}
@Test
public final void testCompareNameToSingleLetter_KARL_C_DoesNotMatch() {
    assertFalse(getMatchRatingApproachEncoder().isEncodeEquals("Karl", "C"));
}</t>
  </si>
  <si>
    <t>@Test
public final void testCompare_SmallInput_CARK_Kl_SuccessfullyMatched() {
    assertTrue(getMatchRatingApproachEncoder().isEncodeEquals("Kl", "Karl"));
}
@Test
public final void testCompare_SurnamesCornerCase_MURPHY_Space_NoMatch() {
    assertFalse(getMatchRatingApproachEncoder().isEncodeEquals("Murphy", " "));
}</t>
  </si>
  <si>
    <t>@Test
public final void testCompare_SmallInput_CARK_Kl_SuccessfullyMatched() {
    assertTrue(getMatchRatingApproachEncoder().isEncodeEquals("Kl", "Karl"));
}
@Test
public final void testCompare_Forenames_SEAN_PETE_NoMatchExpected() {
    assertFalse(getMatchRatingApproachEncoder().isEncodeEquals("Sean", "Pete"));
}</t>
  </si>
  <si>
    <t>@Test
public final void testCompare_SmallInput_CARK_Kl_SuccessfullyMatched() {
    assertTrue(getMatchRatingApproachEncoder().isEncodeEquals("Kl", "Karl"));
}
@Test
public final void testCompare_Surnames_MURPHY_LYNCH_NoMatchExpected() {
    assertFalse(getMatchRatingApproachEncoder().isEncodeEquals("Murphy", "Lynch"));
}</t>
  </si>
  <si>
    <t>@Test
public final void testCompare_SmallInput_CARK_Kl_SuccessfullyMatched() {
    assertTrue(getMatchRatingApproachEncoder().isEncodeEquals("Kl", "Karl"));
}
@Test
public final void testCompare_SurnamesCornerCase_MURPHY_NoSpace_NoMatch() {
    assertFalse(getMatchRatingApproachEncoder().isEncodeEquals("Murphy", ""));
}</t>
  </si>
  <si>
    <t>@Test
public final void testCompare_SmallInput_CARK_Kl_SuccessfullyMatched() {
    assertTrue(getMatchRatingApproachEncoder().isEncodeEquals("Kl", "Karl"));
}
@Test
public final void testCompare_LongSurnames_MORIARTY_OMUIRCHEARTAIGH_DoesNotSuccessfulMatch() {
    assertFalse(getMatchRatingApproachEncoder().isEncodeEquals("Moriarty", "OMuircheartaigh"));
}</t>
  </si>
  <si>
    <t>@Test
public final void testCompare_SmallInput_CARK_Kl_SuccessfullyMatched() {
    assertTrue(getMatchRatingApproachEncoder().isEncodeEquals("Kl", "Karl"));
}
@Test
public final void testCompare_SurnameCornerCase_Nulls_NoMatch() {
    assertFalse(getMatchRatingApproachEncoder().isEncodeEquals(null, null));
}</t>
  </si>
  <si>
    <t>@Test
public final void testCompareNameToSingleLetter_KARL_C_DoesNotMatch() {
    assertFalse(getMatchRatingApproachEncoder().isEncodeEquals("Karl", "C"));
}
@Test
public final void testCompare_KARL_ALESSANDRO_DoesNotMatch() {
    assertFalse(getMatchRatingApproachEncoder().isEncodeEquals("Karl", "Alessandro"));
}</t>
  </si>
  <si>
    <t>@Test
public final void testCompareNameToSingleLetter_KARL_C_DoesNotMatch() {
    assertFalse(getMatchRatingApproachEncoder().isEncodeEquals("Karl", "C"));
}
@Test
public final void testCompare_SurnamesCornerCase_MURPHY_Space_NoMatch() {
    assertFalse(getMatchRatingApproachEncoder().isEncodeEquals("Murphy", " "));
}</t>
  </si>
  <si>
    <t>@Test
public final void testCompareNameToSingleLetter_KARL_C_DoesNotMatch() {
    assertFalse(getMatchRatingApproachEncoder().isEncodeEquals("Karl", "C"));
}
@Test
public final void testCompare_SurnamesCornerCase_MURPHY_NoSpace_NoMatch() {
    assertFalse(getMatchRatingApproachEncoder().isEncodeEquals("Murphy", ""));
}</t>
  </si>
  <si>
    <t>@Test
public final void testCompareNameToSingleLetter_KARL_C_DoesNotMatch() {
    assertFalse(getMatchRatingApproachEncoder().isEncodeEquals("Karl", "C"));
}
@Test
public final void testCompare_Forenames_SEAN_PETE_NoMatchExpected() {
    assertFalse(getMatchRatingApproachEncoder().isEncodeEquals("Sean", "Pete"));
}</t>
  </si>
  <si>
    <t>@Test
public final void testCompareNameToSingleLetter_KARL_C_DoesNotMatch() {
    assertFalse(getMatchRatingApproachEncoder().isEncodeEquals("Karl", "C"));
}
@Test
public final void testCompare_SurnameCornerCase_Nulls_NoMatch() {
    assertFalse(getMatchRatingApproachEncoder().isEncodeEquals(null, null));
}</t>
  </si>
  <si>
    <t>@Test
public final void testCompareNameToSingleLetter_KARL_C_DoesNotMatch() {
    assertFalse(getMatchRatingApproachEncoder().isEncodeEquals("Karl", "C"));
}
@Test
public final void testCompare_Forenames_SEAN_JOHN_MatchExpected() {
    assertTrue(getMatchRatingApproachEncoder().isEncodeEquals("Sean", "John"));
}</t>
  </si>
  <si>
    <t>@Test
public final void testCompareNameToSingleLetter_KARL_C_DoesNotMatch() {
    assertFalse(getMatchRatingApproachEncoder().isEncodeEquals("Karl", "C"));
}
@Test
public final void testCompare_Surnames_MURPHY_LYNCH_NoMatchExpected() {
    assertFalse(getMatchRatingApproachEncoder().isEncodeEquals("Murphy", "Lynch"));
}</t>
  </si>
  <si>
    <t>@Test
public final void testCompareNameToSingleLetter_KARL_C_DoesNotMatch() {
    assertFalse(getMatchRatingApproachEncoder().isEncodeEquals("Karl", "C"));
}
@Test
public final void testCompare_Surname_HAILEY_HALLEY_SuccessfullyMatched() {
    assertTrue(getMatchRatingApproachEncoder().isEncodeEquals("Hailey", "Halley"));
}</t>
  </si>
  <si>
    <t>@Test
public final void testCompareNameToSingleLetter_KARL_C_DoesNotMatch() {
    assertFalse(getMatchRatingApproachEncoder().isEncodeEquals("Karl", "C"));
}
@Test
public final void testCompare_Surname_COOPERFLYNN_SUPERLYN_SuccessfullyMatched() {
    assertTrue(getMatchRatingApproachEncoder().isEncodeEquals("Cooper-Flynn", "Super-Lyn"));
}</t>
  </si>
  <si>
    <t>@Test
public final void testCompareNameToSingleLetter_KARL_C_DoesNotMatch() {
    assertFalse(getMatchRatingApproachEncoder().isEncodeEquals("Karl", "C"));
}
// ***** Begin Region - Test Get Encoding - Surnames
@Test
public final void testCompare_Surname_OSULLIVAN_OSUILLEABHAIN_SuccessfulMatch() {
    assertTrue(getMatchRatingApproachEncoder().isEncodeEquals("O'Sullivan", "Ó ' Súilleabháin"));
}</t>
  </si>
  <si>
    <t>@Test
public final void testCompareNameToSingleLetter_KARL_C_DoesNotMatch() {
    assertFalse(getMatchRatingApproachEncoder().isEncodeEquals("Karl", "C"));
}
@Test
public final void testCompare_Surname_PRZEMYSL_PSHEMESHIL_SuccessfullyMatched() {
    assertTrue(getMatchRatingApproachEncoder().isEncodeEquals(" P rz e m y s l", " P sh e m e sh i l"));
}</t>
  </si>
  <si>
    <t>@Test
public final void testCompareNameToSingleLetter_KARL_C_DoesNotMatch() {
    assertFalse(getMatchRatingApproachEncoder().isEncodeEquals("Karl", "C"));
}
// **** END YIDDISH/SLAVIC SECTION ****
@Test
public final void testCompare_PETERSON_PETERS_SuccessfullyMatched() {
    assertTrue(getMatchRatingApproachEncoder().isEncodeEquals("Peterson", "Peters"));
}</t>
  </si>
  <si>
    <t>@Test
public final void testCompareNameToSingleLetter_KARL_C_DoesNotMatch() {
    assertFalse(getMatchRatingApproachEncoder().isEncodeEquals("Karl", "C"));
}
@Test
public final void testCompare_ZACH_ZAKARIA_SuccessfullyMatched() {
    assertTrue(getMatchRatingApproachEncoder().isEncodeEquals("Zach", "Zacharia"));
}</t>
  </si>
  <si>
    <t>@Test
public final void testCompareNameToSingleLetter_KARL_C_DoesNotMatch() {
    assertFalse(getMatchRatingApproachEncoder().isEncodeEquals("Karl", "C"));
}
@Test
public final void testCompare_LongSurnames_MORIARTY_OMUIRCHEARTAIGH_DoesNotSuccessfulMatch() {
    assertFalse(getMatchRatingApproachEncoder().isEncodeEquals("Moriarty", "OMuircheartaigh"));
}</t>
  </si>
  <si>
    <t>@Test
public final void testCompareNameToSingleLetter_KARL_C_DoesNotMatch() {
    assertFalse(getMatchRatingApproachEncoder().isEncodeEquals("Karl", "C"));
}
// **** BEGIN YIDDISH/SLAVIC SECTION ****
@Test
public final void testCompare_Surname_AUERBACH_UHRBACH_SuccessfullyMatched() {
    assertTrue(getMatchRatingApproachEncoder().isEncodeEquals("Auerbach", "Uhrbach"));
}</t>
  </si>
  <si>
    <t>@Test
public final void testCompareNameToSingleLetter_KARL_C_DoesNotMatch() {
    assertFalse(getMatchRatingApproachEncoder().isEncodeEquals("Karl", "C"));
}
@Test
public final void testCompare_Surname_MOSKOWITZ_MOSKOVITZ_SuccessfullyMatched() {
    assertTrue(getMatchRatingApproachEncoder().isEncodeEquals("Moskowitz", "Moskovitz"));
}</t>
  </si>
  <si>
    <t>@Test
public final void testCompareNameToSingleLetter_KARL_C_DoesNotMatch() {
    assertFalse(getMatchRatingApproachEncoder().isEncodeEquals("Karl", "C"));
}
@Test
public final void testCompare_MCGOWAN_MCGEOGHEGAN_SuccessfullyMatched() {
    assertTrue(getMatchRatingApproachEncoder().isEncodeEquals("McGowan", "Mc Geoghegan"));
}</t>
  </si>
  <si>
    <t>@Test
public final void testCompareNameToSingleLetter_KARL_C_DoesNotMatch() {
    assertFalse(getMatchRatingApproachEncoder().isEncodeEquals("Karl", "C"));
}
@Test
public final void testCompare_Surname_LEWINSKY_LEVINSKI_SuccessfullyMatched() {
    assertTrue(getMatchRatingApproachEncoder().isEncodeEquals("LEWINSKY", "LEVINSKI"));
}</t>
  </si>
  <si>
    <t>@Test
public final void testCompareNameToSingleLetter_KARL_C_DoesNotMatch() {
    assertFalse(getMatchRatingApproachEncoder().isEncodeEquals("Karl", "C"));
}
@Test
public final void testCompare_Surname_LIPSHITZ_LIPPSZYC_SuccessfullyMatched() {
    assertTrue(getMatchRatingApproachEncoder().isEncodeEquals("LIPSHITZ", "LIPPSZYC"));
}</t>
  </si>
  <si>
    <t>@Test
public final void testCompareNameToSingleLetter_KARL_C_DoesNotMatch() {
    assertFalse(getMatchRatingApproachEncoder().isEncodeEquals("Karl", "C"));
}
@Test
public final void testCompare_Surname_SZLAMAWICZ_SHLAMOVITZ_SuccessfullyMatched() {
    assertTrue(getMatchRatingApproachEncoder().isEncodeEquals("SZLAMAWICZ", "SHLAMOVITZ"));
}</t>
  </si>
  <si>
    <t>@Test
public final void testCompareNameToSingleLetter_KARL_C_DoesNotMatch() {
    assertFalse(getMatchRatingApproachEncoder().isEncodeEquals("Karl", "C"));
}
@Test
public final void testCompare_Forenames_UNA_OONAGH_ShouldSuccessfullyMatchButDoesNot() {
    // Disappointing
    assertFalse(getMatchRatingApproachEncoder().isEncodeEquals("Úna", "Oonagh"));
}</t>
  </si>
  <si>
    <t>@Test
public final void testCompareNameToSingleLetter_KARL_C_DoesNotMatch() {
    assertFalse(getMatchRatingApproachEncoder().isEncodeEquals("Karl", "C"));
}
@Test
public final void testCompare_Surname_ROSOCHOWACIEC_ROSOKHOVATSETS_SuccessfullyMatched() {
    assertTrue(getMatchRatingApproachEncoder().isEncodeEquals("R o s o ch o w a c ie c", " R o s o k ho v a ts e ts"));
}</t>
  </si>
  <si>
    <t>@Test
public final void testCompareNameToSingleLetter_KARL_C_DoesNotMatch() {
    assertFalse(getMatchRatingApproachEncoder().isEncodeEquals("Karl", "C"));
}
@Test
public final void testCompare_LongSurnames_OMUIRCHEARTAIGH_OMIREADHAIGH_SuccessfulMatch() {
    assertTrue(getMatchRatingApproachEncoder().isEncodeEquals("o'muireadhaigh", "Ó 'Muircheartaigh "));
}</t>
  </si>
  <si>
    <t>@Test
public final void testCompare_ZACH_ZAKARIA_SuccessfullyMatched() {
    assertTrue(getMatchRatingApproachEncoder().isEncodeEquals("Zach", "Zacharia"));
}
// **** END YIDDISH/SLAVIC SECTION ****
@Test
public final void testCompare_PETERSON_PETERS_SuccessfullyMatched() {
    assertTrue(getMatchRatingApproachEncoder().isEncodeEquals("Peterson", "Peters"));
}</t>
  </si>
  <si>
    <t>@Test
public final void testCompare_ZACH_ZAKARIA_SuccessfullyMatched() {
    assertTrue(getMatchRatingApproachEncoder().isEncodeEquals("Zach", "Zacharia"));
}
@Test
public final void testCompare_MCGOWAN_MCGEOGHEGAN_SuccessfullyMatched() {
    assertTrue(getMatchRatingApproachEncoder().isEncodeEquals("McGowan", "Mc Geoghegan"));
}</t>
  </si>
  <si>
    <t>@Test
public final void testCompare_ZACH_ZAKARIA_SuccessfullyMatched() {
    assertTrue(getMatchRatingApproachEncoder().isEncodeEquals("Zach", "Zacharia"));
}
@Test
public final void testCompare_Surname_HAILEY_HALLEY_SuccessfullyMatched() {
    assertTrue(getMatchRatingApproachEncoder().isEncodeEquals("Hailey", "Halley"));
}</t>
  </si>
  <si>
    <t>@Test
public final void testCompare_ZACH_ZAKARIA_SuccessfullyMatched() {
    assertTrue(getMatchRatingApproachEncoder().isEncodeEquals("Zach", "Zacharia"));
}
// **** BEGIN YIDDISH/SLAVIC SECTION ****
@Test
public final void testCompare_Surname_AUERBACH_UHRBACH_SuccessfullyMatched() {
    assertTrue(getMatchRatingApproachEncoder().isEncodeEquals("Auerbach", "Uhrbach"));
}</t>
  </si>
  <si>
    <t>@Test
public final void testCompare_ZACH_ZAKARIA_SuccessfullyMatched() {
    assertTrue(getMatchRatingApproachEncoder().isEncodeEquals("Zach", "Zacharia"));
}
@Test
public final void testCompare_Surname_LEWINSKY_LEVINSKI_SuccessfullyMatched() {
    assertTrue(getMatchRatingApproachEncoder().isEncodeEquals("LEWINSKY", "LEVINSKI"));
}</t>
  </si>
  <si>
    <t>@Test
public final void testCompare_ZACH_ZAKARIA_SuccessfullyMatched() {
    assertTrue(getMatchRatingApproachEncoder().isEncodeEquals("Zach", "Zacharia"));
}
@Test
public final void testCompare_Surname_SZLAMAWICZ_SHLAMOVITZ_SuccessfullyMatched() {
    assertTrue(getMatchRatingApproachEncoder().isEncodeEquals("SZLAMAWICZ", "SHLAMOVITZ"));
}</t>
  </si>
  <si>
    <t>@Test
public final void testCompare_ZACH_ZAKARIA_SuccessfullyMatched() {
    assertTrue(getMatchRatingApproachEncoder().isEncodeEquals("Zach", "Zacharia"));
}
@Test
public final void testCompare_Surname_MOSKOWITZ_MOSKOVITZ_SuccessfullyMatched() {
    assertTrue(getMatchRatingApproachEncoder().isEncodeEquals("Moskowitz", "Moskovitz"));
}</t>
  </si>
  <si>
    <t>@Test
public final void testCompare_ZACH_ZAKARIA_SuccessfullyMatched() {
    assertTrue(getMatchRatingApproachEncoder().isEncodeEquals("Zach", "Zacharia"));
}
@Test
public final void testCompare_Surname_LIPSHITZ_LIPPSZYC_SuccessfullyMatched() {
    assertTrue(getMatchRatingApproachEncoder().isEncodeEquals("LIPSHITZ", "LIPPSZYC"));
}</t>
  </si>
  <si>
    <t>@Test
public final void testCompare_ZACH_ZAKARIA_SuccessfullyMatched() {
    assertTrue(getMatchRatingApproachEncoder().isEncodeEquals("Zach", "Zacharia"));
}
@Test
public final void testCompare_Surname_PRZEMYSL_PSHEMESHIL_SuccessfullyMatched() {
    assertTrue(getMatchRatingApproachEncoder().isEncodeEquals(" P rz e m y s l", " P sh e m e sh i l"));
}</t>
  </si>
  <si>
    <t>@Test
public final void testCompare_ZACH_ZAKARIA_SuccessfullyMatched() {
    assertTrue(getMatchRatingApproachEncoder().isEncodeEquals("Zach", "Zacharia"));
}
@Test
public final void testCompare_Surname_COOPERFLYNN_SUPERLYN_SuccessfullyMatched() {
    assertTrue(getMatchRatingApproachEncoder().isEncodeEquals("Cooper-Flynn", "Super-Lyn"));
}</t>
  </si>
  <si>
    <t>@Test
public final void testCompare_ZACH_ZAKARIA_SuccessfullyMatched() {
    assertTrue(getMatchRatingApproachEncoder().isEncodeEquals("Zach", "Zacharia"));
}
@Test
public final void testCompare_Surname_ROSOCHOWACIEC_ROSOKHOVATSETS_SuccessfullyMatched() {
    assertTrue(getMatchRatingApproachEncoder().isEncodeEquals("R o s o ch o w a c ie c", " R o s o k ho v a ts e ts"));
}</t>
  </si>
  <si>
    <t>@Test
public final void testCompare_ZACH_ZAKARIA_SuccessfullyMatched() {
    assertTrue(getMatchRatingApproachEncoder().isEncodeEquals("Zach", "Zacharia"));
}
@Test
public final void testCompare_KARL_ALESSANDRO_DoesNotMatch() {
    assertFalse(getMatchRatingApproachEncoder().isEncodeEquals("Karl", "Alessandro"));
}</t>
  </si>
  <si>
    <t>@Test
public final void testCompare_ZACH_ZAKARIA_SuccessfullyMatched() {
    assertTrue(getMatchRatingApproachEncoder().isEncodeEquals("Zach", "Zacharia"));
}
// ***** Begin Region - Test Get Encoding - Surnames
@Test
public final void testCompare_Surname_OSULLIVAN_OSUILLEABHAIN_SuccessfulMatch() {
    assertTrue(getMatchRatingApproachEncoder().isEncodeEquals("O'Sullivan", "Ó ' Súilleabháin"));
}</t>
  </si>
  <si>
    <t>@Test
public final void testCompare_ZACH_ZAKARIA_SuccessfullyMatched() {
    assertTrue(getMatchRatingApproachEncoder().isEncodeEquals("Zach", "Zacharia"));
}
@Test
public final void testCompare_Forenames_SEAN_JOHN_MatchExpected() {
    assertTrue(getMatchRatingApproachEncoder().isEncodeEquals("Sean", "John"));
}</t>
  </si>
  <si>
    <t>@Test
public final void testCompare_ZACH_ZAKARIA_SuccessfullyMatched() {
    assertTrue(getMatchRatingApproachEncoder().isEncodeEquals("Zach", "Zacharia"));
}
@Test
public final void testCompare_Forenames_UNA_OONAGH_ShouldSuccessfullyMatchButDoesNot() {
    // Disappointing
    assertFalse(getMatchRatingApproachEncoder().isEncodeEquals("Úna", "Oonagh"));
}</t>
  </si>
  <si>
    <t>@Test
public final void testCompare_ZACH_ZAKARIA_SuccessfullyMatched() {
    assertTrue(getMatchRatingApproachEncoder().isEncodeEquals("Zach", "Zacharia"));
}
@Test
public final void testCompare_Forenames_SEAN_PETE_NoMatchExpected() {
    assertFalse(getMatchRatingApproachEncoder().isEncodeEquals("Sean", "Pete"));
}</t>
  </si>
  <si>
    <t>@Test
public final void testCompare_ZACH_ZAKARIA_SuccessfullyMatched() {
    assertTrue(getMatchRatingApproachEncoder().isEncodeEquals("Zach", "Zacharia"));
}
@Test
public final void testCompare_Surnames_MURPHY_LYNCH_NoMatchExpected() {
    assertFalse(getMatchRatingApproachEncoder().isEncodeEquals("Murphy", "Lynch"));
}</t>
  </si>
  <si>
    <t>@Test
public final void testCompare_ZACH_ZAKARIA_SuccessfullyMatched() {
    assertTrue(getMatchRatingApproachEncoder().isEncodeEquals("Zach", "Zacharia"));
}
@Test
public final void testCompare_LongSurnames_OMUIRCHEARTAIGH_OMIREADHAIGH_SuccessfulMatch() {
    assertTrue(getMatchRatingApproachEncoder().isEncodeEquals("o'muireadhaigh", "Ó 'Muircheartaigh "));
}</t>
  </si>
  <si>
    <t>@Test
public final void testCompare_ZACH_ZAKARIA_SuccessfullyMatched() {
    assertTrue(getMatchRatingApproachEncoder().isEncodeEquals("Zach", "Zacharia"));
}
@Test
public final void testCompare_SurnamesCornerCase_MURPHY_Space_NoMatch() {
    assertFalse(getMatchRatingApproachEncoder().isEncodeEquals("Murphy", " "));
}</t>
  </si>
  <si>
    <t>@Test
public final void testCompare_ZACH_ZAKARIA_SuccessfullyMatched() {
    assertTrue(getMatchRatingApproachEncoder().isEncodeEquals("Zach", "Zacharia"));
}
@Test
public final void testCompare_SurnamesCornerCase_MURPHY_NoSpace_NoMatch() {
    assertFalse(getMatchRatingApproachEncoder().isEncodeEquals("Murphy", ""));
}</t>
  </si>
  <si>
    <t>@Test
public final void testCompare_ZACH_ZAKARIA_SuccessfullyMatched() {
    assertTrue(getMatchRatingApproachEncoder().isEncodeEquals("Zach", "Zacharia"));
}
@Test
public final void testCompare_SurnameCornerCase_Nulls_NoMatch() {
    assertFalse(getMatchRatingApproachEncoder().isEncodeEquals(null, null));
}</t>
  </si>
  <si>
    <t>@Test
public final void testCompare_ZACH_ZAKARIA_SuccessfullyMatched() {
    assertTrue(getMatchRatingApproachEncoder().isEncodeEquals("Zach", "Zacharia"));
}
@Test
public final void testCompare_LongSurnames_MORIARTY_OMUIRCHEARTAIGH_DoesNotSuccessfulMatch() {
    assertFalse(getMatchRatingApproachEncoder().isEncodeEquals("Moriarty", "OMuircheartaigh"));
}</t>
  </si>
  <si>
    <t>@Test
public final void testCompare_KARL_ALESSANDRO_DoesNotMatch() {
    assertFalse(getMatchRatingApproachEncoder().isEncodeEquals("Karl", "Alessandro"));
}
@Test
public final void testCompare_Forenames_SEAN_PETE_NoMatchExpected() {
    assertFalse(getMatchRatingApproachEncoder().isEncodeEquals("Sean", "Pete"));
}</t>
  </si>
  <si>
    <t>@Test
public final void testCompare_KARL_ALESSANDRO_DoesNotMatch() {
    assertFalse(getMatchRatingApproachEncoder().isEncodeEquals("Karl", "Alessandro"));
}
@Test
public final void testCompare_SurnamesCornerCase_MURPHY_Space_NoMatch() {
    assertFalse(getMatchRatingApproachEncoder().isEncodeEquals("Murphy", " "));
}</t>
  </si>
  <si>
    <t>@Test
public final void testCompare_KARL_ALESSANDRO_DoesNotMatch() {
    assertFalse(getMatchRatingApproachEncoder().isEncodeEquals("Karl", "Alessandro"));
}
@Test
public final void testCompare_Surnames_MURPHY_LYNCH_NoMatchExpected() {
    assertFalse(getMatchRatingApproachEncoder().isEncodeEquals("Murphy", "Lynch"));
}</t>
  </si>
  <si>
    <t>@Test
public final void testCompare_KARL_ALESSANDRO_DoesNotMatch() {
    assertFalse(getMatchRatingApproachEncoder().isEncodeEquals("Karl", "Alessandro"));
}
@Test
public final void testCompare_SurnamesCornerCase_MURPHY_NoSpace_NoMatch() {
    assertFalse(getMatchRatingApproachEncoder().isEncodeEquals("Murphy", ""));
}</t>
  </si>
  <si>
    <t>@Test
public final void testCompare_KARL_ALESSANDRO_DoesNotMatch() {
    assertFalse(getMatchRatingApproachEncoder().isEncodeEquals("Karl", "Alessandro"));
}
// **** END YIDDISH/SLAVIC SECTION ****
@Test
public final void testCompare_PETERSON_PETERS_SuccessfullyMatched() {
    assertTrue(getMatchRatingApproachEncoder().isEncodeEquals("Peterson", "Peters"));
}</t>
  </si>
  <si>
    <t>@Test
public final void testCompare_KARL_ALESSANDRO_DoesNotMatch() {
    assertFalse(getMatchRatingApproachEncoder().isEncodeEquals("Karl", "Alessandro"));
}
@Test
public final void testCompare_Surname_HAILEY_HALLEY_SuccessfullyMatched() {
    assertTrue(getMatchRatingApproachEncoder().isEncodeEquals("Hailey", "Halley"));
}</t>
  </si>
  <si>
    <t>@Test
public final void testCompare_KARL_ALESSANDRO_DoesNotMatch() {
    assertFalse(getMatchRatingApproachEncoder().isEncodeEquals("Karl", "Alessandro"));
}
@Test
public final void testCompare_SurnameCornerCase_Nulls_NoMatch() {
    assertFalse(getMatchRatingApproachEncoder().isEncodeEquals(null, null));
}</t>
  </si>
  <si>
    <t>@Test
public final void testCompare_KARL_ALESSANDRO_DoesNotMatch() {
    assertFalse(getMatchRatingApproachEncoder().isEncodeEquals("Karl", "Alessandro"));
}
@Test
public final void testCompare_Forenames_SEAN_JOHN_MatchExpected() {
    assertTrue(getMatchRatingApproachEncoder().isEncodeEquals("Sean", "John"));
}</t>
  </si>
  <si>
    <t>@Test
public final void testCompare_KARL_ALESSANDRO_DoesNotMatch() {
    assertFalse(getMatchRatingApproachEncoder().isEncodeEquals("Karl", "Alessandro"));
}
@Test
public final void testCompare_MCGOWAN_MCGEOGHEGAN_SuccessfullyMatched() {
    assertTrue(getMatchRatingApproachEncoder().isEncodeEquals("McGowan", "Mc Geoghegan"));
}</t>
  </si>
  <si>
    <t>@Test
public final void testCompare_KARL_ALESSANDRO_DoesNotMatch() {
    assertFalse(getMatchRatingApproachEncoder().isEncodeEquals("Karl", "Alessandro"));
}
// **** BEGIN YIDDISH/SLAVIC SECTION ****
@Test
public final void testCompare_Surname_AUERBACH_UHRBACH_SuccessfullyMatched() {
    assertTrue(getMatchRatingApproachEncoder().isEncodeEquals("Auerbach", "Uhrbach"));
}</t>
  </si>
  <si>
    <t>@Test
public final void testCompare_KARL_ALESSANDRO_DoesNotMatch() {
    assertFalse(getMatchRatingApproachEncoder().isEncodeEquals("Karl", "Alessandro"));
}
@Test
public final void testCompare_Surname_LEWINSKY_LEVINSKI_SuccessfullyMatched() {
    assertTrue(getMatchRatingApproachEncoder().isEncodeEquals("LEWINSKY", "LEVINSKI"));
}</t>
  </si>
  <si>
    <t>@Test
public final void testCompare_KARL_ALESSANDRO_DoesNotMatch() {
    assertFalse(getMatchRatingApproachEncoder().isEncodeEquals("Karl", "Alessandro"));
}
// ***** Begin Region - Test Get Encoding - Surnames
@Test
public final void testCompare_Surname_OSULLIVAN_OSUILLEABHAIN_SuccessfulMatch() {
    assertTrue(getMatchRatingApproachEncoder().isEncodeEquals("O'Sullivan", "Ó ' Súilleabháin"));
}</t>
  </si>
  <si>
    <t>@Test
public final void testCompare_KARL_ALESSANDRO_DoesNotMatch() {
    assertFalse(getMatchRatingApproachEncoder().isEncodeEquals("Karl", "Alessandro"));
}
@Test
public final void testCompare_Surname_PRZEMYSL_PSHEMESHIL_SuccessfullyMatched() {
    assertTrue(getMatchRatingApproachEncoder().isEncodeEquals(" P rz e m y s l", " P sh e m e sh i l"));
}</t>
  </si>
  <si>
    <t>@Test
public final void testCompare_KARL_ALESSANDRO_DoesNotMatch() {
    assertFalse(getMatchRatingApproachEncoder().isEncodeEquals("Karl", "Alessandro"));
}
@Test
public final void testCompare_Surname_LIPSHITZ_LIPPSZYC_SuccessfullyMatched() {
    assertTrue(getMatchRatingApproachEncoder().isEncodeEquals("LIPSHITZ", "LIPPSZYC"));
}</t>
  </si>
  <si>
    <t>@Test
public final void testCompare_KARL_ALESSANDRO_DoesNotMatch() {
    assertFalse(getMatchRatingApproachEncoder().isEncodeEquals("Karl", "Alessandro"));
}
@Test
public final void testCompare_LongSurnames_MORIARTY_OMUIRCHEARTAIGH_DoesNotSuccessfulMatch() {
    assertFalse(getMatchRatingApproachEncoder().isEncodeEquals("Moriarty", "OMuircheartaigh"));
}</t>
  </si>
  <si>
    <t>@Test
public final void testCompare_KARL_ALESSANDRO_DoesNotMatch() {
    assertFalse(getMatchRatingApproachEncoder().isEncodeEquals("Karl", "Alessandro"));
}
@Test
public final void testCompare_Surname_COOPERFLYNN_SUPERLYN_SuccessfullyMatched() {
    assertTrue(getMatchRatingApproachEncoder().isEncodeEquals("Cooper-Flynn", "Super-Lyn"));
}</t>
  </si>
  <si>
    <t>@Test
public final void testCompare_KARL_ALESSANDRO_DoesNotMatch() {
    assertFalse(getMatchRatingApproachEncoder().isEncodeEquals("Karl", "Alessandro"));
}
@Test
public final void testCompare_Surname_SZLAMAWICZ_SHLAMOVITZ_SuccessfullyMatched() {
    assertTrue(getMatchRatingApproachEncoder().isEncodeEquals("SZLAMAWICZ", "SHLAMOVITZ"));
}</t>
  </si>
  <si>
    <t>@Test
public final void testCompare_KARL_ALESSANDRO_DoesNotMatch() {
    assertFalse(getMatchRatingApproachEncoder().isEncodeEquals("Karl", "Alessandro"));
}
@Test
public final void testCompare_Forenames_UNA_OONAGH_ShouldSuccessfullyMatchButDoesNot() {
    // Disappointing
    assertFalse(getMatchRatingApproachEncoder().isEncodeEquals("Úna", "Oonagh"));
}</t>
  </si>
  <si>
    <t>@Test
public final void testCompare_KARL_ALESSANDRO_DoesNotMatch() {
    assertFalse(getMatchRatingApproachEncoder().isEncodeEquals("Karl", "Alessandro"));
}
@Test
public final void testCompare_Surname_MOSKOWITZ_MOSKOVITZ_SuccessfullyMatched() {
    assertTrue(getMatchRatingApproachEncoder().isEncodeEquals("Moskowitz", "Moskovitz"));
}</t>
  </si>
  <si>
    <t>@Test
public final void testCompare_KARL_ALESSANDRO_DoesNotMatch() {
    assertFalse(getMatchRatingApproachEncoder().isEncodeEquals("Karl", "Alessandro"));
}
@Test
public final void testCompare_Surname_ROSOCHOWACIEC_ROSOKHOVATSETS_SuccessfullyMatched() {
    assertTrue(getMatchRatingApproachEncoder().isEncodeEquals("R o s o ch o w a c ie c", " R o s o k ho v a ts e ts"));
}</t>
  </si>
  <si>
    <t>@Test
public final void testCompare_KARL_ALESSANDRO_DoesNotMatch() {
    assertFalse(getMatchRatingApproachEncoder().isEncodeEquals("Karl", "Alessandro"));
}
@Test
public final void testCompare_LongSurnames_OMUIRCHEARTAIGH_OMIREADHAIGH_SuccessfulMatch() {
    assertTrue(getMatchRatingApproachEncoder().isEncodeEquals("o'muireadhaigh", "Ó 'Muircheartaigh "));
}</t>
  </si>
  <si>
    <t>@Test
public final void testCompare_Forenames_UNA_OONAGH_ShouldSuccessfullyMatchButDoesNot() {
    // Disappointing
    assertFalse(getMatchRatingApproachEncoder().isEncodeEquals("Úna", "Oonagh"));
}
// **** BEGIN YIDDISH/SLAVIC SECTION ****
@Test
public final void testCompare_Surname_AUERBACH_UHRBACH_SuccessfullyMatched() {
    assertTrue(getMatchRatingApproachEncoder().isEncodeEquals("Auerbach", "Uhrbach"));
}</t>
  </si>
  <si>
    <t>@Test
public final void testCompare_Forenames_UNA_OONAGH_ShouldSuccessfullyMatchButDoesNot() {
    // Disappointing
    assertFalse(getMatchRatingApproachEncoder().isEncodeEquals("Úna", "Oonagh"));
}
@Test
public final void testCompare_Surname_HAILEY_HALLEY_SuccessfullyMatched() {
    assertTrue(getMatchRatingApproachEncoder().isEncodeEquals("Hailey", "Halley"));
}</t>
  </si>
  <si>
    <t>@Test
public final void testCompare_Forenames_UNA_OONAGH_ShouldSuccessfullyMatchButDoesNot() {
    // Disappointing
    assertFalse(getMatchRatingApproachEncoder().isEncodeEquals("Úna", "Oonagh"));
}
@Test
public final void testCompare_Surname_MOSKOWITZ_MOSKOVITZ_SuccessfullyMatched() {
    assertTrue(getMatchRatingApproachEncoder().isEncodeEquals("Moskowitz", "Moskovitz"));
}</t>
  </si>
  <si>
    <t>@Test
public final void testCompare_Forenames_UNA_OONAGH_ShouldSuccessfullyMatchButDoesNot() {
    // Disappointing
    assertFalse(getMatchRatingApproachEncoder().isEncodeEquals("Úna", "Oonagh"));
}
@Test
public final void testCompare_Surname_LEWINSKY_LEVINSKI_SuccessfullyMatched() {
    assertTrue(getMatchRatingApproachEncoder().isEncodeEquals("LEWINSKY", "LEVINSKI"));
}</t>
  </si>
  <si>
    <t>@Test
public final void testCompare_Forenames_UNA_OONAGH_ShouldSuccessfullyMatchButDoesNot() {
    // Disappointing
    assertFalse(getMatchRatingApproachEncoder().isEncodeEquals("Úna", "Oonagh"));
}
@Test
public final void testCompare_Forenames_SEAN_PETE_NoMatchExpected() {
    assertFalse(getMatchRatingApproachEncoder().isEncodeEquals("Sean", "Pete"));
}</t>
  </si>
  <si>
    <t>@Test
public final void testCompare_Forenames_UNA_OONAGH_ShouldSuccessfullyMatchButDoesNot() {
    // Disappointing
    assertFalse(getMatchRatingApproachEncoder().isEncodeEquals("Úna", "Oonagh"));
}
@Test
public final void testCompare_Surname_LIPSHITZ_LIPPSZYC_SuccessfullyMatched() {
    assertTrue(getMatchRatingApproachEncoder().isEncodeEquals("LIPSHITZ", "LIPPSZYC"));
}</t>
  </si>
  <si>
    <t>@Test
public final void testCompare_Forenames_UNA_OONAGH_ShouldSuccessfullyMatchButDoesNot() {
    // Disappointing
    assertFalse(getMatchRatingApproachEncoder().isEncodeEquals("Úna", "Oonagh"));
}
@Test
public final void testCompare_Surname_COOPERFLYNN_SUPERLYN_SuccessfullyMatched() {
    assertTrue(getMatchRatingApproachEncoder().isEncodeEquals("Cooper-Flynn", "Super-Lyn"));
}</t>
  </si>
  <si>
    <t>@Test
public final void testCompare_Forenames_UNA_OONAGH_ShouldSuccessfullyMatchButDoesNot() {
    // Disappointing
    assertFalse(getMatchRatingApproachEncoder().isEncodeEquals("Úna", "Oonagh"));
}
@Test
public final void testCompare_MCGOWAN_MCGEOGHEGAN_SuccessfullyMatched() {
    assertTrue(getMatchRatingApproachEncoder().isEncodeEquals("McGowan", "Mc Geoghegan"));
}</t>
  </si>
  <si>
    <t>@Test
public final void testCompare_Forenames_UNA_OONAGH_ShouldSuccessfullyMatchButDoesNot() {
    // Disappointing
    assertFalse(getMatchRatingApproachEncoder().isEncodeEquals("Úna", "Oonagh"));
}
@Test
public final void testCompare_Surname_PRZEMYSL_PSHEMESHIL_SuccessfullyMatched() {
    assertTrue(getMatchRatingApproachEncoder().isEncodeEquals(" P rz e m y s l", " P sh e m e sh i l"));
}</t>
  </si>
  <si>
    <t>@Test
public final void testCompare_Forenames_UNA_OONAGH_ShouldSuccessfullyMatchButDoesNot() {
    // Disappointing
    assertFalse(getMatchRatingApproachEncoder().isEncodeEquals("Úna", "Oonagh"));
}
// **** END YIDDISH/SLAVIC SECTION ****
@Test
public final void testCompare_PETERSON_PETERS_SuccessfullyMatched() {
    assertTrue(getMatchRatingApproachEncoder().isEncodeEquals("Peterson", "Peters"));
}</t>
  </si>
  <si>
    <t>@Test
public final void testCompare_Forenames_UNA_OONAGH_ShouldSuccessfullyMatchButDoesNot() {
    // Disappointing
    assertFalse(getMatchRatingApproachEncoder().isEncodeEquals("Úna", "Oonagh"));
}
@Test
public final void testCompare_Surname_SZLAMAWICZ_SHLAMOVITZ_SuccessfullyMatched() {
    assertTrue(getMatchRatingApproachEncoder().isEncodeEquals("SZLAMAWICZ", "SHLAMOVITZ"));
}</t>
  </si>
  <si>
    <t>@Test
public final void testCompare_Forenames_UNA_OONAGH_ShouldSuccessfullyMatchButDoesNot() {
    // Disappointing
    assertFalse(getMatchRatingApproachEncoder().isEncodeEquals("Úna", "Oonagh"));
}
@Test
public final void testCompare_Surnames_MURPHY_LYNCH_NoMatchExpected() {
    assertFalse(getMatchRatingApproachEncoder().isEncodeEquals("Murphy", "Lynch"));
}</t>
  </si>
  <si>
    <t>@Test
public final void testCompare_Forenames_UNA_OONAGH_ShouldSuccessfullyMatchButDoesNot() {
    // Disappointing
    assertFalse(getMatchRatingApproachEncoder().isEncodeEquals("Úna", "Oonagh"));
}
@Test
public final void testCompare_Forenames_SEAN_JOHN_MatchExpected() {
    assertTrue(getMatchRatingApproachEncoder().isEncodeEquals("Sean", "John"));
}</t>
  </si>
  <si>
    <t>@Test
public final void testCompare_Forenames_UNA_OONAGH_ShouldSuccessfullyMatchButDoesNot() {
    // Disappointing
    assertFalse(getMatchRatingApproachEncoder().isEncodeEquals("Úna", "Oonagh"));
}
// ***** Begin Region - Test Get Encoding - Surnames
@Test
public final void testCompare_Surname_OSULLIVAN_OSUILLEABHAIN_SuccessfulMatch() {
    assertTrue(getMatchRatingApproachEncoder().isEncodeEquals("O'Sullivan", "Ó ' Súilleabháin"));
}</t>
  </si>
  <si>
    <t>@Test
public final void testCompare_Forenames_UNA_OONAGH_ShouldSuccessfullyMatchButDoesNot() {
    // Disappointing
    assertFalse(getMatchRatingApproachEncoder().isEncodeEquals("Úna", "Oonagh"));
}
@Test
public final void testCompare_SurnamesCornerCase_MURPHY_Space_NoMatch() {
    assertFalse(getMatchRatingApproachEncoder().isEncodeEquals("Murphy", " "));
}</t>
  </si>
  <si>
    <t>@Test
public final void testCompare_Forenames_UNA_OONAGH_ShouldSuccessfullyMatchButDoesNot() {
    // Disappointing
    assertFalse(getMatchRatingApproachEncoder().isEncodeEquals("Úna", "Oonagh"));
}
@Test
public final void testCompare_LongSurnames_MORIARTY_OMUIRCHEARTAIGH_DoesNotSuccessfulMatch() {
    assertFalse(getMatchRatingApproachEncoder().isEncodeEquals("Moriarty", "OMuircheartaigh"));
}</t>
  </si>
  <si>
    <t>@Test
public final void testCompare_Forenames_UNA_OONAGH_ShouldSuccessfullyMatchButDoesNot() {
    // Disappointing
    assertFalse(getMatchRatingApproachEncoder().isEncodeEquals("Úna", "Oonagh"));
}
@Test
public final void testCompare_Surname_ROSOCHOWACIEC_ROSOKHOVATSETS_SuccessfullyMatched() {
    assertTrue(getMatchRatingApproachEncoder().isEncodeEquals("R o s o ch o w a c ie c", " R o s o k ho v a ts e ts"));
}</t>
  </si>
  <si>
    <t>@Test
public final void testCompare_Forenames_UNA_OONAGH_ShouldSuccessfullyMatchButDoesNot() {
    // Disappointing
    assertFalse(getMatchRatingApproachEncoder().isEncodeEquals("Úna", "Oonagh"));
}
@Test
public final void testCompare_SurnamesCornerCase_MURPHY_NoSpace_NoMatch() {
    assertFalse(getMatchRatingApproachEncoder().isEncodeEquals("Murphy", ""));
}</t>
  </si>
  <si>
    <t>@Test
public final void testCompare_Forenames_UNA_OONAGH_ShouldSuccessfullyMatchButDoesNot() {
    // Disappointing
    assertFalse(getMatchRatingApproachEncoder().isEncodeEquals("Úna", "Oonagh"));
}
@Test
public final void testCompare_LongSurnames_OMUIRCHEARTAIGH_OMIREADHAIGH_SuccessfulMatch() {
    assertTrue(getMatchRatingApproachEncoder().isEncodeEquals("o'muireadhaigh", "Ó 'Muircheartaigh "));
}</t>
  </si>
  <si>
    <t>@Test
public final void testCompare_Forenames_UNA_OONAGH_ShouldSuccessfullyMatchButDoesNot() {
    // Disappointing
    assertFalse(getMatchRatingApproachEncoder().isEncodeEquals("Úna", "Oonagh"));
}
@Test
public final void testCompare_SurnameCornerCase_Nulls_NoMatch() {
    assertFalse(getMatchRatingApproachEncoder().isEncodeEquals(null, null));
}</t>
  </si>
  <si>
    <t>// ***** Begin Region - Test Get Encoding - Surnames
@Test
public final void testCompare_Surname_OSULLIVAN_OSUILLEABHAIN_SuccessfulMatch() {
    assertTrue(getMatchRatingApproachEncoder().isEncodeEquals("O'Sullivan", "Ó ' Súilleabháin"));
}
@Test
public final void testCompare_Surname_SZLAMAWICZ_SHLAMOVITZ_SuccessfullyMatched() {
    assertTrue(getMatchRatingApproachEncoder().isEncodeEquals("SZLAMAWICZ", "SHLAMOVITZ"));
}</t>
  </si>
  <si>
    <t>// ***** Begin Region - Test Get Encoding - Surnames
@Test
public final void testCompare_Surname_OSULLIVAN_OSUILLEABHAIN_SuccessfulMatch() {
    assertTrue(getMatchRatingApproachEncoder().isEncodeEquals("O'Sullivan", "Ó ' Súilleabháin"));
}
@Test
public final void testCompare_Surname_COOPERFLYNN_SUPERLYN_SuccessfullyMatched() {
    assertTrue(getMatchRatingApproachEncoder().isEncodeEquals("Cooper-Flynn", "Super-Lyn"));
}</t>
  </si>
  <si>
    <t>// ***** Begin Region - Test Get Encoding - Surnames
@Test
public final void testCompare_Surname_OSULLIVAN_OSUILLEABHAIN_SuccessfulMatch() {
    assertTrue(getMatchRatingApproachEncoder().isEncodeEquals("O'Sullivan", "Ó ' Súilleabháin"));
}
@Test
public final void testCompare_Surname_LEWINSKY_LEVINSKI_SuccessfullyMatched() {
    assertTrue(getMatchRatingApproachEncoder().isEncodeEquals("LEWINSKY", "LEVINSKI"));
}</t>
  </si>
  <si>
    <t>// ***** Begin Region - Test Get Encoding - Surnames
@Test
public final void testCompare_Surname_OSULLIVAN_OSUILLEABHAIN_SuccessfulMatch() {
    assertTrue(getMatchRatingApproachEncoder().isEncodeEquals("O'Sullivan", "Ó ' Súilleabháin"));
}
// **** BEGIN YIDDISH/SLAVIC SECTION ****
@Test
public final void testCompare_Surname_AUERBACH_UHRBACH_SuccessfullyMatched() {
    assertTrue(getMatchRatingApproachEncoder().isEncodeEquals("Auerbach", "Uhrbach"));
}</t>
  </si>
  <si>
    <t>// ***** Begin Region - Test Get Encoding - Surnames
@Test
public final void testCompare_Surname_OSULLIVAN_OSUILLEABHAIN_SuccessfulMatch() {
    assertTrue(getMatchRatingApproachEncoder().isEncodeEquals("O'Sullivan", "Ó ' Súilleabháin"));
}
@Test
public final void testCompare_Surname_HAILEY_HALLEY_SuccessfullyMatched() {
    assertTrue(getMatchRatingApproachEncoder().isEncodeEquals("Hailey", "Halley"));
}</t>
  </si>
  <si>
    <t>// ***** Begin Region - Test Get Encoding - Surnames
@Test
public final void testCompare_Surname_OSULLIVAN_OSUILLEABHAIN_SuccessfulMatch() {
    assertTrue(getMatchRatingApproachEncoder().isEncodeEquals("O'Sullivan", "Ó ' Súilleabháin"));
}
@Test
public final void testCompare_Surname_PRZEMYSL_PSHEMESHIL_SuccessfullyMatched() {
    assertTrue(getMatchRatingApproachEncoder().isEncodeEquals(" P rz e m y s l", " P sh e m e sh i l"));
}</t>
  </si>
  <si>
    <t>// ***** Begin Region - Test Get Encoding - Surnames
@Test
public final void testCompare_Surname_OSULLIVAN_OSUILLEABHAIN_SuccessfulMatch() {
    assertTrue(getMatchRatingApproachEncoder().isEncodeEquals("O'Sullivan", "Ó ' Súilleabháin"));
}
@Test
public final void testCompare_LongSurnames_OMUIRCHEARTAIGH_OMIREADHAIGH_SuccessfulMatch() {
    assertTrue(getMatchRatingApproachEncoder().isEncodeEquals("o'muireadhaigh", "Ó 'Muircheartaigh "));
}</t>
  </si>
  <si>
    <t>// ***** Begin Region - Test Get Encoding - Surnames
@Test
public final void testCompare_Surname_OSULLIVAN_OSUILLEABHAIN_SuccessfulMatch() {
    assertTrue(getMatchRatingApproachEncoder().isEncodeEquals("O'Sullivan", "Ó ' Súilleabháin"));
}
@Test
public final void testCompare_Surname_MOSKOWITZ_MOSKOVITZ_SuccessfullyMatched() {
    assertTrue(getMatchRatingApproachEncoder().isEncodeEquals("Moskowitz", "Moskovitz"));
}</t>
  </si>
  <si>
    <t>// ***** Begin Region - Test Get Encoding - Surnames
@Test
public final void testCompare_Surname_OSULLIVAN_OSUILLEABHAIN_SuccessfulMatch() {
    assertTrue(getMatchRatingApproachEncoder().isEncodeEquals("O'Sullivan", "Ó ' Súilleabháin"));
}
@Test
public final void testCompare_Surname_ROSOCHOWACIEC_ROSOKHOVATSETS_SuccessfullyMatched() {
    assertTrue(getMatchRatingApproachEncoder().isEncodeEquals("R o s o ch o w a c ie c", " R o s o k ho v a ts e ts"));
}</t>
  </si>
  <si>
    <t>// ***** Begin Region - Test Get Encoding - Surnames
@Test
public final void testCompare_Surname_OSULLIVAN_OSUILLEABHAIN_SuccessfulMatch() {
    assertTrue(getMatchRatingApproachEncoder().isEncodeEquals("O'Sullivan", "Ó ' Súilleabháin"));
}
@Test
public final void testCompare_Surname_LIPSHITZ_LIPPSZYC_SuccessfullyMatched() {
    assertTrue(getMatchRatingApproachEncoder().isEncodeEquals("LIPSHITZ", "LIPPSZYC"));
}</t>
  </si>
  <si>
    <t>// ***** Begin Region - Test Get Encoding - Surnames
@Test
public final void testCompare_Surname_OSULLIVAN_OSUILLEABHAIN_SuccessfulMatch() {
    assertTrue(getMatchRatingApproachEncoder().isEncodeEquals("O'Sullivan", "Ó ' Súilleabháin"));
}
@Test
public final void testCompare_MCGOWAN_MCGEOGHEGAN_SuccessfullyMatched() {
    assertTrue(getMatchRatingApproachEncoder().isEncodeEquals("McGowan", "Mc Geoghegan"));
}</t>
  </si>
  <si>
    <t>// ***** Begin Region - Test Get Encoding - Surnames
@Test
public final void testCompare_Surname_OSULLIVAN_OSUILLEABHAIN_SuccessfulMatch() {
    assertTrue(getMatchRatingApproachEncoder().isEncodeEquals("O'Sullivan", "Ó ' Súilleabháin"));
}
@Test
public final void testCompare_LongSurnames_MORIARTY_OMUIRCHEARTAIGH_DoesNotSuccessfulMatch() {
    assertFalse(getMatchRatingApproachEncoder().isEncodeEquals("Moriarty", "OMuircheartaigh"));
}</t>
  </si>
  <si>
    <t>// ***** Begin Region - Test Get Encoding - Surnames
@Test
public final void testCompare_Surname_OSULLIVAN_OSUILLEABHAIN_SuccessfulMatch() {
    assertTrue(getMatchRatingApproachEncoder().isEncodeEquals("O'Sullivan", "Ó ' Súilleabháin"));
}
// **** END YIDDISH/SLAVIC SECTION ****
@Test
public final void testCompare_PETERSON_PETERS_SuccessfullyMatched() {
    assertTrue(getMatchRatingApproachEncoder().isEncodeEquals("Peterson", "Peters"));
}</t>
  </si>
  <si>
    <t>// ***** Begin Region - Test Get Encoding - Surnames
@Test
public final void testCompare_Surname_OSULLIVAN_OSUILLEABHAIN_SuccessfulMatch() {
    assertTrue(getMatchRatingApproachEncoder().isEncodeEquals("O'Sullivan", "Ó ' Súilleabháin"));
}
@Test
public final void testCompare_SurnamesCornerCase_MURPHY_Space_NoMatch() {
    assertFalse(getMatchRatingApproachEncoder().isEncodeEquals("Murphy", " "));
}</t>
  </si>
  <si>
    <t>// ***** Begin Region - Test Get Encoding - Surnames
@Test
public final void testCompare_Surname_OSULLIVAN_OSUILLEABHAIN_SuccessfulMatch() {
    assertTrue(getMatchRatingApproachEncoder().isEncodeEquals("O'Sullivan", "Ó ' Súilleabháin"));
}
@Test
public final void testCompare_SurnamesCornerCase_MURPHY_NoSpace_NoMatch() {
    assertFalse(getMatchRatingApproachEncoder().isEncodeEquals("Murphy", ""));
}</t>
  </si>
  <si>
    <t>// ***** Begin Region - Test Get Encoding - Surnames
@Test
public final void testCompare_Surname_OSULLIVAN_OSUILLEABHAIN_SuccessfulMatch() {
    assertTrue(getMatchRatingApproachEncoder().isEncodeEquals("O'Sullivan", "Ó ' Súilleabháin"));
}
@Test
public final void testCompare_Forenames_SEAN_JOHN_MatchExpected() {
    assertTrue(getMatchRatingApproachEncoder().isEncodeEquals("Sean", "John"));
}</t>
  </si>
  <si>
    <t>// ***** Begin Region - Test Get Encoding - Surnames
@Test
public final void testCompare_Surname_OSULLIVAN_OSUILLEABHAIN_SuccessfulMatch() {
    assertTrue(getMatchRatingApproachEncoder().isEncodeEquals("O'Sullivan", "Ó ' Súilleabháin"));
}
@Test
public final void testCompare_Surnames_MURPHY_LYNCH_NoMatchExpected() {
    assertFalse(getMatchRatingApproachEncoder().isEncodeEquals("Murphy", "Lynch"));
}</t>
  </si>
  <si>
    <t>// ***** Begin Region - Test Get Encoding - Surnames
@Test
public final void testCompare_Surname_OSULLIVAN_OSUILLEABHAIN_SuccessfulMatch() {
    assertTrue(getMatchRatingApproachEncoder().isEncodeEquals("O'Sullivan", "Ó ' Súilleabháin"));
}
@Test
public final void testCompare_Forenames_SEAN_PETE_NoMatchExpected() {
    assertFalse(getMatchRatingApproachEncoder().isEncodeEquals("Sean", "Pete"));
}</t>
  </si>
  <si>
    <t>// ***** Begin Region - Test Get Encoding - Surnames
@Test
public final void testCompare_Surname_OSULLIVAN_OSUILLEABHAIN_SuccessfulMatch() {
    assertTrue(getMatchRatingApproachEncoder().isEncodeEquals("O'Sullivan", "Ó ' Súilleabháin"));
}
@Test
public final void testCompare_SurnameCornerCase_Nulls_NoMatch() {
    assertFalse(getMatchRatingApproachEncoder().isEncodeEquals(null, null));
}</t>
  </si>
  <si>
    <t>@Test
public final void testCompare_LongSurnames_MORIARTY_OMUIRCHEARTAIGH_DoesNotSuccessfulMatch() {
    assertFalse(getMatchRatingApproachEncoder().isEncodeEquals("Moriarty", "OMuircheartaigh"));
}
@Test
public final void testCompare_LongSurnames_OMUIRCHEARTAIGH_OMIREADHAIGH_SuccessfulMatch() {
    assertTrue(getMatchRatingApproachEncoder().isEncodeEquals("o'muireadhaigh", "Ó 'Muircheartaigh "));
}</t>
  </si>
  <si>
    <t>@Test
public final void testCompare_LongSurnames_MORIARTY_OMUIRCHEARTAIGH_DoesNotSuccessfulMatch() {
    assertFalse(getMatchRatingApproachEncoder().isEncodeEquals("Moriarty", "OMuircheartaigh"));
}
// **** BEGIN YIDDISH/SLAVIC SECTION ****
@Test
public final void testCompare_Surname_AUERBACH_UHRBACH_SuccessfullyMatched() {
    assertTrue(getMatchRatingApproachEncoder().isEncodeEquals("Auerbach", "Uhrbach"));
}</t>
  </si>
  <si>
    <t>@Test
public final void testCompare_LongSurnames_MORIARTY_OMUIRCHEARTAIGH_DoesNotSuccessfulMatch() {
    assertFalse(getMatchRatingApproachEncoder().isEncodeEquals("Moriarty", "OMuircheartaigh"));
}
@Test
public final void testCompare_SurnamesCornerCase_MURPHY_NoSpace_NoMatch() {
    assertFalse(getMatchRatingApproachEncoder().isEncodeEquals("Murphy", ""));
}</t>
  </si>
  <si>
    <t>@Test
public final void testCompare_LongSurnames_MORIARTY_OMUIRCHEARTAIGH_DoesNotSuccessfulMatch() {
    assertFalse(getMatchRatingApproachEncoder().isEncodeEquals("Moriarty", "OMuircheartaigh"));
}
@Test
public final void testCompare_Surname_MOSKOWITZ_MOSKOVITZ_SuccessfullyMatched() {
    assertTrue(getMatchRatingApproachEncoder().isEncodeEquals("Moskowitz", "Moskovitz"));
}</t>
  </si>
  <si>
    <t>@Test
public final void testCompare_LongSurnames_MORIARTY_OMUIRCHEARTAIGH_DoesNotSuccessfulMatch() {
    assertFalse(getMatchRatingApproachEncoder().isEncodeEquals("Moriarty", "OMuircheartaigh"));
}
@Test
public final void testCompare_Surname_LEWINSKY_LEVINSKI_SuccessfullyMatched() {
    assertTrue(getMatchRatingApproachEncoder().isEncodeEquals("LEWINSKY", "LEVINSKI"));
}</t>
  </si>
  <si>
    <t>@Test
public final void testCompare_LongSurnames_MORIARTY_OMUIRCHEARTAIGH_DoesNotSuccessfulMatch() {
    assertFalse(getMatchRatingApproachEncoder().isEncodeEquals("Moriarty", "OMuircheartaigh"));
}
@Test
public final void testCompare_Surname_HAILEY_HALLEY_SuccessfullyMatched() {
    assertTrue(getMatchRatingApproachEncoder().isEncodeEquals("Hailey", "Halley"));
}</t>
  </si>
  <si>
    <t>@Test
public final void testCompare_LongSurnames_MORIARTY_OMUIRCHEARTAIGH_DoesNotSuccessfulMatch() {
    assertFalse(getMatchRatingApproachEncoder().isEncodeEquals("Moriarty", "OMuircheartaigh"));
}
@Test
public final void testCompare_Surname_PRZEMYSL_PSHEMESHIL_SuccessfullyMatched() {
    assertTrue(getMatchRatingApproachEncoder().isEncodeEquals(" P rz e m y s l", " P sh e m e sh i l"));
}</t>
  </si>
  <si>
    <t>@Test
public final void testCompare_LongSurnames_MORIARTY_OMUIRCHEARTAIGH_DoesNotSuccessfulMatch() {
    assertFalse(getMatchRatingApproachEncoder().isEncodeEquals("Moriarty", "OMuircheartaigh"));
}
@Test
public final void testCompare_SurnamesCornerCase_MURPHY_Space_NoMatch() {
    assertFalse(getMatchRatingApproachEncoder().isEncodeEquals("Murphy", " "));
}</t>
  </si>
  <si>
    <t>@Test
public final void testCompare_LongSurnames_MORIARTY_OMUIRCHEARTAIGH_DoesNotSuccessfulMatch() {
    assertFalse(getMatchRatingApproachEncoder().isEncodeEquals("Moriarty", "OMuircheartaigh"));
}
@Test
public final void testCompare_Surname_COOPERFLYNN_SUPERLYN_SuccessfullyMatched() {
    assertTrue(getMatchRatingApproachEncoder().isEncodeEquals("Cooper-Flynn", "Super-Lyn"));
}</t>
  </si>
  <si>
    <t>@Test
public final void testCompare_LongSurnames_MORIARTY_OMUIRCHEARTAIGH_DoesNotSuccessfulMatch() {
    assertFalse(getMatchRatingApproachEncoder().isEncodeEquals("Moriarty", "OMuircheartaigh"));
}
@Test
public final void testCompare_Surnames_MURPHY_LYNCH_NoMatchExpected() {
    assertFalse(getMatchRatingApproachEncoder().isEncodeEquals("Murphy", "Lynch"));
}</t>
  </si>
  <si>
    <t>@Test
public final void testCompare_LongSurnames_MORIARTY_OMUIRCHEARTAIGH_DoesNotSuccessfulMatch() {
    assertFalse(getMatchRatingApproachEncoder().isEncodeEquals("Moriarty", "OMuircheartaigh"));
}
@Test
public final void testCompare_Surname_SZLAMAWICZ_SHLAMOVITZ_SuccessfullyMatched() {
    assertTrue(getMatchRatingApproachEncoder().isEncodeEquals("SZLAMAWICZ", "SHLAMOVITZ"));
}</t>
  </si>
  <si>
    <t>@Test
public final void testCompare_LongSurnames_MORIARTY_OMUIRCHEARTAIGH_DoesNotSuccessfulMatch() {
    assertFalse(getMatchRatingApproachEncoder().isEncodeEquals("Moriarty", "OMuircheartaigh"));
}
@Test
public final void testCompare_Surname_ROSOCHOWACIEC_ROSOKHOVATSETS_SuccessfullyMatched() {
    assertTrue(getMatchRatingApproachEncoder().isEncodeEquals("R o s o ch o w a c ie c", " R o s o k ho v a ts e ts"));
}</t>
  </si>
  <si>
    <t>@Test
public final void testCompare_LongSurnames_MORIARTY_OMUIRCHEARTAIGH_DoesNotSuccessfulMatch() {
    assertFalse(getMatchRatingApproachEncoder().isEncodeEquals("Moriarty", "OMuircheartaigh"));
}
@Test
public final void testCompare_Surname_LIPSHITZ_LIPPSZYC_SuccessfullyMatched() {
    assertTrue(getMatchRatingApproachEncoder().isEncodeEquals("LIPSHITZ", "LIPPSZYC"));
}</t>
  </si>
  <si>
    <t>@Test
public final void testCompare_LongSurnames_MORIARTY_OMUIRCHEARTAIGH_DoesNotSuccessfulMatch() {
    assertFalse(getMatchRatingApproachEncoder().isEncodeEquals("Moriarty", "OMuircheartaigh"));
}
@Test
public final void testCompare_Forenames_SEAN_PETE_NoMatchExpected() {
    assertFalse(getMatchRatingApproachEncoder().isEncodeEquals("Sean", "Pete"));
}</t>
  </si>
  <si>
    <t>@Test
public final void testCompare_LongSurnames_MORIARTY_OMUIRCHEARTAIGH_DoesNotSuccessfulMatch() {
    assertFalse(getMatchRatingApproachEncoder().isEncodeEquals("Moriarty", "OMuircheartaigh"));
}
@Test
public final void testCompare_MCGOWAN_MCGEOGHEGAN_SuccessfullyMatched() {
    assertTrue(getMatchRatingApproachEncoder().isEncodeEquals("McGowan", "Mc Geoghegan"));
}</t>
  </si>
  <si>
    <t>@Test
public final void testCompare_LongSurnames_MORIARTY_OMUIRCHEARTAIGH_DoesNotSuccessfulMatch() {
    assertFalse(getMatchRatingApproachEncoder().isEncodeEquals("Moriarty", "OMuircheartaigh"));
}
// **** END YIDDISH/SLAVIC SECTION ****
@Test
public final void testCompare_PETERSON_PETERS_SuccessfullyMatched() {
    assertTrue(getMatchRatingApproachEncoder().isEncodeEquals("Peterson", "Peters"));
}</t>
  </si>
  <si>
    <t>@Test
public final void testCompare_LongSurnames_MORIARTY_OMUIRCHEARTAIGH_DoesNotSuccessfulMatch() {
    assertFalse(getMatchRatingApproachEncoder().isEncodeEquals("Moriarty", "OMuircheartaigh"));
}
@Test
public final void testCompare_Forenames_SEAN_JOHN_MatchExpected() {
    assertTrue(getMatchRatingApproachEncoder().isEncodeEquals("Sean", "John"));
}</t>
  </si>
  <si>
    <t>@Test
public final void testCompare_LongSurnames_MORIARTY_OMUIRCHEARTAIGH_DoesNotSuccessfulMatch() {
    assertFalse(getMatchRatingApproachEncoder().isEncodeEquals("Moriarty", "OMuircheartaigh"));
}
@Test
public final void testCompare_SurnameCornerCase_Nulls_NoMatch() {
    assertFalse(getMatchRatingApproachEncoder().isEncodeEquals(null, null));
}</t>
  </si>
  <si>
    <t>@Test
public final void testCompare_LongSurnames_OMUIRCHEARTAIGH_OMIREADHAIGH_SuccessfulMatch() {
    assertTrue(getMatchRatingApproachEncoder().isEncodeEquals("o'muireadhaigh", "Ó 'Muircheartaigh "));
}
// **** BEGIN YIDDISH/SLAVIC SECTION ****
@Test
public final void testCompare_Surname_AUERBACH_UHRBACH_SuccessfullyMatched() {
    assertTrue(getMatchRatingApproachEncoder().isEncodeEquals("Auerbach", "Uhrbach"));
}</t>
  </si>
  <si>
    <t>@Test
public final void testCompare_LongSurnames_OMUIRCHEARTAIGH_OMIREADHAIGH_SuccessfulMatch() {
    assertTrue(getMatchRatingApproachEncoder().isEncodeEquals("o'muireadhaigh", "Ó 'Muircheartaigh "));
}
@Test
public final void testCompare_Surname_PRZEMYSL_PSHEMESHIL_SuccessfullyMatched() {
    assertTrue(getMatchRatingApproachEncoder().isEncodeEquals(" P rz e m y s l", " P sh e m e sh i l"));
}</t>
  </si>
  <si>
    <t>@Test
public final void testCompare_LongSurnames_OMUIRCHEARTAIGH_OMIREADHAIGH_SuccessfulMatch() {
    assertTrue(getMatchRatingApproachEncoder().isEncodeEquals("o'muireadhaigh", "Ó 'Muircheartaigh "));
}
@Test
public final void testCompare_Surname_MOSKOWITZ_MOSKOVITZ_SuccessfullyMatched() {
    assertTrue(getMatchRatingApproachEncoder().isEncodeEquals("Moskowitz", "Moskovitz"));
}</t>
  </si>
  <si>
    <t>@Test
public final void testCompare_LongSurnames_OMUIRCHEARTAIGH_OMIREADHAIGH_SuccessfulMatch() {
    assertTrue(getMatchRatingApproachEncoder().isEncodeEquals("o'muireadhaigh", "Ó 'Muircheartaigh "));
}
@Test
public final void testCompare_Surname_HAILEY_HALLEY_SuccessfullyMatched() {
    assertTrue(getMatchRatingApproachEncoder().isEncodeEquals("Hailey", "Halley"));
}</t>
  </si>
  <si>
    <t>@Test
public final void testCompare_LongSurnames_OMUIRCHEARTAIGH_OMIREADHAIGH_SuccessfulMatch() {
    assertTrue(getMatchRatingApproachEncoder().isEncodeEquals("o'muireadhaigh", "Ó 'Muircheartaigh "));
}
@Test
public final void testCompare_Surname_SZLAMAWICZ_SHLAMOVITZ_SuccessfullyMatched() {
    assertTrue(getMatchRatingApproachEncoder().isEncodeEquals("SZLAMAWICZ", "SHLAMOVITZ"));
}</t>
  </si>
  <si>
    <t>@Test
public final void testCompare_LongSurnames_OMUIRCHEARTAIGH_OMIREADHAIGH_SuccessfulMatch() {
    assertTrue(getMatchRatingApproachEncoder().isEncodeEquals("o'muireadhaigh", "Ó 'Muircheartaigh "));
}
@Test
public final void testCompare_Surname_LIPSHITZ_LIPPSZYC_SuccessfullyMatched() {
    assertTrue(getMatchRatingApproachEncoder().isEncodeEquals("LIPSHITZ", "LIPPSZYC"));
}</t>
  </si>
  <si>
    <t>@Test
public final void testCompare_LongSurnames_OMUIRCHEARTAIGH_OMIREADHAIGH_SuccessfulMatch() {
    assertTrue(getMatchRatingApproachEncoder().isEncodeEquals("o'muireadhaigh", "Ó 'Muircheartaigh "));
}
@Test
public final void testCompare_Surname_COOPERFLYNN_SUPERLYN_SuccessfullyMatched() {
    assertTrue(getMatchRatingApproachEncoder().isEncodeEquals("Cooper-Flynn", "Super-Lyn"));
}</t>
  </si>
  <si>
    <t>@Test
public final void testCompare_LongSurnames_OMUIRCHEARTAIGH_OMIREADHAIGH_SuccessfulMatch() {
    assertTrue(getMatchRatingApproachEncoder().isEncodeEquals("o'muireadhaigh", "Ó 'Muircheartaigh "));
}
@Test
public final void testCompare_Surname_LEWINSKY_LEVINSKI_SuccessfullyMatched() {
    assertTrue(getMatchRatingApproachEncoder().isEncodeEquals("LEWINSKY", "LEVINSKI"));
}</t>
  </si>
  <si>
    <t>@Test
public final void testCompare_LongSurnames_OMUIRCHEARTAIGH_OMIREADHAIGH_SuccessfulMatch() {
    assertTrue(getMatchRatingApproachEncoder().isEncodeEquals("o'muireadhaigh", "Ó 'Muircheartaigh "));
}
@Test
public final void testCompare_Surname_ROSOCHOWACIEC_ROSOKHOVATSETS_SuccessfullyMatched() {
    assertTrue(getMatchRatingApproachEncoder().isEncodeEquals("R o s o ch o w a c ie c", " R o s o k ho v a ts e ts"));
}</t>
  </si>
  <si>
    <t>@Test
public final void testCompare_LongSurnames_OMUIRCHEARTAIGH_OMIREADHAIGH_SuccessfulMatch() {
    assertTrue(getMatchRatingApproachEncoder().isEncodeEquals("o'muireadhaigh", "Ó 'Muircheartaigh "));
}
@Test
public final void testCompare_MCGOWAN_MCGEOGHEGAN_SuccessfullyMatched() {
    assertTrue(getMatchRatingApproachEncoder().isEncodeEquals("McGowan", "Mc Geoghegan"));
}</t>
  </si>
  <si>
    <t>@Test
public final void testCompare_LongSurnames_OMUIRCHEARTAIGH_OMIREADHAIGH_SuccessfulMatch() {
    assertTrue(getMatchRatingApproachEncoder().isEncodeEquals("o'muireadhaigh", "Ó 'Muircheartaigh "));
}
@Test
public final void testCompare_SurnamesCornerCase_MURPHY_Space_NoMatch() {
    assertFalse(getMatchRatingApproachEncoder().isEncodeEquals("Murphy", " "));
}</t>
  </si>
  <si>
    <t>@Test
public final void testCompare_LongSurnames_OMUIRCHEARTAIGH_OMIREADHAIGH_SuccessfulMatch() {
    assertTrue(getMatchRatingApproachEncoder().isEncodeEquals("o'muireadhaigh", "Ó 'Muircheartaigh "));
}
@Test
public final void testCompare_SurnamesCornerCase_MURPHY_NoSpace_NoMatch() {
    assertFalse(getMatchRatingApproachEncoder().isEncodeEquals("Murphy", ""));
}</t>
  </si>
  <si>
    <t>@Test
public final void testCompare_LongSurnames_OMUIRCHEARTAIGH_OMIREADHAIGH_SuccessfulMatch() {
    assertTrue(getMatchRatingApproachEncoder().isEncodeEquals("o'muireadhaigh", "Ó 'Muircheartaigh "));
}
// **** END YIDDISH/SLAVIC SECTION ****
@Test
public final void testCompare_PETERSON_PETERS_SuccessfullyMatched() {
    assertTrue(getMatchRatingApproachEncoder().isEncodeEquals("Peterson", "Peters"));
}</t>
  </si>
  <si>
    <t>@Test
public final void testCompare_LongSurnames_OMUIRCHEARTAIGH_OMIREADHAIGH_SuccessfulMatch() {
    assertTrue(getMatchRatingApproachEncoder().isEncodeEquals("o'muireadhaigh", "Ó 'Muircheartaigh "));
}
@Test
public final void testCompare_Forenames_SEAN_JOHN_MatchExpected() {
    assertTrue(getMatchRatingApproachEncoder().isEncodeEquals("Sean", "John"));
}</t>
  </si>
  <si>
    <t>@Test
public final void testCompare_LongSurnames_OMUIRCHEARTAIGH_OMIREADHAIGH_SuccessfulMatch() {
    assertTrue(getMatchRatingApproachEncoder().isEncodeEquals("o'muireadhaigh", "Ó 'Muircheartaigh "));
}
@Test
public final void testCompare_Surnames_MURPHY_LYNCH_NoMatchExpected() {
    assertFalse(getMatchRatingApproachEncoder().isEncodeEquals("Murphy", "Lynch"));
}</t>
  </si>
  <si>
    <t>@Test
public final void testCompare_LongSurnames_OMUIRCHEARTAIGH_OMIREADHAIGH_SuccessfulMatch() {
    assertTrue(getMatchRatingApproachEncoder().isEncodeEquals("o'muireadhaigh", "Ó 'Muircheartaigh "));
}
@Test
public final void testCompare_Forenames_SEAN_PETE_NoMatchExpected() {
    assertFalse(getMatchRatingApproachEncoder().isEncodeEquals("Sean", "Pete"));
}</t>
  </si>
  <si>
    <t>@Test
public final void testCompare_LongSurnames_OMUIRCHEARTAIGH_OMIREADHAIGH_SuccessfulMatch() {
    assertTrue(getMatchRatingApproachEncoder().isEncodeEquals("o'muireadhaigh", "Ó 'Muircheartaigh "));
}
@Test
public final void testCompare_SurnameCornerCase_Nulls_NoMatch() {
    assertFalse(getMatchRatingApproachEncoder().isEncodeEquals(null, null));
}</t>
  </si>
  <si>
    <t>@Test
public final void testCompare_Surname_COOPERFLYNN_SUPERLYN_SuccessfullyMatched() {
    assertTrue(getMatchRatingApproachEncoder().isEncodeEquals("Cooper-Flynn", "Super-Lyn"));
}
// **** BEGIN YIDDISH/SLAVIC SECTION ****
@Test
public final void testCompare_Surname_AUERBACH_UHRBACH_SuccessfullyMatched() {
    assertTrue(getMatchRatingApproachEncoder().isEncodeEquals("Auerbach", "Uhrbach"));
}</t>
  </si>
  <si>
    <t>@Test
public final void testCompare_Surname_COOPERFLYNN_SUPERLYN_SuccessfullyMatched() {
    assertTrue(getMatchRatingApproachEncoder().isEncodeEquals("Cooper-Flynn", "Super-Lyn"));
}
@Test
public final void testCompare_Surname_HAILEY_HALLEY_SuccessfullyMatched() {
    assertTrue(getMatchRatingApproachEncoder().isEncodeEquals("Hailey", "Halley"));
}</t>
  </si>
  <si>
    <t>@Test
public final void testCompare_Surname_COOPERFLYNN_SUPERLYN_SuccessfullyMatched() {
    assertTrue(getMatchRatingApproachEncoder().isEncodeEquals("Cooper-Flynn", "Super-Lyn"));
}
@Test
public final void testCompare_Surname_LIPSHITZ_LIPPSZYC_SuccessfullyMatched() {
    assertTrue(getMatchRatingApproachEncoder().isEncodeEquals("LIPSHITZ", "LIPPSZYC"));
}</t>
  </si>
  <si>
    <t>@Test
public final void testCompare_Surname_COOPERFLYNN_SUPERLYN_SuccessfullyMatched() {
    assertTrue(getMatchRatingApproachEncoder().isEncodeEquals("Cooper-Flynn", "Super-Lyn"));
}
@Test
public final void testCompare_Surname_PRZEMYSL_PSHEMESHIL_SuccessfullyMatched() {
    assertTrue(getMatchRatingApproachEncoder().isEncodeEquals(" P rz e m y s l", " P sh e m e sh i l"));
}</t>
  </si>
  <si>
    <t>@Test
public final void testCompare_Surname_COOPERFLYNN_SUPERLYN_SuccessfullyMatched() {
    assertTrue(getMatchRatingApproachEncoder().isEncodeEquals("Cooper-Flynn", "Super-Lyn"));
}
@Test
public final void testCompare_Surname_MOSKOWITZ_MOSKOVITZ_SuccessfullyMatched() {
    assertTrue(getMatchRatingApproachEncoder().isEncodeEquals("Moskowitz", "Moskovitz"));
}</t>
  </si>
  <si>
    <t>@Test
public final void testCompare_Surname_COOPERFLYNN_SUPERLYN_SuccessfullyMatched() {
    assertTrue(getMatchRatingApproachEncoder().isEncodeEquals("Cooper-Flynn", "Super-Lyn"));
}
@Test
public final void testCompare_Surname_LEWINSKY_LEVINSKI_SuccessfullyMatched() {
    assertTrue(getMatchRatingApproachEncoder().isEncodeEquals("LEWINSKY", "LEVINSKI"));
}</t>
  </si>
  <si>
    <t>@Test
public final void testCompare_Surname_COOPERFLYNN_SUPERLYN_SuccessfullyMatched() {
    assertTrue(getMatchRatingApproachEncoder().isEncodeEquals("Cooper-Flynn", "Super-Lyn"));
}
@Test
public final void testCompare_Surname_SZLAMAWICZ_SHLAMOVITZ_SuccessfullyMatched() {
    assertTrue(getMatchRatingApproachEncoder().isEncodeEquals("SZLAMAWICZ", "SHLAMOVITZ"));
}</t>
  </si>
  <si>
    <t>@Test
public final void testCompare_Surname_COOPERFLYNN_SUPERLYN_SuccessfullyMatched() {
    assertTrue(getMatchRatingApproachEncoder().isEncodeEquals("Cooper-Flynn", "Super-Lyn"));
}
// **** END YIDDISH/SLAVIC SECTION ****
@Test
public final void testCompare_PETERSON_PETERS_SuccessfullyMatched() {
    assertTrue(getMatchRatingApproachEncoder().isEncodeEquals("Peterson", "Peters"));
}</t>
  </si>
  <si>
    <t>@Test
public final void testCompare_Surname_COOPERFLYNN_SUPERLYN_SuccessfullyMatched() {
    assertTrue(getMatchRatingApproachEncoder().isEncodeEquals("Cooper-Flynn", "Super-Lyn"));
}
@Test
public final void testCompare_Surname_ROSOCHOWACIEC_ROSOKHOVATSETS_SuccessfullyMatched() {
    assertTrue(getMatchRatingApproachEncoder().isEncodeEquals("R o s o ch o w a c ie c", " R o s o k ho v a ts e ts"));
}</t>
  </si>
  <si>
    <t>@Test
public final void testCompare_Surname_COOPERFLYNN_SUPERLYN_SuccessfullyMatched() {
    assertTrue(getMatchRatingApproachEncoder().isEncodeEquals("Cooper-Flynn", "Super-Lyn"));
}
@Test
public final void testCompare_MCGOWAN_MCGEOGHEGAN_SuccessfullyMatched() {
    assertTrue(getMatchRatingApproachEncoder().isEncodeEquals("McGowan", "Mc Geoghegan"));
}</t>
  </si>
  <si>
    <t>@Test
public final void testCompare_Surname_COOPERFLYNN_SUPERLYN_SuccessfullyMatched() {
    assertTrue(getMatchRatingApproachEncoder().isEncodeEquals("Cooper-Flynn", "Super-Lyn"));
}
@Test
public final void testCompare_SurnamesCornerCase_MURPHY_Space_NoMatch() {
    assertFalse(getMatchRatingApproachEncoder().isEncodeEquals("Murphy", " "));
}</t>
  </si>
  <si>
    <t>@Test
public final void testCompare_Surname_COOPERFLYNN_SUPERLYN_SuccessfullyMatched() {
    assertTrue(getMatchRatingApproachEncoder().isEncodeEquals("Cooper-Flynn", "Super-Lyn"));
}
@Test
public final void testCompare_SurnamesCornerCase_MURPHY_NoSpace_NoMatch() {
    assertFalse(getMatchRatingApproachEncoder().isEncodeEquals("Murphy", ""));
}</t>
  </si>
  <si>
    <t>@Test
public final void testCompare_Surname_COOPERFLYNN_SUPERLYN_SuccessfullyMatched() {
    assertTrue(getMatchRatingApproachEncoder().isEncodeEquals("Cooper-Flynn", "Super-Lyn"));
}
@Test
public final void testCompare_Forenames_SEAN_JOHN_MatchExpected() {
    assertTrue(getMatchRatingApproachEncoder().isEncodeEquals("Sean", "John"));
}</t>
  </si>
  <si>
    <t>@Test
public final void testCompare_Surname_COOPERFLYNN_SUPERLYN_SuccessfullyMatched() {
    assertTrue(getMatchRatingApproachEncoder().isEncodeEquals("Cooper-Flynn", "Super-Lyn"));
}
@Test
public final void testCompare_Surnames_MURPHY_LYNCH_NoMatchExpected() {
    assertFalse(getMatchRatingApproachEncoder().isEncodeEquals("Murphy", "Lynch"));
}</t>
  </si>
  <si>
    <t>@Test
public final void testCompare_Surname_COOPERFLYNN_SUPERLYN_SuccessfullyMatched() {
    assertTrue(getMatchRatingApproachEncoder().isEncodeEquals("Cooper-Flynn", "Super-Lyn"));
}
@Test
public final void testCompare_Forenames_SEAN_PETE_NoMatchExpected() {
    assertFalse(getMatchRatingApproachEncoder().isEncodeEquals("Sean", "Pete"));
}</t>
  </si>
  <si>
    <t>@Test
public final void testCompare_Surname_COOPERFLYNN_SUPERLYN_SuccessfullyMatched() {
    assertTrue(getMatchRatingApproachEncoder().isEncodeEquals("Cooper-Flynn", "Super-Lyn"));
}
@Test
public final void testCompare_SurnameCornerCase_Nulls_NoMatch() {
    assertFalse(getMatchRatingApproachEncoder().isEncodeEquals(null, null));
}</t>
  </si>
  <si>
    <t>@Test
public final void testCompare_Surname_HAILEY_HALLEY_SuccessfullyMatched() {
    assertTrue(getMatchRatingApproachEncoder().isEncodeEquals("Hailey", "Halley"));
}
@Test
public final void testCompare_Surname_LEWINSKY_LEVINSKI_SuccessfullyMatched() {
    assertTrue(getMatchRatingApproachEncoder().isEncodeEquals("LEWINSKY", "LEVINSKI"));
}</t>
  </si>
  <si>
    <t>@Test
public final void testCompare_Surname_HAILEY_HALLEY_SuccessfullyMatched() {
    assertTrue(getMatchRatingApproachEncoder().isEncodeEquals("Hailey", "Halley"));
}
// **** BEGIN YIDDISH/SLAVIC SECTION ****
@Test
public final void testCompare_Surname_AUERBACH_UHRBACH_SuccessfullyMatched() {
    assertTrue(getMatchRatingApproachEncoder().isEncodeEquals("Auerbach", "Uhrbach"));
}</t>
  </si>
  <si>
    <t>@Test
public final void testCompare_Surname_HAILEY_HALLEY_SuccessfullyMatched() {
    assertTrue(getMatchRatingApproachEncoder().isEncodeEquals("Hailey", "Halley"));
}
@Test
public final void testCompare_Surname_LIPSHITZ_LIPPSZYC_SuccessfullyMatched() {
    assertTrue(getMatchRatingApproachEncoder().isEncodeEquals("LIPSHITZ", "LIPPSZYC"));
}</t>
  </si>
  <si>
    <t>@Test
public final void testCompare_Surname_HAILEY_HALLEY_SuccessfullyMatched() {
    assertTrue(getMatchRatingApproachEncoder().isEncodeEquals("Hailey", "Halley"));
}
@Test
public final void testCompare_Surname_PRZEMYSL_PSHEMESHIL_SuccessfullyMatched() {
    assertTrue(getMatchRatingApproachEncoder().isEncodeEquals(" P rz e m y s l", " P sh e m e sh i l"));
}</t>
  </si>
  <si>
    <t>@Test
public final void testCompare_Surname_HAILEY_HALLEY_SuccessfullyMatched() {
    assertTrue(getMatchRatingApproachEncoder().isEncodeEquals("Hailey", "Halley"));
}
@Test
public final void testCompare_Surname_SZLAMAWICZ_SHLAMOVITZ_SuccessfullyMatched() {
    assertTrue(getMatchRatingApproachEncoder().isEncodeEquals("SZLAMAWICZ", "SHLAMOVITZ"));
}</t>
  </si>
  <si>
    <t>@Test
public final void testCompare_Surname_HAILEY_HALLEY_SuccessfullyMatched() {
    assertTrue(getMatchRatingApproachEncoder().isEncodeEquals("Hailey", "Halley"));
}
@Test
public final void testCompare_Surname_MOSKOWITZ_MOSKOVITZ_SuccessfullyMatched() {
    assertTrue(getMatchRatingApproachEncoder().isEncodeEquals("Moskowitz", "Moskovitz"));
}</t>
  </si>
  <si>
    <t>@Test
public final void testCompare_Surname_HAILEY_HALLEY_SuccessfullyMatched() {
    assertTrue(getMatchRatingApproachEncoder().isEncodeEquals("Hailey", "Halley"));
}
@Test
public final void testCompare_MCGOWAN_MCGEOGHEGAN_SuccessfullyMatched() {
    assertTrue(getMatchRatingApproachEncoder().isEncodeEquals("McGowan", "Mc Geoghegan"));
}</t>
  </si>
  <si>
    <t>@Test
public final void testCompare_Surname_HAILEY_HALLEY_SuccessfullyMatched() {
    assertTrue(getMatchRatingApproachEncoder().isEncodeEquals("Hailey", "Halley"));
}
@Test
public final void testCompare_Surname_ROSOCHOWACIEC_ROSOKHOVATSETS_SuccessfullyMatched() {
    assertTrue(getMatchRatingApproachEncoder().isEncodeEquals("R o s o ch o w a c ie c", " R o s o k ho v a ts e ts"));
}</t>
  </si>
  <si>
    <t>@Test
public final void testCompare_Surname_HAILEY_HALLEY_SuccessfullyMatched() {
    assertTrue(getMatchRatingApproachEncoder().isEncodeEquals("Hailey", "Halley"));
}
// **** END YIDDISH/SLAVIC SECTION ****
@Test
public final void testCompare_PETERSON_PETERS_SuccessfullyMatched() {
    assertTrue(getMatchRatingApproachEncoder().isEncodeEquals("Peterson", "Peters"));
}</t>
  </si>
  <si>
    <t>@Test
public final void testCompare_Surname_HAILEY_HALLEY_SuccessfullyMatched() {
    assertTrue(getMatchRatingApproachEncoder().isEncodeEquals("Hailey", "Halley"));
}
@Test
public final void testCompare_Forenames_SEAN_JOHN_MatchExpected() {
    assertTrue(getMatchRatingApproachEncoder().isEncodeEquals("Sean", "John"));
}</t>
  </si>
  <si>
    <t>@Test
public final void testCompare_Surname_HAILEY_HALLEY_SuccessfullyMatched() {
    assertTrue(getMatchRatingApproachEncoder().isEncodeEquals("Hailey", "Halley"));
}
@Test
public final void testCompare_Surnames_MURPHY_LYNCH_NoMatchExpected() {
    assertFalse(getMatchRatingApproachEncoder().isEncodeEquals("Murphy", "Lynch"));
}</t>
  </si>
  <si>
    <t>@Test
public final void testCompare_Surname_HAILEY_HALLEY_SuccessfullyMatched() {
    assertTrue(getMatchRatingApproachEncoder().isEncodeEquals("Hailey", "Halley"));
}
@Test
public final void testCompare_SurnamesCornerCase_MURPHY_Space_NoMatch() {
    assertFalse(getMatchRatingApproachEncoder().isEncodeEquals("Murphy", " "));
}</t>
  </si>
  <si>
    <t>@Test
public final void testCompare_Surname_HAILEY_HALLEY_SuccessfullyMatched() {
    assertTrue(getMatchRatingApproachEncoder().isEncodeEquals("Hailey", "Halley"));
}
@Test
public final void testCompare_SurnamesCornerCase_MURPHY_NoSpace_NoMatch() {
    assertFalse(getMatchRatingApproachEncoder().isEncodeEquals("Murphy", ""));
}</t>
  </si>
  <si>
    <t>@Test
public final void testCompare_Surname_HAILEY_HALLEY_SuccessfullyMatched() {
    assertTrue(getMatchRatingApproachEncoder().isEncodeEquals("Hailey", "Halley"));
}
@Test
public final void testCompare_Forenames_SEAN_PETE_NoMatchExpected() {
    assertFalse(getMatchRatingApproachEncoder().isEncodeEquals("Sean", "Pete"));
}</t>
  </si>
  <si>
    <t>@Test
public final void testCompare_Surname_HAILEY_HALLEY_SuccessfullyMatched() {
    assertTrue(getMatchRatingApproachEncoder().isEncodeEquals("Hailey", "Halley"));
}
@Test
public final void testCompare_SurnameCornerCase_Nulls_NoMatch() {
    assertFalse(getMatchRatingApproachEncoder().isEncodeEquals(null, null));
}</t>
  </si>
  <si>
    <t>// **** BEGIN YIDDISH/SLAVIC SECTION ****
@Test
public final void testCompare_Surname_AUERBACH_UHRBACH_SuccessfullyMatched() {
    assertTrue(getMatchRatingApproachEncoder().isEncodeEquals("Auerbach", "Uhrbach"));
}
@Test
public final void testCompare_Surname_PRZEMYSL_PSHEMESHIL_SuccessfullyMatched() {
    assertTrue(getMatchRatingApproachEncoder().isEncodeEquals(" P rz e m y s l", " P sh e m e sh i l"));
}</t>
  </si>
  <si>
    <t>// **** BEGIN YIDDISH/SLAVIC SECTION ****
@Test
public final void testCompare_Surname_AUERBACH_UHRBACH_SuccessfullyMatched() {
    assertTrue(getMatchRatingApproachEncoder().isEncodeEquals("Auerbach", "Uhrbach"));
}
@Test
public final void testCompare_Surname_LEWINSKY_LEVINSKI_SuccessfullyMatched() {
    assertTrue(getMatchRatingApproachEncoder().isEncodeEquals("LEWINSKY", "LEVINSKI"));
}</t>
  </si>
  <si>
    <t>// **** BEGIN YIDDISH/SLAVIC SECTION ****
@Test
public final void testCompare_Surname_AUERBACH_UHRBACH_SuccessfullyMatched() {
    assertTrue(getMatchRatingApproachEncoder().isEncodeEquals("Auerbach", "Uhrbach"));
}
@Test
public final void testCompare_Surname_LIPSHITZ_LIPPSZYC_SuccessfullyMatched() {
    assertTrue(getMatchRatingApproachEncoder().isEncodeEquals("LIPSHITZ", "LIPPSZYC"));
}</t>
  </si>
  <si>
    <t>// **** BEGIN YIDDISH/SLAVIC SECTION ****
@Test
public final void testCompare_Surname_AUERBACH_UHRBACH_SuccessfullyMatched() {
    assertTrue(getMatchRatingApproachEncoder().isEncodeEquals("Auerbach", "Uhrbach"));
}
@Test
public final void testCompare_Surname_SZLAMAWICZ_SHLAMOVITZ_SuccessfullyMatched() {
    assertTrue(getMatchRatingApproachEncoder().isEncodeEquals("SZLAMAWICZ", "SHLAMOVITZ"));
}</t>
  </si>
  <si>
    <t>// **** BEGIN YIDDISH/SLAVIC SECTION ****
@Test
public final void testCompare_Surname_AUERBACH_UHRBACH_SuccessfullyMatched() {
    assertTrue(getMatchRatingApproachEncoder().isEncodeEquals("Auerbach", "Uhrbach"));
}
@Test
public final void testCompare_Surname_MOSKOWITZ_MOSKOVITZ_SuccessfullyMatched() {
    assertTrue(getMatchRatingApproachEncoder().isEncodeEquals("Moskowitz", "Moskovitz"));
}</t>
  </si>
  <si>
    <t>// **** BEGIN YIDDISH/SLAVIC SECTION ****
@Test
public final void testCompare_Surname_AUERBACH_UHRBACH_SuccessfullyMatched() {
    assertTrue(getMatchRatingApproachEncoder().isEncodeEquals("Auerbach", "Uhrbach"));
}
@Test
public final void testCompare_MCGOWAN_MCGEOGHEGAN_SuccessfullyMatched() {
    assertTrue(getMatchRatingApproachEncoder().isEncodeEquals("McGowan", "Mc Geoghegan"));
}</t>
  </si>
  <si>
    <t>// **** BEGIN YIDDISH/SLAVIC SECTION ****
@Test
public final void testCompare_Surname_AUERBACH_UHRBACH_SuccessfullyMatched() {
    assertTrue(getMatchRatingApproachEncoder().isEncodeEquals("Auerbach", "Uhrbach"));
}
// **** END YIDDISH/SLAVIC SECTION ****
@Test
public final void testCompare_PETERSON_PETERS_SuccessfullyMatched() {
    assertTrue(getMatchRatingApproachEncoder().isEncodeEquals("Peterson", "Peters"));
}</t>
  </si>
  <si>
    <t>// **** BEGIN YIDDISH/SLAVIC SECTION ****
@Test
public final void testCompare_Surname_AUERBACH_UHRBACH_SuccessfullyMatched() {
    assertTrue(getMatchRatingApproachEncoder().isEncodeEquals("Auerbach", "Uhrbach"));
}
@Test
public final void testCompare_Surname_ROSOCHOWACIEC_ROSOKHOVATSETS_SuccessfullyMatched() {
    assertTrue(getMatchRatingApproachEncoder().isEncodeEquals("R o s o ch o w a c ie c", " R o s o k ho v a ts e ts"));
}</t>
  </si>
  <si>
    <t>// **** BEGIN YIDDISH/SLAVIC SECTION ****
@Test
public final void testCompare_Surname_AUERBACH_UHRBACH_SuccessfullyMatched() {
    assertTrue(getMatchRatingApproachEncoder().isEncodeEquals("Auerbach", "Uhrbach"));
}
@Test
public final void testCompare_SurnamesCornerCase_MURPHY_Space_NoMatch() {
    assertFalse(getMatchRatingApproachEncoder().isEncodeEquals("Murphy", " "));
}</t>
  </si>
  <si>
    <t>// **** BEGIN YIDDISH/SLAVIC SECTION ****
@Test
public final void testCompare_Surname_AUERBACH_UHRBACH_SuccessfullyMatched() {
    assertTrue(getMatchRatingApproachEncoder().isEncodeEquals("Auerbach", "Uhrbach"));
}
@Test
public final void testCompare_Forenames_SEAN_JOHN_MatchExpected() {
    assertTrue(getMatchRatingApproachEncoder().isEncodeEquals("Sean", "John"));
}</t>
  </si>
  <si>
    <t>// **** BEGIN YIDDISH/SLAVIC SECTION ****
@Test
public final void testCompare_Surname_AUERBACH_UHRBACH_SuccessfullyMatched() {
    assertTrue(getMatchRatingApproachEncoder().isEncodeEquals("Auerbach", "Uhrbach"));
}
@Test
public final void testCompare_Surnames_MURPHY_LYNCH_NoMatchExpected() {
    assertFalse(getMatchRatingApproachEncoder().isEncodeEquals("Murphy", "Lynch"));
}</t>
  </si>
  <si>
    <t>// **** BEGIN YIDDISH/SLAVIC SECTION ****
@Test
public final void testCompare_Surname_AUERBACH_UHRBACH_SuccessfullyMatched() {
    assertTrue(getMatchRatingApproachEncoder().isEncodeEquals("Auerbach", "Uhrbach"));
}
@Test
public final void testCompare_SurnamesCornerCase_MURPHY_NoSpace_NoMatch() {
    assertFalse(getMatchRatingApproachEncoder().isEncodeEquals("Murphy", ""));
}</t>
  </si>
  <si>
    <t>// **** BEGIN YIDDISH/SLAVIC SECTION ****
@Test
public final void testCompare_Surname_AUERBACH_UHRBACH_SuccessfullyMatched() {
    assertTrue(getMatchRatingApproachEncoder().isEncodeEquals("Auerbach", "Uhrbach"));
}
@Test
public final void testCompare_Forenames_SEAN_PETE_NoMatchExpected() {
    assertFalse(getMatchRatingApproachEncoder().isEncodeEquals("Sean", "Pete"));
}</t>
  </si>
  <si>
    <t>// **** BEGIN YIDDISH/SLAVIC SECTION ****
@Test
public final void testCompare_Surname_AUERBACH_UHRBACH_SuccessfullyMatched() {
    assertTrue(getMatchRatingApproachEncoder().isEncodeEquals("Auerbach", "Uhrbach"));
}
@Test
public final void testCompare_SurnameCornerCase_Nulls_NoMatch() {
    assertFalse(getMatchRatingApproachEncoder().isEncodeEquals(null, null));
}</t>
  </si>
  <si>
    <t>@Test
public final void testCompare_Surname_MOSKOWITZ_MOSKOVITZ_SuccessfullyMatched() {
    assertTrue(getMatchRatingApproachEncoder().isEncodeEquals("Moskowitz", "Moskovitz"));
}
@Test
public final void testCompare_Surname_SZLAMAWICZ_SHLAMOVITZ_SuccessfullyMatched() {
    assertTrue(getMatchRatingApproachEncoder().isEncodeEquals("SZLAMAWICZ", "SHLAMOVITZ"));
}</t>
  </si>
  <si>
    <t>@Test
public final void testCompare_Surname_MOSKOWITZ_MOSKOVITZ_SuccessfullyMatched() {
    assertTrue(getMatchRatingApproachEncoder().isEncodeEquals("Moskowitz", "Moskovitz"));
}
@Test
public final void testCompare_Surname_LIPSHITZ_LIPPSZYC_SuccessfullyMatched() {
    assertTrue(getMatchRatingApproachEncoder().isEncodeEquals("LIPSHITZ", "LIPPSZYC"));
}</t>
  </si>
  <si>
    <t>@Test
public final void testCompare_Surname_MOSKOWITZ_MOSKOVITZ_SuccessfullyMatched() {
    assertTrue(getMatchRatingApproachEncoder().isEncodeEquals("Moskowitz", "Moskovitz"));
}
@Test
public final void testCompare_Surname_ROSOCHOWACIEC_ROSOKHOVATSETS_SuccessfullyMatched() {
    assertTrue(getMatchRatingApproachEncoder().isEncodeEquals("R o s o ch o w a c ie c", " R o s o k ho v a ts e ts"));
}</t>
  </si>
  <si>
    <t>@Test
public final void testCompare_Surname_MOSKOWITZ_MOSKOVITZ_SuccessfullyMatched() {
    assertTrue(getMatchRatingApproachEncoder().isEncodeEquals("Moskowitz", "Moskovitz"));
}
@Test
public final void testCompare_Surname_LEWINSKY_LEVINSKI_SuccessfullyMatched() {
    assertTrue(getMatchRatingApproachEncoder().isEncodeEquals("LEWINSKY", "LEVINSKI"));
}</t>
  </si>
  <si>
    <t>@Test
public final void testCompare_Surname_MOSKOWITZ_MOSKOVITZ_SuccessfullyMatched() {
    assertTrue(getMatchRatingApproachEncoder().isEncodeEquals("Moskowitz", "Moskovitz"));
}
@Test
public final void testCompare_Surname_PRZEMYSL_PSHEMESHIL_SuccessfullyMatched() {
    assertTrue(getMatchRatingApproachEncoder().isEncodeEquals(" P rz e m y s l", " P sh e m e sh i l"));
}</t>
  </si>
  <si>
    <t>@Test
public final void testCompare_Surname_MOSKOWITZ_MOSKOVITZ_SuccessfullyMatched() {
    assertTrue(getMatchRatingApproachEncoder().isEncodeEquals("Moskowitz", "Moskovitz"));
}
@Test
public final void testCompare_MCGOWAN_MCGEOGHEGAN_SuccessfullyMatched() {
    assertTrue(getMatchRatingApproachEncoder().isEncodeEquals("McGowan", "Mc Geoghegan"));
}</t>
  </si>
  <si>
    <t>@Test
public final void testCompare_Surname_MOSKOWITZ_MOSKOVITZ_SuccessfullyMatched() {
    assertTrue(getMatchRatingApproachEncoder().isEncodeEquals("Moskowitz", "Moskovitz"));
}
// **** END YIDDISH/SLAVIC SECTION ****
@Test
public final void testCompare_PETERSON_PETERS_SuccessfullyMatched() {
    assertTrue(getMatchRatingApproachEncoder().isEncodeEquals("Peterson", "Peters"));
}</t>
  </si>
  <si>
    <t>@Test
public final void testCompare_Surname_MOSKOWITZ_MOSKOVITZ_SuccessfullyMatched() {
    assertTrue(getMatchRatingApproachEncoder().isEncodeEquals("Moskowitz", "Moskovitz"));
}
@Test
public final void testCompare_SurnamesCornerCase_MURPHY_Space_NoMatch() {
    assertFalse(getMatchRatingApproachEncoder().isEncodeEquals("Murphy", " "));
}</t>
  </si>
  <si>
    <t>@Test
public final void testCompare_Surname_MOSKOWITZ_MOSKOVITZ_SuccessfullyMatched() {
    assertTrue(getMatchRatingApproachEncoder().isEncodeEquals("Moskowitz", "Moskovitz"));
}
@Test
public final void testCompare_Forenames_SEAN_JOHN_MatchExpected() {
    assertTrue(getMatchRatingApproachEncoder().isEncodeEquals("Sean", "John"));
}</t>
  </si>
  <si>
    <t>@Test
public final void testCompare_Surname_MOSKOWITZ_MOSKOVITZ_SuccessfullyMatched() {
    assertTrue(getMatchRatingApproachEncoder().isEncodeEquals("Moskowitz", "Moskovitz"));
}
@Test
public final void testCompare_SurnamesCornerCase_MURPHY_NoSpace_NoMatch() {
    assertFalse(getMatchRatingApproachEncoder().isEncodeEquals("Murphy", ""));
}</t>
  </si>
  <si>
    <t>@Test
public final void testCompare_Surname_MOSKOWITZ_MOSKOVITZ_SuccessfullyMatched() {
    assertTrue(getMatchRatingApproachEncoder().isEncodeEquals("Moskowitz", "Moskovitz"));
}
@Test
public final void testCompare_Surnames_MURPHY_LYNCH_NoMatchExpected() {
    assertFalse(getMatchRatingApproachEncoder().isEncodeEquals("Murphy", "Lynch"));
}</t>
  </si>
  <si>
    <t>@Test
public final void testCompare_Surname_MOSKOWITZ_MOSKOVITZ_SuccessfullyMatched() {
    assertTrue(getMatchRatingApproachEncoder().isEncodeEquals("Moskowitz", "Moskovitz"));
}
@Test
public final void testCompare_Forenames_SEAN_PETE_NoMatchExpected() {
    assertFalse(getMatchRatingApproachEncoder().isEncodeEquals("Sean", "Pete"));
}</t>
  </si>
  <si>
    <t>@Test
public final void testCompare_Surname_MOSKOWITZ_MOSKOVITZ_SuccessfullyMatched() {
    assertTrue(getMatchRatingApproachEncoder().isEncodeEquals("Moskowitz", "Moskovitz"));
}
@Test
public final void testCompare_SurnameCornerCase_Nulls_NoMatch() {
    assertFalse(getMatchRatingApproachEncoder().isEncodeEquals(null, null));
}</t>
  </si>
  <si>
    <t>@Test
public final void testCompare_Surname_LIPSHITZ_LIPPSZYC_SuccessfullyMatched() {
    assertTrue(getMatchRatingApproachEncoder().isEncodeEquals("LIPSHITZ", "LIPPSZYC"));
}
@Test
public final void testCompare_Surname_LEWINSKY_LEVINSKI_SuccessfullyMatched() {
    assertTrue(getMatchRatingApproachEncoder().isEncodeEquals("LEWINSKY", "LEVINSKI"));
}</t>
  </si>
  <si>
    <t>@Test
public final void testCompare_Surname_LIPSHITZ_LIPPSZYC_SuccessfullyMatched() {
    assertTrue(getMatchRatingApproachEncoder().isEncodeEquals("LIPSHITZ", "LIPPSZYC"));
}
@Test
public final void testCompare_Surname_SZLAMAWICZ_SHLAMOVITZ_SuccessfullyMatched() {
    assertTrue(getMatchRatingApproachEncoder().isEncodeEquals("SZLAMAWICZ", "SHLAMOVITZ"));
}</t>
  </si>
  <si>
    <t>@Test
public final void testCompare_Surname_LIPSHITZ_LIPPSZYC_SuccessfullyMatched() {
    assertTrue(getMatchRatingApproachEncoder().isEncodeEquals("LIPSHITZ", "LIPPSZYC"));
}
@Test
public final void testCompare_Surname_PRZEMYSL_PSHEMESHIL_SuccessfullyMatched() {
    assertTrue(getMatchRatingApproachEncoder().isEncodeEquals(" P rz e m y s l", " P sh e m e sh i l"));
}</t>
  </si>
  <si>
    <t>@Test
public final void testCompare_Surname_LIPSHITZ_LIPPSZYC_SuccessfullyMatched() {
    assertTrue(getMatchRatingApproachEncoder().isEncodeEquals("LIPSHITZ", "LIPPSZYC"));
}
// **** END YIDDISH/SLAVIC SECTION ****
@Test
public final void testCompare_PETERSON_PETERS_SuccessfullyMatched() {
    assertTrue(getMatchRatingApproachEncoder().isEncodeEquals("Peterson", "Peters"));
}</t>
  </si>
  <si>
    <t>@Test
public final void testCompare_Surname_LIPSHITZ_LIPPSZYC_SuccessfullyMatched() {
    assertTrue(getMatchRatingApproachEncoder().isEncodeEquals("LIPSHITZ", "LIPPSZYC"));
}
@Test
public final void testCompare_Surname_ROSOCHOWACIEC_ROSOKHOVATSETS_SuccessfullyMatched() {
    assertTrue(getMatchRatingApproachEncoder().isEncodeEquals("R o s o ch o w a c ie c", " R o s o k ho v a ts e ts"));
}</t>
  </si>
  <si>
    <t>@Test
public final void testCompare_Surname_LIPSHITZ_LIPPSZYC_SuccessfullyMatched() {
    assertTrue(getMatchRatingApproachEncoder().isEncodeEquals("LIPSHITZ", "LIPPSZYC"));
}
@Test
public final void testCompare_MCGOWAN_MCGEOGHEGAN_SuccessfullyMatched() {
    assertTrue(getMatchRatingApproachEncoder().isEncodeEquals("McGowan", "Mc Geoghegan"));
}</t>
  </si>
  <si>
    <t>@Test
public final void testCompare_Surname_LIPSHITZ_LIPPSZYC_SuccessfullyMatched() {
    assertTrue(getMatchRatingApproachEncoder().isEncodeEquals("LIPSHITZ", "LIPPSZYC"));
}
@Test
public final void testCompare_SurnamesCornerCase_MURPHY_Space_NoMatch() {
    assertFalse(getMatchRatingApproachEncoder().isEncodeEquals("Murphy", " "));
}</t>
  </si>
  <si>
    <t>@Test
public final void testCompare_Surname_LIPSHITZ_LIPPSZYC_SuccessfullyMatched() {
    assertTrue(getMatchRatingApproachEncoder().isEncodeEquals("LIPSHITZ", "LIPPSZYC"));
}
@Test
public final void testCompare_Forenames_SEAN_JOHN_MatchExpected() {
    assertTrue(getMatchRatingApproachEncoder().isEncodeEquals("Sean", "John"));
}</t>
  </si>
  <si>
    <t>@Test
public final void testCompare_Surname_LIPSHITZ_LIPPSZYC_SuccessfullyMatched() {
    assertTrue(getMatchRatingApproachEncoder().isEncodeEquals("LIPSHITZ", "LIPPSZYC"));
}
@Test
public final void testCompare_SurnamesCornerCase_MURPHY_NoSpace_NoMatch() {
    assertFalse(getMatchRatingApproachEncoder().isEncodeEquals("Murphy", ""));
}</t>
  </si>
  <si>
    <t>@Test
public final void testCompare_Surname_LIPSHITZ_LIPPSZYC_SuccessfullyMatched() {
    assertTrue(getMatchRatingApproachEncoder().isEncodeEquals("LIPSHITZ", "LIPPSZYC"));
}
@Test
public final void testCompare_Surnames_MURPHY_LYNCH_NoMatchExpected() {
    assertFalse(getMatchRatingApproachEncoder().isEncodeEquals("Murphy", "Lynch"));
}</t>
  </si>
  <si>
    <t>@Test
public final void testCompare_Surname_LIPSHITZ_LIPPSZYC_SuccessfullyMatched() {
    assertTrue(getMatchRatingApproachEncoder().isEncodeEquals("LIPSHITZ", "LIPPSZYC"));
}
@Test
public final void testCompare_Forenames_SEAN_PETE_NoMatchExpected() {
    assertFalse(getMatchRatingApproachEncoder().isEncodeEquals("Sean", "Pete"));
}</t>
  </si>
  <si>
    <t>@Test
public final void testCompare_Surname_LIPSHITZ_LIPPSZYC_SuccessfullyMatched() {
    assertTrue(getMatchRatingApproachEncoder().isEncodeEquals("LIPSHITZ", "LIPPSZYC"));
}
@Test
public final void testCompare_SurnameCornerCase_Nulls_NoMatch() {
    assertFalse(getMatchRatingApproachEncoder().isEncodeEquals(null, null));
}</t>
  </si>
  <si>
    <t>@Test
public final void testCompare_Surname_LEWINSKY_LEVINSKI_SuccessfullyMatched() {
    assertTrue(getMatchRatingApproachEncoder().isEncodeEquals("LEWINSKY", "LEVINSKI"));
}
@Test
public final void testCompare_Surname_PRZEMYSL_PSHEMESHIL_SuccessfullyMatched() {
    assertTrue(getMatchRatingApproachEncoder().isEncodeEquals(" P rz e m y s l", " P sh e m e sh i l"));
}</t>
  </si>
  <si>
    <t>@Test
public final void testCompare_Surname_LEWINSKY_LEVINSKI_SuccessfullyMatched() {
    assertTrue(getMatchRatingApproachEncoder().isEncodeEquals("LEWINSKY", "LEVINSKI"));
}
@Test
public final void testCompare_Surname_SZLAMAWICZ_SHLAMOVITZ_SuccessfullyMatched() {
    assertTrue(getMatchRatingApproachEncoder().isEncodeEquals("SZLAMAWICZ", "SHLAMOVITZ"));
}</t>
  </si>
  <si>
    <t>@Test
public final void testCompare_Surname_LEWINSKY_LEVINSKI_SuccessfullyMatched() {
    assertTrue(getMatchRatingApproachEncoder().isEncodeEquals("LEWINSKY", "LEVINSKI"));
}
// **** END YIDDISH/SLAVIC SECTION ****
@Test
public final void testCompare_PETERSON_PETERS_SuccessfullyMatched() {
    assertTrue(getMatchRatingApproachEncoder().isEncodeEquals("Peterson", "Peters"));
}</t>
  </si>
  <si>
    <t>@Test
public final void testCompare_Surname_LEWINSKY_LEVINSKI_SuccessfullyMatched() {
    assertTrue(getMatchRatingApproachEncoder().isEncodeEquals("LEWINSKY", "LEVINSKI"));
}
@Test
public final void testCompare_MCGOWAN_MCGEOGHEGAN_SuccessfullyMatched() {
    assertTrue(getMatchRatingApproachEncoder().isEncodeEquals("McGowan", "Mc Geoghegan"));
}</t>
  </si>
  <si>
    <t>@Test
public final void testCompare_Surname_LEWINSKY_LEVINSKI_SuccessfullyMatched() {
    assertTrue(getMatchRatingApproachEncoder().isEncodeEquals("LEWINSKY", "LEVINSKI"));
}
@Test
public final void testCompare_Surname_ROSOCHOWACIEC_ROSOKHOVATSETS_SuccessfullyMatched() {
    assertTrue(getMatchRatingApproachEncoder().isEncodeEquals("R o s o ch o w a c ie c", " R o s o k ho v a ts e ts"));
}</t>
  </si>
  <si>
    <t>@Test
public final void testCompare_Surname_LEWINSKY_LEVINSKI_SuccessfullyMatched() {
    assertTrue(getMatchRatingApproachEncoder().isEncodeEquals("LEWINSKY", "LEVINSKI"));
}
@Test
public final void testCompare_Forenames_SEAN_JOHN_MatchExpected() {
    assertTrue(getMatchRatingApproachEncoder().isEncodeEquals("Sean", "John"));
}</t>
  </si>
  <si>
    <t>@Test
public final void testCompare_Surname_LEWINSKY_LEVINSKI_SuccessfullyMatched() {
    assertTrue(getMatchRatingApproachEncoder().isEncodeEquals("LEWINSKY", "LEVINSKI"));
}
@Test
public final void testCompare_SurnamesCornerCase_MURPHY_Space_NoMatch() {
    assertFalse(getMatchRatingApproachEncoder().isEncodeEquals("Murphy", " "));
}</t>
  </si>
  <si>
    <t>@Test
public final void testCompare_Surname_LEWINSKY_LEVINSKI_SuccessfullyMatched() {
    assertTrue(getMatchRatingApproachEncoder().isEncodeEquals("LEWINSKY", "LEVINSKI"));
}
@Test
public final void testCompare_Surnames_MURPHY_LYNCH_NoMatchExpected() {
    assertFalse(getMatchRatingApproachEncoder().isEncodeEquals("Murphy", "Lynch"));
}</t>
  </si>
  <si>
    <t>@Test
public final void testCompare_Surname_LEWINSKY_LEVINSKI_SuccessfullyMatched() {
    assertTrue(getMatchRatingApproachEncoder().isEncodeEquals("LEWINSKY", "LEVINSKI"));
}
@Test
public final void testCompare_SurnamesCornerCase_MURPHY_NoSpace_NoMatch() {
    assertFalse(getMatchRatingApproachEncoder().isEncodeEquals("Murphy", ""));
}</t>
  </si>
  <si>
    <t>@Test
public final void testCompare_Surname_LEWINSKY_LEVINSKI_SuccessfullyMatched() {
    assertTrue(getMatchRatingApproachEncoder().isEncodeEquals("LEWINSKY", "LEVINSKI"));
}
@Test
public final void testCompare_Forenames_SEAN_PETE_NoMatchExpected() {
    assertFalse(getMatchRatingApproachEncoder().isEncodeEquals("Sean", "Pete"));
}</t>
  </si>
  <si>
    <t>@Test
public final void testCompare_Surname_LEWINSKY_LEVINSKI_SuccessfullyMatched() {
    assertTrue(getMatchRatingApproachEncoder().isEncodeEquals("LEWINSKY", "LEVINSKI"));
}
@Test
public final void testCompare_SurnameCornerCase_Nulls_NoMatch() {
    assertFalse(getMatchRatingApproachEncoder().isEncodeEquals(null, null));
}</t>
  </si>
  <si>
    <t>@Test
public final void testCompare_Surname_SZLAMAWICZ_SHLAMOVITZ_SuccessfullyMatched() {
    assertTrue(getMatchRatingApproachEncoder().isEncodeEquals("SZLAMAWICZ", "SHLAMOVITZ"));
}
@Test
public final void testCompare_Surname_PRZEMYSL_PSHEMESHIL_SuccessfullyMatched() {
    assertTrue(getMatchRatingApproachEncoder().isEncodeEquals(" P rz e m y s l", " P sh e m e sh i l"));
}</t>
  </si>
  <si>
    <t>@Test
public final void testCompare_Surname_SZLAMAWICZ_SHLAMOVITZ_SuccessfullyMatched() {
    assertTrue(getMatchRatingApproachEncoder().isEncodeEquals("SZLAMAWICZ", "SHLAMOVITZ"));
}
@Test
public final void testCompare_Surname_ROSOCHOWACIEC_ROSOKHOVATSETS_SuccessfullyMatched() {
    assertTrue(getMatchRatingApproachEncoder().isEncodeEquals("R o s o ch o w a c ie c", " R o s o k ho v a ts e ts"));
}</t>
  </si>
  <si>
    <t>@Test
public final void testCompare_Surname_SZLAMAWICZ_SHLAMOVITZ_SuccessfullyMatched() {
    assertTrue(getMatchRatingApproachEncoder().isEncodeEquals("SZLAMAWICZ", "SHLAMOVITZ"));
}
@Test
public final void testCompare_MCGOWAN_MCGEOGHEGAN_SuccessfullyMatched() {
    assertTrue(getMatchRatingApproachEncoder().isEncodeEquals("McGowan", "Mc Geoghegan"));
}</t>
  </si>
  <si>
    <t>@Test
public final void testCompare_Surname_SZLAMAWICZ_SHLAMOVITZ_SuccessfullyMatched() {
    assertTrue(getMatchRatingApproachEncoder().isEncodeEquals("SZLAMAWICZ", "SHLAMOVITZ"));
}
// **** END YIDDISH/SLAVIC SECTION ****
@Test
public final void testCompare_PETERSON_PETERS_SuccessfullyMatched() {
    assertTrue(getMatchRatingApproachEncoder().isEncodeEquals("Peterson", "Peters"));
}</t>
  </si>
  <si>
    <t>@Test
public final void testCompare_Surname_SZLAMAWICZ_SHLAMOVITZ_SuccessfullyMatched() {
    assertTrue(getMatchRatingApproachEncoder().isEncodeEquals("SZLAMAWICZ", "SHLAMOVITZ"));
}
@Test
public final void testCompare_SurnamesCornerCase_MURPHY_Space_NoMatch() {
    assertFalse(getMatchRatingApproachEncoder().isEncodeEquals("Murphy", " "));
}</t>
  </si>
  <si>
    <t>@Test
public final void testCompare_Surname_SZLAMAWICZ_SHLAMOVITZ_SuccessfullyMatched() {
    assertTrue(getMatchRatingApproachEncoder().isEncodeEquals("SZLAMAWICZ", "SHLAMOVITZ"));
}
@Test
public final void testCompare_Forenames_SEAN_JOHN_MatchExpected() {
    assertTrue(getMatchRatingApproachEncoder().isEncodeEquals("Sean", "John"));
}</t>
  </si>
  <si>
    <t>@Test
public final void testCompare_Surname_SZLAMAWICZ_SHLAMOVITZ_SuccessfullyMatched() {
    assertTrue(getMatchRatingApproachEncoder().isEncodeEquals("SZLAMAWICZ", "SHLAMOVITZ"));
}
@Test
public final void testCompare_SurnamesCornerCase_MURPHY_NoSpace_NoMatch() {
    assertFalse(getMatchRatingApproachEncoder().isEncodeEquals("Murphy", ""));
}</t>
  </si>
  <si>
    <t>@Test
public final void testCompare_Surname_SZLAMAWICZ_SHLAMOVITZ_SuccessfullyMatched() {
    assertTrue(getMatchRatingApproachEncoder().isEncodeEquals("SZLAMAWICZ", "SHLAMOVITZ"));
}
@Test
public final void testCompare_Surnames_MURPHY_LYNCH_NoMatchExpected() {
    assertFalse(getMatchRatingApproachEncoder().isEncodeEquals("Murphy", "Lynch"));
}</t>
  </si>
  <si>
    <t>@Test
public final void testCompare_Surname_SZLAMAWICZ_SHLAMOVITZ_SuccessfullyMatched() {
    assertTrue(getMatchRatingApproachEncoder().isEncodeEquals("SZLAMAWICZ", "SHLAMOVITZ"));
}
@Test
public final void testCompare_Forenames_SEAN_PETE_NoMatchExpected() {
    assertFalse(getMatchRatingApproachEncoder().isEncodeEquals("Sean", "Pete"));
}</t>
  </si>
  <si>
    <t>@Test
public final void testCompare_Surname_SZLAMAWICZ_SHLAMOVITZ_SuccessfullyMatched() {
    assertTrue(getMatchRatingApproachEncoder().isEncodeEquals("SZLAMAWICZ", "SHLAMOVITZ"));
}
@Test
public final void testCompare_SurnameCornerCase_Nulls_NoMatch() {
    assertFalse(getMatchRatingApproachEncoder().isEncodeEquals(null, null));
}</t>
  </si>
  <si>
    <t>@Test
public final void testCompare_Surname_ROSOCHOWACIEC_ROSOKHOVATSETS_SuccessfullyMatched() {
    assertTrue(getMatchRatingApproachEncoder().isEncodeEquals("R o s o ch o w a c ie c", " R o s o k ho v a ts e ts"));
}
@Test
public final void testCompare_Surname_PRZEMYSL_PSHEMESHIL_SuccessfullyMatched() {
    assertTrue(getMatchRatingApproachEncoder().isEncodeEquals(" P rz e m y s l", " P sh e m e sh i l"));
}</t>
  </si>
  <si>
    <t>@Test
public final void testCompare_Surname_ROSOCHOWACIEC_ROSOKHOVATSETS_SuccessfullyMatched() {
    assertTrue(getMatchRatingApproachEncoder().isEncodeEquals("R o s o ch o w a c ie c", " R o s o k ho v a ts e ts"));
}
@Test
public final void testCompare_MCGOWAN_MCGEOGHEGAN_SuccessfullyMatched() {
    assertTrue(getMatchRatingApproachEncoder().isEncodeEquals("McGowan", "Mc Geoghegan"));
}</t>
  </si>
  <si>
    <t>@Test
public final void testCompare_Surname_ROSOCHOWACIEC_ROSOKHOVATSETS_SuccessfullyMatched() {
    assertTrue(getMatchRatingApproachEncoder().isEncodeEquals("R o s o ch o w a c ie c", " R o s o k ho v a ts e ts"));
}
// **** END YIDDISH/SLAVIC SECTION ****
@Test
public final void testCompare_PETERSON_PETERS_SuccessfullyMatched() {
    assertTrue(getMatchRatingApproachEncoder().isEncodeEquals("Peterson", "Peters"));
}</t>
  </si>
  <si>
    <t>@Test
public final void testCompare_Surname_ROSOCHOWACIEC_ROSOKHOVATSETS_SuccessfullyMatched() {
    assertTrue(getMatchRatingApproachEncoder().isEncodeEquals("R o s o ch o w a c ie c", " R o s o k ho v a ts e ts"));
}
@Test
public final void testCompare_SurnamesCornerCase_MURPHY_Space_NoMatch() {
    assertFalse(getMatchRatingApproachEncoder().isEncodeEquals("Murphy", " "));
}</t>
  </si>
  <si>
    <t>@Test
public final void testCompare_Surname_ROSOCHOWACIEC_ROSOKHOVATSETS_SuccessfullyMatched() {
    assertTrue(getMatchRatingApproachEncoder().isEncodeEquals("R o s o ch o w a c ie c", " R o s o k ho v a ts e ts"));
}
@Test
public final void testCompare_Forenames_SEAN_JOHN_MatchExpected() {
    assertTrue(getMatchRatingApproachEncoder().isEncodeEquals("Sean", "John"));
}</t>
  </si>
  <si>
    <t>@Test
public final void testCompare_Surname_ROSOCHOWACIEC_ROSOKHOVATSETS_SuccessfullyMatched() {
    assertTrue(getMatchRatingApproachEncoder().isEncodeEquals("R o s o ch o w a c ie c", " R o s o k ho v a ts e ts"));
}
@Test
public final void testCompare_SurnamesCornerCase_MURPHY_NoSpace_NoMatch() {
    assertFalse(getMatchRatingApproachEncoder().isEncodeEquals("Murphy", ""));
}</t>
  </si>
  <si>
    <t>@Test
public final void testCompare_Surname_ROSOCHOWACIEC_ROSOKHOVATSETS_SuccessfullyMatched() {
    assertTrue(getMatchRatingApproachEncoder().isEncodeEquals("R o s o ch o w a c ie c", " R o s o k ho v a ts e ts"));
}
@Test
public final void testCompare_Surnames_MURPHY_LYNCH_NoMatchExpected() {
    assertFalse(getMatchRatingApproachEncoder().isEncodeEquals("Murphy", "Lynch"));
}</t>
  </si>
  <si>
    <t>@Test
public final void testCompare_Surname_ROSOCHOWACIEC_ROSOKHOVATSETS_SuccessfullyMatched() {
    assertTrue(getMatchRatingApproachEncoder().isEncodeEquals("R o s o ch o w a c ie c", " R o s o k ho v a ts e ts"));
}
@Test
public final void testCompare_Forenames_SEAN_PETE_NoMatchExpected() {
    assertFalse(getMatchRatingApproachEncoder().isEncodeEquals("Sean", "Pete"));
}</t>
  </si>
  <si>
    <t>@Test
public final void testCompare_Surname_ROSOCHOWACIEC_ROSOKHOVATSETS_SuccessfullyMatched() {
    assertTrue(getMatchRatingApproachEncoder().isEncodeEquals("R o s o ch o w a c ie c", " R o s o k ho v a ts e ts"));
}
@Test
public final void testCompare_SurnameCornerCase_Nulls_NoMatch() {
    assertFalse(getMatchRatingApproachEncoder().isEncodeEquals(null, null));
}</t>
  </si>
  <si>
    <t>@Test
public final void testCompare_Surname_PRZEMYSL_PSHEMESHIL_SuccessfullyMatched() {
    assertTrue(getMatchRatingApproachEncoder().isEncodeEquals(" P rz e m y s l", " P sh e m e sh i l"));
}
// **** END YIDDISH/SLAVIC SECTION ****
@Test
public final void testCompare_PETERSON_PETERS_SuccessfullyMatched() {
    assertTrue(getMatchRatingApproachEncoder().isEncodeEquals("Peterson", "Peters"));
}</t>
  </si>
  <si>
    <t>@Test
public final void testCompare_Surname_PRZEMYSL_PSHEMESHIL_SuccessfullyMatched() {
    assertTrue(getMatchRatingApproachEncoder().isEncodeEquals(" P rz e m y s l", " P sh e m e sh i l"));
}
@Test
public final void testCompare_MCGOWAN_MCGEOGHEGAN_SuccessfullyMatched() {
    assertTrue(getMatchRatingApproachEncoder().isEncodeEquals("McGowan", "Mc Geoghegan"));
}</t>
  </si>
  <si>
    <t>@Test
public final void testCompare_Surname_PRZEMYSL_PSHEMESHIL_SuccessfullyMatched() {
    assertTrue(getMatchRatingApproachEncoder().isEncodeEquals(" P rz e m y s l", " P sh e m e sh i l"));
}
@Test
public final void testCompare_SurnamesCornerCase_MURPHY_Space_NoMatch() {
    assertFalse(getMatchRatingApproachEncoder().isEncodeEquals("Murphy", " "));
}</t>
  </si>
  <si>
    <t>@Test
public final void testCompare_Surname_PRZEMYSL_PSHEMESHIL_SuccessfullyMatched() {
    assertTrue(getMatchRatingApproachEncoder().isEncodeEquals(" P rz e m y s l", " P sh e m e sh i l"));
}
@Test
public final void testCompare_Forenames_SEAN_JOHN_MatchExpected() {
    assertTrue(getMatchRatingApproachEncoder().isEncodeEquals("Sean", "John"));
}</t>
  </si>
  <si>
    <t>@Test
public final void testCompare_Surname_PRZEMYSL_PSHEMESHIL_SuccessfullyMatched() {
    assertTrue(getMatchRatingApproachEncoder().isEncodeEquals(" P rz e m y s l", " P sh e m e sh i l"));
}
@Test
public final void testCompare_SurnamesCornerCase_MURPHY_NoSpace_NoMatch() {
    assertFalse(getMatchRatingApproachEncoder().isEncodeEquals("Murphy", ""));
}</t>
  </si>
  <si>
    <t>@Test
public final void testCompare_Surname_PRZEMYSL_PSHEMESHIL_SuccessfullyMatched() {
    assertTrue(getMatchRatingApproachEncoder().isEncodeEquals(" P rz e m y s l", " P sh e m e sh i l"));
}
@Test
public final void testCompare_Surnames_MURPHY_LYNCH_NoMatchExpected() {
    assertFalse(getMatchRatingApproachEncoder().isEncodeEquals("Murphy", "Lynch"));
}</t>
  </si>
  <si>
    <t>@Test
public final void testCompare_Surname_PRZEMYSL_PSHEMESHIL_SuccessfullyMatched() {
    assertTrue(getMatchRatingApproachEncoder().isEncodeEquals(" P rz e m y s l", " P sh e m e sh i l"));
}
@Test
public final void testCompare_Forenames_SEAN_PETE_NoMatchExpected() {
    assertFalse(getMatchRatingApproachEncoder().isEncodeEquals("Sean", "Pete"));
}</t>
  </si>
  <si>
    <t>@Test
public final void testCompare_Surname_PRZEMYSL_PSHEMESHIL_SuccessfullyMatched() {
    assertTrue(getMatchRatingApproachEncoder().isEncodeEquals(" P rz e m y s l", " P sh e m e sh i l"));
}
@Test
public final void testCompare_SurnameCornerCase_Nulls_NoMatch() {
    assertFalse(getMatchRatingApproachEncoder().isEncodeEquals(null, null));
}</t>
  </si>
  <si>
    <t>// **** END YIDDISH/SLAVIC SECTION ****
@Test
public final void testCompare_PETERSON_PETERS_SuccessfullyMatched() {
    assertTrue(getMatchRatingApproachEncoder().isEncodeEquals("Peterson", "Peters"));
}
@Test
public final void testCompare_MCGOWAN_MCGEOGHEGAN_SuccessfullyMatched() {
    assertTrue(getMatchRatingApproachEncoder().isEncodeEquals("McGowan", "Mc Geoghegan"));
}</t>
  </si>
  <si>
    <t>// **** END YIDDISH/SLAVIC SECTION ****
@Test
public final void testCompare_PETERSON_PETERS_SuccessfullyMatched() {
    assertTrue(getMatchRatingApproachEncoder().isEncodeEquals("Peterson", "Peters"));
}
@Test
public final void testCompare_Forenames_SEAN_JOHN_MatchExpected() {
    assertTrue(getMatchRatingApproachEncoder().isEncodeEquals("Sean", "John"));
}</t>
  </si>
  <si>
    <t>// **** END YIDDISH/SLAVIC SECTION ****
@Test
public final void testCompare_PETERSON_PETERS_SuccessfullyMatched() {
    assertTrue(getMatchRatingApproachEncoder().isEncodeEquals("Peterson", "Peters"));
}
@Test
public final void testCompare_Forenames_SEAN_PETE_NoMatchExpected() {
    assertFalse(getMatchRatingApproachEncoder().isEncodeEquals("Sean", "Pete"));
}</t>
  </si>
  <si>
    <t>// **** END YIDDISH/SLAVIC SECTION ****
@Test
public final void testCompare_PETERSON_PETERS_SuccessfullyMatched() {
    assertTrue(getMatchRatingApproachEncoder().isEncodeEquals("Peterson", "Peters"));
}
@Test
public final void testCompare_Surnames_MURPHY_LYNCH_NoMatchExpected() {
    assertFalse(getMatchRatingApproachEncoder().isEncodeEquals("Murphy", "Lynch"));
}</t>
  </si>
  <si>
    <t>// **** END YIDDISH/SLAVIC SECTION ****
@Test
public final void testCompare_PETERSON_PETERS_SuccessfullyMatched() {
    assertTrue(getMatchRatingApproachEncoder().isEncodeEquals("Peterson", "Peters"));
}
@Test
public final void testCompare_SurnamesCornerCase_MURPHY_Space_NoMatch() {
    assertFalse(getMatchRatingApproachEncoder().isEncodeEquals("Murphy", " "));
}</t>
  </si>
  <si>
    <t>// **** END YIDDISH/SLAVIC SECTION ****
@Test
public final void testCompare_PETERSON_PETERS_SuccessfullyMatched() {
    assertTrue(getMatchRatingApproachEncoder().isEncodeEquals("Peterson", "Peters"));
}
@Test
public final void testCompare_SurnamesCornerCase_MURPHY_NoSpace_NoMatch() {
    assertFalse(getMatchRatingApproachEncoder().isEncodeEquals("Murphy", ""));
}</t>
  </si>
  <si>
    <t>// **** END YIDDISH/SLAVIC SECTION ****
@Test
public final void testCompare_PETERSON_PETERS_SuccessfullyMatched() {
    assertTrue(getMatchRatingApproachEncoder().isEncodeEquals("Peterson", "Peters"));
}
@Test
public final void testCompare_SurnameCornerCase_Nulls_NoMatch() {
    assertFalse(getMatchRatingApproachEncoder().isEncodeEquals(null, null));
}</t>
  </si>
  <si>
    <t>@Test
public final void testCompare_MCGOWAN_MCGEOGHEGAN_SuccessfullyMatched() {
    assertTrue(getMatchRatingApproachEncoder().isEncodeEquals("McGowan", "Mc Geoghegan"));
}
@Test
public final void testCompare_Forenames_SEAN_JOHN_MatchExpected() {
    assertTrue(getMatchRatingApproachEncoder().isEncodeEquals("Sean", "John"));
}</t>
  </si>
  <si>
    <t>@Test
public final void testCompare_MCGOWAN_MCGEOGHEGAN_SuccessfullyMatched() {
    assertTrue(getMatchRatingApproachEncoder().isEncodeEquals("McGowan", "Mc Geoghegan"));
}
@Test
public final void testCompare_Forenames_SEAN_PETE_NoMatchExpected() {
    assertFalse(getMatchRatingApproachEncoder().isEncodeEquals("Sean", "Pete"));
}</t>
  </si>
  <si>
    <t>@Test
public final void testCompare_MCGOWAN_MCGEOGHEGAN_SuccessfullyMatched() {
    assertTrue(getMatchRatingApproachEncoder().isEncodeEquals("McGowan", "Mc Geoghegan"));
}
@Test
public final void testCompare_Surnames_MURPHY_LYNCH_NoMatchExpected() {
    assertFalse(getMatchRatingApproachEncoder().isEncodeEquals("Murphy", "Lynch"));
}</t>
  </si>
  <si>
    <t>@Test
public final void testCompare_MCGOWAN_MCGEOGHEGAN_SuccessfullyMatched() {
    assertTrue(getMatchRatingApproachEncoder().isEncodeEquals("McGowan", "Mc Geoghegan"));
}
@Test
public final void testCompare_SurnamesCornerCase_MURPHY_Space_NoMatch() {
    assertFalse(getMatchRatingApproachEncoder().isEncodeEquals("Murphy", " "));
}</t>
  </si>
  <si>
    <t>@Test
public final void testCompare_MCGOWAN_MCGEOGHEGAN_SuccessfullyMatched() {
    assertTrue(getMatchRatingApproachEncoder().isEncodeEquals("McGowan", "Mc Geoghegan"));
}
@Test
public final void testCompare_SurnamesCornerCase_MURPHY_NoSpace_NoMatch() {
    assertFalse(getMatchRatingApproachEncoder().isEncodeEquals("Murphy", ""));
}</t>
  </si>
  <si>
    <t>@Test
public final void testCompare_MCGOWAN_MCGEOGHEGAN_SuccessfullyMatched() {
    assertTrue(getMatchRatingApproachEncoder().isEncodeEquals("McGowan", "Mc Geoghegan"));
}
@Test
public final void testCompare_SurnameCornerCase_Nulls_NoMatch() {
    assertFalse(getMatchRatingApproachEncoder().isEncodeEquals(null, null));
}</t>
  </si>
  <si>
    <t>@Test
public final void testCompare_SurnamesCornerCase_MURPHY_Space_NoMatch() {
    assertFalse(getMatchRatingApproachEncoder().isEncodeEquals("Murphy", " "));
}
@Test
public final void testCompare_SurnamesCornerCase_MURPHY_NoSpace_NoMatch() {
    assertFalse(getMatchRatingApproachEncoder().isEncodeEquals("Murphy", ""));
}</t>
  </si>
  <si>
    <t>@Test
public final void testCompare_SurnamesCornerCase_MURPHY_Space_NoMatch() {
    assertFalse(getMatchRatingApproachEncoder().isEncodeEquals("Murphy", " "));
}
@Test
public final void testCompare_SurnameCornerCase_Nulls_NoMatch() {
    assertFalse(getMatchRatingApproachEncoder().isEncodeEquals(null, null));
}</t>
  </si>
  <si>
    <t>@Test
public final void testCompare_SurnamesCornerCase_MURPHY_Space_NoMatch() {
    assertFalse(getMatchRatingApproachEncoder().isEncodeEquals("Murphy", " "));
}
@Test
public final void testCompare_Surnames_MURPHY_LYNCH_NoMatchExpected() {
    assertFalse(getMatchRatingApproachEncoder().isEncodeEquals("Murphy", "Lynch"));
}</t>
  </si>
  <si>
    <t>@Test
public final void testCompare_SurnamesCornerCase_MURPHY_Space_NoMatch() {
    assertFalse(getMatchRatingApproachEncoder().isEncodeEquals("Murphy", " "));
}
@Test
public final void testCompare_Forenames_SEAN_PETE_NoMatchExpected() {
    assertFalse(getMatchRatingApproachEncoder().isEncodeEquals("Sean", "Pete"));
}</t>
  </si>
  <si>
    <t>@Test
public final void testCompare_SurnamesCornerCase_MURPHY_Space_NoMatch() {
    assertFalse(getMatchRatingApproachEncoder().isEncodeEquals("Murphy", " "));
}
@Test
public final void testCompare_Forenames_SEAN_JOHN_MatchExpected() {
    assertTrue(getMatchRatingApproachEncoder().isEncodeEquals("Sean", "John"));
}</t>
  </si>
  <si>
    <t>@Test
public final void testCompare_SurnamesCornerCase_MURPHY_NoSpace_NoMatch() {
    assertFalse(getMatchRatingApproachEncoder().isEncodeEquals("Murphy", ""));
}
@Test
public final void testCompare_SurnameCornerCase_Nulls_NoMatch() {
    assertFalse(getMatchRatingApproachEncoder().isEncodeEquals(null, null));
}</t>
  </si>
  <si>
    <t>@Test
public final void testCompare_SurnamesCornerCase_MURPHY_NoSpace_NoMatch() {
    assertFalse(getMatchRatingApproachEncoder().isEncodeEquals("Murphy", ""));
}
@Test
public final void testCompare_Surnames_MURPHY_LYNCH_NoMatchExpected() {
    assertFalse(getMatchRatingApproachEncoder().isEncodeEquals("Murphy", "Lynch"));
}</t>
  </si>
  <si>
    <t>@Test
public final void testCompare_SurnamesCornerCase_MURPHY_NoSpace_NoMatch() {
    assertFalse(getMatchRatingApproachEncoder().isEncodeEquals("Murphy", ""));
}
@Test
public final void testCompare_Forenames_SEAN_PETE_NoMatchExpected() {
    assertFalse(getMatchRatingApproachEncoder().isEncodeEquals("Sean", "Pete"));
}</t>
  </si>
  <si>
    <t>@Test
public final void testCompare_SurnamesCornerCase_MURPHY_NoSpace_NoMatch() {
    assertFalse(getMatchRatingApproachEncoder().isEncodeEquals("Murphy", ""));
}
@Test
public final void testCompare_Forenames_SEAN_JOHN_MatchExpected() {
    assertTrue(getMatchRatingApproachEncoder().isEncodeEquals("Sean", "John"));
}</t>
  </si>
  <si>
    <t>@Test
public final void testCompare_SurnameCornerCase_Nulls_NoMatch() {
    assertFalse(getMatchRatingApproachEncoder().isEncodeEquals(null, null));
}
@Test
public final void testCompare_Surnames_MURPHY_LYNCH_NoMatchExpected() {
    assertFalse(getMatchRatingApproachEncoder().isEncodeEquals("Murphy", "Lynch"));
}</t>
  </si>
  <si>
    <t>@Test
public final void testCompare_SurnameCornerCase_Nulls_NoMatch() {
    assertFalse(getMatchRatingApproachEncoder().isEncodeEquals(null, null));
}
@Test
public final void testCompare_Forenames_SEAN_PETE_NoMatchExpected() {
    assertFalse(getMatchRatingApproachEncoder().isEncodeEquals("Sean", "Pete"));
}</t>
  </si>
  <si>
    <t>@Test
public final void testCompare_SurnameCornerCase_Nulls_NoMatch() {
    assertFalse(getMatchRatingApproachEncoder().isEncodeEquals(null, null));
}
@Test
public final void testCompare_Forenames_SEAN_JOHN_MatchExpected() {
    assertTrue(getMatchRatingApproachEncoder().isEncodeEquals("Sean", "John"));
}</t>
  </si>
  <si>
    <t>@Test
public final void testCompare_Surnames_MURPHY_LYNCH_NoMatchExpected() {
    assertFalse(getMatchRatingApproachEncoder().isEncodeEquals("Murphy", "Lynch"));
}
@Test
public final void testCompare_Forenames_SEAN_PETE_NoMatchExpected() {
    assertFalse(getMatchRatingApproachEncoder().isEncodeEquals("Sean", "Pete"));
}</t>
  </si>
  <si>
    <t>@Test
public final void testCompare_Surnames_MURPHY_LYNCH_NoMatchExpected() {
    assertFalse(getMatchRatingApproachEncoder().isEncodeEquals("Murphy", "Lynch"));
}
@Test
public final void testCompare_Forenames_SEAN_JOHN_MatchExpected() {
    assertTrue(getMatchRatingApproachEncoder().isEncodeEquals("Sean", "John"));
}</t>
  </si>
  <si>
    <t>@Test
public final void testCompare_Forenames_SEAN_JOHN_MatchExpected() {
    assertTrue(getMatchRatingApproachEncoder().isEncodeEquals("Sean", "John"));
}
@Test
public final void testCompare_Forenames_SEAN_PETE_NoMatchExpected() {
    assertFalse(getMatchRatingApproachEncoder().isEncodeEquals("Sean", "Pete"));
}</t>
  </si>
  <si>
    <t>testCompareNameNullSpace_ReturnsFalseSuccessfully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</si>
  <si>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</si>
  <si>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</si>
  <si>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testCompareNameSameNames_ReturnsFalseSuccessfully</t>
  </si>
  <si>
    <t>[[testAccentRemoval_NullValue_ReturnNullSuccessfully], [testCompareNameNullSpace_ReturnsFalseSuccessfully, testCompareNameSameNames_ReturnsFalseSuccessfully]]</t>
  </si>
  <si>
    <t>@Test
public final void testGetMinRating_1_Returns5_Successfully() {
    assertEquals(5, this.getStringEncoder().getMinRating(1));
}
@Test
public final void testGetMinRating_13_Returns_1_Successfully() {
    assertEquals(1, this.getStringEncoder().getMinRating(13));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</si>
  <si>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</si>
  <si>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@Test
public final void testGetMinRating_1_Returns5_Successfully() {
    assertEquals(5, this.getStringEncoder().getMinRating(1));
}
@Test
public final void testgetMinRating_10_Returns3_Successfully() {
    assertEquals(3, this.getStringEncoder().getMinRating(10));
}</t>
  </si>
  <si>
    <t>@Test
public final void testGetMinRating_1_Returns5_Successfully() {
    assertEquals(5, this.getStringEncoder().getMinRating(1));
}
@Test
public final void testgetMinRating_7_Returns4_Successfully() {
    assertEquals(4, this.getStringEncoder().getMinRating(7));
}</t>
  </si>
  <si>
    <t>@Test
public final void testGetMinRating_1_Returns5_Successfully() {
    assertEquals(5, this.getStringEncoder().getMinRating(1));
}
@Test
public final void testgetMinRating_5_Returns4_Successfully() {
    assertEquals(4, this.getStringEncoder().getMinRating(5));
}</t>
  </si>
  <si>
    <t>@Test
public final void testGetMinRating_1_Returns5_Successfully() {
    assertEquals(5, this.getStringEncoder().getMinRating(1));
}
@Test
public final void testgetMinRating_8_Returns3_Successfully() {
    assertEquals(3, this.getStringEncoder().getMinRating(8));
}</t>
  </si>
  <si>
    <t>@Test
public final void testGetMinRating_1_Returns5_Successfully() {
    assertEquals(5, this.getStringEncoder().getMinRating(1));
}
@Test
public final void testgetMinRating_6_Returns4_Successfully() {
    assertEquals(4, this.getStringEncoder().getMinRating(6));
}</t>
  </si>
  <si>
    <t>@Test
public final void testGetMinRating_1_Returns5_Successfully() {
    assertEquals(5, this.getStringEncoder().getMinRating(1));
}
@Test
public final void testgetMinRating_11_Returns_3_Successfully() {
    assertEquals(3, this.getStringEncoder().getMinRating(11));
}</t>
  </si>
  <si>
    <t>@Test
public final void testGetMinRating_1_Returns5_Successfully() {
    assertEquals(5, this.getStringEncoder().getMinRating(1));
}
@Test
public final void testgetMinRating_5_Returns4_Successfully2() {
    assertEquals(4, this.getStringEncoder().getMinRating(5));
}</t>
  </si>
  <si>
    <t>@Test
public final void testgetMinRating_5_Returns4_Successfully() {
    assertEquals(4, this.getStringEncoder().getMinRating(5));
}
@Test
public final void testgetMinRating_5_Returns4_Successfully2() {
    assertEquals(4, this.getStringEncoder().getMinRating(5));
}</t>
  </si>
  <si>
    <t>@Test
public final void testgetMinRating_5_Returns4_Successfully() {
    assertEquals(4, this.getStringEncoder().getMinRating(5));
}
@Test
public final void testgetMinRating_7_Returns4_Successfully() {
    assertEquals(4, this.getStringEncoder().getMinRating(7));
}</t>
  </si>
  <si>
    <t>@Test
public final void testgetMinRating_5_Returns4_Successfully() {
    assertEquals(4, this.getStringEncoder().getMinRating(5));
}
@Test
public final void testgetMinRating_6_Returns4_Successfully() {
    assertEquals(4, this.getStringEncoder().getMinRating(6));
}</t>
  </si>
  <si>
    <t>@Test
public final void testgetMinRating_5_Returns4_Successfully() {
    assertEquals(4, this.getStringEncoder().getMinRating(5));
}
@Test
public final void testgetMinRating_8_Returns3_Successfully() {
    assertEquals(3, this.getStringEncoder().getMinRating(8));
}</t>
  </si>
  <si>
    <t>@Test
public final void testgetMinRating_5_Returns4_Successfully() {
    assertEquals(4, this.getStringEncoder().getMinRating(5));
}
@Test
public final void testgetMinRating_10_Returns3_Successfully() {
    assertEquals(3, this.getStringEncoder().getMinRating(10));
}</t>
  </si>
  <si>
    <t>@Test
public final void testgetMinRating_5_Returns4_Successfully() {
    assertEquals(4, this.getStringEncoder().getMinRating(5));
}
@Test
public final void testgetMinRating_11_Returns_3_Successfully() {
    assertEquals(3, this.getStringEncoder().getMinRating(11));
}</t>
  </si>
  <si>
    <t>@Test
public final void testgetMinRating_5_Returns4_Successfully() {
    assertEquals(4, this.getStringEncoder().getMinRating(5));
}
@Test
public final void testGetMinRating_13_Returns_1_Successfully() {
    assertEquals(1, this.getStringEncoder().getMinRating(13));
}</t>
  </si>
  <si>
    <t>@Test
public final void testgetMinRating_5_Returns4_Successfully2() {
    assertEquals(4, this.getStringEncoder().getMinRating(5));
}
@Test
public final void testgetMinRating_7_Returns4_Successfully() {
    assertEquals(4, this.getStringEncoder().getMinRating(7));
}</t>
  </si>
  <si>
    <t>@Test
public final void testgetMinRating_5_Returns4_Successfully2() {
    assertEquals(4, this.getStringEncoder().getMinRating(5));
}
@Test
public final void testgetMinRating_6_Returns4_Successfully() {
    assertEquals(4, this.getStringEncoder().getMinRating(6));
}</t>
  </si>
  <si>
    <t>@Test
public final void testgetMinRating_5_Returns4_Successfully2() {
    assertEquals(4, this.getStringEncoder().getMinRating(5));
}
@Test
public final void testgetMinRating_8_Returns3_Successfully() {
    assertEquals(3, this.getStringEncoder().getMinRating(8));
}</t>
  </si>
  <si>
    <t>@Test
public final void testgetMinRating_5_Returns4_Successfully2() {
    assertEquals(4, this.getStringEncoder().getMinRating(5));
}
@Test
public final void testgetMinRating_10_Returns3_Successfully() {
    assertEquals(3, this.getStringEncoder().getMinRating(10));
}</t>
  </si>
  <si>
    <t>@Test
public final void testgetMinRating_5_Returns4_Successfully2() {
    assertEquals(4, this.getStringEncoder().getMinRating(5));
}
@Test
public final void testgetMinRating_11_Returns_3_Successfully() {
    assertEquals(3, this.getStringEncoder().getMinRating(11));
}</t>
  </si>
  <si>
    <t>@Test
public final void testgetMinRating_5_Returns4_Successfully2() {
    assertEquals(4, this.getStringEncoder().getMinRating(5));
}
@Test
public final void testGetMinRating_13_Returns_1_Successfully() {
    assertEquals(1, this.getStringEncoder().getMinRating(13));
}</t>
  </si>
  <si>
    <t>@Test
public final void testgetMinRating_6_Returns4_Successfully() {
    assertEquals(4, this.getStringEncoder().getMinRating(6));
}
@Test
public final void testgetMinRating_7_Returns4_Successfully() {
    assertEquals(4, this.getStringEncoder().getMinRating(7));
}</t>
  </si>
  <si>
    <t>@Test
public final void testgetMinRating_6_Returns4_Successfully() {
    assertEquals(4, this.getStringEncoder().getMinRating(6));
}
@Test
public final void testgetMinRating_8_Returns3_Successfully() {
    assertEquals(3, this.getStringEncoder().getMinRating(8));
}</t>
  </si>
  <si>
    <t>@Test
public final void testgetMinRating_6_Returns4_Successfully() {
    assertEquals(4, this.getStringEncoder().getMinRating(6));
}
@Test
public final void testgetMinRating_10_Returns3_Successfully() {
    assertEquals(3, this.getStringEncoder().getMinRating(10));
}</t>
  </si>
  <si>
    <t>@Test
public final void testgetMinRating_6_Returns4_Successfully() {
    assertEquals(4, this.getStringEncoder().getMinRating(6));
}
@Test
public final void testgetMinRating_11_Returns_3_Successfully() {
    assertEquals(3, this.getStringEncoder().getMinRating(11));
}</t>
  </si>
  <si>
    <t>@Test
public final void testgetMinRating_6_Returns4_Successfully() {
    assertEquals(4, this.getStringEncoder().getMinRating(6));
}
@Test
public final void testGetMinRating_13_Returns_1_Successfully() {
    assertEquals(1, this.getStringEncoder().getMinRating(13));
}</t>
  </si>
  <si>
    <t>@Test
public final void testgetMinRating_7_Returns4_Successfully() {
    assertEquals(4, this.getStringEncoder().getMinRating(7));
}
@Test
public final void testgetMinRating_8_Returns3_Successfully() {
    assertEquals(3, this.getStringEncoder().getMinRating(8));
}</t>
  </si>
  <si>
    <t>@Test
public final void testgetMinRating_7_Returns4_Successfully() {
    assertEquals(4, this.getStringEncoder().getMinRating(7));
}
@Test
public final void testgetMinRating_10_Returns3_Successfully() {
    assertEquals(3, this.getStringEncoder().getMinRating(10));
}</t>
  </si>
  <si>
    <t>@Test
public final void testgetMinRating_7_Returns4_Successfully() {
    assertEquals(4, this.getStringEncoder().getMinRating(7));
}
@Test
public final void testgetMinRating_11_Returns_3_Successfully() {
    assertEquals(3, this.getStringEncoder().getMinRating(11));
}</t>
  </si>
  <si>
    <t>@Test
public final void testgetMinRating_7_Returns4_Successfully() {
    assertEquals(4, this.getStringEncoder().getMinRating(7));
}
@Test
public final void testGetMinRating_13_Returns_1_Successfully() {
    assertEquals(1, this.getStringEncoder().getMinRating(13));
}</t>
  </si>
  <si>
    <t>@Test
public final void testgetMinRating_8_Returns3_Successfully() {
    assertEquals(3, this.getStringEncoder().getMinRating(8));
}
@Test
public final void testgetMinRating_10_Returns3_Successfully() {
    assertEquals(3, this.getStringEncoder().getMinRating(10));
}</t>
  </si>
  <si>
    <t>@Test
public final void testgetMinRating_8_Returns3_Successfully() {
    assertEquals(3, this.getStringEncoder().getMinRating(8));
}
@Test
public final void testgetMinRating_11_Returns_3_Successfully() {
    assertEquals(3, this.getStringEncoder().getMinRating(11));
}</t>
  </si>
  <si>
    <t>@Test
public final void testgetMinRating_8_Returns3_Successfully() {
    assertEquals(3, this.getStringEncoder().getMinRating(8));
}
@Test
public final void testGetMinRating_13_Returns_1_Successfully() {
    assertEquals(1, this.getStringEncoder().getMinRating(13));
}</t>
  </si>
  <si>
    <t>@Test
public final void testgetMinRating_10_Returns3_Successfully() {
    assertEquals(3, this.getStringEncoder().getMinRating(10));
}
@Test
public final void testgetMinRating_11_Returns_3_Successfully() {
    assertEquals(3, this.getStringEncoder().getMinRating(11));
}</t>
  </si>
  <si>
    <t>@Test
public final void testgetMinRating_10_Returns3_Successfully() {
    assertEquals(3, this.getStringEncoder().getMinRating(10));
}
@Test
public final void testGetMinRating_13_Returns_1_Successfully() {
    assertEquals(1, this.getStringEncoder().getMinRating(13));
}</t>
  </si>
  <si>
    <t>@Test
public final void testgetMinRating_11_Returns_3_Successfully() {
    assertEquals(3, this.getStringEncoder().getMinRating(11));
}
@Test
public final void testGetMinRating_13_Returns_1_Successfully() {
    assertEquals(1, this.getStringEncoder().getMinRating(13));
}</t>
  </si>
  <si>
    <t>@Test
public final void testisEncodeEquals_CornerCase_SecondNameNothing_ReturnsFalse() {
    assertFalse(this.getStringEncoder().isEncodeEquals("test", ""));
}
@Test
public final void testisEncodeEquals_CornerCase_FirstNameNothing_ReturnsFalse() {
    assertFalse(this.getStringEncoder().isEncodeEquals("", "test"));
}</t>
  </si>
  <si>
    <t>@Test
public final void testisEncodeEquals_CornerCase_SecondNameNothing_ReturnsFalse() {
    assertFalse(this.getStringEncoder().isEncodeEquals("test", ""));
}
@Test
public final void testisEncodeEquals_CornerCase_SecondNameJustSpace_ReturnsFalse() {
    assertFalse(this.getStringEncoder().isEncodeEquals("test", " "));
}</t>
  </si>
  <si>
    <t>@Test
public final void testisEncodeEquals_CornerCase_SecondNameNothing_ReturnsFalse() {
    assertFalse(this.getStringEncoder().isEncodeEquals("test", ""));
}
@Test
public final void testisEncodeEquals_CornerCase_SecondNameNull_ReturnsFalse() {
    assertFalse(this.getStringEncoder().isEncodeEquals("test", null));
}</t>
  </si>
  <si>
    <t>@Test
public final void testisEncodeEquals_CornerCase_SecondNameNothing_ReturnsFalse() {
    assertFalse(this.getStringEncoder().isEncodeEquals("test", ""));
}
@Test
public final void testisEncodeEquals_CornerCase_FirstNameJustSpace_ReturnsFalse() {
    assertFalse(this.getStringEncoder().isEncodeEquals(" ", "test"));
}</t>
  </si>
  <si>
    <t>@Test
public final void testisEncodeEquals_CornerCase_SecondNameNothing_ReturnsFalse() {
    assertFalse(this.getStringEncoder().isEncodeEquals("test", ""));
}
@Test
public final void testisEncodeEquals_CornerCase_FirstNameJust1Letter_ReturnsFalse() {
    assertFalse(this.getStringEncoder().isEncodeEquals("t", "test"));
}</t>
  </si>
  <si>
    <t>@Test
public final void testisEncodeEquals_CornerCase_SecondNameNothing_ReturnsFalse() {
    assertFalse(this.getStringEncoder().isEncodeEquals("test", ""));
}
@Test
public final void testisEncodeEquals_CornerCase_FirstNameNull_ReturnsFalse() {
    assertFalse(this.getStringEncoder().isEncodeEquals(null, "test"));
}</t>
  </si>
  <si>
    <t>@Test
public final void testisEncodeEquals_CornerCase_SecondNameNothing_ReturnsFalse() {
    assertFalse(this.getStringEncoder().isEncodeEquals("test", ""));
}
@Test
public final void testisEncodeEqualsSecondNameJust1Letter_ReturnsFalse() {
    assertFalse(this.getStringEncoder().isEncodeEquals("test", "t"));
}</t>
  </si>
  <si>
    <t>@Test
public final void testisEncodeEquals_CornerCase_FirstNameNothing_ReturnsFalse() {
    assertFalse(this.getStringEncoder().isEncodeEquals("", "test"));
}
@Test
public final void testisEncodeEquals_CornerCase_FirstNameJustSpace_ReturnsFalse() {
    assertFalse(this.getStringEncoder().isEncodeEquals(" ", "test"));
}</t>
  </si>
  <si>
    <t>@Test
public final void testisEncodeEquals_CornerCase_FirstNameNothing_ReturnsFalse() {
    assertFalse(this.getStringEncoder().isEncodeEquals("", "test"));
}
@Test
public final void testisEncodeEquals_CornerCase_FirstNameJust1Letter_ReturnsFalse() {
    assertFalse(this.getStringEncoder().isEncodeEquals("t", "test"));
}</t>
  </si>
  <si>
    <t>@Test
public final void testisEncodeEquals_CornerCase_FirstNameNothing_ReturnsFalse() {
    assertFalse(this.getStringEncoder().isEncodeEquals("", "test"));
}
@Test
public final void testisEncodeEquals_CornerCase_FirstNameNull_ReturnsFalse() {
    assertFalse(this.getStringEncoder().isEncodeEquals(null, "test"));
}</t>
  </si>
  <si>
    <t>@Test
public final void testisEncodeEquals_CornerCase_FirstNameNothing_ReturnsFalse() {
    assertFalse(this.getStringEncoder().isEncodeEquals("", "test"));
}
@Test
public final void testisEncodeEquals_CornerCase_SecondNameJustSpace_ReturnsFalse() {
    assertFalse(this.getStringEncoder().isEncodeEquals("test", " "));
}</t>
  </si>
  <si>
    <t>@Test
public final void testisEncodeEquals_CornerCase_FirstNameNothing_ReturnsFalse() {
    assertFalse(this.getStringEncoder().isEncodeEquals("", "test"));
}
@Test
public final void testisEncodeEquals_CornerCase_SecondNameNull_ReturnsFalse() {
    assertFalse(this.getStringEncoder().isEncodeEquals("test", null));
}</t>
  </si>
  <si>
    <t>@Test
public final void testisEncodeEquals_CornerCase_FirstNameNothing_ReturnsFalse() {
    assertFalse(this.getStringEncoder().isEncodeEquals("", "test"));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</si>
  <si>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testisEncodeEquals_CornerCase_FirstNameJustSpace_ReturnsFalse() {
    assertFalse(this.getStringEncoder().isEncodeEquals(" ", "test"));
}</t>
  </si>
  <si>
    <t>@Test
public final void testisEncodeEquals_CornerCase_SecondNameJustSpace_ReturnsFalse() {
    assertFalse(this.getStringEncoder().isEncodeEquals("test", " "));
}
@Test
public final void testisEncodeEquals_CornerCase_FirstNameJust1Letter_ReturnsFalse() {
    assertFalse(this.getStringEncoder().isEncodeEquals("t", "test"));
}</t>
  </si>
  <si>
    <t>@Test
public final void testisEncodeEquals_CornerCase_SecondNameJustSpace_ReturnsFalse() {
    assertFalse(this.getStringEncoder().isEncodeEquals("test", " "));
}
@Test
public final void testisEncodeEquals_CornerCase_SecondNameNull_ReturnsFalse() {
    assertFalse(this.getStringEncoder().isEncodeEquals("test", null));
}</t>
  </si>
  <si>
    <t>@Test
public final void testisEncodeEquals_CornerCase_SecondNameJustSpace_ReturnsFalse() {
    assertFalse(this.getStringEncoder().isEncodeEquals("test", " "));
}
@Test
public final void testisEncodeEquals_CornerCase_FirstNameNull_ReturnsFalse() {
    assertFalse(this.getStringEncoder().isEncodeEquals(null, "test"));
}</t>
  </si>
  <si>
    <t>@Test
public final void testisEncodeEquals_CornerCase_SecondNameJustSpace_ReturnsFalse() {
    assertFalse(this.getStringEncoder().isEncodeEquals("test", " "));
}
@Test
public final void testisEncodeEqualsSecondNameJust1Letter_ReturnsFalse() {
    assertFalse(this.getStringEncoder().isEncodeEquals("test", "t"));
}</t>
  </si>
  <si>
    <t>@Test
public final void testisEncodeEquals_CornerCase_FirstNameJustSpace_ReturnsFalse() {
    assertFalse(this.getStringEncoder().isEncodeEquals(" ", "test"));
}
@Test
public final void testisEncodeEquals_CornerCase_FirstNameJust1Letter_ReturnsFalse() {
    assertFalse(this.getStringEncoder().isEncodeEquals("t", "test"));
}</t>
  </si>
  <si>
    <t>@Test
public final void testisEncodeEquals_CornerCase_FirstNameJustSpace_ReturnsFalse() {
    assertFalse(this.getStringEncoder().isEncodeEquals(" ", "test"));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</si>
  <si>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testisEncodeEquals_CornerCase_SecondNameNull_ReturnsFalse() {
    assertFalse(this.getStringEncoder().isEncodeEquals("test", null));
}</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</si>
  <si>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</si>
  <si>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
public final void testisEncodeEquals_CornerCase_SecondNameNull_ReturnsFalse() {
    assertFalse(this.getStringEncoder().isEncodeEquals("test", null));
}
@Test
public final void testisEncodeEquals_CornerCase_FirstNameNull_ReturnsFalse() {
    assertFalse(this.getStringEncoder().isEncodeEquals(null, "test"));
}</t>
  </si>
  <si>
    <t>@Test
public final void testisEncodeEquals_CornerCase_SecondNameNull_ReturnsFalse() {
    assertFalse(this.getStringEncoder().isEncodeEquals("test", null));
}
@Test
public final void testisEncodeEquals_CornerCase_FirstNameJust1Letter_ReturnsFalse() {
    assertFalse(this.getStringEncoder().isEncodeEquals("t", "test"));
}</t>
  </si>
  <si>
    <t>@Test
public final void testisEncodeEquals_CornerCase_SecondNameNull_ReturnsFalse() {
    assertFalse(this.getStringEncoder().isEncodeEquals("test", null));
}
@Test
public final void testisEncodeEqualsSecondNameJust1Letter_ReturnsFalse() {
    assertFalse(this.getStringEncoder().isEncodeEquals("test", "t"));
}</t>
  </si>
  <si>
    <t>@Test
public final void testisEncodeEquals_CornerCase_FirstNameNull_ReturnsFalse() {
    assertFalse(this.getStringEncoder().isEncodeEquals(null, "test"));
}
@Test
public final void testisEncodeEquals_CornerCase_FirstNameJust1Letter_ReturnsFalse() {
    assertFalse(this.getStringEncoder().isEncodeEquals("t", "test"));
}</t>
  </si>
  <si>
    <t>@Test
public final void testisEncodeEquals_CornerCase_FirstNameNull_ReturnsFalse() {
    assertFalse(this.getStringEncoder().isEncodeEquals(null, "test"));
}
@Test
public final void testisEncodeEqualsSecondNameJust1Letter_ReturnsFalse() {
    assertFalse(this.getStringEncoder().isEncodeEquals("test", "t"));
}</t>
  </si>
  <si>
    <t>@Test
public final void testisEncodeEquals_CornerCase_FirstNameJust1Letter_ReturnsFalse() {
    assertFalse(this.getStringEncoder().isEncodeEquals("t", "test"));
}
@Test
public final void testisEncodeEqualsSecondNameJust1Letter_ReturnsFalse() {
    assertFalse(this.getStringEncoder().isEncodeEquals("test", "t"));
}</t>
  </si>
  <si>
    <t>cd07a9721ed81850d97a2effc26a82154d6d3d29</t>
  </si>
  <si>
    <t>@Test(expected = IllegalArgumentException.class)
public void testEmptyKey() {
    HmacUtils.getHmacMd5(new byte[] {});
}
@Test(expected = IllegalArgumentException.class)
public void testNullKey() {
    HmacUtils.getHmacMd5(null);
}</t>
  </si>
  <si>
    <t>[org/apache/commons/codec/digest/HmacUtils.getHmacMd5]
[org/apache/commons/codec/digest/HmacUtils.getHmacMd5]</t>
  </si>
  <si>
    <t>testNullKey</t>
  </si>
  <si>
    <t>@Test
public void testHmacSha1UpdateWithByteArray() throws IOException {
    final Mac mac = HmacUtils.getHmacSha1(STANDARD_KEY_BYTES);
    HmacUtils.updateHmac(mac, STANDARD_PHRASE_BYTES);
    assertEquals(STANDARD_SHA1_RESULT_STRING, Hex.encodeHexString(mac.doFinal()));
    HmacUtils.updateHmac(mac, "".getBytes());
    assertEquals("f42bb0eeb018ebbd4597ae7213711ec60760843f", Hex.encodeHexString(mac.doFinal()));
}
@Test
public void testHmacSha1UpdateWithString() throws IOException {
    final Mac mac = HmacUtils.getHmacSha1(STANDARD_KEY_BYTES);
    HmacUtils.updateHmac(mac, STANDARD_PHRASE_STRING);
    assertEquals(STANDARD_SHA1_RESULT_STRING, Hex.encodeHexString(mac.doFinal()));
    HmacUtils.updateHmac(mac, "");
    assertEquals("f42bb0eeb018ebbd4597ae7213711ec60760843f",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</si>
  <si>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org/apache/commons/codec/digest/HmacUtils.updateHmac, javax/crypto/Mac.doFinal, org/apache/commons/codec/binary/Hex.encodeHexString, org/apache/commons/codec/digest/HmacUtils.updateHmac, javax/crypto/Mac.doFinal, org/apache/commons/codec/binary/Hex.encodeHexString]</t>
  </si>
  <si>
    <t>testHmacSha1UpdateWithString</t>
  </si>
  <si>
    <t>@Test
public void testHmacSha1UpdateWithByteArray() throws IOException {
    final Mac mac = HmacUtils.getHmacSha1(STANDARD_KEY_BYTES);
    HmacUtils.updateHmac(mac, STANDARD_PHRASE_BYTES);
    assertEquals(STANDARD_SHA1_RESULT_STRING, Hex.encodeHexString(mac.doFinal()));
    HmacUtils.updateHmac(mac, "".getBytes());
    assertEquals("f42bb0eeb018ebbd4597ae7213711ec60760843f", Hex.encodeHexString(mac.doFinal()));
}
@Test
public void testHmacSha1UpdateWithInpustream() throws IOException {
    final Mac mac = HmacUtils.getHmacSha1(STANDARD_KEY_BYTES);
    HmacUtils.updateHmac(mac, new ByteArrayInputStream(STANDARD_PHRASE_BYTES));
    assertEquals(STANDARD_SHA1_RESULT_STRING, Hex.encodeHexString(mac.doFinal()));
    HmacUtils.updateHmac(mac, new ByteArrayInputStream("".getBytes()));
    assertEquals("f42bb0eeb018ebbd4597ae7213711ec60760843f", Hex.encodeHexString(mac.doFinal()));
}</t>
  </si>
  <si>
    <t>testHmacSha1UpdateWithInpustream</t>
  </si>
  <si>
    <t>[ java/io/ByteArrayInputStream."&lt;init&gt;"]</t>
  </si>
  <si>
    <t>testInitializedMacNullAlgo</t>
  </si>
  <si>
    <t>@Test(expected = IllegalArgumentException.class)
public void testInitializedMacNullAlgo() throws IOException {
    HmacUtils.getInitializedMac((String) null, STANDARD_KEY_BYTES);
}
@Test(expected = IllegalArgumentException.class)
public void testInitializedMacNullKey() throws IOException {
    HmacUtils.getInitializedMac(HmacAlgorithms.HMAC_MD5, null);
}</t>
  </si>
  <si>
    <t>[org/apache/commons/codec/digest/HmacUtils.getInitializedMac]
[org/apache/commons/codec/digest/HmacUtils.getInitializedMac]</t>
  </si>
  <si>
    <t>testInitializedMacNullKey</t>
  </si>
  <si>
    <t>testMd5HMac</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</si>
  <si>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</si>
  <si>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t>
  </si>
  <si>
    <t>testSha1HMac</t>
  </si>
  <si>
    <t>[ org/apache/commons/codec/digest/HmacUtils.hmacSha1, org/apache/commons/codec/digest/HmacUtils.hmacSha1,  org/apache/commons/codec/digest/HmacUtils.hmacMd5, org/apache/commons/codec/digest/HmacUtils.hmacMd5,  org/apache/commons/codec/digest/HmacUtils.hmacMd5Hex,  org/apache/commons/codec/digest/HmacUtils.hmacSha1Hex]</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</si>
  <si>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</si>
  <si>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</si>
  <si>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testSha256HMac</t>
  </si>
  <si>
    <t>[org/apache/commons/codec/digest/HmacUtils.hmacSha256,  org/apache/commons/codec/digest/HmacUtils.hmacMd5, org/apache/commons/codec/digest/HmacUtils.hmacMd5,  org/apache/commons/codec/digest/HmacUtils.hmacMd5Hex,  org/apache/commons/codec/digest/HmacUtils.hmacSha256,  org/apache/commons/codec/digest/HmacUtils.hmacSha256Hex]</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</si>
  <si>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</si>
  <si>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</si>
  <si>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testSha512HMac</t>
  </si>
  <si>
    <t>[ org/apache/commons/codec/digest/HmacUtils.hmacMd5,  org/apache/commons/codec/digest/HmacUtils.hmacSha512, org/apache/commons/codec/digest/HmacUtils.hmacMd5,  org/apache/commons/codec/digest/HmacUtils.hmacMd5Hex,  org/apache/commons/codec/digest/HmacUtils.hmacSha512Hex, org/apache/commons/codec/digest/HmacUtils.hmacSha512]</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</si>
  <si>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</si>
  <si>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</si>
  <si>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testSha384HMac</t>
  </si>
  <si>
    <t>[org/apache/commons/codec/digest/HmacUtils.hmacSha384,  org/apache/commons/codec/digest/HmacUtils.hmacMd5, org/apache/commons/codec/digest/HmacUtils.hmacMd5,  org/apache/commons/codec/digest/HmacUtils.hmacMd5Hex,  org/apache/commons/codec/digest/HmacUtils.hmacSha384,  org/apache/commons/codec/digest/HmacUtils.hmacSha384Hex]</t>
  </si>
  <si>
    <t>testMd5HMacFail</t>
  </si>
  <si>
    <t>@Test(expected = IllegalArgumentException.class)
public void testMd5HMacFail() throws IOException {
    HmacUtils.hmacMd5((byte[]) null, STANDARD_PHRASE_BYTES);
}
@Test(expected = IllegalArgumentException.class)
public void testSha1HMacFail() throws IOException {
    HmacUtils.hmacSha1((byte[]) null, STANDARD_PHRASE_BYTES);
}</t>
  </si>
  <si>
    <t>[org/apache/commons/codec/digest/HmacUtils.hmacMd5]
[org/apache/commons/codec/digest/HmacUtils.hmacSha1]</t>
  </si>
  <si>
    <t>testSha1HMacFail</t>
  </si>
  <si>
    <t>[org/apache/commons/codec/digest/HmacUtils.hmacSha1, org/apache/commons/codec/digest/HmacUtils.hmacMd5]</t>
  </si>
  <si>
    <t>@Test(expected = IllegalArgumentException.class)
public void testMd5HMacFail() throws IOException {
    HmacUtils.hmacMd5((byte[]) null, STANDARD_PHRASE_BYTES);
}
@Test(expected = IllegalArgumentException.class)
public void testSha512HMacFail() throws IOException {
    HmacUtils.hmacSha512((byte[]) null, STANDARD_PHRASE_BYTES);
}</t>
  </si>
  <si>
    <t>[org/apache/commons/codec/digest/HmacUtils.hmacMd5]
[org/apache/commons/codec/digest/HmacUtils.hmacSha512, java/lang/String.getBytes, java/lang/String.getBytes, java/lang/String.toLowerCase, java/lang/String.toLowerCase]</t>
  </si>
  <si>
    <t>testSha512HMacFail</t>
  </si>
  <si>
    <t>[org/apache/commons/codec/digest/HmacUtils.hmacMd5,  java/lang/String.toLowerCase,  java/lang/String.getBytes, org/apache/commons/codec/digest/HmacUtils.hmacSha512]</t>
  </si>
  <si>
    <t>@Test(expected = IllegalArgumentException.class)
public void testMd5HMacFail() throws IOException {
    HmacUtils.hmacMd5((byte[]) null, STANDARD_PHRASE_BYTES);
}
@Test(expected = IllegalArgumentException.class)
public void testSha256HMacFail() throws IOException {
    HmacUtils.hmacSha256((byte[]) null, STANDARD_PHRASE_BYTES);
}</t>
  </si>
  <si>
    <t>[org/apache/commons/codec/digest/HmacUtils.hmacMd5]
[org/apache/commons/codec/digest/HmacUtils.hmacSha256]</t>
  </si>
  <si>
    <t>testSha256HMacFail</t>
  </si>
  <si>
    <t>[org/apache/commons/codec/digest/HmacUtils.hmacSha256, org/apache/commons/codec/digest/HmacUtils.hmacMd5]</t>
  </si>
  <si>
    <t>@Test(expected = IllegalArgumentException.class)
public void testMd5HMacFail() throws IOException {
    HmacUtils.hmacMd5((byte[]) null, STANDARD_PHRASE_BYTES);
}
@Test(expected = IllegalArgumentException.class)
public void testSha384HMacFail() throws IOException {
    HmacUtils.hmacSha384((byte[]) null, STANDARD_PHRASE_BYTES);
}</t>
  </si>
  <si>
    <t>[org/apache/commons/codec/digest/HmacUtils.hmacMd5]
[org/apache/commons/codec/digest/HmacUtils.hmacSha384]</t>
  </si>
  <si>
    <t>testSha384HMacFail</t>
  </si>
  <si>
    <t>[org/apache/commons/codec/digest/HmacUtils.hmacSha384, org/apache/commons/codec/digest/HmacUtils.hmacMd5]</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</si>
  <si>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</si>
  <si>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</si>
  <si>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 org/apache/commons/codec/digest/HmacUtils.hmacSha1, org/apache/commons/codec/digest/HmacUtils.hmacSha1,  org/apache/commons/codec/digest/HmacUtils.hmacSha512,  org/apache/commons/codec/digest/HmacUtils.hmacSha512Hex, org/apache/commons/codec/digest/HmacUtils.hmacSha512,  org/apache/commons/codec/digest/HmacUtils.hmacSha1Hex]</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</si>
  <si>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</si>
  <si>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</si>
  <si>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 org/apache/commons/codec/digest/HmacUtils.hmacSha1, org/apache/commons/codec/digest/HmacUtils.hmacSha1, org/apache/commons/codec/digest/HmacUtils.hmacSha384,  org/apache/commons/codec/digest/HmacUtils.hmacSha1Hex,  org/apache/commons/codec/digest/HmacUtils.hmacSha384,  org/apache/commons/codec/digest/HmacUtils.hmacSha384Hex]</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</si>
  <si>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</si>
  <si>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</si>
  <si>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 org/apache/commons/codec/digest/HmacUtils.hmacSha1, org/apache/commons/codec/digest/HmacUtils.hmacSha256, org/apache/commons/codec/digest/HmacUtils.hmacSha1,  org/apache/commons/codec/digest/HmacUtils.hmacSha256,  org/apache/commons/codec/digest/HmacUtils.hmacSha256Hex,  org/apache/commons/codec/digest/HmacUtils.hmacSha1Hex]</t>
  </si>
  <si>
    <t>@Test(expected = IllegalArgumentException.class)
public void testSha1HMacFail() throws IOException {
    HmacUtils.hmacSha1((byte[]) null, STANDARD_PHRASE_BYTES);
}
@Test(expected = IllegalArgumentException.class)
public void testSha512HMacFail() throws IOException {
    HmacUtils.hmacSha512((byte[]) null, STANDARD_PHRASE_BYTES);
}</t>
  </si>
  <si>
    <t>[org/apache/commons/codec/digest/HmacUtils.hmacSha1]
[org/apache/commons/codec/digest/HmacUtils.hmacSha512, java/lang/String.getBytes, java/lang/String.getBytes, java/lang/String.toLowerCase, java/lang/String.toLowerCase]</t>
  </si>
  <si>
    <t>[org/apache/commons/codec/digest/HmacUtils.hmacSha1,  java/lang/String.toLowerCase,  java/lang/String.getBytes, org/apache/commons/codec/digest/HmacUtils.hmacSha512]</t>
  </si>
  <si>
    <t>@Test(expected = IllegalArgumentException.class)
public void testSha1HMacFail() throws IOException {
    HmacUtils.hmacSha1((byte[]) null, STANDARD_PHRASE_BYTES);
}
@Test(expected = IllegalArgumentException.class)
public void testSha384HMacFail() throws IOException {
    HmacUtils.hmacSha384((byte[]) null, STANDARD_PHRASE_BYTES);
}</t>
  </si>
  <si>
    <t>[org/apache/commons/codec/digest/HmacUtils.hmacSha1]
[org/apache/commons/codec/digest/HmacUtils.hmacSha384]</t>
  </si>
  <si>
    <t>[org/apache/commons/codec/digest/HmacUtils.hmacSha1, org/apache/commons/codec/digest/HmacUtils.hmacSha384]</t>
  </si>
  <si>
    <t>@Test(expected = IllegalArgumentException.class)
public void testSha1HMacFail() throws IOException {
    HmacUtils.hmacSha1((byte[]) null, STANDARD_PHRASE_BYTES);
}
@Test(expected = IllegalArgumentException.class)
public void testSha256HMacFail() throws IOException {
    HmacUtils.hmacSha256((byte[]) null, STANDARD_PHRASE_BYTES);
}</t>
  </si>
  <si>
    <t>[org/apache/commons/codec/digest/HmacUtils.hmacSha1]
[org/apache/commons/codec/digest/HmacUtils.hmacSha256]</t>
  </si>
  <si>
    <t>[org/apache/commons/codec/digest/HmacUtils.hmacSha256, org/apache/commons/codec/digest/HmacUtils.hmacSha1]</t>
  </si>
  <si>
    <t>@Test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</si>
  <si>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</si>
  <si>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[org/apache/commons/codec/digest/HmacUtils.hmacSha256, org/apache/commons/codec/digest/HmacUtils.hmacSha384,  org/apache/commons/codec/digest/HmacUtils.hmacSha256,  org/apache/commons/codec/digest/HmacUtils.hmacSha256Hex,  org/apache/commons/codec/digest/HmacUtils.hmacSha384,  org/apache/commons/codec/digest/HmacUtils.hmacSha384Hex]</t>
  </si>
  <si>
    <t>@Test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</si>
  <si>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</si>
  <si>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[org/apache/commons/codec/digest/HmacUtils.hmacSha256,  org/apache/commons/codec/digest/HmacUtils.hmacSha512,  org/apache/commons/codec/digest/HmacUtils.hmacSha256,  org/apache/commons/codec/digest/HmacUtils.hmacSha512Hex,  org/apache/commons/codec/digest/HmacUtils.hmacSha256Hex, org/apache/commons/codec/digest/HmacUtils.hmacSha512]</t>
  </si>
  <si>
    <t>@Test(expected = IllegalArgumentException.class)
public void testSha256HMacFail() throws IOException {
    HmacUtils.hmacSha256((byte[]) null, STANDARD_PHRASE_BYTES);
}
@Test(expected = IllegalArgumentException.class)
public void testSha384HMacFail() throws IOException {
    HmacUtils.hmacSha384((byte[]) null, STANDARD_PHRASE_BYTES);
}</t>
  </si>
  <si>
    <t>[org/apache/commons/codec/digest/HmacUtils.hmacSha256]
[org/apache/commons/codec/digest/HmacUtils.hmacSha384]</t>
  </si>
  <si>
    <t>[org/apache/commons/codec/digest/HmacUtils.hmacSha256, org/apache/commons/codec/digest/HmacUtils.hmacSha384]</t>
  </si>
  <si>
    <t>@Test(expected = IllegalArgumentException.class)
public void testSha256HMacFail() throws IOException {
    HmacUtils.hmacSha256((byte[]) null, STANDARD_PHRASE_BYTES);
}
@Test(expected = IllegalArgumentException.class)
public void testSha512HMacFail() throws IOException {
    HmacUtils.hmacSha512((byte[]) null, STANDARD_PHRASE_BYTES);
}</t>
  </si>
  <si>
    <t>[org/apache/commons/codec/digest/HmacUtils.hmacSha256]
[org/apache/commons/codec/digest/HmacUtils.hmacSha512, java/lang/String.getBytes, java/lang/String.getBytes, java/lang/String.toLowerCase, java/lang/String.toLowerCase]</t>
  </si>
  <si>
    <t>[org/apache/commons/codec/digest/HmacUtils.hmacSha256,  java/lang/String.toLowerCase,  java/lang/String.getBytes, org/apache/commons/codec/digest/HmacUtils.hmacSha512]</t>
  </si>
  <si>
    <t>@Test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</si>
  <si>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</si>
  <si>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[org/apache/commons/codec/digest/HmacUtils.hmacSha384,  org/apache/commons/codec/digest/HmacUtils.hmacSha512,  org/apache/commons/codec/digest/HmacUtils.hmacSha512Hex, org/apache/commons/codec/digest/HmacUtils.hmacSha512,  org/apache/commons/codec/digest/HmacUtils.hmacSha384,  org/apache/commons/codec/digest/HmacUtils.hmacSha384Hex]</t>
  </si>
  <si>
    <t>@Test(expected = IllegalArgumentException.class)
public void testSha384HMacFail() throws IOException {
    HmacUtils.hmacSha384((byte[]) null, STANDARD_PHRASE_BYTES);
}
@Test(expected = IllegalArgumentException.class)
public void testSha512HMacFail() throws IOException {
    HmacUtils.hmacSha512((byte[]) null, STANDARD_PHRASE_BYTES);
}</t>
  </si>
  <si>
    <t>[org/apache/commons/codec/digest/HmacUtils.hmacSha384]
[org/apache/commons/codec/digest/HmacUtils.hmacSha512, java/lang/String.getBytes, java/lang/String.getBytes, java/lang/String.toLowerCase, java/lang/String.toLowerCase]</t>
  </si>
  <si>
    <t>[org/apache/commons/codec/digest/HmacUtils.hmacSha384,  java/lang/String.toLowerCase,  java/lang/String.getBytes, org/apache/commons/codec/digest/HmacUtils.hmacSha512]</t>
  </si>
  <si>
    <t>org.apache.commons.codec.language.DaitchMokotoffSoundexTest</t>
  </si>
  <si>
    <t>5b2806103d5e6d4a7a6df1ebc8d88005ad7731be</t>
  </si>
  <si>
    <t>testAccentedCharacterFolding</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</si>
  <si>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</si>
  <si>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</si>
  <si>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testSoundexBasic3</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</si>
  <si>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</si>
  <si>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</si>
  <si>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testSpecialRomanianCharacters</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</si>
  <si>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</si>
  <si>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</si>
  <si>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testSoundexBasic2</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</si>
  <si>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t>
  </si>
  <si>
    <t>testAdjacentCodes</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</si>
  <si>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</si>
  <si>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</si>
  <si>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</si>
  <si>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</si>
  <si>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</si>
  <si>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</si>
  <si>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</si>
  <si>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</si>
  <si>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</si>
  <si>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</si>
  <si>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</si>
  <si>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public void testEncodeBasic() {
    // same as above, but without branching
    Assert.assertEquals("097400", this.getStringEncoder().encode("AUERBACH"));
    Assert.assertEquals("097400", this.getStringEncoder().encode("OHRBACH"));
    Assert.assertEquals("874400", this.getStringEncoder().encode("LIPSHITZ"));
    Assert.assertEquals("874400", this.getStringEncoder().encode("LIPPSZYC"));
    Assert.assertEquals("876450", this.getStringEncoder().encode("LEWINSKY"));
    Assert.assertEquals("876450", this.getStringEncoder().encode("LEVINSKI"));
    Assert.assertEquals("486740", this.getStringEncoder().encode("SZLAMAWICZ"));
    Assert.assertEquals("486740", this.getStringEncoder().encode("SHLAMOVITZ"));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</si>
  <si>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</si>
  <si>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org/apache/commons/codec/language/DaitchMokotoffSoundex.soundex,  org/apache/commons/codec/language/DaitchMokotoffSoundex.encode]</t>
  </si>
  <si>
    <t>public void testEncodeBasic() {
    // same as above, but without branching
    Assert.assertEquals("097400", this.getStringEncoder().encode("AUERBACH"));
    Assert.assertEquals("097400", this.getStringEncoder().encode("OHRBACH"));
    Assert.assertEquals("874400", this.getStringEncoder().encode("LIPSHITZ"));
    Assert.assertEquals("874400", this.getStringEncoder().encode("LIPPSZYC"));
    Assert.assertEquals("876450", this.getStringEncoder().encode("LEWINSKY"));
    Assert.assertEquals("876450", this.getStringEncoder().encode("LEVINSKI"));
    Assert.assertEquals("486740", this.getStringEncoder().encode("SZLAMAWICZ"));
    Assert.assertEquals("486740", this.getStringEncoder().encode("SHLAMOVITZ"));
}
@Test
public void testEncodeIgnoreTrimmable() {
    Assert.assertEquals("746536", this.getStringEncoder().encode(" \t\n\r Washington \t\n\r "));
    Assert.assertEquals("746536", this.getStringEncoder().encode("Washington"));
}</t>
  </si>
  <si>
    <t>[.getStringEncoder,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t>
  </si>
  <si>
    <t>@Test
public void testEncodeIgnoreApostrophes() throws EncoderException {
    this.checkEncodingVariations("079600", new String[] { "OBrien", "'OBrien", "O'Brien", "OB'rien", "OBr'ien", "OBri'en", "OBrie'n", "OBrien'" });
}
/**
 * Test data from http://www.myatt.demon.co.uk/sxalg.htm
 *
 * @throws EncoderException
 */
@Test
public void testEncodeIgnoreHyphens() throws EncoderException {
    this.checkEncodingVariations("565463", new String[] { "KINGSMITH", "-KINGSMITH", "K-INGSMITH", "KI-NGSMITH", "KIN-GSMITH", "KING-SMITH", "KINGS-MITH", "KINGSM-ITH", "KINGSMI-TH", "KINGSMIT-H", "KINGSMITH-" });
}</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</si>
  <si>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</si>
  <si>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</si>
  <si>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</si>
  <si>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</si>
  <si>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</si>
  <si>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</si>
  <si>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</si>
  <si>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</si>
  <si>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</si>
  <si>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</si>
  <si>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</si>
  <si>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</si>
  <si>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</si>
  <si>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</si>
  <si>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</si>
  <si>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13c152582e5f72fad13a42e1eebfbd8c6c848c01</t>
  </si>
  <si>
    <t>testEncodeHexBytesHelloWorldLowerCaseHex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</si>
  <si>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</si>
  <si>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</si>
  <si>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testEncodeHexBytesHelloWorldUpperCaseHex</t>
  </si>
  <si>
    <t>[[testEncodeHexBytesHelloWorldLowerCaseHex, testEncodeHexBytesHelloWorldUpperCaseHex]]</t>
  </si>
  <si>
    <t>fbda264f3c25c6db302f4a44eb71b70f24553ece</t>
  </si>
  <si>
    <t>@Test
public void testDecodeHexCharArrayOddCharacters1() {
    checkDecodeHexCharArrayOddCharacters(new char[] { 'A' });
}
@Test
public void testDecodeHexCharArrayOddCharacters3() {
    checkDecodeHexCharArrayOddCharacters(new char[] { 'A', 'B', 'C' });
}</t>
  </si>
  <si>
    <t>testDecodeHexCharArrayOddCharacters3</t>
  </si>
  <si>
    <t>[[testDecodeHexCharArrayOddCharacters1, testDecodeHexCharArrayOddCharacters3, testDecodeHexCharArrayOddCharacters5]]</t>
  </si>
  <si>
    <t>@Test
public void testDecodeHexCharArrayOddCharacters1() {
    checkDecodeHexCharArrayOddCharacters(new char[] { 'A' });
}
@Test
public void testDecodeHexCharArrayOddCharacters5() {
    checkDecodeHexCharArrayOddCharacters(new char[] { 'A', 'B', 'C', 'D', 'E' });
}</t>
  </si>
  <si>
    <t>testDecodeHexCharArrayOddCharacters5</t>
  </si>
  <si>
    <t>@Test
public void testDecodeHexCharArrayOddCharacters3() {
    checkDecodeHexCharArrayOddCharacters(new char[] { 'A', 'B', 'C' });
}
@Test
public void testDecodeHexCharArrayOddCharacters5() {
    checkDecodeHexCharArrayOddCharacters(new char[] { 'A', 'B', 'C', 'D', 'E' });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</si>
  <si>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</si>
  <si>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</si>
  <si>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@Test
public void testDecodeByteBufferEmpty() throws DecoderException {
    assertTrue(Arrays.equals(new byte[0], new Hex().decode(ByteBuffer.allocate(0))));
}
@Test
public void testEncodeByteBufferEmpty() throws EncoderException {
    assertTrue(Arrays.equals(new byte[0], new Hex().encode(ByteBuffer.allocate(0))));
}</t>
  </si>
  <si>
    <t>[org/apache/commons/codec/binary/Hex."&lt;init&gt;", java/nio/ByteBuffer.allocate, org/apache/commons/codec/binary/Hex.decode, java/util/Arrays.equals]
[org/apache/commons/codec/binary/Hex."&lt;init&gt;", java/nio/ByteBuffer.allocate, org/apache/commons/codec/binary/Hex.encode, java/util/Arrays.equals]</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</si>
  <si>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</si>
  <si>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@Test
public void testDecodeByteBufferEmpty() throws DecoderException {
    assertTrue(Arrays.equals(new byte[0], new Hex().decode(ByteBuffer.allocate(0))));
}
@Test
public void testDecodeByteBufferObjectEmpty() throws DecoderException {
    assertTrue(Arrays.equals(new byte[0], (byte[]) new Hex().decode((Object) ByteBuffer.allocate(0))));
}</t>
  </si>
  <si>
    <t>[org/apache/commons/codec/binary/Hex."&lt;init&gt;", java/nio/ByteBuffer.allocate, org/apache/commons/codec/binary/Hex.decode, java/util/Arrays.equals]
[org/apache/commons/codec/binary/Hex."&lt;init&gt;", java/nio/ByteBuffer.allocate, org/apache/commons/codec/binary/Hex.decode, java/util/Arrays.equals]</t>
  </si>
  <si>
    <t>testDecodeByteBufferObjectEmpty</t>
  </si>
  <si>
    <t>@Test
public void testDecodeByteArrayObjectEmpty() throws DecoderException {
    assertTrue(Arrays.equals(new byte[0], (byte[]) new Hex().decode((Object) new byte[0])));
}
@Test
public void testEncodeByteArrayObjectEmpty() throws EncoderException {
    assertTrue(Arrays.equals(new char[0], (char[]) new Hex().encode((Object) new byte[0])));
}</t>
  </si>
  <si>
    <t>@Test
public void testDecodeByteArrayObjectEmpty() throws DecoderException {
    assertTrue(Arrays.equals(new byte[0], (byte[]) new Hex().decode((Object) new byte[0])));
}
@Test
public void testDecodeByteBufferObjectEmpty() throws DecoderException {
    assertTrue(Arrays.equals(new byte[0], (byte[]) new Hex().decode((Object) ByteBuffer.allocate(0))));
}</t>
  </si>
  <si>
    <t>[ java/nio/ByteBuffer.allocate]</t>
  </si>
  <si>
    <t>@Test
public void testDecodeByteBufferObjectEmpty() throws DecoderException {
    assertTrue(Arrays.equals(new byte[0], (byte[]) new Hex().decode((Object) ByteBuffer.allocate(0))));
}
@Test
public void testEncodeByteBufferObjectEmpty() throws EncoderException {
    assertTrue(Arrays.equals(new char[0], (char[]) new Hex().encode((Object) ByteBuffer.allocate(0))));
}</t>
  </si>
  <si>
    <t>testEncodeByteBufferObjectEmpty</t>
  </si>
  <si>
    <t>@Test
public void testEncodeHexByteBufferEmpty() throws EncoderException {
    assertTrue(Arrays.equals(new char[0], Hex.encodeHex(ByteBuffer.allocate(0))));
    assertTrue(Arrays.equals(new byte[0], new Hex().encode(ByteBuffer.allocate(0))));
}
@Test
public void testEncodeByteBufferEmpty() throws EncoderException {
    assertTrue(Arrays.equals(new byte[0], new Hex().encode(ByteBuffer.allocate(0))));
}</t>
  </si>
  <si>
    <t>[java/nio/ByteBuffer.allocate, org/apache/commons/codec/binary/Hex.encodeHex, java/util/Arrays.equals, org/apache/commons/codec/binary/Hex."&lt;init&gt;", java/nio/ByteBuffer.allocate, org/apache/commons/codec/binary/Hex.encode, java/util/Arrays.equals]
[org/apache/commons/codec/binary/Hex."&lt;init&gt;", java/nio/ByteBuffer.allocate, org/apache/commons/codec/binary/Hex.encode, java/util/Arrays.equals]</t>
  </si>
  <si>
    <t>[java/nio/ByteBuffer.allocate, org/apache/commons/codec/binary/Hex."&lt;init&gt;",  org/apache/commons/codec/binary/Hex."&lt;init&gt;",  org/apache/commons/codec/binary/Hex.encodeHex]</t>
  </si>
  <si>
    <t>@Test
public void testEncodeHexByteBufferEmpty() throws EncoderException {
    assertTrue(Arrays.equals(new char[0], Hex.encodeHex(ByteBuffer.allocate(0))));
    assertTrue(Arrays.equals(new byte[0], new Hex().encode(ByteBuffer.allocate(0))));
}
@Test
public void testEncodeByteBufferObjectEmpty() throws EncoderException {
    assertTrue(Arrays.equals(new char[0], (char[]) new Hex().encode((Object) ByteBuffer.allocate(0))));
}</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</si>
  <si>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</si>
  <si>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[org/apache/commons/codec/binary/StringUtils.getByteBufferUtf8,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</si>
  <si>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testGetCharset</t>
  </si>
  <si>
    <t>@Test
public void testGetCharset() throws UnsupportedEncodingException, DecoderException {
    Assert.assertEquals(Charsets.UTF_8, new Hex(Charsets.UTF_8).getCharset());
}
@Test
public void testGetCharsetName() throws UnsupportedEncodingException, DecoderException {
    Assert.assertEquals(Charsets.UTF_8.name(), new Hex(Charsets.UTF_8).getCharsetName());
}</t>
  </si>
  <si>
    <t>[org/apache/commons/codec/binary/Hex."&lt;init&gt;", org/apache/commons/codec/binary/Hex.getCharset]
[java/nio/charset/Charset.name, org/apache/commons/codec/binary/Hex."&lt;init&gt;", org/apache/commons/codec/binary/Hex.getCharsetName]</t>
  </si>
  <si>
    <t>testGetCharsetName</t>
  </si>
  <si>
    <t>[java/nio/charset/Charset.name, org/apache/commons/codec/binary/Hex."&lt;init&gt;",  org/apache/commons/codec/binary/Hex.getCharsetName,  org/apache/commons/codec/binary/Hex.getCharset,  org/apache/commons/codec/binary/Hex."&lt;init&gt;"]</t>
  </si>
  <si>
    <t>@Test
public void testEncodeByteArrayEmpty() throws EncoderException {
    assertTrue(Arrays.equals(new byte[0], new Hex().encode(new byte[0])));
}
@Test
public void testEncodeByteBufferEmpty() throws EncoderException {
    assertTrue(Arrays.equals(new byte[0], new Hex().encode(ByteBuffer.allocate(0))));
}</t>
  </si>
  <si>
    <t>[org/apache/commons/codec/binary/Hex."&lt;init&gt;", org/apache/commons/codec/binary/Hex.encode, java/util/Arrays.equals]
[org/apache/commons/codec/binary/Hex."&lt;init&gt;", java/nio/ByteBuffer.allocate, org/apache/commons/codec/binary/Hex.encode, java/util/Arrays.equals]</t>
  </si>
  <si>
    <t>@Test
public void testEncodeByteArrayEmpty() throws EncoderException {
    assertTrue(Arrays.equals(new byte[0], new Hex().encode(new byte[0])));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</si>
  <si>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
@Test
public void testEncodeByteBufferObjectEmpty() throws EncoderException {
    assertTrue(Arrays.equals(new char[0], (char[]) new Hex().encode((Object) ByteBuffer.allocate(0))));
}</t>
  </si>
  <si>
    <t>@Test
public void testEncodeByteBufferEmpty() throws EncoderException {
    assertTrue(Arrays.equals(new byte[0], new Hex().encode(ByteBuffer.allocate(0))));
}
@Test
public void testEncodeByteBufferObjectEmpty() throws EncoderException {
    assertTrue(Arrays.equals(new char[0], (char[]) new Hex().encode((Object) ByteBuffer.allocate(0))));
}</t>
  </si>
  <si>
    <t>[org/apache/commons/codec/binary/Hex."&lt;init&gt;", java/nio/ByteBuffer.allocate, org/apache/commons/codec/binary/Hex.encode, java/util/Arrays.equals]
[org/apache/commons/codec/binary/Hex."&lt;init&gt;", java/nio/ByteBuffer.allocate, org/apache/commons/codec/binary/Hex.encode, java/util/Arrays.equals]</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</si>
  <si>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</si>
  <si>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[org/apache/commons/codec/binary/StringUtils.getByteBufferUtf8, org/apache/commons/codec/digest/DigestUtils.md5Hex, java/lang/String.length, org/apache/commons/codec/binary/StringUtils.getByteBufferUtf8, org/apache/commons/codec/digest/DigestUtils.md5Hex, java/lang/String.length]</t>
  </si>
  <si>
    <t>testMd5HexLengthForByteBuffer</t>
  </si>
  <si>
    <t>[[testMd5HexLengthForBytes, testMd5HexLengthForByteBuffer, testMd5LengthForBytes, testMd5LengthForByteBuffer], [testSha1UpdateWithByteBuffer]]</t>
  </si>
  <si>
    <t>[ org/apache/commons/codec/binary/StringUtils.getByteBufferUtf8, org/apache/commons/codec/binary/StringUtils.getByteBufferUtf8, org/apache/commons/codec/binary/StringUtils.getBytesUtf8,  org/apache/commons/codec/binary/StringUtils.getBytesUtf8]</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</si>
  <si>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</si>
  <si>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[org/apache/commons/codec/binary/StringUtils.getBytesUtf8, org/apache/commons/codec/digest/DigestUtils.md5, org/apache/commons/codec/binary/StringUtils.getBytesUtf8, org/apache/commons/codec/digest/DigestUtils.md5]</t>
  </si>
  <si>
    <t>/**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</si>
  <si>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[org/apache/commons/codec/binary/StringUtils.getByteBufferUtf8, org/apache/commons/codec/digest/DigestUtils.md5Hex, java/lang/String.length, org/apache/commons/codec/binary/StringUtils.getByteBufferUtf8, org/apache/commons/codec/digest/DigestUtils.md5Hex, java/lang/String.length]
[org/apache/commons/codec/binary/StringUtils.getByteBufferUtf8, org/apache/commons/codec/digest/DigestUtils.md5, org/apache/commons/codec/binary/StringUtils.getByteBufferUtf8, org/apache/commons/codec/digest/DigestUtils.md5]</t>
  </si>
  <si>
    <t>testMd5LengthForByteBuffer</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</si>
  <si>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</si>
  <si>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[org/apache/commons/codec/binary/StringUtils.getBytesUtf8, org/apache/commons/codec/digest/DigestUtils.md5, org/apache/commons/codec/binary/StringUtils.getBytesUtf8, org/apache/commons/codec/digest/DigestUtils.md5]
[org/apache/commons/codec/binary/StringUtils.getByteBufferUtf8, org/apache/commons/codec/digest/DigestUtils.md5, org/apache/commons/codec/binary/StringUtils.getByteBufferUtf8, org/apache/commons/codec/digest/DigestUtils.md5]</t>
  </si>
  <si>
    <t>afc89ebca46a71a9a3a91c9ddea6e17b49282479</t>
  </si>
  <si>
    <t>2ae03e1633ec0a79761b215e8eae2574106bec99</t>
  </si>
  <si>
    <t>testBase64AtBufferStart</t>
  </si>
  <si>
    <t>@Test
public void testBase64AtBufferStart() {
    testBase64InBuffer(0, 100);
}
@Test
public void testBase64AtBufferEnd() {
    testBase64InBuffer(100, 0);
}</t>
  </si>
  <si>
    <t>[.testBase64InBuffer]
[.testBase64InBuffer]</t>
  </si>
  <si>
    <t>testBase64AtBufferEnd</t>
  </si>
  <si>
    <t>[[testBase64AtBufferStart, testBase64AtBufferEnd, testBase64AtBufferMiddle]]</t>
  </si>
  <si>
    <t>@Test
public void testBase64AtBufferStart() {
    testBase64InBuffer(0, 100);
}
@Test
public void testBase64AtBufferMiddle() {
    testBase64InBuffer(100, 100);
}</t>
  </si>
  <si>
    <t>testBase64AtBufferMiddle</t>
  </si>
  <si>
    <t>@Test
public void testBase64AtBufferEnd() {
    testBase64InBuffer(100, 0);
}
@Test
public void testBase64AtBufferMiddle() {
    testBase64InBuffer(100, 100);
}</t>
  </si>
  <si>
    <t>f983a961455efed4dbfbfb7623e43941ba8d31e3</t>
  </si>
  <si>
    <t>testDecodeHexCharArrayEmpty</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</si>
  <si>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</si>
  <si>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</si>
  <si>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testDecodeHexStringEmpty</t>
  </si>
  <si>
    <t>[[testDecodeHexCharArrayEmpty, testDecodeHexStringEmpty], [testDecodeHexStringOddCharacters1], [testEncodeDecodeHexCharArrayRandom]]</t>
  </si>
  <si>
    <t>895315e100486f5778f13106c4ea4f3440eb1298</t>
  </si>
  <si>
    <t>07cd4567d96f916c20af10e2779e44d21c9ac703</t>
  </si>
  <si>
    <t>testMd2HexFile</t>
  </si>
  <si>
    <t>@Test
public void testMd2HexFile() throws IOException {
    assertEquals(DigestUtils.md2Hex(testData), DigestUtils.md2Hex(testFile));
}
@Test
public void testMd5HexFile() throws IOException {
    assertEquals(DigestUtils.md5Hex(testData), DigestUtils.md5Hex(testFile));
}</t>
  </si>
  <si>
    <t>[org/apache/commons/codec/digest/DigestUtils.md2Hex, org/apache/commons/codec/digest/DigestUtils.md2Hex]
[org/apache/commons/codec/digest/DigestUtils.md5Hex, org/apache/commons/codec/digest/DigestUtils.md5Hex]</t>
  </si>
  <si>
    <t>testMd5HexFile</t>
  </si>
  <si>
    <t>[[testMd2HexFile], [testMd5HexFile], [testSha1HexFile], [testSha224HexFile], [testSha256HexFile], [testSha384HexFile], [testSha512HexByteBuffer, testSha512HexFile, testSha512HexInputStream]]</t>
  </si>
  <si>
    <t>[ org/apache/commons/codec/digest/DigestUtils.md2Hex, org/apache/commons/codec/digest/DigestUtils.md5Hex, org/apache/commons/codec/digest/DigestUtils.md2Hex,  org/apache/commons/codec/digest/DigestUtils.md5Hex]</t>
  </si>
  <si>
    <t>@Test
public void testMd2HexFile() throws IOException {
    assertEquals(DigestUtils.md2Hex(testData), DigestUtils.md2Hex(testFile));
}
@Test
public void testSha1HexFile() throws IOException {
    assertEquals(DigestUtils.sha1Hex(testData), DigestUtils.sha1Hex(testFile));
}</t>
  </si>
  <si>
    <t>[org/apache/commons/codec/digest/DigestUtils.md2Hex, org/apache/commons/codec/digest/DigestUtils.md2Hex]
[org/apache/commons/codec/digest/DigestUtils.sha1Hex, org/apache/commons/codec/digest/DigestUtils.sha1Hex]</t>
  </si>
  <si>
    <t>testSha1HexFile</t>
  </si>
  <si>
    <t>[org/apache/commons/codec/digest/DigestUtils.sha1Hex,  org/apache/commons/codec/digest/DigestUtils.sha1Hex,  org/apache/commons/codec/digest/DigestUtils.md2Hex, org/apache/commons/codec/digest/DigestUtils.md2Hex]</t>
  </si>
  <si>
    <t>@Test
public void testMd5HexFile() throws IOException {
    assertEquals(DigestUtils.md5Hex(testData), DigestUtils.md5Hex(testFile));
}
@Test
public void testSha1HexFile() throws IOException {
    assertEquals(DigestUtils.sha1Hex(testData), DigestUtils.sha1Hex(testFile));
}</t>
  </si>
  <si>
    <t>[org/apache/commons/codec/digest/DigestUtils.md5Hex, org/apache/commons/codec/digest/DigestUtils.md5Hex]
[org/apache/commons/codec/digest/DigestUtils.sha1Hex, org/apache/commons/codec/digest/DigestUtils.sha1Hex]</t>
  </si>
  <si>
    <t>[org/apache/commons/codec/digest/DigestUtils.sha1Hex,  org/apache/commons/codec/digest/DigestUtils.sha1Hex, org/apache/commons/codec/digest/DigestUtils.md5Hex,  org/apache/commons/codec/digest/DigestUtils.md5Hex]</t>
  </si>
  <si>
    <t>@Test
public void testSha1HexFile() throws IOException {
    assertEquals(DigestUtils.sha1Hex(testData), DigestUtils.sha1Hex(testFile));
}
@Test
public void testSha512HexFile() throws IOException {
    assertEquals(DigestUtils.sha512Hex(testData), DigestUtils.sha512Hex(testFile));
}</t>
  </si>
  <si>
    <t>[org/apache/commons/codec/digest/DigestUtils.sha1Hex, org/apache/commons/codec/digest/DigestUtils.sha1Hex]
[org/apache/commons/codec/digest/DigestUtils.sha512Hex, org/apache/commons/codec/digest/DigestUtils.sha512Hex]</t>
  </si>
  <si>
    <t>testSha512HexFile</t>
  </si>
  <si>
    <t>[org/apache/commons/codec/digest/DigestUtils.sha1Hex, org/apache/commons/codec/digest/DigestUtils.sha512Hex,  org/apache/commons/codec/digest/DigestUtils.sha512Hex,  org/apache/commons/codec/digest/DigestUtils.sha1Hex]</t>
  </si>
  <si>
    <t>@Test
public void testSha1HexFile() throws IOException {
    assertEquals(DigestUtils.sha1Hex(testData), DigestUtils.sha1Hex(testFile));
}
@Test
public void testSha256HexFile() throws IOException {
    assertEquals(DigestUtils.sha256Hex(testData), DigestUtils.sha256Hex(testFile));
}</t>
  </si>
  <si>
    <t>[org/apache/commons/codec/digest/DigestUtils.sha1Hex, org/apache/commons/codec/digest/DigestUtils.sha1Hex]
[org/apache/commons/codec/digest/DigestUtils.sha256Hex, org/apache/commons/codec/digest/DigestUtils.sha256Hex]</t>
  </si>
  <si>
    <t>testSha256HexFile</t>
  </si>
  <si>
    <t>[org/apache/commons/codec/digest/DigestUtils.sha1Hex,  org/apache/commons/codec/digest/DigestUtils.sha1Hex, org/apache/commons/codec/digest/DigestUtils.sha256Hex,  org/apache/commons/codec/digest/DigestUtils.sha256Hex]</t>
  </si>
  <si>
    <t>@Test
public void testSha1HexFile() throws IOException {
    assertEquals(DigestUtils.sha1Hex(testData), DigestUtils.sha1Hex(testFile));
}
@Test
public void testSha384HexFile() throws IOException {
    assertEquals(DigestUtils.sha384Hex(testData), DigestUtils.sha384Hex(testFile));
}</t>
  </si>
  <si>
    <t>[org/apache/commons/codec/digest/DigestUtils.sha1Hex, org/apache/commons/codec/digest/DigestUtils.sha1Hex]
[org/apache/commons/codec/digest/DigestUtils.sha384Hex, org/apache/commons/codec/digest/DigestUtils.sha384Hex]</t>
  </si>
  <si>
    <t>testSha384HexFile</t>
  </si>
  <si>
    <t>[org/apache/commons/codec/digest/DigestUtils.sha384Hex,  org/apache/commons/codec/digest/DigestUtils.sha384Hex, org/apache/commons/codec/digest/DigestUtils.sha1Hex,  org/apache/commons/codec/digest/DigestUtils.sha1Hex]</t>
  </si>
  <si>
    <t>@Test
public void testSha256HexFile() throws IOException {
    assertEquals(DigestUtils.sha256Hex(testData), DigestUtils.sha256Hex(testFile));
}
@Test
public void testSha384HexFile() throws IOException {
    assertEquals(DigestUtils.sha384Hex(testData), DigestUtils.sha384Hex(testFile));
}</t>
  </si>
  <si>
    <t>[org/apache/commons/codec/digest/DigestUtils.sha256Hex, org/apache/commons/codec/digest/DigestUtils.sha256Hex]
[org/apache/commons/codec/digest/DigestUtils.sha384Hex, org/apache/commons/codec/digest/DigestUtils.sha384Hex]</t>
  </si>
  <si>
    <t>[org/apache/commons/codec/digest/DigestUtils.sha384Hex,  org/apache/commons/codec/digest/DigestUtils.sha384Hex, org/apache/commons/codec/digest/DigestUtils.sha256Hex,  org/apache/commons/codec/digest/DigestUtils.sha256Hex]</t>
  </si>
  <si>
    <t>@Test
public void testSha256HexFile() throws IOException {
    assertEquals(DigestUtils.sha256Hex(testData), DigestUtils.sha256Hex(testFile));
}
@Test
public void testSha512HexFile() throws IOException {
    assertEquals(DigestUtils.sha512Hex(testData), DigestUtils.sha512Hex(testFile));
}</t>
  </si>
  <si>
    <t>[org/apache/commons/codec/digest/DigestUtils.sha256Hex, org/apache/commons/codec/digest/DigestUtils.sha256Hex]
[org/apache/commons/codec/digest/DigestUtils.sha512Hex, org/apache/commons/codec/digest/DigestUtils.sha512Hex]</t>
  </si>
  <si>
    <t>[org/apache/commons/codec/digest/DigestUtils.sha512Hex,  org/apache/commons/codec/digest/DigestUtils.sha512Hex, org/apache/commons/codec/digest/DigestUtils.sha256Hex,  org/apache/commons/codec/digest/DigestUtils.sha256Hex]</t>
  </si>
  <si>
    <t>@Test
public void testSha384HexFile() throws IOException {
    assertEquals(DigestUtils.sha384Hex(testData), DigestUtils.sha384Hex(testFile));
}
@Test
public void testSha512HexFile() throws IOException {
    assertEquals(DigestUtils.sha512Hex(testData), DigestUtils.sha512Hex(testFile));
}</t>
  </si>
  <si>
    <t>[org/apache/commons/codec/digest/DigestUtils.sha384Hex, org/apache/commons/codec/digest/DigestUtils.sha384Hex]
[org/apache/commons/codec/digest/DigestUtils.sha512Hex, org/apache/commons/codec/digest/DigestUtils.sha512Hex]</t>
  </si>
  <si>
    <t>org.apache.commons.codec.digest.MessageDigestAlgorithmTest</t>
  </si>
  <si>
    <t>a82070e546d2c2f871895d32cd2f6629480c02bc</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</si>
  <si>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</si>
  <si>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</si>
  <si>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.getTestFile, org/apache/commons/codec/digest/DigestUtils.digest, .digestTestData, .getTestFile, org/apache/commons/codec/digest/MessageDigestAlgorithm.digest]</t>
  </si>
  <si>
    <t>testDigestFile</t>
  </si>
  <si>
    <t>[ .getTestData,  .getTestFile]</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</si>
  <si>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</si>
  <si>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t>
  </si>
  <si>
    <t>testDigestByteBuffer</t>
  </si>
  <si>
    <t>[ java/nio/ByteBuffer.wrap]</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</si>
  <si>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</si>
  <si>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</si>
  <si>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testDigestInputStream</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</si>
  <si>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</si>
  <si>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</si>
  <si>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 java/nio/ByteBuffer.wrap,  java/io/ByteArrayInputStream."&lt;init&gt;"]</t>
  </si>
  <si>
    <t>org.apache.commons.codec.digest.HmacAlgorithmsTest</t>
  </si>
  <si>
    <t>1e48e151ea23f8891902834a4553a806c1312d60</t>
  </si>
  <si>
    <t>testGetHmacEmptyKey</t>
  </si>
  <si>
    <t>@Test(expected = IllegalArgumentException.class)
public void testGetHmacEmptyKey() {
    hmacAlgorithm.getHmac(EMPTY_BYTE_ARRAY);
}
@Test(expected = IllegalArgumentException.class)
public void testGetHmacNullKey() {
    hmacAlgorithm.getHmac(null);
}</t>
  </si>
  <si>
    <t>[org/apache/commons/codec/digest/HmacAlgorithms.getHmac]
[org/apache/commons/codec/digest/HmacAlgorithms.getHmac]</t>
  </si>
  <si>
    <t>testGetHmacNullKey</t>
  </si>
  <si>
    <t>testHmacFailByteArray</t>
  </si>
  <si>
    <t>@Test(expected = IllegalArgumentException.class)
public void testHmacFailByteArray() throws IOException {
    hmacAlgorithm.hmac((byte[]) null, STANDARD_PHRASE_BYTES);
}
@Test(expected = IllegalArgumentException.class)
public void testHmacHexFailByteArray() throws IOException {
    hmacAlgorithm.hmacHex((byte[]) null, STANDARD_PHRASE_BYTES);
}</t>
  </si>
  <si>
    <t>[org/apache/commons/codec/digest/HmacAlgorithms.hmac]
[org/apache/commons/codec/digest/HmacAlgorithms.hmacHex]</t>
  </si>
  <si>
    <t>testHmacHexFailByteArray</t>
  </si>
  <si>
    <t>[org/apache/commons/codec/digest/HmacAlgorithms.hmac, org/apache/commons/codec/digest/HmacAlgorithms.hmacHex]</t>
  </si>
  <si>
    <t>@Test(expected = IllegalArgumentException.class)
public void testHmacFailByteArray() throws IOException {
    hmacAlgorithm.hmac((byte[]) null, STANDARD_PHRASE_BYTES);
}
@Test(expected = IllegalArgumentException.class)
public void testHmacFailString() throws IOException {
    hmacAlgorithm.hmac((String) null, STANDARD_PHRASE_STRING);
}</t>
  </si>
  <si>
    <t>[org/apache/commons/codec/digest/HmacAlgorithms.hmac]
[org/apache/commons/codec/digest/HmacAlgorithms.hmac]</t>
  </si>
  <si>
    <t>testHmacFailString</t>
  </si>
  <si>
    <t>@Test(expected = IllegalArgumentException.class)
public void testHmacFailByteArray() throws IOException {
    hmacAlgorithm.hmac((byte[]) null, STANDARD_PHRASE_BYTES);
}
@Test
public void testMacByteArary() throws IOException {
    Assert.assertArrayEquals(standardResultBytes, hmacAlgorithm.hmac(STANDARD_KEY_BYTES, STANDARD_PHRASE_BYTES));
}</t>
  </si>
  <si>
    <t>testMacByteArary</t>
  </si>
  <si>
    <t>testHmacFailInputStream</t>
  </si>
  <si>
    <t>@Test(expected = IllegalArgumentException.class)
public void testHmacFailInputStream() throws IOException {
    hmacAlgorithm.hmac((byte[]) null, new ByteArrayInputStream(STANDARD_PHRASE_BYTES));
}
@Test(expected = IllegalArgumentException.class)
public void testHmacHexFailInputStream() throws IOException {
    hmacAlgorithm.hmacHex((byte[]) null, new ByteArrayInputStream(STANDARD_PHRASE_BYTES));
}</t>
  </si>
  <si>
    <t>[java/io/ByteArrayInputStream."&lt;init&gt;", org/apache/commons/codec/digest/HmacAlgorithms.hmac]
[java/io/ByteArrayInputStream."&lt;init&gt;", org/apache/commons/codec/digest/HmacAlgorithms.hmacHex]</t>
  </si>
  <si>
    <t>testHmacHexFailInputStream</t>
  </si>
  <si>
    <t>[ org/apache/commons/codec/digest/HmacAlgorithms.hmacHex,  org/apache/commons/codec/digest/HmacAlgorithms.hmac]</t>
  </si>
  <si>
    <t>@Test(expected = IllegalArgumentException.class)
public void testHmacFailInputStream() throws IOException {
    hmacAlgorithm.hmac((byte[]) null,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</si>
  <si>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
[java/io/ByteArrayInputStream."&lt;init&gt;", org/apache/commons/codec/digest/HmacAlgorithms.hmac]</t>
  </si>
  <si>
    <t>testMacInputStream</t>
  </si>
  <si>
    <t>@Test(expected = IllegalArgumentException.class)
public void testHmacFailString() throws IOException {
    hmacAlgorithm.hmac((String) null, STANDARD_PHRASE_STRING);
}
@Test(expected = IllegalArgumentException.class)
public void testHmacHexFailString() throws IOException {
    hmacAlgorithm.hmacHex((String) null, STANDARD_PHRASE_STRING);
}</t>
  </si>
  <si>
    <t>testHmacHexFailString</t>
  </si>
  <si>
    <t>@Test(expected = IllegalArgumentException.class)
public void testHmacFailString() throws IOException {
    hmacAlgorithm.hmac((String) null, STANDARD_PHRASE_STRING);
}
@Test
public void testMacByteArary() throws IOException {
    Assert.assertArrayEquals(standardResultBytes, hmacAlgorithm.hmac(STANDARD_KEY_BYTES, STANDARD_PHRASE_BYTES));
}</t>
  </si>
  <si>
    <t>@Test(expected = IllegalArgumentException.class)
public void testHmacHexFailByteArray() throws IOException {
    hmacAlgorithm.hmacHex((byte[]) null, STANDARD_PHRASE_BYTES);
}
@Test(expected = IllegalArgumentException.class)
public void testHmacHexFailString() throws IOException {
    hmacAlgorithm.hmacHex((String) null, STANDARD_PHRASE_STRING);
}</t>
  </si>
  <si>
    <t>[org/apache/commons/codec/digest/HmacAlgorithms.hmacHex]
[org/apache/commons/codec/digest/HmacAlgorithms.hmacHex]</t>
  </si>
  <si>
    <t>@Test(expected = IllegalArgumentException.class)
public void testHmacHexFailByteArray() throws IOException {
    hmacAlgorithm.hmacHex((byte[]) null, STANDARD_PHRASE_BYTES);
}
@Test
public void testMacHexByteArray() throws IOException {
    Assert.assertEquals(standardResultString, hmacAlgorithm.hmacHex(STANDARD_KEY_BYTES, STANDARD_PHRASE_BYTES));
}</t>
  </si>
  <si>
    <t>testMacHexByteArray</t>
  </si>
  <si>
    <t>@Test(expected = IllegalArgumentException.class)
public void testHmacHexFailByteArray() throws IOException {
    hmacAlgorithm.hmacHex((byte[]) null, STANDARD_PHRASE_BYTES);
}
@Test
public void testMacHexString() throws IOException {
    Assert.assertEquals(standardResultString, hmacAlgorithm.hmacHex(STANDARD_KEY_STRING, STANDARD_PHRASE_STRING));
}</t>
  </si>
  <si>
    <t>testMacHexString</t>
  </si>
  <si>
    <t>@Test(expected = IllegalArgumentException.class)
public void testHmacHexFailInputStream() throws IOException {
    hmacAlgorithm.hmacHex((byte[]) null, new ByteArrayInputStream(STANDARD_PHRASE_BYTES));
}
@Test
public void testMacHexInputStream() throws IOException {
    Assert.assertEquals(standardResultString, hmacAlgorithm.hmacHex(STANDARD_KEY_BYTES, new ByteArrayInputStream(STANDARD_PHRASE_BYTES)));
}</t>
  </si>
  <si>
    <t>[java/io/ByteArrayInputStream."&lt;init&gt;", org/apache/commons/codec/digest/HmacAlgorithms.hmacHex]
[java/io/ByteArrayInputStream."&lt;init&gt;", org/apache/commons/codec/digest/HmacAlgorithms.hmacHex]</t>
  </si>
  <si>
    <t>testMacHexInputStream</t>
  </si>
  <si>
    <t>@Test(expected = IllegalArgumentException.class)
public void testHmacHexFailString() throws IOException {
    hmacAlgorithm.hmacHex((String) null, STANDARD_PHRASE_STRING);
}
@Test
public void testMacHexString() throws IOException {
    Assert.assertEquals(standardResultString, hmacAlgorithm.hmacHex(STANDARD_KEY_STRING, STANDARD_PHRASE_STRING));
}</t>
  </si>
  <si>
    <t>@Test(expected = IllegalArgumentException.class)
public void testHmacHexFailString() throws IOException {
    hmacAlgorithm.hmacHex((String) null, STANDARD_PHRASE_STRING);
}
@Test
public void testMacHexByteArray() throws IOException {
    Assert.assertEquals(standardResultString, hmacAlgorithm.hmacHex(STANDARD_KEY_BYTES, STANDARD_PHRASE_BYTES));
}</t>
  </si>
  <si>
    <t>@Test
public void testMacHexByteArray() throws IOException {
    Assert.assertEquals(standardResultString, hmacAlgorithm.hmacHex(STANDARD_KEY_BYTES, STANDARD_PHRASE_BYTES));
}
@Test
public void testMacHexString() throws IOException {
    Assert.assertEquals(standardResultString, hmacAlgorithm.hmacHex(STANDARD_KEY_STRING, STANDARD_PHRASE_STRING));
}</t>
  </si>
  <si>
    <t>@Test
public void testMacHexInputStream() throws IOException {
    Assert.assertEquals(standardResultString, hmacAlgorithm.hmacHex(STANDARD_KEY_BYTES,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</si>
  <si>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org/apache/commons/codec/digest/HmacAlgorithms.hmacHex]
[java/io/ByteArrayInputStream."&lt;init&gt;", org/apache/commons/codec/digest/HmacAlgorithms.hmac]</t>
  </si>
  <si>
    <t>@Test
public void testMacHexString() throws IOException {
    Assert.assertEquals(standardResultString, hmacAlgorithm.hmacHex(STANDARD_KEY_STRING, STANDARD_PHRASE_STRING));
}
@Test
public void testMacString() throws IOException {
    Assert.assertArrayEquals(standardResultBytes, hmacAlgorithm.hmac(STANDARD_KEY_STRING, STANDARD_PHRASE_STRING));
}</t>
  </si>
  <si>
    <t>[org/apache/commons/codec/digest/HmacAlgorithms.hmacHex]
[org/apache/commons/codec/digest/HmacAlgorithms.hmac, java/lang/String.getBytes, java/lang/String.getBytes, java/lang/String.toLowerCase, java/lang/String.toLowerCase]</t>
  </si>
  <si>
    <t>testMacString</t>
  </si>
  <si>
    <t>[ java/lang/String.toLowerCase, org/apache/commons/codec/digest/HmacAlgorithms.hmac,  java/lang/String.getBytes, org/apache/commons/codec/digest/HmacAlgorithms.hmacHex]</t>
  </si>
  <si>
    <t>e941b7e3c45e7df96dad9c49235553b1bf585b61</t>
  </si>
  <si>
    <t>8ed787c3799bb9d194e948b54d68ebdabcf1a2ee</t>
  </si>
  <si>
    <t>testDigestByteArrayHex</t>
  </si>
  <si>
    <t>@Test
public void testDigestByteArrayHex() throws IOException {
    Assume.assumeTrue(messageDigestAlgorithm.isAvailable());
    Assert.assertEquals(digestTestDataHex(), messageDigestAlgorithm.digestHex(getTestData()));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</si>
  <si>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.getTestFile, org/apache/commons/codec/digest/MessageDigestAlgorithm.digestHex]</t>
  </si>
  <si>
    <t>testDigestFileHex</t>
  </si>
  <si>
    <t>[[testDigestByteArrayHex], [testDigestByteBufferHex], [testDigestFileHex], [testDigestInputStreamHex]]</t>
  </si>
  <si>
    <t>@Test
public void testDigestByteArrayHex() throws IOException {
    Assume.assumeTrue(messageDigestAlgorithm.isAvailable());
    Assert.assertEquals(digestTestDataHex(), messageDigestAlgorithm.digestHex(getTestData()));
}
@Test
public void testDigestByteBufferHex() throws IOException {
    Assume.assumeTrue(messageDigestAlgorithm.isAvailable());
    Assert.assertEquals(digestTestDataHex(), messageDigestAlgorithm.digestHex(ByteBuffer.wrap(getTestData())));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</si>
  <si>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.getTestData, java/nio/ByteBuffer.wrap, org/apache/commons/codec/digest/MessageDigestAlgorithm.digestHex]</t>
  </si>
  <si>
    <t>testDigestByteBufferHex</t>
  </si>
  <si>
    <t>@Test
public void testDigestByteArrayHex() throws IOException {
    Assume.assumeTrue(messageDigestAlgorithm.isAvailable());
    Assert.assertEquals(digestTestDataHex(), messageDigestAlgorithm.digestHex(getTestData()));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</si>
  <si>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.getTestData, java/io/ByteArrayInputStream."&lt;init&gt;", org/apache/commons/codec/digest/MessageDigestAlgorithm.digestHex]</t>
  </si>
  <si>
    <t>testDigestInputStreamHex</t>
  </si>
  <si>
    <t>@Test
public void testDigestByteBufferHex() throws IOException {
    Assume.assumeTrue(messageDigestAlgorithm.isAvailable());
    Assert.assertEquals(digestTestDataHex(), messageDigestAlgorithm.digestHex(ByteBuffer.wrap(getTestData())));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</si>
  <si>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java/nio/ByteBuffer.wrap, org/apache/commons/codec/digest/MessageDigestAlgorithm.digestHex]
[org/apache/commons/codec/digest/MessageDigestAlgorithm.isAvailable, org/junit/Assume.assumeTrue, .digestTestDataHex, .getTestData, java/io/ByteArrayInputStream."&lt;init&gt;", org/apache/commons/codec/digest/MessageDigestAlgorithm.digestHex]</t>
  </si>
  <si>
    <t>org.apache.commons.codec.digest.PureJavaCrc32CTest</t>
  </si>
  <si>
    <t>817666037d3c09b9138b161964b0fafc76d65998</t>
  </si>
  <si>
    <t>testZeros</t>
  </si>
  <si>
    <t>@Test
public void testZeros() {
    for (int i = 0; i &lt; data.length; i++) {
        data[i] = (byte) 0;
    }
    // aa 36 91 8a
    check(0x8a9136aa);
}
@Test
public void testOnes() {
    for (int i = 0; i &lt; data.length; i++) {
        data[i] = (byte) 0xFF;
    }
    // 43 ab a8 62
    check(0x62a8ab43);
}</t>
  </si>
  <si>
    <t>[.check]
[.check]</t>
  </si>
  <si>
    <t>testOnes</t>
  </si>
  <si>
    <t>@Test
public void testZeros() {
    for (int i = 0; i &lt; data.length; i++) {
        data[i] = (byte) 0;
    }
    // aa 36 91 8a
    check(0x8a9136aa);
}
@Test
public void testIncreasing() {
    for (int i = 0; i &lt; data.length; i++) {
        data[i] = (byte) i;
    }
    // 4e 79 dd 46
    check(0x46dd794e);
}</t>
  </si>
  <si>
    <t>testIncreasing</t>
  </si>
  <si>
    <t>@Test
public void testZeros() {
    for (int i = 0; i &lt; data.length; i++) {
        data[i] = (byte) 0;
    }
    // aa 36 91 8a
    check(0x8a9136aa);
}
@Test
public void testDecreasing() {
    for (int i = 0; i &lt; data.length; i++) {
        data[i] = (byte) (31 - i);
    }
    // 5c db 3f 11
    check(0x113fdb5c);
}</t>
  </si>
  <si>
    <t>testDecreasing</t>
  </si>
  <si>
    <t>@Test
public void testOnes() {
    for (int i = 0; i &lt; data.length; i++) {
        data[i] = (byte) 0xFF;
    }
    // 43 ab a8 62
    check(0x62a8ab43);
}
@Test
public void testIncreasing() {
    for (int i = 0; i &lt; data.length; i++) {
        data[i] = (byte) i;
    }
    // 4e 79 dd 46
    check(0x46dd794e);
}</t>
  </si>
  <si>
    <t>@Test
public void testOnes() {
    for (int i = 0; i &lt; data.length; i++) {
        data[i] = (byte) 0xFF;
    }
    // 43 ab a8 62
    check(0x62a8ab43);
}
@Test
public void testDecreasing() {
    for (int i = 0; i &lt; data.length; i++) {
        data[i] = (byte) (31 - i);
    }
    // 5c db 3f 11
    check(0x113fdb5c);
}</t>
  </si>
  <si>
    <t>@Test
public void testIncreasing() {
    for (int i = 0; i &lt; data.length; i++) {
        data[i] = (byte) i;
    }
    // 4e 79 dd 46
    check(0x46dd794e);
}
@Test
public void testDecreasing() {
    for (int i = 0; i &lt; data.length; i++) {
        data[i] = (byte) (31 - i);
    }
    // 5c db 3f 11
    check(0x113fdb5c);
}</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</si>
  <si>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</si>
  <si>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</si>
  <si>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testEncodeHexByteString_ByteBufferBoolean_ToLowerCase</t>
  </si>
  <si>
    <t>@Test
public void testEncodeHexByteString_ByteBufferBoolean_ToLowerCase() {
    assertEquals("0a", Hex.encodeHexString(ByteBuffer.wrap(new byte[] { 10 }), true));
}
@Test
public void testEncodeHexByteString_ByteBufferBoolean_ToUpperCase() {
    assertEquals("0A", Hex.encodeHexString(ByteBuffer.wrap(new byte[] { 10 }), false));
}</t>
  </si>
  <si>
    <t>[java/nio/ByteBuffer.wrap, org/apache/commons/codec/binary/Hex.encodeHexString]
[java/nio/ByteBuffer.wrap, org/apache/commons/codec/binary/Hex.encodeHexString]</t>
  </si>
  <si>
    <t>testEncodeHexByteString_ByteBufferBoolean_ToUpperCase</t>
  </si>
  <si>
    <t>5ef5bd199a4e3df74479b4b363fa29b0b3092547</t>
  </si>
  <si>
    <t>d2f27093d7d95a07da901902f894d88b4ecc3e95</t>
  </si>
  <si>
    <t>testEqualsCS1</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</si>
  <si>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</si>
  <si>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</si>
  <si>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testEqualsCS2</t>
  </si>
  <si>
    <t>[[testEqualsString, testEqualsCS1, testEqualsCS2]]</t>
  </si>
  <si>
    <t>87f142f5c85c9a7e86d02b4599e3973e773f3d41</t>
  </si>
  <si>
    <t>8d55e2cc3e33280c9e9d01634298d12b47fc839b</t>
  </si>
  <si>
    <t>testGenealogy</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</si>
  <si>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</si>
  <si>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</si>
  <si>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testSimplifiedSoundex</t>
  </si>
  <si>
    <t>[[testGenealogy, testSimplifiedSoundex]]</t>
  </si>
  <si>
    <t>8e601f5773c71a005cbe6f3db7592387bad690b9</t>
  </si>
  <si>
    <t>7817bfdadb9cda107955de03d3d15d64ab89b5dc</t>
  </si>
  <si>
    <t>testBase32HexSamplesReverse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</si>
  <si>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</si>
  <si>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</si>
  <si>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testBase32HexSamplesReverseLowercase</t>
  </si>
  <si>
    <t>[[testBase32HexSamplesReverse, testBase32HexSamplesReverseLowercase], [testBase32BinarySamples, testBase32BinarySamplesReverse]]</t>
  </si>
  <si>
    <t>[ java/lang/String.toLowerCase]</t>
  </si>
  <si>
    <t>org.apache.commons.codec.net.PercentCodecTest</t>
  </si>
  <si>
    <t>924540abc919d32a8aaa92c6f18906f01e64e167</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</si>
  <si>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</si>
  <si>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</si>
  <si>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testUnsafeCharEncodeDecode</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</si>
  <si>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t>
  </si>
  <si>
    <t>testSafeCharEncodeDecodeObject</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</si>
  <si>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</si>
  <si>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[org/apache/commons/codec/net/PercentCodec."&lt;init&gt;", java/nio/charset/Charset.forName, java/lang/String.getBytes, org/apache/commons/codec/net/PercentCodec.encode, java/lang/String."&lt;init&gt;", org/apache/commons/codec/net/PercentCodec.decode, java/lang/String."&lt;init&gt;"]
[java/lang/String.getBytes, org/apache/commons/codec/net/PercentCodec."&lt;init&gt;", java/nio/charset/Charset.forName, java/lang/String.getBytes, org/apache/commons/codec/net/PercentCodec.encode, java/lang/String."&lt;init&gt;", org/apache/commons/codec/net/PercentCodec.decode, java/lang/String."&lt;init&gt;"]</t>
  </si>
  <si>
    <t>testConfigurablePercentEncoder</t>
  </si>
  <si>
    <t>[ org/apache/commons/codec/net/PercentCodec."&lt;init&gt;", java/lang/String.getBytes, org/apache/commons/codec/net/PercentCodec."&lt;init&gt;"]</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</si>
  <si>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</si>
  <si>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testPercentEncoderDecoderWithPlusForSpace</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</si>
  <si>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</si>
  <si>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</si>
  <si>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</si>
  <si>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</si>
  <si>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</si>
  <si>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</si>
  <si>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[java/lang/String.getBytes, 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</si>
  <si>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testEncodeUnsupportedObject</t>
  </si>
  <si>
    <t>@Test(expected = EncoderException.class)
public void testEncodeUnsupportedObject() throws Exception {
    PercentCodec percentCodec = new PercentCodec();
    percentCodec.encode("test");
}
@Test(expected = DecoderException.class)
public void testDecodeUnsupportedObject() throws Exception {
    PercentCodec percentCodec = new PercentCodec();
    percentCodec.decode("test");
}</t>
  </si>
  <si>
    <t>[org/apache/commons/codec/net/PercentCodec."&lt;init&gt;", org/apache/commons/codec/net/PercentCodec.encode]
[org/apache/commons/codec/net/PercentCodec."&lt;init&gt;", org/apache/commons/codec/net/PercentCodec.decode]</t>
  </si>
  <si>
    <t>testDecodeUnsupportedObject</t>
  </si>
  <si>
    <t>[ org/apache/commons/codec/net/PercentCodec.encode,  org/apache/commons/codec/net/PercentCodec.decode]</t>
  </si>
  <si>
    <t>@Test(expected = EncoderException.class)
public void testEncodeUnsupportedObject() throws Exception {
    PercentCodec percentCodec = new PercentCodec();
    percentCodec.encode("test");
}
@Test
public void testEncodeNullObject() throws Exception {
    PercentCodec percentCodec = new PercentCodec();
    assertEquals(percentCodec.encode((Object) null), null);
}</t>
  </si>
  <si>
    <t>[org/apache/commons/codec/net/PercentCodec."&lt;init&gt;", org/apache/commons/codec/net/PercentCodec.encode]
[org/apache/commons/codec/net/PercentCodec."&lt;init&gt;", org/apache/commons/codec/net/PercentCodec.encode]</t>
  </si>
  <si>
    <t>testEncodeNullObject</t>
  </si>
  <si>
    <t>@Test
public void testEncodeNullObject() throws Exception {
    PercentCodec percentCodec = new PercentCodec();
    assertEquals(percentCodec.encode((Object) null), null);
}
@Test
public void testDecodeNullObject() throws Exception {
    PercentCodec percentCodec = new PercentCodec();
    assertEquals(percentCodec.decode((Object) null), null);
}</t>
  </si>
  <si>
    <t>testDecodeNullObject</t>
  </si>
  <si>
    <t>@Test(expected = DecoderException.class)
public void testDecodeUnsupportedObject() throws Exception {
    PercentCodec percentCodec = new PercentCodec();
    percentCodec.decode("test");
}
@Test
public void testDecodeNullObject() throws Exception {
    PercentCodec percentCodec = new PercentCodec();
    assertEquals(percentCodec.decode((Object) null), null);
}</t>
  </si>
  <si>
    <t>[org/apache/commons/codec/net/PercentCodec."&lt;init&gt;", org/apache/commons/codec/net/PercentCodec.decode]
[org/apache/commons/codec/net/PercentCodec."&lt;init&gt;", org/apache/commons/codec/net/PercentCodec.decode]</t>
  </si>
  <si>
    <t>testSha3_224</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</si>
  <si>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</si>
  <si>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[.assumeJava9, org/apache/commons/codec/digest/DigestUtils.sha3_224Hex]
[.assumeJava9, org/apache/commons/codec/digest/DigestUtils.sha3_384Hex]</t>
  </si>
  <si>
    <t>testSha3_384</t>
  </si>
  <si>
    <t>[[testSha3_224, testSha3_256, testSha3_384, testSha3_512, testSha256HexInputStream, testSha384HexInputStream], [testSha3_224HexInputStream, testSha3_256HexInputStream, testSha3_384HexInputStream, testSha3_512HexInputStream]]</t>
  </si>
  <si>
    <t>[ org/apache/commons/codec/digest/DigestUtils.sha3_384Hex,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</si>
  <si>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</si>
  <si>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[.assumeJava9, org/apache/commons/codec/digest/DigestUtils.sha3_224Hex]
[.assumeJava9, org/apache/commons/codec/digest/DigestUtils.sha3_256Hex]</t>
  </si>
  <si>
    <t>testSha3_256</t>
  </si>
  <si>
    <t>[ org/apache/commons/codec/digest/DigestUtils.sha3_256Hex,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</si>
  <si>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</si>
  <si>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org/apache/commons/codec/digest/DigestUtils.sha3_224Hex]
[.assumeJava9, org/apache/commons/codec/digest/DigestUtils.sha3_512Hex]</t>
  </si>
  <si>
    <t>testSha3_512</t>
  </si>
  <si>
    <t>[ org/apache/commons/codec/digest/DigestUtils.sha3_512Hex,  org/apache/commons/codec/digest/DigestUtils.sha3_224Hex]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</si>
  <si>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</si>
  <si>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org/apache/commons/codec/digest/DigestUtils.sha3_256Hex]
[.assumeJava9, org/apache/commons/codec/digest/DigestUtils.sha3_512Hex]</t>
  </si>
  <si>
    <t>[ org/apache/commons/codec/digest/DigestUtils.sha3_256Hex,  org/apache/commons/codec/digest/DigestUtils.sha3_512Hex]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</si>
  <si>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</si>
  <si>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[.assumeJava9, org/apache/commons/codec/digest/DigestUtils.sha3_256Hex]
[.assumeJava9, org/apache/commons/codec/digest/DigestUtils.sha3_384Hex]</t>
  </si>
  <si>
    <t>[ org/apache/commons/codec/digest/DigestUtils.sha3_256Hex,  org/apache/commons/codec/digest/DigestUtils.sha3_384Hex]</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</si>
  <si>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</si>
  <si>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org/apache/commons/codec/digest/DigestUtils.sha3_384Hex]
[.assumeJava9, org/apache/commons/codec/digest/DigestUtils.sha3_512Hex]</t>
  </si>
  <si>
    <t>[ org/apache/commons/codec/digest/DigestUtils.sha3_384Hex,  org/apache/commons/codec/digest/DigestUtils.sha3_512Hex]</t>
  </si>
  <si>
    <t>@Test
public void testSha256HexInputStream() throws IOException {
    assertEquals(DigestUtils.sha256Hex(testData), DigestUtils.sha256Hex(new ByteArrayInputStream(testData)));
}
@Test
public void testSha384HexInputStream() throws IOException {
    assertEquals(DigestUtils.sha384Hex(testData), DigestUtils.sha384Hex(new ByteArrayInputStream(testData)));
}</t>
  </si>
  <si>
    <t>[org/apache/commons/codec/digest/DigestUtils.sha256Hex, java/io/ByteArrayInputStream."&lt;init&gt;", org/apache/commons/codec/digest/DigestUtils.sha256Hex]
[org/apache/commons/codec/digest/DigestUtils.sha384Hex, java/io/ByteArrayInputStream."&lt;init&gt;", org/apache/commons/codec/digest/DigestUtils.sha384Hex]</t>
  </si>
  <si>
    <t>testSha3_224HexInputStream</t>
  </si>
  <si>
    <t>@Test
public void testSha3_224HexInputStream() throws IOException {
    assumeJava9();
    assertEquals(DigestUtils.sha3_224Hex(testData), DigestUtils.sha3_224Hex(new ByteArrayInputStream(testData)));
}
@Test
public void testSha3_384HexInputStream() throws IOException {
    assumeJava9();
    assertEquals(DigestUtils.sha3_384Hex(testData), DigestUtils.sha3_384Hex(new ByteArrayInputStream(testData)));
}</t>
  </si>
  <si>
    <t>[.assumeJava9, org/apache/commons/codec/digest/DigestUtils.sha3_224Hex, java/io/ByteArrayInputStream."&lt;init&gt;", org/apache/commons/codec/digest/DigestUtils.sha3_224Hex]
[.assumeJava9, org/apache/commons/codec/digest/DigestUtils.sha3_384Hex, java/io/ByteArrayInputStream."&lt;init&gt;", org/apache/commons/codec/digest/DigestUtils.sha3_384Hex]</t>
  </si>
  <si>
    <t>testSha3_384HexInputStream</t>
  </si>
  <si>
    <t>@Test
public void testSha3_224HexInputStream() throws IOException {
    assumeJava9();
    assertEquals(DigestUtils.sha3_224Hex(testData), DigestUtils.sha3_224Hex(new ByteArrayInputStream(testData)));
}
@Test
public void testSha3_256HexInputStream() throws IOException {
    assumeJava9();
    assertEquals(DigestUtils.sha3_256Hex(testData), DigestUtils.sha3_256Hex(new ByteArrayInputStream(testData)));
}</t>
  </si>
  <si>
    <t>[.assumeJava9, org/apache/commons/codec/digest/DigestUtils.sha3_224Hex, java/io/ByteArrayInputStream."&lt;init&gt;", org/apache/commons/codec/digest/DigestUtils.sha3_224Hex]
[.assumeJava9, org/apache/commons/codec/digest/DigestUtils.sha3_256Hex, java/io/ByteArrayInputStream."&lt;init&gt;", org/apache/commons/codec/digest/DigestUtils.sha3_256Hex]</t>
  </si>
  <si>
    <t>testSha3_256HexInputStream</t>
  </si>
  <si>
    <t>@Test
public void testSha3_224HexInputStream() throws IOException {
    assumeJava9();
    assertEquals(DigestUtils.sha3_224Hex(testData), DigestUtils.sha3_224Hex(new ByteArrayInputStream(testData)));
}
@Test
public void testSha3_512HexInputStream() throws IOException {
    assumeJava9();
    assertEquals(DigestUtils.sha3_512Hex(testData), DigestUtils.sha3_512Hex(new ByteArrayInputStream(testData)));
}</t>
  </si>
  <si>
    <t>[.assumeJava9, org/apache/commons/codec/digest/DigestUtils.sha3_224Hex, java/io/ByteArrayInputStream."&lt;init&gt;", org/apache/commons/codec/digest/DigestUtils.sha3_224Hex]
[.assumeJava9, org/apache/commons/codec/digest/DigestUtils.sha3_512Hex, java/io/ByteArrayInputStream."&lt;init&gt;", org/apache/commons/codec/digest/DigestUtils.sha3_512Hex]</t>
  </si>
  <si>
    <t>testSha3_512HexInputStream</t>
  </si>
  <si>
    <t>@Test
public void testSha3_256HexInputStream() throws IOException {
    assumeJava9();
    assertEquals(DigestUtils.sha3_256Hex(testData), DigestUtils.sha3_256Hex(new ByteArrayInputStream(testData)));
}
@Test
public void testSha3_384HexInputStream() throws IOException {
    assumeJava9();
    assertEquals(DigestUtils.sha3_384Hex(testData), DigestUtils.sha3_384Hex(new ByteArrayInputStream(testData)));
}</t>
  </si>
  <si>
    <t>[.assumeJava9, org/apache/commons/codec/digest/DigestUtils.sha3_256Hex, java/io/ByteArrayInputStream."&lt;init&gt;", org/apache/commons/codec/digest/DigestUtils.sha3_256Hex]
[.assumeJava9, org/apache/commons/codec/digest/DigestUtils.sha3_384Hex, java/io/ByteArrayInputStream."&lt;init&gt;", org/apache/commons/codec/digest/DigestUtils.sha3_384Hex]</t>
  </si>
  <si>
    <t>@Test
public void testSha3_256HexInputStream() throws IOException {
    assumeJava9();
    assertEquals(DigestUtils.sha3_256Hex(testData), DigestUtils.sha3_256Hex(new ByteArrayInputStream(testData)));
}
@Test
public void testSha3_512HexInputStream() throws IOException {
    assumeJava9();
    assertEquals(DigestUtils.sha3_512Hex(testData), DigestUtils.sha3_512Hex(new ByteArrayInputStream(testData)));
}</t>
  </si>
  <si>
    <t>[.assumeJava9, org/apache/commons/codec/digest/DigestUtils.sha3_256Hex, java/io/ByteArrayInputStream."&lt;init&gt;", org/apache/commons/codec/digest/DigestUtils.sha3_256Hex]
[.assumeJava9, org/apache/commons/codec/digest/DigestUtils.sha3_512Hex, java/io/ByteArrayInputStream."&lt;init&gt;", org/apache/commons/codec/digest/DigestUtils.sha3_512Hex]</t>
  </si>
  <si>
    <t>@Test
public void testSha3_384HexInputStream() throws IOException {
    assumeJava9();
    assertEquals(DigestUtils.sha3_384Hex(testData), DigestUtils.sha3_384Hex(new ByteArrayInputStream(testData)));
}
@Test
public void testSha3_512HexInputStream() throws IOException {
    assumeJava9();
    assertEquals(DigestUtils.sha3_512Hex(testData), DigestUtils.sha3_512Hex(new ByteArrayInputStream(testData)));
}</t>
  </si>
  <si>
    <t>[.assumeJava9, org/apache/commons/codec/digest/DigestUtils.sha3_384Hex, java/io/ByteArrayInputStream."&lt;init&gt;", org/apache/commons/codec/digest/DigestUtils.sha3_384Hex]
[.assumeJava9, org/apache/commons/codec/digest/DigestUtils.sha3_512Hex, java/io/ByteArrayInputStream."&lt;init&gt;", org/apache/commons/codec/digest/DigestUtils.sha3_512Hex]</t>
  </si>
  <si>
    <t>b80adee9d1aba0025c71cf51e1158c03b71b1138</t>
  </si>
  <si>
    <t>testSha2CryptWrongSalt</t>
  </si>
  <si>
    <t>@Test(expected = IllegalArgumentException.class)
public void testSha2CryptWrongSalt() {
    Sha2Crypt.sha512Crypt("secret".getBytes(Charsets.UTF_8), "xx");
}
@Test(expected = IllegalArgumentException.class)
public void testSha512CryptWithEmptySalt() {
    Sha2Crypt.sha512Crypt("secret".getBytes(), "");
}</t>
  </si>
  <si>
    <t>[java/lang/String.getBytes, org/apache/commons/codec/digest/Sha2Crypt.sha512Crypt]
[java/lang/String.getBytes, org/apache/commons/codec/digest/Sha2Crypt.sha512Crypt]</t>
  </si>
  <si>
    <t>testSha512CryptWithEmptySalt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</si>
  <si>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</si>
  <si>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</si>
  <si>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</si>
  <si>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testMd5CryptLongInput</t>
  </si>
  <si>
    <t>[ org/apache/commons/codec/digest/Crypt.crypt]</t>
  </si>
  <si>
    <t>testSha2CryptRounds</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</si>
  <si>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</si>
  <si>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</si>
  <si>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testSha256CryptWithEmptySalt</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</si>
  <si>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
public void testApr1LongSalt() {
    assertEquals("$apr1$12345678$0lqb/6VUFP8JY/s/jTrIk0", Md5Crypt.apr1Crypt("secret", "12345678901234567890"));
}</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</si>
  <si>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IllegalArgumentException.class)
public void testApr1CryptWithInvalidSalt() {
    Md5Crypt.apr1Crypt(new byte[0], "!");
}</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</si>
  <si>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
    Md5Crypt.apr1Crypt((byte[]) null);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</si>
  <si>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@Test(expected = IllegalArgumentException.class)
public void testApr1CryptWithEmptySalt() {
    Md5Crypt.apr1Crypt("secret".getBytes(), "");
}</t>
  </si>
  <si>
    <t>[org/apache/commons/codec/digest/Md5Crypt.apr1Crypt, org/apache/commons/codec/digest/Md5Crypt.apr1Crypt, org/apache/commons/codec/digest/Md5Crypt.apr1Crypt, org/apache/commons/codec/digest/Md5Crypt.apr1Crypt, java/lang/String.getBytes, org/apache/commons/codec/digest/Md5Crypt.apr1Crypt]
[java/lang/String.getBytes, org/apache/commons/codec/digest/Md5Crypt.apr1Crypt]</t>
  </si>
  <si>
    <t>@Test
public void testApr1LongSalt() {
    assertEquals("$apr1$12345678$0lqb/6VUFP8JY/s/jTrIk0", Md5Crypt.apr1Crypt("secret", "12345678901234567890"));
}
@Test(expected = NullPointerException.class)
public void testApr1CryptNullData() {
    Md5Crypt.apr1Crypt((byte[]) null);
}</t>
  </si>
  <si>
    <t>@Test(expected = NullPointerException.class)
public void testApr1CryptNullData() {
    Md5Crypt.apr1Crypt((byte[]) null);
}
@Test(expected = IllegalArgumentException.class)
public void testApr1CryptWithInvalidSalt() {
    Md5Crypt.apr1Crypt(new byte[0], "!");
}</t>
  </si>
  <si>
    <t>c2b70e8e34a7c8ebd4c60e287c73f1e95526b2f5</t>
  </si>
  <si>
    <t>a94813fb0ce4597d2465a273821306a055f35492</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</si>
  <si>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</si>
  <si>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</si>
  <si>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</si>
  <si>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</si>
  <si>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</si>
  <si>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</si>
  <si>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</si>
  <si>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</si>
  <si>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</si>
  <si>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</si>
  <si>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</si>
  <si>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</si>
  <si>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</si>
  <si>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</si>
  <si>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</si>
  <si>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</si>
  <si>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</si>
  <si>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</si>
  <si>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</si>
  <si>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testDecodeInvalid() throws Exception {
    final QuotedPrintableCodec qpcodec = new QuotedPrintableCodec();
    try {
        qpcodec.decode("=");
        fail("DecoderException should have been thrown");
    } catch (final DecoderException e) {
        // Expected. Move on
    }
    try {
        qpcodec.decode("=A");
        fail("DecoderException should have been thrown");
    } catch (final DecoderException e) {
        // Expected. Move on
    }
    try {
        qpcodec.decode("=WW");
        fail("DecoderException should have been thrown");
    } catch (final DecoderException e) {
        // Expected. Move on
    }
}
@Test
public void testDecodeStringWithNull() throws Exception {
    final QuotedPrintableCodec qpcodec = new QuotedPrintableCodec();
    final String test = null;
    final String result = qpcodec.decode(test, "charset");
    assertEquals("Result should be null", null, result);
}</t>
  </si>
  <si>
    <t>@Test
public void testEncodeNull() throws Exception {
    final QuotedPrintableCodec qpcodec = new QuotedPrintableCodec();
    final byte[] plain = null;
    final byte[] encoded = qpcodec.encode(plain);
    assertEquals("Encoding a null string should return null", null, encoded);
}
@Test
public void testEncodeStringWithNull() throws Exception {
    final QuotedPrintableCodec qpcodec = new QuotedPrintableCodec();
    final String test = null;
    final String result = qpcodec.encode(test, "charset");
    assertEquals("Result should be null", null, result);
}</t>
  </si>
  <si>
    <t>@Test
public void testEncodeNull() throws Exception {
    final QuotedPrintableCodec qpcodec = new QuotedPrintableCodec();
    final byte[] plain = null;
    final byte[] encoded = qpcodec.encode(plain);
    assertEquals("Encoding a null string should return null", null, encoded);
}
@Test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</si>
  <si>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testEncodeNull() throws Exception {
    final QuotedPrintableCodec qpcodec = new QuotedPrintableCodec();
    final byte[] plain = null;
    final byte[] encoded = qpcodec.encode(plain);
    assertEquals("Encoding a null string should return null", null, encoded);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</si>
  <si>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</si>
  <si>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testEncodeNull() throws Exception {
    final QuotedPrintableCodec qpcodec = new QuotedPrintableCodec();
    final byte[] plain = null;
    final byte[] encoded = qpcodec.encode(plain);
    assertEquals("Encoding a null string should return null", null, encoded);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</si>
  <si>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testDecodeStringWithNull() throws Exception {
    final QuotedPrintableCodec qpcodec = new QuotedPrintableCodec();
    final String test = null;
    final String result = qpcodec.decode(test, "charset");
    assertEquals("Result should be null", null, result);
}</t>
  </si>
  <si>
    <t>@Test
public void testEncodeStringWithNull() throws Exception {
    final QuotedPrintableCodec qpcodec = new QuotedPrintableCodec();
    final String test = null;
    final String result = qpcodec.encode(test, "charset");
    assertEquals("Result should be null", null, result);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</si>
  <si>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</si>
  <si>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testEncodeStringWithNull() throws Exception {
    final QuotedPrintableCodec qpcodec = new QuotedPrintableCodec();
    final String test = null;
    final String result = qpcodec.encode(test, "charset");
    assertEquals("Result should be null", null, result);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</si>
  <si>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</si>
  <si>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testEncodeObjects() throws Exception {
    final QuotedPrintableCodec qpcodec = new QuotedPrintableCodec();
    final String plain = "1+1 = 2";
    String encoded = (String) qpcodec.encode((Object) plain);
    assertEquals("Basic quoted-printable encoding test", "1+1 =3D 2", encoded);
    final byte[] plainBA = plain.getBytes(Charsets.UTF_8);
    final byte[] encodedBA = (byte[]) qpcodec.encode((Object) plainBA);
    encoded = new String(encodedBA);
    assertEquals("Basic quoted-printable encoding test", "1+1 =3D 2", encoded);
    final Object result = qpcodec.encode((Object) null);
    assertEquals("Encoding a null Object should return null", null, result);
    try {
        final Object dObj = Double.valueOf(3.0d);
        qpcodec.encode(dObj);
        fail("Trying to url encode a Double object should cause an exception.");
    } catch (final EncoderException ee) {
        // Exception expected, test segment passes.
    }
}
@Test
public void testDecodeObjects() throws Exception {
    final QuotedPrintableCodec qpcodec = new QuotedPrintableCodec();
    final String plain = "1+1 =3D 2";
    String decoded = (String) qpcodec.decode((Object) plain);
    assertEquals("Basic quoted-printable decoding test", "1+1 = 2", decoded);
    final byte[] plainBA = plain.getBytes(Charsets.UTF_8);
    final byte[] decodedBA = (byte[]) qpcodec.decode((Object) plainBA);
    decoded = new String(decodedBA);
    assertEquals("Basic quoted-printable decoding test", "1+1 = 2", decoded);
    final Object result = qpcodec.decode((Object) null);
    assertEquals("Decoding a null Object should return null", null, result);
    try {
        final Object dObj = Double.valueOf(3.0d);
        qpcodec.decode(dObj);
        fail("Trying to url encode a Double object should cause an exception.");
    } catch (final DecoderException ee) {
        // Exception expected, test segment passes.
    }
}</t>
  </si>
  <si>
    <t>[org/apache/commons/codec/net/QuotedPrintableCodec."&lt;init&gt;", org/apache/commons/codec/net/QuotedPrintableCodec.encode, java/lang/String.getBytes, org/apache/commons/codec/net/QuotedPrintableCodec.encode, java/lang/String."&lt;init&gt;", org/apache/commons/codec/net/QuotedPrintableCodec.encode, java/lang/Double.valueOf, org/apache/commons/codec/net/QuotedPrintableCodec.encode]
[org/apache/commons/codec/net/QuotedPrintableCodec."&lt;init&gt;", org/apache/commons/codec/net/QuotedPrintableCodec.decode, java/lang/String.getBytes, org/apache/commons/codec/net/QuotedPrintableCodec.decode, java/lang/String."&lt;init&gt;", org/apache/commons/codec/net/QuotedPrintableCodec.decode, java/lang/Double.valueOf, org/apache/commons/codec/net/QuotedPrintableCodec.decode]</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</si>
  <si>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</si>
  <si>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</si>
  <si>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</si>
  <si>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</si>
  <si>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</si>
  <si>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</si>
  <si>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</si>
  <si>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org/apache/commons/codec/net/QuotedPrintableCodec.encode]
[org/apache/commons/codec/net/QuotedPrintableCodec."&lt;init&gt;", org/apache/commons/codec/net/QuotedPrintableCodec.decode, org/apache/commons/codec/net/QuotedPrintableCodec.encode, org/apache/commons/codec/net/QuotedPrintableCodec.decode]</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</si>
  <si>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</si>
  <si>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</si>
  <si>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</si>
  <si>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testEncodeStringWithNull() throws Exception {
    final QCodec qcodec = new QCodec();
    final String test = null;
    final String result = qcodec.encode(test, "charset");
    assertEquals("Result should be null", null, result);
}
@Test
public void testDecodeStringWithNull() throws Exception {
    final QCodec qcodec = new QCodec();
    final String test = null;
    final String result = qcodec.decode(test);
    assertEquals("Result should be null", null, result);
}</t>
  </si>
  <si>
    <t>@Test
public void testEncodeObjects() throws Exception {
    final QCodec qcodec = new QCodec();
    final String plain = "1+1 = 2";
    final String encoded = (String) qcodec.encode((Object) plain);
    assertEquals("Basic Q encoding test", "=?UTF-8?Q?1+1 =3D 2?=", encoded);
    final Object result = qcodec.encode((Object) null);
    assertEquals("Encoding a null Object should return null", null, result);
    try {
        final Object dObj = Double.valueOf(3.0d);
        qcodec.encode(dObj);
        fail("Trying to url encode a Double object should cause an exception.");
    } catch (final EncoderException ee) {
        // Exception expected, test segment passes.
    }
}
@Test
public void testDecodeObjects() throws Exception {
    final QCodec qcodec = new QCodec();
    final String decoded = "=?UTF-8?Q?1+1 =3D 2?=";
    final String plain = (String) qcodec.decode((Object) decoded);
    assertEquals("Basic Q decoding test", "1+1 = 2", plain);
    final Object result = qcodec.decode((Object) null);
    assertEquals("Decoding a null Object should return null", null, result);
    try {
        final Object dObj = Double.valueOf(3.0d);
        qcodec.decode(dObj);
        fail("Trying to url encode a Double object should cause an exception.");
    } catch (final DecoderException ee) {
        // Exception expected, test segment passes.
    }
}</t>
  </si>
  <si>
    <t>[org/apache/commons/codec/net/QCodec."&lt;init&gt;", org/apache/commons/codec/net/QCodec.encode, org/apache/commons/codec/net/QCodec.encode, java/lang/Double.valueOf, org/apache/commons/codec/net/QCodec.encode]
[org/apache/commons/codec/net/QCodec."&lt;init&gt;", org/apache/commons/codec/net/QCodec.decode, org/apache/commons/codec/net/QCodec.decode, java/lang/Double.valueOf, org/apache/commons/codec/net/QCodec.decode]</t>
  </si>
  <si>
    <t>@Test
public void testBasicEncodeDecode() throws Exception {
    final BCodec bcodec = new BCodec();
    final String plain = "Hello there";
    final String encoded = bcodec.encode(plain);
    assertEquals("Basic B encoding test", "=?UTF-8?B?SGVsbG8gdGhlcmU=?=", encoded);
    assertEquals("Basic B decoding test", plain, bcodec.decode(encoded));
}
@Test
public void testEncodeDecodeNull() throws Exception {
    final BCodec bcodec = new BCodec();
    assertNull("Null string B encoding test", bcodec.encode((String) null));
    assertNull("Null string B decoding test", bcodec.decode((String) null));
}</t>
  </si>
  <si>
    <t>@Test
public void testEncodeStringWithNull() throws Exception {
    final BCodec bcodec = new BCodec();
    final String test = null;
    final String result = bcodec.encode(test, "charset");
    assertEquals("Result should be null", null, result);
}
@Test
public void testDecodeStringWithNull() throws Exception {
    final BCodec bcodec = new BCodec();
    final String test = null;
    final String result = bcodec.decode(test);
    assertEquals("Result should be null", null, result);
}</t>
  </si>
  <si>
    <t>@Test
public void testEncodeObjects() throws Exception {
    final BCodec bcodec = new BCodec();
    final String plain = "what not";
    final String encoded = (String) bcodec.encode((Object) plain);
    assertEquals("Basic B encoding test", "=?UTF-8?B?d2hhdCBub3Q=?=", encoded);
    final Object result = bcodec.encode((Object) null);
    assertEquals("Encoding a null Object should return null", null, result);
    try {
        final Object dObj = Double.valueOf(3.0d);
        bcodec.encode(dObj);
        fail("Trying to url encode a Double object should cause an exception.");
    } catch (final EncoderException ee) {
        // Exception expected, test segment passes.
    }
}
@Test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t>
  </si>
  <si>
    <t>[org/apache/commons/codec/net/BCodec."&lt;init&gt;", org/apache/commons/codec/net/BCodec.encode, org/apache/commons/codec/net/BCodec.encode, java/lang/Double.valueOf, org/apache/commons/codec/net/BCodec.encode]
[org/apache/commons/codec/net/BCodec."&lt;init&gt;", org/apache/commons/codec/net/BCodec.decode, org/apache/commons/codec/net/BCodec.decode, java/lang/Double.valueOf, org/apache/commons/codec/net/BCodec.decode]</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</si>
  <si>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</si>
  <si>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</si>
  <si>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</si>
  <si>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</si>
  <si>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</si>
  <si>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</si>
  <si>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</si>
  <si>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</si>
  <si>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</si>
  <si>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</si>
  <si>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</si>
  <si>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</si>
  <si>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</si>
  <si>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</si>
  <si>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testEncodeDecodeNull() throws Exception {
    final URLCodec urlCodec = new URLCodec();
    assertNull("Null string URL encoding test", urlCodec.encode((String) null));
    assertNull("Null string URL decoding test", urlCodec.decode((String) null));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</si>
  <si>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testEncodeNull() throws Exception {
    final URLCodec urlCodec = new URLCodec();
    final byte[] plain = null;
    final byte[] encoded = urlCodec.encode(plain);
    assertEquals("Encoding a null string should return null", null, encoded);
    this.validateState(urlCodec);
}
@Test
public void testDefaultEncoding() throws Exception {
    final String plain = "Hello there!";
    final URLCodec urlCodec = new URLCodec("UnicodeBig");
    // To work around a weird quirk in Java 1.2.2
    urlCodec.encode(plain);
    final String encoded1 = urlCodec.encode(plain, "UnicodeBig");
    final String encoded2 = urlCodec.encode(plain);
    assertEquals(encoded1, encoded2);
    this.validateState(urlCodec);
}</t>
  </si>
  <si>
    <t>@Test
public void testEncodeStringWithNull() throws Exception {
    final URLCodec urlCodec = new URLCodec();
    final String test = null;
    final String result = urlCodec.encode(test, "charset");
    assertEquals("Result should be null", null, result);
}
@Test
public void testDecodeStringWithNull() throws Exception {
    final URLCodec urlCodec = new URLCodec();
    final String test = null;
    final String result = urlCodec.decode(test, "charset");
    assertEquals("Result should be null", null, result);
}</t>
  </si>
  <si>
    <t>@Test
public void testEncodeObjects() throws Exception {
    final URLCodec urlCodec = new URLCodec();
    final String plain = "Hello there!";
    String encoded = (String) urlCodec.encode((Object) plain);
    assertEquals("Basic URL encoding test", "Hello+there%21", encoded);
    final byte[] plainBA = plain.getBytes(Charsets.UTF_8);
    final byte[] encodedBA = (byte[]) urlCodec.encode((Object) plainBA);
    encoded = new String(encodedBA);
    assertEquals("Basic URL encoding test", "Hello+there%21", encoded);
    final Object result = urlCodec.encode((Object) null);
    assertEquals("Encoding a null Object should return null", null, result);
    try {
        final Object dObj = Double.valueOf(3.0d);
        urlCodec.encode(dObj);
        fail("Trying to url encode a Double object should cause an exception.");
    } catch (final EncoderException ee) {
        // Exception expected, test segment passes.
    }
    this.validateState(urlCodec);
}
@Test
public void testDecodeObjects() throws Exception {
    final URLCodec urlCodec = new URLCodec();
    final String plain = "Hello+there%21";
    String decoded = (String) urlCodec.decode((Object) plain);
    assertEquals("Basic URL decoding test", "Hello there!", decoded);
    final byte[] plainBA = plain.getBytes(Charsets.UTF_8);
    final byte[] decodedBA = (byte[]) urlCodec.decode((Object) plainBA);
    decoded = new String(decodedBA);
    assertEquals("Basic URL decoding test", "Hello there!", decoded);
    final Object result = urlCodec.decode((Object) null);
    assertEquals("Decoding a null Object should return null", null, result);
    try {
        final Object dObj = Double.valueOf(3.0d);
        urlCodec.decode(dObj);
        fail("Trying to url encode a Double object should cause an exception.");
    } catch (final DecoderException ee) {
        // Exception expected, test segment passes.
    }
    this.validateState(urlCodec);
}</t>
  </si>
  <si>
    <t>[org/apache/commons/codec/net/URLCodec."&lt;init&gt;", org/apache/commons/codec/net/URLCodec.encode, java/lang/String.getBytes, org/apache/commons/codec/net/URLCodec.encode, java/lang/String."&lt;init&gt;", org/apache/commons/codec/net/URLCodec.encode, java/lang/Double.valueOf, org/apache/commons/codec/net/URLCodec.encode, .validateState]
[org/apache/commons/codec/net/URLCodec."&lt;init&gt;", org/apache/commons/codec/net/URLCodec.decode, java/lang/String.getBytes, org/apache/commons/codec/net/URLCodec.decode, java/lang/String."&lt;init&gt;", org/apache/commons/codec/net/URLCodec.decode, java/lang/Double.valueOf, org/apache/commons/codec/net/URLCodec.decode, .validateState]</t>
  </si>
  <si>
    <t>65782e92806986680757585bc0e995a7603625a9</t>
  </si>
  <si>
    <t>testBase32ImpossibleSamples</t>
  </si>
  <si>
    <t>@Test
public void testBase32ImpossibleSamples() {
    testImpossibleCases(new Base32(), BASE32_IMPOSSIBLE_CASES);
}
@Test
public void testBase32HexImpossibleSamples() {
    testImpossibleCases(new Base32(true), BASE32HEX_IMPOSSIBLE_CASES);
}</t>
  </si>
  <si>
    <t>[org/apache/commons/codec/binary/Base32."&lt;init&gt;", .testImpossibleCases]
[org/apache/commons/codec/binary/Base32."&lt;init&gt;", .testImpossibleCases, org/apache/commons/codec/binary/Hex."&lt;init&gt;", org/apache/commons/codec/binary/Hex.decode, org/apache/commons/codec/binary/Hex.decode, org/apache/commons/codec/binary/Hex.decode, java/lang/Error."&lt;init&gt;"]</t>
  </si>
  <si>
    <t>testBase32HexImpossibleSamples</t>
  </si>
  <si>
    <t>[[testBase32ImpossibleSamples, testBase32ImpossibleChunked, testBase32HexImpossibleSamples]]</t>
  </si>
  <si>
    <t>[ org/apache/commons/codec/binary/Hex.decode,  org/apache/commons/codec/binary/Hex."&lt;init&gt;",  java/lang/Error."&lt;init&gt;"]</t>
  </si>
  <si>
    <t>@Test
public void testBase32ImpossibleSamples() {
    testImpossibleCases(new Base32(), BASE32_IMPOSSIBLE_CASES);
}
@Test
public void testBase32ImpossibleChunked() {
    testImpossibleCases(new Base32(20), BASE32_IMPOSSIBLE_CASES_CHUNKED);
}</t>
  </si>
  <si>
    <t>[org/apache/commons/codec/binary/Base32."&lt;init&gt;", .testImpossibleCases]
[org/apache/commons/codec/binary/Base32."&lt;init&gt;", .testImpossibleCases]</t>
  </si>
  <si>
    <t>testBase32ImpossibleChunked</t>
  </si>
  <si>
    <t>2bcdfd86643761c239ec40e6e1e2f05855a07f95</t>
  </si>
  <si>
    <t>test128_Short</t>
  </si>
  <si>
    <t>@Test
public void test128_Short() {
    // Arrange
    ByteBuffer BUFFER = ByteBuffer.allocate(Short.BYTES);
    BUFFER.putShort(0, (short) 2);
    // Act
    long[] result = MurmurHash3.hash128(BUFFER.array());
    // Assert
    assertEquals(result.length, 2);
    assertEquals(8673501042631707204L, result[0]);
    assertEquals(491907755572407714L,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</si>
  <si>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java/nio/ByteBuffer.putShort, java/nio/ByteBuffer.array, org/apache/commons/codec/digest/MurmurHash3.hash128]
[java/nio/ByteBuffer.allocate, java/nio/ByteBuffer.putLong, java/nio/ByteBuffer.array, org/apache/commons/codec/digest/MurmurHash3.hash128]</t>
  </si>
  <si>
    <t>test128_Long</t>
  </si>
  <si>
    <t>[ java/nio/ByteBuffer.putLong,  java/nio/ByteBuffer.putShort]</t>
  </si>
  <si>
    <t>@Test
public void test128_Short() {
    // Arrange
    ByteBuffer BUFFER = ByteBuffer.allocate(Short.BYTES);
    BUFFER.putShort(0, (short) 2);
    // Act
    long[] result = MurmurHash3.hash128(BUFFER.array());
    // Assert
    assertEquals(result.length, 2);
    assertEquals(8673501042631707204L, result[0]);
    assertEquals(491907755572407714L, result[1]);
}
@Test
public void test128_Int() {
    // Arrange
    ByteBuffer BUFFER = ByteBuffer.allocate(Integer.BYTES);
    BUFFER.putInt(0, 3);
    // Act
    long[] result = MurmurHash3.hash128(BUFFER.array());
    // Assert
    assertEquals(result.length, 2);
    assertEquals(2448828847287705405L, result[0]);
    assertEquals(-4568642211270719983L, result[1]);
}</t>
  </si>
  <si>
    <t>[java/nio/ByteBuffer.allocate, java/nio/ByteBuffer.putShort, java/nio/ByteBuffer.array, org/apache/commons/codec/digest/MurmurHash3.hash128]
[java/nio/ByteBuffer.allocate, java/nio/ByteBuffer.putInt, java/nio/ByteBuffer.array, org/apache/commons/codec/digest/MurmurHash3.hash128]</t>
  </si>
  <si>
    <t>test128_Int</t>
  </si>
  <si>
    <t>[ java/nio/ByteBuffer.putInt,  java/nio/ByteBuffer.putShort]</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</si>
  <si>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</si>
  <si>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java/nio/ByteBuffer.putInt, java/nio/ByteBuffer.array, org/apache/commons/codec/digest/MurmurHash3.hash128]
[java/nio/ByteBuffer.allocate, java/nio/ByteBuffer.putLong, java/nio/ByteBuffer.array, org/apache/commons/codec/digest/MurmurHash3.hash128]</t>
  </si>
  <si>
    <t>[ java/nio/ByteBuffer.putInt,  java/nio/ByteBuffer.putLong]</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</si>
  <si>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test128_Double() {
    // Arrange
    ByteBuffer BUFFER = ByteBuffer.allocate(Double.BYTES);
    BUFFER.putDouble(0, 456.987);
    // Act
    long[] result = MurmurHash3.hash128(BUFFER.array());
    // Assert
    assertEquals(result.length, 2);
    assertEquals(6877430437712399133L, result[0]);
    assertEquals(-8576421050167250536L, result[1]);
}</t>
  </si>
  <si>
    <t>[java/nio/ByteBuffer.allocate, java/nio/ByteBuffer.putInt, java/nio/ByteBuffer.array, org/apache/commons/codec/digest/MurmurHash3.hash128]
[java/nio/ByteBuffer.allocate, java/nio/ByteBuffer.putDouble, java/nio/ByteBuffer.array, org/apache/commons/codec/digest/MurmurHash3.hash128]</t>
  </si>
  <si>
    <t>test128_Double</t>
  </si>
  <si>
    <t>[ java/nio/ByteBuffer.putInt,  java/nio/ByteBuffer.putDouble]</t>
  </si>
  <si>
    <t>@Test
public void test128_Long() {
    // Arrange
    ByteBuffer BUFFER = ByteBuffer.allocate(Long.BYTES);
    BUFFER.putLong(0, 8675309L);
    // Act
    long[] result = MurmurHash3.hash128(BUFFER.array());
    // Assert
    assertEquals(result.length, 2);
    assertEquals(2339756411022791995L, result[0]);
    assertEquals(8242951144762217305L, result[1]);
}
@Test
public void test128_Double() {
    // Arrange
    ByteBuffer BUFFER = ByteBuffer.allocate(Double.BYTES);
    BUFFER.putDouble(0, 456.987);
    // Act
    long[] result = MurmurHash3.hash128(BUFFER.array());
    // Assert
    assertEquals(result.length, 2);
    assertEquals(6877430437712399133L, result[0]);
    assertEquals(-8576421050167250536L, result[1]);
}</t>
  </si>
  <si>
    <t>[java/nio/ByteBuffer.allocate, java/nio/ByteBuffer.putLong, java/nio/ByteBuffer.array, org/apache/commons/codec/digest/MurmurHash3.hash128]
[java/nio/ByteBuffer.allocate, java/nio/ByteBuffer.putDouble, java/nio/ByteBuffer.array, org/apache/commons/codec/digest/MurmurHash3.hash128]</t>
  </si>
  <si>
    <t>[ java/nio/ByteBuffer.putLong,  java/nio/ByteBuffer.putDouble]</t>
  </si>
  <si>
    <t>testTwoLongOrdered</t>
  </si>
  <si>
    <t>@Test
public void testTwoLongOrdered() {
    ByteBuffer buffer = ByteBuffer.allocate(Long.BYTES * 2);
    for (long i = 0; i &lt; 1000; i++) {
        for (long j = 0; j &lt; 1000; j++) {
            buffer.putLong(0, i);
            buffer.putLong(Long.BYTES, j);
            assertEquals(MurmurHash3.hash32(buffer.array()), MurmurHash3.hash32(i, j));
        }
    }
}
@Test
public void testSingleLongOrdered() {
    ByteBuffer buffer = ByteBuffer.allocate(Long.BYTES);
    for (long i = 0; i &lt; 1000; i++) {
        buffer.putLong(0, i);
        assertEquals(MurmurHash3.hash32(buffer.array()), MurmurHash3.hash32(i));
    }
}</t>
  </si>
  <si>
    <t>[java/nio/ByteBuffer.allocate, java/nio/ByteBuffer.putLong, java/nio/ByteBuffer.putLong, java/nio/ByteBuffer.array, org/apache/commons/codec/digest/MurmurHash3.hash32, org/apache/commons/codec/digest/MurmurHash3.hash32]
[java/nio/ByteBuffer.allocate, java/nio/ByteBuffer.putLong, java/nio/ByteBuffer.array, org/apache/commons/codec/digest/MurmurHash3.hash32, org/apache/commons/codec/digest/MurmurHash3.hash32]</t>
  </si>
  <si>
    <t>testSingleLongOrdered</t>
  </si>
  <si>
    <t>testTwoLongRandom</t>
  </si>
  <si>
    <t>@Test
public void testTwoLongRandom() {
    ByteBuffer buffer = ByteBuffer.allocate(Long.BYTES * 2);
    Random random = new Random();
    for (long i = 0; i &lt; 1000; i++) {
        for (long j = 0; j &lt; 1000; j++) {
            long x = random.nextLong();
            long y = random.nextLong();
            buffer.putLong(0, x);
            buffer.putLong(Long.BYTES, y);
            assertEquals(MurmurHash3.hash32(buffer.array()), MurmurHash3.hash32(x, y));
        }
    }
}
@Test
public void testSingleLongRandom() {
    ByteBuffer buffer = ByteBuffer.allocate(Long.BYTES);
    Random random = new Random();
    for (long i = 0; i &lt; 1000; i++) {
        long x = random.nextLong();
        buffer.putLong(0, x);
        assertEquals(MurmurHash3.hash32(buffer.array()), MurmurHash3.hash32(x));
    }
}</t>
  </si>
  <si>
    <t>[java/nio/ByteBuffer.allocate, java/util/Random."&lt;init&gt;", java/util/Random.nextLong, java/util/Random.nextLong, java/nio/ByteBuffer.putLong, java/nio/ByteBuffer.putLong, java/nio/ByteBuffer.array, org/apache/commons/codec/digest/MurmurHash3.hash32, org/apache/commons/codec/digest/MurmurHash3.hash32]
[java/nio/ByteBuffer.allocate, java/util/Random."&lt;init&gt;", java/util/Random.nextLong, java/nio/ByteBuffer.putLong, java/nio/ByteBuffer.array, org/apache/commons/codec/digest/MurmurHash3.hash32, org/apache/commons/codec/digest/MurmurHash3.hash32]</t>
  </si>
  <si>
    <t>testSingleLongRandom</t>
  </si>
  <si>
    <t>org.apache.commons.codec.digest.MurmurHash2Test</t>
  </si>
  <si>
    <t>testHash32ByteArrayIntInt</t>
  </si>
  <si>
    <t>@Test
public void testHash32ByteArrayIntInt() {
    for (int i = 0; i &lt; input.length; i++) {
        int hash = MurmurHash2.hash32(input[i], input[i].length, 0x71b4954d);
        if (hash != results32_seed[i])
            fail(String.format("Unexpected hash32 result for example %d: 0x%08x instead of 0x%08x", i, hash, results32_seed[i]));
    }
}
@Test
public void testHash32ByteArrayInt() {
    for (int i = 0; i &lt; input.length; i++) {
        int hash = MurmurHash2.hash32(input[i], input[i].length);
        if (hash != results32_standard[i])
            fail(String.format("Unexpected hash32 result for example %d: 0x%08x instead of 0x%08x", i, hash, results32_standard[i]));
    }
}</t>
  </si>
  <si>
    <t>[org/apache/commons/codec/digest/MurmurHash2.hash32, java/lang/Integer.valueOf, java/lang/Integer.valueOf, java/lang/Integer.valueOf, java/lang/String.format]
[org/apache/commons/codec/digest/MurmurHash2.hash32, java/lang/Integer.valueOf, java/lang/Integer.valueOf, java/lang/Integer.valueOf, java/lang/String.format]</t>
  </si>
  <si>
    <t>testHash32ByteArrayInt</t>
  </si>
  <si>
    <t>testHash32String</t>
  </si>
  <si>
    <t>@Test
public void testHash32String() {
    int hash = MurmurHash2.hash32(text);
    assertTrue(hash == 0xb3bf597e);
}
@Test
public void testHash64String() {
    long hash = MurmurHash2.hash64(text);
    assertTrue(hash == 0x0920e0c1b7eeb261l);
}</t>
  </si>
  <si>
    <t>[org/apache/commons/codec/digest/MurmurHash2.hash32]
[org/apache/commons/codec/digest/MurmurHash2.hash64]</t>
  </si>
  <si>
    <t>testHash64String</t>
  </si>
  <si>
    <t>[org/apache/commons/codec/digest/MurmurHash2.hash64, org/apache/commons/codec/digest/MurmurHash2.hash32]</t>
  </si>
  <si>
    <t>testHash32StringIntInt</t>
  </si>
  <si>
    <t>@Test
public void testHash32StringIntInt() {
    int hash = MurmurHash2.hash32(text, 2, text.length() - 4);
    assertTrue(hash == 0x4d666d90);
}
@Test
public void testHash64StringIntInt() {
    long hash = MurmurHash2.hash64(text, 2, text.length() - 4);
    assertTrue(hash == 0xa8b33145194985a2l);
}</t>
  </si>
  <si>
    <t>[java/lang/String.length, org/apache/commons/codec/digest/MurmurHash2.hash32]
[java/lang/String.length, org/apache/commons/codec/digest/MurmurHash2.hash64]</t>
  </si>
  <si>
    <t>testHash64StringIntInt</t>
  </si>
  <si>
    <t>[ org/apache/commons/codec/digest/MurmurHash2.hash32,  org/apache/commons/codec/digest/MurmurHash2.hash64]</t>
  </si>
  <si>
    <t>testHash64ByteArrayIntInt</t>
  </si>
  <si>
    <t>@Test
public void testHash64ByteArrayIntInt() {
    for (int i = 0; i &lt; input.length; i++) {
        long hash = MurmurHash2.hash64(input[i], input[i].length, 0x344d1f5c);
        assertTrue(String.format("Unexpected hash64 result for example %d: 0x%016x instead of 0x%016x", i, hash, results64_seed[i]), hash == results64_seed[i]);
    }
}
@Test
public void testHash64ByteArrayInt() {
    for (int i = 0; i &lt; input.length; i++) {
        long hash = MurmurHash2.hash64(input[i], input[i].length);
        assertTrue(String.format("Unexpected hash64 result for example %d: 0x%016x instead of 0x%016x", i, hash, results64_standard[i]), hash == results64_standard[i]);
    }
}</t>
  </si>
  <si>
    <t>[org/apache/commons/codec/digest/MurmurHash2.hash64, java/lang/Integer.valueOf, java/lang/Long.valueOf, java/lang/Long.valueOf, java/lang/String.format]
[org/apache/commons/codec/digest/MurmurHash2.hash64, java/lang/Integer.valueOf, java/lang/Long.valueOf, java/lang/Long.valueOf, java/lang/String.format]</t>
  </si>
  <si>
    <t>testHash64ByteArrayInt</t>
  </si>
  <si>
    <t>2d744c87c2c498510f84b5a91dc14ec703d7b022</t>
  </si>
  <si>
    <t>40be3f770c8a1e87342d14a6b730b7d99fef8e71</t>
  </si>
  <si>
    <t>testHash32LongLong</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</si>
  <si>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t>
  </si>
  <si>
    <t>[java/nio/ByteBuffer.allocate, .createLongTestData,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t>
  </si>
  <si>
    <t>testHash32LongLongSeed</t>
  </si>
  <si>
    <t>[ java/util/concurrent/ThreadLocalRandom.current,  java/util/concurrent/ThreadLocalRandom.nextInt]</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</si>
  <si>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works as documented.
 */
@Test
public void testHash32Long() {
    final int length = MurmurHash3.LONG_BYTES;
    final ByteBuffer buffer = ByteBuffer.allocate(length);
    final long[] data = createLongTestData();
    final int seed = MurmurHash3.DEFAULT_SEED;
    for (final long i : data) {
        buffer.putLong(0, i);
        Assert.assertEquals(MurmurHash3.hash32(buffer.array(), length, seed), MurmurHash3.hash32(i));
    }
}</t>
  </si>
  <si>
    <t>[java/nio/ByteBuffer.allocate, .createLongTestData, java/nio/ByteBuffer.putLong, java/nio/ByteBuffer.putLong, java/nio/ByteBuffer.array, org/apache/commons/codec/digest/MurmurHash3.hash32, org/apache/commons/codec/digest/MurmurHash3.hash32]
[java/nio/ByteBuffer.allocate, .createLongTestData, java/nio/ByteBuffer.putLong, java/nio/ByteBuffer.array, org/apache/commons/codec/digest/MurmurHash3.hash32, org/apache/commons/codec/digest/MurmurHash3.hash32]</t>
  </si>
  <si>
    <t>testHash32Long</t>
  </si>
  <si>
    <t>/**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
/**
 * Test the convenience method {@link MurmurHash3#hash32(long, int)} works as documented.
 */
@Test
public void testHash32LongSeed() {
    final int length = MurmurHash3.LONG_BYTES;
    final ByteBuffer buffer = ByteBuffer.allocate(length);
    final long[] data = createLongTestData();
    final int seed = ThreadLocalRandom.current().nextInt();
    for (final long i : data) {
        buffer.putLong(0, i);
        Assert.assertEquals(MurmurHash3.hash32(buffer.array(), length, seed), MurmurHash3.hash32(i, seed));
    }
}</t>
  </si>
  <si>
    <t>[java/nio/ByteBuffer.allocate,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java/nio/ByteBuffer.array, org/apache/commons/codec/digest/MurmurHash3.hash32, org/apache/commons/codec/digest/MurmurHash3.hash32]</t>
  </si>
  <si>
    <t>testHash32LongSeed</t>
  </si>
  <si>
    <t>/**
 * Test the convenience method {@link MurmurHash3#hash32(long)} works as documented.
 */
@Test
public void testHash32Long() {
    final int length = MurmurHash3.LONG_BYTES;
    final ByteBuffer buffer = ByteBuffer.allocate(length);
    final long[] data = createLongTestData();
    final int seed = MurmurHash3.DEFAULT_SEED;
    for (final long i : data) {
        buffer.putLong(0, i);
        Assert.assertEquals(MurmurHash3.hash32(buffer.array(), length, seed), MurmurHash3.hash32(i));
    }
}
/**
 * Test the convenience method {@link MurmurHash3#hash32(long, int)} works as documented.
 */
@Test
public void testHash32LongSeed() {
    final int length = MurmurHash3.LONG_BYTES;
    final ByteBuffer buffer = ByteBuffer.allocate(length);
    final long[] data = createLongTestData();
    final int seed = ThreadLocalRandom.current().nextInt();
    for (final long i : data) {
        buffer.putLong(0, i);
        Assert.assertEquals(MurmurHash3.hash32(buffer.array(), length, seed), MurmurHash3.hash32(i, seed));
    }
}</t>
  </si>
  <si>
    <t>[java/nio/ByteBuffer.allocate, .createLongTestData,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java/nio/ByteBuffer.array, org/apache/commons/codec/digest/MurmurHash3.hash32, org/apache/commons/codec/digest/MurmurHash3.hash32]</t>
  </si>
  <si>
    <t>testHash32WithLength</t>
  </si>
  <si>
    <t>/**
 * Test the {@link MurmurHash3#hash32(byte[], int)} algorithm.
 *
 * &lt;p&gt;Reference data is taken from the Python library {@code mmh3}.&lt;/p&gt;
 *
 * @see &lt;a href="https://pypi.org/project/mmh3/"&gt;mmh3&lt;/a&gt;
 */
@Test
public void testHash32WithLength() {
    // mmh3.hash(bytes, 104729)
    Assert.assertEquals(1905657630,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Assert.assertEquals(answers[i], MurmurHash3.hash32(RANDOM_BYTES, i));
        } else {
            Assert.assertNotEquals(answers[i], MurmurHash3.hash32(RANDOM_BYTES, i));
        }
    }
}
/**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</si>
  <si>
    <t>[org/apache/commons/codec/digest/MurmurHash3.hash32, .negativeBytes, org/apache/commons/codec/digest/MurmurHash3.hash32, org/apache/commons/codec/digest/MurmurHash3.hash32]
[org/apache/commons/codec/digest/MurmurHash3.hash32, .negativeBytes, org/apache/commons/codec/digest/MurmurHash3.hash32, org/apache/commons/codec/digest/MurmurHash3.hash32]</t>
  </si>
  <si>
    <t>testHash32WithLengthAndSeed</t>
  </si>
  <si>
    <t>/**
 * Test the {@link MurmurHash3#hash32(byte[], int)} algorithm.
 *
 * &lt;p&gt;Reference data is taken from the Python library {@code mmh3}.&lt;/p&gt;
 *
 * @see &lt;a href="https://pypi.org/project/mmh3/"&gt;mmh3&lt;/a&gt;
 */
@Test
public void testHash32WithLength() {
    // mmh3.hash(bytes, 104729)
    Assert.assertEquals(1905657630,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Assert.assertEquals(answers[i], MurmurHash3.hash32(RANDOM_BYTES, i));
        } else {
            Assert.assertNotEquals(answers[i], MurmurHash3.hash32(RANDOM_BYTES, i));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</si>
  <si>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[org/apache/commons/codec/digest/MurmurHash3.hash32, .negativeBytes, org/apache/commons/codec/digest/MurmurHash3.hash32, org/apache/commons/codec/digest/MurmurHash3.hash32]
[.negativeBytes, org/apache/commons/codec/digest/MurmurHash3.hash32, org/apache/commons/codec/digest/MurmurHash3.hash32]</t>
  </si>
  <si>
    <t>testHash32WithOffsetLengthAndSeed</t>
  </si>
  <si>
    <t>[org/apache/commons/codec/digest/MurmurHash3.hash32,  .negativeBytes, .negativeBytes]</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</si>
  <si>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</si>
  <si>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long[] h1 = MurmurHash3.hash128(bytes, 0, bytes.length, seed);
        final long[] h2 = MurmurHash3.hash128(text);
        Assert.assertArrayEquals(h1, h2);
    }
}</t>
  </si>
  <si>
    <t>[java/util/concurrent/ThreadLocalRandom.current,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org/apache/commons/codec/digest/MurmurHash3.hash128, org/apache/commons/codec/digest/MurmurHash3.hash128]</t>
  </si>
  <si>
    <t>testHash128String</t>
  </si>
  <si>
    <t>[ org/apache/commons/codec/digest/MurmurHash3.hash128,  org/apache/commons/codec/digest/MurmurHash3.hash32]</t>
  </si>
  <si>
    <t>testHash32WithTrailingNegativeSignedBytesIsInvalid</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</si>
  <si>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</si>
  <si>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</si>
  <si>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testHash32x86WithTrailingNegativeSignedBytes</t>
  </si>
  <si>
    <t>[[testHash32WithTrailingNegativeSignedBytesIsInvalid, testhash32x86, testHash32x86WithOffsetLengthAndSeed, testHash32x86WithTrailingNegativeSignedBytes], [testIncrementalHash32x86]]</t>
  </si>
  <si>
    <t>[ org/apache/commons/codec/digest/MurmurHash3.hash32x86, org/apache/commons/codec/digest/MurmurHash3.hash32, org/apache/commons/codec/digest/MurmurHash3.hash32x86,  org/apache/commons/codec/digest/MurmurHash3.hash32]</t>
  </si>
  <si>
    <t>testHash32x86WithOffsetLengthAndSeed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</si>
  <si>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</si>
  <si>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</si>
  <si>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 org/apache/commons/codec/digest/MurmurHash3.hash32x86]</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</si>
  <si>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</si>
  <si>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</si>
  <si>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testBase32DecodingOfTrailing10Bits</t>
  </si>
  <si>
    <t>@Test
public void testBase32DecodingOfTrailing10Bits() {
    assertBase32DecodingOfTrailingBits(10);
}
@Test
public void testBase32DecodingOfTrailing15Bits() {
    assertBase32DecodingOfTrailingBits(15);
}</t>
  </si>
  <si>
    <t>[[testBase32DecodingOfTrailing10Bits, testBase32DecodingOfTrailing15Bits, testBase32DecodingOfTrailing20Bits, testBase32DecodingOfTrailing25Bits, testBase32DecodingOfTrailing30Bits, testBase32DecodingOfTrailing35Bits]]</t>
  </si>
  <si>
    <t>@Test
public void testBase32DecodingOfTrailing10Bits() {
    assertBase32DecodingOfTrailingBits(10);
}
@Test
public void testBase32DecodingOfTrailing20Bits() {
    assertBase32DecodingOfTrailingBits(20);
}</t>
  </si>
  <si>
    <t>testBase32DecodingOfTrailing20Bits</t>
  </si>
  <si>
    <t>@Test
public void testBase32DecodingOfTrailing10Bits() {
    assertBase32DecodingOfTrailingBits(10);
}
@Test
public void testBase32DecodingOfTrailing30Bits() {
    assertBase32DecodingOfTrailingBits(30);
}</t>
  </si>
  <si>
    <t>testBase32DecodingOfTrailing30Bits</t>
  </si>
  <si>
    <t>@Test
public void testBase32DecodingOfTrailing10Bits() {
    assertBase32DecodingOfTrailingBits(10);
}
@Test
public void testBase32DecodingOfTrailing25Bits() {
    assertBase32DecodingOfTrailingBits(25);
}</t>
  </si>
  <si>
    <t>testBase32DecodingOfTrailing25Bits</t>
  </si>
  <si>
    <t>@Test
public void testBase32DecodingOfTrailing10Bits() {
    assertBase32DecodingOfTrailingBits(10);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</si>
  <si>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</si>
  <si>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testBase32DecodingOfTrailing35Bits</t>
  </si>
  <si>
    <t>[,  org/apache/commons/codec/binary/Hex.decode, org/apache/commons/codec/binary/Hex."&lt;init&gt;",  java/lang/Error."&lt;init&gt;"]</t>
  </si>
  <si>
    <t>@Test
public void testBase32DecodingOfTrailing15Bits() {
    assertBase32DecodingOfTrailingBits(15);
}
@Test
public void testBase32DecodingOfTrailing25Bits() {
    assertBase32DecodingOfTrailingBits(25);
}</t>
  </si>
  <si>
    <t>@Test
public void testBase32DecodingOfTrailing15Bits() {
    assertBase32DecodingOfTrailingBits(15);
}
@Test
public void testBase32DecodingOfTrailing35Bits() {
    assertBase32DecodingOfTrailingBits(35);
}</t>
  </si>
  <si>
    <t>@Test
public void testBase32DecodingOfTrailing15Bits() {
    assertBase32DecodingOfTrailingBits(15);
}
@Test
public void testBase32DecodingOfTrailing20Bits() {
    assertBase32DecodingOfTrailingBits(20);
}</t>
  </si>
  <si>
    <t>@Test
public void testBase32DecodingOfTrailing15Bits() {
    assertBase32DecodingOfTrailingBits(15);
}
@Test
public void testBase32DecodingOfTrailing30Bits() {
    assertBase32DecodingOfTrailingBits(30);
}</t>
  </si>
  <si>
    <t>@Test
public void testBase32DecodingOfTrailing20Bits() {
    assertBase32DecodingOfTrailingBits(20);
}
@Test
public void testBase32DecodingOfTrailing25Bits() {
    assertBase32DecodingOfTrailingBits(25);
}</t>
  </si>
  <si>
    <t>@Test
public void testBase32DecodingOfTrailing20Bits() {
    assertBase32DecodingOfTrailingBits(20);
}
@Test
public void testBase32DecodingOfTrailing30Bits() {
    assertBase32DecodingOfTrailingBits(30);
}</t>
  </si>
  <si>
    <t>@Test
public void testBase32DecodingOfTrailing20Bits() {
    assertBase32DecodingOfTrailingBits(20);
}
@Test
public void testBase32DecodingOfTrailing35Bits() {
    assertBase32DecodingOfTrailingBits(35);
}</t>
  </si>
  <si>
    <t>@Test
public void testBase32DecodingOfTrailing25Bits() {
    assertBase32DecodingOfTrailingBits(25);
}
@Test
public void testBase32DecodingOfTrailing35Bits() {
    assertBase32DecodingOfTrailingBits(35);
}</t>
  </si>
  <si>
    <t>@Test
public void testBase32DecodingOfTrailing25Bits() {
    assertBase32DecodingOfTrailingBits(25);
}
@Test
public void testBase32DecodingOfTrailing30Bits() {
    assertBase32DecodingOfTrailingBits(30);
}</t>
  </si>
  <si>
    <t>@Test
public void testBase32DecodingOfTrailing30Bits() {
    assertBase32DecodingOfTrailingBits(30);
}
@Test
public void testBase32DecodingOfTrailing35Bits() {
    assertBase32DecodingOfTrailingBits(35);
}</t>
  </si>
  <si>
    <t>testEncodeHexByteString_ByteBufferOfZeroesWithLimit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</si>
  <si>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testEncodeHexByteString_ByteBufferWithLimitBoolean_ToLowerCase() {
    final ByteBuffer bb = allocate(4);
    bb.put(1, (byte) 10);
    bb.position(1);
    bb.limit(2);
    assertEquals("0a", Hex.encodeHexString(bb, true));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</si>
  <si>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</si>
  <si>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testEncodeHexByteString_ByteBufferWithLimitBoolean_ToLowerCase</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</si>
  <si>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</si>
  <si>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</si>
  <si>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testEncodeHexByteString_ByteBufferWithLimitBoolean_ToUpperCase() {
    final ByteBuffer bb = allocate(4);
    bb.put(1, (byte) 10);
    bb.position(1);
    bb.limit(2);
    assertEquals("0A", Hex.encodeHexString(bb, false));
}</t>
  </si>
  <si>
    <t>testEncodeHexByteString_ByteBufferWithLimitBoolean_ToUpperCase</t>
  </si>
  <si>
    <t>@Test
public void testEncodeHexByteString_ByteBufferWithLimitBoolean_ToLowerCase() {
    final ByteBuffer bb = allocate(4);
    bb.put(1, (byte) 10);
    bb.position(1);
    bb.limit(2);
    assertEquals("0a", Hex.encodeHexString(bb, true));
}
@Test
public void testEncodeHexByteString_ByteBufferWithLimitBoolean_ToUpperCase() {
    final ByteBuffer bb = allocate(4);
    bb.put(1, (byte) 10);
    bb.position(1);
    bb.limit(2);
    assertEquals("0A", Hex.encodeHexString(bb, false));
}</t>
  </si>
  <si>
    <t>[.allocate, java/nio/ByteBuffer.put, java/nio/ByteBuffer.position, java/nio/ByteBuffer.limit, org/apache/commons/codec/binary/Hex.encodeHexString]
[.allocate, java/nio/ByteBuffer.put, java/nio/ByteBuffer.position, java/nio/ByteBuffer.limit, org/apache/commons/codec/binary/Hex.encodeHexString]</t>
  </si>
  <si>
    <t>org.apache.commons.codec.digest.MessageDigestAlgorithmsTest</t>
  </si>
  <si>
    <t>e772d31a5d0db091bdb68d12b3c2fe79ba979bda</t>
  </si>
  <si>
    <t>6471942097893c67004e4990d77002a9071a7f84</t>
  </si>
  <si>
    <t>testDigestPathOpenOptionsEmpty</t>
  </si>
  <si>
    <t>@Test
public void testDigestPathOpenOptionsEmpty() throws IOException {
    testDigestPath();
}
@Test
public void testDigestPathStandardOpenOptionRead() throws IOException {
    testDigestPath(StandardOpenOption.READ);
}</t>
  </si>
  <si>
    <t>[.testDigestPath]
[.testDigestPath]</t>
  </si>
  <si>
    <t>testDigestPathStandardOpenOptionRead</t>
  </si>
  <si>
    <t>[[testDigestPathOpenOptionsEmpty, testDigestPathStandardOpenOptionRead]]</t>
  </si>
  <si>
    <t>625cedf140f383f3f5c4f992906a4bb6b809dfd7</t>
  </si>
  <si>
    <t>testSha224_FileAsHex</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</si>
  <si>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</si>
  <si>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</si>
  <si>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testSha224_PathAsHex</t>
  </si>
  <si>
    <t>[[testSha224_StringAsHex, testSha224_FileAsHex, testSha224_PathAsHex]]</t>
  </si>
  <si>
    <t>[ java/nio/file/Paths.get,  java/io/File."&lt;init&gt;"]</t>
  </si>
  <si>
    <t>01b69110b181aa30406d18f1a689d07780c3b4a8</t>
  </si>
  <si>
    <t>testSha512_224</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</si>
  <si>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</si>
  <si>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</si>
  <si>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testSha512_256</t>
  </si>
  <si>
    <t>[[testSha512_224, testSha512_256]]</t>
  </si>
  <si>
    <t>[ org/apache/commons/codec/digest/DigestUtils.sha512_224Hex,  org/apache/commons/codec/digest/DigestUtils.sha512_224,  org/apache/commons/codec/digest/DigestUtils.sha512_256Hex,  org/apache/commons/codec/digest/DigestUtils.sha512_256]</t>
  </si>
  <si>
    <t>627b5fde397040acbf234bc132cc0f7cfaf4673e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</si>
  <si>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</si>
  <si>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java/nio/ByteBuffer.putLong, org/apache/commons/codec/digest/MurmurHash3.hash32x86, org/apache/commons/codec/digest/MurmurHash3.hash32]</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</si>
  <si>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</si>
  <si>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</si>
  <si>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</si>
  <si>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</si>
  <si>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t>
  </si>
  <si>
    <t>/**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</si>
  <si>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[java/nio/ByteBuffer.allocate, java/nio/ByteBuffer.array, .createLongTestData,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</si>
  <si>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text.getBytes(MurmurHash3.GET_BYTES_CHARSET);
        final int h1 = MurmurHash3.hash32(bytes, 0, bytes.length, seed);
        final int h2 = MurmurHash3.hash32(text);
        Assert.assertEquals(h1,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text.getBytes(MurmurHash3.GET_BYTES_CHARSET);
        final long[] h1 = MurmurHash3.hash128(bytes, 0, bytes.length, seed);
        final long[] h2 = MurmurHash3.hash128(text);
        Assert.assertArrayEquals(h1, h2);
    }
}</t>
  </si>
  <si>
    <t>[ org/apache/commons/codec/digest/MurmurHash3.hash128, org/apache/commons/codec/digest/MurmurHash3.hash128,  org/apache/commons/codec/digest/MurmurHash3.hash128x64, org/apache/commons/codec/digest/MurmurHash3.hash128x64]</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</si>
  <si>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</si>
  <si>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testHash128x64WithOffsetLengthAndSeed</t>
  </si>
  <si>
    <t>[ org/apache/commons/codec/digest/MurmurHash3.hash128,  org/apache/commons/codec/digest/MurmurHash3.hash128x64]</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</si>
  <si>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</si>
  <si>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</si>
  <si>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Some random blocks
        for (int i = 0; i &lt; 10; i++) {
            assertIncrementalHash32x86(bytes, seed, createRandomBlocks(bytes.length));
        }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</si>
  <si>
    <t>[java/util/concurrent/ThreadLocalRandom.current, java/util/concurrent/ThreadLocalRandom.nextBytes, .createRandomBlocks]
[java/util/concurrent/ThreadLocalRandom.current, java/util/concurrent/ThreadLocalRandom.nextBytes, .createRandomBlocks]</t>
  </si>
  <si>
    <t>testDigestAs</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</si>
  <si>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testSha224_FileAsHex() throws IOException {
    assumeJava8();
    final String expected = "d14a028c2a3a2bc9476102bb288234c415a2b01f828ea62ac5b3e42f";
    final String pathname = "src/test/resources/empty.bin";
    final String algo = MessageDigestAlgorithms.SHA_224;
    final DigestUtils digestUtils = new DigestUtils(algo);
    assertEquals(expected, digestUtils.digestAsHex(new File(pathname)));
    try (final FileInputStream inputStream = new FileInputStream(pathname)) {
        assertEquals(expected, digestUtils.digestAsHex(inputStream));
    }
    final byte[] allBytes = Files.readAllBytes(Paths.get(pathname));
    assertEquals(expected, digestUtils.digestAsHex(allBytes));
    assertEquals(expected, digestUtils.digestAsHex(ByteBuffer.wrap(allBytes)));
}</t>
  </si>
  <si>
    <t>[org/apache/commons/codec/digest/DigestUtils."&lt;init&gt;",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[.assumeJava8, org/apache/commons/codec/digest/DigestUtils."&lt;init&gt;", java/io/File."&lt;init&gt;", org/apache/commons/codec/digest/DigestUtils.digestAsHex, java/io/FileInputStream."&lt;init&gt;",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org/apache/commons/codec/digest/DigestUtils.digestAsHex, java/nio/ByteBuffer.wrap, org/apache/commons/codec/digest/DigestUtils.digestAsHex]</t>
  </si>
  <si>
    <t>[.assumeJava8, org/apache/commons/codec/digest/DigestUtils."&lt;init&gt;"]</t>
  </si>
  <si>
    <t>@Test
public void testMd2Hex() throws IOException {
    // Examples from RFC 1319
    assertEquals("8350e5a3e24c153df2275c9f80692773", DigestUtils.md2Hex(EMPTY_STRING));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
@Test
public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</si>
  <si>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t>
  </si>
  <si>
    <t>[ org/apache/commons/codec/digest/DigestUtils.md2Hex,  org/apache/commons/codec/digest/DigestUtils.md5Hex]</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</si>
  <si>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org/apache/commons/codec/digest/DigestUtils.md2, org/apache/commons/codec/binary/StringUtils.getBytesUtf8, org/apache/commons/codec/digest/DigestUtils.md2]</t>
  </si>
  <si>
    <t>[ org/apache/commons/codec/digest/DigestUtils.md2,  org/apache/commons/codec/digest/DigestUtils.md5]</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</si>
  <si>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
@Test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</si>
  <si>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</si>
  <si>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
//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</si>
  <si>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[org/apache/commons/codec/digest/DigestUtils.shaHex, org/apache/commons/codec/binary/StringUtils.getBytesUtf8,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</si>
  <si>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org/apache/commons/codec/digest/DigestUtils.sha1Hex, org/apache/commons/codec/digest/DigestUtils.shaHex,  org/apache/commons/codec/digest/DigestUtils.sha1Hex]</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</si>
  <si>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</si>
  <si>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
// deliberate tests of deprecated code
@SuppressWarnings("deprecation")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</si>
  <si>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testSha256HexInputStream() throws IOException {
    assertEquals(DigestUtils.sha256Hex(testData), DigestUtils.sha256Hex(new ByteArrayInputStream(testData)));
}
@Test
public void testSha512HexInputStream() throws IOException {
    assertEquals(DigestUtils.sha512Hex(testData), DigestUtils.sha512Hex(new ByteArrayInputStream(testData)));
}</t>
  </si>
  <si>
    <t>[org/apache/commons/codec/digest/DigestUtils.sha256Hex, java/io/ByteArrayInputStream."&lt;init&gt;", org/apache/commons/codec/digest/DigestUtils.sha256Hex]
[org/apache/commons/codec/digest/DigestUtils.sha512Hex, java/io/ByteArrayInputStream."&lt;init&gt;", org/apache/commons/codec/digest/DigestUtils.sha512Hex]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</si>
  <si>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</si>
  <si>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</si>
  <si>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</si>
  <si>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</si>
  <si>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</si>
  <si>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</si>
  <si>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testSha384HexInputStream() throws IOException {
    assertEquals(DigestUtils.sha384Hex(testData), DigestUtils.sha384Hex(new ByteArrayInputStream(testData)));
}
@Test
public void testSha512HexInputStream() throws IOException {
    assertEquals(DigestUtils.sha512Hex(testData), DigestUtils.sha512Hex(new ByteArrayInputStream(testData)));
}</t>
  </si>
  <si>
    <t>[org/apache/commons/codec/digest/DigestUtils.sha384Hex, java/io/ByteArrayInputStream."&lt;init&gt;", org/apache/commons/codec/digest/DigestUtils.sha384Hex]
[org/apache/commons/codec/digest/DigestUtils.sha512Hex, java/io/ByteArrayInputStream."&lt;init&gt;", org/apache/commons/codec/digest/DigestUtils.sha512Hex]</t>
  </si>
  <si>
    <t>//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</si>
  <si>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testIsStringBase64</t>
  </si>
  <si>
    <t>/**
 * Test the isStringBase64 method.
 */
@Test
public void testIsStringBase64() {
    final String nullString = null;
    final String emptyString = "";
    final String validString = "abc===defg\n\r123456\r789\r\rABC\n\nDEF==GHI\r\nJKL==============";
    // append null
    final String invalidString = validString + (char) 0;
    // character
    try {
        Base64.isBase64(nullString);
        fail("Base64.isStringBase64() should not be null-safe.");
    } catch (final NullPointerException npe) {
        assertNotNull("Base64.isStringBase64() should not be null-safe.", npe);
    }
    assertTrue("Base64.isStringBase64(empty-string) is true", Base64.isBase64(emptyString));
    assertTrue("Base64.isStringBase64(valid-string) is true", Base64.isBase64(validString));
    assertFalse("Base64.isStringBase64(invalid-string) is false", Base64.isBase64(invalidString));
}
@Test
public void testIsArrayByteBase64() {
    assertFalse(Base64.isBase64(new byte[] { Byte.MIN_VALUE }));
    assertFalse(Base64.isBase64(new byte[] { -125 }));
    assertFalse(Base64.isBase64(new byte[] { -10 }));
    assertFalse(Base64.isBase64(new byte[] { 0 }));
    assertFalse(Base64.isBase64(new byte[] { 64, Byte.MAX_VALUE }));
    assertFalse(Base64.isBase64(new byte[] { Byte.MAX_VALUE }));
    assertTrue(Base64.isBase64(new byte[] { 'A' }));
    assertFalse(Base64.isBase64(new byte[] { 'A', Byte.MIN_VALUE }));
    assertTrue(Base64.isBase64(new byte[] { 'A', 'Z', 'a' }));
    assertTrue(Base64.isBase64(new byte[] { '/', '=', '+' }));
    assertFalse(Base64.isBase64(new byte[] { '$' }));
}</t>
  </si>
  <si>
    <t>[org/apache/commons/codec/binary/Base64.isBase64,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t>
  </si>
  <si>
    <t>testIsArrayByteBase64</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</si>
  <si>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</si>
  <si>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</si>
  <si>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</si>
  <si>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
@Test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</si>
  <si>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</si>
  <si>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</si>
  <si>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testCodeIntegerEdgeCases() {
    // TODO
}
@Test
public void testBase64DecodingOfTrailing18Bits() {
    assertBase64DecodingOfTrailingBits(18);
}</t>
  </si>
  <si>
    <t>@Test
public void testCodeIntegerEdgeCases() {
    // TODO
}
@Test
public void testBase64DecodingOfTrailing12Bits() {
    assertBase64DecodingOfTrailingBits(12);
}</t>
  </si>
  <si>
    <t>@Test
public void testConstructor_Int_ByteArray_Boolean() {
    final Base64 base64 = new Base64(65, new byte[] { '\t' }, false);
    final byte[] encoded = base64.encode(Base64TestData.DECODED);
    String expectedResult = Base64TestData.ENCODED_64_CHARS_PER_LINE;
    expectedResult = expectedResult.replace('\n', '\t');
    final String result = StringUtils.newStringUtf8(encoded);
    assertEquals("new Base64(65, \\t, false)", expectedResult, result);
}
@Test
public void testConstructor_Int_ByteArray_Boolean_UrlSafe() {
    // url-safe variation
    final Base64 base64 = new Base64(64, new byte[] { '\t' }, true);
    final byte[] encoded = base64.encode(Base64TestData.DECODED);
    String expectedResult = Base64TestData.ENCODED_64_CHARS_PER_LINE;
    // url-safe has no
    expectedResult = expectedResult.replaceAll("=", "");
    // == padding.
    expectedResult = expectedResult.replace('\n', '\t');
    expectedResult = expectedResult.replace('+', '-');
    expectedResult = expectedResult.replace('/', '_');
    final String result = StringUtils.newStringUtf8(encoded);
    assertEquals("new Base64(64, \\t, true)", result, expectedResult);
}</t>
  </si>
  <si>
    <t>/**
 * Tests conditional true branch for "marker0" test.
 */
@Test
public void testDecodePadMarkerIndex2() {
    assertEquals("A", new String(Base64.decodeBase64("QQ==".getBytes(CHARSET_UTF8))));
}
@Test
public void testIgnoringNonBase64InDecode() throws Exception {
    assertEquals("The quick brown fox jumped over the lazy dogs.", new String(Base64.decodeBase64("VGhlIH@$#$@%F1aWN@#@#@@rIGJyb3duIGZve\n\r\t%#%#%#%CBqd##$#$W1wZWQgb3ZlciB0aGUgbGF6eSBkb2dzLg==".getBytes(CHARSET_UTF8))));
}</t>
  </si>
  <si>
    <t>/**
 * Tests conditional true branch for "marker0" test.
 */
@Test
public void testDecodePadMarkerIndex2() {
    assertEquals("A", new String(Base64.decodeBase64("QQ==".getBytes(CHARSET_UTF8))));
}
/**
 * Tests conditional branches for "marker1" test.
 */
@Test
public void testDecodePadMarkerIndex3() {
    assertEquals("AA", new String(Base64.decodeBase64("QUE=".getBytes(CHARSET_UTF8))));
    assertEquals("AAA", new String(Base64.decodeBase64("QUFB".getBytes(CHARSET_UTF8))));
}</t>
  </si>
  <si>
    <t>/**
 * Tests conditional true branch for "marker0" test.
 */
@Test
public void testDecodePadMarkerIndex2() {
    assertEquals("A", new String(Base64.decodeBase64("QQ==".getBytes(CHARSET_UTF8))));
}
@Test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</si>
  <si>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true branch for "marker0" test.
 */
@Test
public void testDecodePadMarkerIndex2() {
    assertEquals("A", new String(Base64.decodeBase64("QQ==".getBytes(CHARSET_UTF8))));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</si>
  <si>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true branch for "marker0" test.
 */
@Test
public void testDecodePadMarkerIndex2() {
    assertEquals("A", new String(Base64.decodeBase64("QQ==".getBytes(CHARSET_UTF8))));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</si>
  <si>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
 * Tests conditional branches for "marker1" test.
 */
@Test
public void testDecodePadMarkerIndex3() {
    assertEquals("AA", new String(Base64.decodeBase64("QUE=".getBytes(CHARSET_UTF8))));
    assertEquals("AAA", new String(Base64.decodeBase64("QUFB".getBytes(CHARSET_UTF8))));
}
@Test
public void testIgnoringNonBase64InDecode() throws Exception {
    assertEquals("The quick brown fox jumped over the lazy dogs.", new String(Base64.decodeBase64("VGhlIH@$#$@%F1aWN@#@#@@rIGJyb3duIGZve\n\r\t%#%#%#%CBqd##$#$W1wZWQgb3ZlciB0aGUgbGF6eSBkb2dzLg==".getBytes(CHARSET_UTF8))));
}</t>
  </si>
  <si>
    <t>/**
 * Tests conditional branches for "marker1" test.
 */
@Test
public void testDecodePadMarkerIndex3() {
    assertEquals("AA", new String(Base64.decodeBase64("QUE=".getBytes(CHARSET_UTF8))));
    assertEquals("AAA", new String(Base64.decodeBase64("QUFB".getBytes(CHARSET_UTF8))));
}
@Test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</si>
  <si>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branches for "marker1" test.
 */
@Test
public void testDecodePadMarkerIndex3() {
    assertEquals("AA", new String(Base64.decodeBase64("QUE=".getBytes(CHARSET_UTF8))));
    assertEquals("AAA", new String(Base64.decodeBase64("QUFB".getBytes(CHARSET_UTF8))));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</si>
  <si>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branches for "marker1" test.
 */
@Test
public void testDecodePadMarkerIndex3() {
    assertEquals("AA", new String(Base64.decodeBase64("QUE=".getBytes(CHARSET_UTF8))));
    assertEquals("AAA", new String(Base64.decodeBase64("QUFB".getBytes(CHARSET_UTF8))));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</si>
  <si>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</si>
  <si>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</si>
  <si>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testIgnoringNonBase64InDecode() throws Exception {
    assertEquals("The quick brown fox jumped over the lazy dogs.", new String(Base64.decodeBase64("VGhlIH@$#$@%F1aWN@#@#@@rIGJyb3duIGZve\n\r\t%#%#%#%CBqd##$#$W1wZWQgb3ZlciB0aGUgbGF6eSBkb2dzLg==".getBytes(CHARSET_UTF8))));
}</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</si>
  <si>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</si>
  <si>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testIgnoringNonBase64InDecode() throws Exception {
    assertEquals("The quick brown fox jumped over the lazy dogs.", new String(Base64.decodeBase64("VGhlIH@$#$@%F1aWN@#@#@@rIGJyb3duIGZve\n\r\t%#%#%#%CBqd##$#$W1wZWQgb3ZlciB0aGUgbGF6eSBkb2dzLg==".getBytes(CHARSET_UTF8))));
}</t>
  </si>
  <si>
    <t>@Test
public void testIgnoringNonBase64InDecode() throws Exception {
    assertEquals("The quick brown fox jumped over the lazy dogs.", new String(Base64.decodeBase64("VGhlIH@$#$@%F1aWN@#@#@@rIGJyb3duIGZve\n\r\t%#%#%#%CBqd##$#$W1wZWQgb3ZlciB0aGUgbGF6eSBkb2dzLg==".getBytes(CHARSET_UTF8))));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</si>
  <si>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testObjectEncodeWithValidParameter</t>
  </si>
  <si>
    <t>@Test
public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assertEquals("dest string does not equal original", original, dest);
}
@Test
public void testObjectEncode() throws Exception {
    final Base64 b64 = new Base64();
    assertEquals("SGVsbG8gV29ybGQ=", new String(b64.encode("Hello World".getBytes(CHARSET_UTF8))));
}</t>
  </si>
  <si>
    <t>[java/lang/String.getBytes, org/apache/commons/codec/binary/Base64."&lt;init&gt;", org/apache/commons/codec/binary/Base64.encode, org/apache/commons/codec/binary/Base64.decodeBase64, java/lang/String."&lt;init&gt;"]
[org/apache/commons/codec/binary/Base64."&lt;init&gt;", java/lang/String.getBytes, org/apache/commons/codec/binary/Base64.encode, java/lang/String."&lt;init&gt;"]</t>
  </si>
  <si>
    <t>testObjectEncode</t>
  </si>
  <si>
    <t>[java/lang/String.getBytes,  org/apache/commons/codec/binary/Base64."&lt;init&gt;",  java/lang/String.getBytes,  org/apache/commons/codec/binary/Base64.decodeBase64, org/apache/commons/codec/binary/Base64."&lt;init&gt;"]</t>
  </si>
  <si>
    <t>@Test
public void testPairs() {
    assertEquals("AAA=", new String(Base64.encodeBase64(new byte[] { 0, 0 })));
    for (int i = -128; i &lt;= 127; i++) {
        final byte[] test = { (byte) i, (byte) i };
        assertTrue(Arrays.equals(test,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assertTrue(Arrays.equals(test, Base64.decodeBase64(Base64.encodeBase64(test))));
    }
}</t>
  </si>
  <si>
    <t>/**
 * Tests RFC 1421 section 4.3.2.4 chuck size definition.
 */
@Test
public void testRfc1421Section6Dot8ChunkSizeDefinition() {
    assertEquals(64, BaseNCodec.PEM_CHUNK_SIZE);
}
@Test
public void testBase64DecodingOfTrailing18Bits() {
    assertBase64DecodingOfTrailingBits(18);
}</t>
  </si>
  <si>
    <t>/**
 * Tests RFC 1421 section 4.3.2.4 chuck size definition.
 */
@Test
public void testRfc1421Section6Dot8ChunkSizeDefinition() {
    assertEquals(64, BaseNCodec.PEM_CHUNK_SIZE);
}
@Test
public void testBase64DecodingOfTrailing12Bits() {
    assertBase64DecodingOfTrailingBits(12);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</si>
  <si>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assertTrue(Arrays.equals(test,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</si>
  <si>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
 * Single character salts are illegal!
 * E.g. with glibc 2.13, crypt("secret", "x") = "xxZREZpkHZpkI" but
 * crypt("secret", "xx") = "xxWAum7tHdIUw" which makes it unverifyable.
 */
@Test(expected = IllegalArgumentException.class)
public void testUnixCryptWithHalfSalt() {
    UnixCrypt.crypt("secret", "x");
}
@Test(expected = IllegalArgumentException.class)
public void testUnixCryptWithEmptySalt() {
    UnixCrypt.crypt("secret", "");
}</t>
  </si>
  <si>
    <t>/**
 * Single character salts are illegal!
 * E.g. with glibc 2.13, crypt("secret", "x") = "xxZREZpkHZpkI" but
 * crypt("secret", "xx") = "xxWAum7tHdIUw" which makes it unverifyable.
 */
@Test(expected = IllegalArgumentException.class)
public void testUnixCryptWithHalfSalt() {
    UnixCrypt.crypt("secret", "x");
}
/**
 * Unimplemented "$foo$" salt prefixes would be threated as UnixCrypt salt.
 */
@Test(expected = IllegalArgumentException.class)
public void testUnicCryptInvalidSalt() {
    UnixCrypt.crypt("secret", "$a");
}</t>
  </si>
  <si>
    <t>/**
 * Single character salts are illegal!
 * E.g. with glibc 2.13, crypt("secret", "x") = "xxZREZpkHZpkI" but
 * crypt("secret", "xx") = "xxWAum7tHdIUw" which makes it unverifyable.
 */
@Test(expected = IllegalArgumentException.class)
public void testUnixCryptWithHalfSalt() {
    UnixCrypt.crypt("secret", "x");
}
@Test(expected = NullPointerException.class)
public void testUnixCryptNullData() {
    UnixCrypt.crypt((byte[]) null);
}</t>
  </si>
  <si>
    <t>/**
 * Unimplemented "$foo$" salt prefixes would be threated as UnixCrypt salt.
 */
@Test(expected = IllegalArgumentException.class)
public void testUnicCryptInvalidSalt() {
    UnixCrypt.crypt("secret", "$a");
}
@Test(expected = IllegalArgumentException.class)
public void testUnixCryptWithEmptySalt() {
    UnixCrypt.crypt("secret", "");
}</t>
  </si>
  <si>
    <t>/**
 * Unimplemented "$foo$" salt prefixes would be threated as UnixCrypt salt.
 */
@Test(expected = IllegalArgumentException.class)
public void testUnicCryptInvalidSalt() {
    UnixCrypt.crypt("secret", "$a");
}
@Test(expected = NullPointerException.class)
public void testUnixCryptNullData() {
    UnixCrypt.crypt((byte[]) null);
}</t>
  </si>
  <si>
    <t>@Test(expected = NullPointerException.class)
public void testUnixCryptNullData() {
    UnixCrypt.crypt((byte[]) null);
}
@Test(expected = IllegalArgumentException.class)
public void testUnixCryptWithEmptySalt() {
    UnixCrypt.crypt("secret", "");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</si>
  <si>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Md5Crypt.apr1Crypt("t\u00e4st".getBytes(StandardCharsets.ISO_8859_1), "$apr1$./$"));
}
@Test(expected = IllegalArgumentException.class)
public void testApr1CryptWithEmptySalt() {
    Md5Crypt.apr1Crypt("secret".getBytes(),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</si>
  <si>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</si>
  <si>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</si>
  <si>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</si>
  <si>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</si>
  <si>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</si>
  <si>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</si>
  <si>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final byte[] base64 = utf8(STRINGS[i]);
            final byte[] binary = BYTES[i];
            final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</si>
  <si>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final byte[] base64 = utf8(STRINGS[i]);
            final byte[] binary = BYTES[i];
            final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</si>
  <si>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final byte[] base64Chunked = utf8(CHUNKED_STRINGS[i]);
            final byte[] binary = BYTES[i];
            final boolean b = Arrays.equals(binary, Base64.decodeBase64(base64Chunked));
            assertTrue("static Base64.decodeBase64Chunked() test-" + i, b);
        }
    }
}</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</si>
  <si>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</si>
  <si>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final byte[] base64Chunked = utf8(CHUNKED_STRINGS[i]);
            final byte[] binary = BYTES[i];
            final boolean b = Arrays.equals(binary, Base64.decodeBase64(base64Chunked));
            assertTrue("static Base64.decodeBase64Chunked() test-" + i, b);
        }
    }
}</t>
  </si>
  <si>
    <t>@Test
public void testEncodeObjects() throws Exception {
    final QuotedPrintableCodec qpcodec = new QuotedPrintableCodec();
    final String plain = "1+1 = 2";
    String encoded = (String) qpcodec.encode((Object) plain);
    assertEquals("Basic quoted-printable encoding test", "1+1 =3D 2", encoded);
    final byte[] plainBA = plain.getBytes(StandardCharsets.UTF_8);
    final byte[] encodedBA = (byte[]) qpcodec.encode((Object) plainBA);
    encoded = new String(encodedBA);
    assertEquals("Basic quoted-printable encoding test", "1+1 =3D 2", encoded);
    final Object result = qpcodec.encode((Object) null);
    assertEquals("Encoding a null Object should return null", null, result);
    try {
        final Object dObj = Double.valueOf(3.0d);
        qpcodec.encode(dObj);
        fail("Trying to url encode a Double object should cause an exception.");
    } catch (final EncoderException ee) {
        // Exception expected, test segment passes.
    }
}
@Test
public void testDecodeObjects() throws Exception {
    final QuotedPrintableCodec qpcodec = new QuotedPrintableCodec();
    final String plain = "1+1 =3D 2";
    String decoded = (String) qpcodec.decode((Object) plain);
    assertEquals("Basic quoted-printable decoding test", "1+1 = 2", decoded);
    final byte[] plainBA = plain.getBytes(StandardCharsets.UTF_8);
    final byte[] decodedBA = (byte[]) qpcodec.decode((Object) plainBA);
    decoded = new String(decodedBA);
    assertEquals("Basic quoted-printable decoding test", "1+1 = 2", decoded);
    final Object result = qpcodec.decode((Object) null);
    assertEquals("Decoding a null Object should return null", null, result);
    try {
        final Object dObj = Double.valueOf(3.0d);
        qpcodec.decode(dObj);
        fail("Trying to url encode a Double object should cause an exception.");
    } catch (final DecoderException ee) {
        // Exception expected, test segment passes.
    }
}</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</si>
  <si>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</si>
  <si>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testIso8859_1() {
    Assert.assertEquals("ISO-8859-1", Charsets.ISO_8859_1.name());
}
@SuppressWarnings("deprecation")
@Test
public void testUtf8() {
    Assert.assertEquals("UTF-8", Charsets.UTF_8.name());
}</t>
  </si>
  <si>
    <t>@SuppressWarnings("deprecation")
@Test
public void testIso8859_1() {
    Assert.assertEquals("ISO-8859-1", Charsets.ISO_8859_1.name());
}
@SuppressWarnings("deprecation")
@Test
public void testUsAscii() {
    Assert.assertEquals("US-ASCII", Charsets.US_ASCII.name());
}</t>
  </si>
  <si>
    <t>@SuppressWarnings("deprecation")
@Test
public void testIso8859_1() {
    Assert.assertEquals("ISO-8859-1", Charsets.ISO_8859_1.name());
}
@SuppressWarnings("deprecation")
@Test
public void testUtf16() {
    Assert.assertEquals("UTF-16", Charsets.UTF_16.name());
}</t>
  </si>
  <si>
    <t>@SuppressWarnings("deprecation")
@Test
public void testIso8859_1() {
    Assert.assertEquals("ISO-8859-1", Charsets.ISO_8859_1.name());
}
@SuppressWarnings("deprecation")
@Test
public void testUtf16Be() {
    Assert.assertEquals("UTF-16BE", Charsets.UTF_16BE.name());
}</t>
  </si>
  <si>
    <t>@SuppressWarnings("deprecation")
@Test
public void testIso8859_1() {
    Assert.assertEquals("ISO-8859-1", Charsets.ISO_8859_1.name());
}
@SuppressWarnings("deprecation")
@Test
public void testUtf16Le() {
    Assert.assertEquals("UTF-16LE", Charsets.UTF_16LE.name());
}</t>
  </si>
  <si>
    <t>@SuppressWarnings("deprecation")
@Test
public void testUsAscii() {
    Assert.assertEquals("US-ASCII", Charsets.US_ASCII.name());
}
@SuppressWarnings("deprecation")
@Test
public void testUtf16() {
    Assert.assertEquals("UTF-16", Charsets.UTF_16.name());
}</t>
  </si>
  <si>
    <t>@SuppressWarnings("deprecation")
@Test
public void testUsAscii() {
    Assert.assertEquals("US-ASCII", Charsets.US_ASCII.name());
}
@SuppressWarnings("deprecation")
@Test
public void testUtf16Be() {
    Assert.assertEquals("UTF-16BE", Charsets.UTF_16BE.name());
}</t>
  </si>
  <si>
    <t>@SuppressWarnings("deprecation")
@Test
public void testUsAscii() {
    Assert.assertEquals("US-ASCII", Charsets.US_ASCII.name());
}
@SuppressWarnings("deprecation")
@Test
public void testUtf8() {
    Assert.assertEquals("UTF-8", Charsets.UTF_8.name());
}</t>
  </si>
  <si>
    <t>@SuppressWarnings("deprecation")
@Test
public void testUsAscii() {
    Assert.assertEquals("US-ASCII", Charsets.US_ASCII.name());
}
@SuppressWarnings("deprecation")
@Test
public void testUtf16Le() {
    Assert.assertEquals("UTF-16LE", Charsets.UTF_16LE.name());
}</t>
  </si>
  <si>
    <t>@SuppressWarnings("deprecation")
@Test
public void testUtf16() {
    Assert.assertEquals("UTF-16", Charsets.UTF_16.name());
}
@SuppressWarnings("deprecation")
@Test
public void testUtf16Be() {
    Assert.assertEquals("UTF-16BE", Charsets.UTF_16BE.name());
}</t>
  </si>
  <si>
    <t>@SuppressWarnings("deprecation")
@Test
public void testUtf16() {
    Assert.assertEquals("UTF-16", Charsets.UTF_16.name());
}
@SuppressWarnings("deprecation")
@Test
public void testUtf16Le() {
    Assert.assertEquals("UTF-16LE", Charsets.UTF_16LE.name());
}</t>
  </si>
  <si>
    <t>@SuppressWarnings("deprecation")
@Test
public void testUtf16() {
    Assert.assertEquals("UTF-16", Charsets.UTF_16.name());
}
@SuppressWarnings("deprecation")
@Test
public void testUtf8() {
    Assert.assertEquals("UTF-8", Charsets.UTF_8.name());
}</t>
  </si>
  <si>
    <t>@SuppressWarnings("deprecation")
@Test
public void testUtf16Be() {
    Assert.assertEquals("UTF-16BE", Charsets.UTF_16BE.name());
}
@SuppressWarnings("deprecation")
@Test
public void testUtf16Le() {
    Assert.assertEquals("UTF-16LE", Charsets.UTF_16LE.name());
}</t>
  </si>
  <si>
    <t>@SuppressWarnings("deprecation")
@Test
public void testUtf16Be() {
    Assert.assertEquals("UTF-16BE", Charsets.UTF_16BE.name());
}
@SuppressWarnings("deprecation")
@Test
public void testUtf8() {
    Assert.assertEquals("UTF-8", Charsets.UTF_8.name());
}</t>
  </si>
  <si>
    <t>@SuppressWarnings("deprecation")
@Test
public void testUtf16Le() {
    Assert.assertEquals("UTF-16LE", Charsets.UTF_16LE.name());
}
@SuppressWarnings("deprecation")
@Test
public void testUtf8() {
    Assert.assertEquals("UTF-8", Charsets.UTF_8.name());
}</t>
  </si>
  <si>
    <t>@Test
public void testDecodeBadCharacterPos0() {
    try {
        new Hex().decode("q0");
        fail("An exception wasn't thrown when trying to decode an illegal character");
    } catch (final DecoderException e) {
        // Expected exception
    }
}
@Test
public void testDecodeBadCharacterPos1() {
    try {
        new Hex().decode("0q");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</si>
  <si>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</si>
  <si>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testDecodeClassCastException() {
    try {
        new Hex().decode(new int[] { 65 });
        fail("An exception wasn't thrown when trying to decode.");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</si>
  <si>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</si>
  <si>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</si>
  <si>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testDecodeClassCastException() {
    try {
        new Hex().decode(new int[] { 65 });
        fail("An exception wasn't thrown when trying to decode.");
    } catch (final DecoderException e) {
        // Expected exception
    }
}</t>
  </si>
  <si>
    <t>@Test
public void testDecodeByteArrayEmpty() throws DecoderException {
    assertTrue(Arrays.equals(new byte[0], new Hex().decode(new byte[0])));
}
@Test
public void testDecodeByteBufferEmpty() throws DecoderException {
    assertTrue(Arrays.equals(new byte[0], new Hex().decode(allocate(0))));
}</t>
  </si>
  <si>
    <t>[org/apache/commons/codec/binary/Hex."&lt;init&gt;", org/apache/commons/codec/binary/Hex.decode, java/util/Arrays.equals]
[org/apache/commons/codec/binary/Hex."&lt;init&gt;", .allocate, org/apache/commons/codec/binary/Hex.decode, java/util/Arrays.equals]</t>
  </si>
  <si>
    <t>[ .allocate]</t>
  </si>
  <si>
    <t>@Test
public void testDecodeByteArrayEmpty() throws DecoderException {
    assertTrue(Arrays.equals(new byte[0], new Hex().decode(new byte[0])));
}
@Test
public void testDecodeStringEmpty() throws DecoderException {
    assertTrue(Arrays.equals(new byte[0], (byte[]) new Hex().decode("")));
}</t>
  </si>
  <si>
    <t>@Test
public void testDecodeByteArrayEmpty() throws DecoderException {
    assertTrue(Arrays.equals(new byte[0], new Hex().decode(new byte[0])));
}
@Test
public void testDecodeByteBufferObjectEmpty() throws DecoderException {
    assertTrue(Arrays.equals(new byte[0], (byte[]) new Hex().decode((Object) allocate(0))));
}</t>
  </si>
  <si>
    <t>@Test
public void testDecodeByteArrayObjectEmpty() throws DecoderException {
    assertTrue(Arrays.equals(new byte[0], (byte[]) new Hex().decode((Object) new byte[0])));
}
@Test
public void testDecodeByteBufferObjectEmpty() throws DecoderException {
    assertTrue(Arrays.equals(new byte[0], (byte[]) new Hex().decode((Object) allocate(0))));
}</t>
  </si>
  <si>
    <t>@Test
public void testDecodeByteArrayObjectEmpty() throws DecoderException {
    assertTrue(Arrays.equals(new byte[0], (byte[]) new Hex().decode((Object) new byte[0])));
}
@Test
public void testDecodeStringEmpty() throws DecoderException {
    assertTrue(Arrays.equals(new byte[0], (byte[]) new Hex().decode("")));
}</t>
  </si>
  <si>
    <t>@Test
public void testDecodeByteArrayObjectEmpty() throws DecoderException {
    assertTrue(Arrays.equals(new byte[0], (byte[]) new Hex().decode((Object) new byte[0])));
}
@Test
public void testDecodeByteBufferEmpty() throws DecoderException {
    assertTrue(Arrays.equals(new byte[0], new Hex().decode(allocate(0))));
}</t>
  </si>
  <si>
    <t>@Test
public void testDecodeByteArrayOddCharacters() {
    try {
        new Hex().decode(new byte[] { 65 });
        fail("An exception wasn't thrown when trying to decode an odd number of characters");
    } catch (final DecoderException e) {
        // Expected exception
    }
}
@Test
public void testDecodeClassCastException() {
    try {
        new Hex().decode(new int[] { 65 });
        fail("An exception wasn't thrown when trying to decode.");
    } catch (final DecoderException e) {
        // Expected exception
    }
}</t>
  </si>
  <si>
    <t>@Test
public void testDecodeByteArrayOddCharacters() {
    try {
        new Hex().decode(new byte[] { 65 });
        fail("An exception wasn't thrown when trying to decode an odd number of characters");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</si>
  <si>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testDecodeByteBufferEmpty() throws DecoderException {
    assertTrue(Arrays.equals(new byte[0], new Hex().decode(allocate(0))));
}
@Test
public void testDecodeByteBufferObjectEmpty() throws DecoderException {
    assertTrue(Arrays.equals(new byte[0], (byte[]) new Hex().decode((Object) allocate(0))));
}</t>
  </si>
  <si>
    <t>[org/apache/commons/codec/binary/Hex."&lt;init&gt;", .allocate, org/apache/commons/codec/binary/Hex.decode, java/util/Arrays.equals]
[org/apache/commons/codec/binary/Hex."&lt;init&gt;", .allocate, org/apache/commons/codec/binary/Hex.decode, java/util/Arrays.equals]</t>
  </si>
  <si>
    <t>@Test
public void testDecodeByteBufferEmpty() throws DecoderException {
    assertTrue(Arrays.equals(new byte[0], new Hex().decode(allocate(0))));
}
@Test
public void testDecodeStringEmpty() throws DecoderException {
    assertTrue(Arrays.equals(new byte[0], (byte[]) new Hex().decode("")));
}</t>
  </si>
  <si>
    <t>[org/apache/commons/codec/binary/Hex."&lt;init&gt;", .allocate, org/apache/commons/codec/binary/Hex.decode, java/util/Arrays.equals]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</si>
  <si>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assertEquals(0, bb.remaining());
}
@Test
public void testEncodeByteBufferAllocatedButEmpty() {
    final ByteBuffer bb = allocate(10);
    // Effectively set remaining == 0 =&gt; empty
    bb.flip();
    assertTrue(Arrays.equals(new byte[0], new Hex().encode(bb)));
    assertEquals(0, bb.remaining());
}</t>
  </si>
  <si>
    <t>[.allocate, java/nio/ByteBuffer.flip, org/apache/commons/codec/binary/Hex."&lt;init&gt;", org/apache/commons/codec/binary/Hex.decode, java/util/Arrays.equals, java/nio/ByteBuffer.remaining]
[.allocate, java/nio/ByteBuffer.flip, org/apache/commons/codec/binary/Hex."&lt;init&gt;", org/apache/commons/codec/binary/Hex.encode, java/util/Arrays.equals, java/nio/ByteBuffer.remaining]</t>
  </si>
  <si>
    <t>@Test
public void testDecodeByteBufferObjectEmpty() throws DecoderException {
    assertTrue(Arrays.equals(new byte[0], (byte[]) new Hex().decode((Object) allocate(0))));
}
@Test
public void testEncodeByteBufferObjectEmpty() throws EncoderException {
    assertTrue(Arrays.equals(new char[0], (char[]) new Hex().encode((Object) allocate(0))));
}</t>
  </si>
  <si>
    <t>[org/apache/commons/codec/binary/Hex."&lt;init&gt;", .allocate, org/apache/commons/codec/binary/Hex.decode, java/util/Arrays.equals]
[org/apache/commons/codec/binary/Hex."&lt;init&gt;", .allocate, org/apache/commons/codec/binary/Hex.encode, java/util/Arrays.equals]</t>
  </si>
  <si>
    <t>@Test
public void testDecodeByteBufferObjectEmpty() throws DecoderException {
    assertTrue(Arrays.equals(new byte[0], (byte[]) new Hex().decode((Object) allocate(0))));
}
@Test
public void testDecodeStringEmpty() throws DecoderException {
    assertTrue(Arrays.equals(new byte[0], (byte[]) new Hex().decode("")));
}</t>
  </si>
  <si>
    <t>@Test
public void testDecodeClassCastException() {
    try {
        new Hex().decode(new int[] { 65 });
        fail("An exception wasn't thrown when trying to decode.");
    } catch (final DecoderException e) {
        // Expected exception
    }
}
@Test
public void testEncodeClassCastException() {
    try {
        new Hex().encode(new int[] { 65 });
        fail("An exception wasn't thrown when trying to encode.");
    } catch (final EncoderException e) {
        // Expected exception
    }
}</t>
  </si>
  <si>
    <t>@Test
public void testDecodeClassCastException() {
    try {
        new Hex().decode(new int[] { 65 });
        fail("An exception wasn't thrown when trying to decode.");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</si>
  <si>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testDecodeHexStringOddCharacters1() {
    checkDecodeHexCharArrayOddCharacters("A");
}
@Test
public void testDecodeHexCharArrayOddCharacters3() {
    checkDecodeHexCharArrayOddCharacters(new char[] { 'A', 'B', 'C' });
}</t>
  </si>
  <si>
    <t>@Test
public void testDecodeHexStringOddCharacters1() {
    checkDecodeHexCharArrayOddCharacters("A");
}
@Test
public void testDecodeHexCharArrayOddCharacters5() {
    checkDecodeHexCharArrayOddCharacters(new char[] { 'A', 'B', 'C', 'D', 'E' });
}</t>
  </si>
  <si>
    <t>@Test
public void testDecodeStringEmpty() throws DecoderException {
    assertTrue(Arrays.equals(new byte[0], (byte[]) new Hex().decode("")));
}
@Test
public void testEncodeStringEmpty() throws EncoderException {
    assertTrue(Arrays.equals(new char[0], (char[]) new Hex().encode("")));
}</t>
  </si>
  <si>
    <t>@Test
public void testEncodeByteArrayEmpty() {
    assertTrue(Arrays.equals(new byte[0], new Hex().encode(new byte[0])));
}
@Test
public void testEncodeByteBufferEmpty() {
    assertTrue(Arrays.equals(new byte[0], new Hex().encode(allocate(0))));
}</t>
  </si>
  <si>
    <t>[org/apache/commons/codec/binary/Hex."&lt;init&gt;", org/apache/commons/codec/binary/Hex.encode, java/util/Arrays.equals]
[org/apache/commons/codec/binary/Hex."&lt;init&gt;", .allocate, org/apache/commons/codec/binary/Hex.encode, java/util/Arrays.equals]</t>
  </si>
  <si>
    <t>@Test
public void testEncodeByteArrayEmpty() {
    assertTrue(Arrays.equals(new byte[0], new Hex().encode(new byte[0])));
}
@Test
public void testEncodeByteArrayObjectEmpty() throws EncoderException {
    assertTrue(Arrays.equals(new char[0], (char[]) new Hex().encode((Object) new byte[0])));
}</t>
  </si>
  <si>
    <t>@Test
public void testEncodeByteArrayEmpty() {
    assertTrue(Arrays.equals(new byte[0], new Hex().encode(new byte[0])));
}
@Test
public void testEncodeStringEmpty() throws EncoderException {
    assertTrue(Arrays.equals(new char[0], (char[]) new Hex().encode("")));
}</t>
  </si>
  <si>
    <t>@Test
public void testEncodeByteArrayObjectEmpty() throws EncoderException {
    assertTrue(Arrays.equals(new char[0], (char[]) new Hex().encode((Object) new byte[0])));
}
@Test
public void testEncodeByteBufferObjectEmpty() throws EncoderException {
    assertTrue(Arrays.equals(new char[0], (char[]) new Hex().encode((Object) allocate(0))));
}</t>
  </si>
  <si>
    <t>@Test
public void testEncodeByteArrayObjectEmpty() throws EncoderException {
    assertTrue(Arrays.equals(new char[0], (char[]) new Hex().encode((Object) new byte[0])));
}
@Test
public void testEncodeStringEmpty() throws EncoderException {
    assertTrue(Arrays.equals(new char[0], (char[]) new Hex().encode("")));
}</t>
  </si>
  <si>
    <t>@Test
public void testEncodeByteBufferEmpty() {
    assertTrue(Arrays.equals(new byte[0], new Hex().encode(allocate(0))));
}
@Test
public void testEncodeByteBufferObjectEmpty() throws EncoderException {
    assertTrue(Arrays.equals(new char[0], (char[]) new Hex().encode((Object) allocate(0))));
}</t>
  </si>
  <si>
    <t>[org/apache/commons/codec/binary/Hex."&lt;init&gt;", .allocate, org/apache/commons/codec/binary/Hex.encode, java/util/Arrays.equals]
[org/apache/commons/codec/binary/Hex."&lt;init&gt;", .allocate, org/apache/commons/codec/binary/Hex.encode, java/util/Arrays.equals]</t>
  </si>
  <si>
    <t>@Test
public void testEncodeByteBufferEmpty() {
    assertTrue(Arrays.equals(new byte[0], new Hex().encode(allocate(0))));
}
@Test
public void testEncodeHexByteBufferEmpty() {
    assertTrue(Arrays.equals(new char[0], Hex.encodeHex(allocate(0))));
    assertTrue(Arrays.equals(new byte[0], new Hex().encode(allocate(0))));
}</t>
  </si>
  <si>
    <t>[org/apache/commons/codec/binary/Hex."&lt;init&gt;", .allocate, org/apache/commons/codec/binary/Hex.encode, java/util/Arrays.equals]
[.allocate, org/apache/commons/codec/binary/Hex.encodeHex, java/util/Arrays.equals, org/apache/commons/codec/binary/Hex."&lt;init&gt;", .allocate, org/apache/commons/codec/binary/Hex.encode, java/util/Arrays.equals]</t>
  </si>
  <si>
    <t>[org/apache/commons/codec/binary/Hex."&lt;init&gt;", .allocate,  org/apache/commons/codec/binary/Hex."&lt;init&gt;",  org/apache/commons/codec/binary/Hex.encodeHex]</t>
  </si>
  <si>
    <t>@Test
public void testEncodeByteBufferObjectEmpty() throws EncoderException {
    assertTrue(Arrays.equals(new char[0], (char[]) new Hex().encode((Object) allocate(0))));
}
@Test
public void testEncodeStringEmpty() throws EncoderException {
    assertTrue(Arrays.equals(new char[0], (char[]) new Hex().encode("")));
}</t>
  </si>
  <si>
    <t>[org/apache/commons/codec/binary/Hex."&lt;init&gt;", .allocate, org/apache/commons/codec/binary/Hex.encode, java/util/Arrays.equals]
[org/apache/commons/codec/binary/Hex."&lt;init&gt;", org/apache/commons/codec/binary/Hex.encode, java/util/Arrays.equals]</t>
  </si>
  <si>
    <t>@Test
public void testEncodeByteBufferObjectEmpty() throws EncoderException {
    assertTrue(Arrays.equals(new char[0], (char[]) new Hex().encode((Object) allocate(0))));
}
@Test
public void testEncodeHexByteBufferEmpty() {
    assertTrue(Arrays.equals(new char[0], Hex.encodeHex(allocate(0))));
    assertTrue(Arrays.equals(new byte[0], new Hex().encode(allocate(0))));
}</t>
  </si>
  <si>
    <t>@Test
public void testEncodeHexByteArrayEmpty() {
    assertTrue(Arrays.equals(new char[0], Hex.encodeHex(new byte[0])));
    assertTrue(Arrays.equals(new byte[0], new Hex().encode(new byte[0])));
}
@Test
public void testEncodeHexByteBufferEmpty() {
    assertTrue(Arrays.equals(new char[0], Hex.encodeHex(allocate(0))));
    assertTrue(Arrays.equals(new byte[0], new Hex().encode(allocate(0))));
}</t>
  </si>
  <si>
    <t>[org/apache/commons/codec/binary/Hex.encodeHex, java/util/Arrays.equals, org/apache/commons/codec/binary/Hex."&lt;init&gt;", org/apache/commons/codec/binary/Hex.encode, java/util/Arrays.equals]
[.allocate, org/apache/commons/codec/binary/Hex.encodeHex, java/util/Arrays.equals, org/apache/commons/codec/binary/Hex."&lt;init&gt;", .allocate, org/apache/commons/codec/binary/Hex.encode, java/util/Arrays.equals]</t>
  </si>
  <si>
    <t>[ .allocate, org/apache/commons/codec/binary/Hex.encodeHex, .allocate,  org/apache/commons/codec/binary/Hex.encodeHex]</t>
  </si>
  <si>
    <t>@Test
public void testEncodeHexByteBufferHelloWorldLowerCaseHex() {
    final ByteBuffer b = getByteBufferUtf8("Hello World");
    final String expected = "48656c6c6f20576f726c64";
    char[] actual;
    // Default lower-case
    actual = Hex.encodeHex(b);
    assertEquals(expected, new String(actual));
    assertEquals(0, b.remaining());
    // lower-case
    b.flip();
    actual = Hex.encodeHex(b, true);
    assertEquals(expected, new String(actual));
    assertEquals(0, b.remaining());
    // upper-case
    b.flip();
    actual = Hex.encodeHex(b, false);
    assertEquals(expected.toUpperCase(), new String(actual));
    assertEquals(0, b.remaining());
}
@Test
public void testEncodeHexByteBufferHelloWorldUpperCaseHex() {
    final ByteBuffer b = getByteBufferUtf8("Hello World");
    final String expected = "48656C6C6F20576F726C64";
    char[] actual;
    // Default lower-case
    actual = Hex.encodeHex(b);
    assertEquals(expected.toLowerCase(), new String(actual));
    assertEquals(0, b.remaining());
    // lower-case
    b.flip();
    actual = Hex.encodeHex(b, true);
    assertEquals(expected.toLowerCase(), new String(actual));
    assertEquals(0, b.remaining());
    // upper-case
    b.flip();
    actual = Hex.encodeHex(b, false);
    assertEquals(expected, new String(actual));
    assertEquals(0, b.remaining());
}</t>
  </si>
  <si>
    <t>[.getByteBufferUtf8, org/apache/commons/codec/binary/Hex.encodeHex, java/lang/String."&lt;init&gt;", java/nio/ByteBuffer.remaining, java/nio/ByteBuffer.flip, org/apache/commons/codec/binary/Hex.encodeHex, java/lang/String."&lt;init&gt;", java/nio/ByteBuffer.remaining, java/nio/ByteBuffer.flip, org/apache/commons/codec/binary/Hex.encodeHex, java/lang/String.toUpperCase, java/lang/String."&lt;init&gt;", java/nio/ByteBuffer.remaining]
[.getByteBufferUtf8, org/apache/commons/codec/binary/Hex.encodeHex, java/lang/String.toLowerCase, java/lang/String."&lt;init&gt;", java/nio/ByteBuffer.remaining, java/nio/ByteBuffer.flip, org/apache/commons/codec/binary/Hex.encodeHex, java/lang/String.toLowerCase, java/lang/String."&lt;init&gt;", java/nio/ByteBuffer.remaining, java/nio/ByteBuffer.flip, org/apache/commons/codec/binary/Hex.encodeHex, java/lang/String."&lt;init&gt;", java/nio/ByteBuffer.remaining]</t>
  </si>
  <si>
    <t>[ java/lang/String.toLowerCase,  java/lang/String.toUpperCase]</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</si>
  <si>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testEncodeHexByteString_ByteBufferWithLimitBoolean_ToLowerCase() {
    final ByteBuffer bb = allocate(4);
    bb.put(1, (byte) 10);
    bb.position(1);
    bb.limit(2);
    assertEquals("0a", Hex.encodeHexString(bb, true));
    assertEquals(0, bb.remaining());
}</t>
  </si>
  <si>
    <t>[.allocate, java/nio/ByteBuffer.limit, org/apache/commons/codec/binary/Hex.encodeHexString, java/nio/ByteBuffer.remaining,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</si>
  <si>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testEncodeHexByteString_ByteBufferWithLimitBoolean_ToUpperCase() {
    final ByteBuffer bb = allocate(4);
    bb.put(1, (byte) 10);
    bb.position(1);
    bb.limit(2);
    assertEquals("0A", Hex.encodeHexString(bb, false));
    assertEquals(0, bb.remaining());
}</t>
  </si>
  <si>
    <t>@Test
public void testEncodeHexByteString_ByteBufferBoolean_ToLowerCase() {
    final ByteBuffer bb = allocate(1);
    bb.put((byte) 10);
    bb.flip();
    assertEquals("0a", Hex.encodeHexString(bb, true));
}
@Test
public void testEncodeHexByteString_ByteBufferBoolean_ToUpperCase() {
    final ByteBuffer bb = allocate(1);
    bb.put((byte) 10);
    bb.flip();
    assertEquals("0A", Hex.encodeHexString(bb, false));
}</t>
  </si>
  <si>
    <t>[.allocate, java/nio/ByteBuffer.put, java/nio/ByteBuffer.flip, org/apache/commons/codec/binary/Hex.encodeHexString]
[.allocate, java/nio/ByteBuffer.put, java/nio/ByteBuffer.flip, org/apache/commons/codec/binary/Hex.encodeHexString]</t>
  </si>
  <si>
    <t>@Test
public void testEncodeHexByteString_ByteBufferWithLimitBoolean_ToLowerCase() {
    final ByteBuffer bb = allocate(4);
    bb.put(1, (byte) 10);
    bb.position(1);
    bb.limit(2);
    assertEquals("0a", Hex.encodeHexString(bb, true));
    assertEquals(0, bb.remaining());
}
@Test
public void testEncodeHexByteString_ByteBufferWithLimitBoolean_ToUpperCase() {
    final ByteBuffer bb = allocate(4);
    bb.put(1, (byte) 10);
    bb.position(1);
    bb.limit(2);
    assertEquals("0A", Hex.encodeHexString(bb, false));
    assertEquals(0, bb.remaining());
}</t>
  </si>
  <si>
    <t>[.allocate, java/nio/ByteBuffer.put,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</si>
  <si>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
    assertEquals(0, BinaryCodec.fromAscii((byte[]) null).length);
    assertEquals(0, BinaryCodec.fromAscii(new byte[0]).length);
    // With a single raw binary
    byte[] bits = new byte[1];
    byte[] decoded = BinaryCodec.fromAscii("00000000".getBytes(CHARSET_UTF8));
    assertEquals(new String(bits), new String(decoded));
    bits = new byte[1];
    bits[0] = BIT_0;
    decoded = BinaryCodec.fromAscii("00000001".getBytes(CHARSET_UTF8));
    assertEquals(new String(bits), new String(decoded));
    bits = new byte[1];
    bits[0] = BIT_0 | BIT_1;
    decoded = BinaryCodec.fromAscii("00000011".getBytes(CHARSET_UTF8));
    assertEquals(new String(bits), new String(decoded));
    bits = new byte[1];
    bits[0] = BIT_0 | BIT_1 | BIT_2;
    decoded = BinaryCodec.fromAscii("00000111".getBytes(CHARSET_UTF8));
    assertEquals(new String(bits), new String(decoded));
    bits = new byte[1];
    bits[0] = BIT_0 | BIT_1 | BIT_2 | BIT_3;
    decoded = BinaryCodec.fromAscii("00001111".getBytes(CHARSET_UTF8));
    assertEquals(new String(bits), new String(decoded));
    bits = new byte[1];
    bits[0] = BIT_0 | BIT_1 | BIT_2 | BIT_3 | BIT_4;
    decoded = BinaryCodec.fromAscii("00011111".getBytes(CHARSET_UTF8));
    assertEquals(new String(bits), new String(decoded));
    bits = new byte[1];
    bits[0] = BIT_0 | BIT_1 | BIT_2 | BIT_3 | BIT_4 | BIT_5;
    decoded = BinaryCodec.fromAscii("00111111".getBytes(CHARSET_UTF8));
    assertEquals(new String(bits), new String(decoded));
    bits = new byte[1];
    bits[0] = BIT_0 | BIT_1 | BIT_2 | BIT_3 | BIT_4 | BIT_5 | BIT_6;
    decoded = BinaryCodec.fromAscii("01111111".getBytes(CHARSET_UTF8));
    assertEquals(new String(bits), new String(decoded));
    bits = new byte[1];
    bits[0] = (byte) (BIT_0 | BIT_1 | BIT_2 | BIT_3 | BIT_4 | BIT_5 | BIT_6 | BIT_7);
    decoded = BinaryCodec.fromAscii("11111111".getBytes(CHARSET_UTF8));
    assertEquals(new String(bits), new String(decoded));
    // With a two raw binaries
    bits = new byte[2];
    bits[0] = (byte) (BIT_0 | BIT_1 | BIT_2 | BIT_3 | BIT_4 | BIT_5 | BIT_6 | BIT_7);
    decoded = BinaryCodec.fromAscii("0000000011111111".getBytes(CHARSET_UTF8));
    assertEquals(new String(bits), new String(decoded));
    bits = new byte[2];
    bits[1] = BIT_0;
    bits[0] = (byte) (BIT_0 | BIT_1 | BIT_2 | BIT_3 | BIT_4 | BIT_5 | BIT_6 | BIT_7);
    decoded = BinaryCodec.fromAscii("0000000111111111".getBytes(CHARSET_UTF8));
    assertEquals(new String(bits), new String(decoded));
    bits = new byte[2];
    bits[1] = BIT_0 | BIT_1;
    bits[0] = (byte) (BIT_0 | BIT_1 | BIT_2 | BIT_3 | BIT_4 | BIT_5 | BIT_6 | BIT_7);
    decoded = BinaryCodec.fromAscii("0000001111111111".getBytes(CHARSET_UTF8));
    assertEquals(new String(bits), new String(decoded));
    bits = new byte[2];
    bits[1] = BIT_0 | BIT_1 | BIT_2;
    bits[0] = (byte) (BIT_0 | BIT_1 | BIT_2 | BIT_3 | BIT_4 | BIT_5 | BIT_6 | BIT_7);
    decoded = BinaryCodec.fromAscii("0000011111111111".getBytes(CHARSET_UTF8));
    assertEquals(new String(bits), new String(decoded));
    bits = new byte[2];
    bits[1] = BIT_0 | BIT_1 | BIT_2 | BIT_3;
    bits[0] = (byte) (BIT_0 | BIT_1 | BIT_2 | BIT_3 | BIT_4 | BIT_5 | BIT_6 | BIT_7);
    decoded = BinaryCodec.fromAscii("0000111111111111".getBytes(CHARSET_UTF8));
    assertEquals(new String(bits), new String(decoded));
    bits = new byte[2];
    bits[1] = BIT_0 | BIT_1 | BIT_2 | BIT_3 | BIT_4;
    bits[0] = (byte) (BIT_0 | BIT_1 | BIT_2 | BIT_3 | BIT_4 | BIT_5 | BIT_6 | BIT_7);
    decoded = BinaryCodec.fromAscii("0001111111111111".getBytes(CHARSET_UTF8));
    assertEquals(new String(bits), new String(decoded));
    bits = new byte[2];
    bits[1] = BIT_0 | BIT_1 | BIT_2 | BIT_3 | BIT_4 | BIT_5;
    bits[0] = (byte) (BIT_0 | BIT_1 | BIT_2 | BIT_3 | BIT_4 | BIT_5 | BIT_6 | BIT_7);
    decoded = BinaryCodec.fromAscii("0011111111111111".getBytes(CHARSET_UTF8));
    assertEquals(new String(bits), new String(decoded));
    bits = new byte[2];
    bits[1] = BIT_0 | BIT_1 | BIT_2 | BIT_3 | BIT_4 | BIT_5 | BIT_6;
    bits[0] = (byte) (BIT_0 | BIT_1 | BIT_2 | BIT_3 | BIT_4 | BIT_5 | BIT_6 | BIT_7);
    decoded = BinaryCodec.fromAscii("0111111111111111".getBytes(CHARSET_UTF8));
    assertEquals(new String(bits), new String(decoded));
    bits = new byte[2];
    bits[1] = (byte) (BIT_0 | BIT_1 | BIT_2 | BIT_3 | BIT_4 | BIT_5 | BIT_6 | BIT_7);
    bits[0] = (byte) (BIT_0 | BIT_1 | BIT_2 | BIT_3 | BIT_4 | BIT_5 | BIT_6 | BIT_7);
    decoded = BinaryCodec.fromAscii("1111111111111111".getBytes(CHARSET_UTF8));
    assertEquals(new String(bits), new String(decoded));
    assertEquals(0, BinaryCodec.fromAscii((byte[]) null).length);
}</t>
  </si>
  <si>
    <t>// ------------------------------------------------------------------------
//
// Test encode(Object)
//
// ------------------------------------------------------------------------
/*
     * Tests for Object encode(Object)
     */
@Test
public void testEncodeObjectNull() throws Exception {
    final Object obj = new byte[0];
    assertEquals(0, ((char[]) instance.encode(obj)).length);
}
/*
     * Tests for Object encode(Object)
     */
@Test
public void testEncodeObjectException() {
    try {
        instance.encode("");
    } catch (final EncoderException e) {
        // all is well.
        return;
    }
    fail("Expected EncoderException");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</si>
  <si>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</si>
  <si>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testEncodeObjects() throws Exception {
    final URLCodec urlCodec = new URLCodec();
    final String plain = "Hello there!";
    String encoded = (String) urlCodec.encode((Object) plain);
    assertEquals("Basic URL encoding test", "Hello+there%21", encoded);
    final byte[] plainBA = plain.getBytes(StandardCharsets.UTF_8);
    final byte[] encodedBA = (byte[]) urlCodec.encode((Object) plainBA);
    encoded = new String(encodedBA);
    assertEquals("Basic URL encoding test", "Hello+there%21", encoded);
    final Object result = urlCodec.encode((Object) null);
    assertEquals("Encoding a null Object should return null", null, result);
    try {
        final Object dObj = Double.valueOf(3.0d);
        urlCodec.encode(dObj);
        fail("Trying to url encode a Double object should cause an exception.");
    } catch (final EncoderException ee) {
        // Exception expected, test segment passes.
    }
    this.validateState(urlCodec);
}
@Test
public void testDecodeObjects() throws Exception {
    final URLCodec urlCodec = new URLCodec();
    final String plain = "Hello+there%21";
    String decoded = (String) urlCodec.decode((Object) plain);
    assertEquals("Basic URL decoding test", "Hello there!", decoded);
    final byte[] plainBA = plain.getBytes(StandardCharsets.UTF_8);
    final byte[] decodedBA = (byte[]) urlCodec.decode((Object) plainBA);
    decoded = new String(decodedBA);
    assertEquals("Basic URL decoding test", "Hello there!", decoded);
    final Object result = urlCodec.decode((Object) null);
    assertEquals("Decoding a null Object should return null", null, result);
    try {
        final Object dObj = Double.valueOf(3.0d);
        urlCodec.decode(dObj);
        fail("Trying to url encode a Double object should cause an exception.");
    } catch (final DecoderException ee) {
        // Exception expected, test segment passes.
    }
    this.validateState(urlCodec);
}</t>
  </si>
  <si>
    <t>@Test
public void testBase32Chunked() throws Exception {
    final Base32 codec = new Base32(20);
    for (final String[] element : BASE32_TEST_CASES_CHUNKED) {
        assertEquals(element[1], codec.encodeAsString(element[0].getBytes(CHARSET_UTF8)));
    }
}
@Test
public void testBase32Samples() throws Exception {
    final Base32 codec = new Base32();
    for (final String[] element : BASE32_TEST_CASES) {
        assertEquals(element[1], codec.encodeAsString(element[0].getBytes(CHARSET_UTF8)));
    }
}</t>
  </si>
  <si>
    <t>@Test
public void testBase32Chunked() throws Exception {
    final Base32 codec = new Base32(20);
    for (final String[] element : BASE32_TEST_CASES_CHUNKED) {
        assertEquals(element[1], codec.encodeAsString(element[0].getBytes(CHARSET_UTF8)));
    }
}
@Test
public void testBase32HexSamples() throws Exception {
    final Base32 codec = new Base32(true);
    for (final String[] element : BASE32HEX_TEST_CASES) {
        assertEquals(element[1], codec.encodeAsString(element[0].getBytes(CHARSET_UTF8)));
    }
}</t>
  </si>
  <si>
    <t>@Test
public void testBase32Chunked() throws Exception {
    final Base32 codec = new Base32(20);
    for (final String[] element : BASE32_TEST_CASES_CHUNKED)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</si>
  <si>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testBase32HexSamples() throws Exception {
    final Base32 codec = new Base32(true);
    for (final String[] element : BASE32HEX_TEST_CASES) {
        assertEquals(element[1], codec.encodeAsString(element[0].getBytes(CHARSET_UTF8)));
    }
}
@Test
public void testBase32Samples() throws Exception {
    final Base32 codec = new Base32();
    for (final String[] element : BASE32_TEST_CASES) {
        assertEquals(element[1], codec.encodeAsString(element[0].getBytes(CHARSET_UTF8)));
    }
}</t>
  </si>
  <si>
    <t>@Test
public void testBase32HexSamples() throws Exception {
    final Base32 codec = new Base32(true);
    for (final String[] element : BASE32HEX_TEST_CASES)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</si>
  <si>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testBase32Samples() throws Exception {
    final Base32 codec = new Base32();
    for (final String[] element : BASE32_TEST_CASES)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</si>
  <si>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testRandomBytes() {
    for (int i = 0; i &lt; 20; i++) {
        final Base32 codec = new Base32();
        final byte[][] b = Base32TestData.randomData(codec, i);
        assertEquals("" + i + " " + codec.lineLength, b[1].length, codec.getEncodedLength(b[0]));
        //assertEquals(b[0],codec.decode(b[1]));
    }
}
@Test
public void testRandomBytesChunked() {
    for (int i = 0; i &lt; 20; i++) {
        final Base32 codec = new Base32(10);
        final byte[][] b = Base32TestData.randomData(codec, i);
        assertEquals("" + i + " " + codec.lineLength, b[1].length, codec.getEncodedLength(b[0]));
        //assertEquals(b[0],codec.decode(b[1]));
    }
}</t>
  </si>
  <si>
    <t>@Test
public void testRandomBytes() {
    for (int i = 0; i &lt; 20; i++) {
        final Base32 codec = new Base32();
        final byte[][] b = Base32TestData.randomData(codec, i);
        assertEquals("" + i + " " + codec.lineLength, b[1].length, codec.getEncodedLength(b[0]));
        //assertEquals(b[0],codec.decode(b[1]));
    }
}
@Test
public void testRandomBytesHex() {
    for (int i = 0; i &lt; 20; i++) {
        final Base32 codec = new Base32(true);
        final byte[][] b = Base32TestData.randomData(codec, i);
        assertEquals("" + i + " " + codec.lineLength, b[1].length, codec.getEncodedLength(b[0]));
        //assertEquals(b[0],codec.decode(b[1]));
    }
}</t>
  </si>
  <si>
    <t>@Test
public void testRandomBytesChunked() {
    for (int i = 0; i &lt; 20; i++) {
        final Base32 codec = new Base32(10);
        final byte[][] b = Base32TestData.randomData(codec, i);
        assertEquals("" + i + " " + codec.lineLength, b[1].length, codec.getEncodedLength(b[0]));
        //assertEquals(b[0],codec.decode(b[1]));
    }
}
@Test
public void testRandomBytesHex() {
    for (int i = 0; i &lt; 20; i++) {
        final Base32 codec = new Base32(true);
        final byte[][] b = Base32TestData.randomData(codec, i);
        assertEquals("" + i + " " + codec.lineLength, b[1].length, codec.getEncodedLength(b[0]));
        //assertEquals(b[0],codec.decode(b[1]));
    }
}</t>
  </si>
  <si>
    <t>@Test
public void testBase32ImpossibleChunked() {
    testImpossibleCases(new Base32(20), BASE32_IMPOSSIBLE_CASES_CHUNKED);
}
@Test
public void testBase32HexImpossibleSamples() {
    testImpossibleCases(new Base32(true), BASE32HEX_IMPOSSIBLE_CASES);
}</t>
  </si>
  <si>
    <t>9f1b740a17f0d54366edfb45df0636b8e302666a</t>
  </si>
  <si>
    <t>testBase64ImpossibleSamplesDefault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</si>
  <si>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</si>
  <si>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</si>
  <si>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testBase64ImpossibleSamplesLenient</t>
  </si>
  <si>
    <t>[[testBase64ImpossibleSamplesDefault, testBase64ImpossibleSamplesLenient, testBase64ImpossibleSamplesStrict]]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</si>
  <si>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</si>
  <si>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testBase64ImpossibleSamplesStrict</t>
  </si>
  <si>
    <t>@Test
public void testBase64ImpossibleSamplesLenient() throws DecoderException {
    final BCodec codec = new BCodec(StandardCharsets.UTF_8, CodecPolicy.LENIENT);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</si>
  <si>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427998a47a25c4bbc6098c7418cafffcfed53f53</t>
  </si>
  <si>
    <t>019ee2c989d21bb5de8e26a12bbf87f2f870fa7e</t>
  </si>
  <si>
    <t>564c47cbcbe3ade57c106ed83fa83d910d30d408</t>
  </si>
  <si>
    <t>testConstructor_LowerCase</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</si>
  <si>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</si>
  <si>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</si>
  <si>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testConstructor_LowerCase_DecodingPolicy</t>
  </si>
  <si>
    <t>[[testConstructor_LowerCase, testConstructor_LowerCase_DecodingPolicy], [testDecodeSingleBytesOptimisation]]</t>
  </si>
  <si>
    <t>081756b86e25ec5ea7bc786e88a7d56b76f88ef9</t>
  </si>
  <si>
    <t>testStrictDecoding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</si>
  <si>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</si>
  <si>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</si>
  <si>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testLenientDecoding</t>
  </si>
  <si>
    <t>[[testStrictDecoding, testLenientDecoding]]</t>
  </si>
  <si>
    <t>testIsStringBase16</t>
  </si>
  <si>
    <t>/**
 * Test the isStringBase16 method.
 */
@Test
public void testIsStringBase16() {
    final String nullString = null;
    final String emptyString = "";
    final String validString = "cafebabec0a1f2e3b4a5b6e7c8";
    // append null
    final String invalidString = validString + (char) 0;
    // character
    try {
        Base16.isBase16(nullString);
        fail("Base16.isStringBase16() should not be null-safe.");
    } catch (final NullPointerException npe) {
        assertNotNull("Base16.isStringBase16() should not be null-safe.", npe);
    }
    assertTrue("Base16.isStringBase16(empty-string) is true", Base16.isBase16(emptyString));
    assertTrue("Base16.isStringBase16(valid-string) is true", Base16.isBase16(validString));
    assertFalse("Base16.isStringBase16(invalid-string) is false", Base16.isBase16(invalidString));
}
@Test
public void testIsArrayByteBase16() {
    assertFalse(Base16.isBase16(new char[] { (char) Byte.MIN_VALUE }));
    assertFalse(Base16.isBase16(new char[] { (char) -125 }));
    assertFalse(Base16.isBase16(new char[] { (char) -10 }));
    assertFalse(Base16.isBase16(new char[] { 0 }));
    assertFalse(Base16.isBase16(new char[] { 64, Byte.MAX_VALUE }));
    assertFalse(Base16.isBase16(new char[] { Byte.MAX_VALUE }));
    assertTrue(Base16.isBase16(new char[] { 'A' }));
    assertFalse(Base16.isBase16(new char[] { 'A', (char) Byte.MIN_VALUE }));
    assertTrue(Base16.isBase16(new char[] { 'A', 'F', 'a' }));
    assertFalse(Base16.isBase16(new char[] { '/', '=', '+' }));
    assertFalse(Base16.isBase16(new char[] { '$' }));
}</t>
  </si>
  <si>
    <t>[org/apache/commons/codec/binary/Base16.isBase16,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t>
  </si>
  <si>
    <t>testIsArrayByteBase16</t>
  </si>
  <si>
    <t>testBase16AtBufferStart</t>
  </si>
  <si>
    <t>@Test
public void testBase16AtBufferStart() {
    testBase16InBuffer(0, 100);
}
@Test
public void testBase16AtBufferEnd() {
    testBase16InBuffer(100, 0);
}</t>
  </si>
  <si>
    <t>[.testBase16InBuffer]
[.testBase16InBuffer]</t>
  </si>
  <si>
    <t>testBase16AtBufferEnd</t>
  </si>
  <si>
    <t>@Test
public void testBase16AtBufferStart() {
    testBase16InBuffer(0, 100);
}
@Test
public void testBase16AtBufferMiddle() {
    testBase16InBuffer(100, 100);
}</t>
  </si>
  <si>
    <t>testBase16AtBufferMiddle</t>
  </si>
  <si>
    <t>@Test
public void testBase16AtBufferEnd() {
    testBase16InBuffer(100, 0);
}
@Test
public void testBase16AtBufferMiddle() {
    testBase16InBuffer(100, 100);
}</t>
  </si>
  <si>
    <t>testConstructor_Charset</t>
  </si>
  <si>
    <t>@Test
public void testConstructor_Charset() {
    final Base16 Base16 = new Base16(CHARSET_UTF8);
    final byte[] encoded = Base16.encode(Base16TestData.DECODED);
    final String expectedResult = Base16TestData.ENCODED_UTF8_LOWERCASE;
    final String result = StringUtils.newStringUtf8(encoded);
    assertEquals("new Base16(UTF_8)", expectedResult, result);
}
@Test
public void testConstructor_Boolean_Charset() {
    final Base16 Base16 = new Base16(false, CHARSET_UTF8);
    final byte[] encoded = Base16.encode(Base16TestData.DECODED);
    final String expectedResult = Base16TestData.ENCODED_UTF8_UPPERCASE;
    final String result = StringUtils.newStringUtf8(encoded);
    assertEquals("new Base16(false, UTF_8)", result, expectedResult);
}</t>
  </si>
  <si>
    <t>testConstructor_Boolean_Charset</t>
  </si>
  <si>
    <t>@Test
public void testKnownDecodings() {
    assertEquals("The quick brown fox jumped over the lazy dogs.", new String(Base16.decodeBase16("54686520717569636b2062726f776e20666f78206a756d706564206f76657220746865206c617a7920646f67732e".getBytes(CHARSET_UTF8))));
    assertEquals("It was the best of times, it was the worst of times.", new String(Base16.decodeBase16("497420776173207468652062657374206f662074696d65732c206974207761732074686520776f727374206f662074696d65732e".getBytes(CHARSET_UTF8))));
    assertEquals("http://jakarta.apache.org/commmons", new String(Base16.decodeBase16("687474703a2f2f6a616b617274612e6170616368652e6f72672f636f6d6d6d6f6e73".getBytes(CHARSET_UTF8))));
    assertEquals("AaBbCcDdEeFfGgHhIiJjKkLlMmNnOoPpQqRrSsTtUuVvWwXxYyZz", new String(Base16.decodeBase16("4161426243634464456546664767486849694a6a4b6b4c6c4d6d4e6e4f6f50705171527253735474557556765777587859795a7a".getBytes(CHARSET_UTF8))));
    assertEquals("{ 0, 1, 2, 3, 4, 5, 6, 7, 8, 9 }", new String(Base16.decodeBase16("7b20302c20312c20322c20332c20342c20352c20362c20372c20382c2039207d".getBytes(CHARSET_UTF8))));
    assertEquals("xyzzy!", new String(Base16.decodeBase16("78797a7a7921".getBytes(CHARSET_UTF8))));
}
@Test
public void testKnownEncodings() {
    assertEquals("54686520717569636b2062726f776e20666f78206a756d706564206f76657220746865206c617a7920646f67732e", new String(Base16.encodeBase16("The quick brown fox jumped over the lazy dogs.".getBytes(CHARSET_UTF8))));
    assertEquals("497420776173207468652062657374206f662074696d65732c206974207761732074686520776f727374206f662074696d65732e", new String(Base16.encodeBase16("It was the best of times, it was the worst of times.".getBytes(CHARSET_UTF8))));
    assertEquals("687474703a2f2f6a616b617274612e6170616368652e6f72672f636f6d6d6d6f6e73", new String(Base16.encodeBase16("http://jakarta.apache.org/commmons".getBytes(CHARSET_UTF8))));
    assertEquals("4161426243634464456546664767486849694a6a4b6b4c6c4d6d4e6e4f6f50705171527253735474557556765777587859795a7a", new String(Base16.encodeBase16("AaBbCcDdEeFfGgHhIiJjKkLlMmNnOoPpQqRrSsTtUuVvWwXxYyZz".getBytes(CHARSET_UTF8))));
    assertEquals("7b20302c20312c20322c20332c20342c20352c20362c20372c20382c2039207d", new String(Base16.encodeBase16("{ 0, 1, 2, 3, 4, 5, 6, 7, 8, 9 }".getBytes(CHARSET_UTF8))));
    assertEquals("78797a7a7921", new String(Base16.encodeBase16("xyzzy!".getBytes(CHARSET_UTF8))));
}</t>
  </si>
  <si>
    <t>[java/lang/String.getBytes,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t>
  </si>
  <si>
    <t>testKnownEncodings</t>
  </si>
  <si>
    <t>[ org/apache/commons/codec/binary/Base16.encodeBase16,  org/apache/commons/codec/binary/Base16.decodeBase16]</t>
  </si>
  <si>
    <t>@Test
public void testObjectEncodeWithValidParameter() throws Exception {
    final String original = "Hello World!";
    final Object origObj = original.getBytes(CHARSET_UTF8);
    final Base16 b16 = new Base16();
    final Object oEncoded = b16.encode(origObj);
    final byte[] bArray = Base16.decodeBase16((byte[])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</si>
  <si>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org/apache/commons/codec/binary/Base16.decodeBase16, java/lang/String."&lt;init&gt;"]
[org/apache/commons/codec/binary/Base16."&lt;init&gt;", java/lang/String.getBytes, org/apache/commons/codec/binary/Base16.encode, java/lang/String."&lt;init&gt;"]</t>
  </si>
  <si>
    <t>[java/lang/String.getBytes,  org/apache/commons/codec/binary/Base16.decodeBase16,  org/apache/commons/codec/binary/Base16."&lt;init&gt;", org/apache/commons/codec/binary/Base16."&lt;init&gt;",  java/lang/String.getBytes]</t>
  </si>
  <si>
    <t>testDecodeHexCharArrayOutBufferUnderSized</t>
  </si>
  <si>
    <t>@Test(expected = DecoderException.class)
public void testDecodeHexCharArrayOutBufferUnderSized() throws DecoderException {
    final byte[] out = new byte[4];
    Hex.decodeHex("aabbccddeeff".toCharArray(), out, 0);
}
@Test(expected = DecoderException.class)
public void testDecodeHexCharArrayOutBufferUnderSizedByOffset() throws DecoderException {
    final byte[] out = new byte[6];
    Hex.decodeHex("aabbccddeeff".toCharArray(), out, 1);
}</t>
  </si>
  <si>
    <t>[java/lang/String.toCharArray, org/apache/commons/codec/binary/Hex.decodeHex]
[java/lang/String.toCharArray, org/apache/commons/codec/binary/Hex.decodeHex]</t>
  </si>
  <si>
    <t>testDecodeHexCharArrayOutBufferUnderSizedByOffset</t>
  </si>
  <si>
    <t>org.apache.commons.codec.binary.Base16InputStreamTest</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</si>
  <si>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t>
  </si>
  <si>
    <t>[org/apache/commons/codec/binary/StringUtils.getBytesIso8859_1, java/io/ByteArrayInputStream."&lt;init&gt;", org/apache/commons/codec/binary/Base16InputStream."&lt;init&gt;", org/apache/commons/codec/binary/Base16InputStream.available, org/apache/commons/codec/binary/Base16InputStream.skip, org/apache/commons/codec/binary/Base16InputStream.available, org/apache/commons/codec/binary/Base16InputStream.read, org/apache/commons/codec/binary/Base16InputStream.read, org/apache/commons/codec/binary/Base16InputStream.available,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</si>
  <si>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org/apache/commons/codec/binary/Base16InputStream.available]</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</si>
  <si>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</si>
  <si>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</si>
  <si>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t>
  </si>
  <si>
    <t>testBase16InputStreamByChunk</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</si>
  <si>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StringUtils.getBytesUtf8(Base16TestData.ENCODED_UTF8_LOWERCASE);
    decoded = Base16TestData.DECODED;
    testByChunk(encoded, decoded);
    // test random data of sizes 0 thru 150
    for (int i = 0; i &lt;= 150; i++) {
        final byte[][] randomData = Base16TestData.randomData(i);
        encoded = randomData[1];
        decoded = randomData[0];
        testByChunk(encoded, decoded);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StringUtils.getBytesUtf8(Base16TestData.ENCODED_UTF8_LOWERCASE);
    decoded = Base16TestData.DECODED;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</si>
  <si>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org/apache/commons/codec/binary/Base16TestData.randomData, .testByteByByte]</t>
  </si>
  <si>
    <t>testBase16InputStreamByteByByte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</si>
  <si>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</si>
  <si>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</si>
  <si>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try {
            in.read(buf, -1, 0);
            fail("Expected Base16InputStream.read(buf, -1, 0) to throw IndexOutOfBoundsException");
        } catch (final IndexOutOfBoundsException e) {
            // Expected
        }
        try {
            in.read(buf, 0, -1);
            fail("Expected Base16InputStream.read(buf, 0, -1) to throw IndexOutOfBoundsException");
        } catch (final IndexOutOfBoundsException e) {
            // Expected
        }
        try {
            in.read(buf, buf.length + 1, 0);
            fail("Base16InputStream.read(buf, buf.length + 1, 0) throws IndexOutOfBoundsException");
        } catch (final IndexOutOfBoundsException e) {
            // Expected
        }
        try {
            in.read(buf, buf.length - 1, 2);
            fail("Base16InputStream.read(buf, buf.length - 1, 2) throws IndexOutOfBoundsException");
        } catch (final IndexOutOfBoundsException e) {
            // Expected
        }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</si>
  <si>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org/apache/commons/codec/binary/Base16InputStream.read,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</si>
  <si>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try {
            in.read(buf, -1, 0);
            fail("Expected Base16InputStream.read(buf, -1, 0) to throw IndexOutOfBoundsException");
        } catch (final IndexOutOfBoundsException e) {
            // Expected
        }
        try {
            in.read(buf, 0, -1);
            fail("Expected Base16InputStream.read(buf, 0, -1) to throw IndexOutOfBoundsException");
        } catch (final IndexOutOfBoundsException e) {
            // Expected
        }
        try {
            in.read(buf, buf.length + 1, 0);
            fail("Base16InputStream.read(buf, buf.length + 1, 0) throws IndexOutOfBoundsException");
        } catch (final IndexOutOfBoundsException e) {
            // Expected
        }
        try {
            in.read(buf, buf.length - 1, 2);
            fail("Base16InputStream.read(buf, buf.length - 1, 2) throws IndexOutOfBoundsException");
        } catch (final IndexOutOfBoundsException e) {
            // Expected
        }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</si>
  <si>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</si>
  <si>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</si>
  <si>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</si>
  <si>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</si>
  <si>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</si>
  <si>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</si>
  <si>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org/apache/commons/codec/binary/Base16InputStream.read]</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</si>
  <si>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</si>
  <si>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</si>
  <si>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</si>
  <si>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</si>
  <si>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</si>
  <si>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</si>
  <si>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</si>
  <si>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</si>
  <si>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</si>
  <si>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</si>
  <si>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</si>
  <si>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</si>
  <si>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</si>
  <si>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</si>
  <si>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</si>
  <si>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</si>
  <si>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</si>
  <si>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</si>
  <si>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</si>
  <si>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</si>
  <si>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t>
  </si>
  <si>
    <t>/**
 * Tests the Base32InputStream implementation against empty input.
 *
 * @throws Exception
 *             for some failure scenarios.
 */
@Test
public void testBase32EmptyInputStreamMimeChuckSize() throws Exception {
    testBase32EmptyInputStream(BaseNCodec.MIME_CHUNK_SIZE);
}
/**
 * Tests the Base32InputStream implementation against empty input.
 *
 * @throws Exception
 *             for some failure scenarios.
 */
@Test
public void testBase32EmptyInputStreamPemChuckSize() throws Exception {
    testBase32EmptyInputStream(BaseNCodec.PEM_CHUNK_SIZE);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</si>
  <si>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final BaseNCodec codec = new Base32();
    for (int i = 0; i &lt;= 150; i++) {
        final byte[][] randomData = BaseNTestData.randomData(codec,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</si>
  <si>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org/apache/commons/codec/binary/BaseNTestData.randomData, .testByteByByte]</t>
  </si>
  <si>
    <t>testMarkSupported</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</si>
  <si>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assertFalse("Base32InputStream.markSupported() is false", in.markSupported());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</si>
  <si>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[org/apache/commons/codec/binary/StringUtils.getBytesUtf8, java/io/ByteArrayInputStream."&lt;init&gt;", org/apache/commons/codec/binary/Base32InputStream."&lt;init&gt;", org/apache/commons/codec/binary/Base32InputStream.markSupported,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</si>
  <si>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org/apache/commons/codec/binary/Base32InputStream.markSupported,  org/apache/commons/codec/binary/Base32InputStream.read]</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</si>
  <si>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assertEquals("Base32InputStream.read(buf, 0, 0) returns 0", 0, bytesRead);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</si>
  <si>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</si>
  <si>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assertEquals("Base32InputStream.read(buf, 0, 0) returns 0", 0, bytesRead);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try {
            in.read(buf, -1, 0);
            fail("Expected Base32InputStream.read(buf, -1, 0) to throw IndexOutOfBoundsException");
        } catch (final IndexOutOfBoundsException e) {
            // Expected
        }
        try {
            in.read(buf, 0, -1);
            fail("Expected Base32InputStream.read(buf, 0, -1) to throw IndexOutOfBoundsException");
        } catch (final IndexOutOfBoundsException e) {
            // Expected
        }
        try {
            in.read(buf, buf.length + 1, 0);
            fail("Base32InputStream.read(buf, buf.length + 1, 0) throws IndexOutOfBoundsException");
        } catch (final IndexOutOfBoundsException e) {
            // Expected
        }
        try {
            in.read(buf, buf.length - 1, 2);
            fail("Base32InputStream.read(buf, buf.length - 1, 2) throws IndexOutOfBoundsException");
        } catch (final IndexOutOfBoundsException e) {
            // Expected
        }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</si>
  <si>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</si>
  <si>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try {
            in.read(buf, -1, 0);
            fail("Expected Base32InputStream.read(buf, -1, 0) to throw IndexOutOfBoundsException");
        } catch (final IndexOutOfBoundsException e) {
            // Expected
        }
        try {
            in.read(buf, 0, -1);
            fail("Expected Base32InputStream.read(buf, 0, -1) to throw IndexOutOfBoundsException");
        } catch (final IndexOutOfBoundsException e) {
            // Expected
        }
        try {
            in.read(buf, buf.length + 1, 0);
            fail("Base32InputStream.read(buf, buf.length + 1, 0) throws IndexOutOfBoundsException");
        } catch (final IndexOutOfBoundsException e) {
            // Expected
        }
        try {
            in.read(buf, buf.length - 1, 2);
            fail("Base32InputStream.read(buf, buf.length - 1, 2) throws IndexOutOfBoundsException");
        } catch (final IndexOutOfBoundsException e) {
            // Expected
        }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</si>
  <si>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</si>
  <si>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</si>
  <si>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</si>
  <si>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</si>
  <si>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</si>
  <si>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org/apache/commons/codec/binary/Base32InputStream.close, java/lang/Throwable.addSuppressed, org/apache/commons/codec/binary/Base32InputStream.close, org/apache/commons/codec/binary/Base32InputStream.close, java/lang/Throwable.addSuppressed, org/apache/commons/codec/binary/Base32InputStream.close]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</si>
  <si>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</si>
  <si>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</si>
  <si>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</si>
  <si>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</si>
  <si>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</si>
  <si>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</si>
  <si>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@Test
public void testCodeIntegerEdgeCases() {
    // TODO
}
@Test
public void testBase64DecodingOfTrailing6Bits() {
    assertBase64DecodingOfTrailingBits(6);
}</t>
  </si>
  <si>
    <t>@Test
public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assertEquals("new Base64(65, \\t, false)", expectedResult, result);
}
@Test
public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expectedResult.replaceAll("=", "");
    // == padding.
    expectedResult = expectedResult.replace('\n', '\t');
    expectedResult = expectedResult.replace('+', '-');
    expectedResult = expectedResult.replace('/', '_');
    final String result = StringUtils.newStringUtf8(encoded);
    assertEquals("new Base64(64, \\t, true)", result, expectedResult);
}</t>
  </si>
  <si>
    <t>/**
 * Tests RFC 2045 section 6.8 chuck size definition.
 */
@Test
public void testRfc2045Section6Dot8ChunkSizeDefinition() {
    assertEquals(76, BaseNCodec.MIME_CHUNK_SIZE);
}
@Test
public void testBase64DecodingOfTrailing6Bits() {
    assertBase64DecodingOfTrailingBits(6);
}</t>
  </si>
  <si>
    <t>/**
 * Tests RFC 1421 section 4.3.2.4 chuck size definition.
 */
@Test
public void testRfc1421Section6Dot8ChunkSizeDefinition() {
    assertEquals(64, BaseNCodec.PEM_CHUNK_SIZE);
}
@Test
public void testBase64DecodingOfTrailing6Bits() {
    assertBase64DecodingOfTrailingBits(6);
}</t>
  </si>
  <si>
    <t>@Test
public void testBase64DecodingOfTrailing6Bits() {
    assertBase64DecodingOfTrailingBits(6);
}
@Test
public void testBase64DecodingOfTrailing18Bits() {
    assertBase64DecodingOfTrailingBits(18);
}</t>
  </si>
  <si>
    <t>@Test
public void testBase64DecodingOfTrailing6Bits() {
    assertBase64DecodingOfTrailingBits(6);
}
@Test
public void testBase64DecodingOfTrailing12Bits() {
    assertBase64DecodingOfTrailingBits(12);
}</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</si>
  <si>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StringUtils.getBytesUtf8(Base16TestData.ENCODED_UTF8_UPPERCASE);
    decoded = BaseNTestData.DECODED;
    testByChunk(encoded, decoded);
    // test random data of sizes 0 thru 150
    final BaseNCodec codec = new Base16(true);
    for (int i = 0; i &lt;= 150; i++) {
        final byte[][] randomData = BaseNTestData.randomData(codec, i);
        encoded = randomData[1];
        decoded = randomData[0];
        testByChunk(encoded, decoded, true);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StringUtils.getBytesUtf8(Base16TestData.ENCODED_UTF8_UPPERCASE);
    decoded = BaseNTestData.DECODED;
    testByteByByte(encoded, decoded);
    // test random data of sizes 0 thru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</si>
  <si>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org/apache/commons/codec/binary/Base16."&lt;init&gt;", org/apache/commons/codec/binary/BaseNTestData.randomData, .testByteByByte]</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</si>
  <si>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</si>
  <si>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org/apache/commons/codec/binary/Base32."&lt;init&gt;", org/apache/commons/codec/binary/BaseNTestData.randomData, .testByteByByte]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</si>
  <si>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</si>
  <si>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</si>
  <si>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</si>
  <si>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</si>
  <si>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</si>
  <si>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</si>
  <si>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</si>
  <si>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BaseNTestData.DECODED;
    testByChunk(encoded, decoded, BaseNCodec.PEM_CHUNK_SIZE, LF);
    // Single Line test.
    final String singleLine = Base64TestData.ENCODED_64_CHARS_PER_LINE.replaceAll("\n", "");
    encoded = StringUtils.getBytesUtf8(singleLine);
    decoded = BaseNTestData.DECODED;
    testByChunk(encoded, decoded, 0, LF);
    // test random data of sizes 0 thru 150
    final BaseNCodec codec = new Base64(0, null, false);
    for (int i = 0; i &lt;= 150; i++) {
        final byte[][] randomData = BaseNTestData.randomData(codec, i);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BaseNTestData.DECODED;
    testByteByByte(encoded, decoded, BaseNCodec.PEM_CHUNK_SIZE, LF);
    // Single Line test.
    final String singleLine = Base64TestData.ENCODED_64_CHARS_PER_LINE.replaceAll("\n", "");
    encoded = StringUtils.getBytesUtf8(singleLine);
    decoded = BaseNTestData.DECODED;
    testByteByByte(encoded, decoded, 0, LF);
    // test random data of sizes 0 thru 150
    final BaseNCodec codec = new Base64(0, null, false);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</si>
  <si>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org/apache/commons/codec/binary/Base64."&lt;init&gt;", org/apache/commons/codec/binary/BaseNTestData.randomData, .testByteByByte]</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</si>
  <si>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assertFalse("Base64InputStream.markSupported() is false", in.markSupported());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</si>
  <si>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[org/apache/commons/codec/binary/StringUtils.getBytesUtf8, java/io/ByteArrayInputStream."&lt;init&gt;", org/apache/commons/codec/binary/Base64InputStream."&lt;init&gt;", org/apache/commons/codec/binary/Base64InputStream.markSupported,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</si>
  <si>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org/apache/commons/codec/binary/Base64InputStream.markSupported,  org/apache/commons/codec/binary/Base64InputStream.read]</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</si>
  <si>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</si>
  <si>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</si>
  <si>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try {
            in.read(buf, -1, 0);
            fail("Expected Base64InputStream.read(buf, -1, 0) to throw IndexOutOfBoundsException");
        } catch (final IndexOutOfBoundsException e) {
            // Expected
        }
        try {
            in.read(buf, 0, -1);
            fail("Expected Base64InputStream.read(buf, 0, -1) to throw IndexOutOfBoundsException");
        } catch (final IndexOutOfBoundsException e) {
            // Expected
        }
        try {
            in.read(buf, buf.length + 1, 0);
            fail("Base64InputStream.read(buf, buf.length + 1, 0) throws IndexOutOfBoundsException");
        } catch (final IndexOutOfBoundsException e) {
            // Expected
        }
        try {
            in.read(buf, buf.length - 1, 2);
            fail("Base64InputStream.read(buf, buf.length - 1, 2) throws IndexOutOfBoundsException");
        } catch (final IndexOutOfBoundsException e) {
            // Expected
        }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</si>
  <si>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</si>
  <si>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try {
            in.read(buf, -1, 0);
            fail("Expected Base64InputStream.read(buf, -1, 0) to throw IndexOutOfBoundsException");
        } catch (final IndexOutOfBoundsException e) {
            // Expected
        }
        try {
            in.read(buf, 0, -1);
            fail("Expected Base64InputStream.read(buf, 0, -1) to throw IndexOutOfBoundsException");
        } catch (final IndexOutOfBoundsException e) {
            // Expected
        }
        try {
            in.read(buf, buf.length + 1, 0);
            fail("Base64InputStream.read(buf, buf.length + 1, 0) throws IndexOutOfBoundsException");
        } catch (final IndexOutOfBoundsException e) {
            // Expected
        }
        try {
            in.read(buf, buf.length - 1, 2);
            fail("Base64InputStream.read(buf, buf.length - 1, 2) throws IndexOutOfBoundsException");
        } catch (final IndexOutOfBoundsException e) {
            // Expected
        }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</si>
  <si>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</si>
  <si>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</si>
  <si>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</si>
  <si>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</si>
  <si>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</si>
  <si>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</si>
  <si>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</si>
  <si>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</si>
  <si>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</si>
  <si>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</si>
  <si>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</si>
  <si>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</si>
  <si>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@Test
public void testConstructor_LowerCase() {
    final Base16 base16 = new Base16(true);
    final byte[] encoded = base16.encode(BaseNTestData.DECODED);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base16.encode(BaseNTestData.DECODED);
    final String expectedResult = Base16TestData.ENCODED_UTF8_UPPERCASE;
    final String result = StringUtils.newStringUtf8(encoded);
    assertEquals("new base16(false, CodecPolicy.STRICT)", result, expectedResult);
}</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</si>
  <si>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</si>
  <si>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t>
  </si>
  <si>
    <t>[ org/apache/commons/codec/binary/Base16.encode,  org/apache/commons/codec/binary/Base16.decode]</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</si>
  <si>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</si>
  <si>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[java/lang/String.getBytes, org/apache/commons/codec/binary/Base16."&lt;init&gt;", org/apache/commons/codec/binary/Base16.encode, org/apache/commons/codec/binary/Base16."&lt;init&gt;", org/apache/commons/codec/binary/Base16.decode, java/lang/String."&lt;init&gt;"]</t>
  </si>
  <si>
    <t>[ org/apache/commons/codec/binary/Base16.encode, java/lang/String.getBytes, org/apache/commons/codec/binary/Base16."&lt;init&gt;",  java/lang/String.getBytes]</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</si>
  <si>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</si>
  <si>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org/apache/commons/codec/binary/Base16.encode, org/apache/commons/codec/binary/Base16."&lt;init&gt;", org/apache/commons/codec/binary/Base16.decode, java/lang/String."&lt;init&gt;"]</t>
  </si>
  <si>
    <t>testObjectDecodeWithValidParameter</t>
  </si>
  <si>
    <t>[ org/apache/commons/codec/binary/Base16.encode]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</si>
  <si>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</si>
  <si>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[java/lang/String.getBytes, org/apache/commons/codec/binary/Base16."&lt;init&gt;", org/apache/commons/codec/binary/Base16.encode, org/apache/commons/codec/binary/Base16."&lt;init&gt;", org/apache/commons/codec/binary/Base16.decode, java/lang/String."&lt;init&gt;"]</t>
  </si>
  <si>
    <t>[java/lang/String.getBytes, org/apache/commons/codec/binary/Base16."&lt;init&gt;",  java/lang/String.getBytes,  org/apache/commons/codec/binary/Base16.decode]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</si>
  <si>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</si>
  <si>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org/apache/commons/codec/binary/Base16."&lt;init&gt;", org/apache/commons/codec/binary/Base16.decode, java/lang/String."&lt;init&gt;"]</t>
  </si>
  <si>
    <t>[ org/apache/commons/codec/binary/Base16.decode]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</si>
  <si>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testObjectEncode() {
    final Base16 b16 = new Base16();
    assertEquals("48656C6C6F20576F726C64", new String(b16.encode("Hello World".getBytes(CHARSET_UTF8))));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</si>
  <si>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t>
  </si>
  <si>
    <t>[ org/apache/commons/codec/binary/Base16."&lt;init&gt;"]</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</si>
  <si>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</si>
  <si>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org/apache/commons/codec/binary/Base16.encode, org/apache/commons/codec/binary/Base16."&lt;init&gt;", org/apache/commons/codec/binary/Base16.decode, java/lang/String."&lt;init&gt;"]
[java/lang/String.getBytes, org/apache/commons/codec/binary/Base16."&lt;init&gt;", org/apache/commons/codec/binary/Base16.encode, org/apache/commons/codec/binary/Base16."&lt;init&gt;", org/apache/commons/codec/binary/Base16.decode, java/lang/String."&lt;init&gt;"]</t>
  </si>
  <si>
    <t>[java/lang/String.getBytes, org/apache/commons/codec/binary/Base16."&lt;init&gt;",  java/lang/String.getBytes]</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</si>
  <si>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testObjectEncode() {
    final Base16 b16 = new Base16();
    assertEquals("48656C6C6F20576F726C64", new String(b16.encode("Hello World".getBytes(CHARSET_UTF8))));
}</t>
  </si>
  <si>
    <t>[org/apache/commons/codec/binary/Base16."&lt;init&gt;", java/lang/String.getBytes,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</si>
  <si>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 org/apache/commons/codec/binary/Base16."&lt;init&gt;",  org/apache/commons/codec/binary/Base16.decode]</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</si>
  <si>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t>
  </si>
  <si>
    <t>[org/apache/commons/codec/binary/Base16."&lt;init&gt;", java/lang/String.getBytes, org/apache/commons/codec/binary/Base16.encode, org/apache/commons/codec/binary/Base16."&lt;init&gt;", org/apache/commons/codec/binary/Base16.decode,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</si>
  <si>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</si>
  <si>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</si>
  <si>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[java/lang/String.getBytes,  org/apache/commons/codec/binary/Base16."&lt;init&gt;", org/apache/commons/codec/binary/Base16."&lt;init&gt;",  java/lang/String.getBytes,  org/apache/commons/codec/binary/Base16.decode]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</si>
  <si>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t>
  </si>
  <si>
    <t>[java/lang/String.getBytes, org/apache/commons/codec/binary/Base16."&lt;init&gt;", org/apache/commons/codec/binary/Base16.encode, org/apache/commons/codec/binary/Base16."&lt;init&gt;", org/apache/commons/codec/binary/Base16.decode,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t>
  </si>
  <si>
    <t>[java/lang/String.getBytes, org/apache/commons/codec/binary/Base16."&lt;init&gt;"]</t>
  </si>
  <si>
    <t>@Test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
@Test
public void testSingletons() {
    assertEquals("00", new String(new Base16().encode(new byte[] { (byte) 0 })));
    assertEquals("01", new String(new Base16().encode(new byte[] { (byte) 1 })));
    assertEquals("02", new String(new Base16().encode(new byte[] { (byte) 2 })));
    assertEquals("03", new String(new Base16().encode(new byte[] { (byte) 3 })));
    assertEquals("04", new String(new Base16().encode(new byte[] { (byte) 4 })));
    assertEquals("05", new String(new Base16().encode(new byte[] { (byte) 5 })));
    assertEquals("06", new String(new Base16().encode(new byte[] { (byte) 6 })));
    assertEquals("07", new String(new Base16().encode(new byte[] { (byte) 7 })));
    assertEquals("08", new String(new Base16().encode(new byte[] { (byte) 8 })));
    assertEquals("09", new String(new Base16().encode(new byte[] { (byte) 9 })));
    assertEquals("0A", new String(new Base16().encode(new byte[] { (byte) 10 })));
    assertEquals("0B", new String(new Base16().encode(new byte[] { (byte) 11 })));
    assertEquals("0C", new String(new Base16().encode(new byte[] { (byte) 12 })));
    assertEquals("0D", new String(new Base16().encode(new byte[] { (byte) 13 })));
    assertEquals("0E", new String(new Base16().encode(new byte[] { (byte) 14 })));
    assertEquals("0F", new String(new Base16().encode(new byte[] { (byte) 15 })));
    assertEquals("10", new String(new Base16().encode(new byte[] { (byte) 16 })));
    assertEquals("11", new String(new Base16().encode(new byte[] { (byte) 17 })));
    assertEquals("12", new String(new Base16().encode(new byte[] { (byte) 18 })));
    assertEquals("13", new String(new Base16().encode(new byte[] { (byte) 19 })));
    assertEquals("14", new String(new Base16().encode(new byte[] { (byte) 20 })));
    assertEquals("15", new String(new Base16().encode(new byte[] { (byte) 21 })));
    assertEquals("16", new String(new Base16().encode(new byte[] { (byte) 22 })));
    assertEquals("17", new String(new Base16().encode(new byte[] { (byte) 23 })));
    assertEquals("18", new String(new Base16().encode(new byte[] { (byte) 24 })));
    assertEquals("19", new String(new Base16().encode(new byte[] { (byte) 25 })));
    assertEquals("1A", new String(new Base16().encode(new byte[] { (byte) 26 })));
    assertEquals("1B", new String(new Base16().encode(new byte[] { (byte) 27 })));
    assertEquals("1C", new String(new Base16().encode(new byte[] { (byte) 28 })));
    assertEquals("1D", new String(new Base16().encode(new byte[] { (byte) 29 })));
    assertEquals("1E", new String(new Base16().encode(new byte[] { (byte) 30 })));
    assertEquals("1F", new String(new Base16().encode(new byte[] { (byte) 31 })));
    assertEquals("20", new String(new Base16().encode(new byte[] { (byte) 32 })));
    assertEquals("21", new String(new Base16().encode(new byte[] { (byte) 33 })));
    assertEquals("22", new String(new Base16().encode(new byte[] { (byte) 34 })));
    assertEquals("23", new String(new Base16().encode(new byte[] { (byte) 35 })));
    assertEquals("24", new String(new Base16().encode(new byte[] { (byte) 36 })));
    assertEquals("25", new String(new Base16().encode(new byte[] { (byte) 37 })));
    assertEquals("26", new String(new Base16().encode(new byte[] { (byte) 38 })));
    assertEquals("27", new String(new Base16().encode(new byte[] { (byte) 39 })));
    assertEquals("28", new String(new Base16().encode(new byte[] { (byte) 40 })));
    assertEquals("29", new String(new Base16().encode(new byte[] { (byte) 41 })));
    assertEquals("2A", new String(new Base16().encode(new byte[] { (byte) 42 })));
    assertEquals("2B", new String(new Base16().encode(new byte[] { (byte) 43 })));
    assertEquals("2C", new String(new Base16().encode(new byte[] { (byte) 44 })));
    assertEquals("2D", new String(new Base16().encode(new byte[] { (byte) 45 })));
    assertEquals("2E", new String(new Base16().encode(new byte[] { (byte) 46 })));
    assertEquals("2F", new String(new Base16().encode(new byte[] { (byte) 47 })));
    assertEquals("30", new String(new Base16().encode(new byte[] { (byte) 48 })));
    assertEquals("31", new String(new Base16().encode(new byte[] { (byte) 49 })));
    assertEquals("32", new String(new Base16().encode(new byte[] { (byte) 50 })));
    assertEquals("33", new String(new Base16().encode(new byte[] { (byte) 51 })));
    assertEquals("34", new String(new Base16().encode(new byte[] { (byte) 52 })));
    assertEquals("35", new String(new Base16().encode(new byte[] { (byte) 53 })));
    assertEquals("36", new String(new Base16().encode(new byte[] { (byte) 54 })));
    assertEquals("37", new String(new Base16().encode(new byte[] { (byte) 55 })));
    assertEquals("38", new String(new Base16().encode(new byte[] { (byte) 56 })));
    assertEquals("39", new String(new Base16().encode(new byte[] { (byte) 57 })));
    assertEquals("3A", new String(new Base16().encode(new byte[] { (byte) 58 })));
    assertEquals("3B", new String(new Base16().encode(new byte[] { (byte) 59 })));
    assertEquals("3C", new String(new Base16().encode(new byte[] { (byte) 60 })));
    assertEquals("3D", new String(new Base16().encode(new byte[] { (byte) 61 })));
    assertEquals("3E", new String(new Base16().encode(new byte[] { (byte) 62 })));
    assertEquals("3F", new String(new Base16().encode(new byte[] { (byte) 63 })));
    assertEquals("40", new String(new Base16().encode(new byte[] { (byte) 64 })));
    assertEquals("41", new String(new Base16().encode(new byte[] { (byte) 65 })));
    assertEquals("42", new String(new Base16().encode(new byte[] { (byte) 66 })));
    assertEquals("43", new String(new Base16().encode(new byte[] { (byte) 67 })));
    assertEquals("44", new String(new Base16().encode(new byte[] { (byte) 68 })));
    assertEquals("45", new String(new Base16().encode(new byte[] { (byte) 69 })));
    assertEquals("46", new String(new Base16().encode(new byte[] { (byte) 70 })));
    assertEquals("47", new String(new Base16().encode(new byte[] { (byte) 71 })));
    assertEquals("48", new String(new Base16().encode(new byte[] { (byte) 72 })));
    assertEquals("49", new String(new Base16().encode(new byte[] { (byte) 73 })));
    assertEquals("4A", new String(new Base16().encode(new byte[] { (byte) 74 })));
    assertEquals("4B", new String(new Base16().encode(new byte[] { (byte) 75 })));
    assertEquals("4C", new String(new Base16().encode(new byte[] { (byte) 76 })));
    assertEquals("4D", new String(new Base16().encode(new byte[] { (byte) 77 })));
    assertEquals("4E", new String(new Base16().encode(new byte[] { (byte) 78 })));
    assertEquals("4F", new String(new Base16().encode(new byte[] { (byte) 79 })));
    assertEquals("50", new String(new Base16().encode(new byte[] { (byte) 80 })));
    assertEquals("51", new String(new Base16().encode(new byte[] { (byte) 81 })));
    assertEquals("52", new String(new Base16().encode(new byte[] { (byte) 82 })));
    assertEquals("53", new String(new Base16().encode(new byte[] { (byte) 83 })));
    assertEquals("54", new String(new Base16().encode(new byte[] { (byte) 84 })));
    assertEquals("55", new String(new Base16().encode(new byte[] { (byte) 85 })));
    assertEquals("56", new String(new Base16().encode(new byte[] { (byte) 86 })));
    assertEquals("57", new String(new Base16().encode(new byte[] { (byte) 87 })));
    assertEquals("58", new String(new Base16().encode(new byte[] { (byte) 88 })));
    assertEquals("59", new String(new Base16().encode(new byte[] { (byte) 89 })));
    assertEquals("5A", new String(new Base16().encode(new byte[] { (byte) 90 })));
    assertEquals("5B", new String(new Base16().encode(new byte[] { (byte) 91 })));
    assertEquals("5C", new String(new Base16().encode(new byte[] { (byte) 92 })));
    assertEquals("5D", new String(new Base16().encode(new byte[] { (byte) 93 })));
    assertEquals("5E", new String(new Base16().encode(new byte[] { (byte) 94 })));
    assertEquals("5F", new String(new Base16().encode(new byte[] { (byte) 95 })));
    assertEquals("60", new String(new Base16().encode(new byte[] { (byte) 96 })));
    assertEquals("61", new String(new Base16().encode(new byte[] { (byte) 97 })));
    assertEquals("62", new String(new Base16().encode(new byte[] { (byte) 98 })));
    assertEquals("63", new String(new Base16().encode(new byte[] { (byte) 99 })));
    assertEquals("64", new String(new Base16().encode(new byte[] { (byte) 100 })));
    assertEquals("65", new String(new Base16().encode(new byte[] { (byte) 101 })));
    assertEquals("66", new String(new Base16().encode(new byte[] { (byte) 102 })));
    assertEquals("67", new String(new Base16().encode(new byte[] { (byte) 103 })));
    assertEquals("68", new String(new Base16().encode(new byte[] { (byte) 104 })));
    for (int i = -128; i &lt;= 127; i++) {
        final byte[] test = { (byte) i };
        assertTrue(Arrays.equals(test, new Base16().decode(new Base16().encode(test))));
    }
}</t>
  </si>
  <si>
    <t>[org/apache/commons/codec/binary/Base16."&lt;init&gt;",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 java/util/Arrays.equals]</t>
  </si>
  <si>
    <t>[ java/util/Arrays.equals]</t>
  </si>
  <si>
    <t>@Test(expected = IllegalArgumentException.class)
public void testStrictDecoding() {
    // Note the trailing `e` which does not make up a hex-pair and so is only 1/2 byte
    final String encoded = "aabbccdde";
    final Base16 b16 = new Base16(true, CodecPolicy.STRICT);
    b16.decode(StringUtils.getBytesUtf8(encoded));
}
@Test
public void testLenientDecoding() {
    // Note the trailing `e` which does not make up a hex-pair and so is only 1/2 byte
    final String encoded = "aabbccdde";
    final Base16 b16 = new Base16(true, CodecPolicy.LENIENT);
    final byte[] decoded = b16.decode(StringUtils.getBytesUtf8(encoded));
    assertArrayEquals(new byte[] { (byte) 0xaa, (byte) 0xbb, (byte) 0xcc, (byte) 0xdd }, decoded);
}</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</si>
  <si>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final BaseNCodec codec = new Base16(true);
    for (int i = 0; i &lt;= 150; i++) {
        final byte[][] randomData = BaseNTestData.randomData(codec, i);
        encoded = randomData[1];
        decoded = randomData[0];
        testByChunk(encoded, decoded, true);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</si>
  <si>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org/apache/commons/codec/binary/Base16."&lt;init&gt;", org/apache/commons/codec/binary/BaseNTestData.randomData, .testByteByByte]</t>
  </si>
  <si>
    <t>@Test
public void testRandomBytes() {
    for (int i = 0; i &lt; 20; i++) {
        final Base32 codec = new Base32();
        final byte[][] b = BaseNTestData.randomData(codec, i);
        assertEquals("" + i + " " + codec.lineLength, b[1].length, codec.getEncodedLength(b[0]));
        //assertEquals(b[0],codec.decode(b[1]));
    }
}
@Test
public void testRandomBytesChunked() {
    for (int i = 0; i &lt; 20; i++) {
        final Base32 codec = new Base32(10);
        final byte[][] b = BaseNTestData.randomData(codec, i);
        assertEquals("" + i + " " + codec.lineLength, b[1].length, codec.getEncodedLength(b[0]));
        //assertEquals(b[0],codec.decode(b[1]));
    }
}</t>
  </si>
  <si>
    <t>[org/apache/commons/codec/binary/Base32."&lt;init&gt;", org/apache/commons/codec/binary/BaseNTestData.randomData,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org/apache/commons/codec/binary/BaseNTestData.randomData, java/lang/StringBuilder."&lt;init&gt;", java/lang/StringBuilder.append, java/lang/StringBuilder.append, java/lang/StringBuilder.append, java/lang/StringBuilder.append, java/lang/StringBuilder.toString, org/apache/commons/codec/binary/Base32.getEncodedLength]</t>
  </si>
  <si>
    <t>@Test
public void testRandomBytes() {
    for (int i = 0; i &lt; 20; i++) {
        final Base32 codec = new Base32();
        final byte[][] b = BaseNTestData.randomData(codec, i);
        assertEquals("" + i + " " + codec.lineLength, b[1].length, codec.getEncodedLength(b[0]));
        //assertEquals(b[0],codec.decode(b[1]));
    }
}
@Test
public void testRandomBytesHex() {
    for (int i = 0; i &lt; 20; i++) {
        final Base32 codec = new Base32(true);
        final byte[][] b = BaseNTestData.randomData(codec, i);
        assertEquals("" + i + " " + codec.lineLength, b[1].length, codec.getEncodedLength(b[0]));
        //assertEquals(b[0],codec.decode(b[1]));
    }
}</t>
  </si>
  <si>
    <t>@Test
public void testRandomBytesChunked() {
    for (int i = 0; i &lt; 20; i++) {
        final Base32 codec = new Base32(10);
        final byte[][] b = BaseNTestData.randomData(codec, i);
        assertEquals("" + i + " " + codec.lineLength, b[1].length, codec.getEncodedLength(b[0]));
        //assertEquals(b[0],codec.decode(b[1]));
    }
}
@Test
public void testRandomBytesHex() {
    for (int i = 0; i &lt; 20; i++) {
        final Base32 codec = new Base32(true);
        final byte[][] b = BaseNTestData.randomData(codec, i);
        assertEquals("" + i + " " + codec.lineLength, b[1].length, codec.getEncodedLength(b[0]));
        //assertEquals(b[0],codec.decode(b[1]));
    }
}</t>
  </si>
  <si>
    <t>@Test
public void testBase32ImpossibleSamples() {
    testImpossibleCases(new Base32(0, null, false, BaseNCodec.PAD_DEFAULT, CodecPolicy.STRICT), BASE32_IMPOSSIBLE_CASES);
}
@Test
public void testBase32HexImpossibleSamples() {
    testImpossibleCases(new Base32(0, null, true, BaseNCodec.PAD_DEFAULT, CodecPolicy.STRICT), BASE32HEX_IMPOSSIBLE_CASES);
}</t>
  </si>
  <si>
    <t>@Test
public void testBase32ImpossibleSamples() {
    testImpossibleCases(new Base32(0, null, false, BaseNCodec.PAD_DEFAULT, CodecPolicy.STRICT), BASE32_IMPOSSIBLE_CASES);
}
@Test
public void testBase32ImpossibleChunked() {
    testImpossibleCases(new Base32(20, BaseNCodec.CHUNK_SEPARATOR, false, BaseNCodec.PAD_DEFAULT, CodecPolicy.STRICT), BASE32_IMPOSSIBLE_CASES_CHUNKED);
}</t>
  </si>
  <si>
    <t>@Test
public void testBase32ImpossibleChunked() {
    testImpossibleCases(new Base32(20, BaseNCodec.CHUNK_SEPARATOR, false, BaseNCodec.PAD_DEFAULT, CodecPolicy.STRICT), BASE32_IMPOSSIBLE_CASES_CHUNKED);
}
@Test
public void testBase32HexImpossibleSamples() {
    testImpossibleCases(new Base32(0, null, true, BaseNCodec.PAD_DEFAULT, CodecPolicy.STRICT), BASE32HEX_IMPOSSIBLE_CASES);
}</t>
  </si>
  <si>
    <t>@Test
public void testBase32DecodingOfTrailing5Bits() {
    assertBase32DecodingOfTrailingBits(5);
}
@Test
public void testBase32DecodingOfTrailing15Bits() {
    assertBase32DecodingOfTrailingBits(15);
}</t>
  </si>
  <si>
    <t>@Test
public void testBase32DecodingOfTrailing5Bits() {
    assertBase32DecodingOfTrailingBits(5);
}
@Test
public void testBase32DecodingOfTrailing25Bits() {
    assertBase32DecodingOfTrailingBits(25);
}</t>
  </si>
  <si>
    <t>@Test
public void testBase32DecodingOfTrailing5Bits() {
    assertBase32DecodingOfTrailingBits(5);
}
@Test
public void testBase32DecodingOfTrailing35Bits() {
    assertBase32DecodingOfTrailingBits(35);
}</t>
  </si>
  <si>
    <t>@Test
public void testBase32DecodingOfTrailing5Bits() {
    assertBase32DecodingOfTrailingBits(5);
}
@Test
public void testBase32DecodingOfTrailing10Bits() {
    assertBase32DecodingOfTrailingBits(10);
}</t>
  </si>
  <si>
    <t>@Test
public void testBase32DecodingOfTrailing5Bits() {
    assertBase32DecodingOfTrailingBits(5);
}
@Test
public void testBase32DecodingOfTrailing20Bits() {
    assertBase32DecodingOfTrailingBits(20);
}</t>
  </si>
  <si>
    <t>@Test
public void testBase32DecodingOfTrailing5Bits() {
    assertBase32DecodingOfTrailingBits(5);
}
@Test
public void testBase32DecodingOfTrailing30Bits() {
    assertBase32DecodingOfTrailingBits(30);
}</t>
  </si>
  <si>
    <t>2c969a83454605e204e3e6977f563961f227f185</t>
  </si>
  <si>
    <t>[[testDecodeHexCharArrayOutBufferUnderSized, testDecodeHexCharArrayOutBufferUnderSizedByOffset], [testEncodeDecodeHexCharArrayRandomToOutput], [testEncodeHexPartialInput, testEncodeHexPartialInputUnderbounds, testEncodeHexPartialInputOverbounds]]</t>
  </si>
  <si>
    <t>testEncodeHexPartialInput</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</si>
  <si>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testEncodeHexPartialInputOverbounds() {
    final byte[] data = "hello world".getBytes(UTF_8);
    final char[] hex = Hex.encodeHex(data, 9,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</si>
  <si>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</si>
  <si>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testEncodeHexPartialInputOverbounds</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</si>
  <si>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</si>
  <si>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testEncodeHexPartialInputUnderbounds</t>
  </si>
  <si>
    <t>@Test(expected = ArrayIndexOutOfBoundsException.class)
public void testEncodeHexPartialInputUnderbounds() {
    final byte[] data = "hello world".getBytes(UTF_8);
    final char[] hex = Hex.encodeHex(data, -2, 10, true);
    assertArrayEquals("64".toCharArray(), hex);
}
@Test(expected = ArrayIndexOutOfBoundsException.class)
public void testEncodeHexPartialInputOverbounds() {
    final byte[] data = "hello world".getBytes(UTF_8);
    final char[] hex = Hex.encodeHex(data, 9, 10, true);
    assertArrayEquals("64".toCharArray(), hex);
}</t>
  </si>
  <si>
    <t>[java/lang/String.getBytes, org/apache/commons/codec/binary/Hex.encodeHex, java/lang/String.toCharArray]
[java/lang/String.getBytes, org/apache/commons/codec/binary/Hex.encodeHex, java/lang/String.toCharArray]</t>
  </si>
  <si>
    <t>e42dfe1ff2f273926fd759abea82b1c7b3021985</t>
  </si>
  <si>
    <t>536587931cb77538709c57455165379a74e2f04f</t>
  </si>
  <si>
    <t>testBase32AtBufferStart</t>
  </si>
  <si>
    <t>@Test
public void testBase32AtBufferStart() {
    testBase32InBuffer(0, 100);
}
@Test
public void testBase32AtBufferEnd() {
    testBase32InBuffer(100, 0);
}</t>
  </si>
  <si>
    <t>[.testBase32InBuffer]
[.testBase32InBuffer]</t>
  </si>
  <si>
    <t>testBase32AtBufferEnd</t>
  </si>
  <si>
    <t>[[testBase32AtBufferStart, testBase32AtBufferEnd, testBase32AtBufferMiddle]]</t>
  </si>
  <si>
    <t>@Test
public void testBase32AtBufferStart() {
    testBase32InBuffer(0, 100);
}
@Test
public void testBase32AtBufferMiddle() {
    testBase32InBuffer(100, 100);
}</t>
  </si>
  <si>
    <t>testBase32AtBufferMiddle</t>
  </si>
  <si>
    <t>@Test
public void testBase32AtBufferEnd() {
    testBase32InBuffer(100, 0);
}
@Test
public void testBase32AtBufferMiddle() {
    testBase32InBuffer(100, 100);
}</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</si>
  <si>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</si>
  <si>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</si>
  <si>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</si>
  <si>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</si>
  <si>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</si>
  <si>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</si>
  <si>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</si>
  <si>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</si>
  <si>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</si>
  <si>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</si>
  <si>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</si>
  <si>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</si>
  <si>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</si>
  <si>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</si>
  <si>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</si>
  <si>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@Test
public final void testAccentRemoval_UpperAndLower_SuccessfullyRemovedAndCaseInvariant() {
    assertEquals("AeiOuu", this.getStringEncoder().removeAccents("ÁeíÓuu"));
}
@Test
public final void testAccentRemoval_MixedWithUnusualChars_SuccessfullyRemovedAndUnusualCharactersInvariant() {
    assertEquals("A-e'i.,o&amp;u", this.getStringEncoder().removeAccents("Á-e'í.,ó&amp;ú"));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</si>
  <si>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</si>
  <si>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testLeftToRightThenRightToLeft_ALEXANDER_ALEXANDRA_Returns4</t>
  </si>
  <si>
    <t>@Test
public final void testLeftToRightThenRightToLeft_ALEXANDER_ALEXANDRA_Returns4() {
    assertEquals(4, this.getStringEncoder().leftToRightThenRightToLeftProcessing("ALEXANDER", "ALEXANDRA"));
}
@Test
public final void testLeftToRightThenRightToLeft_EINSTEIN_MICHAELA_Returns0() {
    assertEquals(0, this.getStringEncoder().leftToRightThenRightToLeftProcessing("EINSTEIN", "MICHAELA"));
}</t>
  </si>
  <si>
    <t>[.getStringEncoder, org/apache/commons/codec/language/MatchRatingApproachEncoder.leftToRightThenRightToLeftProcessing]
[.getStringEncoder, org/apache/commons/codec/language/MatchRatingApproachEncoder.leftToRightThenRightToLeftProcessing]</t>
  </si>
  <si>
    <t>testLeftToRightThenRightToLeft_EINSTEIN_MICHAELA_Returns0</t>
  </si>
  <si>
    <t>@Test
public final void testIsEncodeEquals_CornerCase_SecondNameNothing_ReturnsFalse() {
    assertFalse(this.getStringEncoder().isEncodeEquals("test", ""));
}
@Test
public final void testIsEncodeEquals_CornerCase_FirstNameNothing_ReturnsFalse() {
    assertFalse(this.getStringEncoder().isEncodeEquals("", "test"));
}</t>
  </si>
  <si>
    <t>@Test
public final void testIsEncodeEquals_CornerCase_SecondNameNothing_ReturnsFalse() {
    assertFalse(this.getStringEncoder().isEncodeEquals("test", ""));
}
@Test
public final void testIsEncodeEquals_CornerCase_SecondNameJustSpace_ReturnsFalse() {
    assertFalse(this.getStringEncoder().isEncodeEquals("test", " "));
}</t>
  </si>
  <si>
    <t>@Test
public final void testIsEncodeEquals_CornerCase_SecondNameNothing_ReturnsFalse() {
    assertFalse(this.getStringEncoder().isEncodeEquals("test", ""));
}
@Test
public final void testIsEncodeEquals_CornerCase_SecondNameNull_ReturnsFalse() {
    assertFalse(this.getStringEncoder().isEncodeEquals("test", null));
}</t>
  </si>
  <si>
    <t>@Test
public final void testIsEncodeEquals_CornerCase_SecondNameNothing_ReturnsFalse() {
    assertFalse(this.getStringEncoder().isEncodeEquals("test", ""));
}
@Test
public final void testIsEncodeEquals_CornerCase_FirstNameJustSpace_ReturnsFalse() {
    assertFalse(this.getStringEncoder().isEncodeEquals(" ", "test"));
}</t>
  </si>
  <si>
    <t>@Test
public final void testIsEncodeEquals_CornerCase_SecondNameNothing_ReturnsFalse() {
    assertFalse(this.getStringEncoder().isEncodeEquals("test", ""));
}
@Test
public final void testIsEncodeEquals_CornerCase_FirstNameJust1Letter_ReturnsFalse() {
    assertFalse(this.getStringEncoder().isEncodeEquals("t", "test"));
}</t>
  </si>
  <si>
    <t>@Test
public final void testIsEncodeEquals_CornerCase_SecondNameNothing_ReturnsFalse() {
    assertFalse(this.getStringEncoder().isEncodeEquals("test", ""));
}
@Test
public final void testIsEncodeEquals_CornerCase_FirstNameNull_ReturnsFalse() {
    assertFalse(this.getStringEncoder().isEncodeEquals(null, "test"));
}</t>
  </si>
  <si>
    <t>@Test
public final void testIsEncodeEquals_CornerCase_SecondNameNothing_ReturnsFalse() {
    assertFalse(this.getStringEncoder().isEncodeEquals("test", ""));
}
@Test
public final void testIsEncodeEqualsSecondNameJust1Letter_ReturnsFalse() {
    assertFalse(this.getStringEncoder().isEncodeEquals("test", "t"));
}</t>
  </si>
  <si>
    <t>@Test
public final void testIsEncodeEquals_CornerCase_FirstNameNothing_ReturnsFalse() {
    assertFalse(this.getStringEncoder().isEncodeEquals("", "test"));
}
@Test
public final void testIsEncodeEquals_CornerCase_FirstNameJustSpace_ReturnsFalse() {
    assertFalse(this.getStringEncoder().isEncodeEquals(" ", "test"));
}</t>
  </si>
  <si>
    <t>@Test
public final void testIsEncodeEquals_CornerCase_FirstNameNothing_ReturnsFalse() {
    assertFalse(this.getStringEncoder().isEncodeEquals("", "test"));
}
@Test
public final void testIsEncodeEquals_CornerCase_FirstNameJust1Letter_ReturnsFalse() {
    assertFalse(this.getStringEncoder().isEncodeEquals("t", "test"));
}</t>
  </si>
  <si>
    <t>@Test
public final void testIsEncodeEquals_CornerCase_FirstNameNothing_ReturnsFalse() {
    assertFalse(this.getStringEncoder().isEncodeEquals("", "test"));
}
@Test
public final void testIsEncodeEquals_CornerCase_FirstNameNull_ReturnsFalse() {
    assertFalse(this.getStringEncoder().isEncodeEquals(null, "test"));
}</t>
  </si>
  <si>
    <t>@Test
public final void testIsEncodeEquals_CornerCase_FirstNameNothing_ReturnsFalse() {
    assertFalse(this.getStringEncoder().isEncodeEquals("", "test"));
}
@Test
public final void testIsEncodeEquals_CornerCase_SecondNameJustSpace_ReturnsFalse() {
    assertFalse(this.getStringEncoder().isEncodeEquals("test", " "));
}</t>
  </si>
  <si>
    <t>@Test
public final void testIsEncodeEquals_CornerCase_FirstNameNothing_ReturnsFalse() {
    assertFalse(this.getStringEncoder().isEncodeEquals("", "test"));
}
@Test
public final void testIsEncodeEquals_CornerCase_SecondNameNull_ReturnsFalse() {
    assertFalse(this.getStringEncoder().isEncodeEquals("test", null));
}</t>
  </si>
  <si>
    <t>@Test
public final void testIsEncodeEquals_CornerCase_FirstNameNothing_ReturnsFalse() {
    assertFalse(this.getStringEncoder().isEncodeEquals("", "test"));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</si>
  <si>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testIsEncodeEquals_CornerCase_FirstNameJustSpace_ReturnsFalse() {
    assertFalse(this.getStringEncoder().isEncodeEquals(" ", "test"));
}</t>
  </si>
  <si>
    <t>@Test
public final void testIsEncodeEquals_CornerCase_SecondNameJustSpace_ReturnsFalse() {
    assertFalse(this.getStringEncoder().isEncodeEquals("test", " "));
}
@Test
public final void testIsEncodeEquals_CornerCase_FirstNameJust1Letter_ReturnsFalse() {
    assertFalse(this.getStringEncoder().isEncodeEquals("t", "test"));
}</t>
  </si>
  <si>
    <t>@Test
public final void testIsEncodeEquals_CornerCase_SecondNameJustSpace_ReturnsFalse() {
    assertFalse(this.getStringEncoder().isEncodeEquals("test", " "));
}
@Test
public final void testIsEncodeEquals_CornerCase_SecondNameNull_ReturnsFalse() {
    assertFalse(this.getStringEncoder().isEncodeEquals("test", null));
}</t>
  </si>
  <si>
    <t>@Test
public final void testIsEncodeEquals_CornerCase_SecondNameJustSpace_ReturnsFalse() {
    assertFalse(this.getStringEncoder().isEncodeEquals("test", " "));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</si>
  <si>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</si>
  <si>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testIsEncodeEquals_CornerCase_FirstNameJust1Letter_ReturnsFalse() {
    assertFalse(this.getStringEncoder().isEncodeEquals("t", "test"));
}</t>
  </si>
  <si>
    <t>@Test
public final void testIsEncodeEquals_CornerCase_FirstNameJustSpace_ReturnsFalse() {
    assertFalse(this.getStringEncoder().isEncodeEquals(" ", "test"));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</si>
  <si>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testIsEncodeEquals_CornerCase_SecondNameNull_ReturnsFalse() {
    assertFalse(this.getStringEncoder().isEncodeEquals("test", null));
}</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</si>
  <si>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</si>
  <si>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
public final void testIsEncodeEquals_CornerCase_SecondNameNull_ReturnsFalse() {
    assertFalse(this.getStringEncoder().isEncodeEquals("test", null));
}
@Test
public final void testIsEncodeEquals_CornerCase_FirstNameNull_ReturnsFalse() {
    assertFalse(this.getStringEncoder().isEncodeEquals(null, "test"));
}</t>
  </si>
  <si>
    <t>@Test
public final void testIsEncodeEquals_CornerCase_SecondNameNull_ReturnsFalse() {
    assertFalse(this.getStringEncoder().isEncodeEquals("test", null));
}
@Test
public final void testIsEncodeEquals_CornerCase_FirstNameJust1Letter_ReturnsFalse() {
    assertFalse(this.getStringEncoder().isEncodeEquals("t", "test"));
}</t>
  </si>
  <si>
    <t>@Test
public final void testIsEncodeEquals_CornerCase_SecondNameNull_ReturnsFalse() {
    assertFalse(this.getStringEncoder().isEncodeEquals("test", null));
}
@Test
public final void testIsEncodeEqualsSecondNameJust1Letter_ReturnsFalse() {
    assertFalse(this.getStringEncoder().isEncodeEquals("test", "t"));
}</t>
  </si>
  <si>
    <t>@Test
public final void testIsEncodeEquals_CornerCase_FirstNameNull_ReturnsFalse() {
    assertFalse(this.getStringEncoder().isEncodeEquals(null, "test"));
}
@Test
public final void testIsEncodeEquals_CornerCase_FirstNameJust1Letter_ReturnsFalse() {
    assertFalse(this.getStringEncoder().isEncodeEquals("t", "test"));
}</t>
  </si>
  <si>
    <t>@Test
public final void testIsEncodeEquals_CornerCase_FirstNameNull_ReturnsFalse() {
    assertFalse(this.getStringEncoder().isEncodeEquals(null, "test"));
}
@Test
public final void testIsEncodeEqualsSecondNameJust1Letter_ReturnsFalse() {
    assertFalse(this.getStringEncoder().isEncodeEquals("test", "t"));
}</t>
  </si>
  <si>
    <t>@Test
public final void testIsEncodeEquals_CornerCase_FirstNameJust1Letter_ReturnsFalse() {
    assertFalse(this.getStringEncoder().isEncodeEquals("t", "test"));
}
@Test
public final void testIsEncodeEqualsSecondNameJust1Letter_ReturnsFalse() {
    assertFalse(this.getStringEncoder().isEncodeEquals("test", "t"));
}</t>
  </si>
  <si>
    <t>889abcf1f58741aff0621a522a96627cee92c8fb</t>
  </si>
  <si>
    <t>testBaseNCodec</t>
  </si>
  <si>
    <t>@Test
public void testBaseNCodec() {
    assertNotNull(codec);
}
/**
 * Test to expand to the max buffer size.
 */
@Test
public void testEnsureBufferSizeExpandsToMaxBufferSize() {
    assertEnsureBufferSizeExpandsToMaxBufferSize(false);
}</t>
  </si>
  <si>
    <t>testEnsureBufferSizeExpandsToMaxBufferSize</t>
  </si>
  <si>
    <t>@Test
public void testBaseNCodec() {
    assertNotNull(codec);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</si>
  <si>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testEnsureBufferSizeExpandsToBeyondMaxBufferSize</t>
  </si>
  <si>
    <t>/**
 * Test to expand to the max buffer size.
 */
@Test
public void testEnsureBufferSizeExpandsToMaxBufferSize() {
    assertEnsureBufferSizeExpandsToMaxBufferSize(false);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</si>
  <si>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</si>
  <si>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</si>
  <si>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</si>
  <si>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assertFalse(in.markSupported(), "Base32InputStream.markSupported() is false");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</si>
  <si>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org/apache/commons/codec/binary/Base32InputStream.markSupported,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</si>
  <si>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org/apache/commons/codec/binary/Base32InputStream.markSupported]</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</si>
  <si>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assertFalse(in.markSupported(), "Base32InputStream.markSupported() is false");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</si>
  <si>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assertEquals(0, bytesRead, "Base32InputStream.read(buf, 0, 0) returns 0");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</si>
  <si>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</si>
  <si>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assertEquals(0, bytesRead, "Base32InputStream.read(buf, 0, 0) returns 0");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</si>
  <si>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</si>
  <si>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</si>
  <si>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 Test the isStringBase64 method.
 */
@Test
public void testIsStringBase64() {
    final String nullString = null;
    final String emptyString = "";
    final String validString = "abc===defg\n\r123456\r789\r\rABC\n\nDEF==GHI\r\nJKL==============";
    // append null character
    final String invalidString = validString + (char) 0;
    assertThrows(NullPointerException.class, () -&gt; Base64.isBase64(nullString), "Base64.isStringBase64() should not be null-safe.");
    assertTrue(Base64.isBase64(emptyString), "Base64.isStringBase64(empty-string) is true");
    assertTrue(Base64.isBase64(validString), "Base64.isStringBase64(valid-string) is true");
    assertFalse(Base64.isBase64(invalidString), "Base64.isStringBase64(invalid-string) is false");
}
@Test
public void testIsArrayByteBase64() {
    assertFalse(Base64.isBase64(new byte[] { Byte.MIN_VALUE }));
    assertFalse(Base64.isBase64(new byte[] { -125 }));
    assertFalse(Base64.isBase64(new byte[] { -10 }));
    assertFalse(Base64.isBase64(new byte[] { 0 }));
    assertFalse(Base64.isBase64(new byte[] { 64, Byte.MAX_VALUE }));
    assertFalse(Base64.isBase64(new byte[] { Byte.MAX_VALUE }));
    assertTrue(Base64.isBase64(new byte[] { 'A' }));
    assertFalse(Base64.isBase64(new byte[] { 'A', Byte.MIN_VALUE }));
    assertTrue(Base64.isBase64(new byte[] { 'A', 'Z', 'a' }));
    assertTrue(Base64.isBase64(new byte[] { '/', '=', '+' }));
    assertFalse(Base64.isBase64(new byte[] { '$' }));
}</t>
  </si>
  <si>
    <t>[org/apache/commons/codec/binary/Base64.isBase64,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t>
  </si>
  <si>
    <t>@Test
public void testCodeIntegerEdgeCases() {
    // TODO
}
@Test
public void testCodeIntegerNull() {
    assertThrows(NullPointerException.class, () -&gt; Base64.encodeInteger(null), "Exception not thrown when passing in null to encodeInteger(BigInteger)");
}</t>
  </si>
  <si>
    <t>testCodeIntegerNull</t>
  </si>
  <si>
    <t>@Test
public void testCodeIntegerEdgeCases() {
    // TODO
}
@Test
public void testObjectEncodeWithInvalidParameter() {
    assertThrows(EncoderException.class, () -&gt; new Base64().encode("Yadayadayada"), "encode(Object) didn't throw an exception when passed a String object");
}</t>
  </si>
  <si>
    <t>@Test
public void testCodeIntegerEdgeCases() {
    // TODO
}
@Test
public void testObjectDecodeWithInvalidParameter() {
    assertThrows(DecoderException.class, () -&gt; new Base64().decode(Integer.valueOf(5)), "decode(Object) didn't throw an exception when passed an Integer object");
}</t>
  </si>
  <si>
    <t>testObjectDecodeWithInvalidParameter</t>
  </si>
  <si>
    <t>@Test
public void testCodeIntegerEdgeCases() {
    // TODO
}
/**
 * Tests RFC 2045 section 2.1 CRLF definition.
 */
@Test
public void testRfc2045Section2Dot1CrLfDefinition() {
    assertArrayEquals(new byte[] { 13, 10 }, BaseNCodec.CHUNK_SEPARATOR);
}</t>
  </si>
  <si>
    <t>testRfc2045Section2Dot1CrLfDefinition</t>
  </si>
  <si>
    <t>@Test
public void testCodeIntegerNull() {
    assertThrows(NullPointerException.class, () -&gt; Base64.encodeInteger(null), "Exception not thrown when passing in null to encodeInteger(BigInteger)");
}
@Test
public void testObjectDecodeWithInvalidParameter() {
    assertThrows(DecoderException.class, () -&gt; new Base64().decode(Integer.valueOf(5)), "decode(Object) didn't throw an exception when passed an Integer object");
}</t>
  </si>
  <si>
    <t>@Test
public void testCodeIntegerNull() {
    assertThrows(NullPointerException.class, () -&gt; Base64.encodeInteger(null), "Exception not thrown when passing in null to encodeInteger(BigInteger)");
}
@Test
public void testObjectEncodeWithInvalidParameter() {
    assertThrows(EncoderException.class, () -&gt; new Base64().encode("Yadayadayada"), "encode(Object) didn't throw an exception when passed a String object");
}</t>
  </si>
  <si>
    <t>@Test
public void testCodeIntegerNull() {
    assertThrows(NullPointerException.class, () -&gt; Base64.encodeInteger(null), "Exception not thrown when passing in null to encodeInteger(BigInteger)");
}
@Test
public void testBase64DecodingOfTrailing18Bits() {
    assertBase64DecodingOfTrailingBits(18);
}</t>
  </si>
  <si>
    <t>@Test
public void testCodeIntegerNull() {
    assertThrows(NullPointerException.class, () -&gt; Base64.encodeInteger(null), "Exception not thrown when passing in null to encodeInteger(BigInteger)");
}
@Test
public void testBase64DecodingOfTrailing12Bits() {
    assertBase64DecodingOfTrailingBits(12);
}</t>
  </si>
  <si>
    <t>@Test
public void testCodeIntegerNull() {
    assertThrows(NullPointerException.class, () -&gt; Base64.encodeInteger(null), "Exception not thrown when passing in null to encodeInteger(BigInteger)");
}
@Test
public void testBase64DecodingOfTrailing6Bits() {
    assertBase64DecodingOfTrailingBits(6);
}</t>
  </si>
  <si>
    <t>@Test
public void testCodeIntegerNull() {
    assertThrows(NullPointerException.class, () -&gt; Base64.encodeInteger(null), "Exception not thrown when passing in null to encodeInteger(BigInteger)");
}
/**
 * Tests RFC 2045 section 2.1 CRLF definition.
 */
@Test
public void testRfc2045Section2Dot1CrLfDefinition() {
    assertArrayEquals(new byte[] { 13, 10 }, BaseNCodec.CHUNK_SEPARATOR);
}</t>
  </si>
  <si>
    <t>@Test
public void testCodeIntegerNull() {
    assertThrows(NullPointerException.class, () -&gt; Base64.encodeInteger(null), "Exception not thrown when passing in null to encodeInteger(BigInteger)");
}
/**
 * Tests RFC 1421 section 4.3.2.4 chuck size definition.
 */
@Test
public void testRfc1421Section6Dot8ChunkSizeDefinition() {
    assertEquals(64, BaseNCodec.PEM_CHUNK_SIZE);
}</t>
  </si>
  <si>
    <t>@Test
public void testCodeIntegerNull() {
    assertThrows(NullPointerException.class, () -&gt; Base64.encodeInteger(null), "Exception not thrown when passing in null to encodeInteger(BigInteger)");
}
/**
 * Tests RFC 2045 section 6.8 chuck size definition.
 */
@Test
public void testRfc2045Section6Dot8ChunkSizeDefinition() {
    assertEquals(76, BaseNCodec.MIME_CHUNK_SIZE);
}</t>
  </si>
  <si>
    <t>@Test
public void testConstructors() {
    Base64 base64;
    base64 = new Base64();
    base64 = new Base64(-1);
    base64 = new Base64(-1, new byte[] {});
    base64 = new Base64(64, new byte[] {});
    // OK
    base64 = new Base64(64, new byte[] { '$' });
    assertThrows(IllegalArgumentException.class, () -&gt; new Base64(-1, new byte[] { 'A' }), "Should have rejected attempt to use 'A' as a line separator");
    // TODO do we need to check sep if len = -1?
    assertThrows(IllegalArgumentException.class, () -&gt; new Base64(64, new byte[] { 'A' }), "Should have rejected attempt to use 'A' as a line separator");
    assertThrows(IllegalArgumentException.class, () -&gt; new Base64(64, new byte[] { '=' }), "Should have rejected attempt to use '=' as a line separator");
    // OK
    base64 = new Base64(64, new byte[] { '$' });
    assertThrows(IllegalArgumentException.class, () -&gt; new Base64(64, new byte[] { 'A', '$' }), "Should have rejected attempt to use 'A$' as a line separator");
    // OK
    base64 = new Base64(64, new byte[] { ' ', '$', '\n', '\r', '\t' });
    assertNotNull(base64);
}
@Test
public void testBase64ImpossibleSamples() {
    final Base64 codec = new Base64(0, null, false, CodecPolicy.STRICT);
    for (final String s : BASE64_IMPOSSIBLE_CASES) {
        assertThrows(IllegalArgumentException.class, () -&gt; codec.decode(s));
    }
}</t>
  </si>
  <si>
    <t>[org/apache/commons/codec/binary/Base64."&lt;init&gt;",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</si>
  <si>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 org/apache/commons/codec/binary/Base64."&lt;init&gt;"]</t>
  </si>
  <si>
    <t>@Test
public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assertEquals(expectedResult, result, "new Base64(65, \\t, false)");
}
@Test
public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 "");
    // == padding.
    expectedResult = expectedResult.replace('\n', '\t');
    expectedResult = expectedResult.replace('+', '-');
    expectedResult = expectedResult.replace('/', '_');
    final String result = StringUtils.newStringUtf8(encoded);
    assertEquals(result, expectedResult, "new Base64(64, \\t, true)");
}</t>
  </si>
  <si>
    <t>[org/apache/commons/codec/binary/Base64."&lt;init&gt;", org/apache/commons/codec/binary/Base64.encode, java/lang/String.replace, org/apache/commons/codec/binary/StringUtils.newStringUtf8]
[org/apache/commons/codec/binary/Base64."&lt;init&gt;", org/apache/commons/codec/binary/Base64.encode, java/lang/String.replace, java/lang/String.replace, java/lang/String.replace, java/lang/String.replace, org/apache/commons/codec/binary/StringUtils.newStringUtf8]</t>
  </si>
  <si>
    <t>@Test
public void testObjectDecodeWithInvalidParameter() {
    assertThrows(DecoderException.class, () -&gt; new Base64().decode(Integer.valueOf(5)), "decode(Object) didn't throw an exception when passed an Integer object");
}
@Test
public void testObjectEncodeWithInvalidParameter() {
    assertThrows(EncoderException.class, () -&gt; new Base64().encode("Yadayadayada"), "encode(Object) didn't throw an exception when passed a String object");
}</t>
  </si>
  <si>
    <t>@Test
public void testObjectDecodeWithInvalidParameter() {
    assertThrows(DecoderException.class, () -&gt; new Base64().decode(Integer.valueOf(5)), "decode(Object) didn't throw an exception when passed an Integer object");
}
@Test
public void testBase64DecodingOfTrailing18Bits() {
    assertBase64DecodingOfTrailingBits(18);
}</t>
  </si>
  <si>
    <t>@Test
public void testObjectDecodeWithInvalidParameter() {
    assertThrows(DecoderException.class, () -&gt; new Base64().decode(Integer.valueOf(5)), "decode(Object) didn't throw an exception when passed an Integer object");
}
@Test
public void testBase64DecodingOfTrailing12Bits() {
    assertBase64DecodingOfTrailingBits(12);
}</t>
  </si>
  <si>
    <t>@Test
public void testObjectDecodeWithInvalidParameter() {
    assertThrows(DecoderException.class, () -&gt; new Base64().decode(Integer.valueOf(5)), "decode(Object) didn't throw an exception when passed an Integer object");
}
@Test
public void testBase64DecodingOfTrailing6Bits() {
    assertBase64DecodingOfTrailingBits(6);
}</t>
  </si>
  <si>
    <t>@Test
public void testObjectDecodeWithInvalidParameter() {
    assertThrows(DecoderException.class, () -&gt; new Base64().decode(Integer.valueOf(5)), "decode(Object) didn't throw an exception when passed an Integer object");
}
/**
 * Tests RFC 2045 section 2.1 CRLF definition.
 */
@Test
public void testRfc2045Section2Dot1CrLfDefinition() {
    assertArrayEquals(new byte[] { 13, 10 }, BaseNCodec.CHUNK_SEPARATOR);
}</t>
  </si>
  <si>
    <t>@Test
public void testObjectDecodeWithInvalidParameter() {
    assertThrows(DecoderException.class, () -&gt; new Base64().decode(Integer.valueOf(5)), "decode(Object) didn't throw an exception when passed an Integer object");
}
/**
 * Tests RFC 1421 section 4.3.2.4 chuck size definition.
 */
@Test
public void testRfc1421Section6Dot8ChunkSizeDefinition() {
    assertEquals(64, BaseNCodec.PEM_CHUNK_SIZE);
}</t>
  </si>
  <si>
    <t>@Test
public void testObjectDecodeWithInvalidParameter() {
    assertThrows(DecoderException.class, () -&gt; new Base64().decode(Integer.valueOf(5)), "decode(Object) didn't throw an exception when passed an Integer object");
}
/**
 * Tests RFC 2045 section 6.8 chuck size definition.
 */
@Test
public void testRfc2045Section6Dot8ChunkSizeDefinition() {
    assertEquals(76, BaseNCodec.MIME_CHUNK_SIZE);
}</t>
  </si>
  <si>
    <t>@Test
public void testObjectEncodeWithInvalidParameter() {
    assertThrows(EncoderException.class, () -&gt; new Base64().encode("Yadayadayada"), "encode(Object) didn't throw an exception when passed a String object");
}
@Test
public void testBase64DecodingOfTrailing18Bits() {
    assertBase64DecodingOfTrailingBits(18);
}</t>
  </si>
  <si>
    <t>@Test
public void testObjectEncodeWithInvalidParameter() {
    assertThrows(EncoderException.class, () -&gt; new Base64().encode("Yadayadayada"), "encode(Object) didn't throw an exception when passed a String object");
}
@Test
public void testBase64DecodingOfTrailing12Bits() {
    assertBase64DecodingOfTrailingBits(12);
}</t>
  </si>
  <si>
    <t>@Test
public void testObjectEncodeWithInvalidParameter() {
    assertThrows(EncoderException.class, () -&gt; new Base64().encode("Yadayadayada"), "encode(Object) didn't throw an exception when passed a String object");
}
@Test
public void testBase64DecodingOfTrailing6Bits() {
    assertBase64DecodingOfTrailingBits(6);
}</t>
  </si>
  <si>
    <t>@Test
public void testObjectEncodeWithInvalidParameter() {
    assertThrows(EncoderException.class, () -&gt; new Base64().encode("Yadayadayada"), "encode(Object) didn't throw an exception when passed a String object");
}
/**
 * Tests RFC 2045 section 2.1 CRLF definition.
 */
@Test
public void testRfc2045Section2Dot1CrLfDefinition() {
    assertArrayEquals(new byte[] { 13, 10 }, BaseNCodec.CHUNK_SEPARATOR);
}</t>
  </si>
  <si>
    <t>@Test
public void testObjectEncodeWithInvalidParameter() {
    assertThrows(EncoderException.class, () -&gt; new Base64().encode("Yadayadayada"), "encode(Object) didn't throw an exception when passed a String object");
}
/**
 * Tests RFC 1421 section 4.3.2.4 chuck size definition.
 */
@Test
public void testRfc1421Section6Dot8ChunkSizeDefinition() {
    assertEquals(64, BaseNCodec.PEM_CHUNK_SIZE);
}</t>
  </si>
  <si>
    <t>@Test
public void testObjectEncodeWithInvalidParameter() {
    assertThrows(EncoderException.class, () -&gt; new Base64().encode("Yadayadayada"), "encode(Object) didn't throw an exception when passed a String object");
}
/**
 * Tests RFC 2045 section 6.8 chuck size definition.
 */
@Test
public void testRfc2045Section6Dot8ChunkSizeDefinition() {
    assertEquals(76, BaseNCodec.MIME_CHUNK_SIZE);
}</t>
  </si>
  <si>
    <t>@Test
public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assertEquals(original, dest, "dest string does not equal original");
}
@Test
public void testObjectEncode() throws Exception {
    final Base64 b64 = new Base64();
    assertEquals("SGVsbG8gV29ybGQ=", new String(b64.encode("Hello World".getBytes(CHARSET_UTF8))));
}</t>
  </si>
  <si>
    <t>@Test
public void testPairs() {
    assertEquals("AAA=", new String(Base64.encodeBase64(new byte[] { 0, 0 })));
    for (int i = -128; i &lt;= 127; i++) {
        final byte[] test = { (byte) i, (byte) i };
        assertArrayEquals(test,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t>
  </si>
  <si>
    <t>[org/apache/commons/codec/binary/Base64.encodeBase64, java/lang/String."&lt;init&gt;", org/apache/commons/codec/binary/Base64.encodeBase64, org/apache/commons/codec/binary/Base64.decodeBase64]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t>
  </si>
  <si>
    <t>/**
 * Tests RFC 2045 section 2.1 CRLF definition.
 */
@Test
public void testRfc2045Section2Dot1CrLfDefinition() {
    assertArrayEquals(new byte[] { 13, 10 }, BaseNCodec.CHUNK_SEPARATOR);
}
/**
 * Tests RFC 2045 section 6.8 chuck size definition.
 */
@Test
public void testRfc2045Section6Dot8ChunkSizeDefinition() {
    assertEquals(76, BaseNCodec.MIME_CHUNK_SIZE);
}</t>
  </si>
  <si>
    <t>/**
 * Tests RFC 2045 section 2.1 CRLF definition.
 */
@Test
public void testRfc2045Section2Dot1CrLfDefinition() {
    assertArrayEquals(new byte[] { 13, 10 }, BaseNCodec.CHUNK_SEPARATOR);
}
/**
 * Tests RFC 1421 section 4.3.2.4 chuck size definition.
 */
@Test
public void testRfc1421Section6Dot8ChunkSizeDefinition() {
    assertEquals(64, BaseNCodec.PEM_CHUNK_SIZE);
}</t>
  </si>
  <si>
    <t>/**
 * Tests RFC 2045 section 2.1 CRLF definition.
 */
@Test
public void testRfc2045Section2Dot1CrLfDefinition() {
    assertArrayEquals(new byte[] { 13, 10 }, BaseNCodec.CHUNK_SEPARATOR);
}
@Test
public void testBase64DecodingOfTrailing6Bits() {
    assertBase64DecodingOfTrailingBits(6);
}</t>
  </si>
  <si>
    <t>/**
 * Tests RFC 2045 section 2.1 CRLF definition.
 */
@Test
public void testRfc2045Section2Dot1CrLfDefinition() {
    assertArrayEquals(new byte[] { 13, 10 }, BaseNCodec.CHUNK_SEPARATOR);
}
@Test
public void testBase64DecodingOfTrailing18Bits() {
    assertBase64DecodingOfTrailingBits(18);
}</t>
  </si>
  <si>
    <t>/**
 * Tests RFC 2045 section 2.1 CRLF definition.
 */
@Test
public void testRfc2045Section2Dot1CrLfDefinition() {
    assertArrayEquals(new byte[] { 13, 10 }, BaseNCodec.CHUNK_SEPARATOR);
}
@Test
public void testBase64DecodingOfTrailing12Bits() {
    assertBase64DecodingOfTrailingBits(12);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</si>
  <si>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</si>
  <si>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</si>
  <si>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org/apache/commons/codec/binary/Base64.encodeBase64Chunked,  org/apache/commons/codec/binary/Base64.encodeBase64,  org/apache/commons/codec/binary/Base64.decodeBase64, org/apache/commons/codec/binary/Base64.encodeBase64]</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</si>
  <si>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testUnixCryptWithEmptySalt() {
    assertThrows(IllegalArgumentException.class, () -&gt; UnixCrypt.crypt("secret", ""));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</si>
  <si>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</si>
  <si>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testUnixCryptNullData() {
    assertThrows(NullPointerException.class, () -&gt; UnixCrypt.crypt((byte[]) null));
}</t>
  </si>
  <si>
    <t>/**
 * Unimplemented "$foo$" salt prefixes would be treated as UnixCrypt salt.
 */
@Test
public void testUnixCryptInvalidSalt() {
    assertThrows(IllegalArgumentException.class, () -&gt; UnixCrypt.crypt("secret", "$a"));
}
@Test
public void testUnixCryptWithEmptySalt() {
    assertThrows(IllegalArgumentException.class, () -&gt; UnixCrypt.crypt("secret", ""));
}</t>
  </si>
  <si>
    <t>/**
 * Unimplemented "$foo$" salt prefixes would be treated as UnixCrypt salt.
 */
@Test
public void testUnixCryptInvalidSalt() {
    assertThrows(IllegalArgumentException.class, () -&gt; UnixCrypt.crypt("secret", "$a"));
}
@Test
public void testUnixCryptNullData() {
    assertThrows(NullPointerException.class, () -&gt; UnixCrypt.crypt((byte[]) null));
}</t>
  </si>
  <si>
    <t>@Test
public void testUnixCryptNullData() {
    assertThrows(NullPointerException.class, () -&gt; UnixCrypt.crypt((byte[]) null));
}
@Test
public void testUnixCryptWithEmptySalt() {
    assertThrows(IllegalArgumentException.class, () -&gt; UnixCrypt.crypt("secret", ""));
}</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</si>
  <si>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StringUtils.getBytesUtf8(Base16TestData.ENCODED_UTF8_UPPERCASE);
    decoded = BaseNTestData.DECODED;
    testByChunk(encoded, decoded);
    // test random data of sizes 0 through 150
    final BaseNCodec codec = new Base16(true);
    for (int i = 0; i &lt;= 150; i++) {
        final byte[][] randomData = BaseNTestData.randomData(codec, i);
        encoded = randomData[1];
        decoded = randomData[0];
        testByChunk(encoded, decoded, true);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StringUtils.getBytesUtf8(Base16TestData.ENCODED_UTF8_UPPERCASE);
    decoded = BaseNTestData.DECODED;
    testByteByByte(encoded, decoded);
    // test random data of sizes 0 through 150
    final BaseNCodec codec = new Base16(true);
    for (int i = 0; i &lt;= 150; i++) {
        final byte[][] randomData = BaseNTestData.randomData(codec, i);
        encoded = randomData[1];
        decoded = randomData[0];
        testByteByByte(encoded, decoded, true);
    }
}</t>
  </si>
  <si>
    <t>/**
 * Tests markSupported.
 *
 * @throws IOException for some failure scenarios.
 */
@Test
public void testMarkSupported() throws IOException {
    final byte[] decoded = StringUtils.getBytesUtf8(STRING_FIXTURE);
    final ByteArrayInputStream bin = new ByteArrayInputStream(decoded);
    try (final Base16InputStream in = new Base16InputStream(bin, true)) {
        // Always returns false for now.
        assertFalse(in.markSupported(), "Base16InputStream.markSupported() is false");
    }
}
/**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t>
  </si>
  <si>
    <t>[org/apache/commons/codec/binary/StringUtils.getBytesUtf8, java/io/ByteArrayInputStream."&lt;init&gt;", org/apache/commons/codec/binary/Base16InputStream."&lt;init&gt;", org/apache/commons/codec/binary/Base16InputStream.markSupported,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</si>
  <si>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org/apache/commons/codec/binary/Base16InputStream.markSupported]</t>
  </si>
  <si>
    <t>/**
 * Tests markSupported.
 *
 * @throws IOException for some failure scenarios.
 */
@Test
public void testMarkSupported() throws IOException {
    final byte[] decoded = StringUtils.getBytesUtf8(STRING_FIXTURE);
    final ByteArrayInputStream bin = new ByteArrayInputStream(decoded);
    try (final Base16InputStream in = new Base16InputStream(bin, true)) {
        // Always returns false for now.
        assertFalse(in.markSupported(), "Base16InputStream.markSupported() is false");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</si>
  <si>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assertEquals(0, bytesRead, "Base16InputStream.read(buf, 0, 0) returns 0");
    }
}
/**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</si>
  <si>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</si>
  <si>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assertEquals(0, bytesRead, "Base16InputStream.read(buf, 0, 0) returns 0");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</si>
  <si>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</si>
  <si>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</si>
  <si>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</si>
  <si>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</si>
  <si>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</si>
  <si>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 most of the static methods are deprecated
@SuppressWarnings("deprecation")
@Test
public void testEmptyKey() {
    assertThrows(IllegalArgumentException.class, () -&gt; HmacUtils.getHmacMd5(new byte[] {}));
}
// most of the static methods are deprecated
@SuppressWarnings("deprecation")
@Test
public void testNullKey() {
    assertThrows(IllegalArgumentException.class, () -&gt; HmacUtils.getHmacMd5(null));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</si>
  <si>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testMd5HMacFail() {
    assertThrows(IllegalArgumentException.class, () -&gt; HmacUtils.hmacMd5((byte[])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</si>
  <si>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</si>
  <si>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</si>
  <si>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</si>
  <si>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</si>
  <si>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testEmptyKey() {
    assertThrows(IllegalArgumentException.class, () -&gt; HmacUtils.getHmacMd5(new byte[] {}));
}
@Test
public void testInitializedMacNullKey() {
    assertThrows(IllegalArgumentException.class, () -&gt; HmacUtils.getInitializedMac(HmacAlgorithms.HMAC_MD5, null));
}</t>
  </si>
  <si>
    <t>// most of the static methods are deprecated
@SuppressWarnings("deprecation")
@Test
public void testEmptyKey() {
    assertThrows(IllegalArgumentException.class, () -&gt; HmacUtils.getHmacMd5(new byte[] {}));
}
@Test
public void testInternalNoSuchAlgorithmException() {
    assertThrows(IllegalArgumentException.class, () -&gt; HmacUtils.getInitializedMac("Bogus Bogus", StringUtils.getBytesUtf8("akey")));
}</t>
  </si>
  <si>
    <t>testInternalNoSuchAlgorithmException</t>
  </si>
  <si>
    <t>// most of the static methods are deprecated
@SuppressWarnings("deprecation")
@Test
public void testEmptyKey() {
    assertThrows(IllegalArgumentException.class, () -&gt; HmacUtils.getHmacMd5(new byte[] {}));
}
@Test
public void testInitializedMacNullAlgo() {
    assertThrows(IllegalArgumentException.class, () -&gt; HmacUtils.getInitializedMac((String) null, HmacAlgorithmsTest.STANDARD_KEY_BYTES));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</si>
  <si>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testHmacSha1UpdateWithString() {
    final Mac mac = HmacUtils.getHmacSha1(HmacAlgorithmsTest.STANDARD_KEY_BYTES);
    HmacUtils.updateHmac(mac, HmacAlgorithmsTest.STANDARD_PHRASE_STRING);
    assertEquals(HmacAlgorithmsTest.STANDARD_SHA1_RESULT_STRING, Hex.encodeHexString(mac.doFinal()));
    HmacUtils.updateHmac(mac, "");
    assertEquals("f42bb0eeb018ebbd4597ae7213711ec60760843f", Hex.encodeHexString(mac.doFinal()));
}</t>
  </si>
  <si>
    <t>@Test
public void testInitializedMacNullAlgo() {
    assertThrows(IllegalArgumentException.class, () -&gt; HmacUtils.getInitializedMac((String) null, HmacAlgorithmsTest.STANDARD_KEY_BYTES));
}
@Test
public void testInitializedMacNullKey() {
    assertThrows(IllegalArgumentException.class, () -&gt; HmacUtils.getInitializedMac(HmacAlgorithms.HMAC_MD5, null));
}</t>
  </si>
  <si>
    <t>@Test
public void testInitializedMacNullAlgo() {
    assertThrows(IllegalArgumentException.class, () -&gt; HmacUtils.getInitializedMac((String) null, HmacAlgorithmsTest.STANDARD_KEY_BYTES));
}
// most of the static methods are deprecated
@SuppressWarnings("deprecation")
@Test
public void testSha384HMacFail() {
    assertThrows(IllegalArgumentException.class, () -&gt; HmacUtils.hmacSha384((byte[])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</si>
  <si>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testSha512HMacFail() {
    assertThrows(IllegalArgumentException.class, () -&gt; HmacUtils.hmacSha512((byte[])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</si>
  <si>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testSha256HMacFail() {
    assertThrows(IllegalArgumentException.class, () -&gt; HmacUtils.hmacSha256((byte[])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</si>
  <si>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testSha1HMacFail() {
    assertThrows(IllegalArgumentException.class, () -&gt; HmacUtils.hmacSha1((byte[])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</si>
  <si>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testMd5HMacFail() {
    assertThrows(IllegalArgumentException.class, () -&gt; HmacUtils.hmacMd5((byte[]) null, HmacAlgorithmsTest.STANDARD_PHRASE_BYTES));
}</t>
  </si>
  <si>
    <t>@Test
public void testInitializedMacNullAlgo() {
    assertThrows(IllegalArgumentException.class, () -&gt; HmacUtils.getInitializedMac((String) null, HmacAlgorithmsTest.STANDARD_KEY_BYTES));
}
@Test
public void testInternalNoSuchAlgorithmException() {
    assertThrows(IllegalArgumentException.class, () -&gt; HmacUtils.getInitializedMac("Bogus Bogus", StringUtils.getBytesUtf8("akey")));
}</t>
  </si>
  <si>
    <t>@Test
public void testInitializedMacNullAlgo() {
    assertThrows(IllegalArgumentException.class, () -&gt; HmacUtils.getInitializedMac((String) null, HmacAlgorithmsTest.STANDARD_KEY_BYTES));
}
@Test
public void testSecretKeySpecAllowsEmptyKeys() {
    assertThrows(IllegalArgumentException.class, () -&gt; new SecretKeySpec(new byte[] {}, "HmacMD5"));
}</t>
  </si>
  <si>
    <t>@Test
public void testInitializedMacNullAlgo() {
    assertThrows(IllegalArgumentException.class, () -&gt; HmacUtils.getInitializedMac((String) null, HmacAlgorithmsTest.STANDARD_KEY_BYTES));
}
// most of the static methods are deprecated
@SuppressWarnings("deprecation")
@Test
public void testNullKey() {
    assertThrows(IllegalArgumentException.class, () -&gt; HmacUtils.getHmacMd5(null));
}</t>
  </si>
  <si>
    <t>@Test
public void testInitializedMacNullKey() {
    assertThrows(IllegalArgumentException.class, () -&gt; HmacUtils.getInitializedMac(HmacAlgorithms.HMAC_MD5, null));
}
@Test
public void testInternalNoSuchAlgorithmException() {
    assertThrows(IllegalArgumentException.class, () -&gt; HmacUtils.getInitializedMac("Bogus Bogus", StringUtils.getBytesUtf8("akey")));
}</t>
  </si>
  <si>
    <t>@Test
public void testInitializedMacNullKey() {
    assertThrows(IllegalArgumentException.class, () -&gt; HmacUtils.getInitializedMac(HmacAlgorithms.HMAC_MD5, null));
}
// most of the static methods are deprecated
@SuppressWarnings("deprecation")
@Test
public void testNullKey() {
    assertThrows(IllegalArgumentException.class, () -&gt; HmacUtils.getHmacMd5(null));
}</t>
  </si>
  <si>
    <t>@Test
public void testInitializedMacNullKey() {
    assertThrows(IllegalArgumentException.class, () -&gt; HmacUtils.getInitializedMac(HmacAlgorithms.HMAC_MD5, null));
}
// most of the static methods are deprecated
@SuppressWarnings("deprecation")
@Test
public void testSha1HMacFail() {
    assertThrows(IllegalArgumentException.class, () -&gt; HmacUtils.hmacSha1((byte[])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</si>
  <si>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testSha384HMacFail() {
    assertThrows(IllegalArgumentException.class, () -&gt; HmacUtils.hmacSha384((byte[])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</si>
  <si>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testSha512HMacFail() {
    assertThrows(IllegalArgumentException.class, () -&gt; HmacUtils.hmacSha512((byte[])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</si>
  <si>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testSha256HMacFail() {
    assertThrows(IllegalArgumentException.class, () -&gt; HmacUtils.hmacSha256((byte[]) null, HmacAlgorithmsTest.STANDARD_PHRASE_BYTES));
}</t>
  </si>
  <si>
    <t>@Test
public void testInitializedMacNullKey() {
    assertThrows(IllegalArgumentException.class, () -&gt; HmacUtils.getInitializedMac(HmacAlgorithms.HMAC_MD5, null));
}
@Test
public void testSecretKeySpecAllowsEmptyKeys() {
    assertThrows(IllegalArgumentException.class, () -&gt; new SecretKeySpec(new byte[] {}, "HmacMD5"));
}</t>
  </si>
  <si>
    <t>@Test
public void testInitializedMacNullKey() {
    assertThrows(IllegalArgumentException.class, () -&gt; HmacUtils.getInitializedMac(HmacAlgorithms.HMAC_MD5, null));
}
// most of the static methods are deprecated
@SuppressWarnings("deprecation")
@Test
public void testMd5HMacFail() {
    assertThrows(IllegalArgumentException.class, () -&gt; HmacUtils.hmacMd5((byte[]) null, HmacAlgorithmsTest.STANDARD_PHRASE_BYTES));
}</t>
  </si>
  <si>
    <t>@Test
public void testInternalNoSuchAlgorithmException() {
    assertThrows(IllegalArgumentException.class, () -&gt; HmacUtils.getInitializedMac("Bogus Bogus", StringUtils.getBytesUtf8("akey")));
}
@Test
public void testSecretKeySpecAllowsEmptyKeys() {
    assertThrows(IllegalArgumentException.class, () -&gt; new SecretKeySpec(new byte[] {}, "HmacMD5"));
}</t>
  </si>
  <si>
    <t>@Test
public void testInternalNoSuchAlgorithmException() {
    assertThrows(IllegalArgumentException.class, () -&gt; HmacUtils.getInitializedMac("Bogus Bogus", StringUtils.getBytesUtf8("akey")));
}
// most of the static methods are deprecated
@SuppressWarnings("deprecation")
@Test
public void testNullKey() {
    assertThrows(IllegalArgumentException.class, () -&gt; HmacUtils.getHmacMd5(null));
}</t>
  </si>
  <si>
    <t>@Test
public void testInternalNoSuchAlgorithmException() {
    assertThrows(IllegalArgumentException.class, () -&gt; HmacUtils.getInitializedMac("Bogus Bogus", StringUtils.getBytesUtf8("akey")));
}
// most of the static methods are deprecated
@SuppressWarnings("deprecation")
@Test
public void testSha1HMacFail() {
    assertThrows(IllegalArgumentException.class, () -&gt; HmacUtils.hmacSha1((byte[])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</si>
  <si>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testMd5HMacFail() {
    assertThrows(IllegalArgumentException.class, () -&gt; HmacUtils.hmacMd5((byte[])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</si>
  <si>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testSha384HMacFail() {
    assertThrows(IllegalArgumentException.class, () -&gt; HmacUtils.hmacSha384((byte[])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</si>
  <si>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testSha512HMacFail() {
    assertThrows(IllegalArgumentException.class, () -&gt; HmacUtils.hmacSha512((byte[])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</si>
  <si>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</si>
  <si>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</si>
  <si>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</si>
  <si>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</si>
  <si>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</si>
  <si>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</si>
  <si>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</si>
  <si>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</si>
  <si>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</si>
  <si>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testNullKey() {
    assertThrows(IllegalArgumentException.class, () -&gt; HmacUtils.getHmacMd5(null));
}</t>
  </si>
  <si>
    <t>// most of the static methods are deprecated
@SuppressWarnings("deprecation")
@Test
public void testMd5HMacFail() {
    assertThrows(IllegalArgumentException.class, () -&gt; HmacUtils.hmacMd5((byte[]) null, HmacAlgorithmsTest.STANDARD_PHRASE_BYTES));
}
@Test
public void testSecretKeySpecAllowsEmptyKeys() {
    assertThrows(IllegalArgumentException.class, () -&gt; new SecretKeySpec(new byte[] {}, "HmacMD5"));
}</t>
  </si>
  <si>
    <t>// most of the static methods are deprecated
@SuppressWarnings("deprecation")
@Test
public void testNullKey() {
    assertThrows(IllegalArgumentException.class, () -&gt; HmacUtils.getHmacMd5(null));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</si>
  <si>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</si>
  <si>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</si>
  <si>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</si>
  <si>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testNullKey() {
    assertThrows(IllegalArgumentException.class, () -&gt; HmacUtils.getHmacMd5(null));
}
@Test
public void testSecretKeySpecAllowsEmptyKeys() {
    assertThrows(IllegalArgumentException.class, () -&gt; new SecretKeySpec(new byte[] {}, "HmacMD5"));
}</t>
  </si>
  <si>
    <t>@Test
public void testSecretKeySpecAllowsEmptyKeys() {
    assertThrows(IllegalArgumentException.class, () -&gt; new SecretKeySpec(new byte[] {}, "HmacMD5"));
}
// most of the static methods are deprecated
@SuppressWarnings("deprecation")
@Test
public void testSha384HMacFail() {
    assertThrows(IllegalArgumentException.class, () -&gt; HmacUtils.hmacSha384((byte[])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</si>
  <si>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testSha512HMacFail() {
    assertThrows(IllegalArgumentException.class, () -&gt; HmacUtils.hmacSha512((byte[])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</si>
  <si>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testSha256HMacFail() {
    assertThrows(IllegalArgumentException.class, () -&gt; HmacUtils.hmacSha256((byte[])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</si>
  <si>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</si>
  <si>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</si>
  <si>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</si>
  <si>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</si>
  <si>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</si>
  <si>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</si>
  <si>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</si>
  <si>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</si>
  <si>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</si>
  <si>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testSha256HMacFail() {
    assertThrows(IllegalArgumentException.class, () -&gt; HmacUtils.hmacSha256((byte[])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</si>
  <si>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testSha256HMacFail() {
    assertThrows(IllegalArgumentException.class, () -&gt; HmacUtils.hmacSha256((byte[])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</si>
  <si>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</si>
  <si>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testSha384HMacFail() {
    assertThrows(IllegalArgumentException.class, () -&gt; HmacUtils.hmacSha384((byte[])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</si>
  <si>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</si>
  <si>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</si>
  <si>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testTranslateToJOfDGEOrDGIOrDGY() {
    assertEquals("TJ", this.getStringEncoder().metaphone("DODGY"));
    assertEquals("TJ", this.getStringEncoder().metaphone("DODGE"));
    assertEquals("AJMT", this.getStringEncoder().metaphone("ADGIEMTI"));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</si>
  <si>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</si>
  <si>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testDiscardOfSCEOrSCIOrSCY() {
    assertEquals("SNS", this.getStringEncoder().metaphone("SCIENCE"));
    assertEquals("SN", this.getStringEncoder().metaphone("SCENE"));
    assertEquals("S", this.getStringEncoder().metaphone("SCY"));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</si>
  <si>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testWordEndingInMB() {
    assertEquals("KM", this.getStringEncoder().metaphone("COMB"));
    assertEquals("TM", this.getStringEncoder().metaphone("TOMB"));
    assertEquals("WM", this.getStringEncoder().metaphone("WOMB"));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</si>
  <si>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testSHAndSIOAndSIAToX() {
    assertEquals("XT", this.getStringEncoder().metaphone("SHOT"));
    assertEquals("OTXN", this.getStringEncoder().metaphone("ODSIAN"));
    assertEquals("PLXN", this.getStringEncoder().metaphone("PULSION"));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</si>
  <si>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</si>
  <si>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</si>
  <si>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</si>
  <si>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testTIOAndTIAToX() {
    assertEquals("OX", this.getStringEncoder().metaphone("OTIA"));
    assertEquals("PRXN", this.getStringEncoder().metaphone("PORTION"));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</si>
  <si>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testTCH() {
    assertEquals("RX", this.getStringEncoder().metaphone("RETCH"));
    assertEquals("WX", this.getStringEncoder().metaphone("WATCH"));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</si>
  <si>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</si>
  <si>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</si>
  <si>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 .getStringEncoder]</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</si>
  <si>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testWordsWithCIA() {
    assertEquals("XP", this.getStringEncoder().metaphone("CIAPO"));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</si>
  <si>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
 * Tests (CODEC-57) Metaphone.metaphone(String) returns an empty string when passed the word "why"
 */
@Test
public void testWhy() {
    // PHP returns "H". The original metaphone returns an empty string.
    assertEquals("", this.getStringEncoder().metaphone("WHY"));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</si>
  <si>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testPHTOF() {
    assertEquals("FX", this.getStringEncoder().metaphone("PHISH"));
}</t>
  </si>
  <si>
    <t>@Test
public void testWordEndingInMB() {
    assertEquals("KM", this.getStringEncoder().metaphone("COMB"));
    assertEquals("TM", this.getStringEncoder().metaphone("TOMB"));
    assertEquals("WM", this.getStringEncoder().metaphone("WOMB"));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</si>
  <si>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</si>
  <si>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testDiscardOfSCEOrSCIOrSCY() {
    assertEquals("SNS", this.getStringEncoder().metaphone("SCIENCE"));
    assertEquals("SN", this.getStringEncoder().metaphone("SCENE"));
    assertEquals("S", this.getStringEncoder().metaphone("SCY"));
}</t>
  </si>
  <si>
    <t>@Test
public void testWordEndingInMB() {
    assertEquals("KM", this.getStringEncoder().metaphone("COMB"));
    assertEquals("TM", this.getStringEncoder().metaphone("TOMB"));
    assertEquals("WM", this.getStringEncoder().metaphone("WOMB"));
}
@Test
public void testTranslateToJOfDGEOrDGIOrDGY() {
    assertEquals("TJ", this.getStringEncoder().metaphone("DODGY"));
    assertEquals("TJ", this.getStringEncoder().metaphone("DODGE"));
    assertEquals("AJMT", this.getStringEncoder().metaphone("ADGIEMTI"));
}</t>
  </si>
  <si>
    <t>@Test
public void testWordEndingInMB() {
    assertEquals("KM", this.getStringEncoder().metaphone("COMB"));
    assertEquals("TM", this.getStringEncoder().metaphone("TOMB"));
    assertEquals("WM", this.getStringEncoder().metaphone("WOMB"));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</si>
  <si>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</si>
  <si>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</si>
  <si>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</si>
  <si>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</si>
  <si>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testWordEndingInMB() {
    assertEquals("KM", this.getStringEncoder().metaphone("COMB"));
    assertEquals("TM", this.getStringEncoder().metaphone("TOMB"));
    assertEquals("WM", this.getStringEncoder().metaphone("WOMB"));
}
@Test
public void testTIOAndTIAToX() {
    assertEquals("OX", this.getStringEncoder().metaphone("OTIA"));
    assertEquals("PRXN", this.getStringEncoder().metaphone("PORTION"));
}</t>
  </si>
  <si>
    <t>@Test
public void testWordEndingInMB() {
    assertEquals("KM", this.getStringEncoder().metaphone("COMB"));
    assertEquals("TM", this.getStringEncoder().metaphone("TOMB"));
    assertEquals("WM", this.getStringEncoder().metaphone("WOMB"));
}
@Test
public void testTCH() {
    assertEquals("RX", this.getStringEncoder().metaphone("RETCH"));
    assertEquals("WX", this.getStringEncoder().metaphone("WATCH"));
}</t>
  </si>
  <si>
    <t>@Test
public void testWordEndingInMB() {
    assertEquals("KM", this.getStringEncoder().metaphone("COMB"));
    assertEquals("TM", this.getStringEncoder().metaphone("TOMB"));
    assertEquals("WM", this.getStringEncoder().metaphone("WOMB"));
}
@Test
public void testWordsWithCIA() {
    assertEquals("XP", this.getStringEncoder().metaphone("CIAPO"));
}</t>
  </si>
  <si>
    <t>[.getStringEncoder,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</si>
  <si>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testExceedLength() {
    // should be AKSKS, but is truncated by Max Code Length
    assertEquals("AKSK", this.getStringEncoder().metaphone("AXEAXE"));
}</t>
  </si>
  <si>
    <t>@Test
public void testWordEndingInMB() {
    assertEquals("KM", this.getStringEncoder().metaphone("COMB"));
    assertEquals("TM", this.getStringEncoder().metaphone("TOMB"));
    assertEquals("WM", this.getStringEncoder().metaphone("WOMB"));
}
/**
 * Tests (CODEC-57) Metaphone.metaphone(String) returns an empty string when passed the word "why"
 */
@Test
public void testWhy() {
    // PHP returns "H". The original metaphone returns an empty string.
    assertEquals("", this.getStringEncoder().metaphone("WHY"));
}</t>
  </si>
  <si>
    <t>@Test
public void testWordEndingInMB() {
    assertEquals("KM", this.getStringEncoder().metaphone("COMB"));
    assertEquals("TM", this.getStringEncoder().metaphone("TOMB"));
    assertEquals("WM", this.getStringEncoder().metaphone("WOMB"));
}
@Test
public void testPHTOF() {
    assertEquals("FX", this.getStringEncoder().metaphone("PHISH"));
}</t>
  </si>
  <si>
    <t>@Test
public void testDiscardOfSCEOrSCIOrSCY() {
    assertEquals("SNS", this.getStringEncoder().metaphone("SCIENCE"));
    assertEquals("SN", this.getStringEncoder().metaphone("SCENE"));
    assertEquals("S", this.getStringEncoder().metaphone("SCY"));
}
@Test
public void testTranslateToJOfDGEOrDGIOrDGY() {
    assertEquals("TJ", this.getStringEncoder().metaphone("DODGY"));
    assertEquals("TJ", this.getStringEncoder().metaphone("DODGE"));
    assertEquals("AJMT", this.getStringEncoder().metaphone("ADGIEMTI"));
}</t>
  </si>
  <si>
    <t>@Test
public void testDiscardOfSCEOrSCIOrSCY() {
    assertEquals("SNS", this.getStringEncoder().metaphone("SCIENCE"));
    assertEquals("SN", this.getStringEncoder().metaphone("SCENE"));
    assertEquals("S", this.getStringEncoder().metaphone("SCY"));
}
@Test
public void testSHAndSIOAndSIAToX() {
    assertEquals("XT", this.getStringEncoder().metaphone("SHOT"));
    assertEquals("OTXN", this.getStringEncoder().metaphone("ODSIAN"));
    assertEquals("PLXN", this.getStringEncoder().metaphone("PULSION"));
}</t>
  </si>
  <si>
    <t>@Test
public void testDiscardOfSCEOrSCIOrSCY() {
    assertEquals("SNS", this.getStringEncoder().metaphone("SCIENCE"));
    assertEquals("SN", this.getStringEncoder().metaphone("SCENE"));
    assertEquals("S", this.getStringEncoder().metaphone("SCY"));
}
@Test
public void testTranslateOfSCHAndCH() {
    assertEquals("SKTL", this.getStringEncoder().metaphone("SCHEDULE"));
    assertEquals("SKMT", this.getStringEncoder().metaphone("SCHEMATIC"));
    assertEquals("KRKT", this.getStringEncoder().metaphone("CHARACTER"));
    assertEquals("TX", this.getStringEncoder().metaphone("TEACH"));
}</t>
  </si>
  <si>
    <t>@Test
public void testDiscardOfSCEOrSCIOrSCY() {
    assertEquals("SNS", this.getStringEncoder().metaphone("SCIENCE"));
    assertEquals("SN", this.getStringEncoder().metaphone("SCENE"));
    assertEquals("S", this.getStringEncoder().metaphone("SCY"));
}
@Test
public void testDiscardOfSilentHAfterG() {
    assertEquals("KNT", this.getStringEncoder().metaphone("GHENT"));
    assertEquals("B", this.getStringEncoder().metaphone("BAUGH"));
}</t>
  </si>
  <si>
    <t>@Test
public void testDiscardOfSCEOrSCIOrSCY() {
    assertEquals("SNS", this.getStringEncoder().metaphone("SCIENCE"));
    assertEquals("SN", this.getStringEncoder().metaphone("SCENE"));
    assertEquals("S", this.getStringEncoder().metaphone("SCY"));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</si>
  <si>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testDiscardOfSCEOrSCIOrSCY() {
    assertEquals("SNS", this.getStringEncoder().metaphone("SCIENCE"));
    assertEquals("SN", this.getStringEncoder().metaphone("SCENE"));
    assertEquals("S", this.getStringEncoder().metaphone("SCY"));
}
@Test
public void testTIOAndTIAToX() {
    assertEquals("OX", this.getStringEncoder().metaphone("OTIA"));
    assertEquals("PRXN", this.getStringEncoder().metaphone("PORTION"));
}</t>
  </si>
  <si>
    <t>@Test
public void testDiscardOfSCEOrSCIOrSCY() {
    assertEquals("SNS", this.getStringEncoder().metaphone("SCIENCE"));
    assertEquals("SN", this.getStringEncoder().metaphone("SCENE"));
    assertEquals("S", this.getStringEncoder().metaphone("SCY"));
}
@Test
public void testTCH() {
    assertEquals("RX", this.getStringEncoder().metaphone("RETCH"));
    assertEquals("WX", this.getStringEncoder().metaphone("WATCH"));
}</t>
  </si>
  <si>
    <t>@Test
public void testDiscardOfSCEOrSCIOrSCY() {
    assertEquals("SNS", this.getStringEncoder().metaphone("SCIENCE"));
    assertEquals("SN", this.getStringEncoder().metaphone("SCENE"));
    assertEquals("S", this.getStringEncoder().metaphone("SCY"));
}
@Test
public void testExceedLength() {
    // should be AKSKS, but is truncated by Max Code Length
    assertEquals("AKSK", this.getStringEncoder().metaphone("AXEAXE"));
}</t>
  </si>
  <si>
    <t>@Test
public void testDiscardOfSCEOrSCIOrSCY() {
    assertEquals("SNS", this.getStringEncoder().metaphone("SCIENCE"));
    assertEquals("SN", this.getStringEncoder().metaphone("SCENE"));
    assertEquals("S", this.getStringEncoder().metaphone("SCY"));
}
@Test
public void testWordsWithCIA() {
    assertEquals("XP", this.getStringEncoder().metaphone("CIAPO"));
}</t>
  </si>
  <si>
    <t>@Test
public void testDiscardOfSCEOrSCIOrSCY() {
    assertEquals("SNS", this.getStringEncoder().metaphone("SCIENCE"));
    assertEquals("SN", this.getStringEncoder().metaphone("SCENE"));
    assertEquals("S", this.getStringEncoder().metaphone("SCY"));
}
@Test
public void testPHTOF() {
    assertEquals("FX", this.getStringEncoder().metaphone("PHISH"));
}</t>
  </si>
  <si>
    <t>@Test
public void testDiscardOfSCEOrSCIOrSCY() {
    assertEquals("SNS", this.getStringEncoder().metaphone("SCIENCE"));
    assertEquals("SN", this.getStringEncoder().metaphone("SCENE"));
    assertEquals("S", this.getStringEncoder().metaphone("SCY"));
}
/**
 * Tests (CODEC-57) Metaphone.metaphone(String) returns an empty string when passed the word "why"
 */
@Test
public void testWhy() {
    // PHP returns "H". The original metaphone returns an empty string.
    assertEquals("", this.getStringEncoder().metaphone("WHY"));
}</t>
  </si>
  <si>
    <t>/**
 * Tests (CODEC-57) Metaphone.metaphone(String) returns an empty string when passed the word "why"
 */
@Test
public void testWhy() {
    // PHP returns "H". The original metaphone returns an empty string.
    assertEquals("", this.getStringEncoder().metaphone("WHY"));
}
@Test
public void testPHTOF() {
    assertEquals("FX", this.getStringEncoder().metaphone("PHISH"));
}</t>
  </si>
  <si>
    <t>[.getStringEncoder,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</si>
  <si>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testWordsWithCIA() {
    assertEquals("XP", this.getStringEncoder().metaphone("CIAPO"));
}</t>
  </si>
  <si>
    <t>/**
 * Tests (CODEC-57) Metaphone.metaphone(String) returns an empty string when passed the word "why"
 */
@Test
public void testWhy() {
    // PHP returns "H". The original metaphone returns an empty string.
    assertEquals("", this.getStringEncoder().metaphone("WHY"));
}
@Test
public void testExceedLength() {
    // should be AKSKS, but is truncated by Max Code Length
    assertEquals("AKSK", this.getStringEncoder().metaphone("AXEAXE"));
}</t>
  </si>
  <si>
    <t>/**
 * Tests (CODEC-57) Metaphone.metaphone(String) returns an empty string when passed the word "why"
 */
@Test
public void testWhy() {
    // PHP returns "H". The original metaphone returns an empty string.
    assertEquals("", this.getStringEncoder().metaphone("WHY"));
}
@Test
public void testTCH() {
    assertEquals("RX", this.getStringEncoder().metaphone("RETCH"));
    assertEquals("WX", this.getStringEncoder().metaphone("WATCH"));
}</t>
  </si>
  <si>
    <t>[.getStringEncoder, org/apache/commons/codec/language/Metaphone.metaphone]
[.getStringEncoder,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</si>
  <si>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testTIOAndTIAToX() {
    assertEquals("OX", this.getStringEncoder().metaphone("OTIA"));
    assertEquals("PRXN", this.getStringEncoder().metaphone("PORTION"));
}</t>
  </si>
  <si>
    <t>/**
 * Tests (CODEC-57) Metaphone.metaphone(String) returns an empty string when passed the word "why"
 */
@Test
public void testWhy() {
    // PHP returns "H". The original metaphone returns an empty string.
    assertEquals("", this.getStringEncoder().metaphone("WHY"));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</si>
  <si>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
 * Tests (CODEC-57) Metaphone.metaphone(String) returns an empty string when passed the word "why"
 */
@Test
public void testWhy() {
    // PHP returns "H". The original metaphone returns an empty string.
    assertEquals("", this.getStringEncoder().metaphone("WHY"));
}
@Test
public void testDiscardOfSilentHAfterG() {
    assertEquals("KNT", this.getStringEncoder().metaphone("GHENT"));
    assertEquals("B", this.getStringEncoder().metaphone("BAUGH"));
}</t>
  </si>
  <si>
    <t>/**
 * Tests (CODEC-57) Metaphone.metaphone(String) returns an empty string when passed the word "why"
 */
@Test
public void testWhy() {
    // PHP returns "H". The original metaphone returns an empty string.
    assertEquals("", this.getStringEncoder().metaphone("WHY"));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</si>
  <si>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</si>
  <si>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testTranslateToJOfDGEOrDGIOrDGY() {
    assertEquals("TJ", this.getStringEncoder().metaphone("DODGY"));
    assertEquals("TJ", this.getStringEncoder().metaphone("DODGE"));
    assertEquals("AJMT", this.getStringEncoder().metaphone("ADGIEMTI"));
}</t>
  </si>
  <si>
    <t>/**
 * Tests (CODEC-57) Metaphone.metaphone(String) returns an empty string when passed the word "why"
 */
@Test
public void testWhy() {
    // PHP returns "H". The original metaphone returns an empty string.
    assertEquals("", this.getStringEncoder().metaphone("WHY"));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</si>
  <si>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</si>
  <si>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testWordsWithCIA() {
    assertEquals("XP", this.getStringEncoder().metaphone("CIAPO"));
}
@Test
public void testPHTOF() {
    assertEquals("FX", this.getStringEncoder().metaphone("PHISH"));
}</t>
  </si>
  <si>
    <t>@Test
public void testWordsWithCIA() {
    assertEquals("XP", this.getStringEncoder().metaphone("CIAPO"));
}
@Test
public void testExceedLength() {
    // should be AKSKS, but is truncated by Max Code Length
    assertEquals("AKSK", this.getStringEncoder().metaphone("AXEAXE"));
}</t>
  </si>
  <si>
    <t>@Test
public void testWordsWithCIA() {
    assertEquals("XP", this.getStringEncoder().metaphone("CIAPO"));
}
@Test
public void testTCH() {
    assertEquals("RX", this.getStringEncoder().metaphone("RETCH"));
    assertEquals("WX", this.getStringEncoder().metaphone("WATCH"));
}</t>
  </si>
  <si>
    <t>@Test
public void testWordsWithCIA() {
    assertEquals("XP", this.getStringEncoder().metaphone("CIAPO"));
}
@Test
public void testTIOAndTIAToX() {
    assertEquals("OX", this.getStringEncoder().metaphone("OTIA"));
    assertEquals("PRXN", this.getStringEncoder().metaphone("PORTION"));
}</t>
  </si>
  <si>
    <t>@Test
public void testWordsWithCIA() {
    assertEquals("XP", this.getStringEncoder().metaphone("CIAPO"));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</si>
  <si>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testWordsWithCIA() {
    assertEquals("XP", this.getStringEncoder().metaphone("CIAPO"));
}
@Test
public void testDiscardOfSilentHAfterG() {
    assertEquals("KNT", this.getStringEncoder().metaphone("GHENT"));
    assertEquals("B", this.getStringEncoder().metaphone("BAUGH"));
}</t>
  </si>
  <si>
    <t>@Test
public void testWordsWithCIA() {
    assertEquals("XP", this.getStringEncoder().metaphone("CIAPO"));
}
@Test
public void testSHAndSIOAndSIAToX() {
    assertEquals("XT", this.getStringEncoder().metaphone("SHOT"));
    assertEquals("OTXN", this.getStringEncoder().metaphone("ODSIAN"));
    assertEquals("PLXN", this.getStringEncoder().metaphone("PULSION"));
}</t>
  </si>
  <si>
    <t>@Test
public void testWordsWithCIA() {
    assertEquals("XP", this.getStringEncoder().metaphone("CIAPO"));
}
@Test
public void testTranslateToJOfDGEOrDGIOrDGY() {
    assertEquals("TJ", this.getStringEncoder().metaphone("DODGY"));
    assertEquals("TJ", this.getStringEncoder().metaphone("DODGE"));
    assertEquals("AJMT", this.getStringEncoder().metaphone("ADGIEMTI"));
}</t>
  </si>
  <si>
    <t>@Test
public void testWordsWithCIA() {
    assertEquals("XP", this.getStringEncoder().metaphone("CIAPO"));
}
@Test
public void testTranslateOfSCHAndCH() {
    assertEquals("SKTL", this.getStringEncoder().metaphone("SCHEDULE"));
    assertEquals("SKMT", this.getStringEncoder().metaphone("SCHEMATIC"));
    assertEquals("KRKT", this.getStringEncoder().metaphone("CHARACTER"));
    assertEquals("TX", this.getStringEncoder().metaphone("TEACH"));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</si>
  <si>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testTranslateToJOfDGEOrDGIOrDGY() {
    assertEquals("TJ", this.getStringEncoder().metaphone("DODGY"));
    assertEquals("TJ", this.getStringEncoder().metaphone("DODGE"));
    assertEquals("AJMT", this.getStringEncoder().metaphone("ADGIEMTI"));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</si>
  <si>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</si>
  <si>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testSHAndSIOAndSIAToX() {
    assertEquals("XT", this.getStringEncoder().metaphone("SHOT"));
    assertEquals("OTXN", this.getStringEncoder().metaphone("ODSIAN"));
    assertEquals("PLXN", this.getStringEncoder().metaphone("PULSION"));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</si>
  <si>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</si>
  <si>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</si>
  <si>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</si>
  <si>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testTIOAndTIAToX() {
    assertEquals("OX", this.getStringEncoder().metaphone("OTIA"));
    assertEquals("PRXN", this.getStringEncoder().metaphone("PORTION"));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</si>
  <si>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testTCH() {
    assertEquals("RX", this.getStringEncoder().metaphone("RETCH"));
    assertEquals("WX", this.getStringEncoder().metaphone("WATCH"));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</si>
  <si>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</si>
  <si>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</si>
  <si>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testPHTOF() {
    assertEquals("FX", this.getStringEncoder().metaphone("PHISH"));
}</t>
  </si>
  <si>
    <t>@Test
public void testTranslateToJOfDGEOrDGIOrDGY() {
    assertEquals("TJ", this.getStringEncoder().metaphone("DODGY"));
    assertEquals("TJ", this.getStringEncoder().metaphone("DODGE"));
    assertEquals("AJMT", this.getStringEncoder().metaphone("ADGIEMTI"));
}
@Test
public void testSHAndSIOAndSIAToX() {
    assertEquals("XT", this.getStringEncoder().metaphone("SHOT"));
    assertEquals("OTXN", this.getStringEncoder().metaphone("ODSIAN"));
    assertEquals("PLXN", this.getStringEncoder().metaphone("PULSION"));
}</t>
  </si>
  <si>
    <t>@Test
public void testTranslateToJOfDGEOrDGIOrDGY() {
    assertEquals("TJ", this.getStringEncoder().metaphone("DODGY"));
    assertEquals("TJ", this.getStringEncoder().metaphone("DODGE"));
    assertEquals("AJMT", this.getStringEncoder().metaphone("ADGIEMTI"));
}
@Test
public void testDiscardOfSilentHAfterG() {
    assertEquals("KNT", this.getStringEncoder().metaphone("GHENT"));
    assertEquals("B", this.getStringEncoder().metaphone("BAUGH"));
}</t>
  </si>
  <si>
    <t>@Test
public void testTranslateToJOfDGEOrDGIOrDGY() {
    assertEquals("TJ", this.getStringEncoder().metaphone("DODGY"));
    assertEquals("TJ", this.getStringEncoder().metaphone("DODGE"));
    assertEquals("AJMT", this.getStringEncoder().metaphone("ADGIEMTI"));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</si>
  <si>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testTranslateToJOfDGEOrDGIOrDGY() {
    assertEquals("TJ", this.getStringEncoder().metaphone("DODGY"));
    assertEquals("TJ", this.getStringEncoder().metaphone("DODGE"));
    assertEquals("AJMT", this.getStringEncoder().metaphone("ADGIEMTI"));
}
@Test
public void testTIOAndTIAToX() {
    assertEquals("OX", this.getStringEncoder().metaphone("OTIA"));
    assertEquals("PRXN", this.getStringEncoder().metaphone("PORTION"));
}</t>
  </si>
  <si>
    <t>@Test
public void testTranslateToJOfDGEOrDGIOrDGY() {
    assertEquals("TJ", this.getStringEncoder().metaphone("DODGY"));
    assertEquals("TJ", this.getStringEncoder().metaphone("DODGE"));
    assertEquals("AJMT", this.getStringEncoder().metaphone("ADGIEMTI"));
}
@Test
public void testTCH() {
    assertEquals("RX", this.getStringEncoder().metaphone("RETCH"));
    assertEquals("WX", this.getStringEncoder().metaphone("WATCH"));
}</t>
  </si>
  <si>
    <t>@Test
public void testTranslateToJOfDGEOrDGIOrDGY() {
    assertEquals("TJ", this.getStringEncoder().metaphone("DODGY"));
    assertEquals("TJ", this.getStringEncoder().metaphone("DODGE"));
    assertEquals("AJMT", this.getStringEncoder().metaphone("ADGIEMTI"));
}
@Test
public void testExceedLength() {
    // should be AKSKS, but is truncated by Max Code Length
    assertEquals("AKSK", this.getStringEncoder().metaphone("AXEAXE"));
}</t>
  </si>
  <si>
    <t>@Test
public void testTranslateToJOfDGEOrDGIOrDGY() {
    assertEquals("TJ", this.getStringEncoder().metaphone("DODGY"));
    assertEquals("TJ", this.getStringEncoder().metaphone("DODGE"));
    assertEquals("AJMT", this.getStringEncoder().metaphone("ADGIEMTI"));
}
@Test
public void testPHTOF() {
    assertEquals("FX", this.getStringEncoder().metaphone("PHISH"));
}</t>
  </si>
  <si>
    <t>@Test
public void testDiscardOfSilentHAfterG() {
    assertEquals("KNT", this.getStringEncoder().metaphone("GHENT"));
    assertEquals("B", this.getStringEncoder().metaphone("BAUGH"));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</si>
  <si>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</si>
  <si>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testTIOAndTIAToX() {
    assertEquals("OX", this.getStringEncoder().metaphone("OTIA"));
    assertEquals("PRXN", this.getStringEncoder().metaphone("PORTION"));
}</t>
  </si>
  <si>
    <t>@Test
public void testDiscardOfSilentHAfterG() {
    assertEquals("KNT", this.getStringEncoder().metaphone("GHENT"));
    assertEquals("B", this.getStringEncoder().metaphone("BAUGH"));
}
@Test
public void testTCH() {
    assertEquals("RX", this.getStringEncoder().metaphone("RETCH"));
    assertEquals("WX", this.getStringEncoder().metaphone("WATCH"));
}</t>
  </si>
  <si>
    <t>@Test
public void testDiscardOfSilentHAfterG() {
    assertEquals("KNT", this.getStringEncoder().metaphone("GHENT"));
    assertEquals("B", this.getStringEncoder().metaphone("BAUGH"));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</si>
  <si>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</si>
  <si>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</si>
  <si>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</si>
  <si>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testPHTOF() {
    assertEquals("FX", this.getStringEncoder().metaphone("PHISH"));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</si>
  <si>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testTIOAndTIAToX() {
    assertEquals("OX", this.getStringEncoder().metaphone("OTIA"));
    assertEquals("PRXN", this.getStringEncoder().metaphone("PORTION"));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</si>
  <si>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testTCH() {
    assertEquals("RX", this.getStringEncoder().metaphone("RETCH"));
    assertEquals("WX", this.getStringEncoder().metaphone("WATCH"));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</si>
  <si>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testSHAndSIOAndSIAToX() {
    assertEquals("XT", this.getStringEncoder().metaphone("SHOT"));
    assertEquals("OTXN", this.getStringEncoder().metaphone("ODSIAN"));
    assertEquals("PLXN", this.getStringEncoder().metaphone("PULSION"));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</si>
  <si>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testExceedLength() {
    // should be AKSKS, but is truncated by Max Code Length
    assertEquals("AKSK", this.getStringEncoder().metaphone("AXEAXE"));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</si>
  <si>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testPHTOF() {
    assertEquals("FX", this.getStringEncoder().metaphone("PHISH"));
}</t>
  </si>
  <si>
    <t>@Test
public void testPHTOF() {
    assertEquals("FX", this.getStringEncoder().metaphone("PHISH"));
}
@Test
public void testExceedLength() {
    // should be AKSKS, but is truncated by Max Code Length
    assertEquals("AKSK", this.getStringEncoder().metaphone("AXEAXE"));
}</t>
  </si>
  <si>
    <t>@Test
public void testPHTOF() {
    assertEquals("FX", this.getStringEncoder().metaphone("PHISH"));
}
@Test
public void testTCH() {
    assertEquals("RX", this.getStringEncoder().metaphone("RETCH"));
    assertEquals("WX", this.getStringEncoder().metaphone("WATCH"));
}</t>
  </si>
  <si>
    <t>@Test
public void testPHTOF() {
    assertEquals("FX", this.getStringEncoder().metaphone("PHISH"));
}
@Test
public void testTIOAndTIAToX() {
    assertEquals("OX", this.getStringEncoder().metaphone("OTIA"));
    assertEquals("PRXN", this.getStringEncoder().metaphone("PORTION"));
}</t>
  </si>
  <si>
    <t>@Test
public void testPHTOF() {
    assertEquals("FX", this.getStringEncoder().metaphone("PHISH"));
}
@Test
public void testSHAndSIOAndSIAToX() {
    assertEquals("XT", this.getStringEncoder().metaphone("SHOT"));
    assertEquals("OTXN", this.getStringEncoder().metaphone("ODSIAN"));
    assertEquals("PLXN", this.getStringEncoder().metaphone("PULSION"));
}</t>
  </si>
  <si>
    <t>@Test
public void testSHAndSIOAndSIAToX() {
    assertEquals("XT", this.getStringEncoder().metaphone("SHOT"));
    assertEquals("OTXN", this.getStringEncoder().metaphone("ODSIAN"));
    assertEquals("PLXN", this.getStringEncoder().metaphone("PULSION"));
}
@Test
public void testTIOAndTIAToX() {
    assertEquals("OX", this.getStringEncoder().metaphone("OTIA"));
    assertEquals("PRXN", this.getStringEncoder().metaphone("PORTION"));
}</t>
  </si>
  <si>
    <t>@Test
public void testSHAndSIOAndSIAToX() {
    assertEquals("XT", this.getStringEncoder().metaphone("SHOT"));
    assertEquals("OTXN", this.getStringEncoder().metaphone("ODSIAN"));
    assertEquals("PLXN", this.getStringEncoder().metaphone("PULSION"));
}
@Test
public void testTCH() {
    assertEquals("RX", this.getStringEncoder().metaphone("RETCH"));
    assertEquals("WX", this.getStringEncoder().metaphone("WATCH"));
}</t>
  </si>
  <si>
    <t>@Test
public void testSHAndSIOAndSIAToX() {
    assertEquals("XT", this.getStringEncoder().metaphone("SHOT"));
    assertEquals("OTXN", this.getStringEncoder().metaphone("ODSIAN"));
    assertEquals("PLXN", this.getStringEncoder().metaphone("PULSION"));
}
@Test
public void testExceedLength() {
    // should be AKSKS, but is truncated by Max Code Length
    assertEquals("AKSK", this.getStringEncoder().metaphone("AXEAXE"));
}</t>
  </si>
  <si>
    <t>@Test
public void testTIOAndTIAToX() {
    assertEquals("OX", this.getStringEncoder().metaphone("OTIA"));
    assertEquals("PRXN", this.getStringEncoder().metaphone("PORTION"));
}
@Test
public void testTCH() {
    assertEquals("RX", this.getStringEncoder().metaphone("RETCH"));
    assertEquals("WX", this.getStringEncoder().metaphone("WATCH"));
}</t>
  </si>
  <si>
    <t>@Test
public void testTIOAndTIAToX() {
    assertEquals("OX", this.getStringEncoder().metaphone("OTIA"));
    assertEquals("PRXN", this.getStringEncoder().metaphone("PORTION"));
}
@Test
public void testExceedLength() {
    // should be AKSKS, but is truncated by Max Code Length
    assertEquals("AKSK", this.getStringEncoder().metaphone("AXEAXE"));
}</t>
  </si>
  <si>
    <t>@Test
public void testTCH() {
    assertEquals("RX", this.getStringEncoder().metaphone("RETCH"));
    assertEquals("WX", this.getStringEncoder().metaphone("WATCH"));
}
@Test
public void testExceedLength() {
    // should be AKSKS, but is truncated by Max Code Length
    assertEquals("AKSK", this.getStringEncoder().metaphone("AXEAXE"));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</si>
  <si>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BaseNTestData.DECODED;
    testByChunk(encoded, decoded, BaseNCodec.PEM_CHUNK_SIZE, LF);
    // Single Line test.
    final String singleLine = Base64TestData.ENCODED_64_CHARS_PER_LINE.replace("\n", "");
    encoded = StringUtils.getBytesUtf8(singleLine);
    decoded = BaseNTestData.DECODED;
    testByChunk(encoded, decoded, 0, LF);
    // test random data of sizes 0 through 150
    final BaseNCodec codec = new Base64(0, null, false);
    for (int i = 0; i &lt;= 150; i++) {
        final byte[][] randomData = BaseNTestData.randomData(codec, i);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BaseNTestData.DECODED;
    testByteByByte(encoded, decoded, BaseNCodec.PEM_CHUNK_SIZE, LF);
    // Single Line test.
    final String singleLine = Base64TestData.ENCODED_64_CHARS_PER_LINE.replace("\n", "");
    encoded = StringUtils.getBytesUtf8(singleLine);
    decoded = BaseNTestData.DECODED;
    testByteByByte(encoded, decoded, 0, LF);
    // test random data of sizes 0 through 150
    final BaseNCodec codec = new Base64(0, null, false);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</si>
  <si>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 org/apache/commons/codec/binary/StringUtils.getBytesUtf8, .testByChunk, org/apache/commons/codec/binary/Base64."&lt;init&gt;",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 org/apache/commons/codec/binary/StringUtils.getBytesUtf8, .testByteByByte, org/apache/commons/codec/binary/Base64."&lt;init&gt;", org/apache/commons/codec/binary/BaseNTestData.randomData, .testByteByByte]</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</si>
  <si>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assertFalse(in.markSupported(), "Base64InputStream.markSupported() is false");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</si>
  <si>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org/apache/commons/codec/binary/Base64InputStream.markSupported,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</si>
  <si>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org/apache/commons/codec/binary/Base64InputStream.markSupported]</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</si>
  <si>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assertFalse(in.markSupported(), "Base64InputStream.markSupported() is false");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</si>
  <si>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</si>
  <si>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</si>
  <si>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</si>
  <si>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</si>
  <si>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</si>
  <si>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 BEGIN REGION - TEST SUPPORT METHODS
@Test
public final void testAccentRemoval_AllLower_SuccessfullyRemoved() {
    assertEquals("aeiou", this.getStringEncoder().removeAccents("áéíóú"));
}
@Test
public final void testAccentRemoval_GerSpanFrenMix_SuccessfullyRemoved() {
    assertEquals("aeoußAEOUnNa", this.getStringEncoder().removeAccents("äëöüßÄËÖÜñÑà"));
}</t>
  </si>
  <si>
    <t>// ********** BEGIN REGION - TEST SUPPORT METHODS
@Test
public final void testAccentRemoval_AllLower_SuccessfullyRemoved() {
    assertEquals("aeiou", this.getStringEncoder().removeAccents("áéíóú"));
}
@Test
public final void testAccentRemoval_UpperAndLower_SuccessfullyRemovedAndCaseInvariant() {
    assertEquals("AeiOuu", this.getStringEncoder().removeAccents("ÁeíÓuu"));
}</t>
  </si>
  <si>
    <t>// ********** BEGIN REGION - TEST SUPPORT METHODS
@Test
public final void testAccentRemoval_AllLower_SuccessfullyRemoved() {
    assertEquals("aeiou", this.getStringEncoder().removeAccents("áéíóú"));
}
@Test
public final void testAccentRemoval_ComprehensiveAccentMix_AllSuccessfullyRemoved() {
    assertEquals("E,E,E,E,U,U,I,I,A,A,O,e,e,e,e,u,u,i,i,a,a,o,c", this.getStringEncoder().removeAccents("È,É,Ê,Ë,Û,Ù,Ï,Î,À,Â,Ô,è,é,ê,ë,û,ù,ï,î,à,â,ô,ç"));
}</t>
  </si>
  <si>
    <t>// ********** BEGIN REGION - TEST SUPPORT METHODS
@Test
public final void testAccentRemoval_AllLower_SuccessfullyRemoved() {
    assertEquals("aeiou", this.getStringEncoder().removeAccents("áéíóú"));
}
@Test
public final void testAccentRemoval_WithSpaces_SuccessfullyRemovedAndSpacesInvariant() {
    assertEquals("ae io  u", this.getStringEncoder().removeAccents("áé íó  ú"));
}</t>
  </si>
  <si>
    <t>// ********** BEGIN REGION - TEST SUPPORT METHODS
@Test
public final void testAccentRemoval_AllLower_SuccessfullyRemoved() {
    assertEquals("aeiou", this.getStringEncoder().removeAccents("áéíóú"));
}
@Test
public final void testAccentRemovalNormalString_NoChange() {
    assertEquals("Colorless green ideas sleep furiously", this.getStringEncoder().removeAccents("Colorless green ideas sleep furiously"));
}</t>
  </si>
  <si>
    <t>// ********** BEGIN REGION - TEST SUPPORT METHODS
@Test
public final void testAccentRemoval_AllLower_SuccessfullyRemoved() {
    assertEquals("aeiou", this.getStringEncoder().removeAccents("áéíóú"));
}
@Test
public final void testAccentRemoval_NINO_NoChange() {
    assertEquals("", this.getStringEncoder().removeAccents(""));
}</t>
  </si>
  <si>
    <t>// ********** BEGIN REGION - TEST SUPPORT METHODS
@Test
public final void testAccentRemoval_AllLower_SuccessfullyRemoved() {
    assertEquals("aeiou", this.getStringEncoder().removeAccents("áéíóú"));
}
@Test
public final void testAccentRemoval_NullValue_ReturnNullSuccessfully() {
    assertNull(this.getStringEncoder().removeAccents(null));
}</t>
  </si>
  <si>
    <t>// ********** BEGIN REGION - TEST SUPPORT METHODS
@Test
public final void testAccentRemoval_AllLower_SuccessfullyRemoved() {
    assertEquals("aeiou", this.getStringEncoder().removeAccents("áéíóú"));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</si>
  <si>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assertEquals("ae io  u", this.getStringEncoder().removeAccents("áé íó  ú"));
}
@Test
public final void testAccentRemoval_GerSpanFrenMix_SuccessfullyRemoved() {
    assertEquals("aeoußAEOUnNa", this.getStringEncoder().removeAccents("äëöüßÄËÖÜñÑà"));
}</t>
  </si>
  <si>
    <t>@Test
public final void testAccentRemoval_WithSpaces_SuccessfullyRemovedAndSpacesInvariant() {
    assertEquals("ae io  u", this.getStringEncoder().removeAccents("áé íó  ú"));
}
@Test
public final void testAccentRemoval_ComprehensiveAccentMix_AllSuccessfullyRemoved() {
    assertEquals("E,E,E,E,U,U,I,I,A,A,O,e,e,e,e,u,u,i,i,a,a,o,c", this.getStringEncoder().removeAccents("È,É,Ê,Ë,Û,Ù,Ï,Î,À,Â,Ô,è,é,ê,ë,û,ù,ï,î,à,â,ô,ç"));
}</t>
  </si>
  <si>
    <t>@Test
public final void testAccentRemoval_WithSpaces_SuccessfullyRemovedAndSpacesInvariant() {
    assertEquals("ae io  u", this.getStringEncoder().removeAccents("áé íó  ú"));
}
@Test
public final void testAccentRemovalNormalString_NoChange() {
    assertEquals("Colorless green ideas sleep furiously", this.getStringEncoder().removeAccents("Colorless green ideas sleep furiously"));
}</t>
  </si>
  <si>
    <t>@Test
public final void testAccentRemoval_WithSpaces_SuccessfullyRemovedAndSpacesInvariant() {
    assertEquals("ae io  u", this.getStringEncoder().removeAccents("áé íó  ú"));
}
@Test
public final void testAccentRemoval_NINO_NoChange() {
    assertEquals("", this.getStringEncoder().removeAccents(""));
}</t>
  </si>
  <si>
    <t>@Test
public final void testAccentRemoval_WithSpaces_SuccessfullyRemovedAndSpacesInvariant() {
    assertEquals("ae io  u", this.getStringEncoder().removeAccents("áé íó  ú"));
}
@Test
public final void testAccentRemoval_NullValue_ReturnNullSuccessfully() {
    assertNull(this.getStringEncoder().removeAccents(null));
}</t>
  </si>
  <si>
    <t>@Test
public final void testAccentRemoval_UpperAndLower_SuccessfullyRemovedAndCaseInvariant() {
    assertEquals("AeiOuu", this.getStringEncoder().removeAccents("ÁeíÓuu"));
}
@Test
public final void testAccentRemoval_GerSpanFrenMix_SuccessfullyRemoved() {
    assertEquals("aeoußAEOUnNa", this.getStringEncoder().removeAccents("äëöüßÄËÖÜñÑà"));
}</t>
  </si>
  <si>
    <t>@Test
public final void testAccentRemoval_UpperAndLower_SuccessfullyRemovedAndCaseInvariant() {
    assertEquals("AeiOuu", this.getStringEncoder().removeAccents("ÁeíÓuu"));
}
@Test
public final void testAccentRemoval_ComprehensiveAccentMix_AllSuccessfullyRemoved() {
    assertEquals("E,E,E,E,U,U,I,I,A,A,O,e,e,e,e,u,u,i,i,a,a,o,c", this.getStringEncoder().removeAccents("È,É,Ê,Ë,Û,Ù,Ï,Î,À,Â,Ô,è,é,ê,ë,û,ù,ï,î,à,â,ô,ç"));
}</t>
  </si>
  <si>
    <t>@Test
public final void testAccentRemoval_UpperAndLower_SuccessfullyRemovedAndCaseInvariant() {
    assertEquals("AeiOuu", this.getStringEncoder().removeAccents("ÁeíÓuu"));
}
@Test
public final void testAccentRemovalNormalString_NoChange() {
    assertEquals("Colorless green ideas sleep furiously", this.getStringEncoder().removeAccents("Colorless green ideas sleep furiously"));
}</t>
  </si>
  <si>
    <t>@Test
public final void testAccentRemoval_UpperAndLower_SuccessfullyRemovedAndCaseInvariant() {
    assertEquals("AeiOuu", this.getStringEncoder().removeAccents("ÁeíÓuu"));
}
@Test
public final void testAccentRemoval_NINO_NoChange() {
    assertEquals("", this.getStringEncoder().removeAccents(""));
}</t>
  </si>
  <si>
    <t>@Test
public final void testAccentRemoval_UpperAndLower_SuccessfullyRemovedAndCaseInvariant() {
    assertEquals("AeiOuu", this.getStringEncoder().removeAccents("ÁeíÓuu"));
}
@Test
public final void testAccentRemoval_NullValue_ReturnNullSuccessfully() {
    assertNull(this.getStringEncoder().removeAccents(null));
}</t>
  </si>
  <si>
    <t>@Test
public final void testAccentRemoval_MixedWithUnusualChars_SuccessfullyRemovedAndUnusualCharactersInvariant() {
    assertEquals("A-e'i.,o&amp;u", this.getStringEncoder().removeAccents("Á-e'í.,ó&amp;ú"));
}
@Test
public final void testAccentRemoval_GerSpanFrenMix_SuccessfullyRemoved() {
    assertEquals("aeoußAEOUnNa", this.getStringEncoder().removeAccents("äëöüßÄËÖÜñÑà"));
}</t>
  </si>
  <si>
    <t>@Test
public final void testAccentRemoval_MixedWithUnusualChars_SuccessfullyRemovedAndUnusualCharactersInvariant() {
    assertEquals("A-e'i.,o&amp;u", this.getStringEncoder().removeAccents("Á-e'í.,ó&amp;ú"));
}
@Test
public final void testAccentRemoval_ComprehensiveAccentMix_AllSuccessfullyRemoved() {
    assertEquals("E,E,E,E,U,U,I,I,A,A,O,e,e,e,e,u,u,i,i,a,a,o,c", this.getStringEncoder().removeAccents("È,É,Ê,Ë,Û,Ù,Ï,Î,À,Â,Ô,è,é,ê,ë,û,ù,ï,î,à,â,ô,ç"));
}</t>
  </si>
  <si>
    <t>@Test
public final void testAccentRemoval_MixedWithUnusualChars_SuccessfullyRemovedAndUnusualCharactersInvariant() {
    assertEquals("A-e'i.,o&amp;u", this.getStringEncoder().removeAccents("Á-e'í.,ó&amp;ú"));
}
@Test
public final void testAccentRemovalNormalString_NoChange() {
    assertEquals("Colorless green ideas sleep furiously", this.getStringEncoder().removeAccents("Colorless green ideas sleep furiously"));
}</t>
  </si>
  <si>
    <t>@Test
public final void testAccentRemoval_MixedWithUnusualChars_SuccessfullyRemovedAndUnusualCharactersInvariant() {
    assertEquals("A-e'i.,o&amp;u", this.getStringEncoder().removeAccents("Á-e'í.,ó&amp;ú"));
}
@Test
public final void testAccentRemoval_NINO_NoChange() {
    assertEquals("", this.getStringEncoder().removeAccents(""));
}</t>
  </si>
  <si>
    <t>@Test
public final void testAccentRemoval_MixedWithUnusualChars_SuccessfullyRemovedAndUnusualCharactersInvariant() {
    assertEquals("A-e'i.,o&amp;u", this.getStringEncoder().removeAccents("Á-e'í.,ó&amp;ú"));
}
@Test
public final void testAccentRemoval_NullValue_ReturnNullSuccessfully() {
    assertNull(this.getStringEncoder().removeAccents(null));
}</t>
  </si>
  <si>
    <t>@Test
public final void testAccentRemoval_GerSpanFrenMix_SuccessfullyRemoved() {
    assertEquals("aeoußAEOUnNa", this.getStringEncoder().removeAccents("äëöüßÄËÖÜñÑà"));
}
@Test
public final void testAccentRemoval_ComprehensiveAccentMix_AllSuccessfullyRemoved() {
    assertEquals("E,E,E,E,U,U,I,I,A,A,O,e,e,e,e,u,u,i,i,a,a,o,c", this.getStringEncoder().removeAccents("È,É,Ê,Ë,Û,Ù,Ï,Î,À,Â,Ô,è,é,ê,ë,û,ù,ï,î,à,â,ô,ç"));
}</t>
  </si>
  <si>
    <t>@Test
public final void testAccentRemoval_GerSpanFrenMix_SuccessfullyRemoved() {
    assertEquals("aeoußAEOUnNa", this.getStringEncoder().removeAccents("äëöüßÄËÖÜñÑà"));
}
@Test
public final void testAccentRemovalNormalString_NoChange() {
    assertEquals("Colorless green ideas sleep furiously", this.getStringEncoder().removeAccents("Colorless green ideas sleep furiously"));
}</t>
  </si>
  <si>
    <t>@Test
public final void testAccentRemoval_GerSpanFrenMix_SuccessfullyRemoved() {
    assertEquals("aeoußAEOUnNa", this.getStringEncoder().removeAccents("äëöüßÄËÖÜñÑà"));
}
@Test
public final void testAccentRemoval_NINO_NoChange() {
    assertEquals("", this.getStringEncoder().removeAccents(""));
}</t>
  </si>
  <si>
    <t>@Test
public final void testAccentRemoval_GerSpanFrenMix_SuccessfullyRemoved() {
    assertEquals("aeoußAEOUnNa", this.getStringEncoder().removeAccents("äëöüßÄËÖÜñÑà"));
}
@Test
public final void testAccentRemoval_NullValue_ReturnNullSuccessfully() {
    assertNull(this.getStringEncoder().removeAccents(null));
}</t>
  </si>
  <si>
    <t>@Test
public final void testAccentRemoval_ComprehensiveAccentMix_AllSuccessfullyRemoved() {
    assertEquals("E,E,E,E,U,U,I,I,A,A,O,e,e,e,e,u,u,i,i,a,a,o,c", this.getStringEncoder().removeAccents("È,É,Ê,Ë,Û,Ù,Ï,Î,À,Â,Ô,è,é,ê,ë,û,ù,ï,î,à,â,ô,ç"));
}
@Test
public final void testAccentRemoval_NullValue_ReturnNullSuccessfully() {
    assertNull(this.getStringEncoder().removeAccents(null));
}</t>
  </si>
  <si>
    <t>@Test
public final void testAccentRemoval_ComprehensiveAccentMix_AllSuccessfullyRemoved() {
    assertEquals("E,E,E,E,U,U,I,I,A,A,O,e,e,e,e,u,u,i,i,a,a,o,c", this.getStringEncoder().removeAccents("È,É,Ê,Ë,Û,Ù,Ï,Î,À,Â,Ô,è,é,ê,ë,û,ù,ï,î,à,â,ô,ç"));
}
@Test
public final void testAccentRemovalNormalString_NoChange() {
    assertEquals("Colorless green ideas sleep furiously", this.getStringEncoder().removeAccents("Colorless green ideas sleep furiously"));
}</t>
  </si>
  <si>
    <t>@Test
public final void testAccentRemoval_ComprehensiveAccentMix_AllSuccessfullyRemoved() {
    assertEquals("E,E,E,E,U,U,I,I,A,A,O,e,e,e,e,u,u,i,i,a,a,o,c", this.getStringEncoder().removeAccents("È,É,Ê,Ë,Û,Ù,Ï,Î,À,Â,Ô,è,é,ê,ë,û,ù,ï,î,à,â,ô,ç"));
}
@Test
public final void testAccentRemoval_NINO_NoChange() {
    assertEquals("", this.getStringEncoder().removeAccents(""));
}</t>
  </si>
  <si>
    <t>@Test
public final void testAccentRemovalNormalString_NoChange() {
    assertEquals("Colorless green ideas sleep furiously", this.getStringEncoder().removeAccents("Colorless green ideas sleep furiously"));
}
@Test
public final void testAccentRemoval_NINO_NoChange() {
    assertEquals("", this.getStringEncoder().removeAccents(""));
}</t>
  </si>
  <si>
    <t>@Test
public final void testAccentRemovalNormalString_NoChange() {
    assertEquals("Colorless green ideas sleep furiously", this.getStringEncoder().removeAccents("Colorless green ideas sleep furiously"));
}
@Test
public final void testAccentRemoval_NullValue_ReturnNullSuccessfully() {
    assertNull(this.getStringEncoder().removeAccents(null));
}</t>
  </si>
  <si>
    <t>@Test
public final void testAccentRemoval_NINO_NoChange() {
    assertEquals("", this.getStringEncoder().removeAccents(""));
}
@Test
public final void testAccentRemoval_NullValue_ReturnNullSuccessfully() {
    assertNull(this.getStringEncoder().removeAccents(null));
}</t>
  </si>
  <si>
    <t>@Test
public final void testRemoveSingleDoubleConsonants_BUBLE_RemovedSuccessfully() {
    assertEquals("BUBLE", this.getStringEncoder().removeDoubleConsonants("BUBBLE"));
}
@Test
public final void testRemoveDoubleConsonants_MISSISSIPPI_RemovedSuccessfully() {
    assertEquals("MISISIPI", this.getStringEncoder().removeDoubleConsonants("MISSISSIPPI"));
}</t>
  </si>
  <si>
    <t>[.getStringEncoder, org/apache/commons/codec/language/MatchRatingApproachEncoder.removeDoubleConsonants]
[.getStringEncoder, org/apache/commons/codec/language/MatchRatingApproachEncoder.removeDoubleConsonants]</t>
  </si>
  <si>
    <t>@Test
public final void testRemoveSingleDoubleConsonants_BUBLE_RemovedSuccessfully() {
    assertEquals("BUBLE", this.getStringEncoder().removeDoubleConsonants("BUBBLE"));
}
@Test
public final void testRemoveDoubleDoubleVowel_BEETLE_NotRemoved() {
    assertEquals("BEETLE", this.getStringEncoder().removeDoubleConsonants("BEETLE"));
}</t>
  </si>
  <si>
    <t>@Test
public final void testRemoveDoubleConsonants_MISSISSIPPI_RemovedSuccessfully() {
    assertEquals("MISISIPI", this.getStringEncoder().removeDoubleConsonants("MISSISSIPPI"));
}
@Test
public final void testRemoveDoubleDoubleVowel_BEETLE_NotRemoved() {
    assertEquals("BEETLE", this.getStringEncoder().removeDoubleConsonants("BEETLE"));
}</t>
  </si>
  <si>
    <t>@Test
public final void testIsVowel_CapitalA_ReturnsTrue() {
    assertTrue(this.getStringEncoder().isVowel("A"));
}
@Test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</si>
  <si>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</si>
  <si>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testRemoveVowel_ALESSANDRA_Returns_ALSSNDR() {
    assertEquals("ALSSNDR", this.getStringEncoder().removeVowels("ALESSANDRA"));
}
@Test
public final void testRemoveVowel__AIDAN_Returns_ADN() {
    assertEquals("ADN", this.getStringEncoder().removeVowels("AIDAN"));
}</t>
  </si>
  <si>
    <t>[.getStringEncoder, org/apache/commons/codec/language/MatchRatingApproachEncoder.removeVowels]
[.getStringEncoder, org/apache/commons/codec/language/MatchRatingApproachEncoder.removeVowels]</t>
  </si>
  <si>
    <t>@Test
public final void testRemoveVowel_ALESSANDRA_Returns_ALSSNDR() {
    assertEquals("ALSSNDR", this.getStringEncoder().removeVowels("ALESSANDRA"));
}
@Test
public final void testRemoveVowel__DECLAN_Returns_DCLN() {
    assertEquals("DCLN", this.getStringEncoder().removeVowels("DECLAN"));
}</t>
  </si>
  <si>
    <t>@Test
public final void testRemoveVowel__AIDAN_Returns_ADN() {
    assertEquals("ADN", this.getStringEncoder().removeVowels("AIDAN"));
}
@Test
public final void testRemoveVowel__DECLAN_Returns_DCLN() {
    assertEquals("DCLN", this.getStringEncoder().removeVowels("DECLAN"));
}</t>
  </si>
  <si>
    <t>@Test
public final void testGetFirstLast3__ALEXANDER_Returns_Aleder() {
    assertEquals("Aleder", this.getStringEncoder().getFirst3Last3("Alexzander"));
}
@Test
public final void testGetFirstLast3_PETE_Returns_PETE() {
    assertEquals("PETE", this.getStringEncoder().getFirst3Last3("PETE"));
}</t>
  </si>
  <si>
    <t>[.getStringEncoder, org/apache/commons/codec/language/MatchRatingApproachEncoder.getFirst3Last3]
[.getStringEncoder, org/apache/commons/codec/language/MatchRatingApproachEncoder.getFirst3Last3]</t>
  </si>
  <si>
    <t>@Test
public final void testGetMinRating_7_Return4_Successfully() {
    assertEquals(4, this.getStringEncoder().getMinRating(7));
}
@Test
public final void testGetMinRating_2_Returns5_Successfully() {
    assertEquals(5, this.getStringEncoder().getMinRating(2));
}</t>
  </si>
  <si>
    <t>@Test
public final void testGetMinRating_7_Return4_Successfully() {
    assertEquals(4, this.getStringEncoder().getMinRating(7));
}
@Test
public final void testgetMinRating_5_Returns4_Successfully() {
    assertEquals(4, this.getStringEncoder().getMinRating(5));
}</t>
  </si>
  <si>
    <t>@Test
public final void testGetMinRating_7_Return4_Successfully() {
    assertEquals(4, this.getStringEncoder().getMinRating(7));
}
@Test
public final void testGetMinRating_1_Returns5_Successfully() {
    assertEquals(5, this.getStringEncoder().getMinRating(1));
}</t>
  </si>
  <si>
    <t>@Test
public final void testGetMinRating_7_Return4_Successfully() {
    assertEquals(4, this.getStringEncoder().getMinRating(7));
}
@Test
public final void testgetMinRating_6_Returns4_Successfully() {
    assertEquals(4, this.getStringEncoder().getMinRating(6));
}</t>
  </si>
  <si>
    <t>@Test
public final void testGetMinRating_7_Return4_Successfully() {
    assertEquals(4, this.getStringEncoder().getMinRating(7));
}
@Test
public final void testgetMinRating_5_Returns4_Successfully2() {
    assertEquals(4, this.getStringEncoder().getMinRating(5));
}</t>
  </si>
  <si>
    <t>@Test
public final void testGetMinRating_7_Return4_Successfully() {
    assertEquals(4, this.getStringEncoder().getMinRating(7));
}
@Test
public final void testgetMinRating_8_Returns3_Successfully() {
    assertEquals(3, this.getStringEncoder().getMinRating(8));
}</t>
  </si>
  <si>
    <t>@Test
public final void testGetMinRating_7_Return4_Successfully() {
    assertEquals(4, this.getStringEncoder().getMinRating(7));
}
@Test
public final void testGetMinRating_13_Returns_1_Successfully() {
    assertEquals(1, this.getStringEncoder().getMinRating(13));
}</t>
  </si>
  <si>
    <t>@Test
public final void testGetMinRating_7_Return4_Successfully() {
    assertEquals(4, this.getStringEncoder().getMinRating(7));
}
@Test
public final void testgetMinRating_10_Returns3_Successfully() {
    assertEquals(3, this.getStringEncoder().getMinRating(10));
}</t>
  </si>
  <si>
    <t>@Test
public final void testGetMinRating_7_Return4_Successfully() {
    assertEquals(4, this.getStringEncoder().getMinRating(7));
}
@Test
public final void testgetMinRating_11_Returns_3_Successfully() {
    assertEquals(3, this.getStringEncoder().getMinRating(11));
}</t>
  </si>
  <si>
    <t>@Test
public final void testGetMinRating_1_Returns5_Successfully() {
    assertEquals(5, this.getStringEncoder().getMinRating(1));
}
@Test
public final void testGetMinRating_2_Returns5_Successfully() {
    assertEquals(5, this.getStringEncoder().getMinRating(2));
}</t>
  </si>
  <si>
    <t>@Test
public final void testGetMinRating_2_Returns5_Successfully() {
    assertEquals(5, this.getStringEncoder().getMinRating(2));
}
@Test
public final void testgetMinRating_7_Returns4_Successfully() {
    assertEquals(4, this.getStringEncoder().getMinRating(7));
}</t>
  </si>
  <si>
    <t>@Test
public final void testIsEncodeEquals_CornerCase_SecondNameNothing_ReturnsFalse() {
    assertFalse(this.getStringEncoder().isEncodeEquals("test", ""));
}
@Test
public final void testCompare_SurnamesCornerCase_MURPHY_NoSpace_NoMatch() {
    assertFalse(this.getStringEncoder().isEncodeEquals("Murphy", ""));
}</t>
  </si>
  <si>
    <t>@Test
public final void testIsEncodeEquals_CornerCase_SecondNameNothing_ReturnsFalse() {
    assertFalse(this.getStringEncoder().isEncodeEquals("test", ""));
}
@Test
public final void testCompare_SurnamesCornerCase_MURPHY_Space_NoMatch() {
    assertFalse(this.getStringEncoder().isEncodeEquals("Murphy", " "));
}</t>
  </si>
  <si>
    <t>@Test
public final void testIsEncodeEquals_CornerCase_SecondNameNothing_ReturnsFalse() {
    assertFalse(this.getStringEncoder().isEncodeEquals("test", ""));
}
@Test
public final void testCompare_Forenames_SEAN_PETE_NoMatchExpected() {
    assertFalse(this.getStringEncoder().isEncodeEquals("Sean", "Pete"));
}</t>
  </si>
  <si>
    <t>@Test
public final void testIsEncodeEquals_CornerCase_SecondNameNothing_ReturnsFalse() {
    assertFalse(this.getStringEncoder().isEncodeEquals("test", ""));
}
@Test
public final void testCompare_ShortNames_AL_ED_WorksButNoMatch() {
    assertFalse(this.getStringEncoder().isEncodeEquals("Al", "Ed"));
}</t>
  </si>
  <si>
    <t>@Test
public final void testIsEncodeEquals_CornerCase_SecondNameNothing_ReturnsFalse() {
    assertFalse(this.getStringEncoder().isEncodeEquals("test", ""));
}
@Test
public final void testCompare_Surnames_MURPHY_LYNCH_NoMatchExpected() {
    assertFalse(this.getStringEncoder().isEncodeEquals("Murphy", "Lynch"));
}</t>
  </si>
  <si>
    <t>@Test
public final void testIsEncodeEquals_CornerCase_SecondNameNothing_ReturnsFalse() {
    assertFalse(this.getStringEncoder().isEncodeEquals("test", ""));
}
@Test
public final void testCompare_Forenames_SEAN_JOHN_MatchExpected() {
    assertTrue(this.getStringEncoder().isEncodeEquals("Sean", "John"));
}</t>
  </si>
  <si>
    <t>@Test
public final void testIsEncodeEquals_CornerCase_SecondNameNothing_ReturnsFalse() {
    assertFalse(this.getStringEncoder().isEncodeEquals("test", ""));
}
@Test
public final void testCompare_KARL_ALESSANDRO_DoesNotMatch() {
    assertFalse(this.getStringEncoder().isEncodeEquals("Karl", "Alessandro"));
}</t>
  </si>
  <si>
    <t>@Test
public final void testIsEncodeEquals_CornerCase_SecondNameNothing_ReturnsFalse() {
    assertFalse(this.getStringEncoder().isEncodeEquals("test", ""));
}
@Test
public final void testCompareNameToSingleLetter_KARL_C_DoesNotMatch() {
    assertFalse(this.getStringEncoder().isEncodeEquals("Karl", "C"));
}</t>
  </si>
  <si>
    <t>@Test
public final void testIsEncodeEquals_CornerCase_SecondNameNothing_ReturnsFalse() {
    assertFalse(this.getStringEncoder().isEncodeEquals("test", ""));
}
@Test
public final void testCompare_SurnameCornerCase_Nulls_NoMatch() {
    assertFalse(this.getStringEncoder().isEncodeEquals(null, null));
}</t>
  </si>
  <si>
    <t>@Test
public final void testIsEncodeEquals_CornerCase_SecondNameNothing_ReturnsFalse() {
    assertFalse(this.getStringEncoder().isEncodeEquals("test", ""));
}
@Test
public final void testCompare_Forenames_UNA_OONAGH_ShouldSuccessfullyMatchButDoesNot() {
    // Disappointing
    assertFalse(this.getStringEncoder().isEncodeEquals("Úna", "Oonagh"));
}</t>
  </si>
  <si>
    <t>@Test
public final void testIsEncodeEquals_CornerCase_SecondNameNothing_ReturnsFalse() {
    assertFalse(this.getStringEncoder().isEncodeEquals("test", ""));
}
@Test
public final void testCompare_SEAN_SHAUN_SuccessfullyMatched() {
    assertTrue(this.getStringEncoder().isEncodeEquals("Séan", "Shaun"));
}</t>
  </si>
  <si>
    <t>@Test
public final void testIsEncodeEquals_CornerCase_SecondNameNothing_ReturnsFalse() {
    assertFalse(this.getStringEncoder().isEncodeEquals("test", ""));
}
@Test
public final void testCompare_TOMASZ_TOM_SuccessfullyMatched() {
    assertTrue(this.getStringEncoder().isEncodeEquals("Tomasz", "tom"));
}</t>
  </si>
  <si>
    <t>@Test
public final void testIsEncodeEquals_CornerCase_SecondNameNothing_ReturnsFalse() {
    assertFalse(this.getStringEncoder().isEncodeEquals("test", ""));
}
@Test
public final void testCompare_Surname_HAILEY_HALLEY_SuccessfullyMatched() {
    assertTrue(this.getStringEncoder().isEncodeEquals("Hailey", "Halley"));
}</t>
  </si>
  <si>
    <t>@Test
public final void testIsEncodeEquals_CornerCase_SecondNameNothing_ReturnsFalse() {
    assertFalse(this.getStringEncoder().isEncodeEquals("test", ""));
}
@Test
public final void testCompare_SAM_SAMUEL_SuccessfullyMatched() {
    assertTrue(this.getStringEncoder().isEncodeEquals("Sam", "Samuel"));
}</t>
  </si>
  <si>
    <t>@Test
public final void testIsEncodeEquals_CornerCase_SecondNameNothing_ReturnsFalse() {
    assertFalse(this.getStringEncoder().isEncodeEquals("test", ""));
}
@Test
public final void testCompare_BURNS_BOURNE_SuccessfullyMatched() {
    assertTrue(this.getStringEncoder().isEncodeEquals("Burns", "Bourne"));
}</t>
  </si>
  <si>
    <t>@Test
public final void testIsEncodeEquals_CornerCase_SecondNameNothing_ReturnsFalse() {
    assertFalse(this.getStringEncoder().isEncodeEquals("test", ""));
}
@Test
public final void testCompare_MICKY_MICHAEL_SuccessfullyMatched() {
    assertTrue(this.getStringEncoder().isEncodeEquals("Micky", "Michael"));
}</t>
  </si>
  <si>
    <t>@Test
public final void testIsEncodeEquals_CornerCase_SecondNameNothing_ReturnsFalse() {
    assertFalse(this.getStringEncoder().isEncodeEquals("test", ""));
}
@Test
public final void testCompare_SmallInput_CARK_Kl_SuccessfullyMatched() {
    assertTrue(this.getStringEncoder().isEncodeEquals("Kl", "Karl"));
}</t>
  </si>
  <si>
    <t>@Test
public final void testIsEncodeEquals_CornerCase_SecondNameNothing_ReturnsFalse() {
    assertFalse(this.getStringEncoder().isEncodeEquals("test", ""));
}
@Test
public final void testCompare_STEVEN_STEFAN_SuccessfullyMatched() {
    assertTrue(this.getStringEncoder().isEncodeEquals("Steven", "Stefan"));
}</t>
  </si>
  <si>
    <t>@Test
public final void testIsEncodeEquals_CornerCase_SecondNameNothing_ReturnsFalse() {
    assertFalse(this.getStringEncoder().isEncodeEquals("test", ""));
}
@Test
public final void testCompare_STEPHEN_STEFAN_SuccessfullyMatched() {
    assertTrue(this.getStringEncoder().isEncodeEquals("Stephen", "Stefan"));
}</t>
  </si>
  <si>
    <t>@Test
public final void testIsEncodeEquals_CornerCase_SecondNameNothing_ReturnsFalse() {
    assertFalse(this.getStringEncoder().isEncodeEquals("test", ""));
}
@Test
public final void testCompareNameSameNames_ReturnsFalseSuccessfully() {
    assertTrue(getStringEncoder().isEncodeEquals("John", "John"));
}</t>
  </si>
  <si>
    <t>@Test
public final void testIsEncodeEquals_CornerCase_SecondNameNothing_ReturnsFalse() {
    assertFalse(this.getStringEncoder().isEncodeEquals("test", ""));
}
@Test
public final void testCompare_BRIAN_BRYAN_SuccessfullyMatched() {
    assertTrue(this.getStringEncoder().isEncodeEquals("Brian", "Bryan"));
}</t>
  </si>
  <si>
    <t>@Test
public final void testIsEncodeEquals_CornerCase_SecondNameNothing_ReturnsFalse() {
    assertFalse(this.getStringEncoder().isEncodeEquals("test", ""));
}
// ***** END REGION - TEST GET MRA ENCODING
// ***** BEGIN REGION - TEST GET MRA COMPARISONS
@Test
public final void testCompare_SMITH_SMYTH_SuccessfullyMatched() {
    assertTrue(this.getStringEncoder().isEncodeEquals("smith", "smyth"));
}</t>
  </si>
  <si>
    <t>@Test
public final void testIsEncodeEquals_CornerCase_SecondNameNothing_ReturnsFalse() {
    assertFalse(this.getStringEncoder().isEncodeEquals("test", ""));
}
@Test
public final void testCompare_CATHERINE_KATHRYN_SuccessfullyMatched() {
    assertTrue(this.getStringEncoder().isEncodeEquals("Catherine", "Kathryn"));
}</t>
  </si>
  <si>
    <t>@Test
public final void testIsEncodeEquals_CornerCase_SecondNameNothing_ReturnsFalse() {
    assertFalse(this.getStringEncoder().isEncodeEquals("test", ""));
}
@Test
public final void testCompare_ZACH_ZAKARIA_SuccessfullyMatched() {
    assertTrue(this.getStringEncoder().isEncodeEquals("Zach", "Zacharia"));
}</t>
  </si>
  <si>
    <t>@Test
public final void testIsEncodeEquals_CornerCase_SecondNameNothing_ReturnsFalse() {
    assertFalse(this.getStringEncoder().isEncodeEquals("test", ""));
}
@Test
public final void testCompare_OONA_OONAGH_SuccessfullyMatched() {
    assertTrue(this.getStringEncoder().isEncodeEquals("Oona", "Oonagh"));
}</t>
  </si>
  <si>
    <t>@Test
public final void testIsEncodeEquals_CornerCase_SecondNameNothing_ReturnsFalse() {
    assertFalse(this.getStringEncoder().isEncodeEquals("test", ""));
}
@Test
public final void testCompare_STEPHEN_STEVEN_SuccessfullyMatched() {
    assertTrue(this.getStringEncoder().isEncodeEquals("Stephen", "Steven"));
}</t>
  </si>
  <si>
    <t>@Test
public final void testIsEncodeEquals_CornerCase_SecondNameNothing_ReturnsFalse() {
    assertFalse(this.getStringEncoder().isEncodeEquals("test", ""));
}
@Test
public final void testCompare_SOPHIE_SOFIA_SuccessfullyMatched() {
    assertTrue(this.getStringEncoder().isEncodeEquals("Sophie", "Sofia"));
}</t>
  </si>
  <si>
    <t>@Test
public final void testIsEncodeEquals_CornerCase_SecondNameNothing_ReturnsFalse() {
    assertFalse(this.getStringEncoder().isEncodeEquals("test", ""));
}
@Test
public final void testCompare_Surname_LEWINSKY_LEVINSKI_SuccessfullyMatched() {
    assertTrue(this.getStringEncoder().isEncodeEquals("LEWINSKY", "LEVINSKI"));
}</t>
  </si>
  <si>
    <t>@Test
public final void testIsEncodeEquals_CornerCase_SecondNameNothing_ReturnsFalse() {
    assertFalse(this.getStringEncoder().isEncodeEquals("test", ""));
}
// **** BEGIN YIDDISH/SLAVIC SECTION ****
@Test
public final void testCompare_Surname_AUERBACH_UHRBACH_SuccessfullyMatched() {
    assertTrue(this.getStringEncoder().isEncodeEquals("Auerbach", "Uhrbach"));
}</t>
  </si>
  <si>
    <t>@Test
public final void testIsEncodeEquals_CornerCase_SecondNameNothing_ReturnsFalse() {
    assertFalse(this.getStringEncoder().isEncodeEquals("test", ""));
}
@Test
public final void testCompare_Surname_COOPERFLYNN_SUPERLYN_SuccessfullyMatched() {
    assertTrue(this.getStringEncoder().isEncodeEquals("Cooper-Flynn", "Super-Lyn"));
}</t>
  </si>
  <si>
    <t>@Test
public final void testIsEncodeEquals_CornerCase_SecondNameNothing_ReturnsFalse() {
    assertFalse(this.getStringEncoder().isEncodeEquals("test", ""));
}
@Test
public final void testCompare_FRANCISZEK_FRANCES_SuccessfullyMatched() {
    assertTrue(this.getStringEncoder().isEncodeEquals("Franciszek", "Frances"));
}</t>
  </si>
  <si>
    <t>@Test
public final void testIsEncodeEquals_CornerCase_SecondNameNothing_ReturnsFalse() {
    assertFalse(this.getStringEncoder().isEncodeEquals("test", ""));
}
@Test
public final void testCompare_MCGOWAN_MCGEOGHEGAN_SuccessfullyMatched() {
    assertTrue(this.getStringEncoder().isEncodeEquals("McGowan", "Mc Geoghegan"));
}</t>
  </si>
  <si>
    <t>@Test
public final void testIsEncodeEquals_CornerCase_SecondNameNothing_ReturnsFalse() {
    assertFalse(this.getStringEncoder().isEncodeEquals("test", ""));
}
// **** END YIDDISH/SLAVIC SECTION ****
@Test
public final void testCompare_PETERSON_PETERS_SuccessfullyMatched() {
    assertTrue(this.getStringEncoder().isEncodeEquals("Peterson", "Peters"));
}</t>
  </si>
  <si>
    <t>@Test
public final void testIsEncodeEquals_CornerCase_SecondNameNothing_ReturnsFalse() {
    assertFalse(this.getStringEncoder().isEncodeEquals("test", ""));
}
@Test
public final void testCompare_Surname_LIPSHITZ_LIPPSZYC_SuccessfullyMatched() {
    assertTrue(this.getStringEncoder().isEncodeEquals("LIPSHITZ", "LIPPSZYC"));
}</t>
  </si>
  <si>
    <t>@Test
public final void testIsEncodeEquals_CornerCase_SecondNameNothing_ReturnsFalse() {
    assertFalse(this.getStringEncoder().isEncodeEquals("test", ""));
}
@Test
public final void testCompare_Surname_MOSKOWITZ_MOSKOVITZ_SuccessfullyMatched() {
    assertTrue(this.getStringEncoder().isEncodeEquals("Moskowitz", "Moskovitz"));
}</t>
  </si>
  <si>
    <t>@Test
public final void testIsEncodeEquals_CornerCase_SecondNameNothing_ReturnsFalse() {
    assertFalse(this.getStringEncoder().isEncodeEquals("test", ""));
}
@Test
public final void testCompareNameNullSpace_ReturnsFalseSuccessfully() {
    assertFalse(getStringEncoder().isEncodeEquals(null, " "));
}</t>
  </si>
  <si>
    <t>@Test
public final void testIsEncodeEquals_CornerCase_SecondNameNothing_ReturnsFalse() {
    assertFalse(this.getStringEncoder().isEncodeEquals("test", ""));
}
// ***** Begin Region - Test Get Encoding - Surnames
@Test
public final void testCompare_Surname_OSULLIVAN_OSUILLEABHAIN_SuccessfulMatch() {
    assertTrue(this.getStringEncoder().isEncodeEquals("O'Sullivan", "Ó ' Súilleabháin"));
}</t>
  </si>
  <si>
    <t>@Test
public final void testIsEncodeEquals_CornerCase_SecondNameNothing_ReturnsFalse() {
    assertFalse(this.getStringEncoder().isEncodeEquals("test", ""));
}
@Test
public final void testCompare_Surname_SZLAMAWICZ_SHLAMOVITZ_SuccessfullyMatched() {
    assertTrue(this.getStringEncoder().isEncodeEquals("SZLAMAWICZ", "SHLAMOVITZ"));
}</t>
  </si>
  <si>
    <t>@Test
public final void testIsEncodeEquals_CornerCase_SecondNameNothing_ReturnsFalse() {
    assertFalse(this.getStringEncoder().isEncodeEquals("test", ""));
}
@Test
public final void testCompare_LongSurnames_MORIARTY_OMUIRCHEARTAIGH_DoesNotSuccessfulMatch() {
    assertFalse(this.getStringEncoder().isEncodeEquals("Moriarty", "OMuircheartaigh"));
}</t>
  </si>
  <si>
    <t>@Test
public final void testIsEncodeEquals_CornerCase_SecondNameNothing_ReturnsFalse() {
    assertFalse(this.getStringEncoder().isEncodeEquals("test", ""));
}
@Test
public final void testCompare_Surname_PRZEMYSL_PSHEMESHIL_SuccessfullyMatched() {
    assertTrue(this.getStringEncoder().isEncodeEquals(" P rz e m y s l", " P sh e m e sh i l"));
}</t>
  </si>
  <si>
    <t>@Test
public final void testIsEncodeEquals_CornerCase_SecondNameNothing_ReturnsFalse() {
    assertFalse(this.getStringEncoder().isEncodeEquals("test", ""));
}
@Test
public final void testCompare_Surname_ROSOCHOWACIEC_ROSOKHOVATSETS_SuccessfullyMatched() {
    assertTrue(this.getStringEncoder().isEncodeEquals("R o s o ch o w a c ie c", " R o s o k ho v a ts e ts"));
}</t>
  </si>
  <si>
    <t>@Test
public final void testIsEncodeEquals_CornerCase_SecondNameNothing_ReturnsFalse() {
    assertFalse(this.getStringEncoder().isEncodeEquals("test", ""));
}
@Test
public final void testCompare_COLM_COLIN_WithAccentsAndSymbolsAndSpaces_SuccessfullyMatched() {
    assertTrue(this.getStringEncoder().isEncodeEquals("Cólm.   ", "C-olín"));
}</t>
  </si>
  <si>
    <t>@Test
public final void testIsEncodeEquals_CornerCase_SecondNameNothing_ReturnsFalse() {
    assertFalse(this.getStringEncoder().isEncodeEquals("test", ""));
}
@Test
public final void testCompare_LongSurnames_OMUIRCHEARTAIGH_OMIREADHAIGH_SuccessfulMatch() {
    assertTrue(this.getStringEncoder().isEncodeEquals("o'muireadhaigh", "Ó 'Muircheartaigh "));
}</t>
  </si>
  <si>
    <t>@Test
public final void testIsEncodeEquals_CornerCase_FirstNameNothing_ReturnsFalse() {
    assertFalse(this.getStringEncoder().isEncodeEquals("", "test"));
}
@Test
public final void testCompare_SurnamesCornerCase_MURPHY_NoSpace_NoMatch() {
    assertFalse(this.getStringEncoder().isEncodeEquals("Murphy", ""));
}</t>
  </si>
  <si>
    <t>@Test
public final void testIsEncodeEquals_CornerCase_FirstNameNothing_ReturnsFalse() {
    assertFalse(this.getStringEncoder().isEncodeEquals("", "test"));
}
@Test
public final void testCompare_SurnamesCornerCase_MURPHY_Space_NoMatch() {
    assertFalse(this.getStringEncoder().isEncodeEquals("Murphy", " "));
}</t>
  </si>
  <si>
    <t>@Test
public final void testIsEncodeEquals_CornerCase_FirstNameNothing_ReturnsFalse() {
    assertFalse(this.getStringEncoder().isEncodeEquals("", "test"));
}
@Test
public final void testCompare_Forenames_SEAN_PETE_NoMatchExpected() {
    assertFalse(this.getStringEncoder().isEncodeEquals("Sean", "Pete"));
}</t>
  </si>
  <si>
    <t>@Test
public final void testIsEncodeEquals_CornerCase_FirstNameNothing_ReturnsFalse() {
    assertFalse(this.getStringEncoder().isEncodeEquals("", "test"));
}
@Test
public final void testCompare_ShortNames_AL_ED_WorksButNoMatch() {
    assertFalse(this.getStringEncoder().isEncodeEquals("Al", "Ed"));
}</t>
  </si>
  <si>
    <t>@Test
public final void testIsEncodeEquals_CornerCase_FirstNameNothing_ReturnsFalse() {
    assertFalse(this.getStringEncoder().isEncodeEquals("", "test"));
}
@Test
public final void testCompare_Surnames_MURPHY_LYNCH_NoMatchExpected() {
    assertFalse(this.getStringEncoder().isEncodeEquals("Murphy", "Lynch"));
}</t>
  </si>
  <si>
    <t>@Test
public final void testIsEncodeEquals_CornerCase_FirstNameNothing_ReturnsFalse() {
    assertFalse(this.getStringEncoder().isEncodeEquals("", "test"));
}
@Test
public final void testCompare_Forenames_SEAN_JOHN_MatchExpected() {
    assertTrue(this.getStringEncoder().isEncodeEquals("Sean", "John"));
}</t>
  </si>
  <si>
    <t>@Test
public final void testIsEncodeEquals_CornerCase_FirstNameNothing_ReturnsFalse() {
    assertFalse(this.getStringEncoder().isEncodeEquals("", "test"));
}
@Test
public final void testCompare_KARL_ALESSANDRO_DoesNotMatch() {
    assertFalse(this.getStringEncoder().isEncodeEquals("Karl", "Alessandro"));
}</t>
  </si>
  <si>
    <t>@Test
public final void testIsEncodeEquals_CornerCase_FirstNameNothing_ReturnsFalse() {
    assertFalse(this.getStringEncoder().isEncodeEquals("", "test"));
}
@Test
public final void testCompareNameToSingleLetter_KARL_C_DoesNotMatch() {
    assertFalse(this.getStringEncoder().isEncodeEquals("Karl", "C"));
}</t>
  </si>
  <si>
    <t>@Test
public final void testIsEncodeEquals_CornerCase_FirstNameNothing_ReturnsFalse() {
    assertFalse(this.getStringEncoder().isEncodeEquals("", "test"));
}
@Test
public final void testCompare_SurnameCornerCase_Nulls_NoMatch() {
    assertFalse(this.getStringEncoder().isEncodeEquals(null, null));
}</t>
  </si>
  <si>
    <t>@Test
public final void testIsEncodeEquals_CornerCase_FirstNameNothing_ReturnsFalse() {
    assertFalse(this.getStringEncoder().isEncodeEquals("", "test"));
}
@Test
public final void testCompare_Surname_HAILEY_HALLEY_SuccessfullyMatched() {
    assertTrue(this.getStringEncoder().isEncodeEquals("Hailey", "Halley"));
}</t>
  </si>
  <si>
    <t>@Test
public final void testIsEncodeEquals_CornerCase_FirstNameNothing_ReturnsFalse() {
    assertFalse(this.getStringEncoder().isEncodeEquals("", "test"));
}
@Test
public final void testCompare_SEAN_SHAUN_SuccessfullyMatched() {
    assertTrue(this.getStringEncoder().isEncodeEquals("Séan", "Shaun"));
}</t>
  </si>
  <si>
    <t>@Test
public final void testIsEncodeEquals_CornerCase_FirstNameNothing_ReturnsFalse() {
    assertFalse(this.getStringEncoder().isEncodeEquals("", "test"));
}
@Test
public final void testCompare_SmallInput_CARK_Kl_SuccessfullyMatched() {
    assertTrue(this.getStringEncoder().isEncodeEquals("Kl", "Karl"));
}</t>
  </si>
  <si>
    <t>@Test
public final void testIsEncodeEquals_CornerCase_FirstNameNothing_ReturnsFalse() {
    assertFalse(this.getStringEncoder().isEncodeEquals("", "test"));
}
@Test
public final void testCompare_FRANCISZEK_FRANCES_SuccessfullyMatched() {
    assertTrue(this.getStringEncoder().isEncodeEquals("Franciszek", "Frances"));
}</t>
  </si>
  <si>
    <t>@Test
public final void testIsEncodeEquals_CornerCase_FirstNameNothing_ReturnsFalse() {
    assertFalse(this.getStringEncoder().isEncodeEquals("", "test"));
}
@Test
public final void testCompare_CATHERINE_KATHRYN_SuccessfullyMatched() {
    assertTrue(this.getStringEncoder().isEncodeEquals("Catherine", "Kathryn"));
}</t>
  </si>
  <si>
    <t>@Test
public final void testIsEncodeEquals_CornerCase_FirstNameNothing_ReturnsFalse() {
    assertFalse(this.getStringEncoder().isEncodeEquals("", "test"));
}
@Test
public final void testCompare_OONA_OONAGH_SuccessfullyMatched() {
    assertTrue(this.getStringEncoder().isEncodeEquals("Oona", "Oonagh"));
}</t>
  </si>
  <si>
    <t>@Test
public final void testIsEncodeEquals_CornerCase_FirstNameNothing_ReturnsFalse() {
    assertFalse(this.getStringEncoder().isEncodeEquals("", "test"));
}
@Test
public final void testCompare_BURNS_BOURNE_SuccessfullyMatched() {
    assertTrue(this.getStringEncoder().isEncodeEquals("Burns", "Bourne"));
}</t>
  </si>
  <si>
    <t>@Test
public final void testIsEncodeEquals_CornerCase_FirstNameNothing_ReturnsFalse() {
    assertFalse(this.getStringEncoder().isEncodeEquals("", "test"));
}
@Test
public final void testCompare_MICKY_MICHAEL_SuccessfullyMatched() {
    assertTrue(this.getStringEncoder().isEncodeEquals("Micky", "Michael"));
}</t>
  </si>
  <si>
    <t>@Test
public final void testIsEncodeEquals_CornerCase_FirstNameNothing_ReturnsFalse() {
    assertFalse(this.getStringEncoder().isEncodeEquals("", "test"));
}
// **** BEGIN YIDDISH/SLAVIC SECTION ****
@Test
public final void testCompare_Surname_AUERBACH_UHRBACH_SuccessfullyMatched() {
    assertTrue(this.getStringEncoder().isEncodeEquals("Auerbach", "Uhrbach"));
}</t>
  </si>
  <si>
    <t>@Test
public final void testIsEncodeEquals_CornerCase_FirstNameNothing_ReturnsFalse() {
    assertFalse(this.getStringEncoder().isEncodeEquals("", "test"));
}
@Test
public final void testCompare_STEVEN_STEFAN_SuccessfullyMatched() {
    assertTrue(this.getStringEncoder().isEncodeEquals("Steven", "Stefan"));
}</t>
  </si>
  <si>
    <t>@Test
public final void testIsEncodeEquals_CornerCase_FirstNameNothing_ReturnsFalse() {
    assertFalse(this.getStringEncoder().isEncodeEquals("", "test"));
}
@Test
public final void testCompare_STEPHEN_STEFAN_SuccessfullyMatched() {
    assertTrue(this.getStringEncoder().isEncodeEquals("Stephen", "Stefan"));
}</t>
  </si>
  <si>
    <t>@Test
public final void testIsEncodeEquals_CornerCase_FirstNameNothing_ReturnsFalse() {
    assertFalse(this.getStringEncoder().isEncodeEquals("", "test"));
}
@Test
public final void testCompare_TOMASZ_TOM_SuccessfullyMatched() {
    assertTrue(this.getStringEncoder().isEncodeEquals("Tomasz", "tom"));
}</t>
  </si>
  <si>
    <t>@Test
public final void testIsEncodeEquals_CornerCase_FirstNameNothing_ReturnsFalse() {
    assertFalse(this.getStringEncoder().isEncodeEquals("", "test"));
}
@Test
public final void testCompareNameSameNames_ReturnsFalseSuccessfully() {
    assertTrue(getStringEncoder().isEncodeEquals("John", "John"));
}</t>
  </si>
  <si>
    <t>@Test
public final void testIsEncodeEquals_CornerCase_FirstNameNothing_ReturnsFalse() {
    assertFalse(this.getStringEncoder().isEncodeEquals("", "test"));
}
@Test
public final void testCompare_BRIAN_BRYAN_SuccessfullyMatched() {
    assertTrue(this.getStringEncoder().isEncodeEquals("Brian", "Bryan"));
}</t>
  </si>
  <si>
    <t>@Test
public final void testIsEncodeEquals_CornerCase_FirstNameNothing_ReturnsFalse() {
    assertFalse(this.getStringEncoder().isEncodeEquals("", "test"));
}
// ***** END REGION - TEST GET MRA ENCODING
// ***** BEGIN REGION - TEST GET MRA COMPARISONS
@Test
public final void testCompare_SMITH_SMYTH_SuccessfullyMatched() {
    assertTrue(this.getStringEncoder().isEncodeEquals("smith", "smyth"));
}</t>
  </si>
  <si>
    <t>@Test
public final void testIsEncodeEquals_CornerCase_FirstNameNothing_ReturnsFalse() {
    assertFalse(this.getStringEncoder().isEncodeEquals("", "test"));
}
@Test
public final void testCompare_ZACH_ZAKARIA_SuccessfullyMatched() {
    assertTrue(this.getStringEncoder().isEncodeEquals("Zach", "Zacharia"));
}</t>
  </si>
  <si>
    <t>@Test
public final void testIsEncodeEquals_CornerCase_FirstNameNothing_ReturnsFalse() {
    assertFalse(this.getStringEncoder().isEncodeEquals("", "test"));
}
@Test
public final void testCompare_SAM_SAMUEL_SuccessfullyMatched() {
    assertTrue(this.getStringEncoder().isEncodeEquals("Sam", "Samuel"));
}</t>
  </si>
  <si>
    <t>@Test
public final void testIsEncodeEquals_CornerCase_FirstNameNothing_ReturnsFalse() {
    assertFalse(this.getStringEncoder().isEncodeEquals("", "test"));
}
@Test
public final void testCompare_STEPHEN_STEVEN_SuccessfullyMatched() {
    assertTrue(this.getStringEncoder().isEncodeEquals("Stephen", "Steven"));
}</t>
  </si>
  <si>
    <t>@Test
public final void testIsEncodeEquals_CornerCase_FirstNameNothing_ReturnsFalse() {
    assertFalse(this.getStringEncoder().isEncodeEquals("", "test"));
}
@Test
public final void testCompare_SOPHIE_SOFIA_SuccessfullyMatched() {
    assertTrue(this.getStringEncoder().isEncodeEquals("Sophie", "Sofia"));
}</t>
  </si>
  <si>
    <t>@Test
public final void testIsEncodeEquals_CornerCase_FirstNameNothing_ReturnsFalse() {
    assertFalse(this.getStringEncoder().isEncodeEquals("", "test"));
}
@Test
public final void testCompare_Forenames_UNA_OONAGH_ShouldSuccessfullyMatchButDoesNot() {
    // Disappointing
    assertFalse(this.getStringEncoder().isEncodeEquals("Úna", "Oonagh"));
}</t>
  </si>
  <si>
    <t>@Test
public final void testIsEncodeEquals_CornerCase_FirstNameNothing_ReturnsFalse() {
    assertFalse(this.getStringEncoder().isEncodeEquals("", "test"));
}
@Test
public final void testCompare_Surname_LEWINSKY_LEVINSKI_SuccessfullyMatched() {
    assertTrue(this.getStringEncoder().isEncodeEquals("LEWINSKY", "LEVINSKI"));
}</t>
  </si>
  <si>
    <t>@Test
public final void testIsEncodeEquals_CornerCase_FirstNameNothing_ReturnsFalse() {
    assertFalse(this.getStringEncoder().isEncodeEquals("", "test"));
}
@Test
public final void testCompare_Surname_COOPERFLYNN_SUPERLYN_SuccessfullyMatched() {
    assertTrue(this.getStringEncoder().isEncodeEquals("Cooper-Flynn", "Super-Lyn"));
}</t>
  </si>
  <si>
    <t>@Test
public final void testIsEncodeEquals_CornerCase_FirstNameNothing_ReturnsFalse() {
    assertFalse(this.getStringEncoder().isEncodeEquals("", "test"));
}
// ***** Begin Region - Test Get Encoding - Surnames
@Test
public final void testCompare_Surname_OSULLIVAN_OSUILLEABHAIN_SuccessfulMatch() {
    assertTrue(this.getStringEncoder().isEncodeEquals("O'Sullivan", "Ó ' Súilleabháin"));
}</t>
  </si>
  <si>
    <t>@Test
public final void testIsEncodeEquals_CornerCase_FirstNameNothing_ReturnsFalse() {
    assertFalse(this.getStringEncoder().isEncodeEquals("", "test"));
}
@Test
public final void testCompare_MCGOWAN_MCGEOGHEGAN_SuccessfullyMatched() {
    assertTrue(this.getStringEncoder().isEncodeEquals("McGowan", "Mc Geoghegan"));
}</t>
  </si>
  <si>
    <t>@Test
public final void testIsEncodeEquals_CornerCase_FirstNameNothing_ReturnsFalse() {
    assertFalse(this.getStringEncoder().isEncodeEquals("", "test"));
}
// **** END YIDDISH/SLAVIC SECTION ****
@Test
public final void testCompare_PETERSON_PETERS_SuccessfullyMatched() {
    assertTrue(this.getStringEncoder().isEncodeEquals("Peterson", "Peters"));
}</t>
  </si>
  <si>
    <t>@Test
public final void testIsEncodeEquals_CornerCase_FirstNameNothing_ReturnsFalse() {
    assertFalse(this.getStringEncoder().isEncodeEquals("", "test"));
}
@Test
public final void testCompare_Surname_LIPSHITZ_LIPPSZYC_SuccessfullyMatched() {
    assertTrue(this.getStringEncoder().isEncodeEquals("LIPSHITZ", "LIPPSZYC"));
}</t>
  </si>
  <si>
    <t>@Test
public final void testIsEncodeEquals_CornerCase_FirstNameNothing_ReturnsFalse() {
    assertFalse(this.getStringEncoder().isEncodeEquals("", "test"));
}
@Test
public final void testCompare_LongSurnames_MORIARTY_OMUIRCHEARTAIGH_DoesNotSuccessfulMatch() {
    assertFalse(this.getStringEncoder().isEncodeEquals("Moriarty", "OMuircheartaigh"));
}</t>
  </si>
  <si>
    <t>@Test
public final void testIsEncodeEquals_CornerCase_FirstNameNothing_ReturnsFalse() {
    assertFalse(this.getStringEncoder().isEncodeEquals("", "test"));
}
@Test
public final void testCompare_Surname_SZLAMAWICZ_SHLAMOVITZ_SuccessfullyMatched() {
    assertTrue(this.getStringEncoder().isEncodeEquals("SZLAMAWICZ", "SHLAMOVITZ"));
}</t>
  </si>
  <si>
    <t>@Test
public final void testIsEncodeEquals_CornerCase_FirstNameNothing_ReturnsFalse() {
    assertFalse(this.getStringEncoder().isEncodeEquals("", "test"));
}
@Test
public final void testCompare_Surname_MOSKOWITZ_MOSKOVITZ_SuccessfullyMatched() {
    assertTrue(this.getStringEncoder().isEncodeEquals("Moskowitz", "Moskovitz"));
}</t>
  </si>
  <si>
    <t>@Test
public final void testIsEncodeEquals_CornerCase_FirstNameNothing_ReturnsFalse() {
    assertFalse(this.getStringEncoder().isEncodeEquals("", "test"));
}
@Test
public final void testCompareNameNullSpace_ReturnsFalseSuccessfully() {
    assertFalse(getStringEncoder().isEncodeEquals(null, " "));
}</t>
  </si>
  <si>
    <t>@Test
public final void testIsEncodeEquals_CornerCase_FirstNameNothing_ReturnsFalse() {
    assertFalse(this.getStringEncoder().isEncodeEquals("", "test"));
}
@Test
public final void testCompare_Surname_PRZEMYSL_PSHEMESHIL_SuccessfullyMatched() {
    assertTrue(this.getStringEncoder().isEncodeEquals(" P rz e m y s l", " P sh e m e sh i l"));
}</t>
  </si>
  <si>
    <t>@Test
public final void testIsEncodeEquals_CornerCase_FirstNameNothing_ReturnsFalse() {
    assertFalse(this.getStringEncoder().isEncodeEquals("", "test"));
}
@Test
public final void testCompare_Surname_ROSOCHOWACIEC_ROSOKHOVATSETS_SuccessfullyMatched() {
    assertTrue(this.getStringEncoder().isEncodeEquals("R o s o ch o w a c ie c", " R o s o k ho v a ts e ts"));
}</t>
  </si>
  <si>
    <t>@Test
public final void testIsEncodeEquals_CornerCase_FirstNameNothing_ReturnsFalse() {
    assertFalse(this.getStringEncoder().isEncodeEquals("", "test"));
}
@Test
public final void testCompare_LongSurnames_OMUIRCHEARTAIGH_OMIREADHAIGH_SuccessfulMatch() {
    assertTrue(this.getStringEncoder().isEncodeEquals("o'muireadhaigh", "Ó 'Muircheartaigh "));
}</t>
  </si>
  <si>
    <t>@Test
public final void testIsEncodeEquals_CornerCase_FirstNameNothing_ReturnsFalse() {
    assertFalse(this.getStringEncoder().isEncodeEquals("", "test"));
}
@Test
public final void testCompare_COLM_COLIN_WithAccentsAndSymbolsAndSpaces_SuccessfullyMatched() {
    assertTrue(this.getStringEncoder().isEncodeEquals("Cólm.   ", "C-olín"));
}</t>
  </si>
  <si>
    <t>@Test
public final void testIsEncodeEquals_CornerCase_SecondNameJustSpace_ReturnsFalse() {
    assertFalse(this.getStringEncoder().isEncodeEquals("test", " "));
}
@Test
public final void testCompare_SurnamesCornerCase_MURPHY_Space_NoMatch() {
    assertFalse(this.getStringEncoder().isEncodeEquals("Murphy", " "));
}</t>
  </si>
  <si>
    <t>@Test
public final void testIsEncodeEquals_CornerCase_SecondNameJustSpace_ReturnsFalse() {
    assertFalse(this.getStringEncoder().isEncodeEquals("test", " "));
}
@Test
public final void testCompare_SurnamesCornerCase_MURPHY_NoSpace_NoMatch() {
    assertFalse(this.getStringEncoder().isEncodeEquals("Murphy", ""));
}</t>
  </si>
  <si>
    <t>@Test
public final void testIsEncodeEquals_CornerCase_SecondNameJustSpace_ReturnsFalse() {
    assertFalse(this.getStringEncoder().isEncodeEquals("test", " "));
}
@Test
public final void testCompare_Forenames_SEAN_PETE_NoMatchExpected() {
    assertFalse(this.getStringEncoder().isEncodeEquals("Sean", "Pete"));
}</t>
  </si>
  <si>
    <t>@Test
public final void testIsEncodeEquals_CornerCase_SecondNameJustSpace_ReturnsFalse() {
    assertFalse(this.getStringEncoder().isEncodeEquals("test", " "));
}
@Test
public final void testCompare_ShortNames_AL_ED_WorksButNoMatch() {
    assertFalse(this.getStringEncoder().isEncodeEquals("Al", "Ed"));
}</t>
  </si>
  <si>
    <t>@Test
public final void testIsEncodeEquals_CornerCase_SecondNameJustSpace_ReturnsFalse() {
    assertFalse(this.getStringEncoder().isEncodeEquals("test", " "));
}
@Test
public final void testCompare_Forenames_SEAN_JOHN_MatchExpected() {
    assertTrue(this.getStringEncoder().isEncodeEquals("Sean", "John"));
}</t>
  </si>
  <si>
    <t>@Test
public final void testIsEncodeEquals_CornerCase_SecondNameJustSpace_ReturnsFalse() {
    assertFalse(this.getStringEncoder().isEncodeEquals("test", " "));
}
@Test
public final void testCompare_KARL_ALESSANDRO_DoesNotMatch() {
    assertFalse(this.getStringEncoder().isEncodeEquals("Karl", "Alessandro"));
}</t>
  </si>
  <si>
    <t>@Test
public final void testIsEncodeEquals_CornerCase_SecondNameJustSpace_ReturnsFalse() {
    assertFalse(this.getStringEncoder().isEncodeEquals("test", " "));
}
@Test
public final void testCompare_Surnames_MURPHY_LYNCH_NoMatchExpected() {
    assertFalse(this.getStringEncoder().isEncodeEquals("Murphy", "Lynch"));
}</t>
  </si>
  <si>
    <t>@Test
public final void testIsEncodeEquals_CornerCase_SecondNameJustSpace_ReturnsFalse() {
    assertFalse(this.getStringEncoder().isEncodeEquals("test", " "));
}
@Test
public final void testCompareNameToSingleLetter_KARL_C_DoesNotMatch() {
    assertFalse(this.getStringEncoder().isEncodeEquals("Karl", "C"));
}</t>
  </si>
  <si>
    <t>@Test
public final void testIsEncodeEquals_CornerCase_SecondNameJustSpace_ReturnsFalse() {
    assertFalse(this.getStringEncoder().isEncodeEquals("test", " "));
}
@Test
public final void testCompare_SurnameCornerCase_Nulls_NoMatch() {
    assertFalse(this.getStringEncoder().isEncodeEquals(null, null));
}</t>
  </si>
  <si>
    <t>@Test
public final void testIsEncodeEquals_CornerCase_SecondNameJustSpace_ReturnsFalse() {
    assertFalse(this.getStringEncoder().isEncodeEquals("test", " "));
}
@Test
public final void testCompare_Surname_HAILEY_HALLEY_SuccessfullyMatched() {
    assertTrue(this.getStringEncoder().isEncodeEquals("Hailey", "Halley"));
}</t>
  </si>
  <si>
    <t>@Test
public final void testIsEncodeEquals_CornerCase_SecondNameJustSpace_ReturnsFalse() {
    assertFalse(this.getStringEncoder().isEncodeEquals("test", " "));
}
@Test
public final void testCompare_SEAN_SHAUN_SuccessfullyMatched() {
    assertTrue(this.getStringEncoder().isEncodeEquals("Séan", "Shaun"));
}</t>
  </si>
  <si>
    <t>@Test
public final void testIsEncodeEquals_CornerCase_SecondNameJustSpace_ReturnsFalse() {
    assertFalse(this.getStringEncoder().isEncodeEquals("test", " "));
}
@Test
public final void testCompare_Forenames_UNA_OONAGH_ShouldSuccessfullyMatchButDoesNot() {
    // Disappointing
    assertFalse(this.getStringEncoder().isEncodeEquals("Úna", "Oonagh"));
}</t>
  </si>
  <si>
    <t>@Test
public final void testIsEncodeEquals_CornerCase_SecondNameJustSpace_ReturnsFalse() {
    assertFalse(this.getStringEncoder().isEncodeEquals("test", " "));
}
@Test
public final void testCompare_BURNS_BOURNE_SuccessfullyMatched() {
    assertTrue(this.getStringEncoder().isEncodeEquals("Burns", "Bourne"));
}</t>
  </si>
  <si>
    <t>@Test
public final void testIsEncodeEquals_CornerCase_SecondNameJustSpace_ReturnsFalse() {
    assertFalse(this.getStringEncoder().isEncodeEquals("test", " "));
}
@Test
public final void testCompare_STEVEN_STEFAN_SuccessfullyMatched() {
    assertTrue(this.getStringEncoder().isEncodeEquals("Steven", "Stefan"));
}</t>
  </si>
  <si>
    <t>@Test
public final void testIsEncodeEquals_CornerCase_SecondNameJustSpace_ReturnsFalse() {
    assertFalse(this.getStringEncoder().isEncodeEquals("test", " "));
}
@Test
public final void testCompare_STEPHEN_STEFAN_SuccessfullyMatched() {
    assertTrue(this.getStringEncoder().isEncodeEquals("Stephen", "Stefan"));
}</t>
  </si>
  <si>
    <t>@Test
public final void testIsEncodeEquals_CornerCase_SecondNameJustSpace_ReturnsFalse() {
    assertFalse(this.getStringEncoder().isEncodeEquals("test", " "));
}
@Test
public final void testCompareNameNullSpace_ReturnsFalseSuccessfully() {
    assertFalse(getStringEncoder().isEncodeEquals(null, " "));
}</t>
  </si>
  <si>
    <t>@Test
public final void testIsEncodeEquals_CornerCase_SecondNameJustSpace_ReturnsFalse() {
    assertFalse(this.getStringEncoder().isEncodeEquals("test", " "));
}
@Test
public final void testCompare_BRIAN_BRYAN_SuccessfullyMatched() {
    assertTrue(this.getStringEncoder().isEncodeEquals("Brian", "Bryan"));
}</t>
  </si>
  <si>
    <t>@Test
public final void testIsEncodeEquals_CornerCase_SecondNameJustSpace_ReturnsFalse() {
    assertFalse(this.getStringEncoder().isEncodeEquals("test", " "));
}
// ***** END REGION - TEST GET MRA ENCODING
// ***** BEGIN REGION - TEST GET MRA COMPARISONS
@Test
public final void testCompare_SMITH_SMYTH_SuccessfullyMatched() {
    assertTrue(this.getStringEncoder().isEncodeEquals("smith", "smyth"));
}</t>
  </si>
  <si>
    <t>@Test
public final void testIsEncodeEquals_CornerCase_SecondNameJustSpace_ReturnsFalse() {
    assertFalse(this.getStringEncoder().isEncodeEquals("test", " "));
}
@Test
public final void testCompare_CATHERINE_KATHRYN_SuccessfullyMatched() {
    assertTrue(this.getStringEncoder().isEncodeEquals("Catherine", "Kathryn"));
}</t>
  </si>
  <si>
    <t>@Test
public final void testIsEncodeEquals_CornerCase_SecondNameJustSpace_ReturnsFalse() {
    assertFalse(this.getStringEncoder().isEncodeEquals("test", " "));
}
@Test
public final void testCompare_OONA_OONAGH_SuccessfullyMatched() {
    assertTrue(this.getStringEncoder().isEncodeEquals("Oona", "Oonagh"));
}</t>
  </si>
  <si>
    <t>@Test
public final void testIsEncodeEquals_CornerCase_SecondNameJustSpace_ReturnsFalse() {
    assertFalse(this.getStringEncoder().isEncodeEquals("test", " "));
}
@Test
public final void testCompare_SAM_SAMUEL_SuccessfullyMatched() {
    assertTrue(this.getStringEncoder().isEncodeEquals("Sam", "Samuel"));
}</t>
  </si>
  <si>
    <t>@Test
public final void testIsEncodeEquals_CornerCase_SecondNameJustSpace_ReturnsFalse() {
    assertFalse(this.getStringEncoder().isEncodeEquals("test", " "));
}
@Test
public final void testCompare_STEPHEN_STEVEN_SuccessfullyMatched() {
    assertTrue(this.getStringEncoder().isEncodeEquals("Stephen", "Steven"));
}</t>
  </si>
  <si>
    <t>@Test
public final void testIsEncodeEquals_CornerCase_SecondNameJustSpace_ReturnsFalse() {
    assertFalse(this.getStringEncoder().isEncodeEquals("test", " "));
}
@Test
public final void testCompare_SOPHIE_SOFIA_SuccessfullyMatched() {
    assertTrue(this.getStringEncoder().isEncodeEquals("Sophie", "Sofia"));
}</t>
  </si>
  <si>
    <t>@Test
public final void testIsEncodeEquals_CornerCase_SecondNameJustSpace_ReturnsFalse() {
    assertFalse(this.getStringEncoder().isEncodeEquals("test", " "));
}
@Test
public final void testCompare_MICKY_MICHAEL_SuccessfullyMatched() {
    assertTrue(this.getStringEncoder().isEncodeEquals("Micky", "Michael"));
}</t>
  </si>
  <si>
    <t>@Test
public final void testIsEncodeEquals_CornerCase_SecondNameJustSpace_ReturnsFalse() {
    assertFalse(this.getStringEncoder().isEncodeEquals("test", " "));
}
@Test
public final void testCompare_Surname_LEWINSKY_LEVINSKI_SuccessfullyMatched() {
    assertTrue(this.getStringEncoder().isEncodeEquals("LEWINSKY", "LEVINSKI"));
}</t>
  </si>
  <si>
    <t>@Test
public final void testIsEncodeEquals_CornerCase_SecondNameJustSpace_ReturnsFalse() {
    assertFalse(this.getStringEncoder().isEncodeEquals("test", " "));
}
@Test
public final void testCompare_SmallInput_CARK_Kl_SuccessfullyMatched() {
    assertTrue(this.getStringEncoder().isEncodeEquals("Kl", "Karl"));
}</t>
  </si>
  <si>
    <t>@Test
public final void testIsEncodeEquals_CornerCase_SecondNameJustSpace_ReturnsFalse() {
    assertFalse(this.getStringEncoder().isEncodeEquals("test", " "));
}
// **** BEGIN YIDDISH/SLAVIC SECTION ****
@Test
public final void testCompare_Surname_AUERBACH_UHRBACH_SuccessfullyMatched() {
    assertTrue(this.getStringEncoder().isEncodeEquals("Auerbach", "Uhrbach"));
}</t>
  </si>
  <si>
    <t>@Test
public final void testIsEncodeEquals_CornerCase_SecondNameJustSpace_ReturnsFalse() {
    assertFalse(this.getStringEncoder().isEncodeEquals("test", " "));
}
@Test
public final void testCompare_TOMASZ_TOM_SuccessfullyMatched() {
    assertTrue(this.getStringEncoder().isEncodeEquals("Tomasz", "tom"));
}</t>
  </si>
  <si>
    <t>@Test
public final void testIsEncodeEquals_CornerCase_SecondNameJustSpace_ReturnsFalse() {
    assertFalse(this.getStringEncoder().isEncodeEquals("test", " "));
}
@Test
public final void testCompare_FRANCISZEK_FRANCES_SuccessfullyMatched() {
    assertTrue(this.getStringEncoder().isEncodeEquals("Franciszek", "Frances"));
}</t>
  </si>
  <si>
    <t>@Test
public final void testIsEncodeEquals_CornerCase_SecondNameJustSpace_ReturnsFalse() {
    assertFalse(this.getStringEncoder().isEncodeEquals("test", " "));
}
// **** END YIDDISH/SLAVIC SECTION ****
@Test
public final void testCompare_PETERSON_PETERS_SuccessfullyMatched() {
    assertTrue(this.getStringEncoder().isEncodeEquals("Peterson", "Peters"));
}</t>
  </si>
  <si>
    <t>@Test
public final void testIsEncodeEquals_CornerCase_SecondNameJustSpace_ReturnsFalse() {
    assertFalse(this.getStringEncoder().isEncodeEquals("test", " "));
}
@Test
public final void testCompare_ZACH_ZAKARIA_SuccessfullyMatched() {
    assertTrue(this.getStringEncoder().isEncodeEquals("Zach", "Zacharia"));
}</t>
  </si>
  <si>
    <t>@Test
public final void testIsEncodeEquals_CornerCase_SecondNameJustSpace_ReturnsFalse() {
    assertFalse(this.getStringEncoder().isEncodeEquals("test", " "));
}
@Test
public final void testCompare_Surname_LIPSHITZ_LIPPSZYC_SuccessfullyMatched() {
    assertTrue(this.getStringEncoder().isEncodeEquals("LIPSHITZ", "LIPPSZYC"));
}</t>
  </si>
  <si>
    <t>@Test
public final void testIsEncodeEquals_CornerCase_SecondNameJustSpace_ReturnsFalse() {
    assertFalse(this.getStringEncoder().isEncodeEquals("test", " "));
}
@Test
public final void testCompare_COLM_COLIN_WithAccentsAndSymbolsAndSpaces_SuccessfullyMatched() {
    assertTrue(this.getStringEncoder().isEncodeEquals("Cólm.   ", "C-olín"));
}</t>
  </si>
  <si>
    <t>@Test
public final void testIsEncodeEquals_CornerCase_SecondNameJustSpace_ReturnsFalse() {
    assertFalse(this.getStringEncoder().isEncodeEquals("test", " "));
}
@Test
public final void testCompareNameSameNames_ReturnsFalseSuccessfully() {
    assertTrue(getStringEncoder().isEncodeEquals("John", "John"));
}</t>
  </si>
  <si>
    <t>@Test
public final void testIsEncodeEquals_CornerCase_SecondNameJustSpace_ReturnsFalse() {
    assertFalse(this.getStringEncoder().isEncodeEquals("test", " "));
}
@Test
public final void testCompare_Surname_COOPERFLYNN_SUPERLYN_SuccessfullyMatched() {
    assertTrue(this.getStringEncoder().isEncodeEquals("Cooper-Flynn", "Super-Lyn"));
}</t>
  </si>
  <si>
    <t>@Test
public final void testIsEncodeEquals_CornerCase_SecondNameJustSpace_ReturnsFalse() {
    assertFalse(this.getStringEncoder().isEncodeEquals("test", " "));
}
// ***** Begin Region - Test Get Encoding - Surnames
@Test
public final void testCompare_Surname_OSULLIVAN_OSUILLEABHAIN_SuccessfulMatch() {
    assertTrue(this.getStringEncoder().isEncodeEquals("O'Sullivan", "Ó ' Súilleabháin"));
}</t>
  </si>
  <si>
    <t>@Test
public final void testIsEncodeEquals_CornerCase_SecondNameJustSpace_ReturnsFalse() {
    assertFalse(this.getStringEncoder().isEncodeEquals("test", " "));
}
@Test
public final void testCompare_MCGOWAN_MCGEOGHEGAN_SuccessfullyMatched() {
    assertTrue(this.getStringEncoder().isEncodeEquals("McGowan", "Mc Geoghegan"));
}</t>
  </si>
  <si>
    <t>@Test
public final void testIsEncodeEquals_CornerCase_SecondNameJustSpace_ReturnsFalse() {
    assertFalse(this.getStringEncoder().isEncodeEquals("test", " "));
}
@Test
public final void testCompare_Surname_PRZEMYSL_PSHEMESHIL_SuccessfullyMatched() {
    assertTrue(this.getStringEncoder().isEncodeEquals(" P rz e m y s l", " P sh e m e sh i l"));
}</t>
  </si>
  <si>
    <t>@Test
public final void testIsEncodeEquals_CornerCase_SecondNameJustSpace_ReturnsFalse() {
    assertFalse(this.getStringEncoder().isEncodeEquals("test", " "));
}
@Test
public final void testCompare_Surname_SZLAMAWICZ_SHLAMOVITZ_SuccessfullyMatched() {
    assertTrue(this.getStringEncoder().isEncodeEquals("SZLAMAWICZ", "SHLAMOVITZ"));
}</t>
  </si>
  <si>
    <t>@Test
public final void testIsEncodeEquals_CornerCase_SecondNameJustSpace_ReturnsFalse() {
    assertFalse(this.getStringEncoder().isEncodeEquals("test", " "));
}
@Test
public final void testCompare_Surname_MOSKOWITZ_MOSKOVITZ_SuccessfullyMatched() {
    assertTrue(this.getStringEncoder().isEncodeEquals("Moskowitz", "Moskovitz"));
}</t>
  </si>
  <si>
    <t>@Test
public final void testIsEncodeEquals_CornerCase_SecondNameJustSpace_ReturnsFalse() {
    assertFalse(this.getStringEncoder().isEncodeEquals("test", " "));
}
@Test
public final void testCompare_Surname_ROSOCHOWACIEC_ROSOKHOVATSETS_SuccessfullyMatched() {
    assertTrue(this.getStringEncoder().isEncodeEquals("R o s o ch o w a c ie c", " R o s o k ho v a ts e ts"));
}</t>
  </si>
  <si>
    <t>@Test
public final void testIsEncodeEquals_CornerCase_SecondNameJustSpace_ReturnsFalse() {
    assertFalse(this.getStringEncoder().isEncodeEquals("test", " "));
}
@Test
public final void testCompare_LongSurnames_MORIARTY_OMUIRCHEARTAIGH_DoesNotSuccessfulMatch() {
    assertFalse(this.getStringEncoder().isEncodeEquals("Moriarty", "OMuircheartaigh"));
}</t>
  </si>
  <si>
    <t>@Test
public final void testIsEncodeEquals_CornerCase_SecondNameJustSpace_ReturnsFalse() {
    assertFalse(this.getStringEncoder().isEncodeEquals("test", " "));
}
@Test
public final void testCompare_LongSurnames_OMUIRCHEARTAIGH_OMIREADHAIGH_SuccessfulMatch() {
    assertTrue(this.getStringEncoder().isEncodeEquals("o'muireadhaigh", "Ó 'Muircheartaigh "));
}</t>
  </si>
  <si>
    <t>@Test
public final void testIsEncodeEquals_CornerCase_FirstNameJustSpace_ReturnsFalse() {
    assertFalse(this.getStringEncoder().isEncodeEquals(" ", "test"));
}
@Test
public final void testCompare_SurnamesCornerCase_MURPHY_Space_NoMatch() {
    assertFalse(this.getStringEncoder().isEncodeEquals("Murphy", " "));
}</t>
  </si>
  <si>
    <t>@Test
public final void testIsEncodeEquals_CornerCase_FirstNameJustSpace_ReturnsFalse() {
    assertFalse(this.getStringEncoder().isEncodeEquals(" ", "test"));
}
@Test
public final void testCompare_SurnamesCornerCase_MURPHY_NoSpace_NoMatch() {
    assertFalse(this.getStringEncoder().isEncodeEquals("Murphy", ""));
}</t>
  </si>
  <si>
    <t>@Test
public final void testIsEncodeEquals_CornerCase_FirstNameJustSpace_ReturnsFalse() {
    assertFalse(this.getStringEncoder().isEncodeEquals(" ", "test"));
}
@Test
public final void testCompare_Forenames_SEAN_PETE_NoMatchExpected() {
    assertFalse(this.getStringEncoder().isEncodeEquals("Sean", "Pete"));
}</t>
  </si>
  <si>
    <t>@Test
public final void testIsEncodeEquals_CornerCase_FirstNameJustSpace_ReturnsFalse() {
    assertFalse(this.getStringEncoder().isEncodeEquals(" ", "test"));
}
@Test
public final void testCompare_ShortNames_AL_ED_WorksButNoMatch() {
    assertFalse(this.getStringEncoder().isEncodeEquals("Al", "Ed"));
}</t>
  </si>
  <si>
    <t>@Test
public final void testIsEncodeEquals_CornerCase_FirstNameJustSpace_ReturnsFalse() {
    assertFalse(this.getStringEncoder().isEncodeEquals(" ", "test"));
}
@Test
public final void testCompare_Forenames_SEAN_JOHN_MatchExpected() {
    assertTrue(this.getStringEncoder().isEncodeEquals("Sean", "John"));
}</t>
  </si>
  <si>
    <t>@Test
public final void testIsEncodeEquals_CornerCase_FirstNameJustSpace_ReturnsFalse() {
    assertFalse(this.getStringEncoder().isEncodeEquals(" ", "test"));
}
@Test
public final void testCompareNameToSingleLetter_KARL_C_DoesNotMatch() {
    assertFalse(this.getStringEncoder().isEncodeEquals("Karl", "C"));
}</t>
  </si>
  <si>
    <t>@Test
public final void testIsEncodeEquals_CornerCase_FirstNameJustSpace_ReturnsFalse() {
    assertFalse(this.getStringEncoder().isEncodeEquals(" ", "test"));
}
@Test
public final void testCompare_KARL_ALESSANDRO_DoesNotMatch() {
    assertFalse(this.getStringEncoder().isEncodeEquals("Karl", "Alessandro"));
}</t>
  </si>
  <si>
    <t>@Test
public final void testIsEncodeEquals_CornerCase_FirstNameJustSpace_ReturnsFalse() {
    assertFalse(this.getStringEncoder().isEncodeEquals(" ", "test"));
}
@Test
public final void testCompare_SurnameCornerCase_Nulls_NoMatch() {
    assertFalse(this.getStringEncoder().isEncodeEquals(null, null));
}</t>
  </si>
  <si>
    <t>@Test
public final void testIsEncodeEquals_CornerCase_FirstNameJustSpace_ReturnsFalse() {
    assertFalse(this.getStringEncoder().isEncodeEquals(" ", "test"));
}
@Test
public final void testCompare_Surnames_MURPHY_LYNCH_NoMatchExpected() {
    assertFalse(this.getStringEncoder().isEncodeEquals("Murphy", "Lynch"));
}</t>
  </si>
  <si>
    <t>@Test
public final void testIsEncodeEquals_CornerCase_FirstNameJustSpace_ReturnsFalse() {
    assertFalse(this.getStringEncoder().isEncodeEquals(" ", "test"));
}
@Test
public final void testCompare_Surname_HAILEY_HALLEY_SuccessfullyMatched() {
    assertTrue(this.getStringEncoder().isEncodeEquals("Hailey", "Halley"));
}</t>
  </si>
  <si>
    <t>@Test
public final void testIsEncodeEquals_CornerCase_FirstNameJustSpace_ReturnsFalse() {
    assertFalse(this.getStringEncoder().isEncodeEquals(" ", "test"));
}
@Test
public final void testCompare_SEAN_SHAUN_SuccessfullyMatched() {
    assertTrue(this.getStringEncoder().isEncodeEquals("Séan", "Shaun"));
}</t>
  </si>
  <si>
    <t>@Test
public final void testIsEncodeEquals_CornerCase_FirstNameJustSpace_ReturnsFalse() {
    assertFalse(this.getStringEncoder().isEncodeEquals(" ", "test"));
}
@Test
public final void testCompare_FRANCISZEK_FRANCES_SuccessfullyMatched() {
    assertTrue(this.getStringEncoder().isEncodeEquals("Franciszek", "Frances"));
}</t>
  </si>
  <si>
    <t>@Test
public final void testIsEncodeEquals_CornerCase_FirstNameJustSpace_ReturnsFalse() {
    assertFalse(this.getStringEncoder().isEncodeEquals(" ", "test"));
}
@Test
public final void testCompareNameNullSpace_ReturnsFalseSuccessfully() {
    assertFalse(getStringEncoder().isEncodeEquals(null, " "));
}</t>
  </si>
  <si>
    <t>@Test
public final void testIsEncodeEquals_CornerCase_FirstNameJustSpace_ReturnsFalse() {
    assertFalse(this.getStringEncoder().isEncodeEquals(" ", "test"));
}
@Test
public final void testCompare_BRIAN_BRYAN_SuccessfullyMatched() {
    assertTrue(this.getStringEncoder().isEncodeEquals("Brian", "Bryan"));
}</t>
  </si>
  <si>
    <t>@Test
public final void testIsEncodeEquals_CornerCase_FirstNameJustSpace_ReturnsFalse() {
    assertFalse(this.getStringEncoder().isEncodeEquals(" ", "test"));
}
@Test
public final void testCompare_OONA_OONAGH_SuccessfullyMatched() {
    assertTrue(this.getStringEncoder().isEncodeEquals("Oona", "Oonagh"));
}</t>
  </si>
  <si>
    <t>@Test
public final void testIsEncodeEquals_CornerCase_FirstNameJustSpace_ReturnsFalse() {
    assertFalse(this.getStringEncoder().isEncodeEquals(" ", "test"));
}
@Test
public final void testCompare_BURNS_BOURNE_SuccessfullyMatched() {
    assertTrue(this.getStringEncoder().isEncodeEquals("Burns", "Bourne"));
}</t>
  </si>
  <si>
    <t>@Test
public final void testIsEncodeEquals_CornerCase_FirstNameJustSpace_ReturnsFalse() {
    assertFalse(this.getStringEncoder().isEncodeEquals(" ", "test"));
}
@Test
public final void testCompare_MICKY_MICHAEL_SuccessfullyMatched() {
    assertTrue(this.getStringEncoder().isEncodeEquals("Micky", "Michael"));
}</t>
  </si>
  <si>
    <t>@Test
public final void testIsEncodeEquals_CornerCase_FirstNameJustSpace_ReturnsFalse() {
    assertFalse(this.getStringEncoder().isEncodeEquals(" ", "test"));
}
@Test
public final void testCompare_SmallInput_CARK_Kl_SuccessfullyMatched() {
    assertTrue(this.getStringEncoder().isEncodeEquals("Kl", "Karl"));
}</t>
  </si>
  <si>
    <t>@Test
public final void testIsEncodeEquals_CornerCase_FirstNameJustSpace_ReturnsFalse() {
    assertFalse(this.getStringEncoder().isEncodeEquals(" ", "test"));
}
@Test
public final void testCompare_STEVEN_STEFAN_SuccessfullyMatched() {
    assertTrue(this.getStringEncoder().isEncodeEquals("Steven", "Stefan"));
}</t>
  </si>
  <si>
    <t>@Test
public final void testIsEncodeEquals_CornerCase_FirstNameJustSpace_ReturnsFalse() {
    assertFalse(this.getStringEncoder().isEncodeEquals(" ", "test"));
}
@Test
public final void testCompare_STEPHEN_STEFAN_SuccessfullyMatched() {
    assertTrue(this.getStringEncoder().isEncodeEquals("Stephen", "Stefan"));
}</t>
  </si>
  <si>
    <t>@Test
public final void testIsEncodeEquals_CornerCase_FirstNameJustSpace_ReturnsFalse() {
    assertFalse(this.getStringEncoder().isEncodeEquals(" ", "test"));
}
@Test
public final void testCompare_TOMASZ_TOM_SuccessfullyMatched() {
    assertTrue(this.getStringEncoder().isEncodeEquals("Tomasz", "tom"));
}</t>
  </si>
  <si>
    <t>@Test
public final void testIsEncodeEquals_CornerCase_FirstNameJustSpace_ReturnsFalse() {
    assertFalse(this.getStringEncoder().isEncodeEquals(" ", "test"));
}
// ***** END REGION - TEST GET MRA ENCODING
// ***** BEGIN REGION - TEST GET MRA COMPARISONS
@Test
public final void testCompare_SMITH_SMYTH_SuccessfullyMatched() {
    assertTrue(this.getStringEncoder().isEncodeEquals("smith", "smyth"));
}</t>
  </si>
  <si>
    <t>@Test
public final void testIsEncodeEquals_CornerCase_FirstNameJustSpace_ReturnsFalse() {
    assertFalse(this.getStringEncoder().isEncodeEquals(" ", "test"));
}
@Test
public final void testCompare_CATHERINE_KATHRYN_SuccessfullyMatched() {
    assertTrue(this.getStringEncoder().isEncodeEquals("Catherine", "Kathryn"));
}</t>
  </si>
  <si>
    <t>@Test
public final void testIsEncodeEquals_CornerCase_FirstNameJustSpace_ReturnsFalse() {
    assertFalse(this.getStringEncoder().isEncodeEquals(" ", "test"));
}
@Test
public final void testCompare_ZACH_ZAKARIA_SuccessfullyMatched() {
    assertTrue(this.getStringEncoder().isEncodeEquals("Zach", "Zacharia"));
}</t>
  </si>
  <si>
    <t>@Test
public final void testIsEncodeEquals_CornerCase_FirstNameJustSpace_ReturnsFalse() {
    assertFalse(this.getStringEncoder().isEncodeEquals(" ", "test"));
}
@Test
public final void testCompare_SAM_SAMUEL_SuccessfullyMatched() {
    assertTrue(this.getStringEncoder().isEncodeEquals("Sam", "Samuel"));
}</t>
  </si>
  <si>
    <t>@Test
public final void testIsEncodeEquals_CornerCase_FirstNameJustSpace_ReturnsFalse() {
    assertFalse(this.getStringEncoder().isEncodeEquals(" ", "test"));
}
@Test
public final void testCompare_STEPHEN_STEVEN_SuccessfullyMatched() {
    assertTrue(this.getStringEncoder().isEncodeEquals("Stephen", "Steven"));
}</t>
  </si>
  <si>
    <t>@Test
public final void testIsEncodeEquals_CornerCase_FirstNameJustSpace_ReturnsFalse() {
    assertFalse(this.getStringEncoder().isEncodeEquals(" ", "test"));
}
@Test
public final void testCompare_SOPHIE_SOFIA_SuccessfullyMatched() {
    assertTrue(this.getStringEncoder().isEncodeEquals("Sophie", "Sofia"));
}</t>
  </si>
  <si>
    <t>@Test
public final void testIsEncodeEquals_CornerCase_FirstNameJustSpace_ReturnsFalse() {
    assertFalse(this.getStringEncoder().isEncodeEquals(" ", "test"));
}
@Test
public final void testCompare_Surname_LEWINSKY_LEVINSKI_SuccessfullyMatched() {
    assertTrue(this.getStringEncoder().isEncodeEquals("LEWINSKY", "LEVINSKI"));
}</t>
  </si>
  <si>
    <t>@Test
public final void testIsEncodeEquals_CornerCase_FirstNameJustSpace_ReturnsFalse() {
    assertFalse(this.getStringEncoder().isEncodeEquals(" ", "test"));
}
// **** BEGIN YIDDISH/SLAVIC SECTION ****
@Test
public final void testCompare_Surname_AUERBACH_UHRBACH_SuccessfullyMatched() {
    assertTrue(this.getStringEncoder().isEncodeEquals("Auerbach", "Uhrbach"));
}</t>
  </si>
  <si>
    <t>@Test
public final void testIsEncodeEquals_CornerCase_FirstNameJustSpace_ReturnsFalse() {
    assertFalse(this.getStringEncoder().isEncodeEquals(" ", "test"));
}
@Test
public final void testCompare_MCGOWAN_MCGEOGHEGAN_SuccessfullyMatched() {
    assertTrue(this.getStringEncoder().isEncodeEquals("McGowan", "Mc Geoghegan"));
}</t>
  </si>
  <si>
    <t>@Test
public final void testIsEncodeEquals_CornerCase_FirstNameJustSpace_ReturnsFalse() {
    assertFalse(this.getStringEncoder().isEncodeEquals(" ", "test"));
}
// **** END YIDDISH/SLAVIC SECTION ****
@Test
public final void testCompare_PETERSON_PETERS_SuccessfullyMatched() {
    assertTrue(this.getStringEncoder().isEncodeEquals("Peterson", "Peters"));
}</t>
  </si>
  <si>
    <t>@Test
public final void testIsEncodeEquals_CornerCase_FirstNameJustSpace_ReturnsFalse() {
    assertFalse(this.getStringEncoder().isEncodeEquals(" ", "test"));
}
@Test
public final void testCompare_Surname_LIPSHITZ_LIPPSZYC_SuccessfullyMatched() {
    assertTrue(this.getStringEncoder().isEncodeEquals("LIPSHITZ", "LIPPSZYC"));
}</t>
  </si>
  <si>
    <t>@Test
public final void testIsEncodeEquals_CornerCase_FirstNameJustSpace_ReturnsFalse() {
    assertFalse(this.getStringEncoder().isEncodeEquals(" ", "test"));
}
@Test
public final void testCompare_Forenames_UNA_OONAGH_ShouldSuccessfullyMatchButDoesNot() {
    // Disappointing
    assertFalse(this.getStringEncoder().isEncodeEquals("Úna", "Oonagh"));
}</t>
  </si>
  <si>
    <t>@Test
public final void testIsEncodeEquals_CornerCase_FirstNameJustSpace_ReturnsFalse() {
    assertFalse(this.getStringEncoder().isEncodeEquals(" ", "test"));
}
@Test
public final void testCompare_Surname_MOSKOWITZ_MOSKOVITZ_SuccessfullyMatched() {
    assertTrue(this.getStringEncoder().isEncodeEquals("Moskowitz", "Moskovitz"));
}</t>
  </si>
  <si>
    <t>@Test
public final void testIsEncodeEquals_CornerCase_FirstNameJustSpace_ReturnsFalse() {
    assertFalse(this.getStringEncoder().isEncodeEquals(" ", "test"));
}
@Test
public final void testCompareNameSameNames_ReturnsFalseSuccessfully() {
    assertTrue(getStringEncoder().isEncodeEquals("John", "John"));
}</t>
  </si>
  <si>
    <t>@Test
public final void testIsEncodeEquals_CornerCase_FirstNameJustSpace_ReturnsFalse() {
    assertFalse(this.getStringEncoder().isEncodeEquals(" ", "test"));
}
@Test
public final void testCompare_Surname_COOPERFLYNN_SUPERLYN_SuccessfullyMatched() {
    assertTrue(this.getStringEncoder().isEncodeEquals("Cooper-Flynn", "Super-Lyn"));
}</t>
  </si>
  <si>
    <t>@Test
public final void testIsEncodeEquals_CornerCase_FirstNameJustSpace_ReturnsFalse() {
    assertFalse(this.getStringEncoder().isEncodeEquals(" ", "test"));
}
// ***** Begin Region - Test Get Encoding - Surnames
@Test
public final void testCompare_Surname_OSULLIVAN_OSUILLEABHAIN_SuccessfulMatch() {
    assertTrue(this.getStringEncoder().isEncodeEquals("O'Sullivan", "Ó ' Súilleabháin"));
}</t>
  </si>
  <si>
    <t>@Test
public final void testIsEncodeEquals_CornerCase_FirstNameJustSpace_ReturnsFalse() {
    assertFalse(this.getStringEncoder().isEncodeEquals(" ", "test"));
}
@Test
public final void testCompare_Surname_PRZEMYSL_PSHEMESHIL_SuccessfullyMatched() {
    assertTrue(this.getStringEncoder().isEncodeEquals(" P rz e m y s l", " P sh e m e sh i l"));
}</t>
  </si>
  <si>
    <t>@Test
public final void testIsEncodeEquals_CornerCase_FirstNameJustSpace_ReturnsFalse() {
    assertFalse(this.getStringEncoder().isEncodeEquals(" ", "test"));
}
@Test
public final void testCompare_Surname_SZLAMAWICZ_SHLAMOVITZ_SuccessfullyMatched() {
    assertTrue(this.getStringEncoder().isEncodeEquals("SZLAMAWICZ", "SHLAMOVITZ"));
}</t>
  </si>
  <si>
    <t>@Test
public final void testIsEncodeEquals_CornerCase_FirstNameJustSpace_ReturnsFalse() {
    assertFalse(this.getStringEncoder().isEncodeEquals(" ", "test"));
}
@Test
public final void testCompare_COLM_COLIN_WithAccentsAndSymbolsAndSpaces_SuccessfullyMatched() {
    assertTrue(this.getStringEncoder().isEncodeEquals("Cólm.   ", "C-olín"));
}</t>
  </si>
  <si>
    <t>@Test
public final void testIsEncodeEquals_CornerCase_FirstNameJustSpace_ReturnsFalse() {
    assertFalse(this.getStringEncoder().isEncodeEquals(" ", "test"));
}
@Test
public final void testCompare_LongSurnames_MORIARTY_OMUIRCHEARTAIGH_DoesNotSuccessfulMatch() {
    assertFalse(this.getStringEncoder().isEncodeEquals("Moriarty", "OMuircheartaigh"));
}</t>
  </si>
  <si>
    <t>@Test
public final void testIsEncodeEquals_CornerCase_FirstNameJustSpace_ReturnsFalse() {
    assertFalse(this.getStringEncoder().isEncodeEquals(" ", "test"));
}
@Test
public final void testCompare_Surname_ROSOCHOWACIEC_ROSOKHOVATSETS_SuccessfullyMatched() {
    assertTrue(this.getStringEncoder().isEncodeEquals("R o s o ch o w a c ie c", " R o s o k ho v a ts e ts"));
}</t>
  </si>
  <si>
    <t>@Test
public final void testIsEncodeEquals_CornerCase_FirstNameJustSpace_ReturnsFalse() {
    assertFalse(this.getStringEncoder().isEncodeEquals(" ", "test"));
}
@Test
public final void testCompare_LongSurnames_OMUIRCHEARTAIGH_OMIREADHAIGH_SuccessfulMatch() {
    assertTrue(this.getStringEncoder().isEncodeEquals("o'muireadhaigh", "Ó 'Muircheartaigh "));
}</t>
  </si>
  <si>
    <t>@Test
public final void testIsEncodeEquals_CornerCase_SecondNameNull_ReturnsFalse() {
    assertFalse(this.getStringEncoder().isEncodeEquals("test", null));
}
@Test
public final void testCompare_SurnameCornerCase_Nulls_NoMatch() {
    assertFalse(this.getStringEncoder().isEncodeEquals(null, null));
}</t>
  </si>
  <si>
    <t>@Test
public final void testIsEncodeEquals_CornerCase_SecondNameNull_ReturnsFalse() {
    assertFalse(this.getStringEncoder().isEncodeEquals("test", null));
}
@Test
public final void testCompare_SurnamesCornerCase_MURPHY_NoSpace_NoMatch() {
    assertFalse(this.getStringEncoder().isEncodeEquals("Murphy", ""));
}</t>
  </si>
  <si>
    <t>@Test
public final void testIsEncodeEquals_CornerCase_SecondNameNull_ReturnsFalse() {
    assertFalse(this.getStringEncoder().isEncodeEquals("test", null));
}
@Test
public final void testCompare_SurnamesCornerCase_MURPHY_Space_NoMatch() {
    assertFalse(this.getStringEncoder().isEncodeEquals("Murphy", " "));
}</t>
  </si>
  <si>
    <t>@Test
public final void testIsEncodeEquals_CornerCase_SecondNameNull_ReturnsFalse() {
    assertFalse(this.getStringEncoder().isEncodeEquals("test", null));
}
@Test
public final void testCompare_Forenames_SEAN_PETE_NoMatchExpected() {
    assertFalse(this.getStringEncoder().isEncodeEquals("Sean", "Pete"));
}</t>
  </si>
  <si>
    <t>@Test
public final void testIsEncodeEquals_CornerCase_SecondNameNull_ReturnsFalse() {
    assertFalse(this.getStringEncoder().isEncodeEquals("test", null));
}
@Test
public final void testCompare_ShortNames_AL_ED_WorksButNoMatch() {
    assertFalse(this.getStringEncoder().isEncodeEquals("Al", "Ed"));
}</t>
  </si>
  <si>
    <t>@Test
public final void testIsEncodeEquals_CornerCase_SecondNameNull_ReturnsFalse() {
    assertFalse(this.getStringEncoder().isEncodeEquals("test", null));
}
@Test
public final void testCompare_Forenames_SEAN_JOHN_MatchExpected() {
    assertTrue(this.getStringEncoder().isEncodeEquals("Sean", "John"));
}</t>
  </si>
  <si>
    <t>@Test
public final void testIsEncodeEquals_CornerCase_SecondNameNull_ReturnsFalse() {
    assertFalse(this.getStringEncoder().isEncodeEquals("test", null));
}
@Test
public final void testCompare_KARL_ALESSANDRO_DoesNotMatch() {
    assertFalse(this.getStringEncoder().isEncodeEquals("Karl", "Alessandro"));
}</t>
  </si>
  <si>
    <t>@Test
public final void testIsEncodeEquals_CornerCase_SecondNameNull_ReturnsFalse() {
    assertFalse(this.getStringEncoder().isEncodeEquals("test", null));
}
@Test
public final void testCompare_Surnames_MURPHY_LYNCH_NoMatchExpected() {
    assertFalse(this.getStringEncoder().isEncodeEquals("Murphy", "Lynch"));
}</t>
  </si>
  <si>
    <t>@Test
public final void testIsEncodeEquals_CornerCase_SecondNameNull_ReturnsFalse() {
    assertFalse(this.getStringEncoder().isEncodeEquals("test", null));
}
@Test
public final void testCompareNameToSingleLetter_KARL_C_DoesNotMatch() {
    assertFalse(this.getStringEncoder().isEncodeEquals("Karl", "C"));
}</t>
  </si>
  <si>
    <t>@Test
public final void testIsEncodeEquals_CornerCase_SecondNameNull_ReturnsFalse() {
    assertFalse(this.getStringEncoder().isEncodeEquals("test", null));
}
@Test
public final void testCompare_SEAN_SHAUN_SuccessfullyMatched() {
    assertTrue(this.getStringEncoder().isEncodeEquals("Séan", "Shaun"));
}</t>
  </si>
  <si>
    <t>@Test
public final void testIsEncodeEquals_CornerCase_SecondNameNull_ReturnsFalse() {
    assertFalse(this.getStringEncoder().isEncodeEquals("test", null));
}
@Test
public final void testCompare_TOMASZ_TOM_SuccessfullyMatched() {
    assertTrue(this.getStringEncoder().isEncodeEquals("Tomasz", "tom"));
}</t>
  </si>
  <si>
    <t>@Test
public final void testIsEncodeEquals_CornerCase_SecondNameNull_ReturnsFalse() {
    assertFalse(this.getStringEncoder().isEncodeEquals("test", null));
}
@Test
public final void testCompare_SAM_SAMUEL_SuccessfullyMatched() {
    assertTrue(this.getStringEncoder().isEncodeEquals("Sam", "Samuel"));
}</t>
  </si>
  <si>
    <t>@Test
public final void testIsEncodeEquals_CornerCase_SecondNameNull_ReturnsFalse() {
    assertFalse(this.getStringEncoder().isEncodeEquals("test", null));
}
@Test
public final void testCompare_Forenames_UNA_OONAGH_ShouldSuccessfullyMatchButDoesNot() {
    // Disappointing
    assertFalse(this.getStringEncoder().isEncodeEquals("Úna", "Oonagh"));
}</t>
  </si>
  <si>
    <t>@Test
public final void testIsEncodeEquals_CornerCase_SecondNameNull_ReturnsFalse() {
    assertFalse(this.getStringEncoder().isEncodeEquals("test", null));
}
@Test
public final void testCompare_BURNS_BOURNE_SuccessfullyMatched() {
    assertTrue(this.getStringEncoder().isEncodeEquals("Burns", "Bourne"));
}</t>
  </si>
  <si>
    <t>@Test
public final void testIsEncodeEquals_CornerCase_SecondNameNull_ReturnsFalse() {
    assertFalse(this.getStringEncoder().isEncodeEquals("test", null));
}
@Test
public final void testCompare_MICKY_MICHAEL_SuccessfullyMatched() {
    assertTrue(this.getStringEncoder().isEncodeEquals("Micky", "Michael"));
}</t>
  </si>
  <si>
    <t>@Test
public final void testIsEncodeEquals_CornerCase_SecondNameNull_ReturnsFalse() {
    assertFalse(this.getStringEncoder().isEncodeEquals("test", null));
}
@Test
public final void testCompare_SmallInput_CARK_Kl_SuccessfullyMatched() {
    assertTrue(this.getStringEncoder().isEncodeEquals("Kl", "Karl"));
}</t>
  </si>
  <si>
    <t>@Test
public final void testIsEncodeEquals_CornerCase_SecondNameNull_ReturnsFalse() {
    assertFalse(this.getStringEncoder().isEncodeEquals("test", null));
}
@Test
public final void testCompare_BRIAN_BRYAN_SuccessfullyMatched() {
    assertTrue(this.getStringEncoder().isEncodeEquals("Brian", "Bryan"));
}</t>
  </si>
  <si>
    <t>@Test
public final void testIsEncodeEquals_CornerCase_SecondNameNull_ReturnsFalse() {
    assertFalse(this.getStringEncoder().isEncodeEquals("test", null));
}
// ***** END REGION - TEST GET MRA ENCODING
// ***** BEGIN REGION - TEST GET MRA COMPARISONS
@Test
public final void testCompare_SMITH_SMYTH_SuccessfullyMatched() {
    assertTrue(this.getStringEncoder().isEncodeEquals("smith", "smyth"));
}</t>
  </si>
  <si>
    <t>@Test
public final void testIsEncodeEquals_CornerCase_SecondNameNull_ReturnsFalse() {
    assertFalse(this.getStringEncoder().isEncodeEquals("test", null));
}
@Test
public final void testCompare_ZACH_ZAKARIA_SuccessfullyMatched() {
    assertTrue(this.getStringEncoder().isEncodeEquals("Zach", "Zacharia"));
}</t>
  </si>
  <si>
    <t>@Test
public final void testIsEncodeEquals_CornerCase_SecondNameNull_ReturnsFalse() {
    assertFalse(this.getStringEncoder().isEncodeEquals("test", null));
}
@Test
public final void testCompare_OONA_OONAGH_SuccessfullyMatched() {
    assertTrue(this.getStringEncoder().isEncodeEquals("Oona", "Oonagh"));
}</t>
  </si>
  <si>
    <t>@Test
public final void testIsEncodeEquals_CornerCase_SecondNameNull_ReturnsFalse() {
    assertFalse(this.getStringEncoder().isEncodeEquals("test", null));
}
@Test
public final void testCompare_STEVEN_STEFAN_SuccessfullyMatched() {
    assertTrue(this.getStringEncoder().isEncodeEquals("Steven", "Stefan"));
}</t>
  </si>
  <si>
    <t>@Test
public final void testIsEncodeEquals_CornerCase_SecondNameNull_ReturnsFalse() {
    assertFalse(this.getStringEncoder().isEncodeEquals("test", null));
}
@Test
public final void testCompare_STEPHEN_STEFAN_SuccessfullyMatched() {
    assertTrue(this.getStringEncoder().isEncodeEquals("Stephen", "Stefan"));
}</t>
  </si>
  <si>
    <t>@Test
public final void testIsEncodeEquals_CornerCase_SecondNameNull_ReturnsFalse() {
    assertFalse(this.getStringEncoder().isEncodeEquals("test", null));
}
// **** END YIDDISH/SLAVIC SECTION ****
@Test
public final void testCompare_PETERSON_PETERS_SuccessfullyMatched() {
    assertTrue(this.getStringEncoder().isEncodeEquals("Peterson", "Peters"));
}</t>
  </si>
  <si>
    <t>@Test
public final void testIsEncodeEquals_CornerCase_SecondNameNull_ReturnsFalse() {
    assertFalse(this.getStringEncoder().isEncodeEquals("test", null));
}
@Test
public final void testCompare_CATHERINE_KATHRYN_SuccessfullyMatched() {
    assertTrue(this.getStringEncoder().isEncodeEquals("Catherine", "Kathryn"));
}</t>
  </si>
  <si>
    <t>@Test
public final void testIsEncodeEquals_CornerCase_SecondNameNull_ReturnsFalse() {
    assertFalse(this.getStringEncoder().isEncodeEquals("test", null));
}
@Test
public final void testCompare_STEPHEN_STEVEN_SuccessfullyMatched() {
    assertTrue(this.getStringEncoder().isEncodeEquals("Stephen", "Steven"));
}</t>
  </si>
  <si>
    <t>@Test
public final void testIsEncodeEquals_CornerCase_SecondNameNull_ReturnsFalse() {
    assertFalse(this.getStringEncoder().isEncodeEquals("test", null));
}
@Test
public final void testCompare_SOPHIE_SOFIA_SuccessfullyMatched() {
    assertTrue(this.getStringEncoder().isEncodeEquals("Sophie", "Sofia"));
}</t>
  </si>
  <si>
    <t>@Test
public final void testIsEncodeEquals_CornerCase_SecondNameNull_ReturnsFalse() {
    assertFalse(this.getStringEncoder().isEncodeEquals("test", null));
}
@Test
public final void testCompareNameSameNames_ReturnsFalseSuccessfully() {
    assertTrue(getStringEncoder().isEncodeEquals("John", "John"));
}</t>
  </si>
  <si>
    <t>@Test
public final void testIsEncodeEquals_CornerCase_SecondNameNull_ReturnsFalse() {
    assertFalse(this.getStringEncoder().isEncodeEquals("test", null));
}
@Test
public final void testCompare_MCGOWAN_MCGEOGHEGAN_SuccessfullyMatched() {
    assertTrue(this.getStringEncoder().isEncodeEquals("McGowan", "Mc Geoghegan"));
}</t>
  </si>
  <si>
    <t>@Test
public final void testIsEncodeEquals_CornerCase_SecondNameNull_ReturnsFalse() {
    assertFalse(this.getStringEncoder().isEncodeEquals("test", null));
}
@Test
public final void testCompare_Surname_COOPERFLYNN_SUPERLYN_SuccessfullyMatched() {
    assertTrue(this.getStringEncoder().isEncodeEquals("Cooper-Flynn", "Super-Lyn"));
}</t>
  </si>
  <si>
    <t>@Test
public final void testIsEncodeEquals_CornerCase_SecondNameNull_ReturnsFalse() {
    assertFalse(this.getStringEncoder().isEncodeEquals("test", null));
}
// **** BEGIN YIDDISH/SLAVIC SECTION ****
@Test
public final void testCompare_Surname_AUERBACH_UHRBACH_SuccessfullyMatched() {
    assertTrue(this.getStringEncoder().isEncodeEquals("Auerbach", "Uhrbach"));
}</t>
  </si>
  <si>
    <t>@Test
public final void testIsEncodeEquals_CornerCase_SecondNameNull_ReturnsFalse() {
    assertFalse(this.getStringEncoder().isEncodeEquals("test", null));
}
@Test
public final void testCompare_FRANCISZEK_FRANCES_SuccessfullyMatched() {
    assertTrue(this.getStringEncoder().isEncodeEquals("Franciszek", "Frances"));
}</t>
  </si>
  <si>
    <t>@Test
public final void testIsEncodeEquals_CornerCase_SecondNameNull_ReturnsFalse() {
    assertFalse(this.getStringEncoder().isEncodeEquals("test", null));
}
@Test
public final void testCompare_Surname_HAILEY_HALLEY_SuccessfullyMatched() {
    assertTrue(this.getStringEncoder().isEncodeEquals("Hailey", "Halley"));
}</t>
  </si>
  <si>
    <t>@Test
public final void testIsEncodeEquals_CornerCase_SecondNameNull_ReturnsFalse() {
    assertFalse(this.getStringEncoder().isEncodeEquals("test", null));
}
@Test
public final void testCompareNameNullSpace_ReturnsFalseSuccessfully() {
    assertFalse(getStringEncoder().isEncodeEquals(null, " "));
}</t>
  </si>
  <si>
    <t>@Test
public final void testIsEncodeEquals_CornerCase_SecondNameNull_ReturnsFalse() {
    assertFalse(this.getStringEncoder().isEncodeEquals("test", null));
}
@Test
public final void testCompare_Surname_SZLAMAWICZ_SHLAMOVITZ_SuccessfullyMatched() {
    assertTrue(this.getStringEncoder().isEncodeEquals("SZLAMAWICZ", "SHLAMOVITZ"));
}</t>
  </si>
  <si>
    <t>@Test
public final void testIsEncodeEquals_CornerCase_SecondNameNull_ReturnsFalse() {
    assertFalse(this.getStringEncoder().isEncodeEquals("test", null));
}
@Test
public final void testCompare_Surname_MOSKOWITZ_MOSKOVITZ_SuccessfullyMatched() {
    assertTrue(this.getStringEncoder().isEncodeEquals("Moskowitz", "Moskovitz"));
}</t>
  </si>
  <si>
    <t>@Test
public final void testIsEncodeEquals_CornerCase_SecondNameNull_ReturnsFalse() {
    assertFalse(this.getStringEncoder().isEncodeEquals("test", null));
}
@Test
public final void testCompare_Surname_LEWINSKY_LEVINSKI_SuccessfullyMatched() {
    assertTrue(this.getStringEncoder().isEncodeEquals("LEWINSKY", "LEVINSKI"));
}</t>
  </si>
  <si>
    <t>@Test
public final void testIsEncodeEquals_CornerCase_SecondNameNull_ReturnsFalse() {
    assertFalse(this.getStringEncoder().isEncodeEquals("test", null));
}
// ***** Begin Region - Test Get Encoding - Surnames
@Test
public final void testCompare_Surname_OSULLIVAN_OSUILLEABHAIN_SuccessfulMatch() {
    assertTrue(this.getStringEncoder().isEncodeEquals("O'Sullivan", "Ó ' Súilleabháin"));
}</t>
  </si>
  <si>
    <t>@Test
public final void testIsEncodeEquals_CornerCase_SecondNameNull_ReturnsFalse() {
    assertFalse(this.getStringEncoder().isEncodeEquals("test", null));
}
@Test
public final void testCompare_Surname_PRZEMYSL_PSHEMESHIL_SuccessfullyMatched() {
    assertTrue(this.getStringEncoder().isEncodeEquals(" P rz e m y s l", " P sh e m e sh i l"));
}</t>
  </si>
  <si>
    <t>@Test
public final void testIsEncodeEquals_CornerCase_SecondNameNull_ReturnsFalse() {
    assertFalse(this.getStringEncoder().isEncodeEquals("test", null));
}
@Test
public final void testCompare_Surname_LIPSHITZ_LIPPSZYC_SuccessfullyMatched() {
    assertTrue(this.getStringEncoder().isEncodeEquals("LIPSHITZ", "LIPPSZYC"));
}</t>
  </si>
  <si>
    <t>@Test
public final void testIsEncodeEquals_CornerCase_SecondNameNull_ReturnsFalse() {
    assertFalse(this.getStringEncoder().isEncodeEquals("test", null));
}
@Test
public final void testCompare_LongSurnames_MORIARTY_OMUIRCHEARTAIGH_DoesNotSuccessfulMatch() {
    assertFalse(this.getStringEncoder().isEncodeEquals("Moriarty", "OMuircheartaigh"));
}</t>
  </si>
  <si>
    <t>@Test
public final void testIsEncodeEquals_CornerCase_SecondNameNull_ReturnsFalse() {
    assertFalse(this.getStringEncoder().isEncodeEquals("test", null));
}
@Test
public final void testCompare_Surname_ROSOCHOWACIEC_ROSOKHOVATSETS_SuccessfullyMatched() {
    assertTrue(this.getStringEncoder().isEncodeEquals("R o s o ch o w a c ie c", " R o s o k ho v a ts e ts"));
}</t>
  </si>
  <si>
    <t>@Test
public final void testIsEncodeEquals_CornerCase_SecondNameNull_ReturnsFalse() {
    assertFalse(this.getStringEncoder().isEncodeEquals("test", null));
}
@Test
public final void testCompare_COLM_COLIN_WithAccentsAndSymbolsAndSpaces_SuccessfullyMatched() {
    assertTrue(this.getStringEncoder().isEncodeEquals("Cólm.   ", "C-olín"));
}</t>
  </si>
  <si>
    <t>@Test
public final void testIsEncodeEquals_CornerCase_SecondNameNull_ReturnsFalse() {
    assertFalse(this.getStringEncoder().isEncodeEquals("test", null));
}
@Test
public final void testCompare_LongSurnames_OMUIRCHEARTAIGH_OMIREADHAIGH_SuccessfulMatch() {
    assertTrue(this.getStringEncoder().isEncodeEquals("o'muireadhaigh", "Ó 'Muircheartaigh "));
}</t>
  </si>
  <si>
    <t>@Test
public final void testIsEncodeEquals_CornerCase_FirstNameNull_ReturnsFalse() {
    assertFalse(this.getStringEncoder().isEncodeEquals(null, "test"));
}
@Test
public final void testCompare_SurnameCornerCase_Nulls_NoMatch() {
    assertFalse(this.getStringEncoder().isEncodeEquals(null, null));
}</t>
  </si>
  <si>
    <t>@Test
public final void testIsEncodeEquals_CornerCase_FirstNameNull_ReturnsFalse() {
    assertFalse(this.getStringEncoder().isEncodeEquals(null, "test"));
}
@Test
public final void testCompare_SurnamesCornerCase_MURPHY_NoSpace_NoMatch() {
    assertFalse(this.getStringEncoder().isEncodeEquals("Murphy", ""));
}</t>
  </si>
  <si>
    <t>@Test
public final void testIsEncodeEquals_CornerCase_FirstNameNull_ReturnsFalse() {
    assertFalse(this.getStringEncoder().isEncodeEquals(null, "test"));
}
@Test
public final void testCompare_SurnamesCornerCase_MURPHY_Space_NoMatch() {
    assertFalse(this.getStringEncoder().isEncodeEquals("Murphy", " "));
}</t>
  </si>
  <si>
    <t>@Test
public final void testIsEncodeEquals_CornerCase_FirstNameNull_ReturnsFalse() {
    assertFalse(this.getStringEncoder().isEncodeEquals(null, "test"));
}
@Test
public final void testCompare_Forenames_SEAN_PETE_NoMatchExpected() {
    assertFalse(this.getStringEncoder().isEncodeEquals("Sean", "Pete"));
}</t>
  </si>
  <si>
    <t>@Test
public final void testIsEncodeEquals_CornerCase_FirstNameNull_ReturnsFalse() {
    assertFalse(this.getStringEncoder().isEncodeEquals(null, "test"));
}
@Test
public final void testCompare_ShortNames_AL_ED_WorksButNoMatch() {
    assertFalse(this.getStringEncoder().isEncodeEquals("Al", "Ed"));
}</t>
  </si>
  <si>
    <t>@Test
public final void testIsEncodeEquals_CornerCase_FirstNameNull_ReturnsFalse() {
    assertFalse(this.getStringEncoder().isEncodeEquals(null, "test"));
}
@Test
public final void testCompare_KARL_ALESSANDRO_DoesNotMatch() {
    assertFalse(this.getStringEncoder().isEncodeEquals("Karl", "Alessandro"));
}</t>
  </si>
  <si>
    <t>@Test
public final void testIsEncodeEquals_CornerCase_FirstNameNull_ReturnsFalse() {
    assertFalse(this.getStringEncoder().isEncodeEquals(null, "test"));
}
@Test
public final void testCompareNameNullSpace_ReturnsFalseSuccessfully() {
    assertFalse(getStringEncoder().isEncodeEquals(null, " "));
}</t>
  </si>
  <si>
    <t>@Test
public final void testIsEncodeEquals_CornerCase_FirstNameNull_ReturnsFalse() {
    assertFalse(this.getStringEncoder().isEncodeEquals(null, "test"));
}
@Test
public final void testCompare_Surnames_MURPHY_LYNCH_NoMatchExpected() {
    assertFalse(this.getStringEncoder().isEncodeEquals("Murphy", "Lynch"));
}</t>
  </si>
  <si>
    <t>@Test
public final void testIsEncodeEquals_CornerCase_FirstNameNull_ReturnsFalse() {
    assertFalse(this.getStringEncoder().isEncodeEquals(null, "test"));
}
@Test
public final void testCompare_Forenames_SEAN_JOHN_MatchExpected() {
    assertTrue(this.getStringEncoder().isEncodeEquals("Sean", "John"));
}</t>
  </si>
  <si>
    <t>@Test
public final void testIsEncodeEquals_CornerCase_FirstNameNull_ReturnsFalse() {
    assertFalse(this.getStringEncoder().isEncodeEquals(null, "test"));
}
@Test
public final void testCompareNameToSingleLetter_KARL_C_DoesNotMatch() {
    assertFalse(this.getStringEncoder().isEncodeEquals("Karl", "C"));
}</t>
  </si>
  <si>
    <t>@Test
public final void testIsEncodeEquals_CornerCase_FirstNameNull_ReturnsFalse() {
    assertFalse(this.getStringEncoder().isEncodeEquals(null, "test"));
}
@Test
public final void testCompare_SEAN_SHAUN_SuccessfullyMatched() {
    assertTrue(this.getStringEncoder().isEncodeEquals("Séan", "Shaun"));
}</t>
  </si>
  <si>
    <t>@Test
public final void testIsEncodeEquals_CornerCase_FirstNameNull_ReturnsFalse() {
    assertFalse(this.getStringEncoder().isEncodeEquals(null, "test"));
}
@Test
public final void testCompare_SmallInput_CARK_Kl_SuccessfullyMatched() {
    assertTrue(this.getStringEncoder().isEncodeEquals("Kl", "Karl"));
}</t>
  </si>
  <si>
    <t>@Test
public final void testIsEncodeEquals_CornerCase_FirstNameNull_ReturnsFalse() {
    assertFalse(this.getStringEncoder().isEncodeEquals(null, "test"));
}
@Test
public final void testCompare_TOMASZ_TOM_SuccessfullyMatched() {
    assertTrue(this.getStringEncoder().isEncodeEquals("Tomasz", "tom"));
}</t>
  </si>
  <si>
    <t>@Test
public final void testIsEncodeEquals_CornerCase_FirstNameNull_ReturnsFalse() {
    assertFalse(this.getStringEncoder().isEncodeEquals(null, "test"));
}
@Test
public final void testCompare_SAM_SAMUEL_SuccessfullyMatched() {
    assertTrue(this.getStringEncoder().isEncodeEquals("Sam", "Samuel"));
}</t>
  </si>
  <si>
    <t>@Test
public final void testIsEncodeEquals_CornerCase_FirstNameNull_ReturnsFalse() {
    assertFalse(this.getStringEncoder().isEncodeEquals(null, "test"));
}
@Test
public final void testCompare_Forenames_UNA_OONAGH_ShouldSuccessfullyMatchButDoesNot() {
    // Disappointing
    assertFalse(this.getStringEncoder().isEncodeEquals("Úna", "Oonagh"));
}</t>
  </si>
  <si>
    <t>@Test
public final void testIsEncodeEquals_CornerCase_FirstNameNull_ReturnsFalse() {
    assertFalse(this.getStringEncoder().isEncodeEquals(null, "test"));
}
@Test
public final void testCompare_BURNS_BOURNE_SuccessfullyMatched() {
    assertTrue(this.getStringEncoder().isEncodeEquals("Burns", "Bourne"));
}</t>
  </si>
  <si>
    <t>@Test
public final void testIsEncodeEquals_CornerCase_FirstNameNull_ReturnsFalse() {
    assertFalse(this.getStringEncoder().isEncodeEquals(null, "test"));
}
@Test
public final void testCompare_MICKY_MICHAEL_SuccessfullyMatched() {
    assertTrue(this.getStringEncoder().isEncodeEquals("Micky", "Michael"));
}</t>
  </si>
  <si>
    <t>@Test
public final void testIsEncodeEquals_CornerCase_FirstNameNull_ReturnsFalse() {
    assertFalse(this.getStringEncoder().isEncodeEquals(null, "test"));
}
@Test
public final void testCompare_STEVEN_STEFAN_SuccessfullyMatched() {
    assertTrue(this.getStringEncoder().isEncodeEquals("Steven", "Stefan"));
}</t>
  </si>
  <si>
    <t>@Test
public final void testIsEncodeEquals_CornerCase_FirstNameNull_ReturnsFalse() {
    assertFalse(this.getStringEncoder().isEncodeEquals(null, "test"));
}
@Test
public final void testCompare_STEPHEN_STEFAN_SuccessfullyMatched() {
    assertTrue(this.getStringEncoder().isEncodeEquals("Stephen", "Stefan"));
}</t>
  </si>
  <si>
    <t>@Test
public final void testIsEncodeEquals_CornerCase_FirstNameNull_ReturnsFalse() {
    assertFalse(this.getStringEncoder().isEncodeEquals(null, "test"));
}
@Test
public final void testCompare_FRANCISZEK_FRANCES_SuccessfullyMatched() {
    assertTrue(this.getStringEncoder().isEncodeEquals("Franciszek", "Frances"));
}</t>
  </si>
  <si>
    <t>@Test
public final void testIsEncodeEquals_CornerCase_FirstNameNull_ReturnsFalse() {
    assertFalse(this.getStringEncoder().isEncodeEquals(null, "test"));
}
@Test
public final void testCompare_BRIAN_BRYAN_SuccessfullyMatched() {
    assertTrue(this.getStringEncoder().isEncodeEquals("Brian", "Bryan"));
}</t>
  </si>
  <si>
    <t>@Test
public final void testIsEncodeEquals_CornerCase_FirstNameNull_ReturnsFalse() {
    assertFalse(this.getStringEncoder().isEncodeEquals(null, "test"));
}
// ***** END REGION - TEST GET MRA ENCODING
// ***** BEGIN REGION - TEST GET MRA COMPARISONS
@Test
public final void testCompare_SMITH_SMYTH_SuccessfullyMatched() {
    assertTrue(this.getStringEncoder().isEncodeEquals("smith", "smyth"));
}</t>
  </si>
  <si>
    <t>@Test
public final void testIsEncodeEquals_CornerCase_FirstNameNull_ReturnsFalse() {
    assertFalse(this.getStringEncoder().isEncodeEquals(null, "test"));
}
@Test
public final void testCompare_CATHERINE_KATHRYN_SuccessfullyMatched() {
    assertTrue(this.getStringEncoder().isEncodeEquals("Catherine", "Kathryn"));
}</t>
  </si>
  <si>
    <t>@Test
public final void testIsEncodeEquals_CornerCase_FirstNameNull_ReturnsFalse() {
    assertFalse(this.getStringEncoder().isEncodeEquals(null, "test"));
}
@Test
public final void testCompare_ZACH_ZAKARIA_SuccessfullyMatched() {
    assertTrue(this.getStringEncoder().isEncodeEquals("Zach", "Zacharia"));
}</t>
  </si>
  <si>
    <t>@Test
public final void testIsEncodeEquals_CornerCase_FirstNameNull_ReturnsFalse() {
    assertFalse(this.getStringEncoder().isEncodeEquals(null, "test"));
}
@Test
public final void testCompare_OONA_OONAGH_SuccessfullyMatched() {
    assertTrue(this.getStringEncoder().isEncodeEquals("Oona", "Oonagh"));
}</t>
  </si>
  <si>
    <t>@Test
public final void testIsEncodeEquals_CornerCase_FirstNameNull_ReturnsFalse() {
    assertFalse(this.getStringEncoder().isEncodeEquals(null, "test"));
}
@Test
public final void testCompare_STEPHEN_STEVEN_SuccessfullyMatched() {
    assertTrue(this.getStringEncoder().isEncodeEquals("Stephen", "Steven"));
}</t>
  </si>
  <si>
    <t>@Test
public final void testIsEncodeEquals_CornerCase_FirstNameNull_ReturnsFalse() {
    assertFalse(this.getStringEncoder().isEncodeEquals(null, "test"));
}
@Test
public final void testCompare_SOPHIE_SOFIA_SuccessfullyMatched() {
    assertTrue(this.getStringEncoder().isEncodeEquals("Sophie", "Sofia"));
}</t>
  </si>
  <si>
    <t>@Test
public final void testIsEncodeEquals_CornerCase_FirstNameNull_ReturnsFalse() {
    assertFalse(this.getStringEncoder().isEncodeEquals(null, "test"));
}
// **** BEGIN YIDDISH/SLAVIC SECTION ****
@Test
public final void testCompare_Surname_AUERBACH_UHRBACH_SuccessfullyMatched() {
    assertTrue(this.getStringEncoder().isEncodeEquals("Auerbach", "Uhrbach"));
}</t>
  </si>
  <si>
    <t>@Test
public final void testIsEncodeEquals_CornerCase_FirstNameNull_ReturnsFalse() {
    assertFalse(this.getStringEncoder().isEncodeEquals(null, "test"));
}
@Test
public final void testCompareNameSameNames_ReturnsFalseSuccessfully() {
    assertTrue(getStringEncoder().isEncodeEquals("John", "John"));
}</t>
  </si>
  <si>
    <t>@Test
public final void testIsEncodeEquals_CornerCase_FirstNameNull_ReturnsFalse() {
    assertFalse(this.getStringEncoder().isEncodeEquals(null, "test"));
}
@Test
public final void testCompare_Surname_HAILEY_HALLEY_SuccessfullyMatched() {
    assertTrue(this.getStringEncoder().isEncodeEquals("Hailey", "Halley"));
}</t>
  </si>
  <si>
    <t>@Test
public final void testIsEncodeEquals_CornerCase_FirstNameNull_ReturnsFalse() {
    assertFalse(this.getStringEncoder().isEncodeEquals(null, "test"));
}
// **** END YIDDISH/SLAVIC SECTION ****
@Test
public final void testCompare_PETERSON_PETERS_SuccessfullyMatched() {
    assertTrue(this.getStringEncoder().isEncodeEquals("Peterson", "Peters"));
}</t>
  </si>
  <si>
    <t>@Test
public final void testIsEncodeEquals_CornerCase_FirstNameNull_ReturnsFalse() {
    assertFalse(this.getStringEncoder().isEncodeEquals(null, "test"));
}
@Test
public final void testCompare_Surname_COOPERFLYNN_SUPERLYN_SuccessfullyMatched() {
    assertTrue(this.getStringEncoder().isEncodeEquals("Cooper-Flynn", "Super-Lyn"));
}</t>
  </si>
  <si>
    <t>@Test
public final void testIsEncodeEquals_CornerCase_FirstNameNull_ReturnsFalse() {
    assertFalse(this.getStringEncoder().isEncodeEquals(null, "test"));
}
@Test
public final void testCompare_Surname_LEWINSKY_LEVINSKI_SuccessfullyMatched() {
    assertTrue(this.getStringEncoder().isEncodeEquals("LEWINSKY", "LEVINSKI"));
}</t>
  </si>
  <si>
    <t>@Test
public final void testIsEncodeEquals_CornerCase_FirstNameNull_ReturnsFalse() {
    assertFalse(this.getStringEncoder().isEncodeEquals(null, "test"));
}
@Test
public final void testCompare_MCGOWAN_MCGEOGHEGAN_SuccessfullyMatched() {
    assertTrue(this.getStringEncoder().isEncodeEquals("McGowan", "Mc Geoghegan"));
}</t>
  </si>
  <si>
    <t>@Test
public final void testIsEncodeEquals_CornerCase_FirstNameNull_ReturnsFalse() {
    assertFalse(this.getStringEncoder().isEncodeEquals(null, "test"));
}
@Test
public final void testCompare_Surname_LIPSHITZ_LIPPSZYC_SuccessfullyMatched() {
    assertTrue(this.getStringEncoder().isEncodeEquals("LIPSHITZ", "LIPPSZYC"));
}</t>
  </si>
  <si>
    <t>@Test
public final void testIsEncodeEquals_CornerCase_FirstNameNull_ReturnsFalse() {
    assertFalse(this.getStringEncoder().isEncodeEquals(null, "test"));
}
@Test
public final void testCompare_Surname_MOSKOWITZ_MOSKOVITZ_SuccessfullyMatched() {
    assertTrue(this.getStringEncoder().isEncodeEquals("Moskowitz", "Moskovitz"));
}</t>
  </si>
  <si>
    <t>@Test
public final void testIsEncodeEquals_CornerCase_FirstNameNull_ReturnsFalse() {
    assertFalse(this.getStringEncoder().isEncodeEquals(null, "test"));
}
@Test
public final void testCompare_Surname_PRZEMYSL_PSHEMESHIL_SuccessfullyMatched() {
    assertTrue(this.getStringEncoder().isEncodeEquals(" P rz e m y s l", " P sh e m e sh i l"));
}</t>
  </si>
  <si>
    <t>@Test
public final void testIsEncodeEquals_CornerCase_FirstNameNull_ReturnsFalse() {
    assertFalse(this.getStringEncoder().isEncodeEquals(null, "test"));
}
@Test
public final void testCompare_Surname_SZLAMAWICZ_SHLAMOVITZ_SuccessfullyMatched() {
    assertTrue(this.getStringEncoder().isEncodeEquals("SZLAMAWICZ", "SHLAMOVITZ"));
}</t>
  </si>
  <si>
    <t>@Test
public final void testIsEncodeEquals_CornerCase_FirstNameNull_ReturnsFalse() {
    assertFalse(this.getStringEncoder().isEncodeEquals(null, "test"));
}
@Test
public final void testCompare_LongSurnames_MORIARTY_OMUIRCHEARTAIGH_DoesNotSuccessfulMatch() {
    assertFalse(this.getStringEncoder().isEncodeEquals("Moriarty", "OMuircheartaigh"));
}</t>
  </si>
  <si>
    <t>@Test
public final void testIsEncodeEquals_CornerCase_FirstNameNull_ReturnsFalse() {
    assertFalse(this.getStringEncoder().isEncodeEquals(null, "test"));
}
// ***** Begin Region - Test Get Encoding - Surnames
@Test
public final void testCompare_Surname_OSULLIVAN_OSUILLEABHAIN_SuccessfulMatch() {
    assertTrue(this.getStringEncoder().isEncodeEquals("O'Sullivan", "Ó ' Súilleabháin"));
}</t>
  </si>
  <si>
    <t>@Test
public final void testIsEncodeEquals_CornerCase_FirstNameNull_ReturnsFalse() {
    assertFalse(this.getStringEncoder().isEncodeEquals(null, "test"));
}
@Test
public final void testCompare_Surname_ROSOCHOWACIEC_ROSOKHOVATSETS_SuccessfullyMatched() {
    assertTrue(this.getStringEncoder().isEncodeEquals("R o s o ch o w a c ie c", " R o s o k ho v a ts e ts"));
}</t>
  </si>
  <si>
    <t>@Test
public final void testIsEncodeEquals_CornerCase_FirstNameNull_ReturnsFalse() {
    assertFalse(this.getStringEncoder().isEncodeEquals(null, "test"));
}
@Test
public final void testCompare_LongSurnames_OMUIRCHEARTAIGH_OMIREADHAIGH_SuccessfulMatch() {
    assertTrue(this.getStringEncoder().isEncodeEquals("o'muireadhaigh", "Ó 'Muircheartaigh "));
}</t>
  </si>
  <si>
    <t>@Test
public final void testIsEncodeEquals_CornerCase_FirstNameNull_ReturnsFalse() {
    assertFalse(this.getStringEncoder().isEncodeEquals(null, "test"));
}
@Test
public final void testCompare_COLM_COLIN_WithAccentsAndSymbolsAndSpaces_SuccessfullyMatched() {
    assertTrue(this.getStringEncoder().isEncodeEquals("Cólm.   ", "C-olín"));
}</t>
  </si>
  <si>
    <t>@Test
public final void testIsEncodeEquals_CornerCase_FirstNameJust1Letter_ReturnsFalse() {
    assertFalse(this.getStringEncoder().isEncodeEquals("t", "test"));
}
@Test
public final void testCompare_SurnamesCornerCase_MURPHY_Space_NoMatch() {
    assertFalse(this.getStringEncoder().isEncodeEquals("Murphy", " "));
}</t>
  </si>
  <si>
    <t>@Test
public final void testIsEncodeEquals_CornerCase_FirstNameJust1Letter_ReturnsFalse() {
    assertFalse(this.getStringEncoder().isEncodeEquals("t", "test"));
}
@Test
public final void testCompare_SurnamesCornerCase_MURPHY_NoSpace_NoMatch() {
    assertFalse(this.getStringEncoder().isEncodeEquals("Murphy", ""));
}</t>
  </si>
  <si>
    <t>@Test
public final void testIsEncodeEquals_CornerCase_FirstNameJust1Letter_ReturnsFalse() {
    assertFalse(this.getStringEncoder().isEncodeEquals("t", "test"));
}
@Test
public final void testCompare_ShortNames_AL_ED_WorksButNoMatch() {
    assertFalse(this.getStringEncoder().isEncodeEquals("Al", "Ed"));
}</t>
  </si>
  <si>
    <t>@Test
public final void testIsEncodeEquals_CornerCase_FirstNameJust1Letter_ReturnsFalse() {
    assertFalse(this.getStringEncoder().isEncodeEquals("t", "test"));
}
@Test
public final void testCompare_Forenames_SEAN_PETE_NoMatchExpected() {
    assertFalse(this.getStringEncoder().isEncodeEquals("Sean", "Pete"));
}</t>
  </si>
  <si>
    <t>@Test
public final void testIsEncodeEquals_CornerCase_FirstNameJust1Letter_ReturnsFalse() {
    assertFalse(this.getStringEncoder().isEncodeEquals("t", "test"));
}
@Test
public final void testCompareNameToSingleLetter_KARL_C_DoesNotMatch() {
    assertFalse(this.getStringEncoder().isEncodeEquals("Karl", "C"));
}</t>
  </si>
  <si>
    <t>@Test
public final void testIsEncodeEquals_CornerCase_FirstNameJust1Letter_ReturnsFalse() {
    assertFalse(this.getStringEncoder().isEncodeEquals("t", "test"));
}
@Test
public final void testCompare_Surnames_MURPHY_LYNCH_NoMatchExpected() {
    assertFalse(this.getStringEncoder().isEncodeEquals("Murphy", "Lynch"));
}</t>
  </si>
  <si>
    <t>@Test
public final void testIsEncodeEquals_CornerCase_FirstNameJust1Letter_ReturnsFalse() {
    assertFalse(this.getStringEncoder().isEncodeEquals("t", "test"));
}
@Test
public final void testCompare_Forenames_SEAN_JOHN_MatchExpected() {
    assertTrue(this.getStringEncoder().isEncodeEquals("Sean", "John"));
}</t>
  </si>
  <si>
    <t>@Test
public final void testIsEncodeEquals_CornerCase_FirstNameJust1Letter_ReturnsFalse() {
    assertFalse(this.getStringEncoder().isEncodeEquals("t", "test"));
}
@Test
public final void testCompare_KARL_ALESSANDRO_DoesNotMatch() {
    assertFalse(this.getStringEncoder().isEncodeEquals("Karl", "Alessandro"));
}</t>
  </si>
  <si>
    <t>@Test
public final void testIsEncodeEquals_CornerCase_FirstNameJust1Letter_ReturnsFalse() {
    assertFalse(this.getStringEncoder().isEncodeEquals("t", "test"));
}
@Test
public final void testCompare_SurnameCornerCase_Nulls_NoMatch() {
    assertFalse(this.getStringEncoder().isEncodeEquals(null, null));
}</t>
  </si>
  <si>
    <t>@Test
public final void testIsEncodeEquals_CornerCase_FirstNameJust1Letter_ReturnsFalse() {
    assertFalse(this.getStringEncoder().isEncodeEquals("t", "test"));
}
@Test
public final void testCompare_Surname_HAILEY_HALLEY_SuccessfullyMatched() {
    assertTrue(this.getStringEncoder().isEncodeEquals("Hailey", "Halley"));
}</t>
  </si>
  <si>
    <t>@Test
public final void testIsEncodeEquals_CornerCase_FirstNameJust1Letter_ReturnsFalse() {
    assertFalse(this.getStringEncoder().isEncodeEquals("t", "test"));
}
@Test
public final void testCompare_SEAN_SHAUN_SuccessfullyMatched() {
    assertTrue(this.getStringEncoder().isEncodeEquals("Séan", "Shaun"));
}</t>
  </si>
  <si>
    <t>@Test
public final void testIsEncodeEquals_CornerCase_FirstNameJust1Letter_ReturnsFalse() {
    assertFalse(this.getStringEncoder().isEncodeEquals("t", "test"));
}
@Test
public final void testCompare_Forenames_UNA_OONAGH_ShouldSuccessfullyMatchButDoesNot() {
    // Disappointing
    assertFalse(this.getStringEncoder().isEncodeEquals("Úna", "Oonagh"));
}</t>
  </si>
  <si>
    <t>@Test
public final void testIsEncodeEquals_CornerCase_FirstNameJust1Letter_ReturnsFalse() {
    assertFalse(this.getStringEncoder().isEncodeEquals("t", "test"));
}
@Test
public final void testCompare_BURNS_BOURNE_SuccessfullyMatched() {
    assertTrue(this.getStringEncoder().isEncodeEquals("Burns", "Bourne"));
}</t>
  </si>
  <si>
    <t>@Test
public final void testIsEncodeEquals_CornerCase_FirstNameJust1Letter_ReturnsFalse() {
    assertFalse(this.getStringEncoder().isEncodeEquals("t", "test"));
}
@Test
public final void testCompare_MICKY_MICHAEL_SuccessfullyMatched() {
    assertTrue(this.getStringEncoder().isEncodeEquals("Micky", "Michael"));
}</t>
  </si>
  <si>
    <t>@Test
public final void testIsEncodeEquals_CornerCase_FirstNameJust1Letter_ReturnsFalse() {
    assertFalse(this.getStringEncoder().isEncodeEquals("t", "test"));
}
@Test
public final void testCompare_Surname_LEWINSKY_LEVINSKI_SuccessfullyMatched() {
    assertTrue(this.getStringEncoder().isEncodeEquals("LEWINSKY", "LEVINSKI"));
}</t>
  </si>
  <si>
    <t>@Test
public final void testIsEncodeEquals_CornerCase_FirstNameJust1Letter_ReturnsFalse() {
    assertFalse(this.getStringEncoder().isEncodeEquals("t", "test"));
}
@Test
public final void testCompare_SmallInput_CARK_Kl_SuccessfullyMatched() {
    assertTrue(this.getStringEncoder().isEncodeEquals("Kl", "Karl"));
}</t>
  </si>
  <si>
    <t>@Test
public final void testIsEncodeEquals_CornerCase_FirstNameJust1Letter_ReturnsFalse() {
    assertFalse(this.getStringEncoder().isEncodeEquals("t", "test"));
}
// **** BEGIN YIDDISH/SLAVIC SECTION ****
@Test
public final void testCompare_Surname_AUERBACH_UHRBACH_SuccessfullyMatched() {
    assertTrue(this.getStringEncoder().isEncodeEquals("Auerbach", "Uhrbach"));
}</t>
  </si>
  <si>
    <t>@Test
public final void testIsEncodeEquals_CornerCase_FirstNameJust1Letter_ReturnsFalse() {
    assertFalse(this.getStringEncoder().isEncodeEquals("t", "test"));
}
@Test
public final void testCompare_STEVEN_STEFAN_SuccessfullyMatched() {
    assertTrue(this.getStringEncoder().isEncodeEquals("Steven", "Stefan"));
}</t>
  </si>
  <si>
    <t>@Test
public final void testIsEncodeEquals_CornerCase_FirstNameJust1Letter_ReturnsFalse() {
    assertFalse(this.getStringEncoder().isEncodeEquals("t", "test"));
}
@Test
public final void testCompare_STEPHEN_STEFAN_SuccessfullyMatched() {
    assertTrue(this.getStringEncoder().isEncodeEquals("Stephen", "Stefan"));
}</t>
  </si>
  <si>
    <t>@Test
public final void testIsEncodeEquals_CornerCase_FirstNameJust1Letter_ReturnsFalse() {
    assertFalse(this.getStringEncoder().isEncodeEquals("t", "test"));
}
@Test
public final void testCompare_FRANCISZEK_FRANCES_SuccessfullyMatched() {
    assertTrue(this.getStringEncoder().isEncodeEquals("Franciszek", "Frances"));
}</t>
  </si>
  <si>
    <t>@Test
public final void testIsEncodeEquals_CornerCase_FirstNameJust1Letter_ReturnsFalse() {
    assertFalse(this.getStringEncoder().isEncodeEquals("t", "test"));
}
@Test
public final void testCompare_BRIAN_BRYAN_SuccessfullyMatched() {
    assertTrue(this.getStringEncoder().isEncodeEquals("Brian", "Bryan"));
}</t>
  </si>
  <si>
    <t>@Test
public final void testIsEncodeEquals_CornerCase_FirstNameJust1Letter_ReturnsFalse() {
    assertFalse(this.getStringEncoder().isEncodeEquals("t", "test"));
}
@Test
public final void testCompare_CATHERINE_KATHRYN_SuccessfullyMatched() {
    assertTrue(this.getStringEncoder().isEncodeEquals("Catherine", "Kathryn"));
}</t>
  </si>
  <si>
    <t>@Test
public final void testIsEncodeEquals_CornerCase_FirstNameJust1Letter_ReturnsFalse() {
    assertFalse(this.getStringEncoder().isEncodeEquals("t", "test"));
}
@Test
public final void testCompare_ZACH_ZAKARIA_SuccessfullyMatched() {
    assertTrue(this.getStringEncoder().isEncodeEquals("Zach", "Zacharia"));
}</t>
  </si>
  <si>
    <t>@Test
public final void testIsEncodeEquals_CornerCase_FirstNameJust1Letter_ReturnsFalse() {
    assertFalse(this.getStringEncoder().isEncodeEquals("t", "test"));
}
@Test
public final void testCompare_OONA_OONAGH_SuccessfullyMatched() {
    assertTrue(this.getStringEncoder().isEncodeEquals("Oona", "Oonagh"));
}</t>
  </si>
  <si>
    <t>@Test
public final void testIsEncodeEquals_CornerCase_FirstNameJust1Letter_ReturnsFalse() {
    assertFalse(this.getStringEncoder().isEncodeEquals("t", "test"));
}
@Test
public final void testCompare_SAM_SAMUEL_SuccessfullyMatched() {
    assertTrue(this.getStringEncoder().isEncodeEquals("Sam", "Samuel"));
}</t>
  </si>
  <si>
    <t>@Test
public final void testIsEncodeEquals_CornerCase_FirstNameJust1Letter_ReturnsFalse() {
    assertFalse(this.getStringEncoder().isEncodeEquals("t", "test"));
}
@Test
public final void testCompare_STEPHEN_STEVEN_SuccessfullyMatched() {
    assertTrue(this.getStringEncoder().isEncodeEquals("Stephen", "Steven"));
}</t>
  </si>
  <si>
    <t>@Test
public final void testIsEncodeEquals_CornerCase_FirstNameJust1Letter_ReturnsFalse() {
    assertFalse(this.getStringEncoder().isEncodeEquals("t", "test"));
}
@Test
public final void testCompare_Surname_LIPSHITZ_LIPPSZYC_SuccessfullyMatched() {
    assertTrue(this.getStringEncoder().isEncodeEquals("LIPSHITZ", "LIPPSZYC"));
}</t>
  </si>
  <si>
    <t>@Test
public final void testIsEncodeEquals_CornerCase_FirstNameJust1Letter_ReturnsFalse() {
    assertFalse(this.getStringEncoder().isEncodeEquals("t", "test"));
}
@Test
public final void testCompare_TOMASZ_TOM_SuccessfullyMatched() {
    assertTrue(this.getStringEncoder().isEncodeEquals("Tomasz", "tom"));
}</t>
  </si>
  <si>
    <t>@Test
public final void testIsEncodeEquals_CornerCase_FirstNameJust1Letter_ReturnsFalse() {
    assertFalse(this.getStringEncoder().isEncodeEquals("t", "test"));
}
@Test
public final void testCompareNameSameNames_ReturnsFalseSuccessfully() {
    assertTrue(getStringEncoder().isEncodeEquals("John", "John"));
}</t>
  </si>
  <si>
    <t>@Test
public final void testIsEncodeEquals_CornerCase_FirstNameJust1Letter_ReturnsFalse() {
    assertFalse(this.getStringEncoder().isEncodeEquals("t", "test"));
}
@Test
public final void testCompare_Surname_COOPERFLYNN_SUPERLYN_SuccessfullyMatched() {
    assertTrue(this.getStringEncoder().isEncodeEquals("Cooper-Flynn", "Super-Lyn"));
}</t>
  </si>
  <si>
    <t>@Test
public final void testIsEncodeEquals_CornerCase_FirstNameJust1Letter_ReturnsFalse() {
    assertFalse(this.getStringEncoder().isEncodeEquals("t", "test"));
}
// **** END YIDDISH/SLAVIC SECTION ****
@Test
public final void testCompare_PETERSON_PETERS_SuccessfullyMatched() {
    assertTrue(this.getStringEncoder().isEncodeEquals("Peterson", "Peters"));
}</t>
  </si>
  <si>
    <t>@Test
public final void testIsEncodeEquals_CornerCase_FirstNameJust1Letter_ReturnsFalse() {
    assertFalse(this.getStringEncoder().isEncodeEquals("t", "test"));
}
// ***** END REGION - TEST GET MRA ENCODING
// ***** BEGIN REGION - TEST GET MRA COMPARISONS
@Test
public final void testCompare_SMITH_SMYTH_SuccessfullyMatched() {
    assertTrue(this.getStringEncoder().isEncodeEquals("smith", "smyth"));
}</t>
  </si>
  <si>
    <t>@Test
public final void testIsEncodeEquals_CornerCase_FirstNameJust1Letter_ReturnsFalse() {
    assertFalse(this.getStringEncoder().isEncodeEquals("t", "test"));
}
@Test
public final void testCompare_SOPHIE_SOFIA_SuccessfullyMatched() {
    assertTrue(this.getStringEncoder().isEncodeEquals("Sophie", "Sofia"));
}</t>
  </si>
  <si>
    <t>@Test
public final void testIsEncodeEquals_CornerCase_FirstNameJust1Letter_ReturnsFalse() {
    assertFalse(this.getStringEncoder().isEncodeEquals("t", "test"));
}
@Test
public final void testCompare_LongSurnames_MORIARTY_OMUIRCHEARTAIGH_DoesNotSuccessfulMatch() {
    assertFalse(this.getStringEncoder().isEncodeEquals("Moriarty", "OMuircheartaigh"));
}</t>
  </si>
  <si>
    <t>@Test
public final void testIsEncodeEquals_CornerCase_FirstNameJust1Letter_ReturnsFalse() {
    assertFalse(this.getStringEncoder().isEncodeEquals("t", "test"));
}
@Test
public final void testCompare_Surname_MOSKOWITZ_MOSKOVITZ_SuccessfullyMatched() {
    assertTrue(this.getStringEncoder().isEncodeEquals("Moskowitz", "Moskovitz"));
}</t>
  </si>
  <si>
    <t>@Test
public final void testIsEncodeEquals_CornerCase_FirstNameJust1Letter_ReturnsFalse() {
    assertFalse(this.getStringEncoder().isEncodeEquals("t", "test"));
}
@Test
public final void testCompareNameNullSpace_ReturnsFalseSuccessfully() {
    assertFalse(getStringEncoder().isEncodeEquals(null, " "));
}</t>
  </si>
  <si>
    <t>@Test
public final void testIsEncodeEquals_CornerCase_FirstNameJust1Letter_ReturnsFalse() {
    assertFalse(this.getStringEncoder().isEncodeEquals("t", "test"));
}
// ***** Begin Region - Test Get Encoding - Surnames
@Test
public final void testCompare_Surname_OSULLIVAN_OSUILLEABHAIN_SuccessfulMatch() {
    assertTrue(this.getStringEncoder().isEncodeEquals("O'Sullivan", "Ó ' Súilleabháin"));
}</t>
  </si>
  <si>
    <t>@Test
public final void testIsEncodeEquals_CornerCase_FirstNameJust1Letter_ReturnsFalse() {
    assertFalse(this.getStringEncoder().isEncodeEquals("t", "test"));
}
@Test
public final void testCompare_MCGOWAN_MCGEOGHEGAN_SuccessfullyMatched() {
    assertTrue(this.getStringEncoder().isEncodeEquals("McGowan", "Mc Geoghegan"));
}</t>
  </si>
  <si>
    <t>@Test
public final void testIsEncodeEquals_CornerCase_FirstNameJust1Letter_ReturnsFalse() {
    assertFalse(this.getStringEncoder().isEncodeEquals("t", "test"));
}
@Test
public final void testCompare_Surname_PRZEMYSL_PSHEMESHIL_SuccessfullyMatched() {
    assertTrue(this.getStringEncoder().isEncodeEquals(" P rz e m y s l", " P sh e m e sh i l"));
}</t>
  </si>
  <si>
    <t>@Test
public final void testIsEncodeEquals_CornerCase_FirstNameJust1Letter_ReturnsFalse() {
    assertFalse(this.getStringEncoder().isEncodeEquals("t", "test"));
}
@Test
public final void testCompare_Surname_SZLAMAWICZ_SHLAMOVITZ_SuccessfullyMatched() {
    assertTrue(this.getStringEncoder().isEncodeEquals("SZLAMAWICZ", "SHLAMOVITZ"));
}</t>
  </si>
  <si>
    <t>@Test
public final void testIsEncodeEquals_CornerCase_FirstNameJust1Letter_ReturnsFalse() {
    assertFalse(this.getStringEncoder().isEncodeEquals("t", "test"));
}
@Test
public final void testCompare_Surname_ROSOCHOWACIEC_ROSOKHOVATSETS_SuccessfullyMatched() {
    assertTrue(this.getStringEncoder().isEncodeEquals("R o s o ch o w a c ie c", " R o s o k ho v a ts e ts"));
}</t>
  </si>
  <si>
    <t>@Test
public final void testIsEncodeEquals_CornerCase_FirstNameJust1Letter_ReturnsFalse() {
    assertFalse(this.getStringEncoder().isEncodeEquals("t", "test"));
}
@Test
public final void testCompare_COLM_COLIN_WithAccentsAndSymbolsAndSpaces_SuccessfullyMatched() {
    assertTrue(this.getStringEncoder().isEncodeEquals("Cólm.   ", "C-olín"));
}</t>
  </si>
  <si>
    <t>@Test
public final void testIsEncodeEquals_CornerCase_FirstNameJust1Letter_ReturnsFalse() {
    assertFalse(this.getStringEncoder().isEncodeEquals("t", "test"));
}
@Test
public final void testCompare_LongSurnames_OMUIRCHEARTAIGH_OMIREADHAIGH_SuccessfulMatch() {
    assertTrue(this.getStringEncoder().isEncodeEquals("o'muireadhaigh", "Ó 'Muircheartaigh "));
}</t>
  </si>
  <si>
    <t>@Test
public final void testIsEncodeEqualsSecondNameJust1Letter_ReturnsFalse() {
    assertFalse(this.getStringEncoder().isEncodeEquals("test", "t"));
}
@Test
public final void testCompare_ShortNames_AL_ED_WorksButNoMatch() {
    assertFalse(this.getStringEncoder().isEncodeEquals("Al", "Ed"));
}</t>
  </si>
  <si>
    <t>@Test
public final void testIsEncodeEqualsSecondNameJust1Letter_ReturnsFalse() {
    assertFalse(this.getStringEncoder().isEncodeEquals("test", "t"));
}
@Test
public final void testCompareNameToSingleLetter_KARL_C_DoesNotMatch() {
    assertFalse(this.getStringEncoder().isEncodeEquals("Karl", "C"));
}</t>
  </si>
  <si>
    <t>@Test
public final void testIsEncodeEqualsSecondNameJust1Letter_ReturnsFalse() {
    assertFalse(this.getStringEncoder().isEncodeEquals("test", "t"));
}
@Test
public final void testCompare_Forenames_SEAN_PETE_NoMatchExpected() {
    assertFalse(this.getStringEncoder().isEncodeEquals("Sean", "Pete"));
}</t>
  </si>
  <si>
    <t>@Test
public final void testIsEncodeEqualsSecondNameJust1Letter_ReturnsFalse() {
    assertFalse(this.getStringEncoder().isEncodeEquals("test", "t"));
}
@Test
public final void testCompare_SurnamesCornerCase_MURPHY_Space_NoMatch() {
    assertFalse(this.getStringEncoder().isEncodeEquals("Murphy", " "));
}</t>
  </si>
  <si>
    <t>@Test
public final void testIsEncodeEqualsSecondNameJust1Letter_ReturnsFalse() {
    assertFalse(this.getStringEncoder().isEncodeEquals("test", "t"));
}
@Test
public final void testCompare_SurnamesCornerCase_MURPHY_NoSpace_NoMatch() {
    assertFalse(this.getStringEncoder().isEncodeEquals("Murphy", ""));
}</t>
  </si>
  <si>
    <t>@Test
public final void testIsEncodeEqualsSecondNameJust1Letter_ReturnsFalse() {
    assertFalse(this.getStringEncoder().isEncodeEquals("test", "t"));
}
@Test
public final void testCompare_KARL_ALESSANDRO_DoesNotMatch() {
    assertFalse(this.getStringEncoder().isEncodeEquals("Karl", "Alessandro"));
}</t>
  </si>
  <si>
    <t>@Test
public final void testIsEncodeEqualsSecondNameJust1Letter_ReturnsFalse() {
    assertFalse(this.getStringEncoder().isEncodeEquals("test", "t"));
}
@Test
public final void testCompare_Forenames_SEAN_JOHN_MatchExpected() {
    assertTrue(this.getStringEncoder().isEncodeEquals("Sean", "John"));
}</t>
  </si>
  <si>
    <t>@Test
public final void testIsEncodeEqualsSecondNameJust1Letter_ReturnsFalse() {
    assertFalse(this.getStringEncoder().isEncodeEquals("test", "t"));
}
@Test
public final void testCompare_Surnames_MURPHY_LYNCH_NoMatchExpected() {
    assertFalse(this.getStringEncoder().isEncodeEquals("Murphy", "Lynch"));
}</t>
  </si>
  <si>
    <t>@Test
public final void testIsEncodeEqualsSecondNameJust1Letter_ReturnsFalse() {
    assertFalse(this.getStringEncoder().isEncodeEquals("test", "t"));
}
@Test
public final void testCompare_SEAN_SHAUN_SuccessfullyMatched() {
    assertTrue(this.getStringEncoder().isEncodeEquals("Séan", "Shaun"));
}</t>
  </si>
  <si>
    <t>@Test
public final void testIsEncodeEqualsSecondNameJust1Letter_ReturnsFalse() {
    assertFalse(this.getStringEncoder().isEncodeEquals("test", "t"));
}
@Test
public final void testCompare_BURNS_BOURNE_SuccessfullyMatched() {
    assertTrue(this.getStringEncoder().isEncodeEquals("Burns", "Bourne"));
}</t>
  </si>
  <si>
    <t>@Test
public final void testIsEncodeEqualsSecondNameJust1Letter_ReturnsFalse() {
    assertFalse(this.getStringEncoder().isEncodeEquals("test", "t"));
}
@Test
public final void testCompare_MICKY_MICHAEL_SuccessfullyMatched() {
    assertTrue(this.getStringEncoder().isEncodeEquals("Micky", "Michael"));
}</t>
  </si>
  <si>
    <t>@Test
public final void testIsEncodeEqualsSecondNameJust1Letter_ReturnsFalse() {
    assertFalse(this.getStringEncoder().isEncodeEquals("test", "t"));
}
@Test
public final void testCompare_SmallInput_CARK_Kl_SuccessfullyMatched() {
    assertTrue(this.getStringEncoder().isEncodeEquals("Kl", "Karl"));
}</t>
  </si>
  <si>
    <t>@Test
public final void testIsEncodeEqualsSecondNameJust1Letter_ReturnsFalse() {
    assertFalse(this.getStringEncoder().isEncodeEquals("test", "t"));
}
@Test
public final void testCompare_STEVEN_STEFAN_SuccessfullyMatched() {
    assertTrue(this.getStringEncoder().isEncodeEquals("Steven", "Stefan"));
}</t>
  </si>
  <si>
    <t>@Test
public final void testIsEncodeEqualsSecondNameJust1Letter_ReturnsFalse() {
    assertFalse(this.getStringEncoder().isEncodeEquals("test", "t"));
}
@Test
public final void testCompare_STEPHEN_STEFAN_SuccessfullyMatched() {
    assertTrue(this.getStringEncoder().isEncodeEquals("Stephen", "Stefan"));
}</t>
  </si>
  <si>
    <t>@Test
public final void testIsEncodeEqualsSecondNameJust1Letter_ReturnsFalse() {
    assertFalse(this.getStringEncoder().isEncodeEquals("test", "t"));
}
@Test
public final void testCompare_TOMASZ_TOM_SuccessfullyMatched() {
    assertTrue(this.getStringEncoder().isEncodeEquals("Tomasz", "tom"));
}</t>
  </si>
  <si>
    <t>@Test
public final void testIsEncodeEqualsSecondNameJust1Letter_ReturnsFalse() {
    assertFalse(this.getStringEncoder().isEncodeEquals("test", "t"));
}
@Test
public final void testCompareNameNullSpace_ReturnsFalseSuccessfully() {
    assertFalse(getStringEncoder().isEncodeEquals(null, " "));
}</t>
  </si>
  <si>
    <t>@Test
public final void testIsEncodeEqualsSecondNameJust1Letter_ReturnsFalse() {
    assertFalse(this.getStringEncoder().isEncodeEquals("test", "t"));
}
// **** END YIDDISH/SLAVIC SECTION ****
@Test
public final void testCompare_PETERSON_PETERS_SuccessfullyMatched() {
    assertTrue(this.getStringEncoder().isEncodeEquals("Peterson", "Peters"));
}</t>
  </si>
  <si>
    <t>@Test
public final void testIsEncodeEqualsSecondNameJust1Letter_ReturnsFalse() {
    assertFalse(this.getStringEncoder().isEncodeEquals("test", "t"));
}
@Test
public final void testCompare_BRIAN_BRYAN_SuccessfullyMatched() {
    assertTrue(this.getStringEncoder().isEncodeEquals("Brian", "Bryan"));
}</t>
  </si>
  <si>
    <t>@Test
public final void testIsEncodeEqualsSecondNameJust1Letter_ReturnsFalse() {
    assertFalse(this.getStringEncoder().isEncodeEquals("test", "t"));
}
// ***** END REGION - TEST GET MRA ENCODING
// ***** BEGIN REGION - TEST GET MRA COMPARISONS
@Test
public final void testCompare_SMITH_SMYTH_SuccessfullyMatched() {
    assertTrue(this.getStringEncoder().isEncodeEquals("smith", "smyth"));
}</t>
  </si>
  <si>
    <t>@Test
public final void testIsEncodeEqualsSecondNameJust1Letter_ReturnsFalse() {
    assertFalse(this.getStringEncoder().isEncodeEquals("test", "t"));
}
@Test
public final void testCompare_OONA_OONAGH_SuccessfullyMatched() {
    assertTrue(this.getStringEncoder().isEncodeEquals("Oona", "Oonagh"));
}</t>
  </si>
  <si>
    <t>@Test
public final void testIsEncodeEqualsSecondNameJust1Letter_ReturnsFalse() {
    assertFalse(this.getStringEncoder().isEncodeEquals("test", "t"));
}
@Test
public final void testCompare_SAM_SAMUEL_SuccessfullyMatched() {
    assertTrue(this.getStringEncoder().isEncodeEquals("Sam", "Samuel"));
}</t>
  </si>
  <si>
    <t>@Test
public final void testIsEncodeEqualsSecondNameJust1Letter_ReturnsFalse() {
    assertFalse(this.getStringEncoder().isEncodeEquals("test", "t"));
}
@Test
public final void testCompare_STEPHEN_STEVEN_SuccessfullyMatched() {
    assertTrue(this.getStringEncoder().isEncodeEquals("Stephen", "Steven"));
}</t>
  </si>
  <si>
    <t>@Test
public final void testIsEncodeEqualsSecondNameJust1Letter_ReturnsFalse() {
    assertFalse(this.getStringEncoder().isEncodeEquals("test", "t"));
}
@Test
public final void testCompare_SurnameCornerCase_Nulls_NoMatch() {
    assertFalse(this.getStringEncoder().isEncodeEquals(null, null));
}</t>
  </si>
  <si>
    <t>@Test
public final void testIsEncodeEqualsSecondNameJust1Letter_ReturnsFalse() {
    assertFalse(this.getStringEncoder().isEncodeEquals("test", "t"));
}
@Test
public final void testCompareNameSameNames_ReturnsFalseSuccessfully() {
    assertTrue(getStringEncoder().isEncodeEquals("John", "John"));
}</t>
  </si>
  <si>
    <t>@Test
public final void testIsEncodeEqualsSecondNameJust1Letter_ReturnsFalse() {
    assertFalse(this.getStringEncoder().isEncodeEquals("test", "t"));
}
@Test
public final void testCompare_Surname_HAILEY_HALLEY_SuccessfullyMatched() {
    assertTrue(this.getStringEncoder().isEncodeEquals("Hailey", "Halley"));
}</t>
  </si>
  <si>
    <t>@Test
public final void testIsEncodeEqualsSecondNameJust1Letter_ReturnsFalse() {
    assertFalse(this.getStringEncoder().isEncodeEquals("test", "t"));
}
@Test
public final void testCompare_ZACH_ZAKARIA_SuccessfullyMatched() {
    assertTrue(this.getStringEncoder().isEncodeEquals("Zach", "Zacharia"));
}</t>
  </si>
  <si>
    <t>@Test
public final void testIsEncodeEqualsSecondNameJust1Letter_ReturnsFalse() {
    assertFalse(this.getStringEncoder().isEncodeEquals("test", "t"));
}
@Test
public final void testCompare_SOPHIE_SOFIA_SuccessfullyMatched() {
    assertTrue(this.getStringEncoder().isEncodeEquals("Sophie", "Sofia"));
}</t>
  </si>
  <si>
    <t>@Test
public final void testIsEncodeEqualsSecondNameJust1Letter_ReturnsFalse() {
    assertFalse(this.getStringEncoder().isEncodeEquals("test", "t"));
}
@Test
public final void testCompare_Surname_LEWINSKY_LEVINSKI_SuccessfullyMatched() {
    assertTrue(this.getStringEncoder().isEncodeEquals("LEWINSKY", "LEVINSKI"));
}</t>
  </si>
  <si>
    <t>@Test
public final void testIsEncodeEqualsSecondNameJust1Letter_ReturnsFalse() {
    assertFalse(this.getStringEncoder().isEncodeEquals("test", "t"));
}
// **** BEGIN YIDDISH/SLAVIC SECTION ****
@Test
public final void testCompare_Surname_AUERBACH_UHRBACH_SuccessfullyMatched() {
    assertTrue(this.getStringEncoder().isEncodeEquals("Auerbach", "Uhrbach"));
}</t>
  </si>
  <si>
    <t>@Test
public final void testIsEncodeEqualsSecondNameJust1Letter_ReturnsFalse() {
    assertFalse(this.getStringEncoder().isEncodeEquals("test", "t"));
}
@Test
public final void testCompare_FRANCISZEK_FRANCES_SuccessfullyMatched() {
    assertTrue(this.getStringEncoder().isEncodeEquals("Franciszek", "Frances"));
}</t>
  </si>
  <si>
    <t>@Test
public final void testIsEncodeEqualsSecondNameJust1Letter_ReturnsFalse() {
    assertFalse(this.getStringEncoder().isEncodeEquals("test", "t"));
}
@Test
public final void testCompare_MCGOWAN_MCGEOGHEGAN_SuccessfullyMatched() {
    assertTrue(this.getStringEncoder().isEncodeEquals("McGowan", "Mc Geoghegan"));
}</t>
  </si>
  <si>
    <t>@Test
public final void testIsEncodeEqualsSecondNameJust1Letter_ReturnsFalse() {
    assertFalse(this.getStringEncoder().isEncodeEquals("test", "t"));
}
@Test
public final void testCompare_CATHERINE_KATHRYN_SuccessfullyMatched() {
    assertTrue(this.getStringEncoder().isEncodeEquals("Catherine", "Kathryn"));
}</t>
  </si>
  <si>
    <t>@Test
public final void testIsEncodeEqualsSecondNameJust1Letter_ReturnsFalse() {
    assertFalse(this.getStringEncoder().isEncodeEquals("test", "t"));
}
@Test
public final void testCompare_Surname_LIPSHITZ_LIPPSZYC_SuccessfullyMatched() {
    assertTrue(this.getStringEncoder().isEncodeEquals("LIPSHITZ", "LIPPSZYC"));
}</t>
  </si>
  <si>
    <t>@Test
public final void testIsEncodeEqualsSecondNameJust1Letter_ReturnsFalse() {
    assertFalse(this.getStringEncoder().isEncodeEquals("test", "t"));
}
@Test
public final void testCompare_Surname_MOSKOWITZ_MOSKOVITZ_SuccessfullyMatched() {
    assertTrue(this.getStringEncoder().isEncodeEquals("Moskowitz", "Moskovitz"));
}</t>
  </si>
  <si>
    <t>@Test
public final void testIsEncodeEqualsSecondNameJust1Letter_ReturnsFalse() {
    assertFalse(this.getStringEncoder().isEncodeEquals("test", "t"));
}
// ***** Begin Region - Test Get Encoding - Surnames
@Test
public final void testCompare_Surname_OSULLIVAN_OSUILLEABHAIN_SuccessfulMatch() {
    assertTrue(this.getStringEncoder().isEncodeEquals("O'Sullivan", "Ó ' Súilleabháin"));
}</t>
  </si>
  <si>
    <t>@Test
public final void testIsEncodeEqualsSecondNameJust1Letter_ReturnsFalse() {
    assertFalse(this.getStringEncoder().isEncodeEquals("test", "t"));
}
@Test
public final void testCompare_Surname_PRZEMYSL_PSHEMESHIL_SuccessfullyMatched() {
    assertTrue(this.getStringEncoder().isEncodeEquals(" P rz e m y s l", " P sh e m e sh i l"));
}</t>
  </si>
  <si>
    <t>@Test
public final void testIsEncodeEqualsSecondNameJust1Letter_ReturnsFalse() {
    assertFalse(this.getStringEncoder().isEncodeEquals("test", "t"));
}
@Test
public final void testCompare_Forenames_UNA_OONAGH_ShouldSuccessfullyMatchButDoesNot() {
    // Disappointing
    assertFalse(this.getStringEncoder().isEncodeEquals("Úna", "Oonagh"));
}</t>
  </si>
  <si>
    <t>@Test
public final void testIsEncodeEqualsSecondNameJust1Letter_ReturnsFalse() {
    assertFalse(this.getStringEncoder().isEncodeEquals("test", "t"));
}
@Test
public final void testCompare_Surname_SZLAMAWICZ_SHLAMOVITZ_SuccessfullyMatched() {
    assertTrue(this.getStringEncoder().isEncodeEquals("SZLAMAWICZ", "SHLAMOVITZ"));
}</t>
  </si>
  <si>
    <t>@Test
public final void testIsEncodeEqualsSecondNameJust1Letter_ReturnsFalse() {
    assertFalse(this.getStringEncoder().isEncodeEquals("test", "t"));
}
@Test
public final void testCompare_Surname_COOPERFLYNN_SUPERLYN_SuccessfullyMatched() {
    assertTrue(this.getStringEncoder().isEncodeEquals("Cooper-Flynn", "Super-Lyn"));
}</t>
  </si>
  <si>
    <t>@Test
public final void testIsEncodeEqualsSecondNameJust1Letter_ReturnsFalse() {
    assertFalse(this.getStringEncoder().isEncodeEquals("test", "t"));
}
@Test
public final void testCompare_LongSurnames_MORIARTY_OMUIRCHEARTAIGH_DoesNotSuccessfulMatch() {
    assertFalse(this.getStringEncoder().isEncodeEquals("Moriarty", "OMuircheartaigh"));
}</t>
  </si>
  <si>
    <t>@Test
public final void testIsEncodeEqualsSecondNameJust1Letter_ReturnsFalse() {
    assertFalse(this.getStringEncoder().isEncodeEquals("test", "t"));
}
@Test
public final void testCompare_Surname_ROSOCHOWACIEC_ROSOKHOVATSETS_SuccessfullyMatched() {
    assertTrue(this.getStringEncoder().isEncodeEquals("R o s o ch o w a c ie c", " R o s o k ho v a ts e ts"));
}</t>
  </si>
  <si>
    <t>@Test
public final void testIsEncodeEqualsSecondNameJust1Letter_ReturnsFalse() {
    assertFalse(this.getStringEncoder().isEncodeEquals("test", "t"));
}
@Test
public final void testCompare_COLM_COLIN_WithAccentsAndSymbolsAndSpaces_SuccessfullyMatched() {
    assertTrue(this.getStringEncoder().isEncodeEquals("Cólm.   ", "C-olín"));
}</t>
  </si>
  <si>
    <t>@Test
public final void testIsEncodeEqualsSecondNameJust1Letter_ReturnsFalse() {
    assertFalse(this.getStringEncoder().isEncodeEquals("test", "t"));
}
@Test
public final void testCompare_LongSurnames_OMUIRCHEARTAIGH_OMIREADHAIGH_SuccessfulMatch() {
    assertTrue(this.getStringEncoder().isEncodeEquals("o'muireadhaigh", "Ó 'Muircheartaigh "));
}</t>
  </si>
  <si>
    <t>// ***** END REGION - TEST SUPPORT METHODS
// ***** BEGIN REGION - TEST GET MRA ENCODING
@Test
public final void testGetEncoding_HARPER_HRPR() {
    assertEquals("HRPR", this.getStringEncoder().encode("HARPER"));
}
@Test
public final void testGetEncoding_SMITH_to_SMTH() {
    assertEquals("SMTH", this.getStringEncoder().encode("Smith"));
}</t>
  </si>
  <si>
    <t>// ***** END REGION - TEST SUPPORT METHODS
// ***** BEGIN REGION - TEST GET MRA ENCODING
@Test
public final void testGetEncoding_HARPER_HRPR() {
    assertEquals("HRPR", this.getStringEncoder().encode("HARPER"));
}
@Test
public final void testGetEncoding_SMYTH_to_SMYTH() {
    assertEquals("SMYTH", this.getStringEncoder().encode("Smyth"));
}</t>
  </si>
  <si>
    <t>// ***** END REGION - TEST SUPPORT METHODS
// ***** BEGIN REGION - TEST GET MRA ENCODING
@Test
public final void testGetEncoding_HARPER_HRPR() {
    assertEquals("HRPR", this.getStringEncoder().encode("HARPER"));
}
@Test
public final void testGetEncoding_Space_to_Nothing() {
    assertEquals("", this.getStringEncoder().encode(" "));
}</t>
  </si>
  <si>
    <t>// ***** END REGION - TEST SUPPORT METHODS
// ***** BEGIN REGION - TEST GET MRA ENCODING
@Test
public final void testGetEncoding_HARPER_HRPR() {
    assertEquals("HRPR", this.getStringEncoder().encode("HARPER"));
}
@Test
public final void testGetEncoding_NoSpace_to_Nothing() {
    assertEquals("", this.getStringEncoder().encode(""));
}</t>
  </si>
  <si>
    <t>// ***** END REGION - TEST SUPPORT METHODS
// ***** BEGIN REGION - TEST GET MRA ENCODING
@Test
public final void testGetEncoding_HARPER_HRPR() {
    assertEquals("HRPR", this.getStringEncoder().encode("HARPER"));
}
@Test
public final void testGetEncoding_Null_to_Nothing() {
    assertEquals("", this.getStringEncoder().encode(null));
}</t>
  </si>
  <si>
    <t>// ***** END REGION - TEST SUPPORT METHODS
// ***** BEGIN REGION - TEST GET MRA ENCODING
@Test
public final void testGetEncoding_HARPER_HRPR() {
    assertEquals("HRPR", this.getStringEncoder().encode("HARPER"));
}
@Test
public final void testGetEncoding_One_Letter_to_Nothing() {
    assertEquals("", this.getStringEncoder().encode("E"));
}</t>
  </si>
  <si>
    <t>@Test
public final void testGetEncoding_SMITH_to_SMTH() {
    assertEquals("SMTH", this.getStringEncoder().encode("Smith"));
}
@Test
public final void testGetEncoding_SMYTH_to_SMYTH() {
    assertEquals("SMYTH", this.getStringEncoder().encode("Smyth"));
}</t>
  </si>
  <si>
    <t>@Test
public final void testGetEncoding_SMITH_to_SMTH() {
    assertEquals("SMTH", this.getStringEncoder().encode("Smith"));
}
@Test
public final void testGetEncoding_Space_to_Nothing() {
    assertEquals("", this.getStringEncoder().encode(" "));
}</t>
  </si>
  <si>
    <t>@Test
public final void testGetEncoding_SMITH_to_SMTH() {
    assertEquals("SMTH", this.getStringEncoder().encode("Smith"));
}
@Test
public final void testGetEncoding_NoSpace_to_Nothing() {
    assertEquals("", this.getStringEncoder().encode(""));
}</t>
  </si>
  <si>
    <t>@Test
public final void testGetEncoding_SMITH_to_SMTH() {
    assertEquals("SMTH", this.getStringEncoder().encode("Smith"));
}
@Test
public final void testGetEncoding_Null_to_Nothing() {
    assertEquals("", this.getStringEncoder().encode(null));
}</t>
  </si>
  <si>
    <t>@Test
public final void testGetEncoding_SMITH_to_SMTH() {
    assertEquals("SMTH", this.getStringEncoder().encode("Smith"));
}
@Test
public final void testGetEncoding_One_Letter_to_Nothing() {
    assertEquals("", this.getStringEncoder().encode("E"));
}</t>
  </si>
  <si>
    <t>@Test
public final void testGetEncoding_SMYTH_to_SMYTH() {
    assertEquals("SMYTH", this.getStringEncoder().encode("Smyth"));
}
@Test
public final void testGetEncoding_Space_to_Nothing() {
    assertEquals("", this.getStringEncoder().encode(" "));
}</t>
  </si>
  <si>
    <t>@Test
public final void testGetEncoding_SMYTH_to_SMYTH() {
    assertEquals("SMYTH", this.getStringEncoder().encode("Smyth"));
}
@Test
public final void testGetEncoding_NoSpace_to_Nothing() {
    assertEquals("", this.getStringEncoder().encode(""));
}</t>
  </si>
  <si>
    <t>@Test
public final void testGetEncoding_SMYTH_to_SMYTH() {
    assertEquals("SMYTH", this.getStringEncoder().encode("Smyth"));
}
@Test
public final void testGetEncoding_Null_to_Nothing() {
    assertEquals("", this.getStringEncoder().encode(null));
}</t>
  </si>
  <si>
    <t>@Test
public final void testGetEncoding_SMYTH_to_SMYTH() {
    assertEquals("SMYTH", this.getStringEncoder().encode("Smyth"));
}
@Test
public final void testGetEncoding_One_Letter_to_Nothing() {
    assertEquals("", this.getStringEncoder().encode("E"));
}</t>
  </si>
  <si>
    <t>@Test
public final void testGetEncoding_Space_to_Nothing() {
    assertEquals("", this.getStringEncoder().encode(" "));
}
@Test
public final void testGetEncoding_NoSpace_to_Nothing() {
    assertEquals("", this.getStringEncoder().encode(""));
}</t>
  </si>
  <si>
    <t>@Test
public final void testGetEncoding_Space_to_Nothing() {
    assertEquals("", this.getStringEncoder().encode(" "));
}
@Test
public final void testGetEncoding_One_Letter_to_Nothing() {
    assertEquals("", this.getStringEncoder().encode("E"));
}</t>
  </si>
  <si>
    <t>@Test
public final void testGetEncoding_Space_to_Nothing() {
    assertEquals("", this.getStringEncoder().encode(" "));
}
@Test
public final void testGetEncoding_Null_to_Nothing() {
    assertEquals("", this.getStringEncoder().encode(null));
}</t>
  </si>
  <si>
    <t>@Test
public final void testGetEncoding_NoSpace_to_Nothing() {
    assertEquals("", this.getStringEncoder().encode(""));
}
@Test
public final void testGetEncoding_One_Letter_to_Nothing() {
    assertEquals("", this.getStringEncoder().encode("E"));
}</t>
  </si>
  <si>
    <t>@Test
public final void testGetEncoding_NoSpace_to_Nothing() {
    assertEquals("", this.getStringEncoder().encode(""));
}
@Test
public final void testGetEncoding_Null_to_Nothing() {
    assertEquals("", this.getStringEncoder().encode(null));
}</t>
  </si>
  <si>
    <t>@Test
public final void testGetEncoding_Null_to_Nothing() {
    assertEquals("", this.getStringEncoder().encode(null));
}
@Test
public final void testGetEncoding_One_Letter_to_Nothing() {
    assertEquals("", this.getStringEncoder().encode("E"));
}</t>
  </si>
  <si>
    <t>@Test
public final void testCompareNameNullSpace_ReturnsFalseSuccessfully() {
    assertFalse(getStringEncoder().isEncodeEquals(null, " "));
}
@Test
public final void testCompareNameSameNames_ReturnsFalseSuccessfully() {
    assertTrue(getStringEncoder().isEncodeEquals("John", "John"));
}</t>
  </si>
  <si>
    <t>@Test
public final void testCompareNameNullSpace_ReturnsFalseSuccessfully() {
    assertFalse(getStringEncoder().isEncodeEquals(null, " "));
}
@Test
public final void testCompareNameToSingleLetter_KARL_C_DoesNotMatch() {
    assertFalse(this.getStringEncoder().isEncodeEquals("Karl", "C"));
}</t>
  </si>
  <si>
    <t>@Test
public final void testCompareNameNullSpace_ReturnsFalseSuccessfully() {
    assertFalse(getStringEncoder().isEncodeEquals(null, " "));
}
@Test
public final void testCompare_SmallInput_CARK_Kl_SuccessfullyMatched() {
    assertTrue(this.getStringEncoder().isEncodeEquals("Kl", "Karl"));
}</t>
  </si>
  <si>
    <t>@Test
public final void testCompareNameNullSpace_ReturnsFalseSuccessfully() {
    assertFalse(getStringEncoder().isEncodeEquals(null, " "));
}
@Test
public final void testCompare_SurnameCornerCase_Nulls_NoMatch() {
    assertFalse(this.getStringEncoder().isEncodeEquals(null, null));
}</t>
  </si>
  <si>
    <t>@Test
public final void testCompareNameNullSpace_ReturnsFalseSuccessfully() {
    assertFalse(getStringEncoder().isEncodeEquals(null, " "));
}
@Test
public final void testCompare_Surname_LIPSHITZ_LIPPSZYC_SuccessfullyMatched() {
    assertTrue(this.getStringEncoder().isEncodeEquals("LIPSHITZ", "LIPPSZYC"));
}</t>
  </si>
  <si>
    <t>@Test
public final void testCompareNameNullSpace_ReturnsFalseSuccessfully() {
    assertFalse(getStringEncoder().isEncodeEquals(null, " "));
}
@Test
public final void testCompare_FRANCISZEK_FRANCES_SuccessfullyMatched() {
    assertTrue(this.getStringEncoder().isEncodeEquals("Franciszek", "Frances"));
}</t>
  </si>
  <si>
    <t>@Test
public final void testCompareNameNullSpace_ReturnsFalseSuccessfully() {
    assertFalse(getStringEncoder().isEncodeEquals(null, " "));
}
@Test
public final void testCompare_Surname_HAILEY_HALLEY_SuccessfullyMatched() {
    assertTrue(this.getStringEncoder().isEncodeEquals("Hailey", "Halley"));
}</t>
  </si>
  <si>
    <t>@Test
public final void testCompareNameNullSpace_ReturnsFalseSuccessfully() {
    assertFalse(getStringEncoder().isEncodeEquals(null, " "));
}
@Test
public final void testCompare_Surname_MOSKOWITZ_MOSKOVITZ_SuccessfullyMatched() {
    assertTrue(this.getStringEncoder().isEncodeEquals("Moskowitz", "Moskovitz"));
}</t>
  </si>
  <si>
    <t>@Test
public final void testCompareNameNullSpace_ReturnsFalseSuccessfully() {
    assertFalse(getStringEncoder().isEncodeEquals(null, " "));
}
@Test
public final void testCompare_Surname_PRZEMYSL_PSHEMESHIL_SuccessfullyMatched() {
    assertTrue(this.getStringEncoder().isEncodeEquals(" P rz e m y s l", " P sh e m e sh i l"));
}</t>
  </si>
  <si>
    <t>@Test
public final void testCompareNameNullSpace_ReturnsFalseSuccessfully() {
    assertFalse(getStringEncoder().isEncodeEquals(null, " "));
}
@Test
public final void testCompare_SurnamesCornerCase_MURPHY_NoSpace_NoMatch() {
    assertFalse(this.getStringEncoder().isEncodeEquals("Murphy", ""));
}</t>
  </si>
  <si>
    <t>@Test
public final void testCompareNameNullSpace_ReturnsFalseSuccessfully() {
    assertFalse(getStringEncoder().isEncodeEquals(null, " "));
}
@Test
public final void testCompare_Surname_LEWINSKY_LEVINSKI_SuccessfullyMatched() {
    assertTrue(this.getStringEncoder().isEncodeEquals("LEWINSKY", "LEVINSKI"));
}</t>
  </si>
  <si>
    <t>@Test
public final void testCompareNameNullSpace_ReturnsFalseSuccessfully() {
    assertFalse(getStringEncoder().isEncodeEquals(null, " "));
}
@Test
public final void testCompare_Surname_COOPERFLYNN_SUPERLYN_SuccessfullyMatched() {
    assertTrue(this.getStringEncoder().isEncodeEquals("Cooper-Flynn", "Super-Lyn"));
}</t>
  </si>
  <si>
    <t>@Test
public final void testCompareNameNullSpace_ReturnsFalseSuccessfully() {
    assertFalse(getStringEncoder().isEncodeEquals(null, " "));
}
// **** BEGIN YIDDISH/SLAVIC SECTION ****
@Test
public final void testCompare_Surname_AUERBACH_UHRBACH_SuccessfullyMatched() {
    assertTrue(this.getStringEncoder().isEncodeEquals("Auerbach", "Uhrbach"));
}</t>
  </si>
  <si>
    <t>@Test
public final void testCompareNameNullSpace_ReturnsFalseSuccessfully() {
    assertFalse(getStringEncoder().isEncodeEquals(null, " "));
}
// ***** Begin Region - Test Get Encoding - Surnames
@Test
public final void testCompare_Surname_OSULLIVAN_OSUILLEABHAIN_SuccessfulMatch() {
    assertTrue(this.getStringEncoder().isEncodeEquals("O'Sullivan", "Ó ' Súilleabháin"));
}</t>
  </si>
  <si>
    <t>@Test
public final void testCompareNameNullSpace_ReturnsFalseSuccessfully() {
    assertFalse(getStringEncoder().isEncodeEquals(null, " "));
}
@Test
public final void testCompare_SEAN_SHAUN_SuccessfullyMatched() {
    assertTrue(this.getStringEncoder().isEncodeEquals("Séan", "Shaun"));
}</t>
  </si>
  <si>
    <t>@Test
public final void testCompareNameNullSpace_ReturnsFalseSuccessfully() {
    assertFalse(getStringEncoder().isEncodeEquals(null, " "));
}
@Test
public final void testCompare_BURNS_BOURNE_SuccessfullyMatched() {
    assertTrue(this.getStringEncoder().isEncodeEquals("Burns", "Bourne"));
}</t>
  </si>
  <si>
    <t>@Test
public final void testCompareNameNullSpace_ReturnsFalseSuccessfully() {
    assertFalse(getStringEncoder().isEncodeEquals(null, " "));
}
@Test
public final void testCompare_ShortNames_AL_ED_WorksButNoMatch() {
    assertFalse(this.getStringEncoder().isEncodeEquals("Al", "Ed"));
}</t>
  </si>
  <si>
    <t>@Test
public final void testCompareNameNullSpace_ReturnsFalseSuccessfully() {
    assertFalse(getStringEncoder().isEncodeEquals(null, " "));
}
@Test
public final void testCompare_SurnamesCornerCase_MURPHY_Space_NoMatch() {
    assertFalse(this.getStringEncoder().isEncodeEquals("Murphy", " "));
}</t>
  </si>
  <si>
    <t>@Test
public final void testCompareNameNullSpace_ReturnsFalseSuccessfully() {
    assertFalse(getStringEncoder().isEncodeEquals(null, " "));
}
@Test
public final void testCompare_Surname_SZLAMAWICZ_SHLAMOVITZ_SuccessfullyMatched() {
    assertTrue(this.getStringEncoder().isEncodeEquals("SZLAMAWICZ", "SHLAMOVITZ"));
}</t>
  </si>
  <si>
    <t>@Test
public final void testCompareNameNullSpace_ReturnsFalseSuccessfully() {
    assertFalse(getStringEncoder().isEncodeEquals(null, " "));
}
@Test
public final void testCompare_Forenames_UNA_OONAGH_ShouldSuccessfullyMatchButDoesNot() {
    // Disappointing
    assertFalse(this.getStringEncoder().isEncodeEquals("Úna", "Oonagh"));
}</t>
  </si>
  <si>
    <t>@Test
public final void testCompareNameNullSpace_ReturnsFalseSuccessfully() {
    assertFalse(getStringEncoder().isEncodeEquals(null, " "));
}
@Test
public final void testCompare_MCGOWAN_MCGEOGHEGAN_SuccessfullyMatched() {
    assertTrue(this.getStringEncoder().isEncodeEquals("McGowan", "Mc Geoghegan"));
}</t>
  </si>
  <si>
    <t>@Test
public final void testCompareNameNullSpace_ReturnsFalseSuccessfully() {
    assertFalse(getStringEncoder().isEncodeEquals(null, " "));
}
// **** END YIDDISH/SLAVIC SECTION ****
@Test
public final void testCompare_PETERSON_PETERS_SuccessfullyMatched() {
    assertTrue(this.getStringEncoder().isEncodeEquals("Peterson", "Peters"));
}</t>
  </si>
  <si>
    <t>@Test
public final void testCompareNameNullSpace_ReturnsFalseSuccessfully() {
    assertFalse(getStringEncoder().isEncodeEquals(null, " "));
}
@Test
public final void testCompare_KARL_ALESSANDRO_DoesNotMatch() {
    assertFalse(this.getStringEncoder().isEncodeEquals("Karl", "Alessandro"));
}</t>
  </si>
  <si>
    <t>@Test
public final void testCompareNameNullSpace_ReturnsFalseSuccessfully() {
    assertFalse(getStringEncoder().isEncodeEquals(null, " "));
}
@Test
public final void testCompare_STEVEN_STEFAN_SuccessfullyMatched() {
    assertTrue(this.getStringEncoder().isEncodeEquals("Steven", "Stefan"));
}</t>
  </si>
  <si>
    <t>@Test
public final void testCompareNameNullSpace_ReturnsFalseSuccessfully() {
    assertFalse(getStringEncoder().isEncodeEquals(null, " "));
}
@Test
public final void testCompare_STEPHEN_STEFAN_SuccessfullyMatched() {
    assertTrue(this.getStringEncoder().isEncodeEquals("Stephen", "Stefan"));
}</t>
  </si>
  <si>
    <t>@Test
public final void testCompareNameNullSpace_ReturnsFalseSuccessfully() {
    assertFalse(getStringEncoder().isEncodeEquals(null, " "));
}
@Test
public final void testCompare_TOMASZ_TOM_SuccessfullyMatched() {
    assertTrue(this.getStringEncoder().isEncodeEquals("Tomasz", "tom"));
}</t>
  </si>
  <si>
    <t>@Test
public final void testCompareNameNullSpace_ReturnsFalseSuccessfully() {
    assertFalse(getStringEncoder().isEncodeEquals(null, " "));
}
// ***** END REGION - TEST GET MRA ENCODING
// ***** BEGIN REGION - TEST GET MRA COMPARISONS
@Test
public final void testCompare_SMITH_SMYTH_SuccessfullyMatched() {
    assertTrue(this.getStringEncoder().isEncodeEquals("smith", "smyth"));
}</t>
  </si>
  <si>
    <t>@Test
public final void testCompareNameNullSpace_ReturnsFalseSuccessfully() {
    assertFalse(getStringEncoder().isEncodeEquals(null, " "));
}
@Test
public final void testCompare_OONA_OONAGH_SuccessfullyMatched() {
    assertTrue(this.getStringEncoder().isEncodeEquals("Oona", "Oonagh"));
}</t>
  </si>
  <si>
    <t>@Test
public final void testCompareNameNullSpace_ReturnsFalseSuccessfully() {
    assertFalse(getStringEncoder().isEncodeEquals(null, " "));
}
@Test
public final void testCompare_SAM_SAMUEL_SuccessfullyMatched() {
    assertTrue(this.getStringEncoder().isEncodeEquals("Sam", "Samuel"));
}</t>
  </si>
  <si>
    <t>@Test
public final void testCompareNameNullSpace_ReturnsFalseSuccessfully() {
    assertFalse(getStringEncoder().isEncodeEquals(null, " "));
}
@Test
public final void testCompare_SOPHIE_SOFIA_SuccessfullyMatched() {
    assertTrue(this.getStringEncoder().isEncodeEquals("Sophie", "Sofia"));
}</t>
  </si>
  <si>
    <t>@Test
public final void testCompareNameNullSpace_ReturnsFalseSuccessfully() {
    assertFalse(getStringEncoder().isEncodeEquals(null, " "));
}
@Test
public final void testCompare_CATHERINE_KATHRYN_SuccessfullyMatched() {
    assertTrue(this.getStringEncoder().isEncodeEquals("Catherine", "Kathryn"));
}</t>
  </si>
  <si>
    <t>@Test
public final void testCompareNameNullSpace_ReturnsFalseSuccessfully() {
    assertFalse(getStringEncoder().isEncodeEquals(null, " "));
}
@Test
public final void testCompare_Forenames_SEAN_PETE_NoMatchExpected() {
    assertFalse(this.getStringEncoder().isEncodeEquals("Sean", "Pete"));
}</t>
  </si>
  <si>
    <t>@Test
public final void testCompareNameNullSpace_ReturnsFalseSuccessfully() {
    assertFalse(getStringEncoder().isEncodeEquals(null, " "));
}
@Test
public final void testCompare_Surnames_MURPHY_LYNCH_NoMatchExpected() {
    assertFalse(this.getStringEncoder().isEncodeEquals("Murphy", "Lynch"));
}</t>
  </si>
  <si>
    <t>@Test
public final void testCompareNameNullSpace_ReturnsFalseSuccessfully() {
    assertFalse(getStringEncoder().isEncodeEquals(null, " "));
}
@Test
public final void testCompare_MICKY_MICHAEL_SuccessfullyMatched() {
    assertTrue(this.getStringEncoder().isEncodeEquals("Micky", "Michael"));
}</t>
  </si>
  <si>
    <t>@Test
public final void testCompareNameNullSpace_ReturnsFalseSuccessfully() {
    assertFalse(getStringEncoder().isEncodeEquals(null, " "));
}
@Test
public final void testCompare_BRIAN_BRYAN_SuccessfullyMatched() {
    assertTrue(this.getStringEncoder().isEncodeEquals("Brian", "Bryan"));
}</t>
  </si>
  <si>
    <t>@Test
public final void testCompareNameNullSpace_ReturnsFalseSuccessfully() {
    assertFalse(getStringEncoder().isEncodeEquals(null, " "));
}
@Test
public final void testCompare_ZACH_ZAKARIA_SuccessfullyMatched() {
    assertTrue(this.getStringEncoder().isEncodeEquals("Zach", "Zacharia"));
}</t>
  </si>
  <si>
    <t>@Test
public final void testCompareNameNullSpace_ReturnsFalseSuccessfully() {
    assertFalse(getStringEncoder().isEncodeEquals(null, " "));
}
@Test
public final void testCompare_STEPHEN_STEVEN_SuccessfullyMatched() {
    assertTrue(this.getStringEncoder().isEncodeEquals("Stephen", "Steven"));
}</t>
  </si>
  <si>
    <t>@Test
public final void testCompareNameNullSpace_ReturnsFalseSuccessfully() {
    assertFalse(getStringEncoder().isEncodeEquals(null, " "));
}
@Test
public final void testCompare_LongSurnames_MORIARTY_OMUIRCHEARTAIGH_DoesNotSuccessfulMatch() {
    assertFalse(this.getStringEncoder().isEncodeEquals("Moriarty", "OMuircheartaigh"));
}</t>
  </si>
  <si>
    <t>@Test
public final void testCompareNameNullSpace_ReturnsFalseSuccessfully() {
    assertFalse(getStringEncoder().isEncodeEquals(null, " "));
}
@Test
public final void testCompare_Surname_ROSOCHOWACIEC_ROSOKHOVATSETS_SuccessfullyMatched() {
    assertTrue(this.getStringEncoder().isEncodeEquals("R o s o ch o w a c ie c", " R o s o k ho v a ts e ts"));
}</t>
  </si>
  <si>
    <t>@Test
public final void testCompareNameNullSpace_ReturnsFalseSuccessfully() {
    assertFalse(getStringEncoder().isEncodeEquals(null, " "));
}
@Test
public final void testCompare_COLM_COLIN_WithAccentsAndSymbolsAndSpaces_SuccessfullyMatched() {
    assertTrue(this.getStringEncoder().isEncodeEquals("Cólm.   ", "C-olín"));
}</t>
  </si>
  <si>
    <t>@Test
public final void testCompareNameNullSpace_ReturnsFalseSuccessfully() {
    assertFalse(getStringEncoder().isEncodeEquals(null, " "));
}
@Test
public final void testCompare_Forenames_SEAN_JOHN_MatchExpected() {
    assertTrue(this.getStringEncoder().isEncodeEquals("Sean", "John"));
}</t>
  </si>
  <si>
    <t>@Test
public final void testCompareNameNullSpace_ReturnsFalseSuccessfully() {
    assertFalse(getStringEncoder().isEncodeEquals(null, " "));
}
@Test
public final void testCompare_LongSurnames_OMUIRCHEARTAIGH_OMIREADHAIGH_SuccessfulMatch() {
    assertTrue(this.getStringEncoder().isEncodeEquals("o'muireadhaigh", "Ó 'Muircheartaigh "));
}</t>
  </si>
  <si>
    <t>@Test
public final void testCompareNameSameNames_ReturnsFalseSuccessfully() {
    assertTrue(getStringEncoder().isEncodeEquals("John", "John"));
}
// **** BEGIN YIDDISH/SLAVIC SECTION ****
@Test
public final void testCompare_Surname_AUERBACH_UHRBACH_SuccessfullyMatched() {
    assertTrue(this.getStringEncoder().isEncodeEquals("Auerbach", "Uhrbach"));
}</t>
  </si>
  <si>
    <t>@Test
public final void testCompareNameSameNames_ReturnsFalseSuccessfully() {
    assertTrue(getStringEncoder().isEncodeEquals("John", "John"));
}
@Test
public final void testCompare_SmallInput_CARK_Kl_SuccessfullyMatched() {
    assertTrue(this.getStringEncoder().isEncodeEquals("Kl", "Karl"));
}</t>
  </si>
  <si>
    <t>@Test
public final void testCompareNameSameNames_ReturnsFalseSuccessfully() {
    assertTrue(getStringEncoder().isEncodeEquals("John", "John"));
}
@Test
public final void testCompare_Surname_HAILEY_HALLEY_SuccessfullyMatched() {
    assertTrue(this.getStringEncoder().isEncodeEquals("Hailey", "Halley"));
}</t>
  </si>
  <si>
    <t>@Test
public final void testCompareNameSameNames_ReturnsFalseSuccessfully() {
    assertTrue(getStringEncoder().isEncodeEquals("John", "John"));
}
@Test
public final void testCompare_Surname_LEWINSKY_LEVINSKI_SuccessfullyMatched() {
    assertTrue(this.getStringEncoder().isEncodeEquals("LEWINSKY", "LEVINSKI"));
}</t>
  </si>
  <si>
    <t>@Test
public final void testCompareNameSameNames_ReturnsFalseSuccessfully() {
    assertTrue(getStringEncoder().isEncodeEquals("John", "John"));
}
@Test
public final void testCompare_Surname_LIPSHITZ_LIPPSZYC_SuccessfullyMatched() {
    assertTrue(this.getStringEncoder().isEncodeEquals("LIPSHITZ", "LIPPSZYC"));
}</t>
  </si>
  <si>
    <t>@Test
public final void testCompareNameSameNames_ReturnsFalseSuccessfully() {
    assertTrue(getStringEncoder().isEncodeEquals("John", "John"));
}
@Test
public final void testCompare_Surname_COOPERFLYNN_SUPERLYN_SuccessfullyMatched() {
    assertTrue(this.getStringEncoder().isEncodeEquals("Cooper-Flynn", "Super-Lyn"));
}</t>
  </si>
  <si>
    <t>@Test
public final void testCompareNameSameNames_ReturnsFalseSuccessfully() {
    assertTrue(getStringEncoder().isEncodeEquals("John", "John"));
}
@Test
public final void testCompare_Surname_MOSKOWITZ_MOSKOVITZ_SuccessfullyMatched() {
    assertTrue(this.getStringEncoder().isEncodeEquals("Moskowitz", "Moskovitz"));
}</t>
  </si>
  <si>
    <t>@Test
public final void testCompareNameSameNames_ReturnsFalseSuccessfully() {
    assertTrue(getStringEncoder().isEncodeEquals("John", "John"));
}
@Test
public final void testCompare_Surname_PRZEMYSL_PSHEMESHIL_SuccessfullyMatched() {
    assertTrue(this.getStringEncoder().isEncodeEquals(" P rz e m y s l", " P sh e m e sh i l"));
}</t>
  </si>
  <si>
    <t>@Test
public final void testCompareNameSameNames_ReturnsFalseSuccessfully() {
    assertTrue(getStringEncoder().isEncodeEquals("John", "John"));
}
@Test
public final void testCompare_MCGOWAN_MCGEOGHEGAN_SuccessfullyMatched() {
    assertTrue(this.getStringEncoder().isEncodeEquals("McGowan", "Mc Geoghegan"));
}</t>
  </si>
  <si>
    <t>@Test
public final void testCompareNameSameNames_ReturnsFalseSuccessfully() {
    assertTrue(getStringEncoder().isEncodeEquals("John", "John"));
}
@Test
public final void testCompare_STEPHEN_STEFAN_SuccessfullyMatched() {
    assertTrue(this.getStringEncoder().isEncodeEquals("Stephen", "Stefan"));
}</t>
  </si>
  <si>
    <t>@Test
public final void testCompareNameSameNames_ReturnsFalseSuccessfully() {
    assertTrue(getStringEncoder().isEncodeEquals("John", "John"));
}
@Test
public final void testCompare_Surname_SZLAMAWICZ_SHLAMOVITZ_SuccessfullyMatched() {
    assertTrue(this.getStringEncoder().isEncodeEquals("SZLAMAWICZ", "SHLAMOVITZ"));
}</t>
  </si>
  <si>
    <t>@Test
public final void testCompareNameSameNames_ReturnsFalseSuccessfully() {
    assertTrue(getStringEncoder().isEncodeEquals("John", "John"));
}
@Test
public final void testCompare_CATHERINE_KATHRYN_SuccessfullyMatched() {
    assertTrue(this.getStringEncoder().isEncodeEquals("Catherine", "Kathryn"));
}</t>
  </si>
  <si>
    <t>@Test
public final void testCompareNameSameNames_ReturnsFalseSuccessfully() {
    assertTrue(getStringEncoder().isEncodeEquals("John", "John"));
}
@Test
public final void testCompare_STEVEN_STEFAN_SuccessfullyMatched() {
    assertTrue(this.getStringEncoder().isEncodeEquals("Steven", "Stefan"));
}</t>
  </si>
  <si>
    <t>@Test
public final void testCompareNameSameNames_ReturnsFalseSuccessfully() {
    assertTrue(getStringEncoder().isEncodeEquals("John", "John"));
}
@Test
public final void testCompare_SEAN_SHAUN_SuccessfullyMatched() {
    assertTrue(this.getStringEncoder().isEncodeEquals("Séan", "Shaun"));
}</t>
  </si>
  <si>
    <t>@Test
public final void testCompareNameSameNames_ReturnsFalseSuccessfully() {
    assertTrue(getStringEncoder().isEncodeEquals("John", "John"));
}
@Test
public final void testCompare_SOPHIE_SOFIA_SuccessfullyMatched() {
    assertTrue(this.getStringEncoder().isEncodeEquals("Sophie", "Sofia"));
}</t>
  </si>
  <si>
    <t>@Test
public final void testCompareNameSameNames_ReturnsFalseSuccessfully() {
    assertTrue(getStringEncoder().isEncodeEquals("John", "John"));
}
// ***** Begin Region - Test Get Encoding - Surnames
@Test
public final void testCompare_Surname_OSULLIVAN_OSUILLEABHAIN_SuccessfulMatch() {
    assertTrue(this.getStringEncoder().isEncodeEquals("O'Sullivan", "Ó ' Súilleabháin"));
}</t>
  </si>
  <si>
    <t>@Test
public final void testCompareNameSameNames_ReturnsFalseSuccessfully() {
    assertTrue(getStringEncoder().isEncodeEquals("John", "John"));
}
// **** END YIDDISH/SLAVIC SECTION ****
@Test
public final void testCompare_PETERSON_PETERS_SuccessfullyMatched() {
    assertTrue(this.getStringEncoder().isEncodeEquals("Peterson", "Peters"));
}</t>
  </si>
  <si>
    <t>@Test
public final void testCompareNameSameNames_ReturnsFalseSuccessfully() {
    assertTrue(getStringEncoder().isEncodeEquals("John", "John"));
}
@Test
public final void testCompare_FRANCISZEK_FRANCES_SuccessfullyMatched() {
    assertTrue(this.getStringEncoder().isEncodeEquals("Franciszek", "Frances"));
}</t>
  </si>
  <si>
    <t>@Test
public final void testCompareNameSameNames_ReturnsFalseSuccessfully() {
    assertTrue(getStringEncoder().isEncodeEquals("John", "John"));
}
@Test
public final void testCompare_STEPHEN_STEVEN_SuccessfullyMatched() {
    assertTrue(this.getStringEncoder().isEncodeEquals("Stephen", "Steven"));
}</t>
  </si>
  <si>
    <t>@Test
public final void testCompareNameSameNames_ReturnsFalseSuccessfully() {
    assertTrue(getStringEncoder().isEncodeEquals("John", "John"));
}
@Test
public final void testCompare_Forenames_SEAN_JOHN_MatchExpected() {
    assertTrue(this.getStringEncoder().isEncodeEquals("Sean", "John"));
}</t>
  </si>
  <si>
    <t>@Test
public final void testCompareNameSameNames_ReturnsFalseSuccessfully() {
    assertTrue(getStringEncoder().isEncodeEquals("John", "John"));
}
@Test
public final void testCompare_BURNS_BOURNE_SuccessfullyMatched() {
    assertTrue(this.getStringEncoder().isEncodeEquals("Burns", "Bourne"));
}</t>
  </si>
  <si>
    <t>@Test
public final void testCompareNameSameNames_ReturnsFalseSuccessfully() {
    assertTrue(getStringEncoder().isEncodeEquals("John", "John"));
}
@Test
public final void testCompare_BRIAN_BRYAN_SuccessfullyMatched() {
    assertTrue(this.getStringEncoder().isEncodeEquals("Brian", "Bryan"));
}</t>
  </si>
  <si>
    <t>@Test
public final void testCompareNameSameNames_ReturnsFalseSuccessfully() {
    assertTrue(getStringEncoder().isEncodeEquals("John", "John"));
}
// ***** END REGION - TEST GET MRA ENCODING
// ***** BEGIN REGION - TEST GET MRA COMPARISONS
@Test
public final void testCompare_SMITH_SMYTH_SuccessfullyMatched() {
    assertTrue(this.getStringEncoder().isEncodeEquals("smith", "smyth"));
}</t>
  </si>
  <si>
    <t>@Test
public final void testCompareNameSameNames_ReturnsFalseSuccessfully() {
    assertTrue(getStringEncoder().isEncodeEquals("John", "John"));
}
@Test
public final void testCompare_OONA_OONAGH_SuccessfullyMatched() {
    assertTrue(this.getStringEncoder().isEncodeEquals("Oona", "Oonagh"));
}</t>
  </si>
  <si>
    <t>@Test
public final void testCompareNameSameNames_ReturnsFalseSuccessfully() {
    assertTrue(getStringEncoder().isEncodeEquals("John", "John"));
}
@Test
public final void testCompare_SAM_SAMUEL_SuccessfullyMatched() {
    assertTrue(this.getStringEncoder().isEncodeEquals("Sam", "Samuel"));
}</t>
  </si>
  <si>
    <t>@Test
public final void testCompareNameSameNames_ReturnsFalseSuccessfully() {
    assertTrue(getStringEncoder().isEncodeEquals("John", "John"));
}
@Test
public final void testCompare_MICKY_MICHAEL_SuccessfullyMatched() {
    assertTrue(this.getStringEncoder().isEncodeEquals("Micky", "Michael"));
}</t>
  </si>
  <si>
    <t>@Test
public final void testCompareNameSameNames_ReturnsFalseSuccessfully() {
    assertTrue(getStringEncoder().isEncodeEquals("John", "John"));
}
@Test
public final void testCompare_TOMASZ_TOM_SuccessfullyMatched() {
    assertTrue(this.getStringEncoder().isEncodeEquals("Tomasz", "tom"));
}</t>
  </si>
  <si>
    <t>@Test
public final void testCompareNameSameNames_ReturnsFalseSuccessfully() {
    assertTrue(getStringEncoder().isEncodeEquals("John", "John"));
}
@Test
public final void testCompare_ZACH_ZAKARIA_SuccessfullyMatched() {
    assertTrue(this.getStringEncoder().isEncodeEquals("Zach", "Zacharia"));
}</t>
  </si>
  <si>
    <t>@Test
public final void testCompareNameSameNames_ReturnsFalseSuccessfully() {
    assertTrue(getStringEncoder().isEncodeEquals("John", "John"));
}
@Test
public final void testCompare_Surname_ROSOCHOWACIEC_ROSOKHOVATSETS_SuccessfullyMatched() {
    assertTrue(this.getStringEncoder().isEncodeEquals("R o s o ch o w a c ie c", " R o s o k ho v a ts e ts"));
}</t>
  </si>
  <si>
    <t>@Test
public final void testCompareNameSameNames_ReturnsFalseSuccessfully() {
    assertTrue(getStringEncoder().isEncodeEquals("John", "John"));
}
@Test
public final void testCompareNameToSingleLetter_KARL_C_DoesNotMatch() {
    assertFalse(this.getStringEncoder().isEncodeEquals("Karl", "C"));
}</t>
  </si>
  <si>
    <t>@Test
public final void testCompareNameSameNames_ReturnsFalseSuccessfully() {
    assertTrue(getStringEncoder().isEncodeEquals("John", "John"));
}
@Test
public final void testCompare_ShortNames_AL_ED_WorksButNoMatch() {
    assertFalse(this.getStringEncoder().isEncodeEquals("Al", "Ed"));
}</t>
  </si>
  <si>
    <t>@Test
public final void testCompareNameSameNames_ReturnsFalseSuccessfully() {
    assertTrue(getStringEncoder().isEncodeEquals("John", "John"));
}
@Test
public final void testCompare_COLM_COLIN_WithAccentsAndSymbolsAndSpaces_SuccessfullyMatched() {
    assertTrue(this.getStringEncoder().isEncodeEquals("Cólm.   ", "C-olín"));
}</t>
  </si>
  <si>
    <t>@Test
public final void testCompareNameSameNames_ReturnsFalseSuccessfully() {
    assertTrue(getStringEncoder().isEncodeEquals("John", "John"));
}
@Test
public final void testCompare_LongSurnames_OMUIRCHEARTAIGH_OMIREADHAIGH_SuccessfulMatch() {
    assertTrue(this.getStringEncoder().isEncodeEquals("o'muireadhaigh", "Ó 'Muircheartaigh "));
}</t>
  </si>
  <si>
    <t>@Test
public final void testCompareNameSameNames_ReturnsFalseSuccessfully() {
    assertTrue(getStringEncoder().isEncodeEquals("John", "John"));
}
@Test
public final void testCompare_Forenames_SEAN_PETE_NoMatchExpected() {
    assertFalse(this.getStringEncoder().isEncodeEquals("Sean", "Pete"));
}</t>
  </si>
  <si>
    <t>@Test
public final void testCompareNameSameNames_ReturnsFalseSuccessfully() {
    assertTrue(getStringEncoder().isEncodeEquals("John", "John"));
}
@Test
public final void testCompare_SurnamesCornerCase_MURPHY_NoSpace_NoMatch() {
    assertFalse(this.getStringEncoder().isEncodeEquals("Murphy", ""));
}</t>
  </si>
  <si>
    <t>@Test
public final void testCompareNameSameNames_ReturnsFalseSuccessfully() {
    assertTrue(getStringEncoder().isEncodeEquals("John", "John"));
}
@Test
public final void testCompare_Forenames_UNA_OONAGH_ShouldSuccessfullyMatchButDoesNot() {
    // Disappointing
    assertFalse(this.getStringEncoder().isEncodeEquals("Úna", "Oonagh"));
}</t>
  </si>
  <si>
    <t>@Test
public final void testCompareNameSameNames_ReturnsFalseSuccessfully() {
    assertTrue(getStringEncoder().isEncodeEquals("John", "John"));
}
@Test
public final void testCompare_SurnamesCornerCase_MURPHY_Space_NoMatch() {
    assertFalse(this.getStringEncoder().isEncodeEquals("Murphy", " "));
}</t>
  </si>
  <si>
    <t>@Test
public final void testCompareNameSameNames_ReturnsFalseSuccessfully() {
    assertTrue(getStringEncoder().isEncodeEquals("John", "John"));
}
@Test
public final void testCompare_Surnames_MURPHY_LYNCH_NoMatchExpected() {
    assertFalse(this.getStringEncoder().isEncodeEquals("Murphy", "Lynch"));
}</t>
  </si>
  <si>
    <t>@Test
public final void testCompareNameSameNames_ReturnsFalseSuccessfully() {
    assertTrue(getStringEncoder().isEncodeEquals("John", "John"));
}
@Test
public final void testCompare_LongSurnames_MORIARTY_OMUIRCHEARTAIGH_DoesNotSuccessfulMatch() {
    assertFalse(this.getStringEncoder().isEncodeEquals("Moriarty", "OMuircheartaigh"));
}</t>
  </si>
  <si>
    <t>@Test
public final void testCompareNameSameNames_ReturnsFalseSuccessfully() {
    assertTrue(getStringEncoder().isEncodeEquals("John", "John"));
}
@Test
public final void testCompare_KARL_ALESSANDRO_DoesNotMatch() {
    assertFalse(this.getStringEncoder().isEncodeEquals("Karl", "Alessandro"));
}</t>
  </si>
  <si>
    <t>@Test
public final void testCompareNameSameNames_ReturnsFalseSuccessfully() {
    assertTrue(getStringEncoder().isEncodeEquals("John", "John"));
}
@Test
public final void testCompare_SurnameCornerCase_Nulls_NoMatch() {
    assertFalse(this.getStringEncoder().isEncodeEquals(null, null));
}</t>
  </si>
  <si>
    <t>// ***** END REGION - TEST GET MRA ENCODING
// ***** BEGIN REGION - TEST GET MRA COMPARISONS
@Test
public final void testCompare_SMITH_SMYTH_SuccessfullyMatched() {
    assertTrue(this.getStringEncoder().isEncodeEquals("smith", "smyth"));
}
@Test
public final void testCompare_SEAN_SHAUN_SuccessfullyMatched() {
    assertTrue(this.getStringEncoder().isEncodeEquals("Séan", "Shaun"));
}</t>
  </si>
  <si>
    <t>// ***** END REGION - TEST GET MRA ENCODING
// ***** BEGIN REGION - TEST GET MRA COMPARISONS
@Test
public final void testCompare_SMITH_SMYTH_SuccessfullyMatched() {
    assertTrue(this.getStringEncoder().isEncodeEquals("smith", "smyth"));
}
@Test
public final void testCompare_BRIAN_BRYAN_SuccessfullyMatched() {
    assertTrue(this.getStringEncoder().isEncodeEquals("Brian", "Bryan"));
}</t>
  </si>
  <si>
    <t>// ***** END REGION - TEST GET MRA ENCODING
// ***** BEGIN REGION - TEST GET MRA COMPARISONS
@Test
public final void testCompare_SMITH_SMYTH_SuccessfullyMatched() {
    assertTrue(this.getStringEncoder().isEncodeEquals("smith", "smyth"));
}
@Test
public final void testCompare_SAM_SAMUEL_SuccessfullyMatched() {
    assertTrue(this.getStringEncoder().isEncodeEquals("Sam", "Samuel"));
}</t>
  </si>
  <si>
    <t>// ***** END REGION - TEST GET MRA ENCODING
// ***** BEGIN REGION - TEST GET MRA COMPARISONS
@Test
public final void testCompare_SMITH_SMYTH_SuccessfullyMatched() {
    assertTrue(this.getStringEncoder().isEncodeEquals("smith", "smyth"));
}
@Test
public final void testCompare_SOPHIE_SOFIA_SuccessfullyMatched() {
    assertTrue(this.getStringEncoder().isEncodeEquals("Sophie", "Sofia"));
}</t>
  </si>
  <si>
    <t>// ***** END REGION - TEST GET MRA ENCODING
// ***** BEGIN REGION - TEST GET MRA COMPARISONS
@Test
public final void testCompare_SMITH_SMYTH_SuccessfullyMatched() {
    assertTrue(this.getStringEncoder().isEncodeEquals("smith", "smyth"));
}
@Test
public final void testCompare_STEPHEN_STEFAN_SuccessfullyMatched() {
    assertTrue(this.getStringEncoder().isEncodeEquals("Stephen", "Stefan"));
}</t>
  </si>
  <si>
    <t>// ***** END REGION - TEST GET MRA ENCODING
// ***** BEGIN REGION - TEST GET MRA COMPARISONS
@Test
public final void testCompare_SMITH_SMYTH_SuccessfullyMatched() {
    assertTrue(this.getStringEncoder().isEncodeEquals("smith", "smyth"));
}
@Test
public final void testCompare_STEPHEN_STEVEN_SuccessfullyMatched() {
    assertTrue(this.getStringEncoder().isEncodeEquals("Stephen", "Steven"));
}</t>
  </si>
  <si>
    <t>// ***** END REGION - TEST GET MRA ENCODING
// ***** BEGIN REGION - TEST GET MRA COMPARISONS
@Test
public final void testCompare_SMITH_SMYTH_SuccessfullyMatched() {
    assertTrue(this.getStringEncoder().isEncodeEquals("smith", "smyth"));
}
@Test
public final void testCompare_MICKY_MICHAEL_SuccessfullyMatched() {
    assertTrue(this.getStringEncoder().isEncodeEquals("Micky", "Michael"));
}</t>
  </si>
  <si>
    <t>// ***** END REGION - TEST GET MRA ENCODING
// ***** BEGIN REGION - TEST GET MRA COMPARISONS
@Test
public final void testCompare_SMITH_SMYTH_SuccessfullyMatched() {
    assertTrue(this.getStringEncoder().isEncodeEquals("smith", "smyth"));
}
@Test
public final void testCompare_STEVEN_STEFAN_SuccessfullyMatched() {
    assertTrue(this.getStringEncoder().isEncodeEquals("Steven", "Stefan"));
}</t>
  </si>
  <si>
    <t>// ***** END REGION - TEST GET MRA ENCODING
// ***** BEGIN REGION - TEST GET MRA COMPARISONS
@Test
public final void testCompare_SMITH_SMYTH_SuccessfullyMatched() {
    assertTrue(this.getStringEncoder().isEncodeEquals("smith", "smyth"));
}
@Test
public final void testCompare_TOMASZ_TOM_SuccessfullyMatched() {
    assertTrue(this.getStringEncoder().isEncodeEquals("Tomasz", "tom"));
}</t>
  </si>
  <si>
    <t>// ***** END REGION - TEST GET MRA ENCODING
// ***** BEGIN REGION - TEST GET MRA COMPARISONS
@Test
public final void testCompare_SMITH_SMYTH_SuccessfullyMatched() {
    assertTrue(this.getStringEncoder().isEncodeEquals("smith", "smyth"));
}
@Test
public final void testCompare_OONA_OONAGH_SuccessfullyMatched() {
    assertTrue(this.getStringEncoder().isEncodeEquals("Oona", "Oonagh"));
}</t>
  </si>
  <si>
    <t>// ***** END REGION - TEST GET MRA ENCODING
// ***** BEGIN REGION - TEST GET MRA COMPARISONS
@Test
public final void testCompare_SMITH_SMYTH_SuccessfullyMatched() {
    assertTrue(this.getStringEncoder().isEncodeEquals("smith", "smyth"));
}
@Test
public final void testCompare_BURNS_BOURNE_SuccessfullyMatched() {
    assertTrue(this.getStringEncoder().isEncodeEquals("Burns", "Bourne"));
}</t>
  </si>
  <si>
    <t>// ***** END REGION - TEST GET MRA ENCODING
// ***** BEGIN REGION - TEST GET MRA COMPARISONS
@Test
public final void testCompare_SMITH_SMYTH_SuccessfullyMatched() {
    assertTrue(this.getStringEncoder().isEncodeEquals("smith", "smyth"));
}
@Test
public final void testCompare_ZACH_ZAKARIA_SuccessfullyMatched() {
    assertTrue(this.getStringEncoder().isEncodeEquals("Zach", "Zacharia"));
}</t>
  </si>
  <si>
    <t>// ***** END REGION - TEST GET MRA ENCODING
// ***** BEGIN REGION - TEST GET MRA COMPARISONS
@Test
public final void testCompare_SMITH_SMYTH_SuccessfullyMatched() {
    assertTrue(this.getStringEncoder().isEncodeEquals("smith", "smyth"));
}
// **** END YIDDISH/SLAVIC SECTION ****
@Test
public final void testCompare_PETERSON_PETERS_SuccessfullyMatched() {
    assertTrue(this.getStringEncoder().isEncodeEquals("Peterson", "Peters"));
}</t>
  </si>
  <si>
    <t>// ***** END REGION - TEST GET MRA ENCODING
// ***** BEGIN REGION - TEST GET MRA COMPARISONS
@Test
public final void testCompare_SMITH_SMYTH_SuccessfullyMatched() {
    assertTrue(this.getStringEncoder().isEncodeEquals("smith", "smyth"));
}
@Test
public final void testCompare_CATHERINE_KATHRYN_SuccessfullyMatched() {
    assertTrue(this.getStringEncoder().isEncodeEquals("Catherine", "Kathryn"));
}</t>
  </si>
  <si>
    <t>// ***** END REGION - TEST GET MRA ENCODING
// ***** BEGIN REGION - TEST GET MRA COMPARISONS
@Test
public final void testCompare_SMITH_SMYTH_SuccessfullyMatched() {
    assertTrue(this.getStringEncoder().isEncodeEquals("smith", "smyth"));
}
@Test
public final void testCompare_SmallInput_CARK_Kl_SuccessfullyMatched() {
    assertTrue(this.getStringEncoder().isEncodeEquals("Kl", "Karl"));
}</t>
  </si>
  <si>
    <t>// ***** END REGION - TEST GET MRA ENCODING
// ***** BEGIN REGION - TEST GET MRA COMPARISONS
@Test
public final void testCompare_SMITH_SMYTH_SuccessfullyMatched() {
    assertTrue(this.getStringEncoder().isEncodeEquals("smith", "smyth"));
}
@Test
public final void testCompare_FRANCISZEK_FRANCES_SuccessfullyMatched() {
    assertTrue(this.getStringEncoder().isEncodeEquals("Franciszek", "Frances"));
}</t>
  </si>
  <si>
    <t>// ***** END REGION - TEST GET MRA ENCODING
// ***** BEGIN REGION - TEST GET MRA COMPARISONS
@Test
public final void testCompare_SMITH_SMYTH_SuccessfullyMatched() {
    assertTrue(this.getStringEncoder().isEncodeEquals("smith", "smyth"));
}
@Test
public final void testCompare_Surname_HAILEY_HALLEY_SuccessfullyMatched() {
    assertTrue(this.getStringEncoder().isEncodeEquals("Hailey", "Halley"));
}</t>
  </si>
  <si>
    <t>// ***** END REGION - TEST GET MRA ENCODING
// ***** BEGIN REGION - TEST GET MRA COMPARISONS
@Test
public final void testCompare_SMITH_SMYTH_SuccessfullyMatched() {
    assertTrue(this.getStringEncoder().isEncodeEquals("smith", "smyth"));
}
@Test
public final void testCompare_MCGOWAN_MCGEOGHEGAN_SuccessfullyMatched() {
    assertTrue(this.getStringEncoder().isEncodeEquals("McGowan", "Mc Geoghegan"));
}</t>
  </si>
  <si>
    <t>// ***** END REGION - TEST GET MRA ENCODING
// ***** BEGIN REGION - TEST GET MRA COMPARISONS
@Test
public final void testCompare_SMITH_SMYTH_SuccessfullyMatched() {
    assertTrue(this.getStringEncoder().isEncodeEquals("smith", "smyth"));
}
@Test
public final void testCompare_Surname_MOSKOWITZ_MOSKOVITZ_SuccessfullyMatched() {
    assertTrue(this.getStringEncoder().isEncodeEquals("Moskowitz", "Moskovitz"));
}</t>
  </si>
  <si>
    <t>// ***** END REGION - TEST GET MRA ENCODING
// ***** BEGIN REGION - TEST GET MRA COMPARISONS
@Test
public final void testCompare_SMITH_SMYTH_SuccessfullyMatched() {
    assertTrue(this.getStringEncoder().isEncodeEquals("smith", "smyth"));
}
@Test
public final void testCompare_Surname_LIPSHITZ_LIPPSZYC_SuccessfullyMatched() {
    assertTrue(this.getStringEncoder().isEncodeEquals("LIPSHITZ", "LIPPSZYC"));
}</t>
  </si>
  <si>
    <t>// ***** END REGION - TEST GET MRA ENCODING
// ***** BEGIN REGION - TEST GET MRA COMPARISONS
@Test
public final void testCompare_SMITH_SMYTH_SuccessfullyMatched() {
    assertTrue(this.getStringEncoder().isEncodeEquals("smith", "smyth"));
}
// **** BEGIN YIDDISH/SLAVIC SECTION ****
@Test
public final void testCompare_Surname_AUERBACH_UHRBACH_SuccessfullyMatched() {
    assertTrue(this.getStringEncoder().isEncodeEquals("Auerbach", "Uhrbach"));
}</t>
  </si>
  <si>
    <t>// ***** END REGION - TEST GET MRA ENCODING
// ***** BEGIN REGION - TEST GET MRA COMPARISONS
@Test
public final void testCompare_SMITH_SMYTH_SuccessfullyMatched() {
    assertTrue(this.getStringEncoder().isEncodeEquals("smith", "smyth"));
}
@Test
public final void testCompare_Surname_PRZEMYSL_PSHEMESHIL_SuccessfullyMatched() {
    assertTrue(this.getStringEncoder().isEncodeEquals(" P rz e m y s l", " P sh e m e sh i l"));
}</t>
  </si>
  <si>
    <t>// ***** END REGION - TEST GET MRA ENCODING
// ***** BEGIN REGION - TEST GET MRA COMPARISONS
@Test
public final void testCompare_SMITH_SMYTH_SuccessfullyMatched() {
    assertTrue(this.getStringEncoder().isEncodeEquals("smith", "smyth"));
}
@Test
public final void testCompare_Surname_LEWINSKY_LEVINSKI_SuccessfullyMatched() {
    assertTrue(this.getStringEncoder().isEncodeEquals("LEWINSKY", "LEVINSKI"));
}</t>
  </si>
  <si>
    <t>// ***** END REGION - TEST GET MRA ENCODING
// ***** BEGIN REGION - TEST GET MRA COMPARISONS
@Test
public final void testCompare_SMITH_SMYTH_SuccessfullyMatched() {
    assertTrue(this.getStringEncoder().isEncodeEquals("smith", "smyth"));
}
@Test
public final void testCompare_Surname_SZLAMAWICZ_SHLAMOVITZ_SuccessfullyMatched() {
    assertTrue(this.getStringEncoder().isEncodeEquals("SZLAMAWICZ", "SHLAMOVITZ"));
}</t>
  </si>
  <si>
    <t>// ***** END REGION - TEST GET MRA ENCODING
// ***** BEGIN REGION - TEST GET MRA COMPARISONS
@Test
public final void testCompare_SMITH_SMYTH_SuccessfullyMatched() {
    assertTrue(this.getStringEncoder().isEncodeEquals("smith", "smyth"));
}
@Test
public final void testCompare_Surname_COOPERFLYNN_SUPERLYN_SuccessfullyMatched() {
    assertTrue(this.getStringEncoder().isEncodeEquals("Cooper-Flynn", "Super-Lyn"));
}</t>
  </si>
  <si>
    <t>// ***** END REGION - TEST GET MRA ENCODING
// ***** BEGIN REGION - TEST GET MRA COMPARISONS
@Test
public final void testCompare_SMITH_SMYTH_SuccessfullyMatched() {
    assertTrue(this.getStringEncoder().isEncodeEquals("smith", "smyth"));
}
@Test
public final void testCompare_Surname_ROSOCHOWACIEC_ROSOKHOVATSETS_SuccessfullyMatched() {
    assertTrue(this.getStringEncoder().isEncodeEquals("R o s o ch o w a c ie c", " R o s o k ho v a ts e ts"));
}</t>
  </si>
  <si>
    <t>// ***** END REGION - TEST GET MRA ENCODING
// ***** BEGIN REGION - TEST GET MRA COMPARISONS
@Test
public final void testCompare_SMITH_SMYTH_SuccessfullyMatched() {
    assertTrue(this.getStringEncoder().isEncodeEquals("smith", "smyth"));
}
// ***** Begin Region - Test Get Encoding - Surnames
@Test
public final void testCompare_Surname_OSULLIVAN_OSUILLEABHAIN_SuccessfulMatch() {
    assertTrue(this.getStringEncoder().isEncodeEquals("O'Sullivan", "Ó ' Súilleabháin"));
}</t>
  </si>
  <si>
    <t>// ***** END REGION - TEST GET MRA ENCODING
// ***** BEGIN REGION - TEST GET MRA COMPARISONS
@Test
public final void testCompare_SMITH_SMYTH_SuccessfullyMatched() {
    assertTrue(this.getStringEncoder().isEncodeEquals("smith", "smyth"));
}
@Test
public final void testCompare_Forenames_SEAN_JOHN_MatchExpected() {
    assertTrue(this.getStringEncoder().isEncodeEquals("Sean", "John"));
}</t>
  </si>
  <si>
    <t>// ***** END REGION - TEST GET MRA ENCODING
// ***** BEGIN REGION - TEST GET MRA COMPARISONS
@Test
public final void testCompare_SMITH_SMYTH_SuccessfullyMatched() {
    assertTrue(this.getStringEncoder().isEncodeEquals("smith", "smyth"));
}
@Test
public final void testCompare_ShortNames_AL_ED_WorksButNoMatch() {
    assertFalse(this.getStringEncoder().isEncodeEquals("Al", "Ed"));
}</t>
  </si>
  <si>
    <t>// ***** END REGION - TEST GET MRA ENCODING
// ***** BEGIN REGION - TEST GET MRA COMPARISONS
@Test
public final void testCompare_SMITH_SMYTH_SuccessfullyMatched() {
    assertTrue(this.getStringEncoder().isEncodeEquals("smith", "smyth"));
}
@Test
public final void testCompare_KARL_ALESSANDRO_DoesNotMatch() {
    assertFalse(this.getStringEncoder().isEncodeEquals("Karl", "Alessandro"));
}</t>
  </si>
  <si>
    <t>// ***** END REGION - TEST GET MRA ENCODING
// ***** BEGIN REGION - TEST GET MRA COMPARISONS
@Test
public final void testCompare_SMITH_SMYTH_SuccessfullyMatched() {
    assertTrue(this.getStringEncoder().isEncodeEquals("smith", "smyth"));
}
@Test
public final void testCompare_Forenames_SEAN_PETE_NoMatchExpected() {
    assertFalse(this.getStringEncoder().isEncodeEquals("Sean", "Pete"));
}</t>
  </si>
  <si>
    <t>// ***** END REGION - TEST GET MRA ENCODING
// ***** BEGIN REGION - TEST GET MRA COMPARISONS
@Test
public final void testCompare_SMITH_SMYTH_SuccessfullyMatched() {
    assertTrue(this.getStringEncoder().isEncodeEquals("smith", "smyth"));
}
@Test
public final void testCompare_LongSurnames_OMUIRCHEARTAIGH_OMIREADHAIGH_SuccessfulMatch() {
    assertTrue(this.getStringEncoder().isEncodeEquals("o'muireadhaigh", "Ó 'Muircheartaigh "));
}</t>
  </si>
  <si>
    <t>// ***** END REGION - TEST GET MRA ENCODING
// ***** BEGIN REGION - TEST GET MRA COMPARISONS
@Test
public final void testCompare_SMITH_SMYTH_SuccessfullyMatched() {
    assertTrue(this.getStringEncoder().isEncodeEquals("smith", "smyth"));
}
@Test
public final void testCompare_COLM_COLIN_WithAccentsAndSymbolsAndSpaces_SuccessfullyMatched() {
    assertTrue(this.getStringEncoder().isEncodeEquals("Cólm.   ", "C-olín"));
}</t>
  </si>
  <si>
    <t>// ***** END REGION - TEST GET MRA ENCODING
// ***** BEGIN REGION - TEST GET MRA COMPARISONS
@Test
public final void testCompare_SMITH_SMYTH_SuccessfullyMatched() {
    assertTrue(this.getStringEncoder().isEncodeEquals("smith", "smyth"));
}
@Test
public final void testCompare_Surnames_MURPHY_LYNCH_NoMatchExpected() {
    assertFalse(this.getStringEncoder().isEncodeEquals("Murphy", "Lynch"));
}</t>
  </si>
  <si>
    <t>// ***** END REGION - TEST GET MRA ENCODING
// ***** BEGIN REGION - TEST GET MRA COMPARISONS
@Test
public final void testCompare_SMITH_SMYTH_SuccessfullyMatched() {
    assertTrue(this.getStringEncoder().isEncodeEquals("smith", "smyth"));
}
@Test
public final void testCompare_Forenames_UNA_OONAGH_ShouldSuccessfullyMatchButDoesNot() {
    // Disappointing
    assertFalse(this.getStringEncoder().isEncodeEquals("Úna", "Oonagh"));
}</t>
  </si>
  <si>
    <t>// ***** END REGION - TEST GET MRA ENCODING
// ***** BEGIN REGION - TEST GET MRA COMPARISONS
@Test
public final void testCompare_SMITH_SMYTH_SuccessfullyMatched() {
    assertTrue(this.getStringEncoder().isEncodeEquals("smith", "smyth"));
}
@Test
public final void testCompare_SurnamesCornerCase_MURPHY_Space_NoMatch() {
    assertFalse(this.getStringEncoder().isEncodeEquals("Murphy", " "));
}</t>
  </si>
  <si>
    <t>// ***** END REGION - TEST GET MRA ENCODING
// ***** BEGIN REGION - TEST GET MRA COMPARISONS
@Test
public final void testCompare_SMITH_SMYTH_SuccessfullyMatched() {
    assertTrue(this.getStringEncoder().isEncodeEquals("smith", "smyth"));
}
@Test
public final void testCompareNameToSingleLetter_KARL_C_DoesNotMatch() {
    assertFalse(this.getStringEncoder().isEncodeEquals("Karl", "C"));
}</t>
  </si>
  <si>
    <t>// ***** END REGION - TEST GET MRA ENCODING
// ***** BEGIN REGION - TEST GET MRA COMPARISONS
@Test
public final void testCompare_SMITH_SMYTH_SuccessfullyMatched() {
    assertTrue(this.getStringEncoder().isEncodeEquals("smith", "smyth"));
}
@Test
public final void testCompare_SurnameCornerCase_Nulls_NoMatch() {
    assertFalse(this.getStringEncoder().isEncodeEquals(null, null));
}</t>
  </si>
  <si>
    <t>// ***** END REGION - TEST GET MRA ENCODING
// ***** BEGIN REGION - TEST GET MRA COMPARISONS
@Test
public final void testCompare_SMITH_SMYTH_SuccessfullyMatched() {
    assertTrue(this.getStringEncoder().isEncodeEquals("smith", "smyth"));
}
@Test
public final void testCompare_LongSurnames_MORIARTY_OMUIRCHEARTAIGH_DoesNotSuccessfulMatch() {
    assertFalse(this.getStringEncoder().isEncodeEquals("Moriarty", "OMuircheartaigh"));
}</t>
  </si>
  <si>
    <t>// ***** END REGION - TEST GET MRA ENCODING
// ***** BEGIN REGION - TEST GET MRA COMPARISONS
@Test
public final void testCompare_SMITH_SMYTH_SuccessfullyMatched() {
    assertTrue(this.getStringEncoder().isEncodeEquals("smith", "smyth"));
}
@Test
public final void testCompare_SurnamesCornerCase_MURPHY_NoSpace_NoMatch() {
    assertFalse(this.getStringEncoder().isEncodeEquals("Murphy", ""));
}</t>
  </si>
  <si>
    <t>@Test
public final void testCompare_BURNS_BOURNE_SuccessfullyMatched() {
    assertTrue(this.getStringEncoder().isEncodeEquals("Burns", "Bourne"));
}
@Test
public final void testCompare_BRIAN_BRYAN_SuccessfullyMatched() {
    assertTrue(this.getStringEncoder().isEncodeEquals("Brian", "Bryan"));
}</t>
  </si>
  <si>
    <t>@Test
public final void testCompare_BURNS_BOURNE_SuccessfullyMatched() {
    assertTrue(this.getStringEncoder().isEncodeEquals("Burns", "Bourne"));
}
@Test
public final void testCompare_SEAN_SHAUN_SuccessfullyMatched() {
    assertTrue(this.getStringEncoder().isEncodeEquals("Séan", "Shaun"));
}</t>
  </si>
  <si>
    <t>@Test
public final void testCompare_BURNS_BOURNE_SuccessfullyMatched() {
    assertTrue(this.getStringEncoder().isEncodeEquals("Burns", "Bourne"));
}
@Test
public final void testCompare_OONA_OONAGH_SuccessfullyMatched() {
    assertTrue(this.getStringEncoder().isEncodeEquals("Oona", "Oonagh"));
}</t>
  </si>
  <si>
    <t>@Test
public final void testCompare_BURNS_BOURNE_SuccessfullyMatched() {
    assertTrue(this.getStringEncoder().isEncodeEquals("Burns", "Bourne"));
}
@Test
public final void testCompare_TOMASZ_TOM_SuccessfullyMatched() {
    assertTrue(this.getStringEncoder().isEncodeEquals("Tomasz", "tom"));
}</t>
  </si>
  <si>
    <t>@Test
public final void testCompare_BURNS_BOURNE_SuccessfullyMatched() {
    assertTrue(this.getStringEncoder().isEncodeEquals("Burns", "Bourne"));
}
@Test
public final void testCompare_SAM_SAMUEL_SuccessfullyMatched() {
    assertTrue(this.getStringEncoder().isEncodeEquals("Sam", "Samuel"));
}</t>
  </si>
  <si>
    <t>@Test
public final void testCompare_BURNS_BOURNE_SuccessfullyMatched() {
    assertTrue(this.getStringEncoder().isEncodeEquals("Burns", "Bourne"));
}
@Test
public final void testCompare_MICKY_MICHAEL_SuccessfullyMatched() {
    assertTrue(this.getStringEncoder().isEncodeEquals("Micky", "Michael"));
}</t>
  </si>
  <si>
    <t>@Test
public final void testCompare_BURNS_BOURNE_SuccessfullyMatched() {
    assertTrue(this.getStringEncoder().isEncodeEquals("Burns", "Bourne"));
}
@Test
public final void testCompare_ZACH_ZAKARIA_SuccessfullyMatched() {
    assertTrue(this.getStringEncoder().isEncodeEquals("Zach", "Zacharia"));
}</t>
  </si>
  <si>
    <t>@Test
public final void testCompare_BURNS_BOURNE_SuccessfullyMatched() {
    assertTrue(this.getStringEncoder().isEncodeEquals("Burns", "Bourne"));
}
@Test
public final void testCompare_SOPHIE_SOFIA_SuccessfullyMatched() {
    assertTrue(this.getStringEncoder().isEncodeEquals("Sophie", "Sofia"));
}</t>
  </si>
  <si>
    <t>@Test
public final void testCompare_BURNS_BOURNE_SuccessfullyMatched() {
    assertTrue(this.getStringEncoder().isEncodeEquals("Burns", "Bourne"));
}
@Test
public final void testCompare_STEVEN_STEFAN_SuccessfullyMatched() {
    assertTrue(this.getStringEncoder().isEncodeEquals("Steven", "Stefan"));
}</t>
  </si>
  <si>
    <t>@Test
public final void testCompare_BURNS_BOURNE_SuccessfullyMatched() {
    assertTrue(this.getStringEncoder().isEncodeEquals("Burns", "Bourne"));
}
@Test
public final void testCompare_FRANCISZEK_FRANCES_SuccessfullyMatched() {
    assertTrue(this.getStringEncoder().isEncodeEquals("Franciszek", "Frances"));
}</t>
  </si>
  <si>
    <t>@Test
public final void testCompare_BURNS_BOURNE_SuccessfullyMatched() {
    assertTrue(this.getStringEncoder().isEncodeEquals("Burns", "Bourne"));
}
@Test
public final void testCompare_CATHERINE_KATHRYN_SuccessfullyMatched() {
    assertTrue(this.getStringEncoder().isEncodeEquals("Catherine", "Kathryn"));
}</t>
  </si>
  <si>
    <t>@Test
public final void testCompare_BURNS_BOURNE_SuccessfullyMatched() {
    assertTrue(this.getStringEncoder().isEncodeEquals("Burns", "Bourne"));
}
// **** END YIDDISH/SLAVIC SECTION ****
@Test
public final void testCompare_PETERSON_PETERS_SuccessfullyMatched() {
    assertTrue(this.getStringEncoder().isEncodeEquals("Peterson", "Peters"));
}</t>
  </si>
  <si>
    <t>@Test
public final void testCompare_BURNS_BOURNE_SuccessfullyMatched() {
    assertTrue(this.getStringEncoder().isEncodeEquals("Burns", "Bourne"));
}
@Test
public final void testCompare_STEPHEN_STEFAN_SuccessfullyMatched() {
    assertTrue(this.getStringEncoder().isEncodeEquals("Stephen", "Stefan"));
}</t>
  </si>
  <si>
    <t>@Test
public final void testCompare_BURNS_BOURNE_SuccessfullyMatched() {
    assertTrue(this.getStringEncoder().isEncodeEquals("Burns", "Bourne"));
}
@Test
public final void testCompare_STEPHEN_STEVEN_SuccessfullyMatched() {
    assertTrue(this.getStringEncoder().isEncodeEquals("Stephen", "Steven"));
}</t>
  </si>
  <si>
    <t>@Test
public final void testCompare_BURNS_BOURNE_SuccessfullyMatched() {
    assertTrue(this.getStringEncoder().isEncodeEquals("Burns", "Bourne"));
}
@Test
public final void testCompare_MCGOWAN_MCGEOGHEGAN_SuccessfullyMatched() {
    assertTrue(this.getStringEncoder().isEncodeEquals("McGowan", "Mc Geoghegan"));
}</t>
  </si>
  <si>
    <t>@Test
public final void testCompare_BURNS_BOURNE_SuccessfullyMatched() {
    assertTrue(this.getStringEncoder().isEncodeEquals("Burns", "Bourne"));
}
@Test
public final void testCompare_SmallInput_CARK_Kl_SuccessfullyMatched() {
    assertTrue(this.getStringEncoder().isEncodeEquals("Kl", "Karl"));
}</t>
  </si>
  <si>
    <t>@Test
public final void testCompare_BURNS_BOURNE_SuccessfullyMatched() {
    assertTrue(this.getStringEncoder().isEncodeEquals("Burns", "Bourne"));
}
@Test
public final void testCompare_Surname_HAILEY_HALLEY_SuccessfullyMatched() {
    assertTrue(this.getStringEncoder().isEncodeEquals("Hailey", "Halley"));
}</t>
  </si>
  <si>
    <t>@Test
public final void testCompare_BURNS_BOURNE_SuccessfullyMatched() {
    assertTrue(this.getStringEncoder().isEncodeEquals("Burns", "Bourne"));
}
// **** BEGIN YIDDISH/SLAVIC SECTION ****
@Test
public final void testCompare_Surname_AUERBACH_UHRBACH_SuccessfullyMatched() {
    assertTrue(this.getStringEncoder().isEncodeEquals("Auerbach", "Uhrbach"));
}</t>
  </si>
  <si>
    <t>@Test
public final void testCompare_BURNS_BOURNE_SuccessfullyMatched() {
    assertTrue(this.getStringEncoder().isEncodeEquals("Burns", "Bourne"));
}
@Test
public final void testCompare_Surname_LEWINSKY_LEVINSKI_SuccessfullyMatched() {
    assertTrue(this.getStringEncoder().isEncodeEquals("LEWINSKY", "LEVINSKI"));
}</t>
  </si>
  <si>
    <t>@Test
public final void testCompare_BURNS_BOURNE_SuccessfullyMatched() {
    assertTrue(this.getStringEncoder().isEncodeEquals("Burns", "Bourne"));
}
@Test
public final void testCompare_Surname_COOPERFLYNN_SUPERLYN_SuccessfullyMatched() {
    assertTrue(this.getStringEncoder().isEncodeEquals("Cooper-Flynn", "Super-Lyn"));
}</t>
  </si>
  <si>
    <t>@Test
public final void testCompare_BURNS_BOURNE_SuccessfullyMatched() {
    assertTrue(this.getStringEncoder().isEncodeEquals("Burns", "Bourne"));
}
@Test
public final void testCompare_Surname_PRZEMYSL_PSHEMESHIL_SuccessfullyMatched() {
    assertTrue(this.getStringEncoder().isEncodeEquals(" P rz e m y s l", " P sh e m e sh i l"));
}</t>
  </si>
  <si>
    <t>@Test
public final void testCompare_BURNS_BOURNE_SuccessfullyMatched() {
    assertTrue(this.getStringEncoder().isEncodeEquals("Burns", "Bourne"));
}
@Test
public final void testCompare_Surname_LIPSHITZ_LIPPSZYC_SuccessfullyMatched() {
    assertTrue(this.getStringEncoder().isEncodeEquals("LIPSHITZ", "LIPPSZYC"));
}</t>
  </si>
  <si>
    <t>@Test
public final void testCompare_BURNS_BOURNE_SuccessfullyMatched() {
    assertTrue(this.getStringEncoder().isEncodeEquals("Burns", "Bourne"));
}
@Test
public final void testCompare_Surname_MOSKOWITZ_MOSKOVITZ_SuccessfullyMatched() {
    assertTrue(this.getStringEncoder().isEncodeEquals("Moskowitz", "Moskovitz"));
}</t>
  </si>
  <si>
    <t>@Test
public final void testCompare_BURNS_BOURNE_SuccessfullyMatched() {
    assertTrue(this.getStringEncoder().isEncodeEquals("Burns", "Bourne"));
}
@Test
public final void testCompare_Surname_SZLAMAWICZ_SHLAMOVITZ_SuccessfullyMatched() {
    assertTrue(this.getStringEncoder().isEncodeEquals("SZLAMAWICZ", "SHLAMOVITZ"));
}</t>
  </si>
  <si>
    <t>@Test
public final void testCompare_BURNS_BOURNE_SuccessfullyMatched() {
    assertTrue(this.getStringEncoder().isEncodeEquals("Burns", "Bourne"));
}
@Test
public final void testCompare_Surname_ROSOCHOWACIEC_ROSOKHOVATSETS_SuccessfullyMatched() {
    assertTrue(this.getStringEncoder().isEncodeEquals("R o s o ch o w a c ie c", " R o s o k ho v a ts e ts"));
}</t>
  </si>
  <si>
    <t>@Test
public final void testCompare_BURNS_BOURNE_SuccessfullyMatched() {
    assertTrue(this.getStringEncoder().isEncodeEquals("Burns", "Bourne"));
}
// ***** Begin Region - Test Get Encoding - Surnames
@Test
public final void testCompare_Surname_OSULLIVAN_OSUILLEABHAIN_SuccessfulMatch() {
    assertTrue(this.getStringEncoder().isEncodeEquals("O'Sullivan", "Ó ' Súilleabháin"));
}</t>
  </si>
  <si>
    <t>@Test
public final void testCompare_BURNS_BOURNE_SuccessfullyMatched() {
    assertTrue(this.getStringEncoder().isEncodeEquals("Burns", "Bourne"));
}
@Test
public final void testCompare_KARL_ALESSANDRO_DoesNotMatch() {
    assertFalse(this.getStringEncoder().isEncodeEquals("Karl", "Alessandro"));
}</t>
  </si>
  <si>
    <t>@Test
public final void testCompare_BURNS_BOURNE_SuccessfullyMatched() {
    assertTrue(this.getStringEncoder().isEncodeEquals("Burns", "Bourne"));
}
@Test
public final void testCompare_Forenames_SEAN_JOHN_MatchExpected() {
    assertTrue(this.getStringEncoder().isEncodeEquals("Sean", "John"));
}</t>
  </si>
  <si>
    <t>@Test
public final void testCompare_BURNS_BOURNE_SuccessfullyMatched() {
    assertTrue(this.getStringEncoder().isEncodeEquals("Burns", "Bourne"));
}
@Test
public final void testCompare_ShortNames_AL_ED_WorksButNoMatch() {
    assertFalse(this.getStringEncoder().isEncodeEquals("Al", "Ed"));
}</t>
  </si>
  <si>
    <t>@Test
public final void testCompare_BURNS_BOURNE_SuccessfullyMatched() {
    assertTrue(this.getStringEncoder().isEncodeEquals("Burns", "Bourne"));
}
@Test
public final void testCompare_Forenames_UNA_OONAGH_ShouldSuccessfullyMatchButDoesNot() {
    // Disappointing
    assertFalse(this.getStringEncoder().isEncodeEquals("Úna", "Oonagh"));
}</t>
  </si>
  <si>
    <t>@Test
public final void testCompare_BURNS_BOURNE_SuccessfullyMatched() {
    assertTrue(this.getStringEncoder().isEncodeEquals("Burns", "Bourne"));
}
@Test
public final void testCompare_Forenames_SEAN_PETE_NoMatchExpected() {
    assertFalse(this.getStringEncoder().isEncodeEquals("Sean", "Pete"));
}</t>
  </si>
  <si>
    <t>@Test
public final void testCompare_BURNS_BOURNE_SuccessfullyMatched() {
    assertTrue(this.getStringEncoder().isEncodeEquals("Burns", "Bourne"));
}
@Test
public final void testCompare_COLM_COLIN_WithAccentsAndSymbolsAndSpaces_SuccessfullyMatched() {
    assertTrue(this.getStringEncoder().isEncodeEquals("Cólm.   ", "C-olín"));
}</t>
  </si>
  <si>
    <t>@Test
public final void testCompare_BURNS_BOURNE_SuccessfullyMatched() {
    assertTrue(this.getStringEncoder().isEncodeEquals("Burns", "Bourne"));
}
@Test
public final void testCompare_Surnames_MURPHY_LYNCH_NoMatchExpected() {
    assertFalse(this.getStringEncoder().isEncodeEquals("Murphy", "Lynch"));
}</t>
  </si>
  <si>
    <t>@Test
public final void testCompare_BURNS_BOURNE_SuccessfullyMatched() {
    assertTrue(this.getStringEncoder().isEncodeEquals("Burns", "Bourne"));
}
@Test
public final void testCompare_LongSurnames_OMUIRCHEARTAIGH_OMIREADHAIGH_SuccessfulMatch() {
    assertTrue(this.getStringEncoder().isEncodeEquals("o'muireadhaigh", "Ó 'Muircheartaigh "));
}</t>
  </si>
  <si>
    <t>@Test
public final void testCompare_BURNS_BOURNE_SuccessfullyMatched() {
    assertTrue(this.getStringEncoder().isEncodeEquals("Burns", "Bourne"));
}
@Test
public final void testCompareNameToSingleLetter_KARL_C_DoesNotMatch() {
    assertFalse(this.getStringEncoder().isEncodeEquals("Karl", "C"));
}</t>
  </si>
  <si>
    <t>@Test
public final void testCompare_BURNS_BOURNE_SuccessfullyMatched() {
    assertTrue(this.getStringEncoder().isEncodeEquals("Burns", "Bourne"));
}
@Test
public final void testCompare_SurnamesCornerCase_MURPHY_Space_NoMatch() {
    assertFalse(this.getStringEncoder().isEncodeEquals("Murphy", " "));
}</t>
  </si>
  <si>
    <t>@Test
public final void testCompare_BURNS_BOURNE_SuccessfullyMatched() {
    assertTrue(this.getStringEncoder().isEncodeEquals("Burns", "Bourne"));
}
@Test
public final void testCompare_SurnamesCornerCase_MURPHY_NoSpace_NoMatch() {
    assertFalse(this.getStringEncoder().isEncodeEquals("Murphy", ""));
}</t>
  </si>
  <si>
    <t>@Test
public final void testCompare_BURNS_BOURNE_SuccessfullyMatched() {
    assertTrue(this.getStringEncoder().isEncodeEquals("Burns", "Bourne"));
}
@Test
public final void testCompare_SurnameCornerCase_Nulls_NoMatch() {
    assertFalse(this.getStringEncoder().isEncodeEquals(null, null));
}</t>
  </si>
  <si>
    <t>@Test
public final void testCompare_BURNS_BOURNE_SuccessfullyMatched() {
    assertTrue(this.getStringEncoder().isEncodeEquals("Burns", "Bourne"));
}
@Test
public final void testCompare_LongSurnames_MORIARTY_OMUIRCHEARTAIGH_DoesNotSuccessfulMatch() {
    assertFalse(this.getStringEncoder().isEncodeEquals("Moriarty", "OMuircheartaigh"));
}</t>
  </si>
  <si>
    <t>@Test
public final void testCompare_ShortNames_AL_ED_WorksButNoMatch() {
    assertFalse(this.getStringEncoder().isEncodeEquals("Al", "Ed"));
}
@Test
public final void testCompare_KARL_ALESSANDRO_DoesNotMatch() {
    assertFalse(this.getStringEncoder().isEncodeEquals("Karl", "Alessandro"));
}</t>
  </si>
  <si>
    <t>@Test
public final void testCompare_ShortNames_AL_ED_WorksButNoMatch() {
    assertFalse(this.getStringEncoder().isEncodeEquals("Al", "Ed"));
}
@Test
public final void testCompare_Forenames_SEAN_PETE_NoMatchExpected() {
    assertFalse(this.getStringEncoder().isEncodeEquals("Sean", "Pete"));
}</t>
  </si>
  <si>
    <t>@Test
public final void testCompare_ShortNames_AL_ED_WorksButNoMatch() {
    assertFalse(this.getStringEncoder().isEncodeEquals("Al", "Ed"));
}
@Test
public final void testCompare_Surnames_MURPHY_LYNCH_NoMatchExpected() {
    assertFalse(this.getStringEncoder().isEncodeEquals("Murphy", "Lynch"));
}</t>
  </si>
  <si>
    <t>@Test
public final void testCompare_ShortNames_AL_ED_WorksButNoMatch() {
    assertFalse(this.getStringEncoder().isEncodeEquals("Al", "Ed"));
}
@Test
public final void testCompare_SurnamesCornerCase_MURPHY_NoSpace_NoMatch() {
    assertFalse(this.getStringEncoder().isEncodeEquals("Murphy", ""));
}</t>
  </si>
  <si>
    <t>@Test
public final void testCompare_ShortNames_AL_ED_WorksButNoMatch() {
    assertFalse(this.getStringEncoder().isEncodeEquals("Al", "Ed"));
}
@Test
public final void testCompare_SurnamesCornerCase_MURPHY_Space_NoMatch() {
    assertFalse(this.getStringEncoder().isEncodeEquals("Murphy", " "));
}</t>
  </si>
  <si>
    <t>@Test
public final void testCompare_ShortNames_AL_ED_WorksButNoMatch() {
    assertFalse(this.getStringEncoder().isEncodeEquals("Al", "Ed"));
}
@Test
public final void testCompareNameToSingleLetter_KARL_C_DoesNotMatch() {
    assertFalse(this.getStringEncoder().isEncodeEquals("Karl", "C"));
}</t>
  </si>
  <si>
    <t>@Test
public final void testCompare_ShortNames_AL_ED_WorksButNoMatch() {
    assertFalse(this.getStringEncoder().isEncodeEquals("Al", "Ed"));
}
@Test
public final void testCompare_STEVEN_STEFAN_SuccessfullyMatched() {
    assertTrue(this.getStringEncoder().isEncodeEquals("Steven", "Stefan"));
}</t>
  </si>
  <si>
    <t>@Test
public final void testCompare_ShortNames_AL_ED_WorksButNoMatch() {
    assertFalse(this.getStringEncoder().isEncodeEquals("Al", "Ed"));
}
@Test
public final void testCompare_STEPHEN_STEFAN_SuccessfullyMatched() {
    assertTrue(this.getStringEncoder().isEncodeEquals("Stephen", "Stefan"));
}</t>
  </si>
  <si>
    <t>@Test
public final void testCompare_ShortNames_AL_ED_WorksButNoMatch() {
    assertFalse(this.getStringEncoder().isEncodeEquals("Al", "Ed"));
}
@Test
public final void testCompare_SEAN_SHAUN_SuccessfullyMatched() {
    assertTrue(this.getStringEncoder().isEncodeEquals("Séan", "Shaun"));
}</t>
  </si>
  <si>
    <t>@Test
public final void testCompare_ShortNames_AL_ED_WorksButNoMatch() {
    assertFalse(this.getStringEncoder().isEncodeEquals("Al", "Ed"));
}
@Test
public final void testCompare_Forenames_SEAN_JOHN_MatchExpected() {
    assertTrue(this.getStringEncoder().isEncodeEquals("Sean", "John"));
}</t>
  </si>
  <si>
    <t>@Test
public final void testCompare_ShortNames_AL_ED_WorksButNoMatch() {
    assertFalse(this.getStringEncoder().isEncodeEquals("Al", "Ed"));
}
@Test
public final void testCompare_BRIAN_BRYAN_SuccessfullyMatched() {
    assertTrue(this.getStringEncoder().isEncodeEquals("Brian", "Bryan"));
}</t>
  </si>
  <si>
    <t>@Test
public final void testCompare_ShortNames_AL_ED_WorksButNoMatch() {
    assertFalse(this.getStringEncoder().isEncodeEquals("Al", "Ed"));
}
@Test
public final void testCompare_SAM_SAMUEL_SuccessfullyMatched() {
    assertTrue(this.getStringEncoder().isEncodeEquals("Sam", "Samuel"));
}</t>
  </si>
  <si>
    <t>@Test
public final void testCompare_ShortNames_AL_ED_WorksButNoMatch() {
    assertFalse(this.getStringEncoder().isEncodeEquals("Al", "Ed"));
}
@Test
public final void testCompare_SOPHIE_SOFIA_SuccessfullyMatched() {
    assertTrue(this.getStringEncoder().isEncodeEquals("Sophie", "Sofia"));
}</t>
  </si>
  <si>
    <t>@Test
public final void testCompare_ShortNames_AL_ED_WorksButNoMatch() {
    assertFalse(this.getStringEncoder().isEncodeEquals("Al", "Ed"));
}
@Test
public final void testCompare_Surname_HAILEY_HALLEY_SuccessfullyMatched() {
    assertTrue(this.getStringEncoder().isEncodeEquals("Hailey", "Halley"));
}</t>
  </si>
  <si>
    <t>@Test
public final void testCompare_ShortNames_AL_ED_WorksButNoMatch() {
    assertFalse(this.getStringEncoder().isEncodeEquals("Al", "Ed"));
}
@Test
public final void testCompare_SurnameCornerCase_Nulls_NoMatch() {
    assertFalse(this.getStringEncoder().isEncodeEquals(null, null));
}</t>
  </si>
  <si>
    <t>@Test
public final void testCompare_ShortNames_AL_ED_WorksButNoMatch() {
    assertFalse(this.getStringEncoder().isEncodeEquals("Al", "Ed"));
}
@Test
public final void testCompare_STEPHEN_STEVEN_SuccessfullyMatched() {
    assertTrue(this.getStringEncoder().isEncodeEquals("Stephen", "Steven"));
}</t>
  </si>
  <si>
    <t>@Test
public final void testCompare_ShortNames_AL_ED_WorksButNoMatch() {
    assertFalse(this.getStringEncoder().isEncodeEquals("Al", "Ed"));
}
@Test
public final void testCompare_SmallInput_CARK_Kl_SuccessfullyMatched() {
    assertTrue(this.getStringEncoder().isEncodeEquals("Kl", "Karl"));
}</t>
  </si>
  <si>
    <t>@Test
public final void testCompare_ShortNames_AL_ED_WorksButNoMatch() {
    assertFalse(this.getStringEncoder().isEncodeEquals("Al", "Ed"));
}
@Test
public final void testCompare_MICKY_MICHAEL_SuccessfullyMatched() {
    assertTrue(this.getStringEncoder().isEncodeEquals("Micky", "Michael"));
}</t>
  </si>
  <si>
    <t>@Test
public final void testCompare_ShortNames_AL_ED_WorksButNoMatch() {
    assertFalse(this.getStringEncoder().isEncodeEquals("Al", "Ed"));
}
@Test
public final void testCompare_ZACH_ZAKARIA_SuccessfullyMatched() {
    assertTrue(this.getStringEncoder().isEncodeEquals("Zach", "Zacharia"));
}</t>
  </si>
  <si>
    <t>@Test
public final void testCompare_ShortNames_AL_ED_WorksButNoMatch() {
    assertFalse(this.getStringEncoder().isEncodeEquals("Al", "Ed"));
}
@Test
public final void testCompare_OONA_OONAGH_SuccessfullyMatched() {
    assertTrue(this.getStringEncoder().isEncodeEquals("Oona", "Oonagh"));
}</t>
  </si>
  <si>
    <t>@Test
public final void testCompare_ShortNames_AL_ED_WorksButNoMatch() {
    assertFalse(this.getStringEncoder().isEncodeEquals("Al", "Ed"));
}
@Test
public final void testCompare_FRANCISZEK_FRANCES_SuccessfullyMatched() {
    assertTrue(this.getStringEncoder().isEncodeEquals("Franciszek", "Frances"));
}</t>
  </si>
  <si>
    <t>@Test
public final void testCompare_ShortNames_AL_ED_WorksButNoMatch() {
    assertFalse(this.getStringEncoder().isEncodeEquals("Al", "Ed"));
}
@Test
public final void testCompare_TOMASZ_TOM_SuccessfullyMatched() {
    assertTrue(this.getStringEncoder().isEncodeEquals("Tomasz", "tom"));
}</t>
  </si>
  <si>
    <t>@Test
public final void testCompare_ShortNames_AL_ED_WorksButNoMatch() {
    assertFalse(this.getStringEncoder().isEncodeEquals("Al", "Ed"));
}
// **** END YIDDISH/SLAVIC SECTION ****
@Test
public final void testCompare_PETERSON_PETERS_SuccessfullyMatched() {
    assertTrue(this.getStringEncoder().isEncodeEquals("Peterson", "Peters"));
}</t>
  </si>
  <si>
    <t>@Test
public final void testCompare_ShortNames_AL_ED_WorksButNoMatch() {
    assertFalse(this.getStringEncoder().isEncodeEquals("Al", "Ed"));
}
@Test
public final void testCompare_CATHERINE_KATHRYN_SuccessfullyMatched() {
    assertTrue(this.getStringEncoder().isEncodeEquals("Catherine", "Kathryn"));
}</t>
  </si>
  <si>
    <t>@Test
public final void testCompare_ShortNames_AL_ED_WorksButNoMatch() {
    assertFalse(this.getStringEncoder().isEncodeEquals("Al", "Ed"));
}
@Test
public final void testCompare_MCGOWAN_MCGEOGHEGAN_SuccessfullyMatched() {
    assertTrue(this.getStringEncoder().isEncodeEquals("McGowan", "Mc Geoghegan"));
}</t>
  </si>
  <si>
    <t>@Test
public final void testCompare_ShortNames_AL_ED_WorksButNoMatch() {
    assertFalse(this.getStringEncoder().isEncodeEquals("Al", "Ed"));
}
// **** BEGIN YIDDISH/SLAVIC SECTION ****
@Test
public final void testCompare_Surname_AUERBACH_UHRBACH_SuccessfullyMatched() {
    assertTrue(this.getStringEncoder().isEncodeEquals("Auerbach", "Uhrbach"));
}</t>
  </si>
  <si>
    <t>@Test
public final void testCompare_ShortNames_AL_ED_WorksButNoMatch() {
    assertFalse(this.getStringEncoder().isEncodeEquals("Al", "Ed"));
}
@Test
public final void testCompare_Forenames_UNA_OONAGH_ShouldSuccessfullyMatchButDoesNot() {
    // Disappointing
    assertFalse(this.getStringEncoder().isEncodeEquals("Úna", "Oonagh"));
}</t>
  </si>
  <si>
    <t>@Test
public final void testCompare_ShortNames_AL_ED_WorksButNoMatch() {
    assertFalse(this.getStringEncoder().isEncodeEquals("Al", "Ed"));
}
@Test
public final void testCompare_Surname_LEWINSKY_LEVINSKI_SuccessfullyMatched() {
    assertTrue(this.getStringEncoder().isEncodeEquals("LEWINSKY", "LEVINSKI"));
}</t>
  </si>
  <si>
    <t>@Test
public final void testCompare_ShortNames_AL_ED_WorksButNoMatch() {
    assertFalse(this.getStringEncoder().isEncodeEquals("Al", "Ed"));
}
@Test
public final void testCompare_Surname_PRZEMYSL_PSHEMESHIL_SuccessfullyMatched() {
    assertTrue(this.getStringEncoder().isEncodeEquals(" P rz e m y s l", " P sh e m e sh i l"));
}</t>
  </si>
  <si>
    <t>@Test
public final void testCompare_ShortNames_AL_ED_WorksButNoMatch() {
    assertFalse(this.getStringEncoder().isEncodeEquals("Al", "Ed"));
}
@Test
public final void testCompare_Surname_LIPSHITZ_LIPPSZYC_SuccessfullyMatched() {
    assertTrue(this.getStringEncoder().isEncodeEquals("LIPSHITZ", "LIPPSZYC"));
}</t>
  </si>
  <si>
    <t>@Test
public final void testCompare_ShortNames_AL_ED_WorksButNoMatch() {
    assertFalse(this.getStringEncoder().isEncodeEquals("Al", "Ed"));
}
@Test
public final void testCompare_Surname_COOPERFLYNN_SUPERLYN_SuccessfullyMatched() {
    assertTrue(this.getStringEncoder().isEncodeEquals("Cooper-Flynn", "Super-Lyn"));
}</t>
  </si>
  <si>
    <t>@Test
public final void testCompare_ShortNames_AL_ED_WorksButNoMatch() {
    assertFalse(this.getStringEncoder().isEncodeEquals("Al", "Ed"));
}
@Test
public final void testCompare_Surname_MOSKOWITZ_MOSKOVITZ_SuccessfullyMatched() {
    assertTrue(this.getStringEncoder().isEncodeEquals("Moskowitz", "Moskovitz"));
}</t>
  </si>
  <si>
    <t>@Test
public final void testCompare_ShortNames_AL_ED_WorksButNoMatch() {
    assertFalse(this.getStringEncoder().isEncodeEquals("Al", "Ed"));
}
// ***** Begin Region - Test Get Encoding - Surnames
@Test
public final void testCompare_Surname_OSULLIVAN_OSUILLEABHAIN_SuccessfulMatch() {
    assertTrue(this.getStringEncoder().isEncodeEquals("O'Sullivan", "Ó ' Súilleabháin"));
}</t>
  </si>
  <si>
    <t>@Test
public final void testCompare_ShortNames_AL_ED_WorksButNoMatch() {
    assertFalse(this.getStringEncoder().isEncodeEquals("Al", "Ed"));
}
@Test
public final void testCompare_Surname_SZLAMAWICZ_SHLAMOVITZ_SuccessfullyMatched() {
    assertTrue(this.getStringEncoder().isEncodeEquals("SZLAMAWICZ", "SHLAMOVITZ"));
}</t>
  </si>
  <si>
    <t>@Test
public final void testCompare_ShortNames_AL_ED_WorksButNoMatch() {
    assertFalse(this.getStringEncoder().isEncodeEquals("Al", "Ed"));
}
@Test
public final void testCompare_LongSurnames_MORIARTY_OMUIRCHEARTAIGH_DoesNotSuccessfulMatch() {
    assertFalse(this.getStringEncoder().isEncodeEquals("Moriarty", "OMuircheartaigh"));
}</t>
  </si>
  <si>
    <t>@Test
public final void testCompare_ShortNames_AL_ED_WorksButNoMatch() {
    assertFalse(this.getStringEncoder().isEncodeEquals("Al", "Ed"));
}
@Test
public final void testCompare_LongSurnames_OMUIRCHEARTAIGH_OMIREADHAIGH_SuccessfulMatch() {
    assertTrue(this.getStringEncoder().isEncodeEquals("o'muireadhaigh", "Ó 'Muircheartaigh "));
}</t>
  </si>
  <si>
    <t>@Test
public final void testCompare_ShortNames_AL_ED_WorksButNoMatch() {
    assertFalse(this.getStringEncoder().isEncodeEquals("Al", "Ed"));
}
@Test
public final void testCompare_Surname_ROSOCHOWACIEC_ROSOKHOVATSETS_SuccessfullyMatched() {
    assertTrue(this.getStringEncoder().isEncodeEquals("R o s o ch o w a c ie c", " R o s o k ho v a ts e ts"));
}</t>
  </si>
  <si>
    <t>@Test
public final void testCompare_ShortNames_AL_ED_WorksButNoMatch() {
    assertFalse(this.getStringEncoder().isEncodeEquals("Al", "Ed"));
}
@Test
public final void testCompare_COLM_COLIN_WithAccentsAndSymbolsAndSpaces_SuccessfullyMatched() {
    assertTrue(this.getStringEncoder().isEncodeEquals("Cólm.   ", "C-olín"));
}</t>
  </si>
  <si>
    <t>@Test
public final void testCompare_CATHERINE_KATHRYN_SuccessfullyMatched() {
    assertTrue(this.getStringEncoder().isEncodeEquals("Catherine", "Kathryn"));
}
@Test
public final void testCompare_STEVEN_STEFAN_SuccessfullyMatched() {
    assertTrue(this.getStringEncoder().isEncodeEquals("Steven", "Stefan"));
}</t>
  </si>
  <si>
    <t>@Test
public final void testCompare_CATHERINE_KATHRYN_SuccessfullyMatched() {
    assertTrue(this.getStringEncoder().isEncodeEquals("Catherine", "Kathryn"));
}
// **** END YIDDISH/SLAVIC SECTION ****
@Test
public final void testCompare_PETERSON_PETERS_SuccessfullyMatched() {
    assertTrue(this.getStringEncoder().isEncodeEquals("Peterson", "Peters"));
}</t>
  </si>
  <si>
    <t>@Test
public final void testCompare_CATHERINE_KATHRYN_SuccessfullyMatched() {
    assertTrue(this.getStringEncoder().isEncodeEquals("Catherine", "Kathryn"));
}
@Test
public final void testCompare_SEAN_SHAUN_SuccessfullyMatched() {
    assertTrue(this.getStringEncoder().isEncodeEquals("Séan", "Shaun"));
}</t>
  </si>
  <si>
    <t>@Test
public final void testCompare_CATHERINE_KATHRYN_SuccessfullyMatched() {
    assertTrue(this.getStringEncoder().isEncodeEquals("Catherine", "Kathryn"));
}
@Test
public final void testCompare_STEPHEN_STEFAN_SuccessfullyMatched() {
    assertTrue(this.getStringEncoder().isEncodeEquals("Stephen", "Stefan"));
}</t>
  </si>
  <si>
    <t>@Test
public final void testCompare_CATHERINE_KATHRYN_SuccessfullyMatched() {
    assertTrue(this.getStringEncoder().isEncodeEquals("Catherine", "Kathryn"));
}
@Test
public final void testCompare_BRIAN_BRYAN_SuccessfullyMatched() {
    assertTrue(this.getStringEncoder().isEncodeEquals("Brian", "Bryan"));
}</t>
  </si>
  <si>
    <t>@Test
public final void testCompare_CATHERINE_KATHRYN_SuccessfullyMatched() {
    assertTrue(this.getStringEncoder().isEncodeEquals("Catherine", "Kathryn"));
}
@Test
public final void testCompare_ZACH_ZAKARIA_SuccessfullyMatched() {
    assertTrue(this.getStringEncoder().isEncodeEquals("Zach", "Zacharia"));
}</t>
  </si>
  <si>
    <t>@Test
public final void testCompare_CATHERINE_KATHRYN_SuccessfullyMatched() {
    assertTrue(this.getStringEncoder().isEncodeEquals("Catherine", "Kathryn"));
}
@Test
public final void testCompare_STEPHEN_STEVEN_SuccessfullyMatched() {
    assertTrue(this.getStringEncoder().isEncodeEquals("Stephen", "Steven"));
}</t>
  </si>
  <si>
    <t>@Test
public final void testCompare_CATHERINE_KATHRYN_SuccessfullyMatched() {
    assertTrue(this.getStringEncoder().isEncodeEquals("Catherine", "Kathryn"));
}
@Test
public final void testCompare_SOPHIE_SOFIA_SuccessfullyMatched() {
    assertTrue(this.getStringEncoder().isEncodeEquals("Sophie", "Sofia"));
}</t>
  </si>
  <si>
    <t>@Test
public final void testCompare_CATHERINE_KATHRYN_SuccessfullyMatched() {
    assertTrue(this.getStringEncoder().isEncodeEquals("Catherine", "Kathryn"));
}
@Test
public final void testCompare_TOMASZ_TOM_SuccessfullyMatched() {
    assertTrue(this.getStringEncoder().isEncodeEquals("Tomasz", "tom"));
}</t>
  </si>
  <si>
    <t>@Test
public final void testCompare_CATHERINE_KATHRYN_SuccessfullyMatched() {
    assertTrue(this.getStringEncoder().isEncodeEquals("Catherine", "Kathryn"));
}
@Test
public final void testCompare_OONA_OONAGH_SuccessfullyMatched() {
    assertTrue(this.getStringEncoder().isEncodeEquals("Oona", "Oonagh"));
}</t>
  </si>
  <si>
    <t>@Test
public final void testCompare_CATHERINE_KATHRYN_SuccessfullyMatched() {
    assertTrue(this.getStringEncoder().isEncodeEquals("Catherine", "Kathryn"));
}
@Test
public final void testCompare_SAM_SAMUEL_SuccessfullyMatched() {
    assertTrue(this.getStringEncoder().isEncodeEquals("Sam", "Samuel"));
}</t>
  </si>
  <si>
    <t>@Test
public final void testCompare_CATHERINE_KATHRYN_SuccessfullyMatched() {
    assertTrue(this.getStringEncoder().isEncodeEquals("Catherine", "Kathryn"));
}
@Test
public final void testCompare_MICKY_MICHAEL_SuccessfullyMatched() {
    assertTrue(this.getStringEncoder().isEncodeEquals("Micky", "Michael"));
}</t>
  </si>
  <si>
    <t>@Test
public final void testCompare_CATHERINE_KATHRYN_SuccessfullyMatched() {
    assertTrue(this.getStringEncoder().isEncodeEquals("Catherine", "Kathryn"));
}
@Test
public final void testCompare_MCGOWAN_MCGEOGHEGAN_SuccessfullyMatched() {
    assertTrue(this.getStringEncoder().isEncodeEquals("McGowan", "Mc Geoghegan"));
}</t>
  </si>
  <si>
    <t>@Test
public final void testCompare_CATHERINE_KATHRYN_SuccessfullyMatched() {
    assertTrue(this.getStringEncoder().isEncodeEquals("Catherine", "Kathryn"));
}
@Test
public final void testCompare_SmallInput_CARK_Kl_SuccessfullyMatched() {
    assertTrue(this.getStringEncoder().isEncodeEquals("Kl", "Karl"));
}</t>
  </si>
  <si>
    <t>@Test
public final void testCompare_CATHERINE_KATHRYN_SuccessfullyMatched() {
    assertTrue(this.getStringEncoder().isEncodeEquals("Catherine", "Kathryn"));
}
@Test
public final void testCompare_FRANCISZEK_FRANCES_SuccessfullyMatched() {
    assertTrue(this.getStringEncoder().isEncodeEquals("Franciszek", "Frances"));
}</t>
  </si>
  <si>
    <t>@Test
public final void testCompare_CATHERINE_KATHRYN_SuccessfullyMatched() {
    assertTrue(this.getStringEncoder().isEncodeEquals("Catherine", "Kathryn"));
}
@Test
public final void testCompare_Surname_HAILEY_HALLEY_SuccessfullyMatched() {
    assertTrue(this.getStringEncoder().isEncodeEquals("Hailey", "Halley"));
}</t>
  </si>
  <si>
    <t>@Test
public final void testCompare_CATHERINE_KATHRYN_SuccessfullyMatched() {
    assertTrue(this.getStringEncoder().isEncodeEquals("Catherine", "Kathryn"));
}
@Test
public final void testCompare_Surname_COOPERFLYNN_SUPERLYN_SuccessfullyMatched() {
    assertTrue(this.getStringEncoder().isEncodeEquals("Cooper-Flynn", "Super-Lyn"));
}</t>
  </si>
  <si>
    <t>@Test
public final void testCompare_CATHERINE_KATHRYN_SuccessfullyMatched() {
    assertTrue(this.getStringEncoder().isEncodeEquals("Catherine", "Kathryn"));
}
// **** BEGIN YIDDISH/SLAVIC SECTION ****
@Test
public final void testCompare_Surname_AUERBACH_UHRBACH_SuccessfullyMatched() {
    assertTrue(this.getStringEncoder().isEncodeEquals("Auerbach", "Uhrbach"));
}</t>
  </si>
  <si>
    <t>@Test
public final void testCompare_CATHERINE_KATHRYN_SuccessfullyMatched() {
    assertTrue(this.getStringEncoder().isEncodeEquals("Catherine", "Kathryn"));
}
@Test
public final void testCompare_Surname_LEWINSKY_LEVINSKI_SuccessfullyMatched() {
    assertTrue(this.getStringEncoder().isEncodeEquals("LEWINSKY", "LEVINSKI"));
}</t>
  </si>
  <si>
    <t>@Test
public final void testCompare_CATHERINE_KATHRYN_SuccessfullyMatched() {
    assertTrue(this.getStringEncoder().isEncodeEquals("Catherine", "Kathryn"));
}
@Test
public final void testCompare_Surname_LIPSHITZ_LIPPSZYC_SuccessfullyMatched() {
    assertTrue(this.getStringEncoder().isEncodeEquals("LIPSHITZ", "LIPPSZYC"));
}</t>
  </si>
  <si>
    <t>@Test
public final void testCompare_CATHERINE_KATHRYN_SuccessfullyMatched() {
    assertTrue(this.getStringEncoder().isEncodeEquals("Catherine", "Kathryn"));
}
@Test
public final void testCompare_Surname_MOSKOWITZ_MOSKOVITZ_SuccessfullyMatched() {
    assertTrue(this.getStringEncoder().isEncodeEquals("Moskowitz", "Moskovitz"));
}</t>
  </si>
  <si>
    <t>@Test
public final void testCompare_CATHERINE_KATHRYN_SuccessfullyMatched() {
    assertTrue(this.getStringEncoder().isEncodeEquals("Catherine", "Kathryn"));
}
@Test
public final void testCompare_Surname_PRZEMYSL_PSHEMESHIL_SuccessfullyMatched() {
    assertTrue(this.getStringEncoder().isEncodeEquals(" P rz e m y s l", " P sh e m e sh i l"));
}</t>
  </si>
  <si>
    <t>@Test
public final void testCompare_CATHERINE_KATHRYN_SuccessfullyMatched() {
    assertTrue(this.getStringEncoder().isEncodeEquals("Catherine", "Kathryn"));
}
@Test
public final void testCompare_Surname_SZLAMAWICZ_SHLAMOVITZ_SuccessfullyMatched() {
    assertTrue(this.getStringEncoder().isEncodeEquals("SZLAMAWICZ", "SHLAMOVITZ"));
}</t>
  </si>
  <si>
    <t>@Test
public final void testCompare_CATHERINE_KATHRYN_SuccessfullyMatched() {
    assertTrue(this.getStringEncoder().isEncodeEquals("Catherine", "Kathryn"));
}
@Test
public final void testCompare_Surname_ROSOCHOWACIEC_ROSOKHOVATSETS_SuccessfullyMatched() {
    assertTrue(this.getStringEncoder().isEncodeEquals("R o s o ch o w a c ie c", " R o s o k ho v a ts e ts"));
}</t>
  </si>
  <si>
    <t>@Test
public final void testCompare_CATHERINE_KATHRYN_SuccessfullyMatched() {
    assertTrue(this.getStringEncoder().isEncodeEquals("Catherine", "Kathryn"));
}
// ***** Begin Region - Test Get Encoding - Surnames
@Test
public final void testCompare_Surname_OSULLIVAN_OSUILLEABHAIN_SuccessfulMatch() {
    assertTrue(this.getStringEncoder().isEncodeEquals("O'Sullivan", "Ó ' Súilleabháin"));
}</t>
  </si>
  <si>
    <t>@Test
public final void testCompare_CATHERINE_KATHRYN_SuccessfullyMatched() {
    assertTrue(this.getStringEncoder().isEncodeEquals("Catherine", "Kathryn"));
}
@Test
public final void testCompare_KARL_ALESSANDRO_DoesNotMatch() {
    assertFalse(this.getStringEncoder().isEncodeEquals("Karl", "Alessandro"));
}</t>
  </si>
  <si>
    <t>@Test
public final void testCompare_CATHERINE_KATHRYN_SuccessfullyMatched() {
    assertTrue(this.getStringEncoder().isEncodeEquals("Catherine", "Kathryn"));
}
@Test
public final void testCompare_Forenames_SEAN_JOHN_MatchExpected() {
    assertTrue(this.getStringEncoder().isEncodeEquals("Sean", "John"));
}</t>
  </si>
  <si>
    <t>@Test
public final void testCompare_CATHERINE_KATHRYN_SuccessfullyMatched() {
    assertTrue(this.getStringEncoder().isEncodeEquals("Catherine", "Kathryn"));
}
@Test
public final void testCompare_COLM_COLIN_WithAccentsAndSymbolsAndSpaces_SuccessfullyMatched() {
    assertTrue(this.getStringEncoder().isEncodeEquals("Cólm.   ", "C-olín"));
}</t>
  </si>
  <si>
    <t>@Test
public final void testCompare_CATHERINE_KATHRYN_SuccessfullyMatched() {
    assertTrue(this.getStringEncoder().isEncodeEquals("Catherine", "Kathryn"));
}
@Test
public final void testCompare_Forenames_UNA_OONAGH_ShouldSuccessfullyMatchButDoesNot() {
    // Disappointing
    assertFalse(this.getStringEncoder().isEncodeEquals("Úna", "Oonagh"));
}</t>
  </si>
  <si>
    <t>@Test
public final void testCompare_CATHERINE_KATHRYN_SuccessfullyMatched() {
    assertTrue(this.getStringEncoder().isEncodeEquals("Catherine", "Kathryn"));
}
@Test
public final void testCompare_LongSurnames_OMUIRCHEARTAIGH_OMIREADHAIGH_SuccessfulMatch() {
    assertTrue(this.getStringEncoder().isEncodeEquals("o'muireadhaigh", "Ó 'Muircheartaigh "));
}</t>
  </si>
  <si>
    <t>@Test
public final void testCompare_CATHERINE_KATHRYN_SuccessfullyMatched() {
    assertTrue(this.getStringEncoder().isEncodeEquals("Catherine", "Kathryn"));
}
@Test
public final void testCompare_Forenames_SEAN_PETE_NoMatchExpected() {
    assertFalse(this.getStringEncoder().isEncodeEquals("Sean", "Pete"));
}</t>
  </si>
  <si>
    <t>@Test
public final void testCompare_CATHERINE_KATHRYN_SuccessfullyMatched() {
    assertTrue(this.getStringEncoder().isEncodeEquals("Catherine", "Kathryn"));
}
@Test
public final void testCompareNameToSingleLetter_KARL_C_DoesNotMatch() {
    assertFalse(this.getStringEncoder().isEncodeEquals("Karl", "C"));
}</t>
  </si>
  <si>
    <t>@Test
public final void testCompare_CATHERINE_KATHRYN_SuccessfullyMatched() {
    assertTrue(this.getStringEncoder().isEncodeEquals("Catherine", "Kathryn"));
}
@Test
public final void testCompare_Surnames_MURPHY_LYNCH_NoMatchExpected() {
    assertFalse(this.getStringEncoder().isEncodeEquals("Murphy", "Lynch"));
}</t>
  </si>
  <si>
    <t>@Test
public final void testCompare_CATHERINE_KATHRYN_SuccessfullyMatched() {
    assertTrue(this.getStringEncoder().isEncodeEquals("Catherine", "Kathryn"));
}
@Test
public final void testCompare_SurnamesCornerCase_MURPHY_Space_NoMatch() {
    assertFalse(this.getStringEncoder().isEncodeEquals("Murphy", " "));
}</t>
  </si>
  <si>
    <t>@Test
public final void testCompare_CATHERINE_KATHRYN_SuccessfullyMatched() {
    assertTrue(this.getStringEncoder().isEncodeEquals("Catherine", "Kathryn"));
}
@Test
public final void testCompare_SurnamesCornerCase_MURPHY_NoSpace_NoMatch() {
    assertFalse(this.getStringEncoder().isEncodeEquals("Murphy", ""));
}</t>
  </si>
  <si>
    <t>@Test
public final void testCompare_CATHERINE_KATHRYN_SuccessfullyMatched() {
    assertTrue(this.getStringEncoder().isEncodeEquals("Catherine", "Kathryn"));
}
@Test
public final void testCompare_LongSurnames_MORIARTY_OMUIRCHEARTAIGH_DoesNotSuccessfulMatch() {
    assertFalse(this.getStringEncoder().isEncodeEquals("Moriarty", "OMuircheartaigh"));
}</t>
  </si>
  <si>
    <t>@Test
public final void testCompare_CATHERINE_KATHRYN_SuccessfullyMatched() {
    assertTrue(this.getStringEncoder().isEncodeEquals("Catherine", "Kathryn"));
}
@Test
public final void testCompare_SurnameCornerCase_Nulls_NoMatch() {
    assertFalse(this.getStringEncoder().isEncodeEquals(null, null));
}</t>
  </si>
  <si>
    <t>@Test
public final void testCompare_BRIAN_BRYAN_SuccessfullyMatched() {
    assertTrue(this.getStringEncoder().isEncodeEquals("Brian", "Bryan"));
}
@Test
public final void testCompare_SEAN_SHAUN_SuccessfullyMatched() {
    assertTrue(this.getStringEncoder().isEncodeEquals("Séan", "Shaun"));
}</t>
  </si>
  <si>
    <t>@Test
public final void testCompare_BRIAN_BRYAN_SuccessfullyMatched() {
    assertTrue(this.getStringEncoder().isEncodeEquals("Brian", "Bryan"));
}
@Test
public final void testCompare_STEVEN_STEFAN_SuccessfullyMatched() {
    assertTrue(this.getStringEncoder().isEncodeEquals("Steven", "Stefan"));
}</t>
  </si>
  <si>
    <t>@Test
public final void testCompare_BRIAN_BRYAN_SuccessfullyMatched() {
    assertTrue(this.getStringEncoder().isEncodeEquals("Brian", "Bryan"));
}
@Test
public final void testCompare_OONA_OONAGH_SuccessfullyMatched() {
    assertTrue(this.getStringEncoder().isEncodeEquals("Oona", "Oonagh"));
}</t>
  </si>
  <si>
    <t>@Test
public final void testCompare_BRIAN_BRYAN_SuccessfullyMatched() {
    assertTrue(this.getStringEncoder().isEncodeEquals("Brian", "Bryan"));
}
@Test
public final void testCompare_STEPHEN_STEFAN_SuccessfullyMatched() {
    assertTrue(this.getStringEncoder().isEncodeEquals("Stephen", "Stefan"));
}</t>
  </si>
  <si>
    <t>@Test
public final void testCompare_BRIAN_BRYAN_SuccessfullyMatched() {
    assertTrue(this.getStringEncoder().isEncodeEquals("Brian", "Bryan"));
}
@Test
public final void testCompare_TOMASZ_TOM_SuccessfullyMatched() {
    assertTrue(this.getStringEncoder().isEncodeEquals("Tomasz", "tom"));
}</t>
  </si>
  <si>
    <t>@Test
public final void testCompare_BRIAN_BRYAN_SuccessfullyMatched() {
    assertTrue(this.getStringEncoder().isEncodeEquals("Brian", "Bryan"));
}
@Test
public final void testCompare_SAM_SAMUEL_SuccessfullyMatched() {
    assertTrue(this.getStringEncoder().isEncodeEquals("Sam", "Samuel"));
}</t>
  </si>
  <si>
    <t>@Test
public final void testCompare_BRIAN_BRYAN_SuccessfullyMatched() {
    assertTrue(this.getStringEncoder().isEncodeEquals("Brian", "Bryan"));
}
@Test
public final void testCompare_STEPHEN_STEVEN_SuccessfullyMatched() {
    assertTrue(this.getStringEncoder().isEncodeEquals("Stephen", "Steven"));
}</t>
  </si>
  <si>
    <t>@Test
public final void testCompare_BRIAN_BRYAN_SuccessfullyMatched() {
    assertTrue(this.getStringEncoder().isEncodeEquals("Brian", "Bryan"));
}
@Test
public final void testCompare_MICKY_MICHAEL_SuccessfullyMatched() {
    assertTrue(this.getStringEncoder().isEncodeEquals("Micky", "Michael"));
}</t>
  </si>
  <si>
    <t>@Test
public final void testCompare_BRIAN_BRYAN_SuccessfullyMatched() {
    assertTrue(this.getStringEncoder().isEncodeEquals("Brian", "Bryan"));
}
@Test
public final void testCompare_ZACH_ZAKARIA_SuccessfullyMatched() {
    assertTrue(this.getStringEncoder().isEncodeEquals("Zach", "Zacharia"));
}</t>
  </si>
  <si>
    <t>@Test
public final void testCompare_BRIAN_BRYAN_SuccessfullyMatched() {
    assertTrue(this.getStringEncoder().isEncodeEquals("Brian", "Bryan"));
}
@Test
public final void testCompare_SOPHIE_SOFIA_SuccessfullyMatched() {
    assertTrue(this.getStringEncoder().isEncodeEquals("Sophie", "Sofia"));
}</t>
  </si>
  <si>
    <t>@Test
public final void testCompare_BRIAN_BRYAN_SuccessfullyMatched() {
    assertTrue(this.getStringEncoder().isEncodeEquals("Brian", "Bryan"));
}
// **** END YIDDISH/SLAVIC SECTION ****
@Test
public final void testCompare_PETERSON_PETERS_SuccessfullyMatched() {
    assertTrue(this.getStringEncoder().isEncodeEquals("Peterson", "Peters"));
}</t>
  </si>
  <si>
    <t>@Test
public final void testCompare_BRIAN_BRYAN_SuccessfullyMatched() {
    assertTrue(this.getStringEncoder().isEncodeEquals("Brian", "Bryan"));
}
@Test
public final void testCompare_FRANCISZEK_FRANCES_SuccessfullyMatched() {
    assertTrue(this.getStringEncoder().isEncodeEquals("Franciszek", "Frances"));
}</t>
  </si>
  <si>
    <t>@Test
public final void testCompare_BRIAN_BRYAN_SuccessfullyMatched() {
    assertTrue(this.getStringEncoder().isEncodeEquals("Brian", "Bryan"));
}
@Test
public final void testCompare_MCGOWAN_MCGEOGHEGAN_SuccessfullyMatched() {
    assertTrue(this.getStringEncoder().isEncodeEquals("McGowan", "Mc Geoghegan"));
}</t>
  </si>
  <si>
    <t>@Test
public final void testCompare_BRIAN_BRYAN_SuccessfullyMatched() {
    assertTrue(this.getStringEncoder().isEncodeEquals("Brian", "Bryan"));
}
@Test
public final void testCompare_SmallInput_CARK_Kl_SuccessfullyMatched() {
    assertTrue(this.getStringEncoder().isEncodeEquals("Kl", "Karl"));
}</t>
  </si>
  <si>
    <t>@Test
public final void testCompare_BRIAN_BRYAN_SuccessfullyMatched() {
    assertTrue(this.getStringEncoder().isEncodeEquals("Brian", "Bryan"));
}
@Test
public final void testCompare_Surname_HAILEY_HALLEY_SuccessfullyMatched() {
    assertTrue(this.getStringEncoder().isEncodeEquals("Hailey", "Halley"));
}</t>
  </si>
  <si>
    <t>@Test
public final void testCompare_BRIAN_BRYAN_SuccessfullyMatched() {
    assertTrue(this.getStringEncoder().isEncodeEquals("Brian", "Bryan"));
}
// **** BEGIN YIDDISH/SLAVIC SECTION ****
@Test
public final void testCompare_Surname_AUERBACH_UHRBACH_SuccessfullyMatched() {
    assertTrue(this.getStringEncoder().isEncodeEquals("Auerbach", "Uhrbach"));
}</t>
  </si>
  <si>
    <t>@Test
public final void testCompare_BRIAN_BRYAN_SuccessfullyMatched() {
    assertTrue(this.getStringEncoder().isEncodeEquals("Brian", "Bryan"));
}
@Test
public final void testCompare_Surname_LEWINSKY_LEVINSKI_SuccessfullyMatched() {
    assertTrue(this.getStringEncoder().isEncodeEquals("LEWINSKY", "LEVINSKI"));
}</t>
  </si>
  <si>
    <t>@Test
public final void testCompare_BRIAN_BRYAN_SuccessfullyMatched() {
    assertTrue(this.getStringEncoder().isEncodeEquals("Brian", "Bryan"));
}
@Test
public final void testCompare_Surname_COOPERFLYNN_SUPERLYN_SuccessfullyMatched() {
    assertTrue(this.getStringEncoder().isEncodeEquals("Cooper-Flynn", "Super-Lyn"));
}</t>
  </si>
  <si>
    <t>@Test
public final void testCompare_BRIAN_BRYAN_SuccessfullyMatched() {
    assertTrue(this.getStringEncoder().isEncodeEquals("Brian", "Bryan"));
}
@Test
public final void testCompare_Surname_LIPSHITZ_LIPPSZYC_SuccessfullyMatched() {
    assertTrue(this.getStringEncoder().isEncodeEquals("LIPSHITZ", "LIPPSZYC"));
}</t>
  </si>
  <si>
    <t>@Test
public final void testCompare_BRIAN_BRYAN_SuccessfullyMatched() {
    assertTrue(this.getStringEncoder().isEncodeEquals("Brian", "Bryan"));
}
@Test
public final void testCompare_Surname_PRZEMYSL_PSHEMESHIL_SuccessfullyMatched() {
    assertTrue(this.getStringEncoder().isEncodeEquals(" P rz e m y s l", " P sh e m e sh i l"));
}</t>
  </si>
  <si>
    <t>@Test
public final void testCompare_BRIAN_BRYAN_SuccessfullyMatched() {
    assertTrue(this.getStringEncoder().isEncodeEquals("Brian", "Bryan"));
}
@Test
public final void testCompare_Surname_MOSKOWITZ_MOSKOVITZ_SuccessfullyMatched() {
    assertTrue(this.getStringEncoder().isEncodeEquals("Moskowitz", "Moskovitz"));
}</t>
  </si>
  <si>
    <t>@Test
public final void testCompare_BRIAN_BRYAN_SuccessfullyMatched() {
    assertTrue(this.getStringEncoder().isEncodeEquals("Brian", "Bryan"));
}
@Test
public final void testCompare_Surname_SZLAMAWICZ_SHLAMOVITZ_SuccessfullyMatched() {
    assertTrue(this.getStringEncoder().isEncodeEquals("SZLAMAWICZ", "SHLAMOVITZ"));
}</t>
  </si>
  <si>
    <t>@Test
public final void testCompare_BRIAN_BRYAN_SuccessfullyMatched() {
    assertTrue(this.getStringEncoder().isEncodeEquals("Brian", "Bryan"));
}
// ***** Begin Region - Test Get Encoding - Surnames
@Test
public final void testCompare_Surname_OSULLIVAN_OSUILLEABHAIN_SuccessfulMatch() {
    assertTrue(this.getStringEncoder().isEncodeEquals("O'Sullivan", "Ó ' Súilleabháin"));
}</t>
  </si>
  <si>
    <t>@Test
public final void testCompare_BRIAN_BRYAN_SuccessfullyMatched() {
    assertTrue(this.getStringEncoder().isEncodeEquals("Brian", "Bryan"));
}
@Test
public final void testCompare_KARL_ALESSANDRO_DoesNotMatch() {
    assertFalse(this.getStringEncoder().isEncodeEquals("Karl", "Alessandro"));
}</t>
  </si>
  <si>
    <t>@Test
public final void testCompare_BRIAN_BRYAN_SuccessfullyMatched() {
    assertTrue(this.getStringEncoder().isEncodeEquals("Brian", "Bryan"));
}
@Test
public final void testCompare_Surname_ROSOCHOWACIEC_ROSOKHOVATSETS_SuccessfullyMatched() {
    assertTrue(this.getStringEncoder().isEncodeEquals("R o s o ch o w a c ie c", " R o s o k ho v a ts e ts"));
}</t>
  </si>
  <si>
    <t>@Test
public final void testCompare_BRIAN_BRYAN_SuccessfullyMatched() {
    assertTrue(this.getStringEncoder().isEncodeEquals("Brian", "Bryan"));
}
@Test
public final void testCompare_Forenames_SEAN_JOHN_MatchExpected() {
    assertTrue(this.getStringEncoder().isEncodeEquals("Sean", "John"));
}</t>
  </si>
  <si>
    <t>@Test
public final void testCompare_BRIAN_BRYAN_SuccessfullyMatched() {
    assertTrue(this.getStringEncoder().isEncodeEquals("Brian", "Bryan"));
}
@Test
public final void testCompare_Forenames_UNA_OONAGH_ShouldSuccessfullyMatchButDoesNot() {
    // Disappointing
    assertFalse(this.getStringEncoder().isEncodeEquals("Úna", "Oonagh"));
}</t>
  </si>
  <si>
    <t>@Test
public final void testCompare_BRIAN_BRYAN_SuccessfullyMatched() {
    assertTrue(this.getStringEncoder().isEncodeEquals("Brian", "Bryan"));
}
@Test
public final void testCompare_Forenames_SEAN_PETE_NoMatchExpected() {
    assertFalse(this.getStringEncoder().isEncodeEquals("Sean", "Pete"));
}</t>
  </si>
  <si>
    <t>@Test
public final void testCompare_BRIAN_BRYAN_SuccessfullyMatched() {
    assertTrue(this.getStringEncoder().isEncodeEquals("Brian", "Bryan"));
}
@Test
public final void testCompare_COLM_COLIN_WithAccentsAndSymbolsAndSpaces_SuccessfullyMatched() {
    assertTrue(this.getStringEncoder().isEncodeEquals("Cólm.   ", "C-olín"));
}</t>
  </si>
  <si>
    <t>@Test
public final void testCompare_BRIAN_BRYAN_SuccessfullyMatched() {
    assertTrue(this.getStringEncoder().isEncodeEquals("Brian", "Bryan"));
}
@Test
public final void testCompare_Surnames_MURPHY_LYNCH_NoMatchExpected() {
    assertFalse(this.getStringEncoder().isEncodeEquals("Murphy", "Lynch"));
}</t>
  </si>
  <si>
    <t>@Test
public final void testCompare_BRIAN_BRYAN_SuccessfullyMatched() {
    assertTrue(this.getStringEncoder().isEncodeEquals("Brian", "Bryan"));
}
@Test
public final void testCompare_LongSurnames_OMUIRCHEARTAIGH_OMIREADHAIGH_SuccessfulMatch() {
    assertTrue(this.getStringEncoder().isEncodeEquals("o'muireadhaigh", "Ó 'Muircheartaigh "));
}</t>
  </si>
  <si>
    <t>@Test
public final void testCompare_BRIAN_BRYAN_SuccessfullyMatched() {
    assertTrue(this.getStringEncoder().isEncodeEquals("Brian", "Bryan"));
}
@Test
public final void testCompare_SurnamesCornerCase_MURPHY_Space_NoMatch() {
    assertFalse(this.getStringEncoder().isEncodeEquals("Murphy", " "));
}</t>
  </si>
  <si>
    <t>@Test
public final void testCompare_BRIAN_BRYAN_SuccessfullyMatched() {
    assertTrue(this.getStringEncoder().isEncodeEquals("Brian", "Bryan"));
}
@Test
public final void testCompare_SurnamesCornerCase_MURPHY_NoSpace_NoMatch() {
    assertFalse(this.getStringEncoder().isEncodeEquals("Murphy", ""));
}</t>
  </si>
  <si>
    <t>@Test
public final void testCompare_BRIAN_BRYAN_SuccessfullyMatched() {
    assertTrue(this.getStringEncoder().isEncodeEquals("Brian", "Bryan"));
}
@Test
public final void testCompareNameToSingleLetter_KARL_C_DoesNotMatch() {
    assertFalse(this.getStringEncoder().isEncodeEquals("Karl", "C"));
}</t>
  </si>
  <si>
    <t>@Test
public final void testCompare_BRIAN_BRYAN_SuccessfullyMatched() {
    assertTrue(this.getStringEncoder().isEncodeEquals("Brian", "Bryan"));
}
@Test
public final void testCompare_SurnameCornerCase_Nulls_NoMatch() {
    assertFalse(this.getStringEncoder().isEncodeEquals(null, null));
}</t>
  </si>
  <si>
    <t>@Test
public final void testCompare_BRIAN_BRYAN_SuccessfullyMatched() {
    assertTrue(this.getStringEncoder().isEncodeEquals("Brian", "Bryan"));
}
@Test
public final void testCompare_LongSurnames_MORIARTY_OMUIRCHEARTAIGH_DoesNotSuccessfulMatch() {
    assertFalse(this.getStringEncoder().isEncodeEquals("Moriarty", "OMuircheartaigh"));
}</t>
  </si>
  <si>
    <t>@Test
public final void testCompare_SEAN_SHAUN_SuccessfullyMatched() {
    assertTrue(this.getStringEncoder().isEncodeEquals("Séan", "Shaun"));
}
@Test
public final void testCompare_SAM_SAMUEL_SuccessfullyMatched() {
    assertTrue(this.getStringEncoder().isEncodeEquals("Sam", "Samuel"));
}</t>
  </si>
  <si>
    <t>@Test
public final void testCompare_SEAN_SHAUN_SuccessfullyMatched() {
    assertTrue(this.getStringEncoder().isEncodeEquals("Séan", "Shaun"));
}
@Test
public final void testCompare_STEVEN_STEFAN_SuccessfullyMatched() {
    assertTrue(this.getStringEncoder().isEncodeEquals("Steven", "Stefan"));
}</t>
  </si>
  <si>
    <t>@Test
public final void testCompare_SEAN_SHAUN_SuccessfullyMatched() {
    assertTrue(this.getStringEncoder().isEncodeEquals("Séan", "Shaun"));
}
@Test
public final void testCompare_STEPHEN_STEFAN_SuccessfullyMatched() {
    assertTrue(this.getStringEncoder().isEncodeEquals("Stephen", "Stefan"));
}</t>
  </si>
  <si>
    <t>@Test
public final void testCompare_SEAN_SHAUN_SuccessfullyMatched() {
    assertTrue(this.getStringEncoder().isEncodeEquals("Séan", "Shaun"));
}
@Test
public final void testCompare_STEPHEN_STEVEN_SuccessfullyMatched() {
    assertTrue(this.getStringEncoder().isEncodeEquals("Stephen", "Steven"));
}</t>
  </si>
  <si>
    <t>@Test
public final void testCompare_SEAN_SHAUN_SuccessfullyMatched() {
    assertTrue(this.getStringEncoder().isEncodeEquals("Séan", "Shaun"));
}
@Test
public final void testCompare_SOPHIE_SOFIA_SuccessfullyMatched() {
    assertTrue(this.getStringEncoder().isEncodeEquals("Sophie", "Sofia"));
}</t>
  </si>
  <si>
    <t>@Test
public final void testCompare_SEAN_SHAUN_SuccessfullyMatched() {
    assertTrue(this.getStringEncoder().isEncodeEquals("Séan", "Shaun"));
}
@Test
public final void testCompare_OONA_OONAGH_SuccessfullyMatched() {
    assertTrue(this.getStringEncoder().isEncodeEquals("Oona", "Oonagh"));
}</t>
  </si>
  <si>
    <t>@Test
public final void testCompare_SEAN_SHAUN_SuccessfullyMatched() {
    assertTrue(this.getStringEncoder().isEncodeEquals("Séan", "Shaun"));
}
@Test
public final void testCompare_MICKY_MICHAEL_SuccessfullyMatched() {
    assertTrue(this.getStringEncoder().isEncodeEquals("Micky", "Michael"));
}</t>
  </si>
  <si>
    <t>@Test
public final void testCompare_SEAN_SHAUN_SuccessfullyMatched() {
    assertTrue(this.getStringEncoder().isEncodeEquals("Séan", "Shaun"));
}
@Test
public final void testCompare_ZACH_ZAKARIA_SuccessfullyMatched() {
    assertTrue(this.getStringEncoder().isEncodeEquals("Zach", "Zacharia"));
}</t>
  </si>
  <si>
    <t>@Test
public final void testCompare_SEAN_SHAUN_SuccessfullyMatched() {
    assertTrue(this.getStringEncoder().isEncodeEquals("Séan", "Shaun"));
}
@Test
public final void testCompare_TOMASZ_TOM_SuccessfullyMatched() {
    assertTrue(this.getStringEncoder().isEncodeEquals("Tomasz", "tom"));
}</t>
  </si>
  <si>
    <t>@Test
public final void testCompare_SEAN_SHAUN_SuccessfullyMatched() {
    assertTrue(this.getStringEncoder().isEncodeEquals("Séan", "Shaun"));
}
// **** END YIDDISH/SLAVIC SECTION ****
@Test
public final void testCompare_PETERSON_PETERS_SuccessfullyMatched() {
    assertTrue(this.getStringEncoder().isEncodeEquals("Peterson", "Peters"));
}</t>
  </si>
  <si>
    <t>@Test
public final void testCompare_SEAN_SHAUN_SuccessfullyMatched() {
    assertTrue(this.getStringEncoder().isEncodeEquals("Séan", "Shaun"));
}
@Test
public final void testCompare_MCGOWAN_MCGEOGHEGAN_SuccessfullyMatched() {
    assertTrue(this.getStringEncoder().isEncodeEquals("McGowan", "Mc Geoghegan"));
}</t>
  </si>
  <si>
    <t>@Test
public final void testCompare_SEAN_SHAUN_SuccessfullyMatched() {
    assertTrue(this.getStringEncoder().isEncodeEquals("Séan", "Shaun"));
}
@Test
public final void testCompare_FRANCISZEK_FRANCES_SuccessfullyMatched() {
    assertTrue(this.getStringEncoder().isEncodeEquals("Franciszek", "Frances"));
}</t>
  </si>
  <si>
    <t>@Test
public final void testCompare_SEAN_SHAUN_SuccessfullyMatched() {
    assertTrue(this.getStringEncoder().isEncodeEquals("Séan", "Shaun"));
}
@Test
public final void testCompare_SmallInput_CARK_Kl_SuccessfullyMatched() {
    assertTrue(this.getStringEncoder().isEncodeEquals("Kl", "Karl"));
}</t>
  </si>
  <si>
    <t>@Test
public final void testCompare_SEAN_SHAUN_SuccessfullyMatched() {
    assertTrue(this.getStringEncoder().isEncodeEquals("Séan", "Shaun"));
}
@Test
public final void testCompare_Surname_HAILEY_HALLEY_SuccessfullyMatched() {
    assertTrue(this.getStringEncoder().isEncodeEquals("Hailey", "Halley"));
}</t>
  </si>
  <si>
    <t>@Test
public final void testCompare_SEAN_SHAUN_SuccessfullyMatched() {
    assertTrue(this.getStringEncoder().isEncodeEquals("Séan", "Shaun"));
}
// **** BEGIN YIDDISH/SLAVIC SECTION ****
@Test
public final void testCompare_Surname_AUERBACH_UHRBACH_SuccessfullyMatched() {
    assertTrue(this.getStringEncoder().isEncodeEquals("Auerbach", "Uhrbach"));
}</t>
  </si>
  <si>
    <t>@Test
public final void testCompare_SEAN_SHAUN_SuccessfullyMatched() {
    assertTrue(this.getStringEncoder().isEncodeEquals("Séan", "Shaun"));
}
@Test
public final void testCompare_Surname_LEWINSKY_LEVINSKI_SuccessfullyMatched() {
    assertTrue(this.getStringEncoder().isEncodeEquals("LEWINSKY", "LEVINSKI"));
}</t>
  </si>
  <si>
    <t>@Test
public final void testCompare_SEAN_SHAUN_SuccessfullyMatched() {
    assertTrue(this.getStringEncoder().isEncodeEquals("Séan", "Shaun"));
}
@Test
public final void testCompare_Surname_LIPSHITZ_LIPPSZYC_SuccessfullyMatched() {
    assertTrue(this.getStringEncoder().isEncodeEquals("LIPSHITZ", "LIPPSZYC"));
}</t>
  </si>
  <si>
    <t>@Test
public final void testCompare_SEAN_SHAUN_SuccessfullyMatched() {
    assertTrue(this.getStringEncoder().isEncodeEquals("Séan", "Shaun"));
}
@Test
public final void testCompare_Surname_COOPERFLYNN_SUPERLYN_SuccessfullyMatched() {
    assertTrue(this.getStringEncoder().isEncodeEquals("Cooper-Flynn", "Super-Lyn"));
}</t>
  </si>
  <si>
    <t>@Test
public final void testCompare_SEAN_SHAUN_SuccessfullyMatched() {
    assertTrue(this.getStringEncoder().isEncodeEquals("Séan", "Shaun"));
}
@Test
public final void testCompare_Surname_PRZEMYSL_PSHEMESHIL_SuccessfullyMatched() {
    assertTrue(this.getStringEncoder().isEncodeEquals(" P rz e m y s l", " P sh e m e sh i l"));
}</t>
  </si>
  <si>
    <t>@Test
public final void testCompare_SEAN_SHAUN_SuccessfullyMatched() {
    assertTrue(this.getStringEncoder().isEncodeEquals("Séan", "Shaun"));
}
@Test
public final void testCompare_Surname_SZLAMAWICZ_SHLAMOVITZ_SuccessfullyMatched() {
    assertTrue(this.getStringEncoder().isEncodeEquals("SZLAMAWICZ", "SHLAMOVITZ"));
}</t>
  </si>
  <si>
    <t>@Test
public final void testCompare_SEAN_SHAUN_SuccessfullyMatched() {
    assertTrue(this.getStringEncoder().isEncodeEquals("Séan", "Shaun"));
}
@Test
public final void testCompare_Surname_MOSKOWITZ_MOSKOVITZ_SuccessfullyMatched() {
    assertTrue(this.getStringEncoder().isEncodeEquals("Moskowitz", "Moskovitz"));
}</t>
  </si>
  <si>
    <t>@Test
public final void testCompare_SEAN_SHAUN_SuccessfullyMatched() {
    assertTrue(this.getStringEncoder().isEncodeEquals("Séan", "Shaun"));
}
// ***** Begin Region - Test Get Encoding - Surnames
@Test
public final void testCompare_Surname_OSULLIVAN_OSUILLEABHAIN_SuccessfulMatch() {
    assertTrue(this.getStringEncoder().isEncodeEquals("O'Sullivan", "Ó ' Súilleabháin"));
}</t>
  </si>
  <si>
    <t>@Test
public final void testCompare_SEAN_SHAUN_SuccessfullyMatched() {
    assertTrue(this.getStringEncoder().isEncodeEquals("Séan", "Shaun"));
}
@Test
public final void testCompare_Surname_ROSOCHOWACIEC_ROSOKHOVATSETS_SuccessfullyMatched() {
    assertTrue(this.getStringEncoder().isEncodeEquals("R o s o ch o w a c ie c", " R o s o k ho v a ts e ts"));
}</t>
  </si>
  <si>
    <t>@Test
public final void testCompare_SEAN_SHAUN_SuccessfullyMatched() {
    assertTrue(this.getStringEncoder().isEncodeEquals("Séan", "Shaun"));
}
@Test
public final void testCompare_Forenames_SEAN_JOHN_MatchExpected() {
    assertTrue(this.getStringEncoder().isEncodeEquals("Sean", "John"));
}</t>
  </si>
  <si>
    <t>@Test
public final void testCompare_SEAN_SHAUN_SuccessfullyMatched() {
    assertTrue(this.getStringEncoder().isEncodeEquals("Séan", "Shaun"));
}
@Test
public final void testCompare_KARL_ALESSANDRO_DoesNotMatch() {
    assertFalse(this.getStringEncoder().isEncodeEquals("Karl", "Alessandro"));
}</t>
  </si>
  <si>
    <t>@Test
public final void testCompare_SEAN_SHAUN_SuccessfullyMatched() {
    assertTrue(this.getStringEncoder().isEncodeEquals("Séan", "Shaun"));
}
@Test
public final void testCompare_Forenames_SEAN_PETE_NoMatchExpected() {
    assertFalse(this.getStringEncoder().isEncodeEquals("Sean", "Pete"));
}</t>
  </si>
  <si>
    <t>@Test
public final void testCompare_SEAN_SHAUN_SuccessfullyMatched() {
    assertTrue(this.getStringEncoder().isEncodeEquals("Séan", "Shaun"));
}
@Test
public final void testCompare_COLM_COLIN_WithAccentsAndSymbolsAndSpaces_SuccessfullyMatched() {
    assertTrue(this.getStringEncoder().isEncodeEquals("Cólm.   ", "C-olín"));
}</t>
  </si>
  <si>
    <t>@Test
public final void testCompare_SEAN_SHAUN_SuccessfullyMatched() {
    assertTrue(this.getStringEncoder().isEncodeEquals("Séan", "Shaun"));
}
@Test
public final void testCompare_Forenames_UNA_OONAGH_ShouldSuccessfullyMatchButDoesNot() {
    // Disappointing
    assertFalse(this.getStringEncoder().isEncodeEquals("Úna", "Oonagh"));
}</t>
  </si>
  <si>
    <t>@Test
public final void testCompare_SEAN_SHAUN_SuccessfullyMatched() {
    assertTrue(this.getStringEncoder().isEncodeEquals("Séan", "Shaun"));
}
@Test
public final void testCompare_Surnames_MURPHY_LYNCH_NoMatchExpected() {
    assertFalse(this.getStringEncoder().isEncodeEquals("Murphy", "Lynch"));
}</t>
  </si>
  <si>
    <t>@Test
public final void testCompare_SEAN_SHAUN_SuccessfullyMatched() {
    assertTrue(this.getStringEncoder().isEncodeEquals("Séan", "Shaun"));
}
@Test
public final void testCompare_LongSurnames_OMUIRCHEARTAIGH_OMIREADHAIGH_SuccessfulMatch() {
    assertTrue(this.getStringEncoder().isEncodeEquals("o'muireadhaigh", "Ó 'Muircheartaigh "));
}</t>
  </si>
  <si>
    <t>@Test
public final void testCompare_SEAN_SHAUN_SuccessfullyMatched() {
    assertTrue(this.getStringEncoder().isEncodeEquals("Séan", "Shaun"));
}
@Test
public final void testCompareNameToSingleLetter_KARL_C_DoesNotMatch() {
    assertFalse(this.getStringEncoder().isEncodeEquals("Karl", "C"));
}</t>
  </si>
  <si>
    <t>@Test
public final void testCompare_SEAN_SHAUN_SuccessfullyMatched() {
    assertTrue(this.getStringEncoder().isEncodeEquals("Séan", "Shaun"));
}
@Test
public final void testCompare_SurnameCornerCase_Nulls_NoMatch() {
    assertFalse(this.getStringEncoder().isEncodeEquals(null, null));
}</t>
  </si>
  <si>
    <t>@Test
public final void testCompare_SEAN_SHAUN_SuccessfullyMatched() {
    assertTrue(this.getStringEncoder().isEncodeEquals("Séan", "Shaun"));
}
@Test
public final void testCompare_SurnamesCornerCase_MURPHY_Space_NoMatch() {
    assertFalse(this.getStringEncoder().isEncodeEquals("Murphy", " "));
}</t>
  </si>
  <si>
    <t>@Test
public final void testCompare_SEAN_SHAUN_SuccessfullyMatched() {
    assertTrue(this.getStringEncoder().isEncodeEquals("Séan", "Shaun"));
}
@Test
public final void testCompare_SurnamesCornerCase_MURPHY_NoSpace_NoMatch() {
    assertFalse(this.getStringEncoder().isEncodeEquals("Murphy", ""));
}</t>
  </si>
  <si>
    <t>@Test
public final void testCompare_SEAN_SHAUN_SuccessfullyMatched() {
    assertTrue(this.getStringEncoder().isEncodeEquals("Séan", "Shaun"));
}
@Test
public final void testCompare_LongSurnames_MORIARTY_OMUIRCHEARTAIGH_DoesNotSuccessfulMatch() {
    assertFalse(this.getStringEncoder().isEncodeEquals("Moriarty", "OMuircheartaigh"));
}</t>
  </si>
  <si>
    <t>@Test
public final void testCompare_COLM_COLIN_WithAccentsAndSymbolsAndSpaces_SuccessfullyMatched() {
    assertTrue(this.getStringEncoder().isEncodeEquals("Cólm.   ", "C-olín"));
}
@Test
public final void testCompare_MCGOWAN_MCGEOGHEGAN_SuccessfullyMatched() {
    assertTrue(this.getStringEncoder().isEncodeEquals("McGowan", "Mc Geoghegan"));
}</t>
  </si>
  <si>
    <t>@Test
public final void testCompare_COLM_COLIN_WithAccentsAndSymbolsAndSpaces_SuccessfullyMatched() {
    assertTrue(this.getStringEncoder().isEncodeEquals("Cólm.   ", "C-olín"));
}
@Test
public final void testCompare_ZACH_ZAKARIA_SuccessfullyMatched() {
    assertTrue(this.getStringEncoder().isEncodeEquals("Zach", "Zacharia"));
}</t>
  </si>
  <si>
    <t>@Test
public final void testCompare_COLM_COLIN_WithAccentsAndSymbolsAndSpaces_SuccessfullyMatched() {
    assertTrue(this.getStringEncoder().isEncodeEquals("Cólm.   ", "C-olín"));
}
@Test
public final void testCompare_OONA_OONAGH_SuccessfullyMatched() {
    assertTrue(this.getStringEncoder().isEncodeEquals("Oona", "Oonagh"));
}</t>
  </si>
  <si>
    <t>@Test
public final void testCompare_COLM_COLIN_WithAccentsAndSymbolsAndSpaces_SuccessfullyMatched() {
    assertTrue(this.getStringEncoder().isEncodeEquals("Cólm.   ", "C-olín"));
}
@Test
public final void testCompare_SOPHIE_SOFIA_SuccessfullyMatched() {
    assertTrue(this.getStringEncoder().isEncodeEquals("Sophie", "Sofia"));
}</t>
  </si>
  <si>
    <t>@Test
public final void testCompare_COLM_COLIN_WithAccentsAndSymbolsAndSpaces_SuccessfullyMatched() {
    assertTrue(this.getStringEncoder().isEncodeEquals("Cólm.   ", "C-olín"));
}
@Test
public final void testCompare_MICKY_MICHAEL_SuccessfullyMatched() {
    assertTrue(this.getStringEncoder().isEncodeEquals("Micky", "Michael"));
}</t>
  </si>
  <si>
    <t>@Test
public final void testCompare_COLM_COLIN_WithAccentsAndSymbolsAndSpaces_SuccessfullyMatched() {
    assertTrue(this.getStringEncoder().isEncodeEquals("Cólm.   ", "C-olín"));
}
@Test
public final void testCompare_SmallInput_CARK_Kl_SuccessfullyMatched() {
    assertTrue(this.getStringEncoder().isEncodeEquals("Kl", "Karl"));
}</t>
  </si>
  <si>
    <t>@Test
public final void testCompare_COLM_COLIN_WithAccentsAndSymbolsAndSpaces_SuccessfullyMatched() {
    assertTrue(this.getStringEncoder().isEncodeEquals("Cólm.   ", "C-olín"));
}
// **** BEGIN YIDDISH/SLAVIC SECTION ****
@Test
public final void testCompare_Surname_AUERBACH_UHRBACH_SuccessfullyMatched() {
    assertTrue(this.getStringEncoder().isEncodeEquals("Auerbach", "Uhrbach"));
}</t>
  </si>
  <si>
    <t>@Test
public final void testCompare_COLM_COLIN_WithAccentsAndSymbolsAndSpaces_SuccessfullyMatched() {
    assertTrue(this.getStringEncoder().isEncodeEquals("Cólm.   ", "C-olín"));
}
@Test
public final void testCompare_STEVEN_STEFAN_SuccessfullyMatched() {
    assertTrue(this.getStringEncoder().isEncodeEquals("Steven", "Stefan"));
}</t>
  </si>
  <si>
    <t>@Test
public final void testCompare_COLM_COLIN_WithAccentsAndSymbolsAndSpaces_SuccessfullyMatched() {
    assertTrue(this.getStringEncoder().isEncodeEquals("Cólm.   ", "C-olín"));
}
@Test
public final void testCompare_STEPHEN_STEFAN_SuccessfullyMatched() {
    assertTrue(this.getStringEncoder().isEncodeEquals("Stephen", "Stefan"));
}</t>
  </si>
  <si>
    <t>@Test
public final void testCompare_COLM_COLIN_WithAccentsAndSymbolsAndSpaces_SuccessfullyMatched() {
    assertTrue(this.getStringEncoder().isEncodeEquals("Cólm.   ", "C-olín"));
}
@Test
public final void testCompare_TOMASZ_TOM_SuccessfullyMatched() {
    assertTrue(this.getStringEncoder().isEncodeEquals("Tomasz", "tom"));
}</t>
  </si>
  <si>
    <t>@Test
public final void testCompare_COLM_COLIN_WithAccentsAndSymbolsAndSpaces_SuccessfullyMatched() {
    assertTrue(this.getStringEncoder().isEncodeEquals("Cólm.   ", "C-olín"));
}
@Test
public final void testCompare_FRANCISZEK_FRANCES_SuccessfullyMatched() {
    assertTrue(this.getStringEncoder().isEncodeEquals("Franciszek", "Frances"));
}</t>
  </si>
  <si>
    <t>@Test
public final void testCompare_COLM_COLIN_WithAccentsAndSymbolsAndSpaces_SuccessfullyMatched() {
    assertTrue(this.getStringEncoder().isEncodeEquals("Cólm.   ", "C-olín"));
}
// **** END YIDDISH/SLAVIC SECTION ****
@Test
public final void testCompare_PETERSON_PETERS_SuccessfullyMatched() {
    assertTrue(this.getStringEncoder().isEncodeEquals("Peterson", "Peters"));
}</t>
  </si>
  <si>
    <t>@Test
public final void testCompare_COLM_COLIN_WithAccentsAndSymbolsAndSpaces_SuccessfullyMatched() {
    assertTrue(this.getStringEncoder().isEncodeEquals("Cólm.   ", "C-olín"));
}
@Test
public final void testCompare_Surname_SZLAMAWICZ_SHLAMOVITZ_SuccessfullyMatched() {
    assertTrue(this.getStringEncoder().isEncodeEquals("SZLAMAWICZ", "SHLAMOVITZ"));
}</t>
  </si>
  <si>
    <t>@Test
public final void testCompare_COLM_COLIN_WithAccentsAndSymbolsAndSpaces_SuccessfullyMatched() {
    assertTrue(this.getStringEncoder().isEncodeEquals("Cólm.   ", "C-olín"));
}
@Test
public final void testCompare_SAM_SAMUEL_SuccessfullyMatched() {
    assertTrue(this.getStringEncoder().isEncodeEquals("Sam", "Samuel"));
}</t>
  </si>
  <si>
    <t>@Test
public final void testCompare_COLM_COLIN_WithAccentsAndSymbolsAndSpaces_SuccessfullyMatched() {
    assertTrue(this.getStringEncoder().isEncodeEquals("Cólm.   ", "C-olín"));
}
@Test
public final void testCompare_Surname_LEWINSKY_LEVINSKI_SuccessfullyMatched() {
    assertTrue(this.getStringEncoder().isEncodeEquals("LEWINSKY", "LEVINSKI"));
}</t>
  </si>
  <si>
    <t>@Test
public final void testCompare_COLM_COLIN_WithAccentsAndSymbolsAndSpaces_SuccessfullyMatched() {
    assertTrue(this.getStringEncoder().isEncodeEquals("Cólm.   ", "C-olín"));
}
@Test
public final void testCompare_Surname_ROSOCHOWACIEC_ROSOKHOVATSETS_SuccessfullyMatched() {
    assertTrue(this.getStringEncoder().isEncodeEquals("R o s o ch o w a c ie c", " R o s o k ho v a ts e ts"));
}</t>
  </si>
  <si>
    <t>@Test
public final void testCompare_COLM_COLIN_WithAccentsAndSymbolsAndSpaces_SuccessfullyMatched() {
    assertTrue(this.getStringEncoder().isEncodeEquals("Cólm.   ", "C-olín"));
}
@Test
public final void testCompare_Surname_HAILEY_HALLEY_SuccessfullyMatched() {
    assertTrue(this.getStringEncoder().isEncodeEquals("Hailey", "Halley"));
}</t>
  </si>
  <si>
    <t>@Test
public final void testCompare_COLM_COLIN_WithAccentsAndSymbolsAndSpaces_SuccessfullyMatched() {
    assertTrue(this.getStringEncoder().isEncodeEquals("Cólm.   ", "C-olín"));
}
@Test
public final void testCompare_Surname_PRZEMYSL_PSHEMESHIL_SuccessfullyMatched() {
    assertTrue(this.getStringEncoder().isEncodeEquals(" P rz e m y s l", " P sh e m e sh i l"));
}</t>
  </si>
  <si>
    <t>@Test
public final void testCompare_COLM_COLIN_WithAccentsAndSymbolsAndSpaces_SuccessfullyMatched() {
    assertTrue(this.getStringEncoder().isEncodeEquals("Cólm.   ", "C-olín"));
}
@Test
public final void testCompare_STEPHEN_STEVEN_SuccessfullyMatched() {
    assertTrue(this.getStringEncoder().isEncodeEquals("Stephen", "Steven"));
}</t>
  </si>
  <si>
    <t>@Test
public final void testCompare_COLM_COLIN_WithAccentsAndSymbolsAndSpaces_SuccessfullyMatched() {
    assertTrue(this.getStringEncoder().isEncodeEquals("Cólm.   ", "C-olín"));
}
@Test
public final void testCompare_Surname_LIPSHITZ_LIPPSZYC_SuccessfullyMatched() {
    assertTrue(this.getStringEncoder().isEncodeEquals("LIPSHITZ", "LIPPSZYC"));
}</t>
  </si>
  <si>
    <t>@Test
public final void testCompare_COLM_COLIN_WithAccentsAndSymbolsAndSpaces_SuccessfullyMatched() {
    assertTrue(this.getStringEncoder().isEncodeEquals("Cólm.   ", "C-olín"));
}
@Test
public final void testCompare_Surname_MOSKOWITZ_MOSKOVITZ_SuccessfullyMatched() {
    assertTrue(this.getStringEncoder().isEncodeEquals("Moskowitz", "Moskovitz"));
}</t>
  </si>
  <si>
    <t>@Test
public final void testCompare_COLM_COLIN_WithAccentsAndSymbolsAndSpaces_SuccessfullyMatched() {
    assertTrue(this.getStringEncoder().isEncodeEquals("Cólm.   ", "C-olín"));
}
@Test
public final void testCompare_Surname_COOPERFLYNN_SUPERLYN_SuccessfullyMatched() {
    assertTrue(this.getStringEncoder().isEncodeEquals("Cooper-Flynn", "Super-Lyn"));
}</t>
  </si>
  <si>
    <t>@Test
public final void testCompare_COLM_COLIN_WithAccentsAndSymbolsAndSpaces_SuccessfullyMatched() {
    assertTrue(this.getStringEncoder().isEncodeEquals("Cólm.   ", "C-olín"));
}
// ***** Begin Region - Test Get Encoding - Surnames
@Test
public final void testCompare_Surname_OSULLIVAN_OSUILLEABHAIN_SuccessfulMatch() {
    assertTrue(this.getStringEncoder().isEncodeEquals("O'Sullivan", "Ó ' Súilleabháin"));
}</t>
  </si>
  <si>
    <t>@Test
public final void testCompare_COLM_COLIN_WithAccentsAndSymbolsAndSpaces_SuccessfullyMatched() {
    assertTrue(this.getStringEncoder().isEncodeEquals("Cólm.   ", "C-olín"));
}
@Test
public final void testCompare_LongSurnames_OMUIRCHEARTAIGH_OMIREADHAIGH_SuccessfulMatch() {
    assertTrue(this.getStringEncoder().isEncodeEquals("o'muireadhaigh", "Ó 'Muircheartaigh "));
}</t>
  </si>
  <si>
    <t>@Test
public final void testCompare_COLM_COLIN_WithAccentsAndSymbolsAndSpaces_SuccessfullyMatched() {
    assertTrue(this.getStringEncoder().isEncodeEquals("Cólm.   ", "C-olín"));
}
@Test
public final void testCompare_LongSurnames_MORIARTY_OMUIRCHEARTAIGH_DoesNotSuccessfulMatch() {
    assertFalse(this.getStringEncoder().isEncodeEquals("Moriarty", "OMuircheartaigh"));
}</t>
  </si>
  <si>
    <t>@Test
public final void testCompare_COLM_COLIN_WithAccentsAndSymbolsAndSpaces_SuccessfullyMatched() {
    assertTrue(this.getStringEncoder().isEncodeEquals("Cólm.   ", "C-olín"));
}
@Test
public final void testCompare_Forenames_UNA_OONAGH_ShouldSuccessfullyMatchButDoesNot() {
    // Disappointing
    assertFalse(this.getStringEncoder().isEncodeEquals("Úna", "Oonagh"));
}</t>
  </si>
  <si>
    <t>@Test
public final void testCompare_COLM_COLIN_WithAccentsAndSymbolsAndSpaces_SuccessfullyMatched() {
    assertTrue(this.getStringEncoder().isEncodeEquals("Cólm.   ", "C-olín"));
}
@Test
public final void testCompare_Forenames_SEAN_JOHN_MatchExpected() {
    assertTrue(this.getStringEncoder().isEncodeEquals("Sean", "John"));
}</t>
  </si>
  <si>
    <t>@Test
public final void testCompare_COLM_COLIN_WithAccentsAndSymbolsAndSpaces_SuccessfullyMatched() {
    assertTrue(this.getStringEncoder().isEncodeEquals("Cólm.   ", "C-olín"));
}
@Test
public final void testCompare_KARL_ALESSANDRO_DoesNotMatch() {
    assertFalse(this.getStringEncoder().isEncodeEquals("Karl", "Alessandro"));
}</t>
  </si>
  <si>
    <t>@Test
public final void testCompare_COLM_COLIN_WithAccentsAndSymbolsAndSpaces_SuccessfullyMatched() {
    assertTrue(this.getStringEncoder().isEncodeEquals("Cólm.   ", "C-olín"));
}
@Test
public final void testCompare_SurnamesCornerCase_MURPHY_NoSpace_NoMatch() {
    assertFalse(this.getStringEncoder().isEncodeEquals("Murphy", ""));
}</t>
  </si>
  <si>
    <t>@Test
public final void testCompare_COLM_COLIN_WithAccentsAndSymbolsAndSpaces_SuccessfullyMatched() {
    assertTrue(this.getStringEncoder().isEncodeEquals("Cólm.   ", "C-olín"));
}
@Test
public final void testCompare_SurnamesCornerCase_MURPHY_Space_NoMatch() {
    assertFalse(this.getStringEncoder().isEncodeEquals("Murphy", " "));
}</t>
  </si>
  <si>
    <t>@Test
public final void testCompare_COLM_COLIN_WithAccentsAndSymbolsAndSpaces_SuccessfullyMatched() {
    assertTrue(this.getStringEncoder().isEncodeEquals("Cólm.   ", "C-olín"));
}
@Test
public final void testCompareNameToSingleLetter_KARL_C_DoesNotMatch() {
    assertFalse(this.getStringEncoder().isEncodeEquals("Karl", "C"));
}</t>
  </si>
  <si>
    <t>@Test
public final void testCompare_COLM_COLIN_WithAccentsAndSymbolsAndSpaces_SuccessfullyMatched() {
    assertTrue(this.getStringEncoder().isEncodeEquals("Cólm.   ", "C-olín"));
}
@Test
public final void testCompare_Forenames_SEAN_PETE_NoMatchExpected() {
    assertFalse(this.getStringEncoder().isEncodeEquals("Sean", "Pete"));
}</t>
  </si>
  <si>
    <t>@Test
public final void testCompare_COLM_COLIN_WithAccentsAndSymbolsAndSpaces_SuccessfullyMatched() {
    assertTrue(this.getStringEncoder().isEncodeEquals("Cólm.   ", "C-olín"));
}
@Test
public final void testCompare_Surnames_MURPHY_LYNCH_NoMatchExpected() {
    assertFalse(this.getStringEncoder().isEncodeEquals("Murphy", "Lynch"));
}</t>
  </si>
  <si>
    <t>@Test
public final void testCompare_COLM_COLIN_WithAccentsAndSymbolsAndSpaces_SuccessfullyMatched() {
    assertTrue(this.getStringEncoder().isEncodeEquals("Cólm.   ", "C-olín"));
}
@Test
public final void testCompare_SurnameCornerCase_Nulls_NoMatch() {
    assertFalse(this.getStringEncoder().isEncodeEquals(null, null));
}</t>
  </si>
  <si>
    <t>@Test
public final void testCompare_STEPHEN_STEVEN_SuccessfullyMatched() {
    assertTrue(this.getStringEncoder().isEncodeEquals("Stephen", "Steven"));
}
@Test
public final void testCompare_STEPHEN_STEFAN_SuccessfullyMatched() {
    assertTrue(this.getStringEncoder().isEncodeEquals("Stephen", "Stefan"));
}</t>
  </si>
  <si>
    <t>@Test
public final void testCompare_STEPHEN_STEVEN_SuccessfullyMatched() {
    assertTrue(this.getStringEncoder().isEncodeEquals("Stephen", "Steven"));
}
@Test
public final void testCompare_STEVEN_STEFAN_SuccessfullyMatched() {
    assertTrue(this.getStringEncoder().isEncodeEquals("Steven", "Stefan"));
}</t>
  </si>
  <si>
    <t>@Test
public final void testCompare_STEPHEN_STEVEN_SuccessfullyMatched() {
    assertTrue(this.getStringEncoder().isEncodeEquals("Stephen", "Steven"));
}
@Test
public final void testCompare_SOPHIE_SOFIA_SuccessfullyMatched() {
    assertTrue(this.getStringEncoder().isEncodeEquals("Sophie", "Sofia"));
}</t>
  </si>
  <si>
    <t>@Test
public final void testCompare_STEPHEN_STEVEN_SuccessfullyMatched() {
    assertTrue(this.getStringEncoder().isEncodeEquals("Stephen", "Steven"));
}
// **** END YIDDISH/SLAVIC SECTION ****
@Test
public final void testCompare_PETERSON_PETERS_SuccessfullyMatched() {
    assertTrue(this.getStringEncoder().isEncodeEquals("Peterson", "Peters"));
}</t>
  </si>
  <si>
    <t>@Test
public final void testCompare_STEPHEN_STEVEN_SuccessfullyMatched() {
    assertTrue(this.getStringEncoder().isEncodeEquals("Stephen", "Steven"));
}
@Test
public final void testCompare_SAM_SAMUEL_SuccessfullyMatched() {
    assertTrue(this.getStringEncoder().isEncodeEquals("Sam", "Samuel"));
}</t>
  </si>
  <si>
    <t>@Test
public final void testCompare_STEPHEN_STEVEN_SuccessfullyMatched() {
    assertTrue(this.getStringEncoder().isEncodeEquals("Stephen", "Steven"));
}
@Test
public final void testCompare_TOMASZ_TOM_SuccessfullyMatched() {
    assertTrue(this.getStringEncoder().isEncodeEquals("Tomasz", "tom"));
}</t>
  </si>
  <si>
    <t>@Test
public final void testCompare_STEPHEN_STEVEN_SuccessfullyMatched() {
    assertTrue(this.getStringEncoder().isEncodeEquals("Stephen", "Steven"));
}
@Test
public final void testCompare_MICKY_MICHAEL_SuccessfullyMatched() {
    assertTrue(this.getStringEncoder().isEncodeEquals("Micky", "Michael"));
}</t>
  </si>
  <si>
    <t>@Test
public final void testCompare_STEPHEN_STEVEN_SuccessfullyMatched() {
    assertTrue(this.getStringEncoder().isEncodeEquals("Stephen", "Steven"));
}
@Test
public final void testCompare_ZACH_ZAKARIA_SuccessfullyMatched() {
    assertTrue(this.getStringEncoder().isEncodeEquals("Zach", "Zacharia"));
}</t>
  </si>
  <si>
    <t>@Test
public final void testCompare_STEPHEN_STEVEN_SuccessfullyMatched() {
    assertTrue(this.getStringEncoder().isEncodeEquals("Stephen", "Steven"));
}
@Test
public final void testCompare_OONA_OONAGH_SuccessfullyMatched() {
    assertTrue(this.getStringEncoder().isEncodeEquals("Oona", "Oonagh"));
}</t>
  </si>
  <si>
    <t>@Test
public final void testCompare_STEPHEN_STEVEN_SuccessfullyMatched() {
    assertTrue(this.getStringEncoder().isEncodeEquals("Stephen", "Steven"));
}
@Test
public final void testCompare_MCGOWAN_MCGEOGHEGAN_SuccessfullyMatched() {
    assertTrue(this.getStringEncoder().isEncodeEquals("McGowan", "Mc Geoghegan"));
}</t>
  </si>
  <si>
    <t>@Test
public final void testCompare_STEPHEN_STEVEN_SuccessfullyMatched() {
    assertTrue(this.getStringEncoder().isEncodeEquals("Stephen", "Steven"));
}
@Test
public final void testCompare_FRANCISZEK_FRANCES_SuccessfullyMatched() {
    assertTrue(this.getStringEncoder().isEncodeEquals("Franciszek", "Frances"));
}</t>
  </si>
  <si>
    <t>@Test
public final void testCompare_STEPHEN_STEVEN_SuccessfullyMatched() {
    assertTrue(this.getStringEncoder().isEncodeEquals("Stephen", "Steven"));
}
@Test
public final void testCompare_Surname_HAILEY_HALLEY_SuccessfullyMatched() {
    assertTrue(this.getStringEncoder().isEncodeEquals("Hailey", "Halley"));
}</t>
  </si>
  <si>
    <t>@Test
public final void testCompare_STEPHEN_STEVEN_SuccessfullyMatched() {
    assertTrue(this.getStringEncoder().isEncodeEquals("Stephen", "Steven"));
}
@Test
public final void testCompare_SmallInput_CARK_Kl_SuccessfullyMatched() {
    assertTrue(this.getStringEncoder().isEncodeEquals("Kl", "Karl"));
}</t>
  </si>
  <si>
    <t>@Test
public final void testCompare_STEPHEN_STEVEN_SuccessfullyMatched() {
    assertTrue(this.getStringEncoder().isEncodeEquals("Stephen", "Steven"));
}
@Test
public final void testCompare_Surname_LEWINSKY_LEVINSKI_SuccessfullyMatched() {
    assertTrue(this.getStringEncoder().isEncodeEquals("LEWINSKY", "LEVINSKI"));
}</t>
  </si>
  <si>
    <t>@Test
public final void testCompare_STEPHEN_STEVEN_SuccessfullyMatched() {
    assertTrue(this.getStringEncoder().isEncodeEquals("Stephen", "Steven"));
}
@Test
public final void testCompare_Surname_PRZEMYSL_PSHEMESHIL_SuccessfullyMatched() {
    assertTrue(this.getStringEncoder().isEncodeEquals(" P rz e m y s l", " P sh e m e sh i l"));
}</t>
  </si>
  <si>
    <t>@Test
public final void testCompare_STEPHEN_STEVEN_SuccessfullyMatched() {
    assertTrue(this.getStringEncoder().isEncodeEquals("Stephen", "Steven"));
}
@Test
public final void testCompare_Surname_COOPERFLYNN_SUPERLYN_SuccessfullyMatched() {
    assertTrue(this.getStringEncoder().isEncodeEquals("Cooper-Flynn", "Super-Lyn"));
}</t>
  </si>
  <si>
    <t>@Test
public final void testCompare_STEPHEN_STEVEN_SuccessfullyMatched() {
    assertTrue(this.getStringEncoder().isEncodeEquals("Stephen", "Steven"));
}
@Test
public final void testCompare_Surname_LIPSHITZ_LIPPSZYC_SuccessfullyMatched() {
    assertTrue(this.getStringEncoder().isEncodeEquals("LIPSHITZ", "LIPPSZYC"));
}</t>
  </si>
  <si>
    <t>@Test
public final void testCompare_STEPHEN_STEVEN_SuccessfullyMatched() {
    assertTrue(this.getStringEncoder().isEncodeEquals("Stephen", "Steven"));
}
// **** BEGIN YIDDISH/SLAVIC SECTION ****
@Test
public final void testCompare_Surname_AUERBACH_UHRBACH_SuccessfullyMatched() {
    assertTrue(this.getStringEncoder().isEncodeEquals("Auerbach", "Uhrbach"));
}</t>
  </si>
  <si>
    <t>@Test
public final void testCompare_STEPHEN_STEVEN_SuccessfullyMatched() {
    assertTrue(this.getStringEncoder().isEncodeEquals("Stephen", "Steven"));
}
@Test
public final void testCompare_Surname_MOSKOWITZ_MOSKOVITZ_SuccessfullyMatched() {
    assertTrue(this.getStringEncoder().isEncodeEquals("Moskowitz", "Moskovitz"));
}</t>
  </si>
  <si>
    <t>@Test
public final void testCompare_STEPHEN_STEVEN_SuccessfullyMatched() {
    assertTrue(this.getStringEncoder().isEncodeEquals("Stephen", "Steven"));
}
@Test
public final void testCompare_Surname_SZLAMAWICZ_SHLAMOVITZ_SuccessfullyMatched() {
    assertTrue(this.getStringEncoder().isEncodeEquals("SZLAMAWICZ", "SHLAMOVITZ"));
}</t>
  </si>
  <si>
    <t>@Test
public final void testCompare_STEPHEN_STEVEN_SuccessfullyMatched() {
    assertTrue(this.getStringEncoder().isEncodeEquals("Stephen", "Steven"));
}
@Test
public final void testCompare_Surname_ROSOCHOWACIEC_ROSOKHOVATSETS_SuccessfullyMatched() {
    assertTrue(this.getStringEncoder().isEncodeEquals("R o s o ch o w a c ie c", " R o s o k ho v a ts e ts"));
}</t>
  </si>
  <si>
    <t>@Test
public final void testCompare_STEPHEN_STEVEN_SuccessfullyMatched() {
    assertTrue(this.getStringEncoder().isEncodeEquals("Stephen", "Steven"));
}
// ***** Begin Region - Test Get Encoding - Surnames
@Test
public final void testCompare_Surname_OSULLIVAN_OSUILLEABHAIN_SuccessfulMatch() {
    assertTrue(this.getStringEncoder().isEncodeEquals("O'Sullivan", "Ó ' Súilleabháin"));
}</t>
  </si>
  <si>
    <t>@Test
public final void testCompare_STEPHEN_STEVEN_SuccessfullyMatched() {
    assertTrue(this.getStringEncoder().isEncodeEquals("Stephen", "Steven"));
}
@Test
public final void testCompare_Forenames_SEAN_JOHN_MatchExpected() {
    assertTrue(this.getStringEncoder().isEncodeEquals("Sean", "John"));
}</t>
  </si>
  <si>
    <t>@Test
public final void testCompare_STEPHEN_STEVEN_SuccessfullyMatched() {
    assertTrue(this.getStringEncoder().isEncodeEquals("Stephen", "Steven"));
}
@Test
public final void testCompare_KARL_ALESSANDRO_DoesNotMatch() {
    assertFalse(this.getStringEncoder().isEncodeEquals("Karl", "Alessandro"));
}</t>
  </si>
  <si>
    <t>@Test
public final void testCompare_STEPHEN_STEVEN_SuccessfullyMatched() {
    assertTrue(this.getStringEncoder().isEncodeEquals("Stephen", "Steven"));
}
@Test
public final void testCompare_Forenames_UNA_OONAGH_ShouldSuccessfullyMatchButDoesNot() {
    // Disappointing
    assertFalse(this.getStringEncoder().isEncodeEquals("Úna", "Oonagh"));
}</t>
  </si>
  <si>
    <t>@Test
public final void testCompare_STEPHEN_STEVEN_SuccessfullyMatched() {
    assertTrue(this.getStringEncoder().isEncodeEquals("Stephen", "Steven"));
}
@Test
public final void testCompare_Forenames_SEAN_PETE_NoMatchExpected() {
    assertFalse(this.getStringEncoder().isEncodeEquals("Sean", "Pete"));
}</t>
  </si>
  <si>
    <t>@Test
public final void testCompare_STEPHEN_STEVEN_SuccessfullyMatched() {
    assertTrue(this.getStringEncoder().isEncodeEquals("Stephen", "Steven"));
}
@Test
public final void testCompare_Surnames_MURPHY_LYNCH_NoMatchExpected() {
    assertFalse(this.getStringEncoder().isEncodeEquals("Murphy", "Lynch"));
}</t>
  </si>
  <si>
    <t>@Test
public final void testCompare_STEPHEN_STEVEN_SuccessfullyMatched() {
    assertTrue(this.getStringEncoder().isEncodeEquals("Stephen", "Steven"));
}
@Test
public final void testCompare_LongSurnames_OMUIRCHEARTAIGH_OMIREADHAIGH_SuccessfulMatch() {
    assertTrue(this.getStringEncoder().isEncodeEquals("o'muireadhaigh", "Ó 'Muircheartaigh "));
}</t>
  </si>
  <si>
    <t>@Test
public final void testCompare_STEPHEN_STEVEN_SuccessfullyMatched() {
    assertTrue(this.getStringEncoder().isEncodeEquals("Stephen", "Steven"));
}
@Test
public final void testCompareNameToSingleLetter_KARL_C_DoesNotMatch() {
    assertFalse(this.getStringEncoder().isEncodeEquals("Karl", "C"));
}</t>
  </si>
  <si>
    <t>@Test
public final void testCompare_STEPHEN_STEVEN_SuccessfullyMatched() {
    assertTrue(this.getStringEncoder().isEncodeEquals("Stephen", "Steven"));
}
@Test
public final void testCompare_SurnamesCornerCase_MURPHY_Space_NoMatch() {
    assertFalse(this.getStringEncoder().isEncodeEquals("Murphy", " "));
}</t>
  </si>
  <si>
    <t>@Test
public final void testCompare_STEPHEN_STEVEN_SuccessfullyMatched() {
    assertTrue(this.getStringEncoder().isEncodeEquals("Stephen", "Steven"));
}
@Test
public final void testCompare_SurnamesCornerCase_MURPHY_NoSpace_NoMatch() {
    assertFalse(this.getStringEncoder().isEncodeEquals("Murphy", ""));
}</t>
  </si>
  <si>
    <t>@Test
public final void testCompare_STEPHEN_STEVEN_SuccessfullyMatched() {
    assertTrue(this.getStringEncoder().isEncodeEquals("Stephen", "Steven"));
}
@Test
public final void testCompare_SurnameCornerCase_Nulls_NoMatch() {
    assertFalse(this.getStringEncoder().isEncodeEquals(null, null));
}</t>
  </si>
  <si>
    <t>@Test
public final void testCompare_STEPHEN_STEVEN_SuccessfullyMatched() {
    assertTrue(this.getStringEncoder().isEncodeEquals("Stephen", "Steven"));
}
@Test
public final void testCompare_LongSurnames_MORIARTY_OMUIRCHEARTAIGH_DoesNotSuccessfulMatch() {
    assertFalse(this.getStringEncoder().isEncodeEquals("Moriarty", "OMuircheartaigh"));
}</t>
  </si>
  <si>
    <t>@Test
public final void testCompare_STEVEN_STEFAN_SuccessfullyMatched() {
    assertTrue(this.getStringEncoder().isEncodeEquals("Steven", "Stefan"));
}
@Test
public final void testCompare_STEPHEN_STEFAN_SuccessfullyMatched() {
    assertTrue(this.getStringEncoder().isEncodeEquals("Stephen", "Stefan"));
}</t>
  </si>
  <si>
    <t>@Test
public final void testCompare_STEVEN_STEFAN_SuccessfullyMatched() {
    assertTrue(this.getStringEncoder().isEncodeEquals("Steven", "Stefan"));
}
@Test
public final void testCompare_SOPHIE_SOFIA_SuccessfullyMatched() {
    assertTrue(this.getStringEncoder().isEncodeEquals("Sophie", "Sofia"));
}</t>
  </si>
  <si>
    <t>@Test
public final void testCompare_STEVEN_STEFAN_SuccessfullyMatched() {
    assertTrue(this.getStringEncoder().isEncodeEquals("Steven", "Stefan"));
}
// **** END YIDDISH/SLAVIC SECTION ****
@Test
public final void testCompare_PETERSON_PETERS_SuccessfullyMatched() {
    assertTrue(this.getStringEncoder().isEncodeEquals("Peterson", "Peters"));
}</t>
  </si>
  <si>
    <t>@Test
public final void testCompare_STEVEN_STEFAN_SuccessfullyMatched() {
    assertTrue(this.getStringEncoder().isEncodeEquals("Steven", "Stefan"));
}
@Test
public final void testCompare_SAM_SAMUEL_SuccessfullyMatched() {
    assertTrue(this.getStringEncoder().isEncodeEquals("Sam", "Samuel"));
}</t>
  </si>
  <si>
    <t>@Test
public final void testCompare_STEVEN_STEFAN_SuccessfullyMatched() {
    assertTrue(this.getStringEncoder().isEncodeEquals("Steven", "Stefan"));
}
@Test
public final void testCompare_TOMASZ_TOM_SuccessfullyMatched() {
    assertTrue(this.getStringEncoder().isEncodeEquals("Tomasz", "tom"));
}</t>
  </si>
  <si>
    <t>@Test
public final void testCompare_STEVEN_STEFAN_SuccessfullyMatched() {
    assertTrue(this.getStringEncoder().isEncodeEquals("Steven", "Stefan"));
}
@Test
public final void testCompare_MICKY_MICHAEL_SuccessfullyMatched() {
    assertTrue(this.getStringEncoder().isEncodeEquals("Micky", "Michael"));
}</t>
  </si>
  <si>
    <t>@Test
public final void testCompare_STEVEN_STEFAN_SuccessfullyMatched() {
    assertTrue(this.getStringEncoder().isEncodeEquals("Steven", "Stefan"));
}
@Test
public final void testCompare_ZACH_ZAKARIA_SuccessfullyMatched() {
    assertTrue(this.getStringEncoder().isEncodeEquals("Zach", "Zacharia"));
}</t>
  </si>
  <si>
    <t>@Test
public final void testCompare_STEVEN_STEFAN_SuccessfullyMatched() {
    assertTrue(this.getStringEncoder().isEncodeEquals("Steven", "Stefan"));
}
@Test
public final void testCompare_OONA_OONAGH_SuccessfullyMatched() {
    assertTrue(this.getStringEncoder().isEncodeEquals("Oona", "Oonagh"));
}</t>
  </si>
  <si>
    <t>@Test
public final void testCompare_STEVEN_STEFAN_SuccessfullyMatched() {
    assertTrue(this.getStringEncoder().isEncodeEquals("Steven", "Stefan"));
}
@Test
public final void testCompare_MCGOWAN_MCGEOGHEGAN_SuccessfullyMatched() {
    assertTrue(this.getStringEncoder().isEncodeEquals("McGowan", "Mc Geoghegan"));
}</t>
  </si>
  <si>
    <t>@Test
public final void testCompare_STEVEN_STEFAN_SuccessfullyMatched() {
    assertTrue(this.getStringEncoder().isEncodeEquals("Steven", "Stefan"));
}
@Test
public final void testCompare_FRANCISZEK_FRANCES_SuccessfullyMatched() {
    assertTrue(this.getStringEncoder().isEncodeEquals("Franciszek", "Frances"));
}</t>
  </si>
  <si>
    <t>@Test
public final void testCompare_STEVEN_STEFAN_SuccessfullyMatched() {
    assertTrue(this.getStringEncoder().isEncodeEquals("Steven", "Stefan"));
}
@Test
public final void testCompare_SmallInput_CARK_Kl_SuccessfullyMatched() {
    assertTrue(this.getStringEncoder().isEncodeEquals("Kl", "Karl"));
}</t>
  </si>
  <si>
    <t>@Test
public final void testCompare_STEVEN_STEFAN_SuccessfullyMatched() {
    assertTrue(this.getStringEncoder().isEncodeEquals("Steven", "Stefan"));
}
@Test
public final void testCompare_Surname_HAILEY_HALLEY_SuccessfullyMatched() {
    assertTrue(this.getStringEncoder().isEncodeEquals("Hailey", "Halley"));
}</t>
  </si>
  <si>
    <t>@Test
public final void testCompare_STEVEN_STEFAN_SuccessfullyMatched() {
    assertTrue(this.getStringEncoder().isEncodeEquals("Steven", "Stefan"));
}
@Test
public final void testCompare_Surname_LEWINSKY_LEVINSKI_SuccessfullyMatched() {
    assertTrue(this.getStringEncoder().isEncodeEquals("LEWINSKY", "LEVINSKI"));
}</t>
  </si>
  <si>
    <t>@Test
public final void testCompare_STEVEN_STEFAN_SuccessfullyMatched() {
    assertTrue(this.getStringEncoder().isEncodeEquals("Steven", "Stefan"));
}
// **** BEGIN YIDDISH/SLAVIC SECTION ****
@Test
public final void testCompare_Surname_AUERBACH_UHRBACH_SuccessfullyMatched() {
    assertTrue(this.getStringEncoder().isEncodeEquals("Auerbach", "Uhrbach"));
}</t>
  </si>
  <si>
    <t>@Test
public final void testCompare_STEVEN_STEFAN_SuccessfullyMatched() {
    assertTrue(this.getStringEncoder().isEncodeEquals("Steven", "Stefan"));
}
@Test
public final void testCompare_Surname_COOPERFLYNN_SUPERLYN_SuccessfullyMatched() {
    assertTrue(this.getStringEncoder().isEncodeEquals("Cooper-Flynn", "Super-Lyn"));
}</t>
  </si>
  <si>
    <t>@Test
public final void testCompare_STEVEN_STEFAN_SuccessfullyMatched() {
    assertTrue(this.getStringEncoder().isEncodeEquals("Steven", "Stefan"));
}
@Test
public final void testCompare_Surname_LIPSHITZ_LIPPSZYC_SuccessfullyMatched() {
    assertTrue(this.getStringEncoder().isEncodeEquals("LIPSHITZ", "LIPPSZYC"));
}</t>
  </si>
  <si>
    <t>@Test
public final void testCompare_STEVEN_STEFAN_SuccessfullyMatched() {
    assertTrue(this.getStringEncoder().isEncodeEquals("Steven", "Stefan"));
}
@Test
public final void testCompare_Surname_PRZEMYSL_PSHEMESHIL_SuccessfullyMatched() {
    assertTrue(this.getStringEncoder().isEncodeEquals(" P rz e m y s l", " P sh e m e sh i l"));
}</t>
  </si>
  <si>
    <t>@Test
public final void testCompare_STEVEN_STEFAN_SuccessfullyMatched() {
    assertTrue(this.getStringEncoder().isEncodeEquals("Steven", "Stefan"));
}
@Test
public final void testCompare_Surname_MOSKOWITZ_MOSKOVITZ_SuccessfullyMatched() {
    assertTrue(this.getStringEncoder().isEncodeEquals("Moskowitz", "Moskovitz"));
}</t>
  </si>
  <si>
    <t>@Test
public final void testCompare_STEVEN_STEFAN_SuccessfullyMatched() {
    assertTrue(this.getStringEncoder().isEncodeEquals("Steven", "Stefan"));
}
@Test
public final void testCompare_Surname_SZLAMAWICZ_SHLAMOVITZ_SuccessfullyMatched() {
    assertTrue(this.getStringEncoder().isEncodeEquals("SZLAMAWICZ", "SHLAMOVITZ"));
}</t>
  </si>
  <si>
    <t>@Test
public final void testCompare_STEVEN_STEFAN_SuccessfullyMatched() {
    assertTrue(this.getStringEncoder().isEncodeEquals("Steven", "Stefan"));
}
// ***** Begin Region - Test Get Encoding - Surnames
@Test
public final void testCompare_Surname_OSULLIVAN_OSUILLEABHAIN_SuccessfulMatch() {
    assertTrue(this.getStringEncoder().isEncodeEquals("O'Sullivan", "Ó ' Súilleabháin"));
}</t>
  </si>
  <si>
    <t>@Test
public final void testCompare_STEVEN_STEFAN_SuccessfullyMatched() {
    assertTrue(this.getStringEncoder().isEncodeEquals("Steven", "Stefan"));
}
@Test
public final void testCompare_Surname_ROSOCHOWACIEC_ROSOKHOVATSETS_SuccessfullyMatched() {
    assertTrue(this.getStringEncoder().isEncodeEquals("R o s o ch o w a c ie c", " R o s o k ho v a ts e ts"));
}</t>
  </si>
  <si>
    <t>@Test
public final void testCompare_STEVEN_STEFAN_SuccessfullyMatched() {
    assertTrue(this.getStringEncoder().isEncodeEquals("Steven", "Stefan"));
}
@Test
public final void testCompare_Forenames_SEAN_JOHN_MatchExpected() {
    assertTrue(this.getStringEncoder().isEncodeEquals("Sean", "John"));
}</t>
  </si>
  <si>
    <t>@Test
public final void testCompare_STEVEN_STEFAN_SuccessfullyMatched() {
    assertTrue(this.getStringEncoder().isEncodeEquals("Steven", "Stefan"));
}
@Test
public final void testCompare_KARL_ALESSANDRO_DoesNotMatch() {
    assertFalse(this.getStringEncoder().isEncodeEquals("Karl", "Alessandro"));
}</t>
  </si>
  <si>
    <t>@Test
public final void testCompare_STEVEN_STEFAN_SuccessfullyMatched() {
    assertTrue(this.getStringEncoder().isEncodeEquals("Steven", "Stefan"));
}
@Test
public final void testCompare_Forenames_SEAN_PETE_NoMatchExpected() {
    assertFalse(this.getStringEncoder().isEncodeEquals("Sean", "Pete"));
}</t>
  </si>
  <si>
    <t>@Test
public final void testCompare_STEVEN_STEFAN_SuccessfullyMatched() {
    assertTrue(this.getStringEncoder().isEncodeEquals("Steven", "Stefan"));
}
@Test
public final void testCompare_Forenames_UNA_OONAGH_ShouldSuccessfullyMatchButDoesNot() {
    // Disappointing
    assertFalse(this.getStringEncoder().isEncodeEquals("Úna", "Oonagh"));
}</t>
  </si>
  <si>
    <t>@Test
public final void testCompare_STEVEN_STEFAN_SuccessfullyMatched() {
    assertTrue(this.getStringEncoder().isEncodeEquals("Steven", "Stefan"));
}
@Test
public final void testCompare_Surnames_MURPHY_LYNCH_NoMatchExpected() {
    assertFalse(this.getStringEncoder().isEncodeEquals("Murphy", "Lynch"));
}</t>
  </si>
  <si>
    <t>@Test
public final void testCompare_STEVEN_STEFAN_SuccessfullyMatched() {
    assertTrue(this.getStringEncoder().isEncodeEquals("Steven", "Stefan"));
}
@Test
public final void testCompare_LongSurnames_OMUIRCHEARTAIGH_OMIREADHAIGH_SuccessfulMatch() {
    assertTrue(this.getStringEncoder().isEncodeEquals("o'muireadhaigh", "Ó 'Muircheartaigh "));
}</t>
  </si>
  <si>
    <t>@Test
public final void testCompare_STEVEN_STEFAN_SuccessfullyMatched() {
    assertTrue(this.getStringEncoder().isEncodeEquals("Steven", "Stefan"));
}
@Test
public final void testCompareNameToSingleLetter_KARL_C_DoesNotMatch() {
    assertFalse(this.getStringEncoder().isEncodeEquals("Karl", "C"));
}</t>
  </si>
  <si>
    <t>@Test
public final void testCompare_STEVEN_STEFAN_SuccessfullyMatched() {
    assertTrue(this.getStringEncoder().isEncodeEquals("Steven", "Stefan"));
}
@Test
public final void testCompare_SurnamesCornerCase_MURPHY_Space_NoMatch() {
    assertFalse(this.getStringEncoder().isEncodeEquals("Murphy", " "));
}</t>
  </si>
  <si>
    <t>@Test
public final void testCompare_STEVEN_STEFAN_SuccessfullyMatched() {
    assertTrue(this.getStringEncoder().isEncodeEquals("Steven", "Stefan"));
}
@Test
public final void testCompare_SurnamesCornerCase_MURPHY_NoSpace_NoMatch() {
    assertFalse(this.getStringEncoder().isEncodeEquals("Murphy", ""));
}</t>
  </si>
  <si>
    <t>@Test
public final void testCompare_STEVEN_STEFAN_SuccessfullyMatched() {
    assertTrue(this.getStringEncoder().isEncodeEquals("Steven", "Stefan"));
}
@Test
public final void testCompare_SurnameCornerCase_Nulls_NoMatch() {
    assertFalse(this.getStringEncoder().isEncodeEquals(null, null));
}</t>
  </si>
  <si>
    <t>@Test
public final void testCompare_STEVEN_STEFAN_SuccessfullyMatched() {
    assertTrue(this.getStringEncoder().isEncodeEquals("Steven", "Stefan"));
}
@Test
public final void testCompare_LongSurnames_MORIARTY_OMUIRCHEARTAIGH_DoesNotSuccessfulMatch() {
    assertFalse(this.getStringEncoder().isEncodeEquals("Moriarty", "OMuircheartaigh"));
}</t>
  </si>
  <si>
    <t>@Test
public final void testCompare_STEPHEN_STEFAN_SuccessfullyMatched() {
    assertTrue(this.getStringEncoder().isEncodeEquals("Stephen", "Stefan"));
}
@Test
public final void testCompare_SOPHIE_SOFIA_SuccessfullyMatched() {
    assertTrue(this.getStringEncoder().isEncodeEquals("Sophie", "Sofia"));
}</t>
  </si>
  <si>
    <t>@Test
public final void testCompare_STEPHEN_STEFAN_SuccessfullyMatched() {
    assertTrue(this.getStringEncoder().isEncodeEquals("Stephen", "Stefan"));
}
// **** END YIDDISH/SLAVIC SECTION ****
@Test
public final void testCompare_PETERSON_PETERS_SuccessfullyMatched() {
    assertTrue(this.getStringEncoder().isEncodeEquals("Peterson", "Peters"));
}</t>
  </si>
  <si>
    <t>@Test
public final void testCompare_STEPHEN_STEFAN_SuccessfullyMatched() {
    assertTrue(this.getStringEncoder().isEncodeEquals("Stephen", "Stefan"));
}
@Test
public final void testCompare_TOMASZ_TOM_SuccessfullyMatched() {
    assertTrue(this.getStringEncoder().isEncodeEquals("Tomasz", "tom"));
}</t>
  </si>
  <si>
    <t>@Test
public final void testCompare_STEPHEN_STEFAN_SuccessfullyMatched() {
    assertTrue(this.getStringEncoder().isEncodeEquals("Stephen", "Stefan"));
}
@Test
public final void testCompare_SAM_SAMUEL_SuccessfullyMatched() {
    assertTrue(this.getStringEncoder().isEncodeEquals("Sam", "Samuel"));
}</t>
  </si>
  <si>
    <t>@Test
public final void testCompare_STEPHEN_STEFAN_SuccessfullyMatched() {
    assertTrue(this.getStringEncoder().isEncodeEquals("Stephen", "Stefan"));
}
@Test
public final void testCompare_ZACH_ZAKARIA_SuccessfullyMatched() {
    assertTrue(this.getStringEncoder().isEncodeEquals("Zach", "Zacharia"));
}</t>
  </si>
  <si>
    <t>@Test
public final void testCompare_STEPHEN_STEFAN_SuccessfullyMatched() {
    assertTrue(this.getStringEncoder().isEncodeEquals("Stephen", "Stefan"));
}
@Test
public final void testCompare_MICKY_MICHAEL_SuccessfullyMatched() {
    assertTrue(this.getStringEncoder().isEncodeEquals("Micky", "Michael"));
}</t>
  </si>
  <si>
    <t>@Test
public final void testCompare_STEPHEN_STEFAN_SuccessfullyMatched() {
    assertTrue(this.getStringEncoder().isEncodeEquals("Stephen", "Stefan"));
}
@Test
public final void testCompare_OONA_OONAGH_SuccessfullyMatched() {
    assertTrue(this.getStringEncoder().isEncodeEquals("Oona", "Oonagh"));
}</t>
  </si>
  <si>
    <t>@Test
public final void testCompare_STEPHEN_STEFAN_SuccessfullyMatched() {
    assertTrue(this.getStringEncoder().isEncodeEquals("Stephen", "Stefan"));
}
@Test
public final void testCompare_MCGOWAN_MCGEOGHEGAN_SuccessfullyMatched() {
    assertTrue(this.getStringEncoder().isEncodeEquals("McGowan", "Mc Geoghegan"));
}</t>
  </si>
  <si>
    <t>@Test
public final void testCompare_STEPHEN_STEFAN_SuccessfullyMatched() {
    assertTrue(this.getStringEncoder().isEncodeEquals("Stephen", "Stefan"));
}
@Test
public final void testCompare_FRANCISZEK_FRANCES_SuccessfullyMatched() {
    assertTrue(this.getStringEncoder().isEncodeEquals("Franciszek", "Frances"));
}</t>
  </si>
  <si>
    <t>@Test
public final void testCompare_STEPHEN_STEFAN_SuccessfullyMatched() {
    assertTrue(this.getStringEncoder().isEncodeEquals("Stephen", "Stefan"));
}
@Test
public final void testCompare_SmallInput_CARK_Kl_SuccessfullyMatched() {
    assertTrue(this.getStringEncoder().isEncodeEquals("Kl", "Karl"));
}</t>
  </si>
  <si>
    <t>@Test
public final void testCompare_STEPHEN_STEFAN_SuccessfullyMatched() {
    assertTrue(this.getStringEncoder().isEncodeEquals("Stephen", "Stefan"));
}
@Test
public final void testCompare_Surname_HAILEY_HALLEY_SuccessfullyMatched() {
    assertTrue(this.getStringEncoder().isEncodeEquals("Hailey", "Halley"));
}</t>
  </si>
  <si>
    <t>@Test
public final void testCompare_STEPHEN_STEFAN_SuccessfullyMatched() {
    assertTrue(this.getStringEncoder().isEncodeEquals("Stephen", "Stefan"));
}
@Test
public final void testCompare_Surname_LEWINSKY_LEVINSKI_SuccessfullyMatched() {
    assertTrue(this.getStringEncoder().isEncodeEquals("LEWINSKY", "LEVINSKI"));
}</t>
  </si>
  <si>
    <t>@Test
public final void testCompare_STEPHEN_STEFAN_SuccessfullyMatched() {
    assertTrue(this.getStringEncoder().isEncodeEquals("Stephen", "Stefan"));
}
// **** BEGIN YIDDISH/SLAVIC SECTION ****
@Test
public final void testCompare_Surname_AUERBACH_UHRBACH_SuccessfullyMatched() {
    assertTrue(this.getStringEncoder().isEncodeEquals("Auerbach", "Uhrbach"));
}</t>
  </si>
  <si>
    <t>@Test
public final void testCompare_STEPHEN_STEFAN_SuccessfullyMatched() {
    assertTrue(this.getStringEncoder().isEncodeEquals("Stephen", "Stefan"));
}
@Test
public final void testCompare_Surname_COOPERFLYNN_SUPERLYN_SuccessfullyMatched() {
    assertTrue(this.getStringEncoder().isEncodeEquals("Cooper-Flynn", "Super-Lyn"));
}</t>
  </si>
  <si>
    <t>@Test
public final void testCompare_STEPHEN_STEFAN_SuccessfullyMatched() {
    assertTrue(this.getStringEncoder().isEncodeEquals("Stephen", "Stefan"));
}
@Test
public final void testCompare_Surname_PRZEMYSL_PSHEMESHIL_SuccessfullyMatched() {
    assertTrue(this.getStringEncoder().isEncodeEquals(" P rz e m y s l", " P sh e m e sh i l"));
}</t>
  </si>
  <si>
    <t>@Test
public final void testCompare_STEPHEN_STEFAN_SuccessfullyMatched() {
    assertTrue(this.getStringEncoder().isEncodeEquals("Stephen", "Stefan"));
}
@Test
public final void testCompare_Surname_LIPSHITZ_LIPPSZYC_SuccessfullyMatched() {
    assertTrue(this.getStringEncoder().isEncodeEquals("LIPSHITZ", "LIPPSZYC"));
}</t>
  </si>
  <si>
    <t>@Test
public final void testCompare_STEPHEN_STEFAN_SuccessfullyMatched() {
    assertTrue(this.getStringEncoder().isEncodeEquals("Stephen", "Stefan"));
}
@Test
public final void testCompare_Surname_MOSKOWITZ_MOSKOVITZ_SuccessfullyMatched() {
    assertTrue(this.getStringEncoder().isEncodeEquals("Moskowitz", "Moskovitz"));
}</t>
  </si>
  <si>
    <t>@Test
public final void testCompare_STEPHEN_STEFAN_SuccessfullyMatched() {
    assertTrue(this.getStringEncoder().isEncodeEquals("Stephen", "Stefan"));
}
@Test
public final void testCompare_Surname_SZLAMAWICZ_SHLAMOVITZ_SuccessfullyMatched() {
    assertTrue(this.getStringEncoder().isEncodeEquals("SZLAMAWICZ", "SHLAMOVITZ"));
}</t>
  </si>
  <si>
    <t>@Test
public final void testCompare_STEPHEN_STEFAN_SuccessfullyMatched() {
    assertTrue(this.getStringEncoder().isEncodeEquals("Stephen", "Stefan"));
}
// ***** Begin Region - Test Get Encoding - Surnames
@Test
public final void testCompare_Surname_OSULLIVAN_OSUILLEABHAIN_SuccessfulMatch() {
    assertTrue(this.getStringEncoder().isEncodeEquals("O'Sullivan", "Ó ' Súilleabháin"));
}</t>
  </si>
  <si>
    <t>@Test
public final void testCompare_STEPHEN_STEFAN_SuccessfullyMatched() {
    assertTrue(this.getStringEncoder().isEncodeEquals("Stephen", "Stefan"));
}
@Test
public final void testCompare_Surname_ROSOCHOWACIEC_ROSOKHOVATSETS_SuccessfullyMatched() {
    assertTrue(this.getStringEncoder().isEncodeEquals("R o s o ch o w a c ie c", " R o s o k ho v a ts e ts"));
}</t>
  </si>
  <si>
    <t>@Test
public final void testCompare_STEPHEN_STEFAN_SuccessfullyMatched() {
    assertTrue(this.getStringEncoder().isEncodeEquals("Stephen", "Stefan"));
}
@Test
public final void testCompare_Forenames_SEAN_JOHN_MatchExpected() {
    assertTrue(this.getStringEncoder().isEncodeEquals("Sean", "John"));
}</t>
  </si>
  <si>
    <t>@Test
public final void testCompare_STEPHEN_STEFAN_SuccessfullyMatched() {
    assertTrue(this.getStringEncoder().isEncodeEquals("Stephen", "Stefan"));
}
@Test
public final void testCompare_KARL_ALESSANDRO_DoesNotMatch() {
    assertFalse(this.getStringEncoder().isEncodeEquals("Karl", "Alessandro"));
}</t>
  </si>
  <si>
    <t>@Test
public final void testCompare_STEPHEN_STEFAN_SuccessfullyMatched() {
    assertTrue(this.getStringEncoder().isEncodeEquals("Stephen", "Stefan"));
}
@Test
public final void testCompare_Forenames_SEAN_PETE_NoMatchExpected() {
    assertFalse(this.getStringEncoder().isEncodeEquals("Sean", "Pete"));
}</t>
  </si>
  <si>
    <t>@Test
public final void testCompare_STEPHEN_STEFAN_SuccessfullyMatched() {
    assertTrue(this.getStringEncoder().isEncodeEquals("Stephen", "Stefan"));
}
@Test
public final void testCompare_Forenames_UNA_OONAGH_ShouldSuccessfullyMatchButDoesNot() {
    // Disappointing
    assertFalse(this.getStringEncoder().isEncodeEquals("Úna", "Oonagh"));
}</t>
  </si>
  <si>
    <t>@Test
public final void testCompare_STEPHEN_STEFAN_SuccessfullyMatched() {
    assertTrue(this.getStringEncoder().isEncodeEquals("Stephen", "Stefan"));
}
@Test
public final void testCompare_LongSurnames_OMUIRCHEARTAIGH_OMIREADHAIGH_SuccessfulMatch() {
    assertTrue(this.getStringEncoder().isEncodeEquals("o'muireadhaigh", "Ó 'Muircheartaigh "));
}</t>
  </si>
  <si>
    <t>@Test
public final void testCompare_STEPHEN_STEFAN_SuccessfullyMatched() {
    assertTrue(this.getStringEncoder().isEncodeEquals("Stephen", "Stefan"));
}
@Test
public final void testCompare_Surnames_MURPHY_LYNCH_NoMatchExpected() {
    assertFalse(this.getStringEncoder().isEncodeEquals("Murphy", "Lynch"));
}</t>
  </si>
  <si>
    <t>@Test
public final void testCompare_STEPHEN_STEFAN_SuccessfullyMatched() {
    assertTrue(this.getStringEncoder().isEncodeEquals("Stephen", "Stefan"));
}
@Test
public final void testCompareNameToSingleLetter_KARL_C_DoesNotMatch() {
    assertFalse(this.getStringEncoder().isEncodeEquals("Karl", "C"));
}</t>
  </si>
  <si>
    <t>@Test
public final void testCompare_STEPHEN_STEFAN_SuccessfullyMatched() {
    assertTrue(this.getStringEncoder().isEncodeEquals("Stephen", "Stefan"));
}
@Test
public final void testCompare_SurnamesCornerCase_MURPHY_Space_NoMatch() {
    assertFalse(this.getStringEncoder().isEncodeEquals("Murphy", " "));
}</t>
  </si>
  <si>
    <t>@Test
public final void testCompare_STEPHEN_STEFAN_SuccessfullyMatched() {
    assertTrue(this.getStringEncoder().isEncodeEquals("Stephen", "Stefan"));
}
@Test
public final void testCompare_SurnamesCornerCase_MURPHY_NoSpace_NoMatch() {
    assertFalse(this.getStringEncoder().isEncodeEquals("Murphy", ""));
}</t>
  </si>
  <si>
    <t>@Test
public final void testCompare_STEPHEN_STEFAN_SuccessfullyMatched() {
    assertTrue(this.getStringEncoder().isEncodeEquals("Stephen", "Stefan"));
}
@Test
public final void testCompare_SurnameCornerCase_Nulls_NoMatch() {
    assertFalse(this.getStringEncoder().isEncodeEquals(null, null));
}</t>
  </si>
  <si>
    <t>@Test
public final void testCompare_STEPHEN_STEFAN_SuccessfullyMatched() {
    assertTrue(this.getStringEncoder().isEncodeEquals("Stephen", "Stefan"));
}
@Test
public final void testCompare_LongSurnames_MORIARTY_OMUIRCHEARTAIGH_DoesNotSuccessfulMatch() {
    assertFalse(this.getStringEncoder().isEncodeEquals("Moriarty", "OMuircheartaigh"));
}</t>
  </si>
  <si>
    <t>@Test
public final void testCompare_SAM_SAMUEL_SuccessfullyMatched() {
    assertTrue(this.getStringEncoder().isEncodeEquals("Sam", "Samuel"));
}
@Test
public final void testCompare_TOMASZ_TOM_SuccessfullyMatched() {
    assertTrue(this.getStringEncoder().isEncodeEquals("Tomasz", "tom"));
}</t>
  </si>
  <si>
    <t>@Test
public final void testCompare_SAM_SAMUEL_SuccessfullyMatched() {
    assertTrue(this.getStringEncoder().isEncodeEquals("Sam", "Samuel"));
}
@Test
public final void testCompare_ZACH_ZAKARIA_SuccessfullyMatched() {
    assertTrue(this.getStringEncoder().isEncodeEquals("Zach", "Zacharia"));
}</t>
  </si>
  <si>
    <t>@Test
public final void testCompare_SAM_SAMUEL_SuccessfullyMatched() {
    assertTrue(this.getStringEncoder().isEncodeEquals("Sam", "Samuel"));
}
@Test
public final void testCompare_MICKY_MICHAEL_SuccessfullyMatched() {
    assertTrue(this.getStringEncoder().isEncodeEquals("Micky", "Michael"));
}</t>
  </si>
  <si>
    <t>@Test
public final void testCompare_SAM_SAMUEL_SuccessfullyMatched() {
    assertTrue(this.getStringEncoder().isEncodeEquals("Sam", "Samuel"));
}
@Test
public final void testCompare_SOPHIE_SOFIA_SuccessfullyMatched() {
    assertTrue(this.getStringEncoder().isEncodeEquals("Sophie", "Sofia"));
}</t>
  </si>
  <si>
    <t>@Test
public final void testCompare_SAM_SAMUEL_SuccessfullyMatched() {
    assertTrue(this.getStringEncoder().isEncodeEquals("Sam", "Samuel"));
}
@Test
public final void testCompare_OONA_OONAGH_SuccessfullyMatched() {
    assertTrue(this.getStringEncoder().isEncodeEquals("Oona", "Oonagh"));
}</t>
  </si>
  <si>
    <t>@Test
public final void testCompare_SAM_SAMUEL_SuccessfullyMatched() {
    assertTrue(this.getStringEncoder().isEncodeEquals("Sam", "Samuel"));
}
// **** END YIDDISH/SLAVIC SECTION ****
@Test
public final void testCompare_PETERSON_PETERS_SuccessfullyMatched() {
    assertTrue(this.getStringEncoder().isEncodeEquals("Peterson", "Peters"));
}</t>
  </si>
  <si>
    <t>@Test
public final void testCompare_SAM_SAMUEL_SuccessfullyMatched() {
    assertTrue(this.getStringEncoder().isEncodeEquals("Sam", "Samuel"));
}
@Test
public final void testCompare_FRANCISZEK_FRANCES_SuccessfullyMatched() {
    assertTrue(this.getStringEncoder().isEncodeEquals("Franciszek", "Frances"));
}</t>
  </si>
  <si>
    <t>@Test
public final void testCompare_SAM_SAMUEL_SuccessfullyMatched() {
    assertTrue(this.getStringEncoder().isEncodeEquals("Sam", "Samuel"));
}
@Test
public final void testCompare_SmallInput_CARK_Kl_SuccessfullyMatched() {
    assertTrue(this.getStringEncoder().isEncodeEquals("Kl", "Karl"));
}</t>
  </si>
  <si>
    <t>@Test
public final void testCompare_SAM_SAMUEL_SuccessfullyMatched() {
    assertTrue(this.getStringEncoder().isEncodeEquals("Sam", "Samuel"));
}
@Test
public final void testCompare_Surname_HAILEY_HALLEY_SuccessfullyMatched() {
    assertTrue(this.getStringEncoder().isEncodeEquals("Hailey", "Halley"));
}</t>
  </si>
  <si>
    <t>@Test
public final void testCompare_SAM_SAMUEL_SuccessfullyMatched() {
    assertTrue(this.getStringEncoder().isEncodeEquals("Sam", "Samuel"));
}
@Test
public final void testCompare_MCGOWAN_MCGEOGHEGAN_SuccessfullyMatched() {
    assertTrue(this.getStringEncoder().isEncodeEquals("McGowan", "Mc Geoghegan"));
}</t>
  </si>
  <si>
    <t>@Test
public final void testCompare_SAM_SAMUEL_SuccessfullyMatched() {
    assertTrue(this.getStringEncoder().isEncodeEquals("Sam", "Samuel"));
}
// **** BEGIN YIDDISH/SLAVIC SECTION ****
@Test
public final void testCompare_Surname_AUERBACH_UHRBACH_SuccessfullyMatched() {
    assertTrue(this.getStringEncoder().isEncodeEquals("Auerbach", "Uhrbach"));
}</t>
  </si>
  <si>
    <t>@Test
public final void testCompare_SAM_SAMUEL_SuccessfullyMatched() {
    assertTrue(this.getStringEncoder().isEncodeEquals("Sam", "Samuel"));
}
@Test
public final void testCompare_Surname_PRZEMYSL_PSHEMESHIL_SuccessfullyMatched() {
    assertTrue(this.getStringEncoder().isEncodeEquals(" P rz e m y s l", " P sh e m e sh i l"));
}</t>
  </si>
  <si>
    <t>@Test
public final void testCompare_SAM_SAMUEL_SuccessfullyMatched() {
    assertTrue(this.getStringEncoder().isEncodeEquals("Sam", "Samuel"));
}
@Test
public final void testCompare_Surname_LEWINSKY_LEVINSKI_SuccessfullyMatched() {
    assertTrue(this.getStringEncoder().isEncodeEquals("LEWINSKY", "LEVINSKI"));
}</t>
  </si>
  <si>
    <t>@Test
public final void testCompare_SAM_SAMUEL_SuccessfullyMatched() {
    assertTrue(this.getStringEncoder().isEncodeEquals("Sam", "Samuel"));
}
@Test
public final void testCompare_Surname_LIPSHITZ_LIPPSZYC_SuccessfullyMatched() {
    assertTrue(this.getStringEncoder().isEncodeEquals("LIPSHITZ", "LIPPSZYC"));
}</t>
  </si>
  <si>
    <t>@Test
public final void testCompare_SAM_SAMUEL_SuccessfullyMatched() {
    assertTrue(this.getStringEncoder().isEncodeEquals("Sam", "Samuel"));
}
@Test
public final void testCompare_Surname_SZLAMAWICZ_SHLAMOVITZ_SuccessfullyMatched() {
    assertTrue(this.getStringEncoder().isEncodeEquals("SZLAMAWICZ", "SHLAMOVITZ"));
}</t>
  </si>
  <si>
    <t>@Test
public final void testCompare_SAM_SAMUEL_SuccessfullyMatched() {
    assertTrue(this.getStringEncoder().isEncodeEquals("Sam", "Samuel"));
}
@Test
public final void testCompare_Surname_COOPERFLYNN_SUPERLYN_SuccessfullyMatched() {
    assertTrue(this.getStringEncoder().isEncodeEquals("Cooper-Flynn", "Super-Lyn"));
}</t>
  </si>
  <si>
    <t>@Test
public final void testCompare_SAM_SAMUEL_SuccessfullyMatched() {
    assertTrue(this.getStringEncoder().isEncodeEquals("Sam", "Samuel"));
}
@Test
public final void testCompare_Surname_MOSKOWITZ_MOSKOVITZ_SuccessfullyMatched() {
    assertTrue(this.getStringEncoder().isEncodeEquals("Moskowitz", "Moskovitz"));
}</t>
  </si>
  <si>
    <t>@Test
public final void testCompare_SAM_SAMUEL_SuccessfullyMatched() {
    assertTrue(this.getStringEncoder().isEncodeEquals("Sam", "Samuel"));
}
@Test
public final void testCompare_Surname_ROSOCHOWACIEC_ROSOKHOVATSETS_SuccessfullyMatched() {
    assertTrue(this.getStringEncoder().isEncodeEquals("R o s o ch o w a c ie c", " R o s o k ho v a ts e ts"));
}</t>
  </si>
  <si>
    <t>@Test
public final void testCompare_SAM_SAMUEL_SuccessfullyMatched() {
    assertTrue(this.getStringEncoder().isEncodeEquals("Sam", "Samuel"));
}
// ***** Begin Region - Test Get Encoding - Surnames
@Test
public final void testCompare_Surname_OSULLIVAN_OSUILLEABHAIN_SuccessfulMatch() {
    assertTrue(this.getStringEncoder().isEncodeEquals("O'Sullivan", "Ó ' Súilleabháin"));
}</t>
  </si>
  <si>
    <t>@Test
public final void testCompare_SAM_SAMUEL_SuccessfullyMatched() {
    assertTrue(this.getStringEncoder().isEncodeEquals("Sam", "Samuel"));
}
@Test
public final void testCompare_Forenames_SEAN_JOHN_MatchExpected() {
    assertTrue(this.getStringEncoder().isEncodeEquals("Sean", "John"));
}</t>
  </si>
  <si>
    <t>@Test
public final void testCompare_SAM_SAMUEL_SuccessfullyMatched() {
    assertTrue(this.getStringEncoder().isEncodeEquals("Sam", "Samuel"));
}
@Test
public final void testCompare_KARL_ALESSANDRO_DoesNotMatch() {
    assertFalse(this.getStringEncoder().isEncodeEquals("Karl", "Alessandro"));
}</t>
  </si>
  <si>
    <t>@Test
public final void testCompare_SAM_SAMUEL_SuccessfullyMatched() {
    assertTrue(this.getStringEncoder().isEncodeEquals("Sam", "Samuel"));
}
@Test
public final void testCompare_Forenames_SEAN_PETE_NoMatchExpected() {
    assertFalse(this.getStringEncoder().isEncodeEquals("Sean", "Pete"));
}</t>
  </si>
  <si>
    <t>@Test
public final void testCompare_SAM_SAMUEL_SuccessfullyMatched() {
    assertTrue(this.getStringEncoder().isEncodeEquals("Sam", "Samuel"));
}
@Test
public final void testCompare_Surnames_MURPHY_LYNCH_NoMatchExpected() {
    assertFalse(this.getStringEncoder().isEncodeEquals("Murphy", "Lynch"));
}</t>
  </si>
  <si>
    <t>@Test
public final void testCompare_SAM_SAMUEL_SuccessfullyMatched() {
    assertTrue(this.getStringEncoder().isEncodeEquals("Sam", "Samuel"));
}
@Test
public final void testCompare_Forenames_UNA_OONAGH_ShouldSuccessfullyMatchButDoesNot() {
    // Disappointing
    assertFalse(this.getStringEncoder().isEncodeEquals("Úna", "Oonagh"));
}</t>
  </si>
  <si>
    <t>@Test
public final void testCompare_SAM_SAMUEL_SuccessfullyMatched() {
    assertTrue(this.getStringEncoder().isEncodeEquals("Sam", "Samuel"));
}
@Test
public final void testCompare_LongSurnames_OMUIRCHEARTAIGH_OMIREADHAIGH_SuccessfulMatch() {
    assertTrue(this.getStringEncoder().isEncodeEquals("o'muireadhaigh", "Ó 'Muircheartaigh "));
}</t>
  </si>
  <si>
    <t>@Test
public final void testCompare_SAM_SAMUEL_SuccessfullyMatched() {
    assertTrue(this.getStringEncoder().isEncodeEquals("Sam", "Samuel"));
}
@Test
public final void testCompareNameToSingleLetter_KARL_C_DoesNotMatch() {
    assertFalse(this.getStringEncoder().isEncodeEquals("Karl", "C"));
}</t>
  </si>
  <si>
    <t>@Test
public final void testCompare_SAM_SAMUEL_SuccessfullyMatched() {
    assertTrue(this.getStringEncoder().isEncodeEquals("Sam", "Samuel"));
}
@Test
public final void testCompare_SurnamesCornerCase_MURPHY_Space_NoMatch() {
    assertFalse(this.getStringEncoder().isEncodeEquals("Murphy", " "));
}</t>
  </si>
  <si>
    <t>@Test
public final void testCompare_SAM_SAMUEL_SuccessfullyMatched() {
    assertTrue(this.getStringEncoder().isEncodeEquals("Sam", "Samuel"));
}
@Test
public final void testCompare_SurnameCornerCase_Nulls_NoMatch() {
    assertFalse(this.getStringEncoder().isEncodeEquals(null, null));
}</t>
  </si>
  <si>
    <t>@Test
public final void testCompare_SAM_SAMUEL_SuccessfullyMatched() {
    assertTrue(this.getStringEncoder().isEncodeEquals("Sam", "Samuel"));
}
@Test
public final void testCompare_SurnamesCornerCase_MURPHY_NoSpace_NoMatch() {
    assertFalse(this.getStringEncoder().isEncodeEquals("Murphy", ""));
}</t>
  </si>
  <si>
    <t>@Test
public final void testCompare_SAM_SAMUEL_SuccessfullyMatched() {
    assertTrue(this.getStringEncoder().isEncodeEquals("Sam", "Samuel"));
}
@Test
public final void testCompare_LongSurnames_MORIARTY_OMUIRCHEARTAIGH_DoesNotSuccessfulMatch() {
    assertFalse(this.getStringEncoder().isEncodeEquals("Moriarty", "OMuircheartaigh"));
}</t>
  </si>
  <si>
    <t>@Test
public final void testCompare_MICKY_MICHAEL_SuccessfullyMatched() {
    assertTrue(this.getStringEncoder().isEncodeEquals("Micky", "Michael"));
}
@Test
public final void testCompare_ZACH_ZAKARIA_SuccessfullyMatched() {
    assertTrue(this.getStringEncoder().isEncodeEquals("Zach", "Zacharia"));
}</t>
  </si>
  <si>
    <t>@Test
public final void testCompare_MICKY_MICHAEL_SuccessfullyMatched() {
    assertTrue(this.getStringEncoder().isEncodeEquals("Micky", "Michael"));
}
@Test
public final void testCompare_OONA_OONAGH_SuccessfullyMatched() {
    assertTrue(this.getStringEncoder().isEncodeEquals("Oona", "Oonagh"));
}</t>
  </si>
  <si>
    <t>@Test
public final void testCompare_MICKY_MICHAEL_SuccessfullyMatched() {
    assertTrue(this.getStringEncoder().isEncodeEquals("Micky", "Michael"));
}
@Test
public final void testCompare_SOPHIE_SOFIA_SuccessfullyMatched() {
    assertTrue(this.getStringEncoder().isEncodeEquals("Sophie", "Sofia"));
}</t>
  </si>
  <si>
    <t>@Test
public final void testCompare_MICKY_MICHAEL_SuccessfullyMatched() {
    assertTrue(this.getStringEncoder().isEncodeEquals("Micky", "Michael"));
}
@Test
public final void testCompare_TOMASZ_TOM_SuccessfullyMatched() {
    assertTrue(this.getStringEncoder().isEncodeEquals("Tomasz", "tom"));
}</t>
  </si>
  <si>
    <t>@Test
public final void testCompare_MICKY_MICHAEL_SuccessfullyMatched() {
    assertTrue(this.getStringEncoder().isEncodeEquals("Micky", "Michael"));
}
// **** END YIDDISH/SLAVIC SECTION ****
@Test
public final void testCompare_PETERSON_PETERS_SuccessfullyMatched() {
    assertTrue(this.getStringEncoder().isEncodeEquals("Peterson", "Peters"));
}</t>
  </si>
  <si>
    <t>@Test
public final void testCompare_MICKY_MICHAEL_SuccessfullyMatched() {
    assertTrue(this.getStringEncoder().isEncodeEquals("Micky", "Michael"));
}
@Test
public final void testCompare_MCGOWAN_MCGEOGHEGAN_SuccessfullyMatched() {
    assertTrue(this.getStringEncoder().isEncodeEquals("McGowan", "Mc Geoghegan"));
}</t>
  </si>
  <si>
    <t>@Test
public final void testCompare_MICKY_MICHAEL_SuccessfullyMatched() {
    assertTrue(this.getStringEncoder().isEncodeEquals("Micky", "Michael"));
}
@Test
public final void testCompare_FRANCISZEK_FRANCES_SuccessfullyMatched() {
    assertTrue(this.getStringEncoder().isEncodeEquals("Franciszek", "Frances"));
}</t>
  </si>
  <si>
    <t>@Test
public final void testCompare_MICKY_MICHAEL_SuccessfullyMatched() {
    assertTrue(this.getStringEncoder().isEncodeEquals("Micky", "Michael"));
}
@Test
public final void testCompare_Surname_HAILEY_HALLEY_SuccessfullyMatched() {
    assertTrue(this.getStringEncoder().isEncodeEquals("Hailey", "Halley"));
}</t>
  </si>
  <si>
    <t>@Test
public final void testCompare_MICKY_MICHAEL_SuccessfullyMatched() {
    assertTrue(this.getStringEncoder().isEncodeEquals("Micky", "Michael"));
}
@Test
public final void testCompare_SmallInput_CARK_Kl_SuccessfullyMatched() {
    assertTrue(this.getStringEncoder().isEncodeEquals("Kl", "Karl"));
}</t>
  </si>
  <si>
    <t>@Test
public final void testCompare_MICKY_MICHAEL_SuccessfullyMatched() {
    assertTrue(this.getStringEncoder().isEncodeEquals("Micky", "Michael"));
}
// **** BEGIN YIDDISH/SLAVIC SECTION ****
@Test
public final void testCompare_Surname_AUERBACH_UHRBACH_SuccessfullyMatched() {
    assertTrue(this.getStringEncoder().isEncodeEquals("Auerbach", "Uhrbach"));
}</t>
  </si>
  <si>
    <t>@Test
public final void testCompare_MICKY_MICHAEL_SuccessfullyMatched() {
    assertTrue(this.getStringEncoder().isEncodeEquals("Micky", "Michael"));
}
@Test
public final void testCompare_Surname_LEWINSKY_LEVINSKI_SuccessfullyMatched() {
    assertTrue(this.getStringEncoder().isEncodeEquals("LEWINSKY", "LEVINSKI"));
}</t>
  </si>
  <si>
    <t>@Test
public final void testCompare_MICKY_MICHAEL_SuccessfullyMatched() {
    assertTrue(this.getStringEncoder().isEncodeEquals("Micky", "Michael"));
}
@Test
public final void testCompare_Surname_LIPSHITZ_LIPPSZYC_SuccessfullyMatched() {
    assertTrue(this.getStringEncoder().isEncodeEquals("LIPSHITZ", "LIPPSZYC"));
}</t>
  </si>
  <si>
    <t>@Test
public final void testCompare_MICKY_MICHAEL_SuccessfullyMatched() {
    assertTrue(this.getStringEncoder().isEncodeEquals("Micky", "Michael"));
}
@Test
public final void testCompare_Surname_PRZEMYSL_PSHEMESHIL_SuccessfullyMatched() {
    assertTrue(this.getStringEncoder().isEncodeEquals(" P rz e m y s l", " P sh e m e sh i l"));
}</t>
  </si>
  <si>
    <t>@Test
public final void testCompare_MICKY_MICHAEL_SuccessfullyMatched() {
    assertTrue(this.getStringEncoder().isEncodeEquals("Micky", "Michael"));
}
@Test
public final void testCompare_Surname_SZLAMAWICZ_SHLAMOVITZ_SuccessfullyMatched() {
    assertTrue(this.getStringEncoder().isEncodeEquals("SZLAMAWICZ", "SHLAMOVITZ"));
}</t>
  </si>
  <si>
    <t>@Test
public final void testCompare_MICKY_MICHAEL_SuccessfullyMatched() {
    assertTrue(this.getStringEncoder().isEncodeEquals("Micky", "Michael"));
}
@Test
public final void testCompare_Surname_MOSKOWITZ_MOSKOVITZ_SuccessfullyMatched() {
    assertTrue(this.getStringEncoder().isEncodeEquals("Moskowitz", "Moskovitz"));
}</t>
  </si>
  <si>
    <t>@Test
public final void testCompare_MICKY_MICHAEL_SuccessfullyMatched() {
    assertTrue(this.getStringEncoder().isEncodeEquals("Micky", "Michael"));
}
@Test
public final void testCompare_Surname_COOPERFLYNN_SUPERLYN_SuccessfullyMatched() {
    assertTrue(this.getStringEncoder().isEncodeEquals("Cooper-Flynn", "Super-Lyn"));
}</t>
  </si>
  <si>
    <t>@Test
public final void testCompare_MICKY_MICHAEL_SuccessfullyMatched() {
    assertTrue(this.getStringEncoder().isEncodeEquals("Micky", "Michael"));
}
@Test
public final void testCompare_Surname_ROSOCHOWACIEC_ROSOKHOVATSETS_SuccessfullyMatched() {
    assertTrue(this.getStringEncoder().isEncodeEquals("R o s o ch o w a c ie c", " R o s o k ho v a ts e ts"));
}</t>
  </si>
  <si>
    <t>@Test
public final void testCompare_MICKY_MICHAEL_SuccessfullyMatched() {
    assertTrue(this.getStringEncoder().isEncodeEquals("Micky", "Michael"));
}
// ***** Begin Region - Test Get Encoding - Surnames
@Test
public final void testCompare_Surname_OSULLIVAN_OSUILLEABHAIN_SuccessfulMatch() {
    assertTrue(this.getStringEncoder().isEncodeEquals("O'Sullivan", "Ó ' Súilleabháin"));
}</t>
  </si>
  <si>
    <t>@Test
public final void testCompare_MICKY_MICHAEL_SuccessfullyMatched() {
    assertTrue(this.getStringEncoder().isEncodeEquals("Micky", "Michael"));
}
@Test
public final void testCompare_Forenames_SEAN_JOHN_MatchExpected() {
    assertTrue(this.getStringEncoder().isEncodeEquals("Sean", "John"));
}</t>
  </si>
  <si>
    <t>@Test
public final void testCompare_MICKY_MICHAEL_SuccessfullyMatched() {
    assertTrue(this.getStringEncoder().isEncodeEquals("Micky", "Michael"));
}
@Test
public final void testCompare_KARL_ALESSANDRO_DoesNotMatch() {
    assertFalse(this.getStringEncoder().isEncodeEquals("Karl", "Alessandro"));
}</t>
  </si>
  <si>
    <t>@Test
public final void testCompare_MICKY_MICHAEL_SuccessfullyMatched() {
    assertTrue(this.getStringEncoder().isEncodeEquals("Micky", "Michael"));
}
@Test
public final void testCompare_LongSurnames_OMUIRCHEARTAIGH_OMIREADHAIGH_SuccessfulMatch() {
    assertTrue(this.getStringEncoder().isEncodeEquals("o'muireadhaigh", "Ó 'Muircheartaigh "));
}</t>
  </si>
  <si>
    <t>@Test
public final void testCompare_MICKY_MICHAEL_SuccessfullyMatched() {
    assertTrue(this.getStringEncoder().isEncodeEquals("Micky", "Michael"));
}
@Test
public final void testCompare_Forenames_UNA_OONAGH_ShouldSuccessfullyMatchButDoesNot() {
    // Disappointing
    assertFalse(this.getStringEncoder().isEncodeEquals("Úna", "Oonagh"));
}</t>
  </si>
  <si>
    <t>@Test
public final void testCompare_MICKY_MICHAEL_SuccessfullyMatched() {
    assertTrue(this.getStringEncoder().isEncodeEquals("Micky", "Michael"));
}
@Test
public final void testCompare_Surnames_MURPHY_LYNCH_NoMatchExpected() {
    assertFalse(this.getStringEncoder().isEncodeEquals("Murphy", "Lynch"));
}</t>
  </si>
  <si>
    <t>@Test
public final void testCompare_MICKY_MICHAEL_SuccessfullyMatched() {
    assertTrue(this.getStringEncoder().isEncodeEquals("Micky", "Michael"));
}
@Test
public final void testCompare_Forenames_SEAN_PETE_NoMatchExpected() {
    assertFalse(this.getStringEncoder().isEncodeEquals("Sean", "Pete"));
}</t>
  </si>
  <si>
    <t>@Test
public final void testCompare_MICKY_MICHAEL_SuccessfullyMatched() {
    assertTrue(this.getStringEncoder().isEncodeEquals("Micky", "Michael"));
}
@Test
public final void testCompareNameToSingleLetter_KARL_C_DoesNotMatch() {
    assertFalse(this.getStringEncoder().isEncodeEquals("Karl", "C"));
}</t>
  </si>
  <si>
    <t>@Test
public final void testCompare_MICKY_MICHAEL_SuccessfullyMatched() {
    assertTrue(this.getStringEncoder().isEncodeEquals("Micky", "Michael"));
}
@Test
public final void testCompare_LongSurnames_MORIARTY_OMUIRCHEARTAIGH_DoesNotSuccessfulMatch() {
    assertFalse(this.getStringEncoder().isEncodeEquals("Moriarty", "OMuircheartaigh"));
}</t>
  </si>
  <si>
    <t>@Test
public final void testCompare_MICKY_MICHAEL_SuccessfullyMatched() {
    assertTrue(this.getStringEncoder().isEncodeEquals("Micky", "Michael"));
}
@Test
public final void testCompare_SurnamesCornerCase_MURPHY_Space_NoMatch() {
    assertFalse(this.getStringEncoder().isEncodeEquals("Murphy", " "));
}</t>
  </si>
  <si>
    <t>@Test
public final void testCompare_MICKY_MICHAEL_SuccessfullyMatched() {
    assertTrue(this.getStringEncoder().isEncodeEquals("Micky", "Michael"));
}
@Test
public final void testCompare_SurnamesCornerCase_MURPHY_NoSpace_NoMatch() {
    assertFalse(this.getStringEncoder().isEncodeEquals("Murphy", ""));
}</t>
  </si>
  <si>
    <t>@Test
public final void testCompare_MICKY_MICHAEL_SuccessfullyMatched() {
    assertTrue(this.getStringEncoder().isEncodeEquals("Micky", "Michael"));
}
@Test
public final void testCompare_SurnameCornerCase_Nulls_NoMatch() {
    assertFalse(this.getStringEncoder().isEncodeEquals(null, null));
}</t>
  </si>
  <si>
    <t>@Test
public final void testCompare_OONA_OONAGH_SuccessfullyMatched() {
    assertTrue(this.getStringEncoder().isEncodeEquals("Oona", "Oonagh"));
}
@Test
public final void testCompare_TOMASZ_TOM_SuccessfullyMatched() {
    assertTrue(this.getStringEncoder().isEncodeEquals("Tomasz", "tom"));
}</t>
  </si>
  <si>
    <t>@Test
public final void testCompare_OONA_OONAGH_SuccessfullyMatched() {
    assertTrue(this.getStringEncoder().isEncodeEquals("Oona", "Oonagh"));
}
@Test
public final void testCompare_ZACH_ZAKARIA_SuccessfullyMatched() {
    assertTrue(this.getStringEncoder().isEncodeEquals("Zach", "Zacharia"));
}</t>
  </si>
  <si>
    <t>@Test
public final void testCompare_OONA_OONAGH_SuccessfullyMatched() {
    assertTrue(this.getStringEncoder().isEncodeEquals("Oona", "Oonagh"));
}
@Test
public final void testCompare_SOPHIE_SOFIA_SuccessfullyMatched() {
    assertTrue(this.getStringEncoder().isEncodeEquals("Sophie", "Sofia"));
}</t>
  </si>
  <si>
    <t>@Test
public final void testCompare_OONA_OONAGH_SuccessfullyMatched() {
    assertTrue(this.getStringEncoder().isEncodeEquals("Oona", "Oonagh"));
}
// **** END YIDDISH/SLAVIC SECTION ****
@Test
public final void testCompare_PETERSON_PETERS_SuccessfullyMatched() {
    assertTrue(this.getStringEncoder().isEncodeEquals("Peterson", "Peters"));
}</t>
  </si>
  <si>
    <t>@Test
public final void testCompare_OONA_OONAGH_SuccessfullyMatched() {
    assertTrue(this.getStringEncoder().isEncodeEquals("Oona", "Oonagh"));
}
@Test
public final void testCompare_MCGOWAN_MCGEOGHEGAN_SuccessfullyMatched() {
    assertTrue(this.getStringEncoder().isEncodeEquals("McGowan", "Mc Geoghegan"));
}</t>
  </si>
  <si>
    <t>@Test
public final void testCompare_OONA_OONAGH_SuccessfullyMatched() {
    assertTrue(this.getStringEncoder().isEncodeEquals("Oona", "Oonagh"));
}
@Test
public final void testCompare_FRANCISZEK_FRANCES_SuccessfullyMatched() {
    assertTrue(this.getStringEncoder().isEncodeEquals("Franciszek", "Frances"));
}</t>
  </si>
  <si>
    <t>@Test
public final void testCompare_OONA_OONAGH_SuccessfullyMatched() {
    assertTrue(this.getStringEncoder().isEncodeEquals("Oona", "Oonagh"));
}
@Test
public final void testCompare_SmallInput_CARK_Kl_SuccessfullyMatched() {
    assertTrue(this.getStringEncoder().isEncodeEquals("Kl", "Karl"));
}</t>
  </si>
  <si>
    <t>@Test
public final void testCompare_OONA_OONAGH_SuccessfullyMatched() {
    assertTrue(this.getStringEncoder().isEncodeEquals("Oona", "Oonagh"));
}
@Test
public final void testCompare_Surname_HAILEY_HALLEY_SuccessfullyMatched() {
    assertTrue(this.getStringEncoder().isEncodeEquals("Hailey", "Halley"));
}</t>
  </si>
  <si>
    <t>@Test
public final void testCompare_OONA_OONAGH_SuccessfullyMatched() {
    assertTrue(this.getStringEncoder().isEncodeEquals("Oona", "Oonagh"));
}
// **** BEGIN YIDDISH/SLAVIC SECTION ****
@Test
public final void testCompare_Surname_AUERBACH_UHRBACH_SuccessfullyMatched() {
    assertTrue(this.getStringEncoder().isEncodeEquals("Auerbach", "Uhrbach"));
}</t>
  </si>
  <si>
    <t>@Test
public final void testCompare_OONA_OONAGH_SuccessfullyMatched() {
    assertTrue(this.getStringEncoder().isEncodeEquals("Oona", "Oonagh"));
}
@Test
public final void testCompare_Surname_MOSKOWITZ_MOSKOVITZ_SuccessfullyMatched() {
    assertTrue(this.getStringEncoder().isEncodeEquals("Moskowitz", "Moskovitz"));
}</t>
  </si>
  <si>
    <t>@Test
public final void testCompare_OONA_OONAGH_SuccessfullyMatched() {
    assertTrue(this.getStringEncoder().isEncodeEquals("Oona", "Oonagh"));
}
@Test
public final void testCompare_Surname_LEWINSKY_LEVINSKI_SuccessfullyMatched() {
    assertTrue(this.getStringEncoder().isEncodeEquals("LEWINSKY", "LEVINSKI"));
}</t>
  </si>
  <si>
    <t>@Test
public final void testCompare_OONA_OONAGH_SuccessfullyMatched() {
    assertTrue(this.getStringEncoder().isEncodeEquals("Oona", "Oonagh"));
}
@Test
public final void testCompare_Surname_COOPERFLYNN_SUPERLYN_SuccessfullyMatched() {
    assertTrue(this.getStringEncoder().isEncodeEquals("Cooper-Flynn", "Super-Lyn"));
}</t>
  </si>
  <si>
    <t>@Test
public final void testCompare_OONA_OONAGH_SuccessfullyMatched() {
    assertTrue(this.getStringEncoder().isEncodeEquals("Oona", "Oonagh"));
}
@Test
public final void testCompare_Surname_LIPSHITZ_LIPPSZYC_SuccessfullyMatched() {
    assertTrue(this.getStringEncoder().isEncodeEquals("LIPSHITZ", "LIPPSZYC"));
}</t>
  </si>
  <si>
    <t>@Test
public final void testCompare_OONA_OONAGH_SuccessfullyMatched() {
    assertTrue(this.getStringEncoder().isEncodeEquals("Oona", "Oonagh"));
}
@Test
public final void testCompare_Surname_PRZEMYSL_PSHEMESHIL_SuccessfullyMatched() {
    assertTrue(this.getStringEncoder().isEncodeEquals(" P rz e m y s l", " P sh e m e sh i l"));
}</t>
  </si>
  <si>
    <t>@Test
public final void testCompare_OONA_OONAGH_SuccessfullyMatched() {
    assertTrue(this.getStringEncoder().isEncodeEquals("Oona", "Oonagh"));
}
@Test
public final void testCompare_Surname_SZLAMAWICZ_SHLAMOVITZ_SuccessfullyMatched() {
    assertTrue(this.getStringEncoder().isEncodeEquals("SZLAMAWICZ", "SHLAMOVITZ"));
}</t>
  </si>
  <si>
    <t>@Test
public final void testCompare_OONA_OONAGH_SuccessfullyMatched() {
    assertTrue(this.getStringEncoder().isEncodeEquals("Oona", "Oonagh"));
}
@Test
public final void testCompare_Surname_ROSOCHOWACIEC_ROSOKHOVATSETS_SuccessfullyMatched() {
    assertTrue(this.getStringEncoder().isEncodeEquals("R o s o ch o w a c ie c", " R o s o k ho v a ts e ts"));
}</t>
  </si>
  <si>
    <t>@Test
public final void testCompare_OONA_OONAGH_SuccessfullyMatched() {
    assertTrue(this.getStringEncoder().isEncodeEquals("Oona", "Oonagh"));
}
@Test
public final void testCompare_Forenames_UNA_OONAGH_ShouldSuccessfullyMatchButDoesNot() {
    // Disappointing
    assertFalse(this.getStringEncoder().isEncodeEquals("Úna", "Oonagh"));
}</t>
  </si>
  <si>
    <t>@Test
public final void testCompare_OONA_OONAGH_SuccessfullyMatched() {
    assertTrue(this.getStringEncoder().isEncodeEquals("Oona", "Oonagh"));
}
// ***** Begin Region - Test Get Encoding - Surnames
@Test
public final void testCompare_Surname_OSULLIVAN_OSUILLEABHAIN_SuccessfulMatch() {
    assertTrue(this.getStringEncoder().isEncodeEquals("O'Sullivan", "Ó ' Súilleabháin"));
}</t>
  </si>
  <si>
    <t>@Test
public final void testCompare_OONA_OONAGH_SuccessfullyMatched() {
    assertTrue(this.getStringEncoder().isEncodeEquals("Oona", "Oonagh"));
}
@Test
public final void testCompare_Forenames_SEAN_JOHN_MatchExpected() {
    assertTrue(this.getStringEncoder().isEncodeEquals("Sean", "John"));
}</t>
  </si>
  <si>
    <t>@Test
public final void testCompare_OONA_OONAGH_SuccessfullyMatched() {
    assertTrue(this.getStringEncoder().isEncodeEquals("Oona", "Oonagh"));
}
@Test
public final void testCompare_KARL_ALESSANDRO_DoesNotMatch() {
    assertFalse(this.getStringEncoder().isEncodeEquals("Karl", "Alessandro"));
}</t>
  </si>
  <si>
    <t>@Test
public final void testCompare_OONA_OONAGH_SuccessfullyMatched() {
    assertTrue(this.getStringEncoder().isEncodeEquals("Oona", "Oonagh"));
}
@Test
public final void testCompare_Forenames_SEAN_PETE_NoMatchExpected() {
    assertFalse(this.getStringEncoder().isEncodeEquals("Sean", "Pete"));
}</t>
  </si>
  <si>
    <t>@Test
public final void testCompare_OONA_OONAGH_SuccessfullyMatched() {
    assertTrue(this.getStringEncoder().isEncodeEquals("Oona", "Oonagh"));
}
@Test
public final void testCompare_LongSurnames_OMUIRCHEARTAIGH_OMIREADHAIGH_SuccessfulMatch() {
    assertTrue(this.getStringEncoder().isEncodeEquals("o'muireadhaigh", "Ó 'Muircheartaigh "));
}</t>
  </si>
  <si>
    <t>@Test
public final void testCompare_OONA_OONAGH_SuccessfullyMatched() {
    assertTrue(this.getStringEncoder().isEncodeEquals("Oona", "Oonagh"));
}
@Test
public final void testCompare_Surnames_MURPHY_LYNCH_NoMatchExpected() {
    assertFalse(this.getStringEncoder().isEncodeEquals("Murphy", "Lynch"));
}</t>
  </si>
  <si>
    <t>@Test
public final void testCompare_OONA_OONAGH_SuccessfullyMatched() {
    assertTrue(this.getStringEncoder().isEncodeEquals("Oona", "Oonagh"));
}
@Test
public final void testCompareNameToSingleLetter_KARL_C_DoesNotMatch() {
    assertFalse(this.getStringEncoder().isEncodeEquals("Karl", "C"));
}</t>
  </si>
  <si>
    <t>@Test
public final void testCompare_OONA_OONAGH_SuccessfullyMatched() {
    assertTrue(this.getStringEncoder().isEncodeEquals("Oona", "Oonagh"));
}
@Test
public final void testCompare_SurnameCornerCase_Nulls_NoMatch() {
    assertFalse(this.getStringEncoder().isEncodeEquals(null, null));
}</t>
  </si>
  <si>
    <t>@Test
public final void testCompare_OONA_OONAGH_SuccessfullyMatched() {
    assertTrue(this.getStringEncoder().isEncodeEquals("Oona", "Oonagh"));
}
@Test
public final void testCompare_SurnamesCornerCase_MURPHY_Space_NoMatch() {
    assertFalse(this.getStringEncoder().isEncodeEquals("Murphy", " "));
}</t>
  </si>
  <si>
    <t>@Test
public final void testCompare_OONA_OONAGH_SuccessfullyMatched() {
    assertTrue(this.getStringEncoder().isEncodeEquals("Oona", "Oonagh"));
}
@Test
public final void testCompare_LongSurnames_MORIARTY_OMUIRCHEARTAIGH_DoesNotSuccessfulMatch() {
    assertFalse(this.getStringEncoder().isEncodeEquals("Moriarty", "OMuircheartaigh"));
}</t>
  </si>
  <si>
    <t>@Test
public final void testCompare_OONA_OONAGH_SuccessfullyMatched() {
    assertTrue(this.getStringEncoder().isEncodeEquals("Oona", "Oonagh"));
}
@Test
public final void testCompare_SurnamesCornerCase_MURPHY_NoSpace_NoMatch() {
    assertFalse(this.getStringEncoder().isEncodeEquals("Murphy", ""));
}</t>
  </si>
  <si>
    <t>@Test
public final void testCompare_SOPHIE_SOFIA_SuccessfullyMatched() {
    assertTrue(this.getStringEncoder().isEncodeEquals("Sophie", "Sofia"));
}
@Test
public final void testCompare_TOMASZ_TOM_SuccessfullyMatched() {
    assertTrue(this.getStringEncoder().isEncodeEquals("Tomasz", "tom"));
}</t>
  </si>
  <si>
    <t>@Test
public final void testCompare_SOPHIE_SOFIA_SuccessfullyMatched() {
    assertTrue(this.getStringEncoder().isEncodeEquals("Sophie", "Sofia"));
}
@Test
public final void testCompare_ZACH_ZAKARIA_SuccessfullyMatched() {
    assertTrue(this.getStringEncoder().isEncodeEquals("Zach", "Zacharia"));
}</t>
  </si>
  <si>
    <t>@Test
public final void testCompare_SOPHIE_SOFIA_SuccessfullyMatched() {
    assertTrue(this.getStringEncoder().isEncodeEquals("Sophie", "Sofia"));
}
// **** END YIDDISH/SLAVIC SECTION ****
@Test
public final void testCompare_PETERSON_PETERS_SuccessfullyMatched() {
    assertTrue(this.getStringEncoder().isEncodeEquals("Peterson", "Peters"));
}</t>
  </si>
  <si>
    <t>@Test
public final void testCompare_SOPHIE_SOFIA_SuccessfullyMatched() {
    assertTrue(this.getStringEncoder().isEncodeEquals("Sophie", "Sofia"));
}
@Test
public final void testCompare_SmallInput_CARK_Kl_SuccessfullyMatched() {
    assertTrue(this.getStringEncoder().isEncodeEquals("Kl", "Karl"));
}</t>
  </si>
  <si>
    <t>@Test
public final void testCompare_SOPHIE_SOFIA_SuccessfullyMatched() {
    assertTrue(this.getStringEncoder().isEncodeEquals("Sophie", "Sofia"));
}
@Test
public final void testCompare_FRANCISZEK_FRANCES_SuccessfullyMatched() {
    assertTrue(this.getStringEncoder().isEncodeEquals("Franciszek", "Frances"));
}</t>
  </si>
  <si>
    <t>@Test
public final void testCompare_SOPHIE_SOFIA_SuccessfullyMatched() {
    assertTrue(this.getStringEncoder().isEncodeEquals("Sophie", "Sofia"));
}
@Test
public final void testCompare_Surname_HAILEY_HALLEY_SuccessfullyMatched() {
    assertTrue(this.getStringEncoder().isEncodeEquals("Hailey", "Halley"));
}</t>
  </si>
  <si>
    <t>@Test
public final void testCompare_SOPHIE_SOFIA_SuccessfullyMatched() {
    assertTrue(this.getStringEncoder().isEncodeEquals("Sophie", "Sofia"));
}
@Test
public final void testCompare_MCGOWAN_MCGEOGHEGAN_SuccessfullyMatched() {
    assertTrue(this.getStringEncoder().isEncodeEquals("McGowan", "Mc Geoghegan"));
}</t>
  </si>
  <si>
    <t>@Test
public final void testCompare_SOPHIE_SOFIA_SuccessfullyMatched() {
    assertTrue(this.getStringEncoder().isEncodeEquals("Sophie", "Sofia"));
}
@Test
public final void testCompare_Surname_MOSKOWITZ_MOSKOVITZ_SuccessfullyMatched() {
    assertTrue(this.getStringEncoder().isEncodeEquals("Moskowitz", "Moskovitz"));
}</t>
  </si>
  <si>
    <t>@Test
public final void testCompare_SOPHIE_SOFIA_SuccessfullyMatched() {
    assertTrue(this.getStringEncoder().isEncodeEquals("Sophie", "Sofia"));
}
@Test
public final void testCompare_Surname_LIPSHITZ_LIPPSZYC_SuccessfullyMatched() {
    assertTrue(this.getStringEncoder().isEncodeEquals("LIPSHITZ", "LIPPSZYC"));
}</t>
  </si>
  <si>
    <t>@Test
public final void testCompare_SOPHIE_SOFIA_SuccessfullyMatched() {
    assertTrue(this.getStringEncoder().isEncodeEquals("Sophie", "Sofia"));
}
// **** BEGIN YIDDISH/SLAVIC SECTION ****
@Test
public final void testCompare_Surname_AUERBACH_UHRBACH_SuccessfullyMatched() {
    assertTrue(this.getStringEncoder().isEncodeEquals("Auerbach", "Uhrbach"));
}</t>
  </si>
  <si>
    <t>@Test
public final void testCompare_SOPHIE_SOFIA_SuccessfullyMatched() {
    assertTrue(this.getStringEncoder().isEncodeEquals("Sophie", "Sofia"));
}
@Test
public final void testCompare_Surname_PRZEMYSL_PSHEMESHIL_SuccessfullyMatched() {
    assertTrue(this.getStringEncoder().isEncodeEquals(" P rz e m y s l", " P sh e m e sh i l"));
}</t>
  </si>
  <si>
    <t>@Test
public final void testCompare_SOPHIE_SOFIA_SuccessfullyMatched() {
    assertTrue(this.getStringEncoder().isEncodeEquals("Sophie", "Sofia"));
}
@Test
public final void testCompare_Surname_LEWINSKY_LEVINSKI_SuccessfullyMatched() {
    assertTrue(this.getStringEncoder().isEncodeEquals("LEWINSKY", "LEVINSKI"));
}</t>
  </si>
  <si>
    <t>@Test
public final void testCompare_SOPHIE_SOFIA_SuccessfullyMatched() {
    assertTrue(this.getStringEncoder().isEncodeEquals("Sophie", "Sofia"));
}
@Test
public final void testCompare_Surname_SZLAMAWICZ_SHLAMOVITZ_SuccessfullyMatched() {
    assertTrue(this.getStringEncoder().isEncodeEquals("SZLAMAWICZ", "SHLAMOVITZ"));
}</t>
  </si>
  <si>
    <t>@Test
public final void testCompare_SOPHIE_SOFIA_SuccessfullyMatched() {
    assertTrue(this.getStringEncoder().isEncodeEquals("Sophie", "Sofia"));
}
@Test
public final void testCompare_Surname_COOPERFLYNN_SUPERLYN_SuccessfullyMatched() {
    assertTrue(this.getStringEncoder().isEncodeEquals("Cooper-Flynn", "Super-Lyn"));
}</t>
  </si>
  <si>
    <t>@Test
public final void testCompare_SOPHIE_SOFIA_SuccessfullyMatched() {
    assertTrue(this.getStringEncoder().isEncodeEquals("Sophie", "Sofia"));
}
@Test
public final void testCompare_Surname_ROSOCHOWACIEC_ROSOKHOVATSETS_SuccessfullyMatched() {
    assertTrue(this.getStringEncoder().isEncodeEquals("R o s o ch o w a c ie c", " R o s o k ho v a ts e ts"));
}</t>
  </si>
  <si>
    <t>@Test
public final void testCompare_SOPHIE_SOFIA_SuccessfullyMatched() {
    assertTrue(this.getStringEncoder().isEncodeEquals("Sophie", "Sofia"));
}
// ***** Begin Region - Test Get Encoding - Surnames
@Test
public final void testCompare_Surname_OSULLIVAN_OSUILLEABHAIN_SuccessfulMatch() {
    assertTrue(this.getStringEncoder().isEncodeEquals("O'Sullivan", "Ó ' Súilleabháin"));
}</t>
  </si>
  <si>
    <t>@Test
public final void testCompare_SOPHIE_SOFIA_SuccessfullyMatched() {
    assertTrue(this.getStringEncoder().isEncodeEquals("Sophie", "Sofia"));
}
@Test
public final void testCompare_Forenames_SEAN_JOHN_MatchExpected() {
    assertTrue(this.getStringEncoder().isEncodeEquals("Sean", "John"));
}</t>
  </si>
  <si>
    <t>@Test
public final void testCompare_SOPHIE_SOFIA_SuccessfullyMatched() {
    assertTrue(this.getStringEncoder().isEncodeEquals("Sophie", "Sofia"));
}
@Test
public final void testCompare_KARL_ALESSANDRO_DoesNotMatch() {
    assertFalse(this.getStringEncoder().isEncodeEquals("Karl", "Alessandro"));
}</t>
  </si>
  <si>
    <t>@Test
public final void testCompare_SOPHIE_SOFIA_SuccessfullyMatched() {
    assertTrue(this.getStringEncoder().isEncodeEquals("Sophie", "Sofia"));
}
@Test
public final void testCompare_Forenames_UNA_OONAGH_ShouldSuccessfullyMatchButDoesNot() {
    // Disappointing
    assertFalse(this.getStringEncoder().isEncodeEquals("Úna", "Oonagh"));
}</t>
  </si>
  <si>
    <t>@Test
public final void testCompare_SOPHIE_SOFIA_SuccessfullyMatched() {
    assertTrue(this.getStringEncoder().isEncodeEquals("Sophie", "Sofia"));
}
@Test
public final void testCompare_Forenames_SEAN_PETE_NoMatchExpected() {
    assertFalse(this.getStringEncoder().isEncodeEquals("Sean", "Pete"));
}</t>
  </si>
  <si>
    <t>@Test
public final void testCompare_SOPHIE_SOFIA_SuccessfullyMatched() {
    assertTrue(this.getStringEncoder().isEncodeEquals("Sophie", "Sofia"));
}
@Test
public final void testCompare_LongSurnames_OMUIRCHEARTAIGH_OMIREADHAIGH_SuccessfulMatch() {
    assertTrue(this.getStringEncoder().isEncodeEquals("o'muireadhaigh", "Ó 'Muircheartaigh "));
}</t>
  </si>
  <si>
    <t>@Test
public final void testCompare_SOPHIE_SOFIA_SuccessfullyMatched() {
    assertTrue(this.getStringEncoder().isEncodeEquals("Sophie", "Sofia"));
}
@Test
public final void testCompare_Surnames_MURPHY_LYNCH_NoMatchExpected() {
    assertFalse(this.getStringEncoder().isEncodeEquals("Murphy", "Lynch"));
}</t>
  </si>
  <si>
    <t>@Test
public final void testCompare_SOPHIE_SOFIA_SuccessfullyMatched() {
    assertTrue(this.getStringEncoder().isEncodeEquals("Sophie", "Sofia"));
}
@Test
public final void testCompareNameToSingleLetter_KARL_C_DoesNotMatch() {
    assertFalse(this.getStringEncoder().isEncodeEquals("Karl", "C"));
}</t>
  </si>
  <si>
    <t>@Test
public final void testCompare_SOPHIE_SOFIA_SuccessfullyMatched() {
    assertTrue(this.getStringEncoder().isEncodeEquals("Sophie", "Sofia"));
}
@Test
public final void testCompare_SurnamesCornerCase_MURPHY_Space_NoMatch() {
    assertFalse(this.getStringEncoder().isEncodeEquals("Murphy", " "));
}</t>
  </si>
  <si>
    <t>@Test
public final void testCompare_SOPHIE_SOFIA_SuccessfullyMatched() {
    assertTrue(this.getStringEncoder().isEncodeEquals("Sophie", "Sofia"));
}
@Test
public final void testCompare_SurnameCornerCase_Nulls_NoMatch() {
    assertFalse(this.getStringEncoder().isEncodeEquals(null, null));
}</t>
  </si>
  <si>
    <t>@Test
public final void testCompare_SOPHIE_SOFIA_SuccessfullyMatched() {
    assertTrue(this.getStringEncoder().isEncodeEquals("Sophie", "Sofia"));
}
@Test
public final void testCompare_SurnamesCornerCase_MURPHY_NoSpace_NoMatch() {
    assertFalse(this.getStringEncoder().isEncodeEquals("Murphy", ""));
}</t>
  </si>
  <si>
    <t>@Test
public final void testCompare_SOPHIE_SOFIA_SuccessfullyMatched() {
    assertTrue(this.getStringEncoder().isEncodeEquals("Sophie", "Sofia"));
}
@Test
public final void testCompare_LongSurnames_MORIARTY_OMUIRCHEARTAIGH_DoesNotSuccessfulMatch() {
    assertFalse(this.getStringEncoder().isEncodeEquals("Moriarty", "OMuircheartaigh"));
}</t>
  </si>
  <si>
    <t>@Test
public final void testCompare_FRANCISZEK_FRANCES_SuccessfullyMatched() {
    assertTrue(this.getStringEncoder().isEncodeEquals("Franciszek", "Frances"));
}
@Test
public final void testCompare_ZACH_ZAKARIA_SuccessfullyMatched() {
    assertTrue(this.getStringEncoder().isEncodeEquals("Zach", "Zacharia"));
}</t>
  </si>
  <si>
    <t>@Test
public final void testCompare_FRANCISZEK_FRANCES_SuccessfullyMatched() {
    assertTrue(this.getStringEncoder().isEncodeEquals("Franciszek", "Frances"));
}
@Test
public final void testCompare_TOMASZ_TOM_SuccessfullyMatched() {
    assertTrue(this.getStringEncoder().isEncodeEquals("Tomasz", "tom"));
}</t>
  </si>
  <si>
    <t>@Test
public final void testCompare_FRANCISZEK_FRANCES_SuccessfullyMatched() {
    assertTrue(this.getStringEncoder().isEncodeEquals("Franciszek", "Frances"));
}
// **** END YIDDISH/SLAVIC SECTION ****
@Test
public final void testCompare_PETERSON_PETERS_SuccessfullyMatched() {
    assertTrue(this.getStringEncoder().isEncodeEquals("Peterson", "Peters"));
}</t>
  </si>
  <si>
    <t>@Test
public final void testCompare_FRANCISZEK_FRANCES_SuccessfullyMatched() {
    assertTrue(this.getStringEncoder().isEncodeEquals("Franciszek", "Frances"));
}
@Test
public final void testCompare_SmallInput_CARK_Kl_SuccessfullyMatched() {
    assertTrue(this.getStringEncoder().isEncodeEquals("Kl", "Karl"));
}</t>
  </si>
  <si>
    <t>@Test
public final void testCompare_FRANCISZEK_FRANCES_SuccessfullyMatched() {
    assertTrue(this.getStringEncoder().isEncodeEquals("Franciszek", "Frances"));
}
@Test
public final void testCompare_MCGOWAN_MCGEOGHEGAN_SuccessfullyMatched() {
    assertTrue(this.getStringEncoder().isEncodeEquals("McGowan", "Mc Geoghegan"));
}</t>
  </si>
  <si>
    <t>@Test
public final void testCompare_FRANCISZEK_FRANCES_SuccessfullyMatched() {
    assertTrue(this.getStringEncoder().isEncodeEquals("Franciszek", "Frances"));
}
@Test
public final void testCompare_Surname_HAILEY_HALLEY_SuccessfullyMatched() {
    assertTrue(this.getStringEncoder().isEncodeEquals("Hailey", "Halley"));
}</t>
  </si>
  <si>
    <t>@Test
public final void testCompare_FRANCISZEK_FRANCES_SuccessfullyMatched() {
    assertTrue(this.getStringEncoder().isEncodeEquals("Franciszek", "Frances"));
}
@Test
public final void testCompare_Surname_LEWINSKY_LEVINSKI_SuccessfullyMatched() {
    assertTrue(this.getStringEncoder().isEncodeEquals("LEWINSKY", "LEVINSKI"));
}</t>
  </si>
  <si>
    <t>@Test
public final void testCompare_FRANCISZEK_FRANCES_SuccessfullyMatched() {
    assertTrue(this.getStringEncoder().isEncodeEquals("Franciszek", "Frances"));
}
// **** BEGIN YIDDISH/SLAVIC SECTION ****
@Test
public final void testCompare_Surname_AUERBACH_UHRBACH_SuccessfullyMatched() {
    assertTrue(this.getStringEncoder().isEncodeEquals("Auerbach", "Uhrbach"));
}</t>
  </si>
  <si>
    <t>@Test
public final void testCompare_FRANCISZEK_FRANCES_SuccessfullyMatched() {
    assertTrue(this.getStringEncoder().isEncodeEquals("Franciszek", "Frances"));
}
@Test
public final void testCompare_Surname_PRZEMYSL_PSHEMESHIL_SuccessfullyMatched() {
    assertTrue(this.getStringEncoder().isEncodeEquals(" P rz e m y s l", " P sh e m e sh i l"));
}</t>
  </si>
  <si>
    <t>@Test
public final void testCompare_FRANCISZEK_FRANCES_SuccessfullyMatched() {
    assertTrue(this.getStringEncoder().isEncodeEquals("Franciszek", "Frances"));
}
@Test
public final void testCompare_Surname_LIPSHITZ_LIPPSZYC_SuccessfullyMatched() {
    assertTrue(this.getStringEncoder().isEncodeEquals("LIPSHITZ", "LIPPSZYC"));
}</t>
  </si>
  <si>
    <t>@Test
public final void testCompare_FRANCISZEK_FRANCES_SuccessfullyMatched() {
    assertTrue(this.getStringEncoder().isEncodeEquals("Franciszek", "Frances"));
}
@Test
public final void testCompare_Surname_COOPERFLYNN_SUPERLYN_SuccessfullyMatched() {
    assertTrue(this.getStringEncoder().isEncodeEquals("Cooper-Flynn", "Super-Lyn"));
}</t>
  </si>
  <si>
    <t>@Test
public final void testCompare_FRANCISZEK_FRANCES_SuccessfullyMatched() {
    assertTrue(this.getStringEncoder().isEncodeEquals("Franciszek", "Frances"));
}
@Test
public final void testCompare_Surname_SZLAMAWICZ_SHLAMOVITZ_SuccessfullyMatched() {
    assertTrue(this.getStringEncoder().isEncodeEquals("SZLAMAWICZ", "SHLAMOVITZ"));
}</t>
  </si>
  <si>
    <t>@Test
public final void testCompare_FRANCISZEK_FRANCES_SuccessfullyMatched() {
    assertTrue(this.getStringEncoder().isEncodeEquals("Franciszek", "Frances"));
}
@Test
public final void testCompare_Surname_MOSKOWITZ_MOSKOVITZ_SuccessfullyMatched() {
    assertTrue(this.getStringEncoder().isEncodeEquals("Moskowitz", "Moskovitz"));
}</t>
  </si>
  <si>
    <t>@Test
public final void testCompare_FRANCISZEK_FRANCES_SuccessfullyMatched() {
    assertTrue(this.getStringEncoder().isEncodeEquals("Franciszek", "Frances"));
}
@Test
public final void testCompare_Surname_ROSOCHOWACIEC_ROSOKHOVATSETS_SuccessfullyMatched() {
    assertTrue(this.getStringEncoder().isEncodeEquals("R o s o ch o w a c ie c", " R o s o k ho v a ts e ts"));
}</t>
  </si>
  <si>
    <t>@Test
public final void testCompare_FRANCISZEK_FRANCES_SuccessfullyMatched() {
    assertTrue(this.getStringEncoder().isEncodeEquals("Franciszek", "Frances"));
}
@Test
public final void testCompare_Forenames_SEAN_JOHN_MatchExpected() {
    assertTrue(this.getStringEncoder().isEncodeEquals("Sean", "John"));
}</t>
  </si>
  <si>
    <t>@Test
public final void testCompare_FRANCISZEK_FRANCES_SuccessfullyMatched() {
    assertTrue(this.getStringEncoder().isEncodeEquals("Franciszek", "Frances"));
}
@Test
public final void testCompare_KARL_ALESSANDRO_DoesNotMatch() {
    assertFalse(this.getStringEncoder().isEncodeEquals("Karl", "Alessandro"));
}</t>
  </si>
  <si>
    <t>@Test
public final void testCompare_FRANCISZEK_FRANCES_SuccessfullyMatched() {
    assertTrue(this.getStringEncoder().isEncodeEquals("Franciszek", "Frances"));
}
// ***** Begin Region - Test Get Encoding - Surnames
@Test
public final void testCompare_Surname_OSULLIVAN_OSUILLEABHAIN_SuccessfulMatch() {
    assertTrue(this.getStringEncoder().isEncodeEquals("O'Sullivan", "Ó ' Súilleabháin"));
}</t>
  </si>
  <si>
    <t>@Test
public final void testCompare_FRANCISZEK_FRANCES_SuccessfullyMatched() {
    assertTrue(this.getStringEncoder().isEncodeEquals("Franciszek", "Frances"));
}
@Test
public final void testCompare_Forenames_UNA_OONAGH_ShouldSuccessfullyMatchButDoesNot() {
    // Disappointing
    assertFalse(this.getStringEncoder().isEncodeEquals("Úna", "Oonagh"));
}</t>
  </si>
  <si>
    <t>@Test
public final void testCompare_FRANCISZEK_FRANCES_SuccessfullyMatched() {
    assertTrue(this.getStringEncoder().isEncodeEquals("Franciszek", "Frances"));
}
@Test
public final void testCompare_Forenames_SEAN_PETE_NoMatchExpected() {
    assertFalse(this.getStringEncoder().isEncodeEquals("Sean", "Pete"));
}</t>
  </si>
  <si>
    <t>@Test
public final void testCompare_FRANCISZEK_FRANCES_SuccessfullyMatched() {
    assertTrue(this.getStringEncoder().isEncodeEquals("Franciszek", "Frances"));
}
@Test
public final void testCompare_LongSurnames_OMUIRCHEARTAIGH_OMIREADHAIGH_SuccessfulMatch() {
    assertTrue(this.getStringEncoder().isEncodeEquals("o'muireadhaigh", "Ó 'Muircheartaigh "));
}</t>
  </si>
  <si>
    <t>@Test
public final void testCompare_FRANCISZEK_FRANCES_SuccessfullyMatched() {
    assertTrue(this.getStringEncoder().isEncodeEquals("Franciszek", "Frances"));
}
@Test
public final void testCompareNameToSingleLetter_KARL_C_DoesNotMatch() {
    assertFalse(this.getStringEncoder().isEncodeEquals("Karl", "C"));
}</t>
  </si>
  <si>
    <t>@Test
public final void testCompare_FRANCISZEK_FRANCES_SuccessfullyMatched() {
    assertTrue(this.getStringEncoder().isEncodeEquals("Franciszek", "Frances"));
}
@Test
public final void testCompare_Surnames_MURPHY_LYNCH_NoMatchExpected() {
    assertFalse(this.getStringEncoder().isEncodeEquals("Murphy", "Lynch"));
}</t>
  </si>
  <si>
    <t>@Test
public final void testCompare_FRANCISZEK_FRANCES_SuccessfullyMatched() {
    assertTrue(this.getStringEncoder().isEncodeEquals("Franciszek", "Frances"));
}
@Test
public final void testCompare_SurnamesCornerCase_MURPHY_Space_NoMatch() {
    assertFalse(this.getStringEncoder().isEncodeEquals("Murphy", " "));
}</t>
  </si>
  <si>
    <t>@Test
public final void testCompare_FRANCISZEK_FRANCES_SuccessfullyMatched() {
    assertTrue(this.getStringEncoder().isEncodeEquals("Franciszek", "Frances"));
}
@Test
public final void testCompare_SurnamesCornerCase_MURPHY_NoSpace_NoMatch() {
    assertFalse(this.getStringEncoder().isEncodeEquals("Murphy", ""));
}</t>
  </si>
  <si>
    <t>@Test
public final void testCompare_FRANCISZEK_FRANCES_SuccessfullyMatched() {
    assertTrue(this.getStringEncoder().isEncodeEquals("Franciszek", "Frances"));
}
@Test
public final void testCompare_LongSurnames_MORIARTY_OMUIRCHEARTAIGH_DoesNotSuccessfulMatch() {
    assertFalse(this.getStringEncoder().isEncodeEquals("Moriarty", "OMuircheartaigh"));
}</t>
  </si>
  <si>
    <t>@Test
public final void testCompare_FRANCISZEK_FRANCES_SuccessfullyMatched() {
    assertTrue(this.getStringEncoder().isEncodeEquals("Franciszek", "Frances"));
}
@Test
public final void testCompare_SurnameCornerCase_Nulls_NoMatch() {
    assertFalse(this.getStringEncoder().isEncodeEquals(null, null));
}</t>
  </si>
  <si>
    <t>@Test
public final void testCompare_TOMASZ_TOM_SuccessfullyMatched() {
    assertTrue(this.getStringEncoder().isEncodeEquals("Tomasz", "tom"));
}
@Test
public final void testCompare_ZACH_ZAKARIA_SuccessfullyMatched() {
    assertTrue(this.getStringEncoder().isEncodeEquals("Zach", "Zacharia"));
}</t>
  </si>
  <si>
    <t>@Test
public final void testCompare_TOMASZ_TOM_SuccessfullyMatched() {
    assertTrue(this.getStringEncoder().isEncodeEquals("Tomasz", "tom"));
}
// **** END YIDDISH/SLAVIC SECTION ****
@Test
public final void testCompare_PETERSON_PETERS_SuccessfullyMatched() {
    assertTrue(this.getStringEncoder().isEncodeEquals("Peterson", "Peters"));
}</t>
  </si>
  <si>
    <t>@Test
public final void testCompare_TOMASZ_TOM_SuccessfullyMatched() {
    assertTrue(this.getStringEncoder().isEncodeEquals("Tomasz", "tom"));
}
@Test
public final void testCompare_MCGOWAN_MCGEOGHEGAN_SuccessfullyMatched() {
    assertTrue(this.getStringEncoder().isEncodeEquals("McGowan", "Mc Geoghegan"));
}</t>
  </si>
  <si>
    <t>@Test
public final void testCompare_TOMASZ_TOM_SuccessfullyMatched() {
    assertTrue(this.getStringEncoder().isEncodeEquals("Tomasz", "tom"));
}
@Test
public final void testCompare_SmallInput_CARK_Kl_SuccessfullyMatched() {
    assertTrue(this.getStringEncoder().isEncodeEquals("Kl", "Karl"));
}</t>
  </si>
  <si>
    <t>@Test
public final void testCompare_TOMASZ_TOM_SuccessfullyMatched() {
    assertTrue(this.getStringEncoder().isEncodeEquals("Tomasz", "tom"));
}
@Test
public final void testCompare_Surname_HAILEY_HALLEY_SuccessfullyMatched() {
    assertTrue(this.getStringEncoder().isEncodeEquals("Hailey", "Halley"));
}</t>
  </si>
  <si>
    <t>@Test
public final void testCompare_TOMASZ_TOM_SuccessfullyMatched() {
    assertTrue(this.getStringEncoder().isEncodeEquals("Tomasz", "tom"));
}
@Test
public final void testCompare_Surname_MOSKOWITZ_MOSKOVITZ_SuccessfullyMatched() {
    assertTrue(this.getStringEncoder().isEncodeEquals("Moskowitz", "Moskovitz"));
}</t>
  </si>
  <si>
    <t>@Test
public final void testCompare_TOMASZ_TOM_SuccessfullyMatched() {
    assertTrue(this.getStringEncoder().isEncodeEquals("Tomasz", "tom"));
}
@Test
public final void testCompare_Surname_LIPSHITZ_LIPPSZYC_SuccessfullyMatched() {
    assertTrue(this.getStringEncoder().isEncodeEquals("LIPSHITZ", "LIPPSZYC"));
}</t>
  </si>
  <si>
    <t>@Test
public final void testCompare_TOMASZ_TOM_SuccessfullyMatched() {
    assertTrue(this.getStringEncoder().isEncodeEquals("Tomasz", "tom"));
}
// **** BEGIN YIDDISH/SLAVIC SECTION ****
@Test
public final void testCompare_Surname_AUERBACH_UHRBACH_SuccessfullyMatched() {
    assertTrue(this.getStringEncoder().isEncodeEquals("Auerbach", "Uhrbach"));
}</t>
  </si>
  <si>
    <t>@Test
public final void testCompare_TOMASZ_TOM_SuccessfullyMatched() {
    assertTrue(this.getStringEncoder().isEncodeEquals("Tomasz", "tom"));
}
@Test
public final void testCompare_Surname_PRZEMYSL_PSHEMESHIL_SuccessfullyMatched() {
    assertTrue(this.getStringEncoder().isEncodeEquals(" P rz e m y s l", " P sh e m e sh i l"));
}</t>
  </si>
  <si>
    <t>@Test
public final void testCompare_TOMASZ_TOM_SuccessfullyMatched() {
    assertTrue(this.getStringEncoder().isEncodeEquals("Tomasz", "tom"));
}
@Test
public final void testCompare_Surname_LEWINSKY_LEVINSKI_SuccessfullyMatched() {
    assertTrue(this.getStringEncoder().isEncodeEquals("LEWINSKY", "LEVINSKI"));
}</t>
  </si>
  <si>
    <t>@Test
public final void testCompare_TOMASZ_TOM_SuccessfullyMatched() {
    assertTrue(this.getStringEncoder().isEncodeEquals("Tomasz", "tom"));
}
@Test
public final void testCompare_Surname_SZLAMAWICZ_SHLAMOVITZ_SuccessfullyMatched() {
    assertTrue(this.getStringEncoder().isEncodeEquals("SZLAMAWICZ", "SHLAMOVITZ"));
}</t>
  </si>
  <si>
    <t>@Test
public final void testCompare_TOMASZ_TOM_SuccessfullyMatched() {
    assertTrue(this.getStringEncoder().isEncodeEquals("Tomasz", "tom"));
}
@Test
public final void testCompare_Surname_COOPERFLYNN_SUPERLYN_SuccessfullyMatched() {
    assertTrue(this.getStringEncoder().isEncodeEquals("Cooper-Flynn", "Super-Lyn"));
}</t>
  </si>
  <si>
    <t>@Test
public final void testCompare_TOMASZ_TOM_SuccessfullyMatched() {
    assertTrue(this.getStringEncoder().isEncodeEquals("Tomasz", "tom"));
}
@Test
public final void testCompare_Forenames_SEAN_JOHN_MatchExpected() {
    assertTrue(this.getStringEncoder().isEncodeEquals("Sean", "John"));
}</t>
  </si>
  <si>
    <t>@Test
public final void testCompare_TOMASZ_TOM_SuccessfullyMatched() {
    assertTrue(this.getStringEncoder().isEncodeEquals("Tomasz", "tom"));
}
@Test
public final void testCompare_Surname_ROSOCHOWACIEC_ROSOKHOVATSETS_SuccessfullyMatched() {
    assertTrue(this.getStringEncoder().isEncodeEquals("R o s o ch o w a c ie c", " R o s o k ho v a ts e ts"));
}</t>
  </si>
  <si>
    <t>@Test
public final void testCompare_TOMASZ_TOM_SuccessfullyMatched() {
    assertTrue(this.getStringEncoder().isEncodeEquals("Tomasz", "tom"));
}
@Test
public final void testCompare_KARL_ALESSANDRO_DoesNotMatch() {
    assertFalse(this.getStringEncoder().isEncodeEquals("Karl", "Alessandro"));
}</t>
  </si>
  <si>
    <t>@Test
public final void testCompare_TOMASZ_TOM_SuccessfullyMatched() {
    assertTrue(this.getStringEncoder().isEncodeEquals("Tomasz", "tom"));
}
// ***** Begin Region - Test Get Encoding - Surnames
@Test
public final void testCompare_Surname_OSULLIVAN_OSUILLEABHAIN_SuccessfulMatch() {
    assertTrue(this.getStringEncoder().isEncodeEquals("O'Sullivan", "Ó ' Súilleabháin"));
}</t>
  </si>
  <si>
    <t>@Test
public final void testCompare_TOMASZ_TOM_SuccessfullyMatched() {
    assertTrue(this.getStringEncoder().isEncodeEquals("Tomasz", "tom"));
}
@Test
public final void testCompare_Forenames_SEAN_PETE_NoMatchExpected() {
    assertFalse(this.getStringEncoder().isEncodeEquals("Sean", "Pete"));
}</t>
  </si>
  <si>
    <t>@Test
public final void testCompare_TOMASZ_TOM_SuccessfullyMatched() {
    assertTrue(this.getStringEncoder().isEncodeEquals("Tomasz", "tom"));
}
@Test
public final void testCompare_Surnames_MURPHY_LYNCH_NoMatchExpected() {
    assertFalse(this.getStringEncoder().isEncodeEquals("Murphy", "Lynch"));
}</t>
  </si>
  <si>
    <t>@Test
public final void testCompare_TOMASZ_TOM_SuccessfullyMatched() {
    assertTrue(this.getStringEncoder().isEncodeEquals("Tomasz", "tom"));
}
@Test
public final void testCompare_Forenames_UNA_OONAGH_ShouldSuccessfullyMatchButDoesNot() {
    // Disappointing
    assertFalse(this.getStringEncoder().isEncodeEquals("Úna", "Oonagh"));
}</t>
  </si>
  <si>
    <t>@Test
public final void testCompare_TOMASZ_TOM_SuccessfullyMatched() {
    assertTrue(this.getStringEncoder().isEncodeEquals("Tomasz", "tom"));
}
@Test
public final void testCompare_LongSurnames_OMUIRCHEARTAIGH_OMIREADHAIGH_SuccessfulMatch() {
    assertTrue(this.getStringEncoder().isEncodeEquals("o'muireadhaigh", "Ó 'Muircheartaigh "));
}</t>
  </si>
  <si>
    <t>@Test
public final void testCompare_TOMASZ_TOM_SuccessfullyMatched() {
    assertTrue(this.getStringEncoder().isEncodeEquals("Tomasz", "tom"));
}
@Test
public final void testCompareNameToSingleLetter_KARL_C_DoesNotMatch() {
    assertFalse(this.getStringEncoder().isEncodeEquals("Karl", "C"));
}</t>
  </si>
  <si>
    <t>@Test
public final void testCompare_TOMASZ_TOM_SuccessfullyMatched() {
    assertTrue(this.getStringEncoder().isEncodeEquals("Tomasz", "tom"));
}
@Test
public final void testCompare_SurnameCornerCase_Nulls_NoMatch() {
    assertFalse(this.getStringEncoder().isEncodeEquals(null, null));
}</t>
  </si>
  <si>
    <t>@Test
public final void testCompare_TOMASZ_TOM_SuccessfullyMatched() {
    assertTrue(this.getStringEncoder().isEncodeEquals("Tomasz", "tom"));
}
@Test
public final void testCompare_SurnamesCornerCase_MURPHY_Space_NoMatch() {
    assertFalse(this.getStringEncoder().isEncodeEquals("Murphy", " "));
}</t>
  </si>
  <si>
    <t>@Test
public final void testCompare_TOMASZ_TOM_SuccessfullyMatched() {
    assertTrue(this.getStringEncoder().isEncodeEquals("Tomasz", "tom"));
}
@Test
public final void testCompare_SurnamesCornerCase_MURPHY_NoSpace_NoMatch() {
    assertFalse(this.getStringEncoder().isEncodeEquals("Murphy", ""));
}</t>
  </si>
  <si>
    <t>@Test
public final void testCompare_TOMASZ_TOM_SuccessfullyMatched() {
    assertTrue(this.getStringEncoder().isEncodeEquals("Tomasz", "tom"));
}
@Test
public final void testCompare_LongSurnames_MORIARTY_OMUIRCHEARTAIGH_DoesNotSuccessfulMatch() {
    assertFalse(this.getStringEncoder().isEncodeEquals("Moriarty", "OMuircheartaigh"));
}</t>
  </si>
  <si>
    <t>@Test
public final void testCompare_SmallInput_CARK_Kl_SuccessfullyMatched() {
    assertTrue(this.getStringEncoder().isEncodeEquals("Kl", "Karl"));
}
@Test
public final void testCompare_ZACH_ZAKARIA_SuccessfullyMatched() {
    assertTrue(this.getStringEncoder().isEncodeEquals("Zach", "Zacharia"));
}</t>
  </si>
  <si>
    <t>@Test
public final void testCompare_SmallInput_CARK_Kl_SuccessfullyMatched() {
    assertTrue(this.getStringEncoder().isEncodeEquals("Kl", "Karl"));
}
// **** END YIDDISH/SLAVIC SECTION ****
@Test
public final void testCompare_PETERSON_PETERS_SuccessfullyMatched() {
    assertTrue(this.getStringEncoder().isEncodeEquals("Peterson", "Peters"));
}</t>
  </si>
  <si>
    <t>@Test
public final void testCompare_SmallInput_CARK_Kl_SuccessfullyMatched() {
    assertTrue(this.getStringEncoder().isEncodeEquals("Kl", "Karl"));
}
@Test
public final void testCompare_Surname_HAILEY_HALLEY_SuccessfullyMatched() {
    assertTrue(this.getStringEncoder().isEncodeEquals("Hailey", "Halley"));
}</t>
  </si>
  <si>
    <t>@Test
public final void testCompare_SmallInput_CARK_Kl_SuccessfullyMatched() {
    assertTrue(this.getStringEncoder().isEncodeEquals("Kl", "Karl"));
}
@Test
public final void testCompare_MCGOWAN_MCGEOGHEGAN_SuccessfullyMatched() {
    assertTrue(this.getStringEncoder().isEncodeEquals("McGowan", "Mc Geoghegan"));
}</t>
  </si>
  <si>
    <t>@Test
public final void testCompare_SmallInput_CARK_Kl_SuccessfullyMatched() {
    assertTrue(this.getStringEncoder().isEncodeEquals("Kl", "Karl"));
}
@Test
public final void testCompare_Surname_LEWINSKY_LEVINSKI_SuccessfullyMatched() {
    assertTrue(this.getStringEncoder().isEncodeEquals("LEWINSKY", "LEVINSKI"));
}</t>
  </si>
  <si>
    <t>@Test
public final void testCompare_SmallInput_CARK_Kl_SuccessfullyMatched() {
    assertTrue(this.getStringEncoder().isEncodeEquals("Kl", "Karl"));
}
// **** BEGIN YIDDISH/SLAVIC SECTION ****
@Test
public final void testCompare_Surname_AUERBACH_UHRBACH_SuccessfullyMatched() {
    assertTrue(this.getStringEncoder().isEncodeEquals("Auerbach", "Uhrbach"));
}</t>
  </si>
  <si>
    <t>@Test
public final void testCompare_SmallInput_CARK_Kl_SuccessfullyMatched() {
    assertTrue(this.getStringEncoder().isEncodeEquals("Kl", "Karl"));
}
@Test
public final void testCompare_Surname_LIPSHITZ_LIPPSZYC_SuccessfullyMatched() {
    assertTrue(this.getStringEncoder().isEncodeEquals("LIPSHITZ", "LIPPSZYC"));
}</t>
  </si>
  <si>
    <t>@Test
public final void testCompare_SmallInput_CARK_Kl_SuccessfullyMatched() {
    assertTrue(this.getStringEncoder().isEncodeEquals("Kl", "Karl"));
}
@Test
public final void testCompare_Surname_MOSKOWITZ_MOSKOVITZ_SuccessfullyMatched() {
    assertTrue(this.getStringEncoder().isEncodeEquals("Moskowitz", "Moskovitz"));
}</t>
  </si>
  <si>
    <t>@Test
public final void testCompare_SmallInput_CARK_Kl_SuccessfullyMatched() {
    assertTrue(this.getStringEncoder().isEncodeEquals("Kl", "Karl"));
}
@Test
public final void testCompare_Surname_PRZEMYSL_PSHEMESHIL_SuccessfullyMatched() {
    assertTrue(this.getStringEncoder().isEncodeEquals(" P rz e m y s l", " P sh e m e sh i l"));
}</t>
  </si>
  <si>
    <t>@Test
public final void testCompare_SmallInput_CARK_Kl_SuccessfullyMatched() {
    assertTrue(this.getStringEncoder().isEncodeEquals("Kl", "Karl"));
}
@Test
public final void testCompare_Surname_SZLAMAWICZ_SHLAMOVITZ_SuccessfullyMatched() {
    assertTrue(this.getStringEncoder().isEncodeEquals("SZLAMAWICZ", "SHLAMOVITZ"));
}</t>
  </si>
  <si>
    <t>@Test
public final void testCompare_SmallInput_CARK_Kl_SuccessfullyMatched() {
    assertTrue(this.getStringEncoder().isEncodeEquals("Kl", "Karl"));
}
@Test
public final void testCompare_Surname_COOPERFLYNN_SUPERLYN_SuccessfullyMatched() {
    assertTrue(this.getStringEncoder().isEncodeEquals("Cooper-Flynn", "Super-Lyn"));
}</t>
  </si>
  <si>
    <t>@Test
public final void testCompare_SmallInput_CARK_Kl_SuccessfullyMatched() {
    assertTrue(this.getStringEncoder().isEncodeEquals("Kl", "Karl"));
}
@Test
public final void testCompare_Surname_ROSOCHOWACIEC_ROSOKHOVATSETS_SuccessfullyMatched() {
    assertTrue(this.getStringEncoder().isEncodeEquals("R o s o ch o w a c ie c", " R o s o k ho v a ts e ts"));
}</t>
  </si>
  <si>
    <t>@Test
public final void testCompare_SmallInput_CARK_Kl_SuccessfullyMatched() {
    assertTrue(this.getStringEncoder().isEncodeEquals("Kl", "Karl"));
}
// ***** Begin Region - Test Get Encoding - Surnames
@Test
public final void testCompare_Surname_OSULLIVAN_OSUILLEABHAIN_SuccessfulMatch() {
    assertTrue(this.getStringEncoder().isEncodeEquals("O'Sullivan", "Ó ' Súilleabháin"));
}</t>
  </si>
  <si>
    <t>@Test
public final void testCompare_SmallInput_CARK_Kl_SuccessfullyMatched() {
    assertTrue(this.getStringEncoder().isEncodeEquals("Kl", "Karl"));
}
@Test
public final void testCompare_Forenames_UNA_OONAGH_ShouldSuccessfullyMatchButDoesNot() {
    // Disappointing
    assertFalse(this.getStringEncoder().isEncodeEquals("Úna", "Oonagh"));
}</t>
  </si>
  <si>
    <t>@Test
public final void testCompare_SmallInput_CARK_Kl_SuccessfullyMatched() {
    assertTrue(this.getStringEncoder().isEncodeEquals("Kl", "Karl"));
}
@Test
public final void testCompare_Forenames_SEAN_JOHN_MatchExpected() {
    assertTrue(this.getStringEncoder().isEncodeEquals("Sean", "John"));
}</t>
  </si>
  <si>
    <t>@Test
public final void testCompare_SmallInput_CARK_Kl_SuccessfullyMatched() {
    assertTrue(this.getStringEncoder().isEncodeEquals("Kl", "Karl"));
}
@Test
public final void testCompare_KARL_ALESSANDRO_DoesNotMatch() {
    assertFalse(this.getStringEncoder().isEncodeEquals("Karl", "Alessandro"));
}</t>
  </si>
  <si>
    <t>@Test
public final void testCompare_SmallInput_CARK_Kl_SuccessfullyMatched() {
    assertTrue(this.getStringEncoder().isEncodeEquals("Kl", "Karl"));
}
@Test
public final void testCompare_LongSurnames_OMUIRCHEARTAIGH_OMIREADHAIGH_SuccessfulMatch() {
    assertTrue(this.getStringEncoder().isEncodeEquals("o'muireadhaigh", "Ó 'Muircheartaigh "));
}</t>
  </si>
  <si>
    <t>@Test
public final void testCompare_SmallInput_CARK_Kl_SuccessfullyMatched() {
    assertTrue(this.getStringEncoder().isEncodeEquals("Kl", "Karl"));
}
@Test
public final void testCompareNameToSingleLetter_KARL_C_DoesNotMatch() {
    assertFalse(this.getStringEncoder().isEncodeEquals("Karl", "C"));
}</t>
  </si>
  <si>
    <t>@Test
public final void testCompare_SmallInput_CARK_Kl_SuccessfullyMatched() {
    assertTrue(this.getStringEncoder().isEncodeEquals("Kl", "Karl"));
}
@Test
public final void testCompare_SurnamesCornerCase_MURPHY_Space_NoMatch() {
    assertFalse(this.getStringEncoder().isEncodeEquals("Murphy", " "));
}</t>
  </si>
  <si>
    <t>@Test
public final void testCompare_SmallInput_CARK_Kl_SuccessfullyMatched() {
    assertTrue(this.getStringEncoder().isEncodeEquals("Kl", "Karl"));
}
@Test
public final void testCompare_SurnamesCornerCase_MURPHY_NoSpace_NoMatch() {
    assertFalse(this.getStringEncoder().isEncodeEquals("Murphy", ""));
}</t>
  </si>
  <si>
    <t>@Test
public final void testCompare_SmallInput_CARK_Kl_SuccessfullyMatched() {
    assertTrue(this.getStringEncoder().isEncodeEquals("Kl", "Karl"));
}
@Test
public final void testCompare_Forenames_SEAN_PETE_NoMatchExpected() {
    assertFalse(this.getStringEncoder().isEncodeEquals("Sean", "Pete"));
}</t>
  </si>
  <si>
    <t>@Test
public final void testCompare_SmallInput_CARK_Kl_SuccessfullyMatched() {
    assertTrue(this.getStringEncoder().isEncodeEquals("Kl", "Karl"));
}
@Test
public final void testCompare_Surnames_MURPHY_LYNCH_NoMatchExpected() {
    assertFalse(this.getStringEncoder().isEncodeEquals("Murphy", "Lynch"));
}</t>
  </si>
  <si>
    <t>@Test
public final void testCompare_SmallInput_CARK_Kl_SuccessfullyMatched() {
    assertTrue(this.getStringEncoder().isEncodeEquals("Kl", "Karl"));
}
@Test
public final void testCompare_LongSurnames_MORIARTY_OMUIRCHEARTAIGH_DoesNotSuccessfulMatch() {
    assertFalse(this.getStringEncoder().isEncodeEquals("Moriarty", "OMuircheartaigh"));
}</t>
  </si>
  <si>
    <t>@Test
public final void testCompare_SmallInput_CARK_Kl_SuccessfullyMatched() {
    assertTrue(this.getStringEncoder().isEncodeEquals("Kl", "Karl"));
}
@Test
public final void testCompare_SurnameCornerCase_Nulls_NoMatch() {
    assertFalse(this.getStringEncoder().isEncodeEquals(null, null));
}</t>
  </si>
  <si>
    <t>@Test
public final void testCompareNameToSingleLetter_KARL_C_DoesNotMatch() {
    assertFalse(this.getStringEncoder().isEncodeEquals("Karl", "C"));
}
@Test
public final void testCompare_KARL_ALESSANDRO_DoesNotMatch() {
    assertFalse(this.getStringEncoder().isEncodeEquals("Karl", "Alessandro"));
}</t>
  </si>
  <si>
    <t>@Test
public final void testCompareNameToSingleLetter_KARL_C_DoesNotMatch() {
    assertFalse(this.getStringEncoder().isEncodeEquals("Karl", "C"));
}
@Test
public final void testCompare_SurnamesCornerCase_MURPHY_Space_NoMatch() {
    assertFalse(this.getStringEncoder().isEncodeEquals("Murphy", " "));
}</t>
  </si>
  <si>
    <t>@Test
public final void testCompareNameToSingleLetter_KARL_C_DoesNotMatch() {
    assertFalse(this.getStringEncoder().isEncodeEquals("Karl", "C"));
}
@Test
public final void testCompare_SurnamesCornerCase_MURPHY_NoSpace_NoMatch() {
    assertFalse(this.getStringEncoder().isEncodeEquals("Murphy", ""));
}</t>
  </si>
  <si>
    <t>@Test
public final void testCompareNameToSingleLetter_KARL_C_DoesNotMatch() {
    assertFalse(this.getStringEncoder().isEncodeEquals("Karl", "C"));
}
@Test
public final void testCompare_Forenames_SEAN_PETE_NoMatchExpected() {
    assertFalse(this.getStringEncoder().isEncodeEquals("Sean", "Pete"));
}</t>
  </si>
  <si>
    <t>@Test
public final void testCompareNameToSingleLetter_KARL_C_DoesNotMatch() {
    assertFalse(this.getStringEncoder().isEncodeEquals("Karl", "C"));
}
@Test
public final void testCompare_SurnameCornerCase_Nulls_NoMatch() {
    assertFalse(this.getStringEncoder().isEncodeEquals(null, null));
}</t>
  </si>
  <si>
    <t>@Test
public final void testCompareNameToSingleLetter_KARL_C_DoesNotMatch() {
    assertFalse(this.getStringEncoder().isEncodeEquals("Karl", "C"));
}
@Test
public final void testCompare_Forenames_SEAN_JOHN_MatchExpected() {
    assertTrue(this.getStringEncoder().isEncodeEquals("Sean", "John"));
}</t>
  </si>
  <si>
    <t>@Test
public final void testCompareNameToSingleLetter_KARL_C_DoesNotMatch() {
    assertFalse(this.getStringEncoder().isEncodeEquals("Karl", "C"));
}
@Test
public final void testCompare_Surnames_MURPHY_LYNCH_NoMatchExpected() {
    assertFalse(this.getStringEncoder().isEncodeEquals("Murphy", "Lynch"));
}</t>
  </si>
  <si>
    <t>@Test
public final void testCompareNameToSingleLetter_KARL_C_DoesNotMatch() {
    assertFalse(this.getStringEncoder().isEncodeEquals("Karl", "C"));
}
@Test
public final void testCompare_Surname_HAILEY_HALLEY_SuccessfullyMatched() {
    assertTrue(this.getStringEncoder().isEncodeEquals("Hailey", "Halley"));
}</t>
  </si>
  <si>
    <t>@Test
public final void testCompareNameToSingleLetter_KARL_C_DoesNotMatch() {
    assertFalse(this.getStringEncoder().isEncodeEquals("Karl", "C"));
}
@Test
public final void testCompare_Surname_COOPERFLYNN_SUPERLYN_SuccessfullyMatched() {
    assertTrue(this.getStringEncoder().isEncodeEquals("Cooper-Flynn", "Super-Lyn"));
}</t>
  </si>
  <si>
    <t>@Test
public final void testCompareNameToSingleLetter_KARL_C_DoesNotMatch() {
    assertFalse(this.getStringEncoder().isEncodeEquals("Karl", "C"));
}
// ***** Begin Region - Test Get Encoding - Surnames
@Test
public final void testCompare_Surname_OSULLIVAN_OSUILLEABHAIN_SuccessfulMatch() {
    assertTrue(this.getStringEncoder().isEncodeEquals("O'Sullivan", "Ó ' Súilleabháin"));
}</t>
  </si>
  <si>
    <t>@Test
public final void testCompareNameToSingleLetter_KARL_C_DoesNotMatch() {
    assertFalse(this.getStringEncoder().isEncodeEquals("Karl", "C"));
}
@Test
public final void testCompare_Surname_PRZEMYSL_PSHEMESHIL_SuccessfullyMatched() {
    assertTrue(this.getStringEncoder().isEncodeEquals(" P rz e m y s l", " P sh e m e sh i l"));
}</t>
  </si>
  <si>
    <t>@Test
public final void testCompareNameToSingleLetter_KARL_C_DoesNotMatch() {
    assertFalse(this.getStringEncoder().isEncodeEquals("Karl", "C"));
}
// **** END YIDDISH/SLAVIC SECTION ****
@Test
public final void testCompare_PETERSON_PETERS_SuccessfullyMatched() {
    assertTrue(this.getStringEncoder().isEncodeEquals("Peterson", "Peters"));
}</t>
  </si>
  <si>
    <t>@Test
public final void testCompareNameToSingleLetter_KARL_C_DoesNotMatch() {
    assertFalse(this.getStringEncoder().isEncodeEquals("Karl", "C"));
}
@Test
public final void testCompare_ZACH_ZAKARIA_SuccessfullyMatched() {
    assertTrue(this.getStringEncoder().isEncodeEquals("Zach", "Zacharia"));
}</t>
  </si>
  <si>
    <t>@Test
public final void testCompareNameToSingleLetter_KARL_C_DoesNotMatch() {
    assertFalse(this.getStringEncoder().isEncodeEquals("Karl", "C"));
}
@Test
public final void testCompare_LongSurnames_MORIARTY_OMUIRCHEARTAIGH_DoesNotSuccessfulMatch() {
    assertFalse(this.getStringEncoder().isEncodeEquals("Moriarty", "OMuircheartaigh"));
}</t>
  </si>
  <si>
    <t>@Test
public final void testCompareNameToSingleLetter_KARL_C_DoesNotMatch() {
    assertFalse(this.getStringEncoder().isEncodeEquals("Karl", "C"));
}
// **** BEGIN YIDDISH/SLAVIC SECTION ****
@Test
public final void testCompare_Surname_AUERBACH_UHRBACH_SuccessfullyMatched() {
    assertTrue(this.getStringEncoder().isEncodeEquals("Auerbach", "Uhrbach"));
}</t>
  </si>
  <si>
    <t>@Test
public final void testCompareNameToSingleLetter_KARL_C_DoesNotMatch() {
    assertFalse(this.getStringEncoder().isEncodeEquals("Karl", "C"));
}
@Test
public final void testCompare_Surname_MOSKOWITZ_MOSKOVITZ_SuccessfullyMatched() {
    assertTrue(this.getStringEncoder().isEncodeEquals("Moskowitz", "Moskovitz"));
}</t>
  </si>
  <si>
    <t>@Test
public final void testCompareNameToSingleLetter_KARL_C_DoesNotMatch() {
    assertFalse(this.getStringEncoder().isEncodeEquals("Karl", "C"));
}
@Test
public final void testCompare_MCGOWAN_MCGEOGHEGAN_SuccessfullyMatched() {
    assertTrue(this.getStringEncoder().isEncodeEquals("McGowan", "Mc Geoghegan"));
}</t>
  </si>
  <si>
    <t>@Test
public final void testCompareNameToSingleLetter_KARL_C_DoesNotMatch() {
    assertFalse(this.getStringEncoder().isEncodeEquals("Karl", "C"));
}
@Test
public final void testCompare_Surname_LEWINSKY_LEVINSKI_SuccessfullyMatched() {
    assertTrue(this.getStringEncoder().isEncodeEquals("LEWINSKY", "LEVINSKI"));
}</t>
  </si>
  <si>
    <t>@Test
public final void testCompareNameToSingleLetter_KARL_C_DoesNotMatch() {
    assertFalse(this.getStringEncoder().isEncodeEquals("Karl", "C"));
}
@Test
public final void testCompare_Surname_LIPSHITZ_LIPPSZYC_SuccessfullyMatched() {
    assertTrue(this.getStringEncoder().isEncodeEquals("LIPSHITZ", "LIPPSZYC"));
}</t>
  </si>
  <si>
    <t>@Test
public final void testCompareNameToSingleLetter_KARL_C_DoesNotMatch() {
    assertFalse(this.getStringEncoder().isEncodeEquals("Karl", "C"));
}
@Test
public final void testCompare_Surname_SZLAMAWICZ_SHLAMOVITZ_SuccessfullyMatched() {
    assertTrue(this.getStringEncoder().isEncodeEquals("SZLAMAWICZ", "SHLAMOVITZ"));
}</t>
  </si>
  <si>
    <t>@Test
public final void testCompareNameToSingleLetter_KARL_C_DoesNotMatch() {
    assertFalse(this.getStringEncoder().isEncodeEquals("Karl", "C"));
}
@Test
public final void testCompare_Forenames_UNA_OONAGH_ShouldSuccessfullyMatchButDoesNot() {
    // Disappointing
    assertFalse(this.getStringEncoder().isEncodeEquals("Úna", "Oonagh"));
}</t>
  </si>
  <si>
    <t>@Test
public final void testCompareNameToSingleLetter_KARL_C_DoesNotMatch() {
    assertFalse(this.getStringEncoder().isEncodeEquals("Karl", "C"));
}
@Test
public final void testCompare_Surname_ROSOCHOWACIEC_ROSOKHOVATSETS_SuccessfullyMatched() {
    assertTrue(this.getStringEncoder().isEncodeEquals("R o s o ch o w a c ie c", " R o s o k ho v a ts e ts"));
}</t>
  </si>
  <si>
    <t>@Test
public final void testCompareNameToSingleLetter_KARL_C_DoesNotMatch() {
    assertFalse(this.getStringEncoder().isEncodeEquals("Karl", "C"));
}
@Test
public final void testCompare_LongSurnames_OMUIRCHEARTAIGH_OMIREADHAIGH_SuccessfulMatch() {
    assertTrue(this.getStringEncoder().isEncodeEquals("o'muireadhaigh", "Ó 'Muircheartaigh "));
}</t>
  </si>
  <si>
    <t>@Test
public final void testCompare_ZACH_ZAKARIA_SuccessfullyMatched() {
    assertTrue(this.getStringEncoder().isEncodeEquals("Zach", "Zacharia"));
}
// **** END YIDDISH/SLAVIC SECTION ****
@Test
public final void testCompare_PETERSON_PETERS_SuccessfullyMatched() {
    assertTrue(this.getStringEncoder().isEncodeEquals("Peterson", "Peters"));
}</t>
  </si>
  <si>
    <t>@Test
public final void testCompare_ZACH_ZAKARIA_SuccessfullyMatched() {
    assertTrue(this.getStringEncoder().isEncodeEquals("Zach", "Zacharia"));
}
@Test
public final void testCompare_MCGOWAN_MCGEOGHEGAN_SuccessfullyMatched() {
    assertTrue(this.getStringEncoder().isEncodeEquals("McGowan", "Mc Geoghegan"));
}</t>
  </si>
  <si>
    <t>@Test
public final void testCompare_ZACH_ZAKARIA_SuccessfullyMatched() {
    assertTrue(this.getStringEncoder().isEncodeEquals("Zach", "Zacharia"));
}
@Test
public final void testCompare_Surname_HAILEY_HALLEY_SuccessfullyMatched() {
    assertTrue(this.getStringEncoder().isEncodeEquals("Hailey", "Halley"));
}</t>
  </si>
  <si>
    <t>@Test
public final void testCompare_ZACH_ZAKARIA_SuccessfullyMatched() {
    assertTrue(this.getStringEncoder().isEncodeEquals("Zach", "Zacharia"));
}
// **** BEGIN YIDDISH/SLAVIC SECTION ****
@Test
public final void testCompare_Surname_AUERBACH_UHRBACH_SuccessfullyMatched() {
    assertTrue(this.getStringEncoder().isEncodeEquals("Auerbach", "Uhrbach"));
}</t>
  </si>
  <si>
    <t>@Test
public final void testCompare_ZACH_ZAKARIA_SuccessfullyMatched() {
    assertTrue(this.getStringEncoder().isEncodeEquals("Zach", "Zacharia"));
}
@Test
public final void testCompare_Surname_LEWINSKY_LEVINSKI_SuccessfullyMatched() {
    assertTrue(this.getStringEncoder().isEncodeEquals("LEWINSKY", "LEVINSKI"));
}</t>
  </si>
  <si>
    <t>@Test
public final void testCompare_ZACH_ZAKARIA_SuccessfullyMatched() {
    assertTrue(this.getStringEncoder().isEncodeEquals("Zach", "Zacharia"));
}
@Test
public final void testCompare_Surname_SZLAMAWICZ_SHLAMOVITZ_SuccessfullyMatched() {
    assertTrue(this.getStringEncoder().isEncodeEquals("SZLAMAWICZ", "SHLAMOVITZ"));
}</t>
  </si>
  <si>
    <t>@Test
public final void testCompare_ZACH_ZAKARIA_SuccessfullyMatched() {
    assertTrue(this.getStringEncoder().isEncodeEquals("Zach", "Zacharia"));
}
@Test
public final void testCompare_Surname_MOSKOWITZ_MOSKOVITZ_SuccessfullyMatched() {
    assertTrue(this.getStringEncoder().isEncodeEquals("Moskowitz", "Moskovitz"));
}</t>
  </si>
  <si>
    <t>@Test
public final void testCompare_ZACH_ZAKARIA_SuccessfullyMatched() {
    assertTrue(this.getStringEncoder().isEncodeEquals("Zach", "Zacharia"));
}
@Test
public final void testCompare_Surname_LIPSHITZ_LIPPSZYC_SuccessfullyMatched() {
    assertTrue(this.getStringEncoder().isEncodeEquals("LIPSHITZ", "LIPPSZYC"));
}</t>
  </si>
  <si>
    <t>@Test
public final void testCompare_ZACH_ZAKARIA_SuccessfullyMatched() {
    assertTrue(this.getStringEncoder().isEncodeEquals("Zach", "Zacharia"));
}
@Test
public final void testCompare_Surname_PRZEMYSL_PSHEMESHIL_SuccessfullyMatched() {
    assertTrue(this.getStringEncoder().isEncodeEquals(" P rz e m y s l", " P sh e m e sh i l"));
}</t>
  </si>
  <si>
    <t>@Test
public final void testCompare_ZACH_ZAKARIA_SuccessfullyMatched() {
    assertTrue(this.getStringEncoder().isEncodeEquals("Zach", "Zacharia"));
}
@Test
public final void testCompare_Surname_COOPERFLYNN_SUPERLYN_SuccessfullyMatched() {
    assertTrue(this.getStringEncoder().isEncodeEquals("Cooper-Flynn", "Super-Lyn"));
}</t>
  </si>
  <si>
    <t>@Test
public final void testCompare_ZACH_ZAKARIA_SuccessfullyMatched() {
    assertTrue(this.getStringEncoder().isEncodeEquals("Zach", "Zacharia"));
}
@Test
public final void testCompare_Surname_ROSOCHOWACIEC_ROSOKHOVATSETS_SuccessfullyMatched() {
    assertTrue(this.getStringEncoder().isEncodeEquals("R o s o ch o w a c ie c", " R o s o k ho v a ts e ts"));
}</t>
  </si>
  <si>
    <t>@Test
public final void testCompare_ZACH_ZAKARIA_SuccessfullyMatched() {
    assertTrue(this.getStringEncoder().isEncodeEquals("Zach", "Zacharia"));
}
@Test
public final void testCompare_KARL_ALESSANDRO_DoesNotMatch() {
    assertFalse(this.getStringEncoder().isEncodeEquals("Karl", "Alessandro"));
}</t>
  </si>
  <si>
    <t>@Test
public final void testCompare_ZACH_ZAKARIA_SuccessfullyMatched() {
    assertTrue(this.getStringEncoder().isEncodeEquals("Zach", "Zacharia"));
}
// ***** Begin Region - Test Get Encoding - Surnames
@Test
public final void testCompare_Surname_OSULLIVAN_OSUILLEABHAIN_SuccessfulMatch() {
    assertTrue(this.getStringEncoder().isEncodeEquals("O'Sullivan", "Ó ' Súilleabháin"));
}</t>
  </si>
  <si>
    <t>@Test
public final void testCompare_ZACH_ZAKARIA_SuccessfullyMatched() {
    assertTrue(this.getStringEncoder().isEncodeEquals("Zach", "Zacharia"));
}
@Test
public final void testCompare_Forenames_SEAN_JOHN_MatchExpected() {
    assertTrue(this.getStringEncoder().isEncodeEquals("Sean", "John"));
}</t>
  </si>
  <si>
    <t>@Test
public final void testCompare_ZACH_ZAKARIA_SuccessfullyMatched() {
    assertTrue(this.getStringEncoder().isEncodeEquals("Zach", "Zacharia"));
}
@Test
public final void testCompare_Forenames_UNA_OONAGH_ShouldSuccessfullyMatchButDoesNot() {
    // Disappointing
    assertFalse(this.getStringEncoder().isEncodeEquals("Úna", "Oonagh"));
}</t>
  </si>
  <si>
    <t>@Test
public final void testCompare_ZACH_ZAKARIA_SuccessfullyMatched() {
    assertTrue(this.getStringEncoder().isEncodeEquals("Zach", "Zacharia"));
}
@Test
public final void testCompare_Forenames_SEAN_PETE_NoMatchExpected() {
    assertFalse(this.getStringEncoder().isEncodeEquals("Sean", "Pete"));
}</t>
  </si>
  <si>
    <t>@Test
public final void testCompare_ZACH_ZAKARIA_SuccessfullyMatched() {
    assertTrue(this.getStringEncoder().isEncodeEquals("Zach", "Zacharia"));
}
@Test
public final void testCompare_Surnames_MURPHY_LYNCH_NoMatchExpected() {
    assertFalse(this.getStringEncoder().isEncodeEquals("Murphy", "Lynch"));
}</t>
  </si>
  <si>
    <t>@Test
public final void testCompare_ZACH_ZAKARIA_SuccessfullyMatched() {
    assertTrue(this.getStringEncoder().isEncodeEquals("Zach", "Zacharia"));
}
@Test
public final void testCompare_LongSurnames_OMUIRCHEARTAIGH_OMIREADHAIGH_SuccessfulMatch() {
    assertTrue(this.getStringEncoder().isEncodeEquals("o'muireadhaigh", "Ó 'Muircheartaigh "));
}</t>
  </si>
  <si>
    <t>@Test
public final void testCompare_ZACH_ZAKARIA_SuccessfullyMatched() {
    assertTrue(this.getStringEncoder().isEncodeEquals("Zach", "Zacharia"));
}
@Test
public final void testCompare_SurnamesCornerCase_MURPHY_Space_NoMatch() {
    assertFalse(this.getStringEncoder().isEncodeEquals("Murphy", " "));
}</t>
  </si>
  <si>
    <t>@Test
public final void testCompare_ZACH_ZAKARIA_SuccessfullyMatched() {
    assertTrue(this.getStringEncoder().isEncodeEquals("Zach", "Zacharia"));
}
@Test
public final void testCompare_SurnamesCornerCase_MURPHY_NoSpace_NoMatch() {
    assertFalse(this.getStringEncoder().isEncodeEquals("Murphy", ""));
}</t>
  </si>
  <si>
    <t>@Test
public final void testCompare_ZACH_ZAKARIA_SuccessfullyMatched() {
    assertTrue(this.getStringEncoder().isEncodeEquals("Zach", "Zacharia"));
}
@Test
public final void testCompare_SurnameCornerCase_Nulls_NoMatch() {
    assertFalse(this.getStringEncoder().isEncodeEquals(null, null));
}</t>
  </si>
  <si>
    <t>@Test
public final void testCompare_ZACH_ZAKARIA_SuccessfullyMatched() {
    assertTrue(this.getStringEncoder().isEncodeEquals("Zach", "Zacharia"));
}
@Test
public final void testCompare_LongSurnames_MORIARTY_OMUIRCHEARTAIGH_DoesNotSuccessfulMatch() {
    assertFalse(this.getStringEncoder().isEncodeEquals("Moriarty", "OMuircheartaigh"));
}</t>
  </si>
  <si>
    <t>@Test
public final void testCompare_KARL_ALESSANDRO_DoesNotMatch() {
    assertFalse(this.getStringEncoder().isEncodeEquals("Karl", "Alessandro"));
}
@Test
public final void testCompare_Forenames_SEAN_PETE_NoMatchExpected() {
    assertFalse(this.getStringEncoder().isEncodeEquals("Sean", "Pete"));
}</t>
  </si>
  <si>
    <t>@Test
public final void testCompare_KARL_ALESSANDRO_DoesNotMatch() {
    assertFalse(this.getStringEncoder().isEncodeEquals("Karl", "Alessandro"));
}
@Test
public final void testCompare_SurnamesCornerCase_MURPHY_Space_NoMatch() {
    assertFalse(this.getStringEncoder().isEncodeEquals("Murphy", " "));
}</t>
  </si>
  <si>
    <t>@Test
public final void testCompare_KARL_ALESSANDRO_DoesNotMatch() {
    assertFalse(this.getStringEncoder().isEncodeEquals("Karl", "Alessandro"));
}
@Test
public final void testCompare_Surnames_MURPHY_LYNCH_NoMatchExpected() {
    assertFalse(this.getStringEncoder().isEncodeEquals("Murphy", "Lynch"));
}</t>
  </si>
  <si>
    <t>@Test
public final void testCompare_KARL_ALESSANDRO_DoesNotMatch() {
    assertFalse(this.getStringEncoder().isEncodeEquals("Karl", "Alessandro"));
}
@Test
public final void testCompare_SurnamesCornerCase_MURPHY_NoSpace_NoMatch() {
    assertFalse(this.getStringEncoder().isEncodeEquals("Murphy", ""));
}</t>
  </si>
  <si>
    <t>@Test
public final void testCompare_KARL_ALESSANDRO_DoesNotMatch() {
    assertFalse(this.getStringEncoder().isEncodeEquals("Karl", "Alessandro"));
}
// **** END YIDDISH/SLAVIC SECTION ****
@Test
public final void testCompare_PETERSON_PETERS_SuccessfullyMatched() {
    assertTrue(this.getStringEncoder().isEncodeEquals("Peterson", "Peters"));
}</t>
  </si>
  <si>
    <t>@Test
public final void testCompare_KARL_ALESSANDRO_DoesNotMatch() {
    assertFalse(this.getStringEncoder().isEncodeEquals("Karl", "Alessandro"));
}
@Test
public final void testCompare_Surname_HAILEY_HALLEY_SuccessfullyMatched() {
    assertTrue(this.getStringEncoder().isEncodeEquals("Hailey", "Halley"));
}</t>
  </si>
  <si>
    <t>@Test
public final void testCompare_KARL_ALESSANDRO_DoesNotMatch() {
    assertFalse(this.getStringEncoder().isEncodeEquals("Karl", "Alessandro"));
}
@Test
public final void testCompare_SurnameCornerCase_Nulls_NoMatch() {
    assertFalse(this.getStringEncoder().isEncodeEquals(null, null));
}</t>
  </si>
  <si>
    <t>@Test
public final void testCompare_KARL_ALESSANDRO_DoesNotMatch() {
    assertFalse(this.getStringEncoder().isEncodeEquals("Karl", "Alessandro"));
}
@Test
public final void testCompare_Forenames_SEAN_JOHN_MatchExpected() {
    assertTrue(this.getStringEncoder().isEncodeEquals("Sean", "John"));
}</t>
  </si>
  <si>
    <t>@Test
public final void testCompare_KARL_ALESSANDRO_DoesNotMatch() {
    assertFalse(this.getStringEncoder().isEncodeEquals("Karl", "Alessandro"));
}
@Test
public final void testCompare_MCGOWAN_MCGEOGHEGAN_SuccessfullyMatched() {
    assertTrue(this.getStringEncoder().isEncodeEquals("McGowan", "Mc Geoghegan"));
}</t>
  </si>
  <si>
    <t>@Test
public final void testCompare_KARL_ALESSANDRO_DoesNotMatch() {
    assertFalse(this.getStringEncoder().isEncodeEquals("Karl", "Alessandro"));
}
// **** BEGIN YIDDISH/SLAVIC SECTION ****
@Test
public final void testCompare_Surname_AUERBACH_UHRBACH_SuccessfullyMatched() {
    assertTrue(this.getStringEncoder().isEncodeEquals("Auerbach", "Uhrbach"));
}</t>
  </si>
  <si>
    <t>@Test
public final void testCompare_KARL_ALESSANDRO_DoesNotMatch() {
    assertFalse(this.getStringEncoder().isEncodeEquals("Karl", "Alessandro"));
}
@Test
public final void testCompare_Surname_LEWINSKY_LEVINSKI_SuccessfullyMatched() {
    assertTrue(this.getStringEncoder().isEncodeEquals("LEWINSKY", "LEVINSKI"));
}</t>
  </si>
  <si>
    <t>@Test
public final void testCompare_KARL_ALESSANDRO_DoesNotMatch() {
    assertFalse(this.getStringEncoder().isEncodeEquals("Karl", "Alessandro"));
}
// ***** Begin Region - Test Get Encoding - Surnames
@Test
public final void testCompare_Surname_OSULLIVAN_OSUILLEABHAIN_SuccessfulMatch() {
    assertTrue(this.getStringEncoder().isEncodeEquals("O'Sullivan", "Ó ' Súilleabháin"));
}</t>
  </si>
  <si>
    <t>@Test
public final void testCompare_KARL_ALESSANDRO_DoesNotMatch() {
    assertFalse(this.getStringEncoder().isEncodeEquals("Karl", "Alessandro"));
}
@Test
public final void testCompare_Surname_PRZEMYSL_PSHEMESHIL_SuccessfullyMatched() {
    assertTrue(this.getStringEncoder().isEncodeEquals(" P rz e m y s l", " P sh e m e sh i l"));
}</t>
  </si>
  <si>
    <t>@Test
public final void testCompare_KARL_ALESSANDRO_DoesNotMatch() {
    assertFalse(this.getStringEncoder().isEncodeEquals("Karl", "Alessandro"));
}
@Test
public final void testCompare_LongSurnames_MORIARTY_OMUIRCHEARTAIGH_DoesNotSuccessfulMatch() {
    assertFalse(this.getStringEncoder().isEncodeEquals("Moriarty", "OMuircheartaigh"));
}</t>
  </si>
  <si>
    <t>@Test
public final void testCompare_KARL_ALESSANDRO_DoesNotMatch() {
    assertFalse(this.getStringEncoder().isEncodeEquals("Karl", "Alessandro"));
}
@Test
public final void testCompare_Surname_LIPSHITZ_LIPPSZYC_SuccessfullyMatched() {
    assertTrue(this.getStringEncoder().isEncodeEquals("LIPSHITZ", "LIPPSZYC"));
}</t>
  </si>
  <si>
    <t>@Test
public final void testCompare_KARL_ALESSANDRO_DoesNotMatch() {
    assertFalse(this.getStringEncoder().isEncodeEquals("Karl", "Alessandro"));
}
@Test
public final void testCompare_Surname_COOPERFLYNN_SUPERLYN_SuccessfullyMatched() {
    assertTrue(this.getStringEncoder().isEncodeEquals("Cooper-Flynn", "Super-Lyn"));
}</t>
  </si>
  <si>
    <t>@Test
public final void testCompare_KARL_ALESSANDRO_DoesNotMatch() {
    assertFalse(this.getStringEncoder().isEncodeEquals("Karl", "Alessandro"));
}
@Test
public final void testCompare_Surname_SZLAMAWICZ_SHLAMOVITZ_SuccessfullyMatched() {
    assertTrue(this.getStringEncoder().isEncodeEquals("SZLAMAWICZ", "SHLAMOVITZ"));
}</t>
  </si>
  <si>
    <t>@Test
public final void testCompare_KARL_ALESSANDRO_DoesNotMatch() {
    assertFalse(this.getStringEncoder().isEncodeEquals("Karl", "Alessandro"));
}
@Test
public final void testCompare_Forenames_UNA_OONAGH_ShouldSuccessfullyMatchButDoesNot() {
    // Disappointing
    assertFalse(this.getStringEncoder().isEncodeEquals("Úna", "Oonagh"));
}</t>
  </si>
  <si>
    <t>@Test
public final void testCompare_KARL_ALESSANDRO_DoesNotMatch() {
    assertFalse(this.getStringEncoder().isEncodeEquals("Karl", "Alessandro"));
}
@Test
public final void testCompare_Surname_MOSKOWITZ_MOSKOVITZ_SuccessfullyMatched() {
    assertTrue(this.getStringEncoder().isEncodeEquals("Moskowitz", "Moskovitz"));
}</t>
  </si>
  <si>
    <t>@Test
public final void testCompare_KARL_ALESSANDRO_DoesNotMatch() {
    assertFalse(this.getStringEncoder().isEncodeEquals("Karl", "Alessandro"));
}
@Test
public final void testCompare_Surname_ROSOCHOWACIEC_ROSOKHOVATSETS_SuccessfullyMatched() {
    assertTrue(this.getStringEncoder().isEncodeEquals("R o s o ch o w a c ie c", " R o s o k ho v a ts e ts"));
}</t>
  </si>
  <si>
    <t>@Test
public final void testCompare_KARL_ALESSANDRO_DoesNotMatch() {
    assertFalse(this.getStringEncoder().isEncodeEquals("Karl", "Alessandro"));
}
@Test
public final void testCompare_LongSurnames_OMUIRCHEARTAIGH_OMIREADHAIGH_SuccessfulMatch() {
    assertTrue(this.getStringEncoder().isEncodeEquals("o'muireadhaigh", "Ó 'Muircheartaigh "));
}</t>
  </si>
  <si>
    <t>@Test
public final void testCompare_Forenames_UNA_OONAGH_ShouldSuccessfullyMatchButDoesNot() {
    // Disappointing
    assertFalse(this.getStringEncoder().isEncodeEquals("Úna", "Oonagh"));
}
// **** BEGIN YIDDISH/SLAVIC SECTION ****
@Test
public final void testCompare_Surname_AUERBACH_UHRBACH_SuccessfullyMatched() {
    assertTrue(this.getStringEncoder().isEncodeEquals("Auerbach", "Uhrbach"));
}</t>
  </si>
  <si>
    <t>@Test
public final void testCompare_Forenames_UNA_OONAGH_ShouldSuccessfullyMatchButDoesNot() {
    // Disappointing
    assertFalse(this.getStringEncoder().isEncodeEquals("Úna", "Oonagh"));
}
@Test
public final void testCompare_Surname_HAILEY_HALLEY_SuccessfullyMatched() {
    assertTrue(this.getStringEncoder().isEncodeEquals("Hailey", "Halley"));
}</t>
  </si>
  <si>
    <t>@Test
public final void testCompare_Forenames_UNA_OONAGH_ShouldSuccessfullyMatchButDoesNot() {
    // Disappointing
    assertFalse(this.getStringEncoder().isEncodeEquals("Úna", "Oonagh"));
}
@Test
public final void testCompare_Surname_MOSKOWITZ_MOSKOVITZ_SuccessfullyMatched() {
    assertTrue(this.getStringEncoder().isEncodeEquals("Moskowitz", "Moskovitz"));
}</t>
  </si>
  <si>
    <t>@Test
public final void testCompare_Forenames_UNA_OONAGH_ShouldSuccessfullyMatchButDoesNot() {
    // Disappointing
    assertFalse(this.getStringEncoder().isEncodeEquals("Úna", "Oonagh"));
}
@Test
public final void testCompare_Surname_LEWINSKY_LEVINSKI_SuccessfullyMatched() {
    assertTrue(this.getStringEncoder().isEncodeEquals("LEWINSKY", "LEVINSKI"));
}</t>
  </si>
  <si>
    <t>@Test
public final void testCompare_Forenames_UNA_OONAGH_ShouldSuccessfullyMatchButDoesNot() {
    // Disappointing
    assertFalse(this.getStringEncoder().isEncodeEquals("Úna", "Oonagh"));
}
@Test
public final void testCompare_Forenames_SEAN_PETE_NoMatchExpected() {
    assertFalse(this.getStringEncoder().isEncodeEquals("Sean", "Pete"));
}</t>
  </si>
  <si>
    <t>@Test
public final void testCompare_Forenames_UNA_OONAGH_ShouldSuccessfullyMatchButDoesNot() {
    // Disappointing
    assertFalse(this.getStringEncoder().isEncodeEquals("Úna", "Oonagh"));
}
@Test
public final void testCompare_Surname_LIPSHITZ_LIPPSZYC_SuccessfullyMatched() {
    assertTrue(this.getStringEncoder().isEncodeEquals("LIPSHITZ", "LIPPSZYC"));
}</t>
  </si>
  <si>
    <t>@Test
public final void testCompare_Forenames_UNA_OONAGH_ShouldSuccessfullyMatchButDoesNot() {
    // Disappointing
    assertFalse(this.getStringEncoder().isEncodeEquals("Úna", "Oonagh"));
}
@Test
public final void testCompare_Surname_COOPERFLYNN_SUPERLYN_SuccessfullyMatched() {
    assertTrue(this.getStringEncoder().isEncodeEquals("Cooper-Flynn", "Super-Lyn"));
}</t>
  </si>
  <si>
    <t>@Test
public final void testCompare_Forenames_UNA_OONAGH_ShouldSuccessfullyMatchButDoesNot() {
    // Disappointing
    assertFalse(this.getStringEncoder().isEncodeEquals("Úna", "Oonagh"));
}
@Test
public final void testCompare_MCGOWAN_MCGEOGHEGAN_SuccessfullyMatched() {
    assertTrue(this.getStringEncoder().isEncodeEquals("McGowan", "Mc Geoghegan"));
}</t>
  </si>
  <si>
    <t>@Test
public final void testCompare_Forenames_UNA_OONAGH_ShouldSuccessfullyMatchButDoesNot() {
    // Disappointing
    assertFalse(this.getStringEncoder().isEncodeEquals("Úna", "Oonagh"));
}
@Test
public final void testCompare_Surname_PRZEMYSL_PSHEMESHIL_SuccessfullyMatched() {
    assertTrue(this.getStringEncoder().isEncodeEquals(" P rz e m y s l", " P sh e m e sh i l"));
}</t>
  </si>
  <si>
    <t>@Test
public final void testCompare_Forenames_UNA_OONAGH_ShouldSuccessfullyMatchButDoesNot() {
    // Disappointing
    assertFalse(this.getStringEncoder().isEncodeEquals("Úna", "Oonagh"));
}
// **** END YIDDISH/SLAVIC SECTION ****
@Test
public final void testCompare_PETERSON_PETERS_SuccessfullyMatched() {
    assertTrue(this.getStringEncoder().isEncodeEquals("Peterson", "Peters"));
}</t>
  </si>
  <si>
    <t>@Test
public final void testCompare_Forenames_UNA_OONAGH_ShouldSuccessfullyMatchButDoesNot() {
    // Disappointing
    assertFalse(this.getStringEncoder().isEncodeEquals("Úna", "Oonagh"));
}
@Test
public final void testCompare_Surname_SZLAMAWICZ_SHLAMOVITZ_SuccessfullyMatched() {
    assertTrue(this.getStringEncoder().isEncodeEquals("SZLAMAWICZ", "SHLAMOVITZ"));
}</t>
  </si>
  <si>
    <t>@Test
public final void testCompare_Forenames_UNA_OONAGH_ShouldSuccessfullyMatchButDoesNot() {
    // Disappointing
    assertFalse(this.getStringEncoder().isEncodeEquals("Úna", "Oonagh"));
}
@Test
public final void testCompare_Surnames_MURPHY_LYNCH_NoMatchExpected() {
    assertFalse(this.getStringEncoder().isEncodeEquals("Murphy", "Lynch"));
}</t>
  </si>
  <si>
    <t>@Test
public final void testCompare_Forenames_UNA_OONAGH_ShouldSuccessfullyMatchButDoesNot() {
    // Disappointing
    assertFalse(this.getStringEncoder().isEncodeEquals("Úna", "Oonagh"));
}
@Test
public final void testCompare_Forenames_SEAN_JOHN_MatchExpected() {
    assertTrue(this.getStringEncoder().isEncodeEquals("Sean", "John"));
}</t>
  </si>
  <si>
    <t>@Test
public final void testCompare_Forenames_UNA_OONAGH_ShouldSuccessfullyMatchButDoesNot() {
    // Disappointing
    assertFalse(this.getStringEncoder().isEncodeEquals("Úna", "Oonagh"));
}
// ***** Begin Region - Test Get Encoding - Surnames
@Test
public final void testCompare_Surname_OSULLIVAN_OSUILLEABHAIN_SuccessfulMatch() {
    assertTrue(this.getStringEncoder().isEncodeEquals("O'Sullivan", "Ó ' Súilleabháin"));
}</t>
  </si>
  <si>
    <t>@Test
public final void testCompare_Forenames_UNA_OONAGH_ShouldSuccessfullyMatchButDoesNot() {
    // Disappointing
    assertFalse(this.getStringEncoder().isEncodeEquals("Úna", "Oonagh"));
}
@Test
public final void testCompare_SurnamesCornerCase_MURPHY_Space_NoMatch() {
    assertFalse(this.getStringEncoder().isEncodeEquals("Murphy", " "));
}</t>
  </si>
  <si>
    <t>@Test
public final void testCompare_Forenames_UNA_OONAGH_ShouldSuccessfullyMatchButDoesNot() {
    // Disappointing
    assertFalse(this.getStringEncoder().isEncodeEquals("Úna", "Oonagh"));
}
@Test
public final void testCompare_LongSurnames_MORIARTY_OMUIRCHEARTAIGH_DoesNotSuccessfulMatch() {
    assertFalse(this.getStringEncoder().isEncodeEquals("Moriarty", "OMuircheartaigh"));
}</t>
  </si>
  <si>
    <t>@Test
public final void testCompare_Forenames_UNA_OONAGH_ShouldSuccessfullyMatchButDoesNot() {
    // Disappointing
    assertFalse(this.getStringEncoder().isEncodeEquals("Úna", "Oonagh"));
}
@Test
public final void testCompare_Surname_ROSOCHOWACIEC_ROSOKHOVATSETS_SuccessfullyMatched() {
    assertTrue(this.getStringEncoder().isEncodeEquals("R o s o ch o w a c ie c", " R o s o k ho v a ts e ts"));
}</t>
  </si>
  <si>
    <t>@Test
public final void testCompare_Forenames_UNA_OONAGH_ShouldSuccessfullyMatchButDoesNot() {
    // Disappointing
    assertFalse(this.getStringEncoder().isEncodeEquals("Úna", "Oonagh"));
}
@Test
public final void testCompare_SurnamesCornerCase_MURPHY_NoSpace_NoMatch() {
    assertFalse(this.getStringEncoder().isEncodeEquals("Murphy", ""));
}</t>
  </si>
  <si>
    <t>@Test
public final void testCompare_Forenames_UNA_OONAGH_ShouldSuccessfullyMatchButDoesNot() {
    // Disappointing
    assertFalse(this.getStringEncoder().isEncodeEquals("Úna", "Oonagh"));
}
@Test
public final void testCompare_LongSurnames_OMUIRCHEARTAIGH_OMIREADHAIGH_SuccessfulMatch() {
    assertTrue(this.getStringEncoder().isEncodeEquals("o'muireadhaigh", "Ó 'Muircheartaigh "));
}</t>
  </si>
  <si>
    <t>@Test
public final void testCompare_Forenames_UNA_OONAGH_ShouldSuccessfullyMatchButDoesNot() {
    // Disappointing
    assertFalse(this.getStringEncoder().isEncodeEquals("Úna", "Oonagh"));
}
@Test
public final void testCompare_SurnameCornerCase_Nulls_NoMatch() {
    assertFalse(this.getStringEncoder().isEncodeEquals(null, null));
}</t>
  </si>
  <si>
    <t>// ***** Begin Region - Test Get Encoding - Surnames
@Test
public final void testCompare_Surname_OSULLIVAN_OSUILLEABHAIN_SuccessfulMatch() {
    assertTrue(this.getStringEncoder().isEncodeEquals("O'Sullivan", "Ó ' Súilleabháin"));
}
@Test
public final void testCompare_Surname_SZLAMAWICZ_SHLAMOVITZ_SuccessfullyMatched() {
    assertTrue(this.getStringEncoder().isEncodeEquals("SZLAMAWICZ", "SHLAMOVITZ"));
}</t>
  </si>
  <si>
    <t>// ***** Begin Region - Test Get Encoding - Surnames
@Test
public final void testCompare_Surname_OSULLIVAN_OSUILLEABHAIN_SuccessfulMatch() {
    assertTrue(this.getStringEncoder().isEncodeEquals("O'Sullivan", "Ó ' Súilleabháin"));
}
@Test
public final void testCompare_Surname_COOPERFLYNN_SUPERLYN_SuccessfullyMatched() {
    assertTrue(this.getStringEncoder().isEncodeEquals("Cooper-Flynn", "Super-Lyn"));
}</t>
  </si>
  <si>
    <t>// ***** Begin Region - Test Get Encoding - Surnames
@Test
public final void testCompare_Surname_OSULLIVAN_OSUILLEABHAIN_SuccessfulMatch() {
    assertTrue(this.getStringEncoder().isEncodeEquals("O'Sullivan", "Ó ' Súilleabháin"));
}
@Test
public final void testCompare_Surname_LEWINSKY_LEVINSKI_SuccessfullyMatched() {
    assertTrue(this.getStringEncoder().isEncodeEquals("LEWINSKY", "LEVINSKI"));
}</t>
  </si>
  <si>
    <t>// ***** Begin Region - Test Get Encoding - Surnames
@Test
public final void testCompare_Surname_OSULLIVAN_OSUILLEABHAIN_SuccessfulMatch() {
    assertTrue(this.getStringEncoder().isEncodeEquals("O'Sullivan", "Ó ' Súilleabháin"));
}
// **** BEGIN YIDDISH/SLAVIC SECTION ****
@Test
public final void testCompare_Surname_AUERBACH_UHRBACH_SuccessfullyMatched() {
    assertTrue(this.getStringEncoder().isEncodeEquals("Auerbach", "Uhrbach"));
}</t>
  </si>
  <si>
    <t>// ***** Begin Region - Test Get Encoding - Surnames
@Test
public final void testCompare_Surname_OSULLIVAN_OSUILLEABHAIN_SuccessfulMatch() {
    assertTrue(this.getStringEncoder().isEncodeEquals("O'Sullivan", "Ó ' Súilleabháin"));
}
@Test
public final void testCompare_Surname_HAILEY_HALLEY_SuccessfullyMatched() {
    assertTrue(this.getStringEncoder().isEncodeEquals("Hailey", "Halley"));
}</t>
  </si>
  <si>
    <t>// ***** Begin Region - Test Get Encoding - Surnames
@Test
public final void testCompare_Surname_OSULLIVAN_OSUILLEABHAIN_SuccessfulMatch() {
    assertTrue(this.getStringEncoder().isEncodeEquals("O'Sullivan", "Ó ' Súilleabháin"));
}
@Test
public final void testCompare_Surname_PRZEMYSL_PSHEMESHIL_SuccessfullyMatched() {
    assertTrue(this.getStringEncoder().isEncodeEquals(" P rz e m y s l", " P sh e m e sh i l"));
}</t>
  </si>
  <si>
    <t>// ***** Begin Region - Test Get Encoding - Surnames
@Test
public final void testCompare_Surname_OSULLIVAN_OSUILLEABHAIN_SuccessfulMatch() {
    assertTrue(this.getStringEncoder().isEncodeEquals("O'Sullivan", "Ó ' Súilleabháin"));
}
@Test
public final void testCompare_LongSurnames_OMUIRCHEARTAIGH_OMIREADHAIGH_SuccessfulMatch() {
    assertTrue(this.getStringEncoder().isEncodeEquals("o'muireadhaigh", "Ó 'Muircheartaigh "));
}</t>
  </si>
  <si>
    <t>// ***** Begin Region - Test Get Encoding - Surnames
@Test
public final void testCompare_Surname_OSULLIVAN_OSUILLEABHAIN_SuccessfulMatch() {
    assertTrue(this.getStringEncoder().isEncodeEquals("O'Sullivan", "Ó ' Súilleabháin"));
}
@Test
public final void testCompare_Surname_MOSKOWITZ_MOSKOVITZ_SuccessfullyMatched() {
    assertTrue(this.getStringEncoder().isEncodeEquals("Moskowitz", "Moskovitz"));
}</t>
  </si>
  <si>
    <t>// ***** Begin Region - Test Get Encoding - Surnames
@Test
public final void testCompare_Surname_OSULLIVAN_OSUILLEABHAIN_SuccessfulMatch() {
    assertTrue(this.getStringEncoder().isEncodeEquals("O'Sullivan", "Ó ' Súilleabháin"));
}
@Test
public final void testCompare_Surname_ROSOCHOWACIEC_ROSOKHOVATSETS_SuccessfullyMatched() {
    assertTrue(this.getStringEncoder().isEncodeEquals("R o s o ch o w a c ie c", " R o s o k ho v a ts e ts"));
}</t>
  </si>
  <si>
    <t>// ***** Begin Region - Test Get Encoding - Surnames
@Test
public final void testCompare_Surname_OSULLIVAN_OSUILLEABHAIN_SuccessfulMatch() {
    assertTrue(this.getStringEncoder().isEncodeEquals("O'Sullivan", "Ó ' Súilleabháin"));
}
@Test
public final void testCompare_Surname_LIPSHITZ_LIPPSZYC_SuccessfullyMatched() {
    assertTrue(this.getStringEncoder().isEncodeEquals("LIPSHITZ", "LIPPSZYC"));
}</t>
  </si>
  <si>
    <t>// ***** Begin Region - Test Get Encoding - Surnames
@Test
public final void testCompare_Surname_OSULLIVAN_OSUILLEABHAIN_SuccessfulMatch() {
    assertTrue(this.getStringEncoder().isEncodeEquals("O'Sullivan", "Ó ' Súilleabháin"));
}
@Test
public final void testCompare_MCGOWAN_MCGEOGHEGAN_SuccessfullyMatched() {
    assertTrue(this.getStringEncoder().isEncodeEquals("McGowan", "Mc Geoghegan"));
}</t>
  </si>
  <si>
    <t>// ***** Begin Region - Test Get Encoding - Surnames
@Test
public final void testCompare_Surname_OSULLIVAN_OSUILLEABHAIN_SuccessfulMatch() {
    assertTrue(this.getStringEncoder().isEncodeEquals("O'Sullivan", "Ó ' Súilleabháin"));
}
@Test
public final void testCompare_LongSurnames_MORIARTY_OMUIRCHEARTAIGH_DoesNotSuccessfulMatch() {
    assertFalse(this.getStringEncoder().isEncodeEquals("Moriarty", "OMuircheartaigh"));
}</t>
  </si>
  <si>
    <t>// ***** Begin Region - Test Get Encoding - Surnames
@Test
public final void testCompare_Surname_OSULLIVAN_OSUILLEABHAIN_SuccessfulMatch() {
    assertTrue(this.getStringEncoder().isEncodeEquals("O'Sullivan", "Ó ' Súilleabháin"));
}
// **** END YIDDISH/SLAVIC SECTION ****
@Test
public final void testCompare_PETERSON_PETERS_SuccessfullyMatched() {
    assertTrue(this.getStringEncoder().isEncodeEquals("Peterson", "Peters"));
}</t>
  </si>
  <si>
    <t>// ***** Begin Region - Test Get Encoding - Surnames
@Test
public final void testCompare_Surname_OSULLIVAN_OSUILLEABHAIN_SuccessfulMatch() {
    assertTrue(this.getStringEncoder().isEncodeEquals("O'Sullivan", "Ó ' Súilleabháin"));
}
@Test
public final void testCompare_SurnamesCornerCase_MURPHY_Space_NoMatch() {
    assertFalse(this.getStringEncoder().isEncodeEquals("Murphy", " "));
}</t>
  </si>
  <si>
    <t>// ***** Begin Region - Test Get Encoding - Surnames
@Test
public final void testCompare_Surname_OSULLIVAN_OSUILLEABHAIN_SuccessfulMatch() {
    assertTrue(this.getStringEncoder().isEncodeEquals("O'Sullivan", "Ó ' Súilleabháin"));
}
@Test
public final void testCompare_SurnamesCornerCase_MURPHY_NoSpace_NoMatch() {
    assertFalse(this.getStringEncoder().isEncodeEquals("Murphy", ""));
}</t>
  </si>
  <si>
    <t>// ***** Begin Region - Test Get Encoding - Surnames
@Test
public final void testCompare_Surname_OSULLIVAN_OSUILLEABHAIN_SuccessfulMatch() {
    assertTrue(this.getStringEncoder().isEncodeEquals("O'Sullivan", "Ó ' Súilleabháin"));
}
@Test
public final void testCompare_Forenames_SEAN_JOHN_MatchExpected() {
    assertTrue(this.getStringEncoder().isEncodeEquals("Sean", "John"));
}</t>
  </si>
  <si>
    <t>// ***** Begin Region - Test Get Encoding - Surnames
@Test
public final void testCompare_Surname_OSULLIVAN_OSUILLEABHAIN_SuccessfulMatch() {
    assertTrue(this.getStringEncoder().isEncodeEquals("O'Sullivan", "Ó ' Súilleabháin"));
}
@Test
public final void testCompare_Surnames_MURPHY_LYNCH_NoMatchExpected() {
    assertFalse(this.getStringEncoder().isEncodeEquals("Murphy", "Lynch"));
}</t>
  </si>
  <si>
    <t>// ***** Begin Region - Test Get Encoding - Surnames
@Test
public final void testCompare_Surname_OSULLIVAN_OSUILLEABHAIN_SuccessfulMatch() {
    assertTrue(this.getStringEncoder().isEncodeEquals("O'Sullivan", "Ó ' Súilleabháin"));
}
@Test
public final void testCompare_Forenames_SEAN_PETE_NoMatchExpected() {
    assertFalse(this.getStringEncoder().isEncodeEquals("Sean", "Pete"));
}</t>
  </si>
  <si>
    <t>// ***** Begin Region - Test Get Encoding - Surnames
@Test
public final void testCompare_Surname_OSULLIVAN_OSUILLEABHAIN_SuccessfulMatch() {
    assertTrue(this.getStringEncoder().isEncodeEquals("O'Sullivan", "Ó ' Súilleabháin"));
}
@Test
public final void testCompare_SurnameCornerCase_Nulls_NoMatch() {
    assertFalse(this.getStringEncoder().isEncodeEquals(null, null));
}</t>
  </si>
  <si>
    <t>@Test
public final void testCompare_LongSurnames_MORIARTY_OMUIRCHEARTAIGH_DoesNotSuccessfulMatch() {
    assertFalse(this.getStringEncoder().isEncodeEquals("Moriarty", "OMuircheartaigh"));
}
@Test
public final void testCompare_LongSurnames_OMUIRCHEARTAIGH_OMIREADHAIGH_SuccessfulMatch() {
    assertTrue(this.getStringEncoder().isEncodeEquals("o'muireadhaigh", "Ó 'Muircheartaigh "));
}</t>
  </si>
  <si>
    <t>@Test
public final void testCompare_LongSurnames_MORIARTY_OMUIRCHEARTAIGH_DoesNotSuccessfulMatch() {
    assertFalse(this.getStringEncoder().isEncodeEquals("Moriarty", "OMuircheartaigh"));
}
// **** BEGIN YIDDISH/SLAVIC SECTION ****
@Test
public final void testCompare_Surname_AUERBACH_UHRBACH_SuccessfullyMatched() {
    assertTrue(this.getStringEncoder().isEncodeEquals("Auerbach", "Uhrbach"));
}</t>
  </si>
  <si>
    <t>@Test
public final void testCompare_LongSurnames_MORIARTY_OMUIRCHEARTAIGH_DoesNotSuccessfulMatch() {
    assertFalse(this.getStringEncoder().isEncodeEquals("Moriarty", "OMuircheartaigh"));
}
@Test
public final void testCompare_SurnamesCornerCase_MURPHY_NoSpace_NoMatch() {
    assertFalse(this.getStringEncoder().isEncodeEquals("Murphy", ""));
}</t>
  </si>
  <si>
    <t>@Test
public final void testCompare_LongSurnames_MORIARTY_OMUIRCHEARTAIGH_DoesNotSuccessfulMatch() {
    assertFalse(this.getStringEncoder().isEncodeEquals("Moriarty", "OMuircheartaigh"));
}
@Test
public final void testCompare_Surname_MOSKOWITZ_MOSKOVITZ_SuccessfullyMatched() {
    assertTrue(this.getStringEncoder().isEncodeEquals("Moskowitz", "Moskovitz"));
}</t>
  </si>
  <si>
    <t>@Test
public final void testCompare_LongSurnames_MORIARTY_OMUIRCHEARTAIGH_DoesNotSuccessfulMatch() {
    assertFalse(this.getStringEncoder().isEncodeEquals("Moriarty", "OMuircheartaigh"));
}
@Test
public final void testCompare_Surname_LEWINSKY_LEVINSKI_SuccessfullyMatched() {
    assertTrue(this.getStringEncoder().isEncodeEquals("LEWINSKY", "LEVINSKI"));
}</t>
  </si>
  <si>
    <t>@Test
public final void testCompare_LongSurnames_MORIARTY_OMUIRCHEARTAIGH_DoesNotSuccessfulMatch() {
    assertFalse(this.getStringEncoder().isEncodeEquals("Moriarty", "OMuircheartaigh"));
}
@Test
public final void testCompare_Surname_HAILEY_HALLEY_SuccessfullyMatched() {
    assertTrue(this.getStringEncoder().isEncodeEquals("Hailey", "Halley"));
}</t>
  </si>
  <si>
    <t>@Test
public final void testCompare_LongSurnames_MORIARTY_OMUIRCHEARTAIGH_DoesNotSuccessfulMatch() {
    assertFalse(this.getStringEncoder().isEncodeEquals("Moriarty", "OMuircheartaigh"));
}
@Test
public final void testCompare_Surname_PRZEMYSL_PSHEMESHIL_SuccessfullyMatched() {
    assertTrue(this.getStringEncoder().isEncodeEquals(" P rz e m y s l", " P sh e m e sh i l"));
}</t>
  </si>
  <si>
    <t>@Test
public final void testCompare_LongSurnames_MORIARTY_OMUIRCHEARTAIGH_DoesNotSuccessfulMatch() {
    assertFalse(this.getStringEncoder().isEncodeEquals("Moriarty", "OMuircheartaigh"));
}
@Test
public final void testCompare_SurnamesCornerCase_MURPHY_Space_NoMatch() {
    assertFalse(this.getStringEncoder().isEncodeEquals("Murphy", " "));
}</t>
  </si>
  <si>
    <t>@Test
public final void testCompare_LongSurnames_MORIARTY_OMUIRCHEARTAIGH_DoesNotSuccessfulMatch() {
    assertFalse(this.getStringEncoder().isEncodeEquals("Moriarty", "OMuircheartaigh"));
}
@Test
public final void testCompare_Surname_COOPERFLYNN_SUPERLYN_SuccessfullyMatched() {
    assertTrue(this.getStringEncoder().isEncodeEquals("Cooper-Flynn", "Super-Lyn"));
}</t>
  </si>
  <si>
    <t>@Test
public final void testCompare_LongSurnames_MORIARTY_OMUIRCHEARTAIGH_DoesNotSuccessfulMatch() {
    assertFalse(this.getStringEncoder().isEncodeEquals("Moriarty", "OMuircheartaigh"));
}
@Test
public final void testCompare_Surnames_MURPHY_LYNCH_NoMatchExpected() {
    assertFalse(this.getStringEncoder().isEncodeEquals("Murphy", "Lynch"));
}</t>
  </si>
  <si>
    <t>@Test
public final void testCompare_LongSurnames_MORIARTY_OMUIRCHEARTAIGH_DoesNotSuccessfulMatch() {
    assertFalse(this.getStringEncoder().isEncodeEquals("Moriarty", "OMuircheartaigh"));
}
@Test
public final void testCompare_Surname_SZLAMAWICZ_SHLAMOVITZ_SuccessfullyMatched() {
    assertTrue(this.getStringEncoder().isEncodeEquals("SZLAMAWICZ", "SHLAMOVITZ"));
}</t>
  </si>
  <si>
    <t>@Test
public final void testCompare_LongSurnames_MORIARTY_OMUIRCHEARTAIGH_DoesNotSuccessfulMatch() {
    assertFalse(this.getStringEncoder().isEncodeEquals("Moriarty", "OMuircheartaigh"));
}
@Test
public final void testCompare_Surname_ROSOCHOWACIEC_ROSOKHOVATSETS_SuccessfullyMatched() {
    assertTrue(this.getStringEncoder().isEncodeEquals("R o s o ch o w a c ie c", " R o s o k ho v a ts e ts"));
}</t>
  </si>
  <si>
    <t>@Test
public final void testCompare_LongSurnames_MORIARTY_OMUIRCHEARTAIGH_DoesNotSuccessfulMatch() {
    assertFalse(this.getStringEncoder().isEncodeEquals("Moriarty", "OMuircheartaigh"));
}
@Test
public final void testCompare_Surname_LIPSHITZ_LIPPSZYC_SuccessfullyMatched() {
    assertTrue(this.getStringEncoder().isEncodeEquals("LIPSHITZ", "LIPPSZYC"));
}</t>
  </si>
  <si>
    <t>@Test
public final void testCompare_LongSurnames_MORIARTY_OMUIRCHEARTAIGH_DoesNotSuccessfulMatch() {
    assertFalse(this.getStringEncoder().isEncodeEquals("Moriarty", "OMuircheartaigh"));
}
@Test
public final void testCompare_Forenames_SEAN_PETE_NoMatchExpected() {
    assertFalse(this.getStringEncoder().isEncodeEquals("Sean", "Pete"));
}</t>
  </si>
  <si>
    <t>@Test
public final void testCompare_LongSurnames_MORIARTY_OMUIRCHEARTAIGH_DoesNotSuccessfulMatch() {
    assertFalse(this.getStringEncoder().isEncodeEquals("Moriarty", "OMuircheartaigh"));
}
@Test
public final void testCompare_MCGOWAN_MCGEOGHEGAN_SuccessfullyMatched() {
    assertTrue(this.getStringEncoder().isEncodeEquals("McGowan", "Mc Geoghegan"));
}</t>
  </si>
  <si>
    <t>@Test
public final void testCompare_LongSurnames_MORIARTY_OMUIRCHEARTAIGH_DoesNotSuccessfulMatch() {
    assertFalse(this.getStringEncoder().isEncodeEquals("Moriarty", "OMuircheartaigh"));
}
// **** END YIDDISH/SLAVIC SECTION ****
@Test
public final void testCompare_PETERSON_PETERS_SuccessfullyMatched() {
    assertTrue(this.getStringEncoder().isEncodeEquals("Peterson", "Peters"));
}</t>
  </si>
  <si>
    <t>@Test
public final void testCompare_LongSurnames_MORIARTY_OMUIRCHEARTAIGH_DoesNotSuccessfulMatch() {
    assertFalse(this.getStringEncoder().isEncodeEquals("Moriarty", "OMuircheartaigh"));
}
@Test
public final void testCompare_Forenames_SEAN_JOHN_MatchExpected() {
    assertTrue(this.getStringEncoder().isEncodeEquals("Sean", "John"));
}</t>
  </si>
  <si>
    <t>@Test
public final void testCompare_LongSurnames_MORIARTY_OMUIRCHEARTAIGH_DoesNotSuccessfulMatch() {
    assertFalse(this.getStringEncoder().isEncodeEquals("Moriarty", "OMuircheartaigh"));
}
@Test
public final void testCompare_SurnameCornerCase_Nulls_NoMatch() {
    assertFalse(this.getStringEncoder().isEncodeEquals(null, null));
}</t>
  </si>
  <si>
    <t>@Test
public final void testCompare_LongSurnames_OMUIRCHEARTAIGH_OMIREADHAIGH_SuccessfulMatch() {
    assertTrue(this.getStringEncoder().isEncodeEquals("o'muireadhaigh", "Ó 'Muircheartaigh "));
}
// **** BEGIN YIDDISH/SLAVIC SECTION ****
@Test
public final void testCompare_Surname_AUERBACH_UHRBACH_SuccessfullyMatched() {
    assertTrue(this.getStringEncoder().isEncodeEquals("Auerbach", "Uhrbach"));
}</t>
  </si>
  <si>
    <t>@Test
public final void testCompare_LongSurnames_OMUIRCHEARTAIGH_OMIREADHAIGH_SuccessfulMatch() {
    assertTrue(this.getStringEncoder().isEncodeEquals("o'muireadhaigh", "Ó 'Muircheartaigh "));
}
@Test
public final void testCompare_Surname_PRZEMYSL_PSHEMESHIL_SuccessfullyMatched() {
    assertTrue(this.getStringEncoder().isEncodeEquals(" P rz e m y s l", " P sh e m e sh i l"));
}</t>
  </si>
  <si>
    <t>@Test
public final void testCompare_LongSurnames_OMUIRCHEARTAIGH_OMIREADHAIGH_SuccessfulMatch() {
    assertTrue(this.getStringEncoder().isEncodeEquals("o'muireadhaigh", "Ó 'Muircheartaigh "));
}
@Test
public final void testCompare_Surname_MOSKOWITZ_MOSKOVITZ_SuccessfullyMatched() {
    assertTrue(this.getStringEncoder().isEncodeEquals("Moskowitz", "Moskovitz"));
}</t>
  </si>
  <si>
    <t>@Test
public final void testCompare_LongSurnames_OMUIRCHEARTAIGH_OMIREADHAIGH_SuccessfulMatch() {
    assertTrue(this.getStringEncoder().isEncodeEquals("o'muireadhaigh", "Ó 'Muircheartaigh "));
}
@Test
public final void testCompare_Surname_HAILEY_HALLEY_SuccessfullyMatched() {
    assertTrue(this.getStringEncoder().isEncodeEquals("Hailey", "Halley"));
}</t>
  </si>
  <si>
    <t>@Test
public final void testCompare_LongSurnames_OMUIRCHEARTAIGH_OMIREADHAIGH_SuccessfulMatch() {
    assertTrue(this.getStringEncoder().isEncodeEquals("o'muireadhaigh", "Ó 'Muircheartaigh "));
}
@Test
public final void testCompare_Surname_SZLAMAWICZ_SHLAMOVITZ_SuccessfullyMatched() {
    assertTrue(this.getStringEncoder().isEncodeEquals("SZLAMAWICZ", "SHLAMOVITZ"));
}</t>
  </si>
  <si>
    <t>@Test
public final void testCompare_LongSurnames_OMUIRCHEARTAIGH_OMIREADHAIGH_SuccessfulMatch() {
    assertTrue(this.getStringEncoder().isEncodeEquals("o'muireadhaigh", "Ó 'Muircheartaigh "));
}
@Test
public final void testCompare_Surname_LIPSHITZ_LIPPSZYC_SuccessfullyMatched() {
    assertTrue(this.getStringEncoder().isEncodeEquals("LIPSHITZ", "LIPPSZYC"));
}</t>
  </si>
  <si>
    <t>@Test
public final void testCompare_LongSurnames_OMUIRCHEARTAIGH_OMIREADHAIGH_SuccessfulMatch() {
    assertTrue(this.getStringEncoder().isEncodeEquals("o'muireadhaigh", "Ó 'Muircheartaigh "));
}
@Test
public final void testCompare_Surname_COOPERFLYNN_SUPERLYN_SuccessfullyMatched() {
    assertTrue(this.getStringEncoder().isEncodeEquals("Cooper-Flynn", "Super-Lyn"));
}</t>
  </si>
  <si>
    <t>@Test
public final void testCompare_LongSurnames_OMUIRCHEARTAIGH_OMIREADHAIGH_SuccessfulMatch() {
    assertTrue(this.getStringEncoder().isEncodeEquals("o'muireadhaigh", "Ó 'Muircheartaigh "));
}
@Test
public final void testCompare_Surname_LEWINSKY_LEVINSKI_SuccessfullyMatched() {
    assertTrue(this.getStringEncoder().isEncodeEquals("LEWINSKY", "LEVINSKI"));
}</t>
  </si>
  <si>
    <t>@Test
public final void testCompare_LongSurnames_OMUIRCHEARTAIGH_OMIREADHAIGH_SuccessfulMatch() {
    assertTrue(this.getStringEncoder().isEncodeEquals("o'muireadhaigh", "Ó 'Muircheartaigh "));
}
@Test
public final void testCompare_Surname_ROSOCHOWACIEC_ROSOKHOVATSETS_SuccessfullyMatched() {
    assertTrue(this.getStringEncoder().isEncodeEquals("R o s o ch o w a c ie c", " R o s o k ho v a ts e ts"));
}</t>
  </si>
  <si>
    <t>@Test
public final void testCompare_LongSurnames_OMUIRCHEARTAIGH_OMIREADHAIGH_SuccessfulMatch() {
    assertTrue(this.getStringEncoder().isEncodeEquals("o'muireadhaigh", "Ó 'Muircheartaigh "));
}
@Test
public final void testCompare_MCGOWAN_MCGEOGHEGAN_SuccessfullyMatched() {
    assertTrue(this.getStringEncoder().isEncodeEquals("McGowan", "Mc Geoghegan"));
}</t>
  </si>
  <si>
    <t>@Test
public final void testCompare_LongSurnames_OMUIRCHEARTAIGH_OMIREADHAIGH_SuccessfulMatch() {
    assertTrue(this.getStringEncoder().isEncodeEquals("o'muireadhaigh", "Ó 'Muircheartaigh "));
}
@Test
public final void testCompare_SurnamesCornerCase_MURPHY_Space_NoMatch() {
    assertFalse(this.getStringEncoder().isEncodeEquals("Murphy", " "));
}</t>
  </si>
  <si>
    <t>@Test
public final void testCompare_LongSurnames_OMUIRCHEARTAIGH_OMIREADHAIGH_SuccessfulMatch() {
    assertTrue(this.getStringEncoder().isEncodeEquals("o'muireadhaigh", "Ó 'Muircheartaigh "));
}
@Test
public final void testCompare_SurnamesCornerCase_MURPHY_NoSpace_NoMatch() {
    assertFalse(this.getStringEncoder().isEncodeEquals("Murphy", ""));
}</t>
  </si>
  <si>
    <t>@Test
public final void testCompare_LongSurnames_OMUIRCHEARTAIGH_OMIREADHAIGH_SuccessfulMatch() {
    assertTrue(this.getStringEncoder().isEncodeEquals("o'muireadhaigh", "Ó 'Muircheartaigh "));
}
// **** END YIDDISH/SLAVIC SECTION ****
@Test
public final void testCompare_PETERSON_PETERS_SuccessfullyMatched() {
    assertTrue(this.getStringEncoder().isEncodeEquals("Peterson", "Peters"));
}</t>
  </si>
  <si>
    <t>@Test
public final void testCompare_LongSurnames_OMUIRCHEARTAIGH_OMIREADHAIGH_SuccessfulMatch() {
    assertTrue(this.getStringEncoder().isEncodeEquals("o'muireadhaigh", "Ó 'Muircheartaigh "));
}
@Test
public final void testCompare_Forenames_SEAN_JOHN_MatchExpected() {
    assertTrue(this.getStringEncoder().isEncodeEquals("Sean", "John"));
}</t>
  </si>
  <si>
    <t>@Test
public final void testCompare_LongSurnames_OMUIRCHEARTAIGH_OMIREADHAIGH_SuccessfulMatch() {
    assertTrue(this.getStringEncoder().isEncodeEquals("o'muireadhaigh", "Ó 'Muircheartaigh "));
}
@Test
public final void testCompare_Surnames_MURPHY_LYNCH_NoMatchExpected() {
    assertFalse(this.getStringEncoder().isEncodeEquals("Murphy", "Lynch"));
}</t>
  </si>
  <si>
    <t>@Test
public final void testCompare_LongSurnames_OMUIRCHEARTAIGH_OMIREADHAIGH_SuccessfulMatch() {
    assertTrue(this.getStringEncoder().isEncodeEquals("o'muireadhaigh", "Ó 'Muircheartaigh "));
}
@Test
public final void testCompare_Forenames_SEAN_PETE_NoMatchExpected() {
    assertFalse(this.getStringEncoder().isEncodeEquals("Sean", "Pete"));
}</t>
  </si>
  <si>
    <t>@Test
public final void testCompare_LongSurnames_OMUIRCHEARTAIGH_OMIREADHAIGH_SuccessfulMatch() {
    assertTrue(this.getStringEncoder().isEncodeEquals("o'muireadhaigh", "Ó 'Muircheartaigh "));
}
@Test
public final void testCompare_SurnameCornerCase_Nulls_NoMatch() {
    assertFalse(this.getStringEncoder().isEncodeEquals(null, null));
}</t>
  </si>
  <si>
    <t>@Test
public final void testCompare_Surname_COOPERFLYNN_SUPERLYN_SuccessfullyMatched() {
    assertTrue(this.getStringEncoder().isEncodeEquals("Cooper-Flynn", "Super-Lyn"));
}
// **** BEGIN YIDDISH/SLAVIC SECTION ****
@Test
public final void testCompare_Surname_AUERBACH_UHRBACH_SuccessfullyMatched() {
    assertTrue(this.getStringEncoder().isEncodeEquals("Auerbach", "Uhrbach"));
}</t>
  </si>
  <si>
    <t>@Test
public final void testCompare_Surname_COOPERFLYNN_SUPERLYN_SuccessfullyMatched() {
    assertTrue(this.getStringEncoder().isEncodeEquals("Cooper-Flynn", "Super-Lyn"));
}
@Test
public final void testCompare_Surname_HAILEY_HALLEY_SuccessfullyMatched() {
    assertTrue(this.getStringEncoder().isEncodeEquals("Hailey", "Halley"));
}</t>
  </si>
  <si>
    <t>@Test
public final void testCompare_Surname_COOPERFLYNN_SUPERLYN_SuccessfullyMatched() {
    assertTrue(this.getStringEncoder().isEncodeEquals("Cooper-Flynn", "Super-Lyn"));
}
@Test
public final void testCompare_Surname_LIPSHITZ_LIPPSZYC_SuccessfullyMatched() {
    assertTrue(this.getStringEncoder().isEncodeEquals("LIPSHITZ", "LIPPSZYC"));
}</t>
  </si>
  <si>
    <t>@Test
public final void testCompare_Surname_COOPERFLYNN_SUPERLYN_SuccessfullyMatched() {
    assertTrue(this.getStringEncoder().isEncodeEquals("Cooper-Flynn", "Super-Lyn"));
}
@Test
public final void testCompare_Surname_PRZEMYSL_PSHEMESHIL_SuccessfullyMatched() {
    assertTrue(this.getStringEncoder().isEncodeEquals(" P rz e m y s l", " P sh e m e sh i l"));
}</t>
  </si>
  <si>
    <t>@Test
public final void testCompare_Surname_COOPERFLYNN_SUPERLYN_SuccessfullyMatched() {
    assertTrue(this.getStringEncoder().isEncodeEquals("Cooper-Flynn", "Super-Lyn"));
}
@Test
public final void testCompare_Surname_MOSKOWITZ_MOSKOVITZ_SuccessfullyMatched() {
    assertTrue(this.getStringEncoder().isEncodeEquals("Moskowitz", "Moskovitz"));
}</t>
  </si>
  <si>
    <t>@Test
public final void testCompare_Surname_COOPERFLYNN_SUPERLYN_SuccessfullyMatched() {
    assertTrue(this.getStringEncoder().isEncodeEquals("Cooper-Flynn", "Super-Lyn"));
}
@Test
public final void testCompare_Surname_LEWINSKY_LEVINSKI_SuccessfullyMatched() {
    assertTrue(this.getStringEncoder().isEncodeEquals("LEWINSKY", "LEVINSKI"));
}</t>
  </si>
  <si>
    <t>@Test
public final void testCompare_Surname_COOPERFLYNN_SUPERLYN_SuccessfullyMatched() {
    assertTrue(this.getStringEncoder().isEncodeEquals("Cooper-Flynn", "Super-Lyn"));
}
@Test
public final void testCompare_Surname_SZLAMAWICZ_SHLAMOVITZ_SuccessfullyMatched() {
    assertTrue(this.getStringEncoder().isEncodeEquals("SZLAMAWICZ", "SHLAMOVITZ"));
}</t>
  </si>
  <si>
    <t>@Test
public final void testCompare_Surname_COOPERFLYNN_SUPERLYN_SuccessfullyMatched() {
    assertTrue(this.getStringEncoder().isEncodeEquals("Cooper-Flynn", "Super-Lyn"));
}
// **** END YIDDISH/SLAVIC SECTION ****
@Test
public final void testCompare_PETERSON_PETERS_SuccessfullyMatched() {
    assertTrue(this.getStringEncoder().isEncodeEquals("Peterson", "Peters"));
}</t>
  </si>
  <si>
    <t>@Test
public final void testCompare_Surname_COOPERFLYNN_SUPERLYN_SuccessfullyMatched() {
    assertTrue(this.getStringEncoder().isEncodeEquals("Cooper-Flynn", "Super-Lyn"));
}
@Test
public final void testCompare_Surname_ROSOCHOWACIEC_ROSOKHOVATSETS_SuccessfullyMatched() {
    assertTrue(this.getStringEncoder().isEncodeEquals("R o s o ch o w a c ie c", " R o s o k ho v a ts e ts"));
}</t>
  </si>
  <si>
    <t>@Test
public final void testCompare_Surname_COOPERFLYNN_SUPERLYN_SuccessfullyMatched() {
    assertTrue(this.getStringEncoder().isEncodeEquals("Cooper-Flynn", "Super-Lyn"));
}
@Test
public final void testCompare_MCGOWAN_MCGEOGHEGAN_SuccessfullyMatched() {
    assertTrue(this.getStringEncoder().isEncodeEquals("McGowan", "Mc Geoghegan"));
}</t>
  </si>
  <si>
    <t>@Test
public final void testCompare_Surname_COOPERFLYNN_SUPERLYN_SuccessfullyMatched() {
    assertTrue(this.getStringEncoder().isEncodeEquals("Cooper-Flynn", "Super-Lyn"));
}
@Test
public final void testCompare_SurnamesCornerCase_MURPHY_Space_NoMatch() {
    assertFalse(this.getStringEncoder().isEncodeEquals("Murphy", " "));
}</t>
  </si>
  <si>
    <t>@Test
public final void testCompare_Surname_COOPERFLYNN_SUPERLYN_SuccessfullyMatched() {
    assertTrue(this.getStringEncoder().isEncodeEquals("Cooper-Flynn", "Super-Lyn"));
}
@Test
public final void testCompare_SurnamesCornerCase_MURPHY_NoSpace_NoMatch() {
    assertFalse(this.getStringEncoder().isEncodeEquals("Murphy", ""));
}</t>
  </si>
  <si>
    <t>@Test
public final void testCompare_Surname_COOPERFLYNN_SUPERLYN_SuccessfullyMatched() {
    assertTrue(this.getStringEncoder().isEncodeEquals("Cooper-Flynn", "Super-Lyn"));
}
@Test
public final void testCompare_Forenames_SEAN_JOHN_MatchExpected() {
    assertTrue(this.getStringEncoder().isEncodeEquals("Sean", "John"));
}</t>
  </si>
  <si>
    <t>@Test
public final void testCompare_Surname_COOPERFLYNN_SUPERLYN_SuccessfullyMatched() {
    assertTrue(this.getStringEncoder().isEncodeEquals("Cooper-Flynn", "Super-Lyn"));
}
@Test
public final void testCompare_Surnames_MURPHY_LYNCH_NoMatchExpected() {
    assertFalse(this.getStringEncoder().isEncodeEquals("Murphy", "Lynch"));
}</t>
  </si>
  <si>
    <t>@Test
public final void testCompare_Surname_COOPERFLYNN_SUPERLYN_SuccessfullyMatched() {
    assertTrue(this.getStringEncoder().isEncodeEquals("Cooper-Flynn", "Super-Lyn"));
}
@Test
public final void testCompare_Forenames_SEAN_PETE_NoMatchExpected() {
    assertFalse(this.getStringEncoder().isEncodeEquals("Sean", "Pete"));
}</t>
  </si>
  <si>
    <t>@Test
public final void testCompare_Surname_COOPERFLYNN_SUPERLYN_SuccessfullyMatched() {
    assertTrue(this.getStringEncoder().isEncodeEquals("Cooper-Flynn", "Super-Lyn"));
}
@Test
public final void testCompare_SurnameCornerCase_Nulls_NoMatch() {
    assertFalse(this.getStringEncoder().isEncodeEquals(null, null));
}</t>
  </si>
  <si>
    <t>@Test
public final void testCompare_Surname_HAILEY_HALLEY_SuccessfullyMatched() {
    assertTrue(this.getStringEncoder().isEncodeEquals("Hailey", "Halley"));
}
@Test
public final void testCompare_Surname_LEWINSKY_LEVINSKI_SuccessfullyMatched() {
    assertTrue(this.getStringEncoder().isEncodeEquals("LEWINSKY", "LEVINSKI"));
}</t>
  </si>
  <si>
    <t>@Test
public final void testCompare_Surname_HAILEY_HALLEY_SuccessfullyMatched() {
    assertTrue(this.getStringEncoder().isEncodeEquals("Hailey", "Halley"));
}
// **** BEGIN YIDDISH/SLAVIC SECTION ****
@Test
public final void testCompare_Surname_AUERBACH_UHRBACH_SuccessfullyMatched() {
    assertTrue(this.getStringEncoder().isEncodeEquals("Auerbach", "Uhrbach"));
}</t>
  </si>
  <si>
    <t>@Test
public final void testCompare_Surname_HAILEY_HALLEY_SuccessfullyMatched() {
    assertTrue(this.getStringEncoder().isEncodeEquals("Hailey", "Halley"));
}
@Test
public final void testCompare_Surname_LIPSHITZ_LIPPSZYC_SuccessfullyMatched() {
    assertTrue(this.getStringEncoder().isEncodeEquals("LIPSHITZ", "LIPPSZYC"));
}</t>
  </si>
  <si>
    <t>@Test
public final void testCompare_Surname_HAILEY_HALLEY_SuccessfullyMatched() {
    assertTrue(this.getStringEncoder().isEncodeEquals("Hailey", "Halley"));
}
@Test
public final void testCompare_Surname_PRZEMYSL_PSHEMESHIL_SuccessfullyMatched() {
    assertTrue(this.getStringEncoder().isEncodeEquals(" P rz e m y s l", " P sh e m e sh i l"));
}</t>
  </si>
  <si>
    <t>@Test
public final void testCompare_Surname_HAILEY_HALLEY_SuccessfullyMatched() {
    assertTrue(this.getStringEncoder().isEncodeEquals("Hailey", "Halley"));
}
@Test
public final void testCompare_Surname_SZLAMAWICZ_SHLAMOVITZ_SuccessfullyMatched() {
    assertTrue(this.getStringEncoder().isEncodeEquals("SZLAMAWICZ", "SHLAMOVITZ"));
}</t>
  </si>
  <si>
    <t>@Test
public final void testCompare_Surname_HAILEY_HALLEY_SuccessfullyMatched() {
    assertTrue(this.getStringEncoder().isEncodeEquals("Hailey", "Halley"));
}
@Test
public final void testCompare_Surname_MOSKOWITZ_MOSKOVITZ_SuccessfullyMatched() {
    assertTrue(this.getStringEncoder().isEncodeEquals("Moskowitz", "Moskovitz"));
}</t>
  </si>
  <si>
    <t>@Test
public final void testCompare_Surname_HAILEY_HALLEY_SuccessfullyMatched() {
    assertTrue(this.getStringEncoder().isEncodeEquals("Hailey", "Halley"));
}
@Test
public final void testCompare_MCGOWAN_MCGEOGHEGAN_SuccessfullyMatched() {
    assertTrue(this.getStringEncoder().isEncodeEquals("McGowan", "Mc Geoghegan"));
}</t>
  </si>
  <si>
    <t>@Test
public final void testCompare_Surname_HAILEY_HALLEY_SuccessfullyMatched() {
    assertTrue(this.getStringEncoder().isEncodeEquals("Hailey", "Halley"));
}
@Test
public final void testCompare_Surname_ROSOCHOWACIEC_ROSOKHOVATSETS_SuccessfullyMatched() {
    assertTrue(this.getStringEncoder().isEncodeEquals("R o s o ch o w a c ie c", " R o s o k ho v a ts e ts"));
}</t>
  </si>
  <si>
    <t>@Test
public final void testCompare_Surname_HAILEY_HALLEY_SuccessfullyMatched() {
    assertTrue(this.getStringEncoder().isEncodeEquals("Hailey", "Halley"));
}
// **** END YIDDISH/SLAVIC SECTION ****
@Test
public final void testCompare_PETERSON_PETERS_SuccessfullyMatched() {
    assertTrue(this.getStringEncoder().isEncodeEquals("Peterson", "Peters"));
}</t>
  </si>
  <si>
    <t>@Test
public final void testCompare_Surname_HAILEY_HALLEY_SuccessfullyMatched() {
    assertTrue(this.getStringEncoder().isEncodeEquals("Hailey", "Halley"));
}
@Test
public final void testCompare_Forenames_SEAN_JOHN_MatchExpected() {
    assertTrue(this.getStringEncoder().isEncodeEquals("Sean", "John"));
}</t>
  </si>
  <si>
    <t>@Test
public final void testCompare_Surname_HAILEY_HALLEY_SuccessfullyMatched() {
    assertTrue(this.getStringEncoder().isEncodeEquals("Hailey", "Halley"));
}
@Test
public final void testCompare_Surnames_MURPHY_LYNCH_NoMatchExpected() {
    assertFalse(this.getStringEncoder().isEncodeEquals("Murphy", "Lynch"));
}</t>
  </si>
  <si>
    <t>@Test
public final void testCompare_Surname_HAILEY_HALLEY_SuccessfullyMatched() {
    assertTrue(this.getStringEncoder().isEncodeEquals("Hailey", "Halley"));
}
@Test
public final void testCompare_SurnamesCornerCase_MURPHY_Space_NoMatch() {
    assertFalse(this.getStringEncoder().isEncodeEquals("Murphy", " "));
}</t>
  </si>
  <si>
    <t>@Test
public final void testCompare_Surname_HAILEY_HALLEY_SuccessfullyMatched() {
    assertTrue(this.getStringEncoder().isEncodeEquals("Hailey", "Halley"));
}
@Test
public final void testCompare_SurnamesCornerCase_MURPHY_NoSpace_NoMatch() {
    assertFalse(this.getStringEncoder().isEncodeEquals("Murphy", ""));
}</t>
  </si>
  <si>
    <t>@Test
public final void testCompare_Surname_HAILEY_HALLEY_SuccessfullyMatched() {
    assertTrue(this.getStringEncoder().isEncodeEquals("Hailey", "Halley"));
}
@Test
public final void testCompare_Forenames_SEAN_PETE_NoMatchExpected() {
    assertFalse(this.getStringEncoder().isEncodeEquals("Sean", "Pete"));
}</t>
  </si>
  <si>
    <t>@Test
public final void testCompare_Surname_HAILEY_HALLEY_SuccessfullyMatched() {
    assertTrue(this.getStringEncoder().isEncodeEquals("Hailey", "Halley"));
}
@Test
public final void testCompare_SurnameCornerCase_Nulls_NoMatch() {
    assertFalse(this.getStringEncoder().isEncodeEquals(null, null));
}</t>
  </si>
  <si>
    <t>// **** BEGIN YIDDISH/SLAVIC SECTION ****
@Test
public final void testCompare_Surname_AUERBACH_UHRBACH_SuccessfullyMatched() {
    assertTrue(this.getStringEncoder().isEncodeEquals("Auerbach", "Uhrbach"));
}
@Test
public final void testCompare_Surname_PRZEMYSL_PSHEMESHIL_SuccessfullyMatched() {
    assertTrue(this.getStringEncoder().isEncodeEquals(" P rz e m y s l", " P sh e m e sh i l"));
}</t>
  </si>
  <si>
    <t>// **** BEGIN YIDDISH/SLAVIC SECTION ****
@Test
public final void testCompare_Surname_AUERBACH_UHRBACH_SuccessfullyMatched() {
    assertTrue(this.getStringEncoder().isEncodeEquals("Auerbach", "Uhrbach"));
}
@Test
public final void testCompare_Surname_LEWINSKY_LEVINSKI_SuccessfullyMatched() {
    assertTrue(this.getStringEncoder().isEncodeEquals("LEWINSKY", "LEVINSKI"));
}</t>
  </si>
  <si>
    <t>// **** BEGIN YIDDISH/SLAVIC SECTION ****
@Test
public final void testCompare_Surname_AUERBACH_UHRBACH_SuccessfullyMatched() {
    assertTrue(this.getStringEncoder().isEncodeEquals("Auerbach", "Uhrbach"));
}
@Test
public final void testCompare_Surname_LIPSHITZ_LIPPSZYC_SuccessfullyMatched() {
    assertTrue(this.getStringEncoder().isEncodeEquals("LIPSHITZ", "LIPPSZYC"));
}</t>
  </si>
  <si>
    <t>// **** BEGIN YIDDISH/SLAVIC SECTION ****
@Test
public final void testCompare_Surname_AUERBACH_UHRBACH_SuccessfullyMatched() {
    assertTrue(this.getStringEncoder().isEncodeEquals("Auerbach", "Uhrbach"));
}
@Test
public final void testCompare_Surname_SZLAMAWICZ_SHLAMOVITZ_SuccessfullyMatched() {
    assertTrue(this.getStringEncoder().isEncodeEquals("SZLAMAWICZ", "SHLAMOVITZ"));
}</t>
  </si>
  <si>
    <t>// **** BEGIN YIDDISH/SLAVIC SECTION ****
@Test
public final void testCompare_Surname_AUERBACH_UHRBACH_SuccessfullyMatched() {
    assertTrue(this.getStringEncoder().isEncodeEquals("Auerbach", "Uhrbach"));
}
@Test
public final void testCompare_Surname_MOSKOWITZ_MOSKOVITZ_SuccessfullyMatched() {
    assertTrue(this.getStringEncoder().isEncodeEquals("Moskowitz", "Moskovitz"));
}</t>
  </si>
  <si>
    <t>// **** BEGIN YIDDISH/SLAVIC SECTION ****
@Test
public final void testCompare_Surname_AUERBACH_UHRBACH_SuccessfullyMatched() {
    assertTrue(this.getStringEncoder().isEncodeEquals("Auerbach", "Uhrbach"));
}
@Test
public final void testCompare_MCGOWAN_MCGEOGHEGAN_SuccessfullyMatched() {
    assertTrue(this.getStringEncoder().isEncodeEquals("McGowan", "Mc Geoghegan"));
}</t>
  </si>
  <si>
    <t>// **** BEGIN YIDDISH/SLAVIC SECTION ****
@Test
public final void testCompare_Surname_AUERBACH_UHRBACH_SuccessfullyMatched() {
    assertTrue(this.getStringEncoder().isEncodeEquals("Auerbach", "Uhrbach"));
}
// **** END YIDDISH/SLAVIC SECTION ****
@Test
public final void testCompare_PETERSON_PETERS_SuccessfullyMatched() {
    assertTrue(this.getStringEncoder().isEncodeEquals("Peterson", "Peters"));
}</t>
  </si>
  <si>
    <t>// **** BEGIN YIDDISH/SLAVIC SECTION ****
@Test
public final void testCompare_Surname_AUERBACH_UHRBACH_SuccessfullyMatched() {
    assertTrue(this.getStringEncoder().isEncodeEquals("Auerbach", "Uhrbach"));
}
@Test
public final void testCompare_Surname_ROSOCHOWACIEC_ROSOKHOVATSETS_SuccessfullyMatched() {
    assertTrue(this.getStringEncoder().isEncodeEquals("R o s o ch o w a c ie c", " R o s o k ho v a ts e ts"));
}</t>
  </si>
  <si>
    <t>// **** BEGIN YIDDISH/SLAVIC SECTION ****
@Test
public final void testCompare_Surname_AUERBACH_UHRBACH_SuccessfullyMatched() {
    assertTrue(this.getStringEncoder().isEncodeEquals("Auerbach", "Uhrbach"));
}
@Test
public final void testCompare_SurnamesCornerCase_MURPHY_Space_NoMatch() {
    assertFalse(this.getStringEncoder().isEncodeEquals("Murphy", " "));
}</t>
  </si>
  <si>
    <t>// **** BEGIN YIDDISH/SLAVIC SECTION ****
@Test
public final void testCompare_Surname_AUERBACH_UHRBACH_SuccessfullyMatched() {
    assertTrue(this.getStringEncoder().isEncodeEquals("Auerbach", "Uhrbach"));
}
@Test
public final void testCompare_Forenames_SEAN_JOHN_MatchExpected() {
    assertTrue(this.getStringEncoder().isEncodeEquals("Sean", "John"));
}</t>
  </si>
  <si>
    <t>// **** BEGIN YIDDISH/SLAVIC SECTION ****
@Test
public final void testCompare_Surname_AUERBACH_UHRBACH_SuccessfullyMatched() {
    assertTrue(this.getStringEncoder().isEncodeEquals("Auerbach", "Uhrbach"));
}
@Test
public final void testCompare_Surnames_MURPHY_LYNCH_NoMatchExpected() {
    assertFalse(this.getStringEncoder().isEncodeEquals("Murphy", "Lynch"));
}</t>
  </si>
  <si>
    <t>// **** BEGIN YIDDISH/SLAVIC SECTION ****
@Test
public final void testCompare_Surname_AUERBACH_UHRBACH_SuccessfullyMatched() {
    assertTrue(this.getStringEncoder().isEncodeEquals("Auerbach", "Uhrbach"));
}
@Test
public final void testCompare_SurnamesCornerCase_MURPHY_NoSpace_NoMatch() {
    assertFalse(this.getStringEncoder().isEncodeEquals("Murphy", ""));
}</t>
  </si>
  <si>
    <t>// **** BEGIN YIDDISH/SLAVIC SECTION ****
@Test
public final void testCompare_Surname_AUERBACH_UHRBACH_SuccessfullyMatched() {
    assertTrue(this.getStringEncoder().isEncodeEquals("Auerbach", "Uhrbach"));
}
@Test
public final void testCompare_Forenames_SEAN_PETE_NoMatchExpected() {
    assertFalse(this.getStringEncoder().isEncodeEquals("Sean", "Pete"));
}</t>
  </si>
  <si>
    <t>// **** BEGIN YIDDISH/SLAVIC SECTION ****
@Test
public final void testCompare_Surname_AUERBACH_UHRBACH_SuccessfullyMatched() {
    assertTrue(this.getStringEncoder().isEncodeEquals("Auerbach", "Uhrbach"));
}
@Test
public final void testCompare_SurnameCornerCase_Nulls_NoMatch() {
    assertFalse(this.getStringEncoder().isEncodeEquals(null, null));
}</t>
  </si>
  <si>
    <t>@Test
public final void testCompare_Surname_MOSKOWITZ_MOSKOVITZ_SuccessfullyMatched() {
    assertTrue(this.getStringEncoder().isEncodeEquals("Moskowitz", "Moskovitz"));
}
@Test
public final void testCompare_Surname_SZLAMAWICZ_SHLAMOVITZ_SuccessfullyMatched() {
    assertTrue(this.getStringEncoder().isEncodeEquals("SZLAMAWICZ", "SHLAMOVITZ"));
}</t>
  </si>
  <si>
    <t>@Test
public final void testCompare_Surname_MOSKOWITZ_MOSKOVITZ_SuccessfullyMatched() {
    assertTrue(this.getStringEncoder().isEncodeEquals("Moskowitz", "Moskovitz"));
}
@Test
public final void testCompare_Surname_LIPSHITZ_LIPPSZYC_SuccessfullyMatched() {
    assertTrue(this.getStringEncoder().isEncodeEquals("LIPSHITZ", "LIPPSZYC"));
}</t>
  </si>
  <si>
    <t>@Test
public final void testCompare_Surname_MOSKOWITZ_MOSKOVITZ_SuccessfullyMatched() {
    assertTrue(this.getStringEncoder().isEncodeEquals("Moskowitz", "Moskovitz"));
}
@Test
public final void testCompare_Surname_ROSOCHOWACIEC_ROSOKHOVATSETS_SuccessfullyMatched() {
    assertTrue(this.getStringEncoder().isEncodeEquals("R o s o ch o w a c ie c", " R o s o k ho v a ts e ts"));
}</t>
  </si>
  <si>
    <t>@Test
public final void testCompare_Surname_MOSKOWITZ_MOSKOVITZ_SuccessfullyMatched() {
    assertTrue(this.getStringEncoder().isEncodeEquals("Moskowitz", "Moskovitz"));
}
@Test
public final void testCompare_Surname_LEWINSKY_LEVINSKI_SuccessfullyMatched() {
    assertTrue(this.getStringEncoder().isEncodeEquals("LEWINSKY", "LEVINSKI"));
}</t>
  </si>
  <si>
    <t>@Test
public final void testCompare_Surname_MOSKOWITZ_MOSKOVITZ_SuccessfullyMatched() {
    assertTrue(this.getStringEncoder().isEncodeEquals("Moskowitz", "Moskovitz"));
}
@Test
public final void testCompare_Surname_PRZEMYSL_PSHEMESHIL_SuccessfullyMatched() {
    assertTrue(this.getStringEncoder().isEncodeEquals(" P rz e m y s l", " P sh e m e sh i l"));
}</t>
  </si>
  <si>
    <t>@Test
public final void testCompare_Surname_MOSKOWITZ_MOSKOVITZ_SuccessfullyMatched() {
    assertTrue(this.getStringEncoder().isEncodeEquals("Moskowitz", "Moskovitz"));
}
@Test
public final void testCompare_MCGOWAN_MCGEOGHEGAN_SuccessfullyMatched() {
    assertTrue(this.getStringEncoder().isEncodeEquals("McGowan", "Mc Geoghegan"));
}</t>
  </si>
  <si>
    <t>@Test
public final void testCompare_Surname_MOSKOWITZ_MOSKOVITZ_SuccessfullyMatched() {
    assertTrue(this.getStringEncoder().isEncodeEquals("Moskowitz", "Moskovitz"));
}
// **** END YIDDISH/SLAVIC SECTION ****
@Test
public final void testCompare_PETERSON_PETERS_SuccessfullyMatched() {
    assertTrue(this.getStringEncoder().isEncodeEquals("Peterson", "Peters"));
}</t>
  </si>
  <si>
    <t>@Test
public final void testCompare_Surname_MOSKOWITZ_MOSKOVITZ_SuccessfullyMatched() {
    assertTrue(this.getStringEncoder().isEncodeEquals("Moskowitz", "Moskovitz"));
}
@Test
public final void testCompare_SurnamesCornerCase_MURPHY_Space_NoMatch() {
    assertFalse(this.getStringEncoder().isEncodeEquals("Murphy", " "));
}</t>
  </si>
  <si>
    <t>@Test
public final void testCompare_Surname_MOSKOWITZ_MOSKOVITZ_SuccessfullyMatched() {
    assertTrue(this.getStringEncoder().isEncodeEquals("Moskowitz", "Moskovitz"));
}
@Test
public final void testCompare_Forenames_SEAN_JOHN_MatchExpected() {
    assertTrue(this.getStringEncoder().isEncodeEquals("Sean", "John"));
}</t>
  </si>
  <si>
    <t>@Test
public final void testCompare_Surname_MOSKOWITZ_MOSKOVITZ_SuccessfullyMatched() {
    assertTrue(this.getStringEncoder().isEncodeEquals("Moskowitz", "Moskovitz"));
}
@Test
public final void testCompare_SurnamesCornerCase_MURPHY_NoSpace_NoMatch() {
    assertFalse(this.getStringEncoder().isEncodeEquals("Murphy", ""));
}</t>
  </si>
  <si>
    <t>@Test
public final void testCompare_Surname_MOSKOWITZ_MOSKOVITZ_SuccessfullyMatched() {
    assertTrue(this.getStringEncoder().isEncodeEquals("Moskowitz", "Moskovitz"));
}
@Test
public final void testCompare_Surnames_MURPHY_LYNCH_NoMatchExpected() {
    assertFalse(this.getStringEncoder().isEncodeEquals("Murphy", "Lynch"));
}</t>
  </si>
  <si>
    <t>@Test
public final void testCompare_Surname_MOSKOWITZ_MOSKOVITZ_SuccessfullyMatched() {
    assertTrue(this.getStringEncoder().isEncodeEquals("Moskowitz", "Moskovitz"));
}
@Test
public final void testCompare_Forenames_SEAN_PETE_NoMatchExpected() {
    assertFalse(this.getStringEncoder().isEncodeEquals("Sean", "Pete"));
}</t>
  </si>
  <si>
    <t>@Test
public final void testCompare_Surname_MOSKOWITZ_MOSKOVITZ_SuccessfullyMatched() {
    assertTrue(this.getStringEncoder().isEncodeEquals("Moskowitz", "Moskovitz"));
}
@Test
public final void testCompare_SurnameCornerCase_Nulls_NoMatch() {
    assertFalse(this.getStringEncoder().isEncodeEquals(null, null));
}</t>
  </si>
  <si>
    <t>@Test
public final void testCompare_Surname_LIPSHITZ_LIPPSZYC_SuccessfullyMatched() {
    assertTrue(this.getStringEncoder().isEncodeEquals("LIPSHITZ", "LIPPSZYC"));
}
@Test
public final void testCompare_Surname_LEWINSKY_LEVINSKI_SuccessfullyMatched() {
    assertTrue(this.getStringEncoder().isEncodeEquals("LEWINSKY", "LEVINSKI"));
}</t>
  </si>
  <si>
    <t>@Test
public final void testCompare_Surname_LIPSHITZ_LIPPSZYC_SuccessfullyMatched() {
    assertTrue(this.getStringEncoder().isEncodeEquals("LIPSHITZ", "LIPPSZYC"));
}
@Test
public final void testCompare_Surname_SZLAMAWICZ_SHLAMOVITZ_SuccessfullyMatched() {
    assertTrue(this.getStringEncoder().isEncodeEquals("SZLAMAWICZ", "SHLAMOVITZ"));
}</t>
  </si>
  <si>
    <t>@Test
public final void testCompare_Surname_LIPSHITZ_LIPPSZYC_SuccessfullyMatched() {
    assertTrue(this.getStringEncoder().isEncodeEquals("LIPSHITZ", "LIPPSZYC"));
}
@Test
public final void testCompare_Surname_PRZEMYSL_PSHEMESHIL_SuccessfullyMatched() {
    assertTrue(this.getStringEncoder().isEncodeEquals(" P rz e m y s l", " P sh e m e sh i l"));
}</t>
  </si>
  <si>
    <t>@Test
public final void testCompare_Surname_LIPSHITZ_LIPPSZYC_SuccessfullyMatched() {
    assertTrue(this.getStringEncoder().isEncodeEquals("LIPSHITZ", "LIPPSZYC"));
}
// **** END YIDDISH/SLAVIC SECTION ****
@Test
public final void testCompare_PETERSON_PETERS_SuccessfullyMatched() {
    assertTrue(this.getStringEncoder().isEncodeEquals("Peterson", "Peters"));
}</t>
  </si>
  <si>
    <t>@Test
public final void testCompare_Surname_LIPSHITZ_LIPPSZYC_SuccessfullyMatched() {
    assertTrue(this.getStringEncoder().isEncodeEquals("LIPSHITZ", "LIPPSZYC"));
}
@Test
public final void testCompare_Surname_ROSOCHOWACIEC_ROSOKHOVATSETS_SuccessfullyMatched() {
    assertTrue(this.getStringEncoder().isEncodeEquals("R o s o ch o w a c ie c", " R o s o k ho v a ts e ts"));
}</t>
  </si>
  <si>
    <t>@Test
public final void testCompare_Surname_LIPSHITZ_LIPPSZYC_SuccessfullyMatched() {
    assertTrue(this.getStringEncoder().isEncodeEquals("LIPSHITZ", "LIPPSZYC"));
}
@Test
public final void testCompare_MCGOWAN_MCGEOGHEGAN_SuccessfullyMatched() {
    assertTrue(this.getStringEncoder().isEncodeEquals("McGowan", "Mc Geoghegan"));
}</t>
  </si>
  <si>
    <t>@Test
public final void testCompare_Surname_LIPSHITZ_LIPPSZYC_SuccessfullyMatched() {
    assertTrue(this.getStringEncoder().isEncodeEquals("LIPSHITZ", "LIPPSZYC"));
}
@Test
public final void testCompare_SurnamesCornerCase_MURPHY_Space_NoMatch() {
    assertFalse(this.getStringEncoder().isEncodeEquals("Murphy", " "));
}</t>
  </si>
  <si>
    <t>@Test
public final void testCompare_Surname_LIPSHITZ_LIPPSZYC_SuccessfullyMatched() {
    assertTrue(this.getStringEncoder().isEncodeEquals("LIPSHITZ", "LIPPSZYC"));
}
@Test
public final void testCompare_Forenames_SEAN_JOHN_MatchExpected() {
    assertTrue(this.getStringEncoder().isEncodeEquals("Sean", "John"));
}</t>
  </si>
  <si>
    <t>@Test
public final void testCompare_Surname_LIPSHITZ_LIPPSZYC_SuccessfullyMatched() {
    assertTrue(this.getStringEncoder().isEncodeEquals("LIPSHITZ", "LIPPSZYC"));
}
@Test
public final void testCompare_SurnamesCornerCase_MURPHY_NoSpace_NoMatch() {
    assertFalse(this.getStringEncoder().isEncodeEquals("Murphy", ""));
}</t>
  </si>
  <si>
    <t>@Test
public final void testCompare_Surname_LIPSHITZ_LIPPSZYC_SuccessfullyMatched() {
    assertTrue(this.getStringEncoder().isEncodeEquals("LIPSHITZ", "LIPPSZYC"));
}
@Test
public final void testCompare_Surnames_MURPHY_LYNCH_NoMatchExpected() {
    assertFalse(this.getStringEncoder().isEncodeEquals("Murphy", "Lynch"));
}</t>
  </si>
  <si>
    <t>@Test
public final void testCompare_Surname_LIPSHITZ_LIPPSZYC_SuccessfullyMatched() {
    assertTrue(this.getStringEncoder().isEncodeEquals("LIPSHITZ", "LIPPSZYC"));
}
@Test
public final void testCompare_Forenames_SEAN_PETE_NoMatchExpected() {
    assertFalse(this.getStringEncoder().isEncodeEquals("Sean", "Pete"));
}</t>
  </si>
  <si>
    <t>@Test
public final void testCompare_Surname_LIPSHITZ_LIPPSZYC_SuccessfullyMatched() {
    assertTrue(this.getStringEncoder().isEncodeEquals("LIPSHITZ", "LIPPSZYC"));
}
@Test
public final void testCompare_SurnameCornerCase_Nulls_NoMatch() {
    assertFalse(this.getStringEncoder().isEncodeEquals(null, null));
}</t>
  </si>
  <si>
    <t>@Test
public final void testCompare_Surname_LEWINSKY_LEVINSKI_SuccessfullyMatched() {
    assertTrue(this.getStringEncoder().isEncodeEquals("LEWINSKY", "LEVINSKI"));
}
@Test
public final void testCompare_Surname_PRZEMYSL_PSHEMESHIL_SuccessfullyMatched() {
    assertTrue(this.getStringEncoder().isEncodeEquals(" P rz e m y s l", " P sh e m e sh i l"));
}</t>
  </si>
  <si>
    <t>@Test
public final void testCompare_Surname_LEWINSKY_LEVINSKI_SuccessfullyMatched() {
    assertTrue(this.getStringEncoder().isEncodeEquals("LEWINSKY", "LEVINSKI"));
}
@Test
public final void testCompare_Surname_SZLAMAWICZ_SHLAMOVITZ_SuccessfullyMatched() {
    assertTrue(this.getStringEncoder().isEncodeEquals("SZLAMAWICZ", "SHLAMOVITZ"));
}</t>
  </si>
  <si>
    <t>@Test
public final void testCompare_Surname_LEWINSKY_LEVINSKI_SuccessfullyMatched() {
    assertTrue(this.getStringEncoder().isEncodeEquals("LEWINSKY", "LEVINSKI"));
}
// **** END YIDDISH/SLAVIC SECTION ****
@Test
public final void testCompare_PETERSON_PETERS_SuccessfullyMatched() {
    assertTrue(this.getStringEncoder().isEncodeEquals("Peterson", "Peters"));
}</t>
  </si>
  <si>
    <t>@Test
public final void testCompare_Surname_LEWINSKY_LEVINSKI_SuccessfullyMatched() {
    assertTrue(this.getStringEncoder().isEncodeEquals("LEWINSKY", "LEVINSKI"));
}
@Test
public final void testCompare_MCGOWAN_MCGEOGHEGAN_SuccessfullyMatched() {
    assertTrue(this.getStringEncoder().isEncodeEquals("McGowan", "Mc Geoghegan"));
}</t>
  </si>
  <si>
    <t>@Test
public final void testCompare_Surname_LEWINSKY_LEVINSKI_SuccessfullyMatched() {
    assertTrue(this.getStringEncoder().isEncodeEquals("LEWINSKY", "LEVINSKI"));
}
@Test
public final void testCompare_Surname_ROSOCHOWACIEC_ROSOKHOVATSETS_SuccessfullyMatched() {
    assertTrue(this.getStringEncoder().isEncodeEquals("R o s o ch o w a c ie c", " R o s o k ho v a ts e ts"));
}</t>
  </si>
  <si>
    <t>@Test
public final void testCompare_Surname_LEWINSKY_LEVINSKI_SuccessfullyMatched() {
    assertTrue(this.getStringEncoder().isEncodeEquals("LEWINSKY", "LEVINSKI"));
}
@Test
public final void testCompare_Forenames_SEAN_JOHN_MatchExpected() {
    assertTrue(this.getStringEncoder().isEncodeEquals("Sean", "John"));
}</t>
  </si>
  <si>
    <t>@Test
public final void testCompare_Surname_LEWINSKY_LEVINSKI_SuccessfullyMatched() {
    assertTrue(this.getStringEncoder().isEncodeEquals("LEWINSKY", "LEVINSKI"));
}
@Test
public final void testCompare_SurnamesCornerCase_MURPHY_Space_NoMatch() {
    assertFalse(this.getStringEncoder().isEncodeEquals("Murphy", " "));
}</t>
  </si>
  <si>
    <t>@Test
public final void testCompare_Surname_LEWINSKY_LEVINSKI_SuccessfullyMatched() {
    assertTrue(this.getStringEncoder().isEncodeEquals("LEWINSKY", "LEVINSKI"));
}
@Test
public final void testCompare_Surnames_MURPHY_LYNCH_NoMatchExpected() {
    assertFalse(this.getStringEncoder().isEncodeEquals("Murphy", "Lynch"));
}</t>
  </si>
  <si>
    <t>@Test
public final void testCompare_Surname_LEWINSKY_LEVINSKI_SuccessfullyMatched() {
    assertTrue(this.getStringEncoder().isEncodeEquals("LEWINSKY", "LEVINSKI"));
}
@Test
public final void testCompare_SurnamesCornerCase_MURPHY_NoSpace_NoMatch() {
    assertFalse(this.getStringEncoder().isEncodeEquals("Murphy", ""));
}</t>
  </si>
  <si>
    <t>@Test
public final void testCompare_Surname_LEWINSKY_LEVINSKI_SuccessfullyMatched() {
    assertTrue(this.getStringEncoder().isEncodeEquals("LEWINSKY", "LEVINSKI"));
}
@Test
public final void testCompare_Forenames_SEAN_PETE_NoMatchExpected() {
    assertFalse(this.getStringEncoder().isEncodeEquals("Sean", "Pete"));
}</t>
  </si>
  <si>
    <t>@Test
public final void testCompare_Surname_LEWINSKY_LEVINSKI_SuccessfullyMatched() {
    assertTrue(this.getStringEncoder().isEncodeEquals("LEWINSKY", "LEVINSKI"));
}
@Test
public final void testCompare_SurnameCornerCase_Nulls_NoMatch() {
    assertFalse(this.getStringEncoder().isEncodeEquals(null, null));
}</t>
  </si>
  <si>
    <t>@Test
public final void testCompare_Surname_SZLAMAWICZ_SHLAMOVITZ_SuccessfullyMatched() {
    assertTrue(this.getStringEncoder().isEncodeEquals("SZLAMAWICZ", "SHLAMOVITZ"));
}
@Test
public final void testCompare_Surname_PRZEMYSL_PSHEMESHIL_SuccessfullyMatched() {
    assertTrue(this.getStringEncoder().isEncodeEquals(" P rz e m y s l", " P sh e m e sh i l"));
}</t>
  </si>
  <si>
    <t>@Test
public final void testCompare_Surname_SZLAMAWICZ_SHLAMOVITZ_SuccessfullyMatched() {
    assertTrue(this.getStringEncoder().isEncodeEquals("SZLAMAWICZ", "SHLAMOVITZ"));
}
@Test
public final void testCompare_Surname_ROSOCHOWACIEC_ROSOKHOVATSETS_SuccessfullyMatched() {
    assertTrue(this.getStringEncoder().isEncodeEquals("R o s o ch o w a c ie c", " R o s o k ho v a ts e ts"));
}</t>
  </si>
  <si>
    <t>@Test
public final void testCompare_Surname_SZLAMAWICZ_SHLAMOVITZ_SuccessfullyMatched() {
    assertTrue(this.getStringEncoder().isEncodeEquals("SZLAMAWICZ", "SHLAMOVITZ"));
}
@Test
public final void testCompare_MCGOWAN_MCGEOGHEGAN_SuccessfullyMatched() {
    assertTrue(this.getStringEncoder().isEncodeEquals("McGowan", "Mc Geoghegan"));
}</t>
  </si>
  <si>
    <t>@Test
public final void testCompare_Surname_SZLAMAWICZ_SHLAMOVITZ_SuccessfullyMatched() {
    assertTrue(this.getStringEncoder().isEncodeEquals("SZLAMAWICZ", "SHLAMOVITZ"));
}
// **** END YIDDISH/SLAVIC SECTION ****
@Test
public final void testCompare_PETERSON_PETERS_SuccessfullyMatched() {
    assertTrue(this.getStringEncoder().isEncodeEquals("Peterson", "Peters"));
}</t>
  </si>
  <si>
    <t>@Test
public final void testCompare_Surname_SZLAMAWICZ_SHLAMOVITZ_SuccessfullyMatched() {
    assertTrue(this.getStringEncoder().isEncodeEquals("SZLAMAWICZ", "SHLAMOVITZ"));
}
@Test
public final void testCompare_SurnamesCornerCase_MURPHY_Space_NoMatch() {
    assertFalse(this.getStringEncoder().isEncodeEquals("Murphy", " "));
}</t>
  </si>
  <si>
    <t>@Test
public final void testCompare_Surname_SZLAMAWICZ_SHLAMOVITZ_SuccessfullyMatched() {
    assertTrue(this.getStringEncoder().isEncodeEquals("SZLAMAWICZ", "SHLAMOVITZ"));
}
@Test
public final void testCompare_Forenames_SEAN_JOHN_MatchExpected() {
    assertTrue(this.getStringEncoder().isEncodeEquals("Sean", "John"));
}</t>
  </si>
  <si>
    <t>@Test
public final void testCompare_Surname_SZLAMAWICZ_SHLAMOVITZ_SuccessfullyMatched() {
    assertTrue(this.getStringEncoder().isEncodeEquals("SZLAMAWICZ", "SHLAMOVITZ"));
}
@Test
public final void testCompare_SurnamesCornerCase_MURPHY_NoSpace_NoMatch() {
    assertFalse(this.getStringEncoder().isEncodeEquals("Murphy", ""));
}</t>
  </si>
  <si>
    <t>@Test
public final void testCompare_Surname_SZLAMAWICZ_SHLAMOVITZ_SuccessfullyMatched() {
    assertTrue(this.getStringEncoder().isEncodeEquals("SZLAMAWICZ", "SHLAMOVITZ"));
}
@Test
public final void testCompare_Surnames_MURPHY_LYNCH_NoMatchExpected() {
    assertFalse(this.getStringEncoder().isEncodeEquals("Murphy", "Lynch"));
}</t>
  </si>
  <si>
    <t>@Test
public final void testCompare_Surname_SZLAMAWICZ_SHLAMOVITZ_SuccessfullyMatched() {
    assertTrue(this.getStringEncoder().isEncodeEquals("SZLAMAWICZ", "SHLAMOVITZ"));
}
@Test
public final void testCompare_Forenames_SEAN_PETE_NoMatchExpected() {
    assertFalse(this.getStringEncoder().isEncodeEquals("Sean", "Pete"));
}</t>
  </si>
  <si>
    <t>@Test
public final void testCompare_Surname_SZLAMAWICZ_SHLAMOVITZ_SuccessfullyMatched() {
    assertTrue(this.getStringEncoder().isEncodeEquals("SZLAMAWICZ", "SHLAMOVITZ"));
}
@Test
public final void testCompare_SurnameCornerCase_Nulls_NoMatch() {
    assertFalse(this.getStringEncoder().isEncodeEquals(null, null));
}</t>
  </si>
  <si>
    <t>@Test
public final void testCompare_Surname_ROSOCHOWACIEC_ROSOKHOVATSETS_SuccessfullyMatched() {
    assertTrue(this.getStringEncoder().isEncodeEquals("R o s o ch o w a c ie c", " R o s o k ho v a ts e ts"));
}
@Test
public final void testCompare_Surname_PRZEMYSL_PSHEMESHIL_SuccessfullyMatched() {
    assertTrue(this.getStringEncoder().isEncodeEquals(" P rz e m y s l", " P sh e m e sh i l"));
}</t>
  </si>
  <si>
    <t>@Test
public final void testCompare_Surname_ROSOCHOWACIEC_ROSOKHOVATSETS_SuccessfullyMatched() {
    assertTrue(this.getStringEncoder().isEncodeEquals("R o s o ch o w a c ie c", " R o s o k ho v a ts e ts"));
}
@Test
public final void testCompare_MCGOWAN_MCGEOGHEGAN_SuccessfullyMatched() {
    assertTrue(this.getStringEncoder().isEncodeEquals("McGowan", "Mc Geoghegan"));
}</t>
  </si>
  <si>
    <t>@Test
public final void testCompare_Surname_ROSOCHOWACIEC_ROSOKHOVATSETS_SuccessfullyMatched() {
    assertTrue(this.getStringEncoder().isEncodeEquals("R o s o ch o w a c ie c", " R o s o k ho v a ts e ts"));
}
// **** END YIDDISH/SLAVIC SECTION ****
@Test
public final void testCompare_PETERSON_PETERS_SuccessfullyMatched() {
    assertTrue(this.getStringEncoder().isEncodeEquals("Peterson", "Peters"));
}</t>
  </si>
  <si>
    <t>@Test
public final void testCompare_Surname_ROSOCHOWACIEC_ROSOKHOVATSETS_SuccessfullyMatched() {
    assertTrue(this.getStringEncoder().isEncodeEquals("R o s o ch o w a c ie c", " R o s o k ho v a ts e ts"));
}
@Test
public final void testCompare_SurnamesCornerCase_MURPHY_Space_NoMatch() {
    assertFalse(this.getStringEncoder().isEncodeEquals("Murphy", " "));
}</t>
  </si>
  <si>
    <t>@Test
public final void testCompare_Surname_ROSOCHOWACIEC_ROSOKHOVATSETS_SuccessfullyMatched() {
    assertTrue(this.getStringEncoder().isEncodeEquals("R o s o ch o w a c ie c", " R o s o k ho v a ts e ts"));
}
@Test
public final void testCompare_Forenames_SEAN_JOHN_MatchExpected() {
    assertTrue(this.getStringEncoder().isEncodeEquals("Sean", "John"));
}</t>
  </si>
  <si>
    <t>@Test
public final void testCompare_Surname_ROSOCHOWACIEC_ROSOKHOVATSETS_SuccessfullyMatched() {
    assertTrue(this.getStringEncoder().isEncodeEquals("R o s o ch o w a c ie c", " R o s o k ho v a ts e ts"));
}
@Test
public final void testCompare_SurnamesCornerCase_MURPHY_NoSpace_NoMatch() {
    assertFalse(this.getStringEncoder().isEncodeEquals("Murphy", ""));
}</t>
  </si>
  <si>
    <t>@Test
public final void testCompare_Surname_ROSOCHOWACIEC_ROSOKHOVATSETS_SuccessfullyMatched() {
    assertTrue(this.getStringEncoder().isEncodeEquals("R o s o ch o w a c ie c", " R o s o k ho v a ts e ts"));
}
@Test
public final void testCompare_Surnames_MURPHY_LYNCH_NoMatchExpected() {
    assertFalse(this.getStringEncoder().isEncodeEquals("Murphy", "Lynch"));
}</t>
  </si>
  <si>
    <t>@Test
public final void testCompare_Surname_ROSOCHOWACIEC_ROSOKHOVATSETS_SuccessfullyMatched() {
    assertTrue(this.getStringEncoder().isEncodeEquals("R o s o ch o w a c ie c", " R o s o k ho v a ts e ts"));
}
@Test
public final void testCompare_Forenames_SEAN_PETE_NoMatchExpected() {
    assertFalse(this.getStringEncoder().isEncodeEquals("Sean", "Pete"));
}</t>
  </si>
  <si>
    <t>@Test
public final void testCompare_Surname_ROSOCHOWACIEC_ROSOKHOVATSETS_SuccessfullyMatched() {
    assertTrue(this.getStringEncoder().isEncodeEquals("R o s o ch o w a c ie c", " R o s o k ho v a ts e ts"));
}
@Test
public final void testCompare_SurnameCornerCase_Nulls_NoMatch() {
    assertFalse(this.getStringEncoder().isEncodeEquals(null, null));
}</t>
  </si>
  <si>
    <t>@Test
public final void testCompare_Surname_PRZEMYSL_PSHEMESHIL_SuccessfullyMatched() {
    assertTrue(this.getStringEncoder().isEncodeEquals(" P rz e m y s l", " P sh e m e sh i l"));
}
// **** END YIDDISH/SLAVIC SECTION ****
@Test
public final void testCompare_PETERSON_PETERS_SuccessfullyMatched() {
    assertTrue(this.getStringEncoder().isEncodeEquals("Peterson", "Peters"));
}</t>
  </si>
  <si>
    <t>@Test
public final void testCompare_Surname_PRZEMYSL_PSHEMESHIL_SuccessfullyMatched() {
    assertTrue(this.getStringEncoder().isEncodeEquals(" P rz e m y s l", " P sh e m e sh i l"));
}
@Test
public final void testCompare_MCGOWAN_MCGEOGHEGAN_SuccessfullyMatched() {
    assertTrue(this.getStringEncoder().isEncodeEquals("McGowan", "Mc Geoghegan"));
}</t>
  </si>
  <si>
    <t>@Test
public final void testCompare_Surname_PRZEMYSL_PSHEMESHIL_SuccessfullyMatched() {
    assertTrue(this.getStringEncoder().isEncodeEquals(" P rz e m y s l", " P sh e m e sh i l"));
}
@Test
public final void testCompare_SurnamesCornerCase_MURPHY_Space_NoMatch() {
    assertFalse(this.getStringEncoder().isEncodeEquals("Murphy", " "));
}</t>
  </si>
  <si>
    <t>@Test
public final void testCompare_Surname_PRZEMYSL_PSHEMESHIL_SuccessfullyMatched() {
    assertTrue(this.getStringEncoder().isEncodeEquals(" P rz e m y s l", " P sh e m e sh i l"));
}
@Test
public final void testCompare_Forenames_SEAN_JOHN_MatchExpected() {
    assertTrue(this.getStringEncoder().isEncodeEquals("Sean", "John"));
}</t>
  </si>
  <si>
    <t>@Test
public final void testCompare_Surname_PRZEMYSL_PSHEMESHIL_SuccessfullyMatched() {
    assertTrue(this.getStringEncoder().isEncodeEquals(" P rz e m y s l", " P sh e m e sh i l"));
}
@Test
public final void testCompare_SurnamesCornerCase_MURPHY_NoSpace_NoMatch() {
    assertFalse(this.getStringEncoder().isEncodeEquals("Murphy", ""));
}</t>
  </si>
  <si>
    <t>@Test
public final void testCompare_Surname_PRZEMYSL_PSHEMESHIL_SuccessfullyMatched() {
    assertTrue(this.getStringEncoder().isEncodeEquals(" P rz e m y s l", " P sh e m e sh i l"));
}
@Test
public final void testCompare_Surnames_MURPHY_LYNCH_NoMatchExpected() {
    assertFalse(this.getStringEncoder().isEncodeEquals("Murphy", "Lynch"));
}</t>
  </si>
  <si>
    <t>@Test
public final void testCompare_Surname_PRZEMYSL_PSHEMESHIL_SuccessfullyMatched() {
    assertTrue(this.getStringEncoder().isEncodeEquals(" P rz e m y s l", " P sh e m e sh i l"));
}
@Test
public final void testCompare_Forenames_SEAN_PETE_NoMatchExpected() {
    assertFalse(this.getStringEncoder().isEncodeEquals("Sean", "Pete"));
}</t>
  </si>
  <si>
    <t>@Test
public final void testCompare_Surname_PRZEMYSL_PSHEMESHIL_SuccessfullyMatched() {
    assertTrue(this.getStringEncoder().isEncodeEquals(" P rz e m y s l", " P sh e m e sh i l"));
}
@Test
public final void testCompare_SurnameCornerCase_Nulls_NoMatch() {
    assertFalse(this.getStringEncoder().isEncodeEquals(null, null));
}</t>
  </si>
  <si>
    <t>// **** END YIDDISH/SLAVIC SECTION ****
@Test
public final void testCompare_PETERSON_PETERS_SuccessfullyMatched() {
    assertTrue(this.getStringEncoder().isEncodeEquals("Peterson", "Peters"));
}
@Test
public final void testCompare_MCGOWAN_MCGEOGHEGAN_SuccessfullyMatched() {
    assertTrue(this.getStringEncoder().isEncodeEquals("McGowan", "Mc Geoghegan"));
}</t>
  </si>
  <si>
    <t>// **** END YIDDISH/SLAVIC SECTION ****
@Test
public final void testCompare_PETERSON_PETERS_SuccessfullyMatched() {
    assertTrue(this.getStringEncoder().isEncodeEquals("Peterson", "Peters"));
}
@Test
public final void testCompare_Forenames_SEAN_JOHN_MatchExpected() {
    assertTrue(this.getStringEncoder().isEncodeEquals("Sean", "John"));
}</t>
  </si>
  <si>
    <t>// **** END YIDDISH/SLAVIC SECTION ****
@Test
public final void testCompare_PETERSON_PETERS_SuccessfullyMatched() {
    assertTrue(this.getStringEncoder().isEncodeEquals("Peterson", "Peters"));
}
@Test
public final void testCompare_Forenames_SEAN_PETE_NoMatchExpected() {
    assertFalse(this.getStringEncoder().isEncodeEquals("Sean", "Pete"));
}</t>
  </si>
  <si>
    <t>// **** END YIDDISH/SLAVIC SECTION ****
@Test
public final void testCompare_PETERSON_PETERS_SuccessfullyMatched() {
    assertTrue(this.getStringEncoder().isEncodeEquals("Peterson", "Peters"));
}
@Test
public final void testCompare_Surnames_MURPHY_LYNCH_NoMatchExpected() {
    assertFalse(this.getStringEncoder().isEncodeEquals("Murphy", "Lynch"));
}</t>
  </si>
  <si>
    <t>// **** END YIDDISH/SLAVIC SECTION ****
@Test
public final void testCompare_PETERSON_PETERS_SuccessfullyMatched() {
    assertTrue(this.getStringEncoder().isEncodeEquals("Peterson", "Peters"));
}
@Test
public final void testCompare_SurnamesCornerCase_MURPHY_Space_NoMatch() {
    assertFalse(this.getStringEncoder().isEncodeEquals("Murphy", " "));
}</t>
  </si>
  <si>
    <t>// **** END YIDDISH/SLAVIC SECTION ****
@Test
public final void testCompare_PETERSON_PETERS_SuccessfullyMatched() {
    assertTrue(this.getStringEncoder().isEncodeEquals("Peterson", "Peters"));
}
@Test
public final void testCompare_SurnamesCornerCase_MURPHY_NoSpace_NoMatch() {
    assertFalse(this.getStringEncoder().isEncodeEquals("Murphy", ""));
}</t>
  </si>
  <si>
    <t>// **** END YIDDISH/SLAVIC SECTION ****
@Test
public final void testCompare_PETERSON_PETERS_SuccessfullyMatched() {
    assertTrue(this.getStringEncoder().isEncodeEquals("Peterson", "Peters"));
}
@Test
public final void testCompare_SurnameCornerCase_Nulls_NoMatch() {
    assertFalse(this.getStringEncoder().isEncodeEquals(null, null));
}</t>
  </si>
  <si>
    <t>@Test
public final void testCompare_MCGOWAN_MCGEOGHEGAN_SuccessfullyMatched() {
    assertTrue(this.getStringEncoder().isEncodeEquals("McGowan", "Mc Geoghegan"));
}
@Test
public final void testCompare_Forenames_SEAN_JOHN_MatchExpected() {
    assertTrue(this.getStringEncoder().isEncodeEquals("Sean", "John"));
}</t>
  </si>
  <si>
    <t>@Test
public final void testCompare_MCGOWAN_MCGEOGHEGAN_SuccessfullyMatched() {
    assertTrue(this.getStringEncoder().isEncodeEquals("McGowan", "Mc Geoghegan"));
}
@Test
public final void testCompare_Forenames_SEAN_PETE_NoMatchExpected() {
    assertFalse(this.getStringEncoder().isEncodeEquals("Sean", "Pete"));
}</t>
  </si>
  <si>
    <t>@Test
public final void testCompare_MCGOWAN_MCGEOGHEGAN_SuccessfullyMatched() {
    assertTrue(this.getStringEncoder().isEncodeEquals("McGowan", "Mc Geoghegan"));
}
@Test
public final void testCompare_Surnames_MURPHY_LYNCH_NoMatchExpected() {
    assertFalse(this.getStringEncoder().isEncodeEquals("Murphy", "Lynch"));
}</t>
  </si>
  <si>
    <t>@Test
public final void testCompare_MCGOWAN_MCGEOGHEGAN_SuccessfullyMatched() {
    assertTrue(this.getStringEncoder().isEncodeEquals("McGowan", "Mc Geoghegan"));
}
@Test
public final void testCompare_SurnamesCornerCase_MURPHY_Space_NoMatch() {
    assertFalse(this.getStringEncoder().isEncodeEquals("Murphy", " "));
}</t>
  </si>
  <si>
    <t>@Test
public final void testCompare_MCGOWAN_MCGEOGHEGAN_SuccessfullyMatched() {
    assertTrue(this.getStringEncoder().isEncodeEquals("McGowan", "Mc Geoghegan"));
}
@Test
public final void testCompare_SurnamesCornerCase_MURPHY_NoSpace_NoMatch() {
    assertFalse(this.getStringEncoder().isEncodeEquals("Murphy", ""));
}</t>
  </si>
  <si>
    <t>@Test
public final void testCompare_MCGOWAN_MCGEOGHEGAN_SuccessfullyMatched() {
    assertTrue(this.getStringEncoder().isEncodeEquals("McGowan", "Mc Geoghegan"));
}
@Test
public final void testCompare_SurnameCornerCase_Nulls_NoMatch() {
    assertFalse(this.getStringEncoder().isEncodeEquals(null, null));
}</t>
  </si>
  <si>
    <t>@Test
public final void testCompare_SurnamesCornerCase_MURPHY_Space_NoMatch() {
    assertFalse(this.getStringEncoder().isEncodeEquals("Murphy", " "));
}
@Test
public final void testCompare_SurnamesCornerCase_MURPHY_NoSpace_NoMatch() {
    assertFalse(this.getStringEncoder().isEncodeEquals("Murphy", ""));
}</t>
  </si>
  <si>
    <t>@Test
public final void testCompare_SurnamesCornerCase_MURPHY_Space_NoMatch() {
    assertFalse(this.getStringEncoder().isEncodeEquals("Murphy", " "));
}
@Test
public final void testCompare_SurnameCornerCase_Nulls_NoMatch() {
    assertFalse(this.getStringEncoder().isEncodeEquals(null, null));
}</t>
  </si>
  <si>
    <t>@Test
public final void testCompare_SurnamesCornerCase_MURPHY_Space_NoMatch() {
    assertFalse(this.getStringEncoder().isEncodeEquals("Murphy", " "));
}
@Test
public final void testCompare_Surnames_MURPHY_LYNCH_NoMatchExpected() {
    assertFalse(this.getStringEncoder().isEncodeEquals("Murphy", "Lynch"));
}</t>
  </si>
  <si>
    <t>@Test
public final void testCompare_SurnamesCornerCase_MURPHY_Space_NoMatch() {
    assertFalse(this.getStringEncoder().isEncodeEquals("Murphy", " "));
}
@Test
public final void testCompare_Forenames_SEAN_PETE_NoMatchExpected() {
    assertFalse(this.getStringEncoder().isEncodeEquals("Sean", "Pete"));
}</t>
  </si>
  <si>
    <t>@Test
public final void testCompare_SurnamesCornerCase_MURPHY_Space_NoMatch() {
    assertFalse(this.getStringEncoder().isEncodeEquals("Murphy", " "));
}
@Test
public final void testCompare_Forenames_SEAN_JOHN_MatchExpected() {
    assertTrue(this.getStringEncoder().isEncodeEquals("Sean", "John"));
}</t>
  </si>
  <si>
    <t>@Test
public final void testCompare_SurnamesCornerCase_MURPHY_NoSpace_NoMatch() {
    assertFalse(this.getStringEncoder().isEncodeEquals("Murphy", ""));
}
@Test
public final void testCompare_SurnameCornerCase_Nulls_NoMatch() {
    assertFalse(this.getStringEncoder().isEncodeEquals(null, null));
}</t>
  </si>
  <si>
    <t>@Test
public final void testCompare_SurnamesCornerCase_MURPHY_NoSpace_NoMatch() {
    assertFalse(this.getStringEncoder().isEncodeEquals("Murphy", ""));
}
@Test
public final void testCompare_Surnames_MURPHY_LYNCH_NoMatchExpected() {
    assertFalse(this.getStringEncoder().isEncodeEquals("Murphy", "Lynch"));
}</t>
  </si>
  <si>
    <t>@Test
public final void testCompare_SurnamesCornerCase_MURPHY_NoSpace_NoMatch() {
    assertFalse(this.getStringEncoder().isEncodeEquals("Murphy", ""));
}
@Test
public final void testCompare_Forenames_SEAN_PETE_NoMatchExpected() {
    assertFalse(this.getStringEncoder().isEncodeEquals("Sean", "Pete"));
}</t>
  </si>
  <si>
    <t>@Test
public final void testCompare_SurnamesCornerCase_MURPHY_NoSpace_NoMatch() {
    assertFalse(this.getStringEncoder().isEncodeEquals("Murphy", ""));
}
@Test
public final void testCompare_Forenames_SEAN_JOHN_MatchExpected() {
    assertTrue(this.getStringEncoder().isEncodeEquals("Sean", "John"));
}</t>
  </si>
  <si>
    <t>@Test
public final void testCompare_SurnameCornerCase_Nulls_NoMatch() {
    assertFalse(this.getStringEncoder().isEncodeEquals(null, null));
}
@Test
public final void testCompare_Surnames_MURPHY_LYNCH_NoMatchExpected() {
    assertFalse(this.getStringEncoder().isEncodeEquals("Murphy", "Lynch"));
}</t>
  </si>
  <si>
    <t>@Test
public final void testCompare_SurnameCornerCase_Nulls_NoMatch() {
    assertFalse(this.getStringEncoder().isEncodeEquals(null, null));
}
@Test
public final void testCompare_Forenames_SEAN_PETE_NoMatchExpected() {
    assertFalse(this.getStringEncoder().isEncodeEquals("Sean", "Pete"));
}</t>
  </si>
  <si>
    <t>@Test
public final void testCompare_SurnameCornerCase_Nulls_NoMatch() {
    assertFalse(this.getStringEncoder().isEncodeEquals(null, null));
}
@Test
public final void testCompare_Forenames_SEAN_JOHN_MatchExpected() {
    assertTrue(this.getStringEncoder().isEncodeEquals("Sean", "John"));
}</t>
  </si>
  <si>
    <t>@Test
public final void testCompare_Surnames_MURPHY_LYNCH_NoMatchExpected() {
    assertFalse(this.getStringEncoder().isEncodeEquals("Murphy", "Lynch"));
}
@Test
public final void testCompare_Forenames_SEAN_PETE_NoMatchExpected() {
    assertFalse(this.getStringEncoder().isEncodeEquals("Sean", "Pete"));
}</t>
  </si>
  <si>
    <t>@Test
public final void testCompare_Surnames_MURPHY_LYNCH_NoMatchExpected() {
    assertFalse(this.getStringEncoder().isEncodeEquals("Murphy", "Lynch"));
}
@Test
public final void testCompare_Forenames_SEAN_JOHN_MatchExpected() {
    assertTrue(this.getStringEncoder().isEncodeEquals("Sean", "John"));
}</t>
  </si>
  <si>
    <t>@Test
public final void testCompare_Forenames_SEAN_JOHN_MatchExpected() {
    assertTrue(this.getStringEncoder().isEncodeEquals("Sean", "John"));
}
@Test
public final void testCompare_Forenames_SEAN_PETE_NoMatchExpected() {
    assertFalse(this.getStringEncoder().isEncodeEquals("Sean", "Pete"));
}</t>
  </si>
  <si>
    <t>testSha256CryptNullData</t>
  </si>
  <si>
    <t>@Test
public void testSha256CryptNullData() {
    assertThrows(NullPointerException.class, () -&gt; Sha2Crypt.sha256Crypt((byte[]) null));
}
@Test
public void testSha256CryptWithEmptySalt() {
    assertThrows(IllegalArgumentException.class, () -&gt; Sha2Crypt.sha256Crypt("secret".getBytes(), ""));
}</t>
  </si>
  <si>
    <t>/**
 * Test the Base16OutputStream implementation
 *
 * @throws IOException for some failure scenarios.
 */
@Test
public void testBase16OutputStreamByChunk()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through 150
    final BaseNCodec codec = new Base16(true);
    for (int i = 0; i &lt;= 150; i++) {
        final byte[][] randomData = BaseNTestData.randomData(codec, i);
        encoded = randomData[1];
        decoded = randomData[0];
        testByChunk(encoded, decoded, true);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through 150
    final BaseNCodec codec = new Base16(true);
    for (int i = 0; i &lt;= 150; i++) {
        final byte[][] randomData = BaseNTestData.randomData(codec, i);
        encoded = randomData[1];
        decoded = randomData[0];
        testByteByByte(encoded, decoded, true);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</si>
  <si>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</si>
  <si>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</si>
  <si>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</si>
  <si>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</si>
  <si>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</si>
  <si>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</si>
  <si>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t>
  </si>
  <si>
    <t>/**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</si>
  <si>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{@link MurmurHash3#hash32(byte[], int)} algorithm.
 *
 * &lt;p&gt;Reference data is taken from the Python library {@code mmh3}.&lt;/p&gt;
 *
 * @see &lt;a href="https://pypi.org/project/mmh3/"&gt;mmh3&lt;/a&gt;
 */
@Test
public void testHash32WithLength() {
    // mmh3.hash(bytes, 104729)
    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assertEquals(answers[i], MurmurHash3.hash32(RANDOM_BYTES, i));
        } else {
            assertNotEquals(answers[i], MurmurHash3.hash32(RANDOM_BYTES, i));
        }
    }
}
/**
 * Test the {@link MurmurHash3#hash32(byte[], int, int)} algorithm.
 *
 * &lt;p&gt;Reference data is taken from the Python library {@code mmh3}.&lt;/p&gt;
 *
 * @see &lt;a href="https://pypi.org/project/mmh3/"&gt;mmh3&lt;/a&gt;
 */
@Test
public void testHash32WithLengthAndSeed() {
    final int seed = -42;
    // mmh3.hash(bytes, -42)
    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assertEquals(answers[i], MurmurHash3.hash32(RANDOM_BYTES, i, seed));
        } else {
            assertNotEquals(answers[i], MurmurHash3.hash32(RANDOM_BYTES, i, seed));
        }
    }
}</t>
  </si>
  <si>
    <t>/**
 * Test the {@link MurmurHash3#hash32(byte[], int)} algorithm.
 *
 * &lt;p&gt;Reference data is taken from the Python library {@code mmh3}.&lt;/p&gt;
 *
 * @see &lt;a href="https://pypi.org/project/mmh3/"&gt;mmh3&lt;/a&gt;
 */
@Test
public void testHash32WithLength() {
    // mmh3.hash(bytes, 104729)
    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assertEquals(answers[i], MurmurHash3.hash32(RANDOM_BYTES, i));
        } else {
            assertNotEquals(answers[i], MurmurHash3.hash32(RANDOM_BYTES, i));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assertEquals(answers[i], MurmurHash3.hash32(RANDOM_BYTES, offset, i, seed));
        } else {
            assertNotEquals(answers[i], MurmurHash3.hash32(RANDOM_BYTES, offset, i, seed));
        }
    }
}</t>
  </si>
  <si>
    <t>/**
 * Test the {@link MurmurHash3#hash32(byte[], int, int)} algorithm.
 *
 * &lt;p&gt;Reference data is taken from the Python library {@code mmh3}.&lt;/p&gt;
 *
 * @see &lt;a href="https://pypi.org/project/mmh3/"&gt;mmh3&lt;/a&gt;
 */
@Test
public void testHash32WithLengthAndSeed() {
    final int seed = -42;
    // mmh3.hash(bytes, -42)
    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assertEquals(answers[i], MurmurHash3.hash32(RANDOM_BYTES, i, seed));
        } else {
            assertNotEquals(answers[i], MurmurHash3.hash32(RANDOM_BYTES, i, seed));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assertEquals(answers[i], MurmurHash3.hash32(RANDOM_BYTES, offset, i, seed));
        } else {
            assertNotEquals(answers[i], MurmurHash3.hash32(RANDOM_BYTES, offset, i, seed));
        }
    }
}</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</si>
  <si>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int h1 = MurmurHash3.hash32(bytes, 0, bytes.length, seed);
        final int h2 = MurmurHash3.hash32(text);
        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long[] h1 = MurmurHash3.hash128(bytes, 0, bytes.length, seed);
        final long[] h2 = MurmurHash3.hash128(text);
        assertArrayEquals(h1, h2);
    }
}</t>
  </si>
  <si>
    <t>[java/util/concurrent/ThreadLocalRandom.current,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org/apache/commons/codec/digest/MurmurHash3.hash128, org/apache/commons/codec/digest/MurmurHash3.hash128]</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</si>
  <si>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assertNotEquals(-43192051, MurmurHash3.hash32(new byte[] { -1 }, 0, 1, 0));
    assertNotEquals(-582037868, MurmurHash3.hash32(new byte[] { 0, -1 }, 0, 2, 0));
    assertNotEquals(922088087, MurmurHash3.hash32(new byte[] { 0, 0, -1 }, 0, 3, 0));
    assertNotEquals(-1309567588, MurmurHash3.hash32(new byte[] { -1, 0 }, 0, 2, 0));
    assertNotEquals(-363779670, MurmurHash3.hash32(new byte[] { -1, 0, 0 }, 0, 3, 0));
    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assertEquals(-43192051, MurmurHash3.hash32x86(new byte[] { -1 }, 0, 1, 0));
    assertEquals(-582037868, MurmurHash3.hash32x86(new byte[] { 0, -1 }, 0, 2, 0));
    assertEquals(922088087, MurmurHash3.hash32x86(new byte[] { 0, 0, -1 }, 0, 3, 0));
    assertEquals(-1309567588, MurmurHash3.hash32x86(new byte[] { -1, 0 }, 0, 2, 0));
    assertEquals(-363779670, MurmurHash3.hash32x86(new byte[] { -1, 0, 0 }, 0, 3, 0));
    assertEquals(-225068062, MurmurHash3.hash32x86(new byte[] { 0, -1, 0 }, 0, 3, 0));
}</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</si>
  <si>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assertEquals(-43192051, MurmurHash3.hash32x86(new byte[] { -1 }, 0, 1, 0));
    assertEquals(-582037868, MurmurHash3.hash32x86(new byte[] { 0, -1 }, 0, 2, 0));
    assertEquals(922088087, MurmurHash3.hash32x86(new byte[] { 0, 0, -1 }, 0, 3, 0));
    assertEquals(-1309567588, MurmurHash3.hash32x86(new byte[] { -1, 0 }, 0, 2, 0));
    assertEquals(-363779670, MurmurHash3.hash32x86(new byte[] { -1, 0, 0 }, 0, 3, 0));
    assertEquals(-225068062, MurmurHash3.hash32x86(new byte[] { 0, -1, 0 }, 0, 3, 0));
}</t>
  </si>
  <si>
    <t>/**
 * Test the {@link MurmurHash3#hash128(byte[])} algorithm.
 *
 * &lt;p&gt;Reference data is taken from the Python library {@code mmh3}.&lt;/p&gt;
 *
 * @see &lt;a href="https://pypi.org/project/mmh3/"&gt;mmh3&lt;/a&gt;
 */
@Test
public void testHash128() {
    // mmh3.hash64(bytes, 104729)
    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assertArrayEquals(answers[i], MurmurHash3.hash128x64(bytes));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</si>
  <si>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t>
  </si>
  <si>
    <t>[org/apache/commons/codec/digest/MurmurHash3.hash128,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t>
  </si>
  <si>
    <t>[org/apache/commons/codec/digest/MurmurHash3.hash128, org/apache/commons/codec/digest/MurmurHash3.hash128x64]</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</si>
  <si>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</si>
  <si>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t>
  </si>
  <si>
    <t>[org/apache/commons/codec/digest/MurmurHash3.hash128, java/lang/StringBuilder."&lt;init&gt;", java/lang/StringBuilder.append, java/lang/StringBuilder.append, java/lang/StringBuilder.toString]
[org/apache/commons/codec/digest/MurmurHash3.hash128, java/lang/StringBuilder."&lt;init&gt;", java/lang/StringBuilder.append, java/lang/StringBuilder.append, java/lang/StringBuilder.toString]</t>
  </si>
  <si>
    <t>/**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</si>
  <si>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</si>
  <si>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</si>
  <si>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[org/apache/commons/codec/digest/MurmurHash3.hash128x64,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t>
  </si>
  <si>
    <t>559eed1db79f765ad5022d655af55c2767efd3ef</t>
  </si>
  <si>
    <t>// ***** END REGION - TEST GET MRA COMPARISONS
@Test
public final void testPunctuationOnly() {
    assertEquals(this.getStringEncoder().encode(".,-"), "");
}
@Test
public final void testVowelAndPunctuationOnly() {
    assertEquals(this.getStringEncoder().encode("uoiea.,-AEIOU"), "U");
}</t>
  </si>
  <si>
    <t>[[testPunctuationOnly, testVowelOnly, testVowelAndPunctuationOnly]]</t>
  </si>
  <si>
    <t>// ***** END REGION - TEST GET MRA COMPARISONS
@Test
public final void testPunctuationOnly() {
    assertEquals(this.getStringEncoder().encode(".,-"), "");
}
@Test
public final void testVowelOnly() {
    assertEquals(this.getStringEncoder().encode("aeiouAEIOU"), "A");
}</t>
  </si>
  <si>
    <t>@Test
public final void testVowelOnly() {
    assertEquals(this.getStringEncoder().encode("aeiouAEIOU"), "A");
}
@Test
public final void testVowelAndPunctuationOnly() {
    assertEquals(this.getStringEncoder().encode("uoiea.,-AEIOU"), "U");
}</t>
  </si>
  <si>
    <t>2bf68164fc3024438d5cd4134a4e4c12185c9301</t>
  </si>
  <si>
    <t>testCustomCharsetBadName</t>
  </si>
  <si>
    <t>@Test
public void testCustomCharsetBadName() {
    assertThrows(UnsupportedCharsetException.class, () -&gt; new Hex(BAD_ENCODING_NAME));
}
@Test
public void testDecodeBadCharacterPos0() {
    assertThrows(DecoderException.class, () -&gt; new Hex().decode("q0"));
}</t>
  </si>
  <si>
    <t>@Test
public void testCustomCharsetBadName() {
    assertThrows(UnsupportedCharsetException.class, () -&gt; new Hex(BAD_ENCODING_NAME));
}
@Test
public void testDecodeBadCharacterPos1() {
    assertThrows(DecoderException.class, () -&gt; new Hex().decode("0q"));
}</t>
  </si>
  <si>
    <t>@Test
public void testCustomCharsetBadName() {
    assertThrows(UnsupportedCharsetException.class, () -&gt; new Hex(BAD_ENCODING_NAME));
}
@Test
public void testDecodeHexStringOddCharacters() {
    assertThrows(DecoderException.class, () -&gt; new Hex().decode("6"), "odd number of characters");
}</t>
  </si>
  <si>
    <t>@Test
public void testCustomCharsetBadName() {
    assertThrows(UnsupportedCharsetException.class, () -&gt; new Hex(BAD_ENCODING_NAME));
}
@Test
public void testEncodeClassCastException() {
    assertThrows(EncoderException.class, () -&gt; new Hex().encode(new int[] { 65 }));
}</t>
  </si>
  <si>
    <t>@Test
public void testCustomCharsetBadName() {
    assertThrows(UnsupportedCharsetException.class, () -&gt; new Hex(BAD_ENCODING_NAME));
}
@Test
public void testDecodeClassCastException() {
    assertThrows(DecoderException.class, () -&gt; new Hex().decode(new int[] { 65 }), "odd number of characters");
}</t>
  </si>
  <si>
    <t>@Test
public void testCustomCharsetBadName() {
    assertThrows(UnsupportedCharsetException.class, () -&gt; new Hex(BAD_ENCODING_NAME));
}
@Test
public void testDecodeByteArrayOddCharacters() {
    assertThrows(DecoderException.class, () -&gt; new Hex().decode(new byte[] { 65 }), "odd number of characters");
}</t>
  </si>
  <si>
    <t>@Test
public void testCustomCharsetBadName() {
    assertThrows(UnsupportedCharsetException.class, () -&gt; new Hex(BAD_ENCODING_NAME));
}
@Test
public void testDecodeHexCharArrayOutBufferUnderSized() {
    final byte[] out = new byte[4];
    assertThrows(DecoderException.class, () -&gt; Hex.decodeHex("aabbccddeeff".toCharArray(), out, 0));
}</t>
  </si>
  <si>
    <t>@Test
public void testCustomCharsetBadName() {
    assertThrows(UnsupportedCharsetException.class, () -&gt; new Hex(BAD_ENCODING_NAME));
}
@Test
public void testDecodeHexCharArrayOutBufferUnderSizedByOffset() {
    final byte[] out = new byte[6];
    assertThrows(DecoderException.class, () -&gt; Hex.decodeHex("aabbccddeeff".toCharArray(), out, 1));
}</t>
  </si>
  <si>
    <t>@Test
public void testDecodeBadCharacterPos0() {
    assertThrows(DecoderException.class, () -&gt; new Hex().decode("q0"));
}
@Test
public void testDecodeBadCharacterPos1() {
    assertThrows(DecoderException.class, () -&gt; new Hex().decode("0q"));
}</t>
  </si>
  <si>
    <t>@Test
public void testDecodeBadCharacterPos0() {
    assertThrows(DecoderException.class, () -&gt; new Hex().decode("q0"));
}
@Test
public void testDecodeHexStringOddCharacters() {
    assertThrows(DecoderException.class, () -&gt; new Hex().decode("6"), "odd number of characters");
}</t>
  </si>
  <si>
    <t>@Test
public void testDecodeBadCharacterPos0() {
    assertThrows(DecoderException.class, () -&gt; new Hex().decode("q0"));
}
@Test
public void testDecodeByteArrayOddCharacters() {
    assertThrows(DecoderException.class, () -&gt; new Hex().decode(new byte[] { 65 }), "odd number of characters");
}</t>
  </si>
  <si>
    <t>@Test
public void testDecodeBadCharacterPos0() {
    assertThrows(DecoderException.class, () -&gt; new Hex().decode("q0"));
}
@Test
public void testDecodeClassCastException() {
    assertThrows(DecoderException.class, () -&gt; new Hex().decode(new int[] { 65 }), "odd number of characters");
}</t>
  </si>
  <si>
    <t>@Test
public void testDecodeBadCharacterPos0() {
    assertThrows(DecoderException.class, () -&gt; new Hex().decode("q0"));
}
@Test
public void testEncodeClassCastException() {
    assertThrows(EncoderException.class, () -&gt; new Hex().encode(new int[] { 65 }));
}</t>
  </si>
  <si>
    <t>@Test
public void testDecodeBadCharacterPos0() {
    assertThrows(DecoderException.class, () -&gt; new Hex().decode("q0"));
}
@Test
public void testDecodeHexCharArrayOutBufferUnderSized() {
    final byte[] out = new byte[4];
    assertThrows(DecoderException.class, () -&gt; Hex.decodeHex("aabbccddeeff".toCharArray(), out, 0));
}</t>
  </si>
  <si>
    <t>@Test
public void testDecodeBadCharacterPos0() {
    assertThrows(DecoderException.class, () -&gt; new Hex().decode("q0"));
}
@Test
public void testDecodeHexCharArrayOutBufferUnderSizedByOffset() {
    final byte[] out = new byte[6];
    assertThrows(DecoderException.class, () -&gt; Hex.decodeHex("aabbccddeeff".toCharArray(), out, 1));
}</t>
  </si>
  <si>
    <t>@Test
public void testDecodeBadCharacterPos1() {
    assertThrows(DecoderException.class, () -&gt; new Hex().decode("0q"));
}
@Test
public void testDecodeHexStringOddCharacters() {
    assertThrows(DecoderException.class, () -&gt; new Hex().decode("6"), "odd number of characters");
}</t>
  </si>
  <si>
    <t>@Test
public void testDecodeBadCharacterPos1() {
    assertThrows(DecoderException.class, () -&gt; new Hex().decode("0q"));
}
@Test
public void testDecodeByteArrayOddCharacters() {
    assertThrows(DecoderException.class, () -&gt; new Hex().decode(new byte[] { 65 }), "odd number of characters");
}</t>
  </si>
  <si>
    <t>@Test
public void testDecodeBadCharacterPos1() {
    assertThrows(DecoderException.class, () -&gt; new Hex().decode("0q"));
}
@Test
public void testDecodeClassCastException() {
    assertThrows(DecoderException.class, () -&gt; new Hex().decode(new int[] { 65 }), "odd number of characters");
}</t>
  </si>
  <si>
    <t>@Test
public void testDecodeBadCharacterPos1() {
    assertThrows(DecoderException.class, () -&gt; new Hex().decode("0q"));
}
@Test
public void testEncodeClassCastException() {
    assertThrows(EncoderException.class, () -&gt; new Hex().encode(new int[] { 65 }));
}</t>
  </si>
  <si>
    <t>@Test
public void testDecodeBadCharacterPos1() {
    assertThrows(DecoderException.class, () -&gt; new Hex().decode("0q"));
}
@Test
public void testDecodeHexCharArrayOutBufferUnderSized() {
    final byte[] out = new byte[4];
    assertThrows(DecoderException.class, () -&gt; Hex.decodeHex("aabbccddeeff".toCharArray(), out, 0));
}</t>
  </si>
  <si>
    <t>@Test
public void testDecodeBadCharacterPos1() {
    assertThrows(DecoderException.class, () -&gt; new Hex().decode("0q"));
}
@Test
public void testDecodeHexCharArrayOutBufferUnderSizedByOffset() {
    final byte[] out = new byte[6];
    assertThrows(DecoderException.class, () -&gt; Hex.decodeHex("aabbccddeeff".toCharArray(), out, 1));
}</t>
  </si>
  <si>
    <t>@Test
public void testDecodeByteArrayEmpty() throws DecoderException {
    assertArrayEquals(new byte[0], new Hex().decode(new byte[0]));
}
@Test
public void testDecodeByteArrayObjectEmpty() throws DecoderException {
    assertArrayEquals(new byte[0], (byte[]) new Hex().decode((Object) new byte[0]));
}</t>
  </si>
  <si>
    <t>@Test
public void testDecodeByteArrayEmpty() throws DecoderException {
    assertArrayEquals(new byte[0], new Hex().decode(new byte[0]));
}
@Test
public void testDecodeStringEmpty() throws DecoderException {
    assertArrayEquals(new byte[0], (byte[]) new Hex().decode(""));
}</t>
  </si>
  <si>
    <t>@Test
public void testDecodeByteArrayObjectEmpty() throws DecoderException {
    assertArrayEquals(new byte[0], (byte[]) new Hex().decode((Object) new byte[0]));
}
@Test
public void testDecodeByteBufferObjectEmpty() throws DecoderException {
    assertArrayEquals(new byte[0], (byte[]) new Hex().decode((Object) allocate(0)));
}</t>
  </si>
  <si>
    <t>[org/apache/commons/codec/binary/Hex."&lt;init&gt;", org/apache/commons/codec/binary/Hex.decode]
[org/apache/commons/codec/binary/Hex."&lt;init&gt;", .allocate, org/apache/commons/codec/binary/Hex.decode]</t>
  </si>
  <si>
    <t>@Test
public void testDecodeByteArrayObjectEmpty() throws DecoderException {
    assertArrayEquals(new byte[0], (byte[]) new Hex().decode((Object) new byte[0]));
}
@Test
public void testEncodeByteArrayObjectEmpty() throws EncoderException {
    assertArrayEquals(new char[0], (char[]) new Hex().encode((Object) new byte[0]));
}</t>
  </si>
  <si>
    <t>@Test
public void testDecodeByteArrayObjectEmpty() throws DecoderException {
    assertArrayEquals(new byte[0], (byte[]) new Hex().decode((Object) new byte[0]));
}
@Test
public void testDecodeStringEmpty() throws DecoderException {
    assertArrayEquals(new byte[0], (byte[]) new Hex().decode(""));
}</t>
  </si>
  <si>
    <t>@Test
public void testDecodeByteArrayOddCharacters() {
    assertThrows(DecoderException.class, () -&gt; new Hex().decode(new byte[] { 65 }), "odd number of characters");
}
@Test
public void testDecodeClassCastException() {
    assertThrows(DecoderException.class, () -&gt; new Hex().decode(new int[] { 65 }), "odd number of characters");
}</t>
  </si>
  <si>
    <t>@Test
public void testDecodeByteArrayOddCharacters() {
    assertThrows(DecoderException.class, () -&gt; new Hex().decode(new byte[] { 65 }), "odd number of characters");
}
@Test
public void testDecodeHexStringOddCharacters() {
    assertThrows(DecoderException.class, () -&gt; new Hex().decode("6"), "odd number of characters");
}</t>
  </si>
  <si>
    <t>@Test
public void testDecodeByteArrayOddCharacters() {
    assertThrows(DecoderException.class, () -&gt; new Hex().decode(new byte[] { 65 }), "odd number of characters");
}
@Test
public void testEncodeClassCastException() {
    assertThrows(EncoderException.class, () -&gt; new Hex().encode(new int[] { 65 }));
}</t>
  </si>
  <si>
    <t>@Test
public void testDecodeByteArrayOddCharacters() {
    assertThrows(DecoderException.class, () -&gt; new Hex().decode(new byte[] { 65 }), "odd number of characters");
}
@Test
public void testDecodeHexCharArrayOutBufferUnderSized() {
    final byte[] out = new byte[4];
    assertThrows(DecoderException.class, () -&gt; Hex.decodeHex("aabbccddeeff".toCharArray(), out, 0));
}</t>
  </si>
  <si>
    <t>@Test
public void testDecodeByteArrayOddCharacters() {
    assertThrows(DecoderException.class, () -&gt; new Hex().decode(new byte[] { 65 }), "odd number of characters");
}
@Test
public void testDecodeHexCharArrayOutBufferUnderSizedByOffset() {
    final byte[] out = new byte[6];
    assertThrows(DecoderException.class, () -&gt; Hex.decodeHex("aabbccddeeff".toCharArray(), out, 1));
}</t>
  </si>
  <si>
    <t>@Test
public void testDecodeByteBufferEmpty() throws DecoderException {
    assertArrayEquals(new byte[0], new Hex().decode(allocate(0)));
}
@Test
public void testDecodeByteBufferObjectEmpty() throws DecoderException {
    assertArrayEquals(new byte[0], (byte[]) new Hex().decode((Object) allocate(0)));
}</t>
  </si>
  <si>
    <t>[org/apache/commons/codec/binary/Hex."&lt;init&gt;", .allocate, org/apache/commons/codec/binary/Hex.decode]
[org/apache/commons/codec/binary/Hex."&lt;init&gt;", .allocate, org/apache/commons/codec/binary/Hex.decode]</t>
  </si>
  <si>
    <t>@Test
public void testDecodeByteBufferObjectEmpty() throws DecoderException {
    assertArrayEquals(new byte[0], (byte[]) new Hex().decode((Object) allocate(0)));
}
@Test
public void testEncodeByteBufferObjectEmpty() throws EncoderException {
    assertArrayEquals(new char[0], (char[]) new Hex().encode((Object) allocate(0)));
}</t>
  </si>
  <si>
    <t>[org/apache/commons/codec/binary/Hex."&lt;init&gt;", .allocate, org/apache/commons/codec/binary/Hex.decode]
[org/apache/commons/codec/binary/Hex."&lt;init&gt;", .allocate, org/apache/commons/codec/binary/Hex.encode]</t>
  </si>
  <si>
    <t>@Test
public void testDecodeClassCastException() {
    assertThrows(DecoderException.class, () -&gt; new Hex().decode(new int[] { 65 }), "odd number of characters");
}
@Test
public void testEncodeClassCastException() {
    assertThrows(EncoderException.class, () -&gt; new Hex().encode(new int[] { 65 }));
}</t>
  </si>
  <si>
    <t>@Test
public void testDecodeClassCastException() {
    assertThrows(DecoderException.class, () -&gt; new Hex().decode(new int[] { 65 }), "odd number of characters");
}
@Test
public void testDecodeHexStringOddCharacters() {
    assertThrows(DecoderException.class, () -&gt; new Hex().decode("6"), "odd number of characters");
}</t>
  </si>
  <si>
    <t>@Test
public void testDecodeClassCastException() {
    assertThrows(DecoderException.class, () -&gt; new Hex().decode(new int[] { 65 }), "odd number of characters");
}
@Test
public void testDecodeHexCharArrayOutBufferUnderSized() {
    final byte[] out = new byte[4];
    assertThrows(DecoderException.class, () -&gt; Hex.decodeHex("aabbccddeeff".toCharArray(), out, 0));
}</t>
  </si>
  <si>
    <t>@Test
public void testDecodeClassCastException() {
    assertThrows(DecoderException.class, () -&gt; new Hex().decode(new int[] { 65 }), "odd number of characters");
}
@Test
public void testDecodeHexCharArrayOutBufferUnderSizedByOffset() {
    final byte[] out = new byte[6];
    assertThrows(DecoderException.class, () -&gt; Hex.decodeHex("aabbccddeeff".toCharArray(), out, 1));
}</t>
  </si>
  <si>
    <t>@Test
public void testDecodeHexCharArrayEmpty() throws DecoderException {
    assertArrayEquals(new byte[0], Hex.decodeHex(new char[0]));
}
@Test
public void testDecodeHexStringEmpty() throws DecoderException {
    assertArrayEquals(new byte[0], Hex.decodeHex(""));
}</t>
  </si>
  <si>
    <t>[org/apache/commons/codec/binary/Hex.decodeHex]
[org/apache/commons/codec/binary/Hex.decodeHex]</t>
  </si>
  <si>
    <t>@Test
public void testDecodeHexCharArrayOddCharacters3() {
    checkDecodeHexCharArrayOddCharacters(new char[] { 'A', 'B', 'C' });
}
@Test
public void testDecodeHexStringOddCharacters1() {
    checkDecodeHexCharArrayOddCharacters("A");
}</t>
  </si>
  <si>
    <t>@Test
public void testDecodeHexCharArrayOddCharacters5() {
    checkDecodeHexCharArrayOddCharacters(new char[] { 'A', 'B', 'C', 'D', 'E' });
}
@Test
public void testDecodeHexStringOddCharacters1() {
    checkDecodeHexCharArrayOddCharacters("A");
}</t>
  </si>
  <si>
    <t>@Test
public void testDecodeHexCharArrayOutBufferUnderSized() {
    final byte[] out = new byte[4];
    assertThrows(DecoderException.class, () -&gt; Hex.decodeHex("aabbccddeeff".toCharArray(), out, 0));
}
@Test
public void testDecodeHexCharArrayOutBufferUnderSizedByOffset() {
    final byte[] out = new byte[6];
    assertThrows(DecoderException.class, () -&gt; Hex.decodeHex("aabbccddeeff".toCharArray(), out, 1));
}</t>
  </si>
  <si>
    <t>@Test
public void testDecodeHexCharArrayOutBufferUnderSized() {
    final byte[] out = new byte[4];
    assertThrows(DecoderException.class, () -&gt; Hex.decodeHex("aabbccddeeff".toCharArray(), out, 0));
}
@Test
public void testDecodeHexStringOddCharacters() {
    assertThrows(DecoderException.class, () -&gt; new Hex().decode("6"), "odd number of characters");
}</t>
  </si>
  <si>
    <t>@Test
public void testDecodeHexCharArrayOutBufferUnderSized() {
    final byte[] out = new byte[4];
    assertThrows(DecoderException.class, () -&gt; Hex.decodeHex("aabbccddeeff".toCharArray(), out, 0));
}
@Test
public void testEncodeClassCastException() {
    assertThrows(EncoderException.class, () -&gt; new Hex().encode(new int[] { 65 }));
}</t>
  </si>
  <si>
    <t>@Test
public void testDecodeHexCharArrayOutBufferUnderSizedByOffset() {
    final byte[] out = new byte[6];
    assertThrows(DecoderException.class, () -&gt; Hex.decodeHex("aabbccddeeff".toCharArray(), out, 1));
}
@Test
public void testDecodeHexStringOddCharacters() {
    assertThrows(DecoderException.class, () -&gt; new Hex().decode("6"), "odd number of characters");
}</t>
  </si>
  <si>
    <t>@Test
public void testDecodeHexCharArrayOutBufferUnderSizedByOffset() {
    final byte[] out = new byte[6];
    assertThrows(DecoderException.class, () -&gt; Hex.decodeHex("aabbccddeeff".toCharArray(), out, 1));
}
@Test
public void testEncodeClassCastException() {
    assertThrows(EncoderException.class, () -&gt; new Hex().encode(new int[] { 65 }));
}</t>
  </si>
  <si>
    <t>@Test
public void testDecodeHexStringOddCharacters() {
    assertThrows(DecoderException.class, () -&gt; new Hex().decode("6"), "odd number of characters");
}
@Test
public void testEncodeClassCastException() {
    assertThrows(EncoderException.class, () -&gt; new Hex().encode(new int[] { 65 }));
}</t>
  </si>
  <si>
    <t>@Test
public void testEncodeByteArrayEmpty() {
    assertArrayEquals(new byte[0], new Hex().encode(new byte[0]));
}
@Test
public void testEncodeByteArrayObjectEmpty() throws EncoderException {
    assertArrayEquals(new char[0], (char[]) new Hex().encode((Object) new byte[0]));
}</t>
  </si>
  <si>
    <t>[org/apache/commons/codec/binary/Hex."&lt;init&gt;", org/apache/commons/codec/binary/Hex.encode]
[org/apache/commons/codec/binary/Hex."&lt;init&gt;", org/apache/commons/codec/binary/Hex.encode]</t>
  </si>
  <si>
    <t>@Test
public void testEncodeByteArrayEmpty() {
    assertArrayEquals(new byte[0], new Hex().encode(new byte[0]));
}
@Test
public void testEncodeStringEmpty() throws EncoderException {
    assertArrayEquals(new char[0], (char[]) new Hex().encode(""));
}</t>
  </si>
  <si>
    <t>@Test
public void testEncodeByteArrayObjectEmpty() throws EncoderException {
    assertArrayEquals(new char[0], (char[]) new Hex().encode((Object) new byte[0]));
}
@Test
public void testEncodeByteBufferObjectEmpty() throws EncoderException {
    assertArrayEquals(new char[0], (char[]) new Hex().encode((Object) allocate(0)));
}</t>
  </si>
  <si>
    <t>[org/apache/commons/codec/binary/Hex."&lt;init&gt;", org/apache/commons/codec/binary/Hex.encode]
[org/apache/commons/codec/binary/Hex."&lt;init&gt;", .allocate, org/apache/commons/codec/binary/Hex.encode]</t>
  </si>
  <si>
    <t>@Test
public void testEncodeByteArrayObjectEmpty() throws EncoderException {
    assertArrayEquals(new char[0], (char[]) new Hex().encode((Object) new byte[0]));
}
@Test
public void testEncodeStringEmpty() throws EncoderException {
    assertArrayEquals(new char[0], (char[]) new Hex().encode(""));
}</t>
  </si>
  <si>
    <t>@Test
public void testEncodeByteBufferEmpty() {
    assertArrayEquals(new byte[0], new Hex().encode(allocate(0)));
}
@Test
public void testEncodeByteBufferObjectEmpty() throws EncoderException {
    assertArrayEquals(new char[0], (char[]) new Hex().encode((Object) allocate(0)));
}</t>
  </si>
  <si>
    <t>[org/apache/commons/codec/binary/Hex."&lt;init&gt;", .allocate, org/apache/commons/codec/binary/Hex.encode]
[org/apache/commons/codec/binary/Hex."&lt;init&gt;", .allocate, org/apache/commons/codec/binary/Hex.encode]</t>
  </si>
  <si>
    <t>@Test
public void testEncodeHexByteArrayEmpty() {
    assertArrayEquals(new char[0], Hex.encodeHex(new byte[0]));
    assertArrayEquals(new byte[0], new Hex().encode(new byte[0]));
}
@Test
public void testEncodeHexByteBufferEmpty() {
    assertArrayEquals(new char[0], Hex.encodeHex(allocate(0)));
    assertArrayEquals(new byte[0], new Hex().encode(allocate(0)));
}</t>
  </si>
  <si>
    <t>[org/apache/commons/codec/binary/Hex.encodeHex, org/apache/commons/codec/binary/Hex."&lt;init&gt;", org/apache/commons/codec/binary/Hex.encode]
[.allocate, org/apache/commons/codec/binary/Hex.encodeHex, org/apache/commons/codec/binary/Hex."&lt;init&gt;", .allocate, org/apache/commons/codec/binary/Hex.encode]</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</si>
  <si>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assertNotEquals(expected, new String(actual));
}
@Test
public void testEncodeHexByteArrayHelloWorldUpperCaseHex() {
    final byte[] b = StringUtils.getBytesUtf8("Hello World");
    final String expected = "48656C6C6F20576F726C64";
    char[] actual;
    actual = Hex.encodeHex(b);
    assertNotEquals(expected, new String(actual));
    actual = Hex.encodeHex(b, true);
    assertNotEquals(expected, new String(actual));
    actual = Hex.encodeHex(b, false);
    assertEquals(expected, new String(actual));
}</t>
  </si>
  <si>
    <t>[org/apache/commons/codec/binary/StringUtils.getBytesUtf8, org/apache/commons/codec/binary/Hex.encodeHex, java/lang/String."&lt;init&gt;", org/apache/commons/codec/binary/Hex.encodeHex, java/lang/String."&lt;init&gt;", org/apache/commons/codec/binary/Hex.encodeHex, java/lang/String."&lt;init&gt;"]
[org/apache/commons/codec/binary/StringUtils.getBytesUtf8, org/apache/commons/codec/binary/Hex.encodeHex, java/lang/String."&lt;init&gt;", org/apache/commons/codec/binary/Hex.encodeHex, java/lang/String."&lt;init&gt;", org/apache/commons/codec/binary/Hex.encodeHex, java/lang/String."&lt;init&gt;"]</t>
  </si>
  <si>
    <t>@Test
public void testEncodeHexByteString_ByteArrayBoolean_ToLowerCase() {
    assertEquals("0a", Hex.encodeHexString(new byte[] { 10 }, true));
}
@Test
public void testEncodeHexByteString_ByteArrayOfZeroes() {
    final String c = Hex.encodeHexString(new byte[36]);
    assertEquals("000000000000000000000000000000000000000000000000000000000000000000000000", c);
}</t>
  </si>
  <si>
    <t>@Test
public void testEncodeHexByteString_ByteArrayBoolean_ToUpperCase() {
    assertEquals("0A", Hex.encodeHexString(new byte[] { 10 }, false));
}
@Test
public void testEncodeHexByteString_ByteArrayOfZeroes() {
    final String c = Hex.encodeHexString(new byte[36]);
    assertEquals("000000000000000000000000000000000000000000000000000000000000000000000000", c);
}</t>
  </si>
  <si>
    <t>@Test
public void testEncodeHexPartialInputOverbounds() {
    final byte[] data = "hello world".getBytes(StandardCharsets.UTF_8);
    assertThrows(ArrayIndexOutOfBoundsException.class, () -&gt; Hex.encodeHex(data, 9, 10, true));
}
@Test
public void testEncodeHexPartialInputUnderbounds() {
    final byte[] data = "hello world".getBytes(StandardCharsets.UTF_8);
    assertThrows(ArrayIndexOutOfBoundsException.class, () -&gt; Hex.encodeHex(data, -2, 10, true));
}</t>
  </si>
  <si>
    <t>[java/lang/String.getBytes]
[java/lang/String.getBytes]</t>
  </si>
  <si>
    <t>02235dfce2cb0eee214663804f8bc526435c33fb</t>
  </si>
  <si>
    <t>c6b9e15da29fe10ca73677e346b18fef0f5d9931</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</si>
  <si>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</si>
  <si>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</si>
  <si>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</si>
  <si>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</si>
  <si>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@Test
public void testSamples() {
    // From Javadoc
    assertEquals("$1$xxxx$aMkevjfEIpa35Bh3G4bAc.", Crypt.crypt("secret", "$1$xxxx"));
    assertEquals("xxWAum7tHdIUw", Crypt.crypt("secret", "xx"));
}
@Test
public void testStored() {
    // From Javadoc
    assertEquals("$1$xxxx$aMkevjfEIpa35Bh3G4bAc.", Crypt.crypt("secret", "$1$xxxx$aMkevjfEIpa35Bh3G4bAc."));
    assertEquals("xxWAum7tHdIUw", Crypt.crypt("secret", "xxWAum7tHdIUw"));
}</t>
  </si>
  <si>
    <t>[[testSamples, testStored, testType, testBadType, testBadSalt]]</t>
  </si>
  <si>
    <t>testBadType</t>
  </si>
  <si>
    <t>@Test
public void testBadType() {
    assertThrowsExactly(IllegalArgumentException.class, () -&gt; Crypt.crypt("secret", "$2$xxxx"));
    assertThrowsExactly(IllegalArgumentException.class, () -&gt; Crypt.crypt("secret", "$3$xxxx"));
    assertThrowsExactly(IllegalArgumentException.class, () -&gt; Crypt.crypt("secret", "$4$"));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</si>
  <si>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</si>
  <si>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6e5d0e037288c34f6f7ca1974eafe3970526ac33</t>
  </si>
  <si>
    <t>/**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
/**
 * Test to expand to the max buffer size.
 */
@Test
public void testEnsureBufferSizeExpandsToMaxBufferSize() {
    assertEnsureBufferSizeExpandsToMaxBufferSize(false);
}</t>
  </si>
  <si>
    <t>org.apache.commons.codec.digest.CRC16Test</t>
  </si>
  <si>
    <t>b3eeb52ff92165277a68f99366f4ff05f20c38a2</t>
  </si>
  <si>
    <t>testDefault</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</si>
  <si>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</si>
  <si>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</si>
  <si>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</si>
  <si>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[org/apache/commons/codec/digest/CRC16.crc16, org/apache/commons/codec/digest/CRC16.modbus]</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</si>
  <si>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testReset() {
    final Checksum crc16 = new CRC16();
    crc16.update(BYTES_123456789, 0, 9);
    assertEquals(0xBB3D, crc16.getValue());
    crc16.update(BYTES_123456789, 0, 9);
    assertEquals(0xED7B, crc16.getValue());
    crc16.reset();
    crc16.update(BYTES_123456789, 0, 9);
    assertEquals(0xbb3d,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</si>
  <si>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[org/apache/commons/codec/digest/CRC16."&lt;init&gt;", java/util/zip/Checksum.update, java/util/zip/Checksum.getValue, java/util/zip/Checksum.update, java/util/zip/Checksum.getValue, java/util/zip/Checksum.reset, java/util/zip/Checksum.update, java/util/zip/Checksum.getValue]</t>
  </si>
  <si>
    <t>testReset</t>
  </si>
  <si>
    <t>[org/apache/commons/codec/digest/CRC16."&lt;init&gt;", org/apache/commons/codec/digest/CRC16.crc16]</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</si>
  <si>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testInit() {
    final Checksum crc16 = CRC16.builder().setInit(0xFFFF).get();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</si>
  <si>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[org/apache/commons/codec/digest/CRC16.builder,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</si>
  <si>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testInit</t>
  </si>
  <si>
    <t>[ org/apache/commons/codec/digest/CRC16$Builder.get, org/apache/commons/codec/digest/CRC16.builder, org/apache/commons/codec/digest/CRC16.crc16,  org/apache/commons/codec/digest/CRC16$Builder.setInit]</t>
  </si>
  <si>
    <t>@Test
void testInit() {
    final Checksum crc16 = CRC16.builder().setInit(0xFFFF).get();
    crc16.update(BYTES_123456789, 0, 9);
    assertEquals(0x4B37, crc16.getValue());
    crc16.update(BYTES_123456789, 0, 9);
    assertEquals(0x090A, crc16.getValue());
    crc16.reset();
    crc16.update(BYTES_123456789, 0, 9);
    assertEquals(0x4B37,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</si>
  <si>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[org/apache/commons/codec/digest/CRC16.builder,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</si>
  <si>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 org/apache/commons/codec/digest/CRC16$Builder.get, org/apache/commons/codec/digest/CRC16.builder, org/apache/commons/codec/digest/CRC16.modbus,  org/apache/commons/codec/digest/CRC16$Builder.setInit]</t>
  </si>
  <si>
    <t>@Test
void testModbus() {
    final Checksum crc16 = CRC16.modbus();
    crc16.update(BYTES_123456789, 0, 9);
    assertEquals(0x4B37, crc16.getValue());
    crc16.update(BYTES_123456789, 0, 9);
    assertEquals(0x090A, crc16.getValue());
    crc16.reset();
    crc16.update(BYTES_123456789, 0, 9);
    assertEquals(0x4B37, crc16.getValue());
}
@Test
void testReset() {
    final Checksum crc16 = new CRC16();
    crc16.update(BYTES_123456789, 0, 9);
    assertEquals(0xBB3D, crc16.getValue());
    crc16.update(BYTES_123456789, 0, 9);
    assertEquals(0xED7B, crc16.getValue());
    crc16.reset();
    crc16.update(BYTES_123456789, 0, 9);
    assertEquals(0xbb3d,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</si>
  <si>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[org/apache/commons/codec/digest/CRC16."&lt;init&gt;", java/util/zip/Checksum.update, java/util/zip/Checksum.getValue, java/util/zip/Checksum.update, java/util/zip/Checksum.getValue, java/util/zip/Checksum.reset, java/util/zip/Checksum.update, java/util/zip/Checksum.getValue]</t>
  </si>
  <si>
    <t>[org/apache/commons/codec/digest/CRC16."&lt;init&gt;", org/apache/commons/codec/digest/CRC16.modbus]</t>
  </si>
  <si>
    <t>e1a0527a47f5f83662399b78ad2d247726bd2291</t>
  </si>
  <si>
    <t>testDefaultCcitt</t>
  </si>
  <si>
    <t>@Test
void testDefaultCcitt() {
    final Checksum crc16 = CRC16.ccitt();
    crc16.update(BYTES_123456789, 0, 9);
    assertEquals(0x2189, crc16.getValue());
    crc16.update(BYTES_123456789, 0, 9);
    assertEquals(0xE026, crc16.getValue());
    crc16.reset();
    crc16.update(BYTES_123456789, 0, 9);
    assertEquals(0x2189,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</si>
  <si>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[org/apache/commons/codec/digest/CRC16.ccitt,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</si>
  <si>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testDefaultModbus</t>
  </si>
  <si>
    <t>[org/apache/commons/codec/digest/CRC16.modbus, org/apache/commons/codec/digest/CRC16.ccitt]</t>
  </si>
  <si>
    <t>testModbusCustom</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</si>
  <si>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</si>
  <si>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</si>
  <si>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testResetCustomModbus</t>
  </si>
  <si>
    <t>org.apache.commons.codec.digest.Crc16Test</t>
  </si>
  <si>
    <t>4e5ba00e90813c3376461264185633a39058ab9c</t>
  </si>
  <si>
    <t>@Test
void testInit() {
    final Checksum crc16 = Crc16.builder().setTable(Crc16.getModbusTable()).setInit(0xFFFF).get();
    stdUpdate(crc16);
    assertEquals(0x4B37, crc16.getValue());
    stdUpdate(crc16);
    assertEquals(0x090A, crc16.getValue());
    crc16.reset();
    stdUpdate(crc16);
    assertEquals(0x4B37, crc16.getValue());
}
@Test
void testModbusCustom() {
    final Checksum crc16 = Crc16.builder().setTable(Crc16.getModbusTable()).setInit(0xFFFF).get();
    stdUpdate(crc16);
    assertEquals(0x4B37, crc16.getValue());
    stdUpdate(crc16);
    assertEquals(0x090A, crc16.getValue());
    crc16.reset();
    stdUpdate(crc16);
    assertEquals(0x4B37,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</si>
  <si>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t>
  </si>
  <si>
    <t>@Test
void testInit() {
    final Checksum crc16 = Crc16.builder().setTable(Crc16.getModbusTable()).setInit(0xFFFF).get();
    stdUpdate(crc16);
    assertEquals(0x4B37, crc16.getValue());
    stdUpdate(crc16);
    assertEquals(0x090A, crc16.getValue());
    crc16.reset();
    stdUpdate(crc16);
    assertEquals(0x4B37, crc16.getValue());
}
@Test
void testResetCustomModbus() {
    final Checksum crc16 = Crc16.builder().setTable(Crc16.getModbusTable()).setInit(0x0000).get();
    stdUpdate(crc16);
    assertEquals(0xBB3D, crc16.getValue());
    stdUpdate(crc16);
    assertEquals(0xED7B, crc16.getValue());
    crc16.reset();
    stdUpdate(crc16);
    assertEquals(0xbb3d, crc16.getValue());
}</t>
  </si>
  <si>
    <t>@Test
void testInit()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</si>
  <si>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</si>
  <si>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testUpdateArray</t>
  </si>
  <si>
    <t>[ java/util/zip/Checksum.reset]</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</si>
  <si>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testResetCustomModbus() {
    final Checksum crc16 = Crc16.builder().setTable(Crc16.getModbusTable()).setInit(0x0000).get();
    stdUpdate(crc16);
    assertEquals(0xBB3D, crc16.getValue());
    stdUpdate(crc16);
    assertEquals(0xED7B, crc16.getValue());
    crc16.reset();
    stdUpdate(crc16);
    assertEquals(0xbb3d, crc16.getValue());
}</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</si>
  <si>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</si>
  <si>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@Test
void testResetCustomModbus() {
    final Checksum crc16 = Crc16.builder().setTable(Crc16.getModbusTable()).setInit(0x0000).get();
    stdUpdate(crc16);
    assertEquals(0xBB3D, crc16.getValue());
    stdUpdate(crc16);
    assertEquals(0xED7B, crc16.getValue());
    crc16.reset();
    stdUpdate(crc16);
    assertEquals(0xbb3d, crc16.getValue());
}
@Test
void testUpdateArray() {
    final Checksum crc16 = Crc16.builder().setTable(Crc16.getModbusTable()).setInit(0x0000).get();
    stdUpdate(crc16);
    assertEquals(0xBB3D, crc16.getValue());
}</t>
  </si>
  <si>
    <t>b20db1f1fa6ee7b0536f6a25c9c33f8289c22098</t>
  </si>
  <si>
    <t>@Test
void testBran() {
    encodeAll(new String[] { "Brian", "Brown", "Brun" }, "BRAN");
}
@Test
void testDan() {
    encodeAll(new String[] { "Dane", "Dean", "Dionne" }, "DAN");
}</t>
  </si>
  <si>
    <t>@Test
void testBran() {
    encodeAll(new String[] { "Brian", "Brown", "Brun" }, "BRAN");
}
@Test
void testCap() {
    encodeAll(new String[] { "Capp", "Cope", "Copp", "Kipp" }, "CAP");
}</t>
  </si>
  <si>
    <t>@Test
void testBran() {
    encodeAll(new String[] { "Brian", "Brown", "Brun" }, "BRAN");
}
@Test
void testSnat() {
    encodeAll(new String[] { "Smith", "Schmit" }, "SNAT");
}</t>
  </si>
  <si>
    <t>@Test
void testBran() {
    encodeAll(new String[] { "Brian", "Brown", "Brun" }, "BRAN");
}
@Test
void testTranan() {
    encodeAll(new String[] { "Trueman", "Truman" }, "TRANAN");
}</t>
  </si>
  <si>
    <t>@Test
void testBran() {
    encodeAll(new String[] { "Brian", "Brown", "Brun" }, "BRAN");
}
@Test
void testDad() {
    // Data Quality and Record Linkage Techniques P.121 claims this is DAN,
    // but it should be DAD, verified also with dropby.com
    encodeAll(new String[] { "Dent" }, "DAD");
}</t>
  </si>
  <si>
    <t>@Test
void testBran() {
    encodeAll(new String[] { "Brian", "Brown", "Brun" }, "BRAN");
}
@Test
void testFal() {
    encodeAll(new String[] { "Phil" }, "FAL");
}</t>
  </si>
  <si>
    <t>@Test
void testBran() {
    encodeAll(new String[] { "Brian", "Brown", "Brun" }, "BRAN");
}
@Test
void testSnad() {
    // Data Quality and Record Linkage Techniques P.121 claims this is SNAT,
    // but it should be SNAD
    encodeAll(new String[] { "Schmidt" }, "SNAD");
}</t>
  </si>
  <si>
    <t>@Test
void testBran() {
    encodeAll(new String[] { "Brian", "Brown", "Brun" }, "BRAN");
}
@Test
void testSpecialBranches() {
    encodeAll(new String[] { "Kobwick" }, "CABWAC");
    encodeAll(new String[] { "Kocher" }, "CACAR");
    encodeAll(new String[] { "Fesca" }, "FASC");
    encodeAll(new String[] { "Shom" }, "SAN");
    encodeAll(new String[] { "Ohlo" }, "OL");
    encodeAll(new String[] { "Uhu" }, "UH");
    encodeAll(new String[] { "Um" }, "UN");
}</t>
  </si>
  <si>
    <t>[ .encodeAll]</t>
  </si>
  <si>
    <t>@Test
void testCap() {
    encodeAll(new String[] { "Capp", "Cope", "Copp", "Kipp" }, "CAP");
}
@Test
void testDan() {
    encodeAll(new String[] { "Dane", "Dean", "Dionne" }, "DAN");
}</t>
  </si>
  <si>
    <t>@Test
void testCap() {
    encodeAll(new String[] { "Capp", "Cope", "Copp", "Kipp" }, "CAP");
}
@Test
void testSnat() {
    encodeAll(new String[] { "Smith", "Schmit" }, "SNAT");
}</t>
  </si>
  <si>
    <t>@Test
void testCap() {
    encodeAll(new String[] { "Capp", "Cope", "Copp", "Kipp" }, "CAP");
}
@Test
void testTranan() {
    encodeAll(new String[] { "Trueman", "Truman" }, "TRANAN");
}</t>
  </si>
  <si>
    <t>@Test
void testCap() {
    encodeAll(new String[] { "Capp", "Cope", "Copp", "Kipp" }, "CAP");
}
@Test
void testDad() {
    // Data Quality and Record Linkage Techniques P.121 claims this is DAN,
    // but it should be DAD, verified also with dropby.com
    encodeAll(new String[] { "Dent" }, "DAD");
}</t>
  </si>
  <si>
    <t>@Test
void testCap() {
    encodeAll(new String[] { "Capp", "Cope", "Copp", "Kipp" }, "CAP");
}
@Test
void testFal() {
    encodeAll(new String[] { "Phil" }, "FAL");
}</t>
  </si>
  <si>
    <t>@Test
void testCap() {
    encodeAll(new String[] { "Capp", "Cope", "Copp", "Kipp" }, "CAP");
}
@Test
void testSnad() {
    // Data Quality and Record Linkage Techniques P.121 claims this is SNAT,
    // but it should be SNAD
    encodeAll(new String[] { "Schmidt" }, "SNAD");
}</t>
  </si>
  <si>
    <t>@Test
void testCap() {
    encodeAll(new String[] { "Capp", "Cope", "Copp", "Kipp" }, "CAP");
}
@Test
void testSpecialBranches() {
    encodeAll(new String[] { "Kobwick" }, "CABWAC");
    encodeAll(new String[] { "Kocher" }, "CACAR");
    encodeAll(new String[] { "Fesca" }, "FASC");
    encodeAll(new String[] { "Shom" }, "SAN");
    encodeAll(new String[] { "Ohlo" }, "OL");
    encodeAll(new String[] { "Uhu" }, "UH");
    encodeAll(new String[] { "Um" }, "UN");
}</t>
  </si>
  <si>
    <t>@Test
void testDad() {
    // Data Quality and Record Linkage Techniques P.121 claims this is DAN,
    // but it should be DAD, verified also with dropby.com
    encodeAll(new String[] { "Dent" }, "DAD");
}
@Test
void testSnad() {
    // Data Quality and Record Linkage Techniques P.121 claims this is SNAT,
    // but it should be SNAD
    encodeAll(new String[] { "Schmidt" }, "SNAD");
}</t>
  </si>
  <si>
    <t>@Test
void testDad() {
    // Data Quality and Record Linkage Techniques P.121 claims this is DAN,
    // but it should be DAD, verified also with dropby.com
    encodeAll(new String[] { "Dent" }, "DAD");
}
@Test
void testFal() {
    encodeAll(new String[] { "Phil" }, "FAL");
}</t>
  </si>
  <si>
    <t>@Test
void testDad() {
    // Data Quality and Record Linkage Techniques P.121 claims this is DAN,
    // but it should be DAD, verified also with dropby.com
    encodeAll(new String[] { "Dent" }, "DAD");
}
@Test
void testSnat() {
    encodeAll(new String[] { "Smith", "Schmit" }, "SNAT");
}</t>
  </si>
  <si>
    <t>@Test
void testDad() {
    // Data Quality and Record Linkage Techniques P.121 claims this is DAN,
    // but it should be DAD, verified also with dropby.com
    encodeAll(new String[] { "Dent" }, "DAD");
}
@Test
void testTranan() {
    encodeAll(new String[] { "Trueman", "Truman" }, "TRANAN");
}</t>
  </si>
  <si>
    <t>@Test
void testDad() {
    // Data Quality and Record Linkage Techniques P.121 claims this is DAN,
    // but it should be DAD, verified also with dropby.com
    encodeAll(new String[] { "Dent" }, "DAD");
}
@Test
void testDan() {
    encodeAll(new String[] { "Dane", "Dean", "Dionne" }, "DAN");
}</t>
  </si>
  <si>
    <t>@Test
void testDad() {
    // Data Quality and Record Linkage Techniques P.121 claims this is DAN,
    // but it should be DAD, verified also with dropby.com
    encodeAll(new String[] { "Dent" }, "DAD");
}
@Test
void testSpecialBranches() {
    encodeAll(new String[] { "Kobwick" }, "CABWAC");
    encodeAll(new String[] { "Kocher" }, "CACAR");
    encodeAll(new String[] { "Fesca" }, "FASC");
    encodeAll(new String[] { "Shom" }, "SAN");
    encodeAll(new String[] { "Ohlo" }, "OL");
    encodeAll(new String[] { "Uhu" }, "UH");
    encodeAll(new String[] { "Um" }, "UN");
}</t>
  </si>
  <si>
    <t>@Test
void testDan() {
    encodeAll(new String[] { "Dane", "Dean", "Dionne" }, "DAN");
}
@Test
void testSnat() {
    encodeAll(new String[] { "Smith", "Schmit" }, "SNAT");
}</t>
  </si>
  <si>
    <t>@Test
void testDan() {
    encodeAll(new String[] { "Dane", "Dean", "Dionne" }, "DAN");
}
@Test
void testTranan() {
    encodeAll(new String[] { "Trueman", "Truman" }, "TRANAN");
}</t>
  </si>
  <si>
    <t>@Test
void testDan() {
    encodeAll(new String[] { "Dane", "Dean", "Dionne" }, "DAN");
}
@Test
void testFal() {
    encodeAll(new String[] { "Phil" }, "FAL");
}</t>
  </si>
  <si>
    <t>@Test
void testDan() {
    encodeAll(new String[] { "Dane", "Dean", "Dionne" }, "DAN");
}
@Test
void testSnad() {
    // Data Quality and Record Linkage Techniques P.121 claims this is SNAT,
    // but it should be SNAD
    encodeAll(new String[] { "Schmidt" }, "SNAD");
}</t>
  </si>
  <si>
    <t>@Test
void testDan() {
    encodeAll(new String[] { "Dane", "Dean", "Dionne" }, "DAN");
}
@Test
void testSpecialBranches() {
    encodeAll(new String[] { "Kobwick" }, "CABWAC");
    encodeAll(new String[] { "Kocher" }, "CACAR");
    encodeAll(new String[] { "Fesca" }, "FASC");
    encodeAll(new String[] { "Shom" }, "SAN");
    encodeAll(new String[] { "Ohlo" }, "OL");
    encodeAll(new String[] { "Uhu" }, "UH");
    encodeAll(new String[] { "Um" }, "UN");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</si>
  <si>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2: Translate last characters of name: EE → Y, IE → Y, DT, RT, RD, NT, ND → D
 */
@Test
void testRule2() {
    assertEncodings(new String[] { "XEE", "XY" }, new String[] { "XIE", "XY" }, new String[] { "XDT", "XD" }, new String[] { "XRT", "XD" }, new String[] { "XRD", "XD" }, new String[] { "XNT", "XD" }, new String[] { "XND", "XD"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</si>
  <si>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1: Translate first characters of name: MAC → MCC, KN → N, K → C, PH, PF → FF, SCH → SSS
 */
@Test
void testRule1() {
    assertEncodings(new String[] { "MACX", "MCX" }, new String[] { "KNX", "NX" }, new String[] { "KX", "CX" }, new String[] { "PHX", "FX" }, new String[] { "PFX", "FX" }, new String[] { "SCHX", "SX"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</si>
  <si>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data gathered from around the internets.
 */
@Test
void testOthers() {
    assertEncodings(new String[] { "O'Daniel", "ODANAL" }, new String[] { "O'Donnel", "ODANAL" }, new String[] { "Cory", "CARY" }, new String[] { "Corey", "CARY" }, new String[] { "Kory", "CARY" }, //
    new String[] { "FUZZY", "FASY"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</si>
  <si>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4.1: EV → AF else A, E, I, O, U → A
 */
@Test
void testRule4Dot1() {
    assertEncodings(new String[] { "XEV", "XAF" }, new String[] { "XAX", "XAX" }, new String[] { "XEX", "XAX" }, new String[] { "XIX", "XAX" }, new String[] { "XOX", "XAX" }, new String[] { "XUX", "XAX"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</si>
  <si>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4.2: Q → G, Z → S, M → N
 */
@Test
void testRule4Dot2() {
    assertEncodings(new String[] { "XQ", "XG" }, new String[] { "XZ", "X" }, new String[] { "XM", "XN"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</si>
  <si>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5: If last character is S, remove it.
 */
@Test
void testRule5() {
    assertEncodings(new String[] { "XS", "X" }, new String[] { "XSS", "X"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</si>
  <si>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6: If last characters are AY, replace with Y.
 */
@Test
void testRule6() {
    assertEncodings(new String[] { "XAY", "XY" }, // Rules 5, 6
    new String[] { "XAYS", "XY"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</si>
  <si>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7: If last character is A, remove it.
 */
@Test
void testRule7() {
    assertEncodings(new String[] { "XA", "X" }, // Rules 5, 7
    new String[] { "XAS", "X" });
}</t>
  </si>
  <si>
    <t>@Test
void testFal() {
    encodeAll(new String[] { "Phil" }, "FAL");
}
@Test
void testSnad() {
    // Data Quality and Record Linkage Techniques P.121 claims this is SNAT,
    // but it should be SNAD
    encodeAll(new String[] { "Schmidt" }, "SNAD");
}</t>
  </si>
  <si>
    <t>@Test
void testFal() {
    encodeAll(new String[] { "Phil" }, "FAL");
}
@Test
void testSnat() {
    encodeAll(new String[] { "Smith", "Schmit" }, "SNAT");
}</t>
  </si>
  <si>
    <t>@Test
void testFal() {
    encodeAll(new String[] { "Phil" }, "FAL");
}
@Test
void testTranan() {
    encodeAll(new String[] { "Trueman", "Truman" }, "TRANAN");
}</t>
  </si>
  <si>
    <t>@Test
void testFal() {
    encodeAll(new String[] { "Phil" }, "FAL");
}
@Test
void testSpecialBranches() {
    encodeAll(new String[] { "Kobwick" }, "CABWAC");
    encodeAll(new String[] { "Kocher" }, "CACAR");
    encodeAll(new String[] { "Fesca" }, "FASC");
    encodeAll(new String[] { "Shom" }, "SAN");
    encodeAll(new String[] { "Ohlo" }, "OL");
    encodeAll(new String[] { "Uhu" }, "UH");
    encodeAll(new String[] { "Um" }, "UN");
}</t>
  </si>
  <si>
    <t>/**
 * Tests data gathered from around the internets.
 */
@Test
void testOthers() {
    assertEncodings(new String[] { "O'Daniel", "ODANAL" }, new String[] { "O'Donnel", "ODANAL" }, new String[] { "Cory", "CARY" }, new String[] { "Corey", "CARY" }, new String[] { "Kory", "CARY" }, //
    new String[] { "FUZZY", "FASY" });
}
/**
 * Tests rule 1: Translate first characters of name: MAC → MCC, KN → N, K → C, PH, PF → FF, SCH → SSS
 */
@Test
void testRule1() {
    assertEncodings(new String[] { "MACX", "MCX" }, new String[] { "KNX", "NX" }, new String[] { "KX", "CX" }, new String[] { "PHX", "FX" }, new String[] { "PFX", "FX" }, new String[] { "SCHX", "SX" });
}</t>
  </si>
  <si>
    <t>/**
 * Tests data gathered from around the internets.
 */
@Test
void testOthers() {
    assertEncodings(new String[] { "O'Daniel", "ODANAL" }, new String[] { "O'Donnel", "ODANAL" }, new String[] { "Cory", "CARY" }, new String[] { "Corey", "CARY" }, new String[] { "Kory", "CARY" }, //
    new String[] { "FUZZY", "FASY" });
}
/**
 * Tests rule 4.1: EV → AF else A, E, I, O, U → A
 */
@Test
void testRule4Dot1() {
    assertEncodings(new String[] { "XEV", "XAF" }, new String[] { "XAX", "XAX" }, new String[] { "XEX", "XAX" }, new String[] { "XIX", "XAX" }, new String[] { "XOX", "XAX" }, new String[] { "XUX", "XAX" });
}</t>
  </si>
  <si>
    <t>/**
 * Tests data gathered from around the internets.
 */
@Test
void testOthers() {
    assertEncodings(new String[] { "O'Daniel", "ODANAL" }, new String[] { "O'Donnel", "ODANAL" }, new String[] { "Cory", "CARY" }, new String[] { "Corey", "CARY" }, new String[] { "Kory", "CARY" }, //
    new String[] { "FUZZY", "FASY" });
}
/**
 * Tests rule 2: Translate last characters of name: EE → Y, IE → Y, DT, RT, RD, NT, ND → D
 */
@Test
void testRule2() {
    assertEncodings(new String[] { "XEE", "XY" }, new String[] { "XIE", "XY" }, new String[] { "XDT", "XD" }, new String[] { "XRT", "XD" }, new String[] { "XRD", "XD" }, new String[] { "XNT", "XD" }, new String[] { "XND", "XD" });
}</t>
  </si>
  <si>
    <t>/**
 * Tests data gathered from around the internets.
 */
@Test
void testOthers() {
    assertEncodings(new String[] { "O'Daniel", "ODANAL" }, new String[] { "O'Donnel", "ODANAL" }, new String[] { "Cory", "CARY" }, new String[] { "Corey", "CARY" }, new String[] { "Kory", "CARY" }, //
    new String[] { "FUZZY", "FASY" });
}
/**
 * Tests rule 4.2: Q → G, Z → S, M → N
 */
@Test
void testRule4Dot2() {
    assertEncodings(new String[] { "XQ", "XG" }, new String[] { "XZ", "X" }, new String[] { "XM", "XN" });
}</t>
  </si>
  <si>
    <t>/**
 * Tests data gathered from around the internets.
 */
@Test
void testOthers() {
    assertEncodings(new String[] { "O'Daniel", "ODANAL" }, new String[] { "O'Donnel", "ODANAL" }, new String[] { "Cory", "CARY" }, new String[] { "Corey", "CARY" }, new String[] { "Kory", "CARY" }, //
    new String[] { "FUZZY", "FASY" });
}
/**
 * Tests rule 5: If last character is S, remove it.
 */
@Test
void testRule5() {
    assertEncodings(new String[] { "XS", "X" }, new String[] { "XSS", "X" });
}</t>
  </si>
  <si>
    <t>/**
 * Tests data gathered from around the internets.
 */
@Test
void testOthers() {
    assertEncodings(new String[] { "O'Daniel", "ODANAL" }, new String[] { "O'Donnel", "ODANAL" }, new String[] { "Cory", "CARY" }, new String[] { "Corey", "CARY" }, new String[] { "Kory", "CARY" }, //
    new String[] { "FUZZY", "FASY" });
}
/**
 * Tests rule 6: If last characters are AY, replace with Y.
 */
@Test
void testRule6() {
    assertEncodings(new String[] { "XAY", "XY" }, // Rules 5, 6
    new String[] { "XAYS", "XY" });
}</t>
  </si>
  <si>
    <t>/**
 * Tests data gathered from around the internets.
 */
@Test
void testOthers() {
    assertEncodings(new String[] { "O'Daniel", "ODANAL" }, new String[] { "O'Donnel", "ODANAL" }, new String[] { "Cory", "CARY" }, new String[] { "Corey", "CARY" }, new String[] { "Kory", "CARY" }, //
    new String[] { "FUZZY", "FASY" });
}
/**
 * Tests rule 7: If last character is A, remove it.
 */
@Test
void testRule7() {
    assertEncodings(new String[] { "XA", "X" }, // Rules 5, 7
    new String[] { "XAS", "X" });
}</t>
  </si>
  <si>
    <t>/**
 * Tests rule 1: Translate first characters of name: MAC → MCC, KN → N, K → C, PH, PF → FF, SCH → SSS
 */
@Test
void testRule1() {
    assertEncodings(new String[] { "MACX", "MCX" }, new String[] { "KNX", "NX" }, new String[] { "KX", "CX" }, new String[] { "PHX", "FX" }, new String[] { "PFX", "FX" }, new String[] { "SCHX", "SX" });
}
/**
 * Tests rule 4.1: EV → AF else A, E, I, O, U → A
 */
@Test
void testRule4Dot1() {
    assertEncodings(new String[] { "XEV", "XAF" }, new String[] { "XAX", "XAX" }, new String[] { "XEX", "XAX" }, new String[] { "XIX", "XAX" }, new String[] { "XOX", "XAX" }, new String[] { "XUX", "XAX" });
}</t>
  </si>
  <si>
    <t>/**
 * Tests rule 1: Translate first characters of name: MAC → MCC, KN → N, K → C, PH, PF → FF, SCH → SSS
 */
@Test
void testRule1() {
    assertEncodings(new String[] { "MACX", "MCX" }, new String[] { "KNX", "NX" }, new String[] { "KX", "CX" }, new String[] { "PHX", "FX" }, new String[] { "PFX", "FX" }, new String[] { "SCHX", "SX" });
}
/**
 * Tests rule 2: Translate last characters of name: EE → Y, IE → Y, DT, RT, RD, NT, ND → D
 */
@Test
void testRule2() {
    assertEncodings(new String[] { "XEE", "XY" }, new String[] { "XIE", "XY" }, new String[] { "XDT", "XD" }, new String[] { "XRT", "XD" }, new String[] { "XRD", "XD" }, new String[] { "XNT", "XD" }, new String[] { "XND", "XD" });
}</t>
  </si>
  <si>
    <t>/**
 * Tests rule 1: Translate first characters of name: MAC → MCC, KN → N, K → C, PH, PF → FF, SCH → SSS
 */
@Test
void testRule1() {
    assertEncodings(new String[] { "MACX", "MCX" }, new String[] { "KNX", "NX" }, new String[] { "KX", "CX" }, new String[] { "PHX", "FX" }, new String[] { "PFX", "FX" }, new String[] { "SCHX", "SX" });
}
/**
 * Tests rule 4.2: Q → G, Z → S, M → N
 */
@Test
void testRule4Dot2() {
    assertEncodings(new String[] { "XQ", "XG" }, new String[] { "XZ", "X" }, new String[] { "XM", "XN" });
}</t>
  </si>
  <si>
    <t>/**
 * Tests rule 1: Translate first characters of name: MAC → MCC, KN → N, K → C, PH, PF → FF, SCH → SSS
 */
@Test
void testRule1() {
    assertEncodings(new String[] { "MACX", "MCX" }, new String[] { "KNX", "NX" }, new String[] { "KX", "CX" }, new String[] { "PHX", "FX" }, new String[] { "PFX", "FX" }, new String[] { "SCHX", "SX" });
}
/**
 * Tests rule 5: If last character is S, remove it.
 */
@Test
void testRule5() {
    assertEncodings(new String[] { "XS", "X" }, new String[] { "XSS", "X" });
}</t>
  </si>
  <si>
    <t>/**
 * Tests rule 1: Translate first characters of name: MAC → MCC, KN → N, K → C, PH, PF → FF, SCH → SSS
 */
@Test
void testRule1() {
    assertEncodings(new String[] { "MACX", "MCX" }, new String[] { "KNX", "NX" }, new String[] { "KX", "CX" }, new String[] { "PHX", "FX" }, new String[] { "PFX", "FX" }, new String[] { "SCHX", "SX" });
}
/**
 * Tests rule 6: If last characters are AY, replace with Y.
 */
@Test
void testRule6() {
    assertEncodings(new String[] { "XAY", "XY" }, // Rules 5, 6
    new String[] { "XAYS", "XY" });
}</t>
  </si>
  <si>
    <t>/**
 * Tests rule 1: Translate first characters of name: MAC → MCC, KN → N, K → C, PH, PF → FF, SCH → SSS
 */
@Test
void testRule1() {
    assertEncodings(new String[] { "MACX", "MCX" }, new String[] { "KNX", "NX" }, new String[] { "KX", "CX" }, new String[] { "PHX", "FX" }, new String[] { "PFX", "FX" }, new String[] { "SCHX", "SX" });
}
/**
 * Tests rule 7: If last character is A, remove it.
 */
@Test
void testRule7() {
    assertEncodings(new String[] { "XA", "X" }, // Rules 5, 7
    new String[] { "XAS", "X"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</si>
  <si>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4.1: EV → AF else A, E, I, O, U → A
 */
@Test
void testRule4Dot1() {
    assertEncodings(new String[] { "XEV", "XAF" }, new String[] { "XAX", "XAX" }, new String[] { "XEX", "XAX" }, new String[] { "XIX", "XAX" }, new String[] { "XOX", "XAX" }, new String[] { "XUX", "XAX"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</si>
  <si>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4.2: Q → G, Z → S, M → N
 */
@Test
void testRule4Dot2() {
    assertEncodings(new String[] { "XQ", "XG" }, new String[] { "XZ", "X" }, new String[] { "XM", "XN"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</si>
  <si>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5: If last character is S, remove it.
 */
@Test
void testRule5() {
    assertEncodings(new String[] { "XS", "X" }, new String[] { "XSS", "X"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</si>
  <si>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6: If last characters are AY, replace with Y.
 */
@Test
void testRule6() {
    assertEncodings(new String[] { "XAY", "XY" }, // Rules 5, 6
    new String[] { "XAYS", "XY"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</si>
  <si>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7: If last character is A, remove it.
 */
@Test
void testRule7() {
    assertEncodings(new String[] { "XA", "X" }, // Rules 5, 7
    new String[] { "XAS", "X" });
}</t>
  </si>
  <si>
    <t>/**
 * Tests rule 4.1: EV → AF else A, E, I, O, U → A
 */
@Test
void testRule4Dot1() {
    assertEncodings(new String[] { "XEV", "XAF" }, new String[] { "XAX", "XAX" }, new String[] { "XEX", "XAX" }, new String[] { "XIX", "XAX" }, new String[] { "XOX", "XAX" }, new String[] { "XUX", "XAX" });
}
/**
 * Tests rule 4.2: Q → G, Z → S, M → N
 */
@Test
void testRule4Dot2() {
    assertEncodings(new String[] { "XQ", "XG" }, new String[] { "XZ", "X" }, new String[] { "XM", "XN" });
}</t>
  </si>
  <si>
    <t>/**
 * Tests rule 4.1: EV → AF else A, E, I, O, U → A
 */
@Test
void testRule4Dot1() {
    assertEncodings(new String[] { "XEV", "XAF" }, new String[] { "XAX", "XAX" }, new String[] { "XEX", "XAX" }, new String[] { "XIX", "XAX" }, new String[] { "XOX", "XAX" }, new String[] { "XUX", "XAX" });
}
/**
 * Tests rule 5: If last character is S, remove it.
 */
@Test
void testRule5() {
    assertEncodings(new String[] { "XS", "X" }, new String[] { "XSS", "X" });
}</t>
  </si>
  <si>
    <t>/**
 * Tests rule 4.1: EV → AF else A, E, I, O, U → A
 */
@Test
void testRule4Dot1() {
    assertEncodings(new String[] { "XEV", "XAF" }, new String[] { "XAX", "XAX" }, new String[] { "XEX", "XAX" }, new String[] { "XIX", "XAX" }, new String[] { "XOX", "XAX" }, new String[] { "XUX", "XAX" });
}
/**
 * Tests rule 6: If last characters are AY, replace with Y.
 */
@Test
void testRule6() {
    assertEncodings(new String[] { "XAY", "XY" }, // Rules 5, 6
    new String[] { "XAYS", "XY" });
}</t>
  </si>
  <si>
    <t>/**
 * Tests rule 4.1: EV → AF else A, E, I, O, U → A
 */
@Test
void testRule4Dot1() {
    assertEncodings(new String[] { "XEV", "XAF" }, new String[] { "XAX", "XAX" }, new String[] { "XEX", "XAX" }, new String[] { "XIX", "XAX" }, new String[] { "XOX", "XAX" }, new String[] { "XUX", "XAX" });
}
/**
 * Tests rule 7: If last character is A, remove it.
 */
@Test
void testRule7() {
    assertEncodings(new String[] { "XA", "X" }, // Rules 5, 7
    new String[] { "XAS", "X" });
}</t>
  </si>
  <si>
    <t>/**
 * Tests rule 4.2: Q → G, Z → S, M → N
 */
@Test
void testRule4Dot2() {
    assertEncodings(new String[] { "XQ", "XG" }, new String[] { "XZ", "X" }, new String[] { "XM", "XN" });
}
/**
 * Tests rule 5: If last character is S, remove it.
 */
@Test
void testRule5() {
    assertEncodings(new String[] { "XS", "X" }, new String[] { "XSS", "X" });
}</t>
  </si>
  <si>
    <t>/**
 * Tests rule 4.2: Q → G, Z → S, M → N
 */
@Test
void testRule4Dot2() {
    assertEncodings(new String[] { "XQ", "XG" }, new String[] { "XZ", "X" }, new String[] { "XM", "XN" });
}
/**
 * Tests rule 6: If last characters are AY, replace with Y.
 */
@Test
void testRule6() {
    assertEncodings(new String[] { "XAY", "XY" }, // Rules 5, 6
    new String[] { "XAYS", "XY" });
}</t>
  </si>
  <si>
    <t>/**
 * Tests rule 4.2: Q → G, Z → S, M → N
 */
@Test
void testRule4Dot2() {
    assertEncodings(new String[] { "XQ", "XG" }, new String[] { "XZ", "X" }, new String[] { "XM", "XN" });
}
/**
 * Tests rule 7: If last character is A, remove it.
 */
@Test
void testRule7() {
    assertEncodings(new String[] { "XA", "X" }, // Rules 5, 7
    new String[] { "XAS", "X" });
}</t>
  </si>
  <si>
    <t>/**
 * Tests rule 5: If last character is S, remove it.
 */
@Test
void testRule5() {
    assertEncodings(new String[] { "XS", "X" }, new String[] { "XSS", "X" });
}
/**
 * Tests rule 6: If last characters are AY, replace with Y.
 */
@Test
void testRule6() {
    assertEncodings(new String[] { "XAY", "XY" }, // Rules 5, 6
    new String[] { "XAYS", "XY" });
}</t>
  </si>
  <si>
    <t>/**
 * Tests rule 5: If last character is S, remove it.
 */
@Test
void testRule5() {
    assertEncodings(new String[] { "XS", "X" }, new String[] { "XSS", "X" });
}
/**
 * Tests rule 7: If last character is A, remove it.
 */
@Test
void testRule7() {
    assertEncodings(new String[] { "XA", "X" }, // Rules 5, 7
    new String[] { "XAS", "X" });
}</t>
  </si>
  <si>
    <t>/**
 * Tests rule 6: If last characters are AY, replace with Y.
 */
@Test
void testRule6() {
    assertEncodings(new String[] { "XAY", "XY" }, // Rules 5, 6
    new String[] { "XAYS", "XY" });
}
/**
 * Tests rule 7: If last character is A, remove it.
 */
@Test
void testRule7() {
    assertEncodings(new String[] { "XA", "X" }, // Rules 5, 7
    new String[] { "XAS", "X" });
}</t>
  </si>
  <si>
    <t>@Test
void testSnad() {
    // Data Quality and Record Linkage Techniques P.121 claims this is SNAT,
    // but it should be SNAD
    encodeAll(new String[] { "Schmidt" }, "SNAD");
}
@Test
void testSnat() {
    encodeAll(new String[] { "Smith", "Schmit" }, "SNAT");
}</t>
  </si>
  <si>
    <t>@Test
void testSnad() {
    // Data Quality and Record Linkage Techniques P.121 claims this is SNAT,
    // but it should be SNAD
    encodeAll(new String[] { "Schmidt" }, "SNAD");
}
@Test
void testTranan() {
    encodeAll(new String[] { "Trueman", "Truman" }, "TRANAN");
}</t>
  </si>
  <si>
    <t>@Test
void testSnad() {
    // Data Quality and Record Linkage Techniques P.121 claims this is SNAT,
    // but it should be SNAD
    encodeAll(new String[] { "Schmidt" }, "SNAD");
}
@Test
void testSpecialBranches() {
    encodeAll(new String[] { "Kobwick" }, "CABWAC");
    encodeAll(new String[] { "Kocher" }, "CACAR");
    encodeAll(new String[] { "Fesca" }, "FASC");
    encodeAll(new String[] { "Shom" }, "SAN");
    encodeAll(new String[] { "Ohlo" }, "OL");
    encodeAll(new String[] { "Uhu" }, "UH");
    encodeAll(new String[] { "Um" }, "UN");
}</t>
  </si>
  <si>
    <t>@Test
void testSnat() {
    encodeAll(new String[] { "Smith", "Schmit" }, "SNAT");
}
@Test
void testTranan() {
    encodeAll(new String[] { "Trueman", "Truman" }, "TRANAN");
}</t>
  </si>
  <si>
    <t>@Test
void testSnat() {
    encodeAll(new String[] { "Smith", "Schmit" }, "SNAT");
}
@Test
void testSpecialBranches() {
    encodeAll(new String[] { "Kobwick" }, "CABWAC");
    encodeAll(new String[] { "Kocher" }, "CACAR");
    encodeAll(new String[] { "Fesca" }, "FASC");
    encodeAll(new String[] { "Shom" }, "SAN");
    encodeAll(new String[] { "Ohlo" }, "OL");
    encodeAll(new String[] { "Uhu" }, "UH");
    encodeAll(new String[] { "Um" }, "UN");
}</t>
  </si>
  <si>
    <t>@Test
void testSpecialBranches() {
    encodeAll(new String[] { "Kobwick" }, "CABWAC");
    encodeAll(new String[] { "Kocher" }, "CACAR");
    encodeAll(new String[] { "Fesca" }, "FASC");
    encodeAll(new String[] { "Shom" }, "SAN");
    encodeAll(new String[] { "Ohlo" }, "OL");
    encodeAll(new String[] { "Uhu" }, "UH");
    encodeAll(new String[] { "Um" }, "UN");
}
@Test
void testTranan() {
    encodeAll(new String[] { "Trueman", "Truman" }, "TRANAN");
}</t>
  </si>
  <si>
    <t>[.encodeAll, .encodeAll, .encodeAll, .encodeAll, .encodeAll, .encodeAll, .encodeAll]
[.encodeAll]</t>
  </si>
  <si>
    <t>@Test
void testBase64AtBufferEnd() {
    testBase64InBuffer(100, 0);
}
@Test
void testBase64AtBufferMiddle() {
    testBase64InBuffer(100, 100);
}</t>
  </si>
  <si>
    <t>@Test
void testBase64AtBufferEnd() {
    testBase64InBuffer(100, 0);
}
@Test
void testBase64AtBufferStart() {
    testBase64InBuffer(0, 100);
}</t>
  </si>
  <si>
    <t>@Test
void testBase64AtBufferMiddle() {
    testBase64InBuffer(100, 100);
}
@Test
void testBase64AtBufferStart() {
    testBase64InBuffer(0, 100);
}</t>
  </si>
  <si>
    <t>@Test
void testBase64DecodingOfTrailing12Bits() {
    assertBase64DecodingOfTrailingBits(12);
}
@Test
void testBase64DecodingOfTrailing18Bits() {
    assertBase64DecodingOfTrailingBits(18);
}</t>
  </si>
  <si>
    <t>@Test
void testBase64DecodingOfTrailing12Bits() {
    assertBase64DecodingOfTrailingBits(12);
}
@Test
void testBase64DecodingOfTrailing6Bits() {
    assertBase64DecodingOfTrailingBits(6);
}</t>
  </si>
  <si>
    <t>@Test
void testBase64DecodingOfTrailing12Bits() {
    assertBase64DecodingOfTrailingBits(12);
}
/**
 * Tests RFC 2045 section 6.8 chuck size definition.
 */
@Test
void testRfc2045Section6Dot8ChunkSizeDefinition() {
    assertEquals(76, BaseNCodec.MIME_CHUNK_SIZE);
}</t>
  </si>
  <si>
    <t>@Test
void testBase64DecodingOfTrailing12Bits() {
    assertBase64DecodingOfTrailingBits(12);
}
/**
 * Tests RFC 1421 section 4.3.2.4 chuck size definition.
 */
@Test
void testRfc1421Section6Dot8ChunkSizeDefinition() {
    assertEquals(64, BaseNCodec.PEM_CHUNK_SIZE);
}</t>
  </si>
  <si>
    <t>@Test
void testBase64DecodingOfTrailing12Bits() {
    assertBase64DecodingOfTrailingBits(12);
}
@Test
void testObjectDecodeWithInvalidParameter() {
    assertThrows(DecoderException.class, () -&gt; new Base64().decode(Integer.valueOf(5)), "decode(Object) didn't throw an exception when passed an Integer object");
}</t>
  </si>
  <si>
    <t>@Test
void testBase64DecodingOfTrailing12Bits() {
    assertBase64DecodingOfTrailingBits(12);
}
@Test
void testObjectEncodeWithInvalidParameter() {
    assertThrows(EncoderException.class, () -&gt; new Base64().encode("Yadayadayada"), "encode(Object) didn't throw an exception when passed a String object");
}</t>
  </si>
  <si>
    <t>@Test
void testBase64DecodingOfTrailing12Bits() {
    assertBase64DecodingOfTrailingBits(12);
}
@Test
void testCodeIntegerNull() {
    assertThrows(NullPointerException.class, () -&gt; Base64.encodeInteger(null), "Exception not thrown when passing in null to encodeInteger(BigInteger)");
}</t>
  </si>
  <si>
    <t>@Test
void testBase64DecodingOfTrailing12Bits() {
    assertBase64DecodingOfTrailingBits(12);
}
/**
 * Tests RFC 2045 section 2.1 CRLF definition.
 */
@Test
void testRfc2045Section2Dot1CrLfDefinition() {
    assertArrayEquals(new byte[] { 13, 10 }, BaseNCodec.CHUNK_SEPARATOR);
}</t>
  </si>
  <si>
    <t>@Test
void testBase64DecodingOfTrailing12Bits() {
    assertBase64DecodingOfTrailingBits(12);
}
@Test
void testCodeIntegerEdgeCases() {
    // TODO
}</t>
  </si>
  <si>
    <t>@Test
void testBase64DecodingOfTrailing12Bits() {
    assertBase64DecodingOfTrailingBits(12);
}
@Test
void testCustomEncodingAlphabet_illegal() {
    final byte[] encodeTable = { '.', '-', 'C', 'D', 'E', 'F', 'G', 'H', 'I', 'J', 'K', 'L', 'M' };
    assertThrows(IllegalArgumentException.class, () -&gt; Base64.builder().setEncodeTable(encodeTable).get());
}</t>
  </si>
  <si>
    <t>@Test
void testBase64DecodingOfTrailing18Bits() {
    assertBase64DecodingOfTrailingBits(18);
}
@Test
void testBase64DecodingOfTrailing6Bits() {
    assertBase64DecodingOfTrailingBits(6);
}</t>
  </si>
  <si>
    <t>@Test
void testBase64DecodingOfTrailing18Bits() {
    assertBase64DecodingOfTrailingBits(18);
}
/**
 * Tests RFC 2045 section 6.8 chuck size definition.
 */
@Test
void testRfc2045Section6Dot8ChunkSizeDefinition() {
    assertEquals(76, BaseNCodec.MIME_CHUNK_SIZE);
}</t>
  </si>
  <si>
    <t>@Test
void testBase64DecodingOfTrailing18Bits() {
    assertBase64DecodingOfTrailingBits(18);
}
/**
 * Tests RFC 1421 section 4.3.2.4 chuck size definition.
 */
@Test
void testRfc1421Section6Dot8ChunkSizeDefinition() {
    assertEquals(64, BaseNCodec.PEM_CHUNK_SIZE);
}</t>
  </si>
  <si>
    <t>@Test
void testBase64DecodingOfTrailing18Bits() {
    assertBase64DecodingOfTrailingBits(18);
}
@Test
void testObjectDecodeWithInvalidParameter() {
    assertThrows(DecoderException.class, () -&gt; new Base64().decode(Integer.valueOf(5)), "decode(Object) didn't throw an exception when passed an Integer object");
}</t>
  </si>
  <si>
    <t>@Test
void testBase64DecodingOfTrailing18Bits() {
    assertBase64DecodingOfTrailingBits(18);
}
@Test
void testObjectEncodeWithInvalidParameter() {
    assertThrows(EncoderException.class, () -&gt; new Base64().encode("Yadayadayada"), "encode(Object) didn't throw an exception when passed a String object");
}</t>
  </si>
  <si>
    <t>@Test
void testBase64DecodingOfTrailing18Bits() {
    assertBase64DecodingOfTrailingBits(18);
}
@Test
void testCodeIntegerNull() {
    assertThrows(NullPointerException.class, () -&gt; Base64.encodeInteger(null), "Exception not thrown when passing in null to encodeInteger(BigInteger)");
}</t>
  </si>
  <si>
    <t>@Test
void testBase64DecodingOfTrailing18Bits() {
    assertBase64DecodingOfTrailingBits(18);
}
/**
 * Tests RFC 2045 section 2.1 CRLF definition.
 */
@Test
void testRfc2045Section2Dot1CrLfDefinition() {
    assertArrayEquals(new byte[] { 13, 10 }, BaseNCodec.CHUNK_SEPARATOR);
}</t>
  </si>
  <si>
    <t>@Test
void testBase64DecodingOfTrailing18Bits() {
    assertBase64DecodingOfTrailingBits(18);
}
@Test
void testCodeIntegerEdgeCases() {
    // TODO
}</t>
  </si>
  <si>
    <t>@Test
void testBase64DecodingOfTrailing18Bits() {
    assertBase64DecodingOfTrailingBits(18);
}
@Test
void testCustomEncodingAlphabet_illegal() {
    final byte[] encodeTable = { '.', '-', 'C', 'D', 'E', 'F', 'G', 'H', 'I', 'J', 'K', 'L', 'M' };
    assertThrows(IllegalArgumentException.class, () -&gt; Base64.builder().setEncodeTable(encodeTable).get());
}</t>
  </si>
  <si>
    <t>@Test
void testBase64DecodingOfTrailing6Bits() {
    assertBase64DecodingOfTrailingBits(6);
}
/**
 * Tests RFC 2045 section 6.8 chuck size definition.
 */
@Test
void testRfc2045Section6Dot8ChunkSizeDefinition() {
    assertEquals(76, BaseNCodec.MIME_CHUNK_SIZE);
}</t>
  </si>
  <si>
    <t>@Test
void testBase64DecodingOfTrailing6Bits() {
    assertBase64DecodingOfTrailingBits(6);
}
/**
 * Tests RFC 1421 section 4.3.2.4 chuck size definition.
 */
@Test
void testRfc1421Section6Dot8ChunkSizeDefinition() {
    assertEquals(64, BaseNCodec.PEM_CHUNK_SIZE);
}</t>
  </si>
  <si>
    <t>@Test
void testBase64DecodingOfTrailing6Bits() {
    assertBase64DecodingOfTrailingBits(6);
}
@Test
void testObjectDecodeWithInvalidParameter() {
    assertThrows(DecoderException.class, () -&gt; new Base64().decode(Integer.valueOf(5)), "decode(Object) didn't throw an exception when passed an Integer object");
}</t>
  </si>
  <si>
    <t>@Test
void testBase64DecodingOfTrailing6Bits() {
    assertBase64DecodingOfTrailingBits(6);
}
@Test
void testObjectEncodeWithInvalidParameter() {
    assertThrows(EncoderException.class, () -&gt; new Base64().encode("Yadayadayada"), "encode(Object) didn't throw an exception when passed a String object");
}</t>
  </si>
  <si>
    <t>@Test
void testBase64DecodingOfTrailing6Bits() {
    assertBase64DecodingOfTrailingBits(6);
}
@Test
void testCodeIntegerNull() {
    assertThrows(NullPointerException.class, () -&gt; Base64.encodeInteger(null), "Exception not thrown when passing in null to encodeInteger(BigInteger)");
}</t>
  </si>
  <si>
    <t>@Test
void testBase64DecodingOfTrailing6Bits() {
    assertBase64DecodingOfTrailingBits(6);
}
/**
 * Tests RFC 2045 section 2.1 CRLF definition.
 */
@Test
void testRfc2045Section2Dot1CrLfDefinition() {
    assertArrayEquals(new byte[] { 13, 10 }, BaseNCodec.CHUNK_SEPARATOR);
}</t>
  </si>
  <si>
    <t>@Test
void testBase64DecodingOfTrailing6Bits() {
    assertBase64DecodingOfTrailingBits(6);
}
@Test
void testCodeIntegerEdgeCases() {
    // TODO
}</t>
  </si>
  <si>
    <t>@Test
void testBase64DecodingOfTrailing6Bits() {
    assertBase64DecodingOfTrailingBits(6);
}
@Test
void testCustomEncodingAlphabet_illegal() {
    final byte[] encodeTable = { '.', '-', 'C', 'D', 'E', 'F', 'G', 'H', 'I', 'J', 'K', 'L', 'M' };
    assertThrows(IllegalArgumentException.class, () -&gt; Base64.builder().setEncodeTable(encodeTable).get());
}</t>
  </si>
  <si>
    <t>@Test
void testBase64ImpossibleSamples() {
    final Base64 codec = new Base64(0, null, false, CodecPolicy.STRICT);
    for (final String s : BASE64_IMPOSSIBLE_CASES) {
        assertThrows(IllegalArgumentException.class, () -&gt; codec.decode(s));
    }
}
@Test
void testConstructors() {
    Base64 base64;
    base64 = new Base64();
    base64 = new Base64(-1);
    base64 = new Base64(-1, new byte[] {});
    base64 = new Base64(64, new byte[] {});
    // OK
    base64 = new Base64(64, new byte[] { '$' });
    assertThrows(IllegalArgumentException.class, () -&gt; new Base64(-1, new byte[] { 'A' }), "Should have rejected attempt to use 'A' as a line separator");
    // TODO do we need to check sep if len = -1?
    assertThrows(IllegalArgumentException.class, () -&gt; new Base64(64, new byte[] { 'A' }), "Should have rejected attempt to use 'A' as a line separator");
    assertThrows(IllegalArgumentException.class, () -&gt; new Base64(64, new byte[] { '=' }), "Should have rejected attempt to use '=' as a line separator");
    // OK
    base64 = new Base64(64, new byte[] { '$' });
    assertThrows(IllegalArgumentException.class, () -&gt; new Base64(64, new byte[] { 'A', '$' }), "Should have rejected attempt to use 'A$' as a line separator");
    // OKassertNotNull(base64);
    base64 = new Base64(64, new byte[] { ' ', '$', '\n', '\r', '\t' });
}</t>
  </si>
  <si>
    <t>[org/apache/commons/codec/binary/Base64."&lt;init&gt;"]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</si>
  <si>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@Test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</si>
  <si>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 org/apache/commons/codec/binary/Base64$Builder.setPadding]</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</si>
  <si>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</si>
  <si>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</si>
  <si>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</si>
  <si>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
@Test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</si>
  <si>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</si>
  <si>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</si>
  <si>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testCodeIntegerEdgeCases() {
    // TODO
}
@Test
void testCodeIntegerNull() {
    assertThrows(NullPointerException.class, () -&gt; Base64.encodeInteger(null), "Exception not thrown when passing in null to encodeInteger(BigInteger)");
}</t>
  </si>
  <si>
    <t>@Test
void testCodeIntegerEdgeCases() {
    // TODO
}
@Test
void testObjectEncodeWithInvalidParameter() {
    assertThrows(EncoderException.class, () -&gt; new Base64().encode("Yadayadayada"), "encode(Object) didn't throw an exception when passed a String object");
}</t>
  </si>
  <si>
    <t>@Test
void testCodeIntegerEdgeCases() {
    // TODO
}
/**
 * Tests RFC 1421 section 4.3.2.4 chuck size definition.
 */
@Test
void testRfc1421Section6Dot8ChunkSizeDefinition() {
    assertEquals(64, BaseNCodec.PEM_CHUNK_SIZE);
}</t>
  </si>
  <si>
    <t>@Test
void testCodeIntegerEdgeCases() {
    // TODO
}
/**
 * Tests RFC 2045 section 6.8 chuck size definition.
 */
@Test
void testRfc2045Section6Dot8ChunkSizeDefinition() {
    assertEquals(76, BaseNCodec.MIME_CHUNK_SIZE);
}</t>
  </si>
  <si>
    <t>@Test
void testCodeIntegerEdgeCases() {
    // TODO
}
@Test
void testObjectDecodeWithInvalidParameter() {
    assertThrows(DecoderException.class, () -&gt; new Base64().decode(Integer.valueOf(5)), "decode(Object) didn't throw an exception when passed an Integer object");
}</t>
  </si>
  <si>
    <t>@Test
void testCodeIntegerEdgeCases() {
    // TODO
}
/**
 * Tests RFC 2045 section 2.1 CRLF definition.
 */
@Test
void testRfc2045Section2Dot1CrLfDefinition() {
    assertArrayEquals(new byte[] { 13, 10 }, BaseNCodec.CHUNK_SEPARATOR);
}</t>
  </si>
  <si>
    <t>@Test
void testCodeIntegerEdgeCases() {
    // TODO
}
@Test
void testCustomEncodingAlphabet_illegal() {
    final byte[] encodeTable = { '.', '-', 'C', 'D', 'E', 'F', 'G', 'H', 'I', 'J', 'K', 'L', 'M' };
    assertThrows(IllegalArgumentException.class, () -&gt; Base64.builder().setEncodeTable(encodeTable).get());
}</t>
  </si>
  <si>
    <t>@Test
void testCodeIntegerNull() {
    assertThrows(NullPointerException.class, () -&gt; Base64.encodeInteger(null), "Exception not thrown when passing in null to encodeInteger(BigInteger)");
}
@Test
void testObjectDecodeWithInvalidParameter() {
    assertThrows(DecoderException.class, () -&gt; new Base64().decode(Integer.valueOf(5)), "decode(Object) didn't throw an exception when passed an Integer object");
}</t>
  </si>
  <si>
    <t>@Test
void testCodeIntegerNull() {
    assertThrows(NullPointerException.class, () -&gt; Base64.encodeInteger(null), "Exception not thrown when passing in null to encodeInteger(BigInteger)");
}
@Test
void testObjectEncodeWithInvalidParameter() {
    assertThrows(EncoderException.class, () -&gt; new Base64().encode("Yadayadayada"), "encode(Object) didn't throw an exception when passed a String object");
}</t>
  </si>
  <si>
    <t>@Test
void testCodeIntegerNull() {
    assertThrows(NullPointerException.class, () -&gt; Base64.encodeInteger(null), "Exception not thrown when passing in null to encodeInteger(BigInteger)");
}
@Test
void testCustomEncodingAlphabet_illegal() {
    final byte[] encodeTable = { '.', '-', 'C', 'D', 'E', 'F', 'G', 'H', 'I', 'J', 'K', 'L', 'M' };
    assertThrows(IllegalArgumentException.class, () -&gt; Base64.builder().setEncodeTable(encodeTable).get());
}</t>
  </si>
  <si>
    <t>@Test
void testCodeIntegerNull() {
    assertThrows(NullPointerException.class, () -&gt; Base64.encodeInteger(null), "Exception not thrown when passing in null to encodeInteger(BigInteger)");
}
/**
 * Tests RFC 2045 section 2.1 CRLF definition.
 */
@Test
void testRfc2045Section2Dot1CrLfDefinition() {
    assertArrayEquals(new byte[] { 13, 10 }, BaseNCodec.CHUNK_SEPARATOR);
}</t>
  </si>
  <si>
    <t>@Test
void testCodeIntegerNull() {
    assertThrows(NullPointerException.class, () -&gt; Base64.encodeInteger(null), "Exception not thrown when passing in null to encodeInteger(BigInteger)");
}
/**
 * Tests RFC 1421 section 4.3.2.4 chuck size definition.
 */
@Test
void testRfc1421Section6Dot8ChunkSizeDefinition() {
    assertEquals(64, BaseNCodec.PEM_CHUNK_SIZE);
}</t>
  </si>
  <si>
    <t>@Test
void testCodeIntegerNull() {
    assertThrows(NullPointerException.class, () -&gt; Base64.encodeInteger(null), "Exception not thrown when passing in null to encodeInteger(BigInteger)");
}
/**
 * Tests RFC 2045 section 6.8 chuck size definition.
 */
@Test
void testRfc2045Section6Dot8ChunkSizeDefinition() {
    assertEquals(76, BaseNCodec.MIME_CHUNK_SIZE);
}</t>
  </si>
  <si>
    <t>@Test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assertEquals(expectedResult, result, "new Base64(65, \\t, false)");
}
@Test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 "");
    expectedResult = expectedResult.replace('\n', '\t');
    expectedResult = expectedResult.replace('+', '-');
    expectedResult = expectedResult.replace('/', '_');
    final String result = StringUtils.newStringUtf8(encoded);
    assertEquals(result, expectedResult, "new Base64(64, \\t, true)");
}</t>
  </si>
  <si>
    <t>@Test
void testCustomEncodingAlphabet_illegal() {
    final byte[] encodeTable = { '.', '-', 'C', 'D', 'E', 'F', 'G', 'H', 'I', 'J', 'K', 'L', 'M' };
    assertThrows(IllegalArgumentException.class, () -&gt; Base64.builder().setEncodeTable(encodeTable).get());
}
@Test
void testObjectEncodeWithInvalidParameter() {
    assertThrows(EncoderException.class, () -&gt; new Base64().encode("Yadayadayada"), "encode(Object) didn't throw an exception when passed a String object");
}</t>
  </si>
  <si>
    <t>@Test
void testCustomEncodingAlphabet_illegal() {
    final byte[] encodeTable = { '.', '-', 'C', 'D', 'E', 'F', 'G', 'H', 'I', 'J', 'K', 'L', 'M' };
    assertThrows(IllegalArgumentException.class, () -&gt; Base64.builder().setEncodeTable(encodeTable).get());
}
@Test
void testObjectDecodeWithInvalidParameter() {
    assertThrows(DecoderException.class, () -&gt; new Base64().decode(Integer.valueOf(5)), "decode(Object) didn't throw an exception when passed an Integer object");
}</t>
  </si>
  <si>
    <t>@Test
void testCustomEncodingAlphabet_illegal() {
    final byte[] encodeTable = { '.', '-', 'C', 'D', 'E', 'F', 'G', 'H', 'I', 'J', 'K', 'L', 'M' };
    assertThrows(IllegalArgumentException.class, () -&gt; Base64.builder().setEncodeTable(encodeTable).get());
}
/**
 * Tests RFC 2045 section 2.1 CRLF definition.
 */
@Test
void testRfc2045Section2Dot1CrLfDefinition() {
    assertArrayEquals(new byte[] { 13, 10 }, BaseNCodec.CHUNK_SEPARATOR);
}</t>
  </si>
  <si>
    <t>@Test
void testCustomEncodingAlphabet_illegal() {
    final byte[] encodeTable = { '.', '-', 'C', 'D', 'E', 'F', 'G', 'H', 'I', 'J', 'K', 'L', 'M' };
    assertThrows(IllegalArgumentException.class, () -&gt; Base64.builder().setEncodeTable(encodeTable).get());
}
/**
 * Tests RFC 1421 section 4.3.2.4 chuck size definition.
 */
@Test
void testRfc1421Section6Dot8ChunkSizeDefinition() {
    assertEquals(64, BaseNCodec.PEM_CHUNK_SIZE);
}</t>
  </si>
  <si>
    <t>@Test
void testCustomEncodingAlphabet_illegal() {
    final byte[] encodeTable = { '.', '-', 'C', 'D', 'E', 'F', 'G', 'H', 'I', 'J', 'K', 'L', 'M' };
    assertThrows(IllegalArgumentException.class, () -&gt; Base64.builder().setEncodeTable(encodeTable).get());
}
/**
 * Tests RFC 2045 section 6.8 chuck size definition.
 */
@Test
void testRfc2045Section6Dot8ChunkSizeDefinition() {
    assertEquals(76, BaseNCodec.MIME_CHUNK_SIZE);
}</t>
  </si>
  <si>
    <t>/**
 * Tests conditional true branch for "marker0" test.
 */
@Test
void testDecodePadMarkerIndex2() {
    assertEquals("A", new String(Base64.decodeBase64("QQ==".getBytes(CHARSET_UTF8))));
}
@Test
void testIgnoringNonBase64InDecode() throws Exception {
    assertEquals(FOX_TEXT, new String(Base64.decodeBase64(FOX_BASE64.getBytes(CHARSET_UTF8))));
}</t>
  </si>
  <si>
    <t>/**
 * Tests conditional true branch for "marker0" test.
 */
@Test
void testDecodePadMarkerIndex2() {
    assertEquals("A", new String(Base64.decodeBase64("QQ==".getBytes(CHARSET_UTF8))));
}
/**
 * Tests conditional branches for "marker1" test.
 */
@Test
void testDecodePadMarkerIndex3() {
    assertEquals("AA", new String(Base64.decodeBase64("QUE=".getBytes(CHARSET_UTF8))));
    assertEquals("AAA", new String(Base64.decodeBase64("QUFB".getBytes(CHARSET_UTF8))));
}</t>
  </si>
  <si>
    <t>/**
 * Tests conditional true branch for "marker0" test.
 */
@Test
void testDecodePadMarkerIndex2() {
    assertEquals("A", new String(Base64.decodeBase64("QQ==".getBytes(CHARSET_UTF8))));
}
@Test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</si>
  <si>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true branch for "marker0" test.
 */
@Test
void testDecodePadMarkerIndex2() {
    assertEquals("A", new String(Base64.decodeBase64("QQ==".getBytes(CHARSET_UTF8))));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</si>
  <si>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true branch for "marker0" test.
 */
@Test
void testDecodePadMarkerIndex2() {
    assertEquals("A", new String(Base64.decodeBase64("QQ==".getBytes(CHARSET_UTF8))));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</si>
  <si>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
 * Tests conditional branches for "marker1" test.
 */
@Test
void testDecodePadMarkerIndex3() {
    assertEquals("AA", new String(Base64.decodeBase64("QUE=".getBytes(CHARSET_UTF8))));
    assertEquals("AAA", new String(Base64.decodeBase64("QUFB".getBytes(CHARSET_UTF8))));
}
@Test
void testIgnoringNonBase64InDecode() throws Exception {
    assertEquals(FOX_TEXT, new String(Base64.decodeBase64(FOX_BASE64.getBytes(CHARSET_UTF8))));
}</t>
  </si>
  <si>
    <t>/**
 * Tests conditional branches for "marker1" test.
 */
@Test
void testDecodePadMarkerIndex3() {
    assertEquals("AA", new String(Base64.decodeBase64("QUE=".getBytes(CHARSET_UTF8))));
    assertEquals("AAA", new String(Base64.decodeBase64("QUFB".getBytes(CHARSET_UTF8))));
}
@Test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</si>
  <si>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branches for "marker1" test.
 */
@Test
void testDecodePadMarkerIndex3() {
    assertEquals("AA", new String(Base64.decodeBase64("QUE=".getBytes(CHARSET_UTF8))));
    assertEquals("AAA", new String(Base64.decodeBase64("QUFB".getBytes(CHARSET_UTF8))));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</si>
  <si>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branches for "marker1" test.
 */
@Test
void testDecodePadMarkerIndex3() {
    assertEquals("AA", new String(Base64.decodeBase64("QUE=".getBytes(CHARSET_UTF8))));
    assertEquals("AAA", new String(Base64.decodeBase64("QUFB".getBytes(CHARSET_UTF8))));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</si>
  <si>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</si>
  <si>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</si>
  <si>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testIgnoringNonBase64InDecode() throws Exception {
    assertEquals(FOX_TEXT, new String(Base64.decodeBase64(FOX_BASE64.getBytes(CHARSET_UTF8))));
}</t>
  </si>
  <si>
    <t>@Test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</si>
  <si>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void testIgnoringNonBase64InDecode() throws Exception {
    assertEquals(FOX_TEXT, new String(Base64.decodeBase64(FOX_BASE64.getBytes(CHARSET_UTF8))));
}</t>
  </si>
  <si>
    <t>@Test
void testIgnoringNonBase64InDecode() throws Exception {
    assertEquals(FOX_TEXT, new String(Base64.decodeBase64(FOX_BASE64.getBytes(CHARSET_UTF8))));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</si>
  <si>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testObjectDecodeWithInvalidParameter() {
    assertThrows(DecoderException.class, () -&gt; new Base64().decode(Integer.valueOf(5)), "decode(Object) didn't throw an exception when passed an Integer object");
}
@Test
void testObjectEncodeWithInvalidParameter() {
    assertThrows(EncoderException.class, () -&gt; new Base64().encode("Yadayadayada"), "encode(Object) didn't throw an exception when passed a String object");
}</t>
  </si>
  <si>
    <t>@Test
void testObjectDecodeWithInvalidParameter() {
    assertThrows(DecoderException.class, () -&gt; new Base64().decode(Integer.valueOf(5)), "decode(Object) didn't throw an exception when passed an Integer object");
}
/**
 * Tests RFC 2045 section 2.1 CRLF definition.
 */
@Test
void testRfc2045Section2Dot1CrLfDefinition() {
    assertArrayEquals(new byte[] { 13, 10 }, BaseNCodec.CHUNK_SEPARATOR);
}</t>
  </si>
  <si>
    <t>@Test
void testObjectDecodeWithInvalidParameter() {
    assertThrows(DecoderException.class, () -&gt; new Base64().decode(Integer.valueOf(5)), "decode(Object) didn't throw an exception when passed an Integer object");
}
/**
 * Tests RFC 1421 section 4.3.2.4 chuck size definition.
 */
@Test
void testRfc1421Section6Dot8ChunkSizeDefinition() {
    assertEquals(64, BaseNCodec.PEM_CHUNK_SIZE);
}</t>
  </si>
  <si>
    <t>@Test
void testObjectDecodeWithInvalidParameter() {
    assertThrows(DecoderException.class, () -&gt; new Base64().decode(Integer.valueOf(5)), "decode(Object) didn't throw an exception when passed an Integer object");
}
/**
 * Tests RFC 2045 section 6.8 chuck size definition.
 */
@Test
void testRfc2045Section6Dot8ChunkSizeDefinition() {
    assertEquals(76, BaseNCodec.MIME_CHUNK_SIZE);
}</t>
  </si>
  <si>
    <t>@Test
void testObjectEncode() throws Exception {
    final Base64 b64 = new Base64();
    assertEquals("SGVsbG8gV29ybGQ=", new String(b64.encode("Hello World".getBytes(CHARSET_UTF8))));
}
@Test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assertEquals(original, dest, "dest string does not equal original");
}</t>
  </si>
  <si>
    <t>[org/apache/commons/codec/binary/Base64."&lt;init&gt;", java/lang/String.getBytes, org/apache/commons/codec/binary/Base64.encode, java/lang/String."&lt;init&gt;"]
[java/lang/String.getBytes, org/apache/commons/codec/binary/Base64."&lt;init&gt;", org/apache/commons/codec/binary/Base64.encode, org/apache/commons/codec/binary/Base64.decodeBase64, java/lang/String."&lt;init&gt;"]</t>
  </si>
  <si>
    <t>@Test
void testObjectEncodeWithInvalidParameter() {
    assertThrows(EncoderException.class, () -&gt; new Base64().encode("Yadayadayada"), "encode(Object) didn't throw an exception when passed a String object");
}
/**
 * Tests RFC 2045 section 2.1 CRLF definition.
 */
@Test
void testRfc2045Section2Dot1CrLfDefinition() {
    assertArrayEquals(new byte[] { 13, 10 }, BaseNCodec.CHUNK_SEPARATOR);
}</t>
  </si>
  <si>
    <t>@Test
void testObjectEncodeWithInvalidParameter() {
    assertThrows(EncoderException.class, () -&gt; new Base64().encode("Yadayadayada"), "encode(Object) didn't throw an exception when passed a String object");
}
/**
 * Tests RFC 1421 section 4.3.2.4 chuck size definition.
 */
@Test
void testRfc1421Section6Dot8ChunkSizeDefinition() {
    assertEquals(64, BaseNCodec.PEM_CHUNK_SIZE);
}</t>
  </si>
  <si>
    <t>@Test
void testObjectEncodeWithInvalidParameter() {
    assertThrows(EncoderException.class, () -&gt; new Base64().encode("Yadayadayada"), "encode(Object) didn't throw an exception when passed a String object");
}
/**
 * Tests RFC 2045 section 6.8 chuck size definition.
 */
@Test
void testRfc2045Section6Dot8ChunkSizeDefinition() {
    assertEquals(76, BaseNCodec.MIME_CHUNK_SIZE);
}</t>
  </si>
  <si>
    <t>@Test
void testPairs() {
    assertEquals("AAA=", new String(Base64.encodeBase64(new byte[] { 0, 0 })));
    for (int i = -128; i &lt;= 127; i++) {
        final byte[] test = { (byte) i, (byte) i };
        assertArrayEquals(test, Base64.decodeBase64(Base64.encodeBase64(test)));
    }
}
@Test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t>
  </si>
  <si>
    <t>/**
 * Tests RFC 1421 section 4.3.2.4 chuck size definition.
 */
@Test
void testRfc1421Section6Dot8ChunkSizeDefinition() {
    assertEquals(64, BaseNCodec.PEM_CHUNK_SIZE);
}
/**
 * Tests RFC 2045 section 6.8 chuck size definition.
 */
@Test
void testRfc2045Section6Dot8ChunkSizeDefinition() {
    assertEquals(76, BaseNCodec.MIME_CHUNK_SIZE);
}</t>
  </si>
  <si>
    <t>/**
 * Tests RFC 1421 section 4.3.2.4 chuck size definition.
 */
@Test
void testRfc1421Section6Dot8ChunkSizeDefinition() {
    assertEquals(64, BaseNCodec.PEM_CHUNK_SIZE);
}
/**
 * Tests RFC 2045 section 2.1 CRLF definition.
 */
@Test
void testRfc2045Section2Dot1CrLfDefinition() {
    assertArrayEquals(new byte[] { 13, 10 }, BaseNCodec.CHUNK_SEPARATOR);
}</t>
  </si>
  <si>
    <t>/**
 * Tests RFC 2045 section 2.1 CRLF definition.
 */
@Test
void testRfc2045Section2Dot1CrLfDefinition() {
    assertArrayEquals(new byte[] { 13, 10 }, BaseNCodec.CHUNK_SEPARATOR);
}
/**
 * Tests RFC 2045 section 6.8 chuck size definition.
 */
@Test
void testRfc2045Section6Dot8ChunkSizeDefinition() {
    assertEquals(76, BaseNCodec.MIME_CHUNK_SIZE);
}</t>
  </si>
  <si>
    <t>@Test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
@Test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</si>
  <si>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@Test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
@Test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</si>
  <si>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@Test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
@Test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</si>
  <si>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new method in assertion</t>
  </si>
  <si>
    <t>[ADD, CMN_COUNT_INC, ADD_MUL]</t>
  </si>
  <si>
    <t>same code block repeat</t>
  </si>
  <si>
    <t>new method added | common method increased</t>
  </si>
  <si>
    <t>method deleted</t>
  </si>
  <si>
    <t>new/update feature, boundary checking</t>
  </si>
  <si>
    <t>[REM]</t>
  </si>
  <si>
    <t>[ADD, REM, ADD_MUL]</t>
  </si>
  <si>
    <t>[ADD, CMN_COUNT_DEC, ADD_MUL]</t>
  </si>
  <si>
    <t>comments updated</t>
  </si>
  <si>
    <t>[CMN_COUNT_DEC]</t>
  </si>
  <si>
    <t>bug resolve + feature enhancement</t>
  </si>
  <si>
    <t>bug resolve / regression test added</t>
  </si>
  <si>
    <t>new method added | method replaced with overload | common method increased</t>
  </si>
  <si>
    <t>regression test</t>
  </si>
  <si>
    <t>[ADD, CMN_COUNT_INC]</t>
  </si>
  <si>
    <t>different code structure</t>
  </si>
  <si>
    <t>bug resolve + boundary checking</t>
  </si>
  <si>
    <t>[ADD, CMN_COUNT_INC, CMN_COUNT_DEC]</t>
  </si>
  <si>
    <t>var name</t>
  </si>
  <si>
    <t>test data</t>
  </si>
  <si>
    <t>constructor</t>
  </si>
  <si>
    <t>method</t>
  </si>
  <si>
    <t>assertion</t>
  </si>
  <si>
    <t>no var</t>
  </si>
  <si>
    <t>no cons</t>
  </si>
  <si>
    <t>new method add</t>
  </si>
  <si>
    <t>same</t>
  </si>
  <si>
    <t>replace</t>
  </si>
  <si>
    <t>new attribute add</t>
  </si>
  <si>
    <t>overload</t>
  </si>
  <si>
    <t>add</t>
  </si>
  <si>
    <t>same assertion added</t>
  </si>
  <si>
    <t>replace cons</t>
  </si>
  <si>
    <t>remove</t>
  </si>
  <si>
    <t>no assertion change</t>
  </si>
  <si>
    <t>common add</t>
  </si>
  <si>
    <t>common dele</t>
  </si>
  <si>
    <t>combination</t>
  </si>
  <si>
    <t>no addition</t>
  </si>
  <si>
    <t>new method in assertion | similar assertion added</t>
  </si>
  <si>
    <t>variable</t>
  </si>
  <si>
    <t>similar assertion duplicated</t>
  </si>
  <si>
    <t>new method/attribute in assertion</t>
  </si>
  <si>
    <t>MULTIPLE CHNAGES</t>
  </si>
  <si>
    <t>literal</t>
  </si>
  <si>
    <t>cons</t>
  </si>
  <si>
    <t>methd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</si>
</sst>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b/>
      <color theme="1"/>
      <name val="Calibri"/>
    </font>
    <font>
      <b/>
      <sz val="11.0"/>
      <color theme="1"/>
      <name val="Arial"/>
    </font>
    <font>
      <color theme="1"/>
      <name val="Calibri"/>
    </font>
    <font>
      <sz val="11.0"/>
      <color theme="1"/>
      <name val="Calibri"/>
    </font>
    <font>
      <sz val="11.0"/>
      <color theme="1"/>
      <name val="Aptos Narrow"/>
    </font>
    <font>
      <sz val="11.0"/>
      <color theme="1"/>
      <name val="Arial"/>
    </font>
    <font>
      <color theme="1"/>
      <name val="Calibri"/>
      <scheme val="minor"/>
    </font>
    <font>
      <sz val="11.0"/>
      <color rgb="FF000000"/>
      <name val="&quot;Aptos Narrow&quot;"/>
    </font>
  </fonts>
  <fills count="18">
    <fill>
      <patternFill patternType="none"/>
    </fill>
    <fill>
      <patternFill patternType="lightGray"/>
    </fill>
    <fill>
      <patternFill patternType="solid">
        <fgColor rgb="FFFFFF00"/>
        <bgColor rgb="FFFFFF00"/>
      </patternFill>
    </fill>
    <fill>
      <patternFill patternType="solid">
        <fgColor theme="4"/>
        <bgColor theme="4"/>
      </patternFill>
    </fill>
    <fill>
      <patternFill patternType="solid">
        <fgColor rgb="FFD9EAD3"/>
        <bgColor rgb="FFD9EAD3"/>
      </patternFill>
    </fill>
    <fill>
      <patternFill patternType="solid">
        <fgColor rgb="FF00FF00"/>
        <bgColor rgb="FF00FF00"/>
      </patternFill>
    </fill>
    <fill>
      <patternFill patternType="solid">
        <fgColor rgb="FFFF00FF"/>
        <bgColor rgb="FFFF00FF"/>
      </patternFill>
    </fill>
    <fill>
      <patternFill patternType="solid">
        <fgColor rgb="FFFFFFFF"/>
        <bgColor rgb="FFFFFFFF"/>
      </patternFill>
    </fill>
    <fill>
      <patternFill patternType="solid">
        <fgColor rgb="FFB6D7A8"/>
        <bgColor rgb="FFB6D7A8"/>
      </patternFill>
    </fill>
    <fill>
      <patternFill patternType="solid">
        <fgColor rgb="FFFF0000"/>
        <bgColor rgb="FFFF0000"/>
      </patternFill>
    </fill>
    <fill>
      <patternFill patternType="solid">
        <fgColor rgb="FF7F6000"/>
        <bgColor rgb="FF7F6000"/>
      </patternFill>
    </fill>
    <fill>
      <patternFill patternType="solid">
        <fgColor rgb="FFF4CCCC"/>
        <bgColor rgb="FFF4CCCC"/>
      </patternFill>
    </fill>
    <fill>
      <patternFill patternType="solid">
        <fgColor rgb="FFF6B26B"/>
        <bgColor rgb="FFF6B26B"/>
      </patternFill>
    </fill>
    <fill>
      <patternFill patternType="solid">
        <fgColor rgb="FFFF9900"/>
        <bgColor rgb="FFFF9900"/>
      </patternFill>
    </fill>
    <fill>
      <patternFill patternType="solid">
        <fgColor rgb="FFB45F06"/>
        <bgColor rgb="FFB45F06"/>
      </patternFill>
    </fill>
    <fill>
      <patternFill patternType="solid">
        <fgColor rgb="FFC9DAF8"/>
        <bgColor rgb="FFC9DAF8"/>
      </patternFill>
    </fill>
    <fill>
      <patternFill patternType="solid">
        <fgColor rgb="FFA4C2F4"/>
        <bgColor rgb="FFA4C2F4"/>
      </patternFill>
    </fill>
    <fill>
      <patternFill patternType="solid">
        <fgColor rgb="FFFFE599"/>
        <bgColor rgb="FFFFE599"/>
      </patternFill>
    </fill>
  </fills>
  <borders count="1">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readingOrder="0"/>
    </xf>
    <xf borderId="0" fillId="2" fontId="1" numFmtId="0" xfId="0" applyFont="1"/>
    <xf borderId="0" fillId="2" fontId="1" numFmtId="0" xfId="0" applyAlignment="1" applyFont="1">
      <alignment shrinkToFit="0"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3" fontId="3" numFmtId="0" xfId="0" applyAlignment="1" applyFill="1" applyFont="1">
      <alignment horizontal="center"/>
    </xf>
    <xf borderId="0" fillId="4" fontId="4" numFmtId="0" xfId="0" applyAlignment="1" applyFill="1" applyFont="1">
      <alignment vertical="bottom"/>
    </xf>
    <xf borderId="0" fillId="3" fontId="3" numFmtId="0" xfId="0" applyFont="1"/>
    <xf borderId="0" fillId="3" fontId="3" numFmtId="0" xfId="0" applyAlignment="1" applyFont="1">
      <alignment shrinkToFit="0" wrapText="1"/>
    </xf>
    <xf borderId="0" fillId="3" fontId="5" numFmtId="0" xfId="0" applyAlignment="1" applyFont="1">
      <alignment readingOrder="0" vertical="bottom"/>
    </xf>
    <xf borderId="0" fillId="3" fontId="5" numFmtId="0" xfId="0" applyAlignment="1" applyFont="1">
      <alignment shrinkToFit="0" vertical="bottom" wrapText="1"/>
    </xf>
    <xf borderId="0" fillId="5" fontId="3" numFmtId="0" xfId="0" applyAlignment="1" applyFill="1" applyFont="1">
      <alignment horizontal="center"/>
    </xf>
    <xf borderId="0" fillId="5" fontId="3" numFmtId="0" xfId="0" applyFont="1"/>
    <xf borderId="0" fillId="5" fontId="3" numFmtId="0" xfId="0" applyAlignment="1" applyFont="1">
      <alignment shrinkToFit="0" wrapText="1"/>
    </xf>
    <xf borderId="0" fillId="5" fontId="5" numFmtId="0" xfId="0" applyAlignment="1" applyFont="1">
      <alignment readingOrder="0" vertical="bottom"/>
    </xf>
    <xf borderId="0" fillId="6" fontId="6" numFmtId="0" xfId="0" applyAlignment="1" applyFill="1" applyFont="1">
      <alignment readingOrder="0" vertical="bottom"/>
    </xf>
    <xf borderId="0" fillId="5" fontId="5" numFmtId="0" xfId="0" applyAlignment="1" applyFont="1">
      <alignment shrinkToFit="0" vertical="bottom" wrapText="1"/>
    </xf>
    <xf borderId="0" fillId="5" fontId="5" numFmtId="0" xfId="0" applyAlignment="1" applyFont="1">
      <alignment vertical="bottom"/>
    </xf>
    <xf borderId="0" fillId="7" fontId="3" numFmtId="0" xfId="0" applyAlignment="1" applyFill="1" applyFont="1">
      <alignment horizontal="center"/>
    </xf>
    <xf borderId="0" fillId="7" fontId="3" numFmtId="0" xfId="0" applyFont="1"/>
    <xf borderId="0" fillId="2" fontId="3" numFmtId="0" xfId="0" applyFont="1"/>
    <xf borderId="0" fillId="7" fontId="3" numFmtId="0" xfId="0" applyAlignment="1" applyFont="1">
      <alignment shrinkToFit="0" wrapText="1"/>
    </xf>
    <xf borderId="0" fillId="7" fontId="5" numFmtId="0" xfId="0" applyAlignment="1" applyFont="1">
      <alignment vertical="bottom"/>
    </xf>
    <xf borderId="0" fillId="7" fontId="5" numFmtId="0" xfId="0" applyAlignment="1" applyFont="1">
      <alignment horizontal="right" vertical="bottom"/>
    </xf>
    <xf borderId="0" fillId="7" fontId="6" numFmtId="0" xfId="0" applyAlignment="1" applyFont="1">
      <alignment shrinkToFit="0" vertical="bottom" wrapText="1"/>
    </xf>
    <xf borderId="0" fillId="7" fontId="5" numFmtId="0" xfId="0" applyAlignment="1" applyFont="1">
      <alignment shrinkToFit="0" vertical="bottom" wrapText="1"/>
    </xf>
    <xf borderId="0" fillId="8" fontId="5" numFmtId="0" xfId="0" applyAlignment="1" applyFill="1" applyFont="1">
      <alignment vertical="bottom"/>
    </xf>
    <xf borderId="0" fillId="7" fontId="6" numFmtId="0" xfId="0" applyAlignment="1" applyFont="1">
      <alignment vertical="bottom"/>
    </xf>
    <xf borderId="0" fillId="9" fontId="5" numFmtId="0" xfId="0" applyAlignment="1" applyFill="1" applyFont="1">
      <alignment vertical="bottom"/>
    </xf>
    <xf borderId="0" fillId="7" fontId="6" numFmtId="0" xfId="0" applyAlignment="1" applyFont="1">
      <alignment horizontal="right" vertical="bottom"/>
    </xf>
    <xf borderId="0" fillId="10" fontId="6" numFmtId="0" xfId="0" applyAlignment="1" applyFill="1" applyFont="1">
      <alignment readingOrder="0" vertical="bottom"/>
    </xf>
    <xf borderId="0" fillId="8" fontId="6" numFmtId="0" xfId="0" applyAlignment="1" applyFont="1">
      <alignment vertical="bottom"/>
    </xf>
    <xf borderId="0" fillId="11" fontId="5" numFmtId="0" xfId="0" applyAlignment="1" applyFill="1" applyFont="1">
      <alignment vertical="bottom"/>
    </xf>
    <xf borderId="0" fillId="8" fontId="3" numFmtId="0" xfId="0" applyFont="1"/>
    <xf borderId="0" fillId="12" fontId="3" numFmtId="0" xfId="0" applyFill="1" applyFont="1"/>
    <xf borderId="0" fillId="5" fontId="3" numFmtId="0" xfId="0" applyAlignment="1" applyFont="1">
      <alignment readingOrder="0"/>
    </xf>
    <xf borderId="0" fillId="13" fontId="3" numFmtId="0" xfId="0" applyAlignment="1" applyFill="1" applyFont="1">
      <alignment readingOrder="0"/>
    </xf>
    <xf borderId="0" fillId="11" fontId="3" numFmtId="0" xfId="0" applyFont="1"/>
    <xf borderId="0" fillId="3" fontId="3" numFmtId="0" xfId="0" applyAlignment="1" applyFont="1">
      <alignment readingOrder="0"/>
    </xf>
    <xf borderId="0" fillId="14" fontId="3" numFmtId="0" xfId="0" applyAlignment="1" applyFill="1" applyFont="1">
      <alignment readingOrder="0"/>
    </xf>
    <xf borderId="0" fillId="5" fontId="3" numFmtId="0" xfId="0" applyAlignment="1" applyFont="1">
      <alignment readingOrder="0" shrinkToFit="0" wrapText="1"/>
    </xf>
    <xf borderId="0" fillId="9" fontId="3" numFmtId="0" xfId="0" applyAlignment="1" applyFont="1">
      <alignment readingOrder="0"/>
    </xf>
    <xf borderId="0" fillId="15" fontId="3" numFmtId="0" xfId="0" applyFill="1" applyFont="1"/>
    <xf borderId="0" fillId="9" fontId="3" numFmtId="0" xfId="0" applyFont="1"/>
    <xf borderId="0" fillId="16" fontId="3" numFmtId="0" xfId="0" applyFill="1" applyFont="1"/>
    <xf borderId="0" fillId="7" fontId="3" numFmtId="0" xfId="0" applyAlignment="1" applyFont="1">
      <alignment readingOrder="0"/>
    </xf>
    <xf borderId="0" fillId="7" fontId="7" numFmtId="0" xfId="0" applyFont="1"/>
    <xf borderId="0" fillId="0" fontId="3" numFmtId="0" xfId="0" applyAlignment="1" applyFont="1">
      <alignment horizontal="center"/>
    </xf>
    <xf borderId="0" fillId="0" fontId="3" numFmtId="0" xfId="0" applyAlignment="1" applyFont="1">
      <alignment shrinkToFit="0" wrapText="1"/>
    </xf>
    <xf borderId="0" fillId="2" fontId="8" numFmtId="0" xfId="0" applyAlignment="1" applyFont="1">
      <alignment shrinkToFit="0" vertical="bottom" wrapText="0"/>
    </xf>
    <xf borderId="0" fillId="2" fontId="5" numFmtId="0" xfId="0" applyAlignment="1" applyFont="1">
      <alignment vertical="bottom"/>
    </xf>
    <xf borderId="0" fillId="0" fontId="3" numFmtId="0" xfId="0" applyFont="1"/>
    <xf borderId="0" fillId="7" fontId="8" numFmtId="0" xfId="0" applyAlignment="1" applyFont="1">
      <alignment shrinkToFit="0" vertical="bottom" wrapText="0"/>
    </xf>
    <xf borderId="0" fillId="2" fontId="6" numFmtId="0" xfId="0" applyAlignment="1" applyFont="1">
      <alignment vertical="bottom"/>
    </xf>
    <xf borderId="0" fillId="0" fontId="8" numFmtId="0" xfId="0" applyAlignment="1" applyFont="1">
      <alignment shrinkToFit="0" vertical="bottom" wrapText="0"/>
    </xf>
    <xf borderId="0" fillId="8" fontId="3" numFmtId="0" xfId="0" applyAlignment="1" applyFont="1">
      <alignment horizontal="center"/>
    </xf>
    <xf borderId="0" fillId="8" fontId="3" numFmtId="0" xfId="0" applyAlignment="1" applyFont="1">
      <alignment shrinkToFit="0" wrapText="1"/>
    </xf>
    <xf borderId="0" fillId="8" fontId="5" numFmtId="0" xfId="0" applyAlignment="1" applyFont="1">
      <alignment horizontal="right" vertical="bottom"/>
    </xf>
    <xf borderId="0" fillId="8" fontId="6" numFmtId="0" xfId="0" applyAlignment="1" applyFont="1">
      <alignment shrinkToFit="0" vertical="bottom" wrapText="1"/>
    </xf>
    <xf borderId="0" fillId="8" fontId="5" numFmtId="0" xfId="0" applyAlignment="1" applyFont="1">
      <alignment shrinkToFit="0" vertical="bottom" wrapText="1"/>
    </xf>
    <xf borderId="0" fillId="8" fontId="6" numFmtId="0" xfId="0" applyAlignment="1" applyFont="1">
      <alignment horizontal="right" vertical="bottom"/>
    </xf>
    <xf borderId="0" fillId="16" fontId="3" numFmtId="0" xfId="0" applyAlignment="1" applyFont="1">
      <alignment horizontal="center"/>
    </xf>
    <xf borderId="0" fillId="16" fontId="3" numFmtId="0" xfId="0" applyAlignment="1" applyFont="1">
      <alignment shrinkToFit="0" wrapText="1"/>
    </xf>
    <xf borderId="0" fillId="2" fontId="3" numFmtId="0" xfId="0" applyAlignment="1" applyFont="1">
      <alignment horizontal="center"/>
    </xf>
    <xf borderId="0" fillId="2" fontId="3" numFmtId="0" xfId="0" applyAlignment="1" applyFont="1">
      <alignment shrinkToFit="0" wrapText="1"/>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shrinkToFit="0" vertical="bottom" wrapText="1"/>
    </xf>
    <xf borderId="0" fillId="17"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7.71"/>
    <col customWidth="1" min="3" max="3" width="15.14"/>
    <col customWidth="1" min="4" max="4" width="18.43"/>
    <col customWidth="1" min="5" max="5" width="8.71"/>
    <col customWidth="1" min="6" max="6" width="18.71"/>
    <col customWidth="1" min="7" max="11" width="8.71"/>
    <col customWidth="1" min="12" max="12" width="29.29"/>
    <col customWidth="1" min="13" max="13" width="8.71"/>
    <col customWidth="1" hidden="1" min="14" max="14" width="8.71"/>
    <col customWidth="1" min="15" max="28" width="8.71"/>
    <col customWidth="1" hidden="1" min="29" max="29" width="8.71"/>
    <col customWidth="1" min="30" max="39" width="8.71"/>
    <col customWidth="1" min="40" max="40" width="12.43"/>
    <col customWidth="1" min="41" max="41" width="8.29"/>
    <col customWidth="1" min="42" max="42" width="20.57"/>
    <col customWidth="1" min="43" max="43" width="8.71"/>
  </cols>
  <sheetData>
    <row r="1" ht="15.0"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4" t="s">
        <v>27</v>
      </c>
      <c r="AC1" s="4" t="s">
        <v>28</v>
      </c>
      <c r="AD1" s="5" t="s">
        <v>29</v>
      </c>
      <c r="AE1" s="5" t="s">
        <v>30</v>
      </c>
      <c r="AF1" s="5" t="s">
        <v>31</v>
      </c>
      <c r="AG1" s="6" t="s">
        <v>32</v>
      </c>
      <c r="AH1" s="5" t="s">
        <v>33</v>
      </c>
      <c r="AI1" s="5" t="s">
        <v>34</v>
      </c>
      <c r="AJ1" s="5" t="s">
        <v>35</v>
      </c>
      <c r="AK1" s="5" t="s">
        <v>36</v>
      </c>
      <c r="AL1" s="5" t="s">
        <v>37</v>
      </c>
      <c r="AM1" s="5" t="s">
        <v>38</v>
      </c>
      <c r="AN1" s="5" t="s">
        <v>39</v>
      </c>
      <c r="AO1" s="5" t="s">
        <v>40</v>
      </c>
      <c r="AP1" s="5" t="s">
        <v>41</v>
      </c>
      <c r="AQ1" s="5"/>
    </row>
    <row r="2" ht="15.0" customHeight="1">
      <c r="A2" s="7">
        <v>1.0</v>
      </c>
      <c r="B2" s="8" t="s">
        <v>42</v>
      </c>
      <c r="C2" s="9" t="s">
        <v>43</v>
      </c>
      <c r="D2" s="9" t="s">
        <v>44</v>
      </c>
      <c r="E2" s="9" t="s">
        <v>45</v>
      </c>
      <c r="F2" s="9" t="s">
        <v>46</v>
      </c>
      <c r="G2" s="9" t="s">
        <v>47</v>
      </c>
      <c r="H2" s="9" t="s">
        <v>48</v>
      </c>
      <c r="I2" s="9" t="s">
        <v>49</v>
      </c>
      <c r="J2" s="9" t="s">
        <v>50</v>
      </c>
      <c r="K2" s="9" t="s">
        <v>51</v>
      </c>
      <c r="L2" s="9" t="s">
        <v>52</v>
      </c>
      <c r="M2" s="9">
        <v>1.0</v>
      </c>
      <c r="N2" s="9">
        <v>0.0</v>
      </c>
      <c r="O2" s="9">
        <v>0.06097560975609756</v>
      </c>
      <c r="P2" s="9">
        <v>5.0</v>
      </c>
      <c r="Q2" s="9">
        <v>29.0</v>
      </c>
      <c r="R2" s="9" t="s">
        <v>53</v>
      </c>
      <c r="S2" s="9">
        <v>0.0</v>
      </c>
      <c r="T2" s="9" t="s">
        <v>53</v>
      </c>
      <c r="U2" s="9">
        <v>0.0</v>
      </c>
      <c r="V2" s="9">
        <v>0.0</v>
      </c>
      <c r="W2" s="9">
        <v>0.0</v>
      </c>
      <c r="X2" s="9" t="s">
        <v>53</v>
      </c>
      <c r="Y2" s="9">
        <v>0.0</v>
      </c>
      <c r="Z2" s="9" t="s">
        <v>53</v>
      </c>
      <c r="AA2" s="9" t="s">
        <v>54</v>
      </c>
      <c r="AB2" s="10" t="s">
        <v>55</v>
      </c>
      <c r="AC2" s="10" t="b">
        <v>1</v>
      </c>
      <c r="AD2" s="11" t="s">
        <v>56</v>
      </c>
      <c r="AE2" s="11" t="s">
        <v>57</v>
      </c>
      <c r="AF2" s="11">
        <v>0.33</v>
      </c>
      <c r="AG2" s="11"/>
      <c r="AH2" s="11" t="s">
        <v>58</v>
      </c>
      <c r="AI2" s="11" t="s">
        <v>59</v>
      </c>
      <c r="AJ2" s="11" t="s">
        <v>60</v>
      </c>
      <c r="AK2" s="11" t="s">
        <v>61</v>
      </c>
      <c r="AL2" s="11" t="s">
        <v>62</v>
      </c>
      <c r="AM2" s="11" t="s">
        <v>63</v>
      </c>
      <c r="AN2" s="11" t="s">
        <v>64</v>
      </c>
      <c r="AO2" s="11" t="s">
        <v>65</v>
      </c>
      <c r="AP2" s="10"/>
      <c r="AQ2" s="12"/>
    </row>
    <row r="3" ht="15.0" customHeight="1">
      <c r="A3" s="13">
        <v>2.0</v>
      </c>
      <c r="B3" s="8" t="s">
        <v>66</v>
      </c>
      <c r="C3" s="14" t="s">
        <v>67</v>
      </c>
      <c r="D3" s="14" t="s">
        <v>68</v>
      </c>
      <c r="E3" s="14" t="s">
        <v>45</v>
      </c>
      <c r="F3" s="14" t="s">
        <v>69</v>
      </c>
      <c r="G3" s="14" t="s">
        <v>70</v>
      </c>
      <c r="H3" s="14" t="s">
        <v>71</v>
      </c>
      <c r="I3" s="14" t="s">
        <v>72</v>
      </c>
      <c r="J3" s="14" t="s">
        <v>73</v>
      </c>
      <c r="K3" s="14" t="s">
        <v>74</v>
      </c>
      <c r="L3" s="14" t="s">
        <v>75</v>
      </c>
      <c r="M3" s="14">
        <v>1.0</v>
      </c>
      <c r="N3" s="14">
        <v>0.0</v>
      </c>
      <c r="O3" s="14">
        <v>0.6979166666666666</v>
      </c>
      <c r="P3" s="14">
        <v>15.0</v>
      </c>
      <c r="Q3" s="14">
        <v>24.0</v>
      </c>
      <c r="R3" s="14" t="s">
        <v>53</v>
      </c>
      <c r="S3" s="14">
        <v>0.0</v>
      </c>
      <c r="T3" s="14" t="s">
        <v>53</v>
      </c>
      <c r="U3" s="14">
        <v>0.0</v>
      </c>
      <c r="V3" s="14">
        <v>0.0</v>
      </c>
      <c r="W3" s="14">
        <v>0.0</v>
      </c>
      <c r="X3" s="14" t="s">
        <v>53</v>
      </c>
      <c r="Y3" s="14">
        <v>0.0</v>
      </c>
      <c r="Z3" s="14" t="s">
        <v>53</v>
      </c>
      <c r="AA3" s="14" t="s">
        <v>76</v>
      </c>
      <c r="AB3" s="15" t="s">
        <v>55</v>
      </c>
      <c r="AC3" s="15" t="b">
        <v>1</v>
      </c>
      <c r="AD3" s="16" t="s">
        <v>77</v>
      </c>
      <c r="AE3" s="16" t="s">
        <v>56</v>
      </c>
      <c r="AF3" s="16">
        <v>0.0</v>
      </c>
      <c r="AG3" s="16" t="s">
        <v>78</v>
      </c>
      <c r="AH3" s="16" t="s">
        <v>58</v>
      </c>
      <c r="AI3" s="16" t="s">
        <v>79</v>
      </c>
      <c r="AJ3" s="16" t="s">
        <v>60</v>
      </c>
      <c r="AK3" s="16" t="s">
        <v>61</v>
      </c>
      <c r="AL3" s="16" t="s">
        <v>62</v>
      </c>
      <c r="AM3" s="16" t="s">
        <v>80</v>
      </c>
      <c r="AN3" s="16" t="s">
        <v>64</v>
      </c>
      <c r="AO3" s="17" t="s">
        <v>81</v>
      </c>
      <c r="AP3" s="18"/>
      <c r="AQ3" s="19"/>
    </row>
    <row r="4" ht="15.0" customHeight="1">
      <c r="A4" s="20">
        <v>3.0</v>
      </c>
      <c r="B4" s="8" t="s">
        <v>66</v>
      </c>
      <c r="C4" s="21" t="s">
        <v>82</v>
      </c>
      <c r="D4" s="21" t="s">
        <v>83</v>
      </c>
      <c r="E4" s="21" t="s">
        <v>45</v>
      </c>
      <c r="F4" s="21" t="s">
        <v>84</v>
      </c>
      <c r="G4" s="21" t="s">
        <v>85</v>
      </c>
      <c r="H4" s="22" t="s">
        <v>86</v>
      </c>
      <c r="I4" s="21" t="s">
        <v>87</v>
      </c>
      <c r="J4" s="21" t="s">
        <v>88</v>
      </c>
      <c r="K4" s="21" t="s">
        <v>89</v>
      </c>
      <c r="L4" s="21" t="s">
        <v>90</v>
      </c>
      <c r="M4" s="21">
        <v>1.0</v>
      </c>
      <c r="N4" s="21">
        <v>0.018867924528301886</v>
      </c>
      <c r="O4" s="21">
        <v>0.11353258613532587</v>
      </c>
      <c r="P4" s="21">
        <v>5.0</v>
      </c>
      <c r="Q4" s="21">
        <v>9.0</v>
      </c>
      <c r="R4" s="21" t="s">
        <v>91</v>
      </c>
      <c r="S4" s="21">
        <v>0.0</v>
      </c>
      <c r="T4" s="21" t="s">
        <v>53</v>
      </c>
      <c r="U4" s="21">
        <v>0.0</v>
      </c>
      <c r="V4" s="21">
        <v>0.0</v>
      </c>
      <c r="W4" s="21">
        <v>1.0</v>
      </c>
      <c r="X4" s="21" t="s">
        <v>92</v>
      </c>
      <c r="Y4" s="21">
        <v>0.0</v>
      </c>
      <c r="Z4" s="21" t="s">
        <v>53</v>
      </c>
      <c r="AA4" s="21" t="s">
        <v>93</v>
      </c>
      <c r="AB4" s="23" t="s">
        <v>94</v>
      </c>
      <c r="AC4" s="23" t="b">
        <v>1</v>
      </c>
      <c r="AD4" s="24"/>
      <c r="AE4" s="24"/>
      <c r="AF4" s="25"/>
      <c r="AG4" s="25"/>
      <c r="AH4" s="24"/>
      <c r="AI4" s="24"/>
      <c r="AJ4" s="24"/>
      <c r="AK4" s="24"/>
      <c r="AL4" s="24"/>
      <c r="AM4" s="24"/>
      <c r="AN4" s="26"/>
      <c r="AO4" s="27"/>
      <c r="AP4" s="27"/>
      <c r="AQ4" s="28"/>
    </row>
    <row r="5" ht="15.0" customHeight="1">
      <c r="A5" s="20">
        <v>4.0</v>
      </c>
      <c r="B5" s="8" t="s">
        <v>66</v>
      </c>
      <c r="C5" s="21" t="s">
        <v>95</v>
      </c>
      <c r="D5" s="21" t="s">
        <v>96</v>
      </c>
      <c r="E5" s="21" t="s">
        <v>97</v>
      </c>
      <c r="F5" s="21" t="s">
        <v>98</v>
      </c>
      <c r="G5" s="21" t="s">
        <v>99</v>
      </c>
      <c r="H5" s="22" t="s">
        <v>100</v>
      </c>
      <c r="I5" s="21" t="s">
        <v>101</v>
      </c>
      <c r="J5" s="21" t="s">
        <v>102</v>
      </c>
      <c r="K5" s="21" t="s">
        <v>103</v>
      </c>
      <c r="L5" s="21" t="s">
        <v>104</v>
      </c>
      <c r="M5" s="21">
        <v>0.7142857142857143</v>
      </c>
      <c r="N5" s="21">
        <v>0.14285714285714285</v>
      </c>
      <c r="O5" s="21">
        <v>0.19</v>
      </c>
      <c r="P5" s="21">
        <v>0.0</v>
      </c>
      <c r="Q5" s="21">
        <v>8.0</v>
      </c>
      <c r="R5" s="21" t="s">
        <v>105</v>
      </c>
      <c r="S5" s="21">
        <v>1.0</v>
      </c>
      <c r="T5" s="21" t="s">
        <v>106</v>
      </c>
      <c r="U5" s="21">
        <v>1.0</v>
      </c>
      <c r="V5" s="21">
        <v>1.0</v>
      </c>
      <c r="W5" s="21">
        <v>0.0</v>
      </c>
      <c r="X5" s="21" t="s">
        <v>53</v>
      </c>
      <c r="Y5" s="21">
        <v>0.0</v>
      </c>
      <c r="Z5" s="21" t="s">
        <v>53</v>
      </c>
      <c r="AA5" s="21" t="s">
        <v>107</v>
      </c>
      <c r="AB5" s="23" t="s">
        <v>108</v>
      </c>
      <c r="AC5" s="23" t="b">
        <v>1</v>
      </c>
      <c r="AD5" s="24"/>
      <c r="AE5" s="24"/>
      <c r="AF5" s="25"/>
      <c r="AG5" s="25"/>
      <c r="AH5" s="24"/>
      <c r="AI5" s="24"/>
      <c r="AJ5" s="24"/>
      <c r="AK5" s="24"/>
      <c r="AL5" s="24"/>
      <c r="AM5" s="29"/>
      <c r="AN5" s="27"/>
      <c r="AO5" s="27"/>
      <c r="AP5" s="27"/>
      <c r="AQ5" s="28"/>
    </row>
    <row r="6" ht="15.0" customHeight="1">
      <c r="A6" s="20">
        <v>5.0</v>
      </c>
      <c r="B6" s="8" t="s">
        <v>66</v>
      </c>
      <c r="C6" s="21" t="s">
        <v>67</v>
      </c>
      <c r="D6" s="21" t="s">
        <v>109</v>
      </c>
      <c r="E6" s="21" t="s">
        <v>110</v>
      </c>
      <c r="F6" s="21" t="s">
        <v>75</v>
      </c>
      <c r="G6" s="21" t="s">
        <v>74</v>
      </c>
      <c r="H6" s="22" t="s">
        <v>111</v>
      </c>
      <c r="I6" s="21" t="s">
        <v>112</v>
      </c>
      <c r="J6" s="21" t="s">
        <v>73</v>
      </c>
      <c r="K6" s="21" t="s">
        <v>113</v>
      </c>
      <c r="L6" s="21" t="s">
        <v>114</v>
      </c>
      <c r="M6" s="21">
        <v>1.0</v>
      </c>
      <c r="N6" s="21">
        <v>0.0</v>
      </c>
      <c r="O6" s="21">
        <v>0.71</v>
      </c>
      <c r="P6" s="21">
        <v>27.0</v>
      </c>
      <c r="Q6" s="21">
        <v>42.0</v>
      </c>
      <c r="R6" s="21" t="s">
        <v>53</v>
      </c>
      <c r="S6" s="21">
        <v>0.0</v>
      </c>
      <c r="T6" s="21" t="s">
        <v>53</v>
      </c>
      <c r="U6" s="21">
        <v>0.0</v>
      </c>
      <c r="V6" s="21">
        <v>0.0</v>
      </c>
      <c r="W6" s="21">
        <v>0.0</v>
      </c>
      <c r="X6" s="21" t="s">
        <v>53</v>
      </c>
      <c r="Y6" s="21">
        <v>0.0</v>
      </c>
      <c r="Z6" s="21" t="s">
        <v>53</v>
      </c>
      <c r="AA6" s="21" t="s">
        <v>115</v>
      </c>
      <c r="AB6" s="23" t="s">
        <v>116</v>
      </c>
      <c r="AC6" s="23" t="b">
        <v>1</v>
      </c>
      <c r="AD6" s="24"/>
      <c r="AE6" s="24"/>
      <c r="AF6" s="24"/>
      <c r="AG6" s="24"/>
      <c r="AH6" s="24"/>
      <c r="AI6" s="24"/>
      <c r="AJ6" s="24"/>
      <c r="AK6" s="24"/>
      <c r="AL6" s="24"/>
      <c r="AM6" s="24"/>
      <c r="AN6" s="27"/>
      <c r="AO6" s="27"/>
      <c r="AP6" s="27"/>
      <c r="AQ6" s="30"/>
    </row>
    <row r="7" ht="15.0" customHeight="1">
      <c r="A7" s="13">
        <v>6.0</v>
      </c>
      <c r="B7" s="8" t="s">
        <v>66</v>
      </c>
      <c r="C7" s="14" t="s">
        <v>67</v>
      </c>
      <c r="D7" s="14" t="s">
        <v>117</v>
      </c>
      <c r="E7" s="14" t="s">
        <v>109</v>
      </c>
      <c r="F7" s="14" t="s">
        <v>75</v>
      </c>
      <c r="G7" s="14" t="s">
        <v>74</v>
      </c>
      <c r="H7" s="14" t="s">
        <v>118</v>
      </c>
      <c r="I7" s="14" t="s">
        <v>119</v>
      </c>
      <c r="J7" s="14" t="s">
        <v>73</v>
      </c>
      <c r="K7" s="14" t="s">
        <v>120</v>
      </c>
      <c r="L7" s="14" t="s">
        <v>121</v>
      </c>
      <c r="M7" s="14">
        <v>1.0</v>
      </c>
      <c r="N7" s="14">
        <v>0.0</v>
      </c>
      <c r="O7" s="14">
        <v>0.4772727272727273</v>
      </c>
      <c r="P7" s="14">
        <v>29.0</v>
      </c>
      <c r="Q7" s="14">
        <v>45.0</v>
      </c>
      <c r="R7" s="14" t="s">
        <v>53</v>
      </c>
      <c r="S7" s="14">
        <v>0.0</v>
      </c>
      <c r="T7" s="14" t="s">
        <v>53</v>
      </c>
      <c r="U7" s="14">
        <v>0.0</v>
      </c>
      <c r="V7" s="14">
        <v>0.0</v>
      </c>
      <c r="W7" s="14">
        <v>0.0</v>
      </c>
      <c r="X7" s="14" t="s">
        <v>53</v>
      </c>
      <c r="Y7" s="14">
        <v>0.0</v>
      </c>
      <c r="Z7" s="14" t="s">
        <v>53</v>
      </c>
      <c r="AA7" s="14" t="s">
        <v>122</v>
      </c>
      <c r="AB7" s="15" t="s">
        <v>116</v>
      </c>
      <c r="AC7" s="15" t="b">
        <v>1</v>
      </c>
      <c r="AD7" s="16" t="s">
        <v>56</v>
      </c>
      <c r="AE7" s="16" t="s">
        <v>123</v>
      </c>
      <c r="AF7" s="16">
        <v>0.0</v>
      </c>
      <c r="AG7" s="16" t="s">
        <v>78</v>
      </c>
      <c r="AH7" s="16" t="s">
        <v>58</v>
      </c>
      <c r="AI7" s="16" t="s">
        <v>79</v>
      </c>
      <c r="AJ7" s="16" t="s">
        <v>60</v>
      </c>
      <c r="AK7" s="16" t="s">
        <v>61</v>
      </c>
      <c r="AL7" s="16" t="s">
        <v>62</v>
      </c>
      <c r="AM7" s="16" t="s">
        <v>63</v>
      </c>
      <c r="AN7" s="16" t="s">
        <v>64</v>
      </c>
      <c r="AO7" s="17" t="s">
        <v>124</v>
      </c>
      <c r="AP7" s="18"/>
      <c r="AQ7" s="19"/>
    </row>
    <row r="8" ht="15.0" customHeight="1">
      <c r="A8" s="20">
        <v>7.0</v>
      </c>
      <c r="B8" s="8" t="s">
        <v>66</v>
      </c>
      <c r="C8" s="21" t="s">
        <v>125</v>
      </c>
      <c r="D8" s="21" t="s">
        <v>126</v>
      </c>
      <c r="E8" s="21" t="s">
        <v>127</v>
      </c>
      <c r="F8" s="21" t="s">
        <v>128</v>
      </c>
      <c r="G8" s="21" t="s">
        <v>129</v>
      </c>
      <c r="H8" s="22" t="s">
        <v>130</v>
      </c>
      <c r="I8" s="21" t="s">
        <v>131</v>
      </c>
      <c r="J8" s="21" t="s">
        <v>132</v>
      </c>
      <c r="K8" s="21" t="s">
        <v>133</v>
      </c>
      <c r="L8" s="21" t="s">
        <v>134</v>
      </c>
      <c r="M8" s="21">
        <v>1.0</v>
      </c>
      <c r="N8" s="21">
        <v>0.0</v>
      </c>
      <c r="O8" s="21">
        <v>0.11877394636015326</v>
      </c>
      <c r="P8" s="21">
        <v>1.0</v>
      </c>
      <c r="Q8" s="21">
        <v>6.0</v>
      </c>
      <c r="R8" s="21" t="s">
        <v>135</v>
      </c>
      <c r="S8" s="21">
        <v>0.0</v>
      </c>
      <c r="T8" s="21" t="s">
        <v>53</v>
      </c>
      <c r="U8" s="21">
        <v>0.0</v>
      </c>
      <c r="V8" s="21">
        <v>0.0</v>
      </c>
      <c r="W8" s="21">
        <v>0.0</v>
      </c>
      <c r="X8" s="21" t="s">
        <v>53</v>
      </c>
      <c r="Y8" s="21">
        <v>0.0</v>
      </c>
      <c r="Z8" s="21" t="s">
        <v>53</v>
      </c>
      <c r="AA8" s="21" t="s">
        <v>136</v>
      </c>
      <c r="AB8" s="23" t="s">
        <v>137</v>
      </c>
      <c r="AC8" s="23" t="b">
        <v>1</v>
      </c>
      <c r="AD8" s="24"/>
      <c r="AE8" s="24"/>
      <c r="AF8" s="25"/>
      <c r="AG8" s="25"/>
      <c r="AH8" s="24"/>
      <c r="AI8" s="24"/>
      <c r="AJ8" s="24"/>
      <c r="AK8" s="24"/>
      <c r="AL8" s="24"/>
      <c r="AM8" s="24"/>
      <c r="AN8" s="27"/>
      <c r="AO8" s="27"/>
      <c r="AP8" s="27"/>
      <c r="AQ8" s="28"/>
    </row>
    <row r="9" ht="15.0" customHeight="1">
      <c r="A9" s="20">
        <v>8.0</v>
      </c>
      <c r="B9" s="8" t="s">
        <v>66</v>
      </c>
      <c r="C9" s="21" t="s">
        <v>138</v>
      </c>
      <c r="D9" s="21" t="s">
        <v>139</v>
      </c>
      <c r="E9" s="21" t="s">
        <v>140</v>
      </c>
      <c r="F9" s="21" t="s">
        <v>141</v>
      </c>
      <c r="G9" s="21" t="s">
        <v>142</v>
      </c>
      <c r="H9" s="22" t="s">
        <v>143</v>
      </c>
      <c r="I9" s="21" t="s">
        <v>144</v>
      </c>
      <c r="J9" s="21" t="s">
        <v>145</v>
      </c>
      <c r="K9" s="21" t="s">
        <v>146</v>
      </c>
      <c r="L9" s="21" t="s">
        <v>147</v>
      </c>
      <c r="M9" s="21">
        <v>1.0</v>
      </c>
      <c r="N9" s="21">
        <v>0.0</v>
      </c>
      <c r="O9" s="21">
        <v>0.40654205607476634</v>
      </c>
      <c r="P9" s="21">
        <v>0.0</v>
      </c>
      <c r="Q9" s="21">
        <v>2.0</v>
      </c>
      <c r="R9" s="21" t="s">
        <v>53</v>
      </c>
      <c r="S9" s="21">
        <v>0.0</v>
      </c>
      <c r="T9" s="21" t="s">
        <v>53</v>
      </c>
      <c r="U9" s="21">
        <v>0.0</v>
      </c>
      <c r="V9" s="21">
        <v>0.0</v>
      </c>
      <c r="W9" s="21">
        <v>0.0</v>
      </c>
      <c r="X9" s="21" t="s">
        <v>53</v>
      </c>
      <c r="Y9" s="21">
        <v>0.0</v>
      </c>
      <c r="Z9" s="21" t="s">
        <v>53</v>
      </c>
      <c r="AA9" s="21" t="s">
        <v>148</v>
      </c>
      <c r="AB9" s="23" t="s">
        <v>137</v>
      </c>
      <c r="AC9" s="23" t="b">
        <v>1</v>
      </c>
      <c r="AD9" s="24"/>
      <c r="AE9" s="24"/>
      <c r="AF9" s="25"/>
      <c r="AG9" s="25"/>
      <c r="AH9" s="24"/>
      <c r="AI9" s="24"/>
      <c r="AJ9" s="24"/>
      <c r="AK9" s="24"/>
      <c r="AL9" s="24"/>
      <c r="AM9" s="24"/>
      <c r="AN9" s="27"/>
      <c r="AO9" s="27"/>
      <c r="AP9" s="27"/>
      <c r="AQ9" s="28"/>
    </row>
    <row r="10" ht="15.0" customHeight="1">
      <c r="A10" s="20">
        <v>9.0</v>
      </c>
      <c r="B10" s="8" t="s">
        <v>66</v>
      </c>
      <c r="C10" s="21" t="s">
        <v>138</v>
      </c>
      <c r="D10" s="21" t="s">
        <v>149</v>
      </c>
      <c r="E10" s="21" t="s">
        <v>150</v>
      </c>
      <c r="F10" s="21" t="s">
        <v>147</v>
      </c>
      <c r="G10" s="21" t="s">
        <v>146</v>
      </c>
      <c r="H10" s="22" t="s">
        <v>151</v>
      </c>
      <c r="I10" s="21" t="s">
        <v>152</v>
      </c>
      <c r="J10" s="21" t="s">
        <v>145</v>
      </c>
      <c r="K10" s="21" t="s">
        <v>153</v>
      </c>
      <c r="L10" s="21" t="s">
        <v>154</v>
      </c>
      <c r="M10" s="21">
        <v>1.0</v>
      </c>
      <c r="N10" s="21">
        <v>0.0</v>
      </c>
      <c r="O10" s="21">
        <v>0.16778523489932887</v>
      </c>
      <c r="P10" s="21">
        <v>4.0</v>
      </c>
      <c r="Q10" s="21">
        <v>8.0</v>
      </c>
      <c r="R10" s="21" t="s">
        <v>53</v>
      </c>
      <c r="S10" s="21">
        <v>0.0</v>
      </c>
      <c r="T10" s="21" t="s">
        <v>53</v>
      </c>
      <c r="U10" s="21">
        <v>0.0</v>
      </c>
      <c r="V10" s="21">
        <v>0.0</v>
      </c>
      <c r="W10" s="21">
        <v>0.0</v>
      </c>
      <c r="X10" s="21" t="s">
        <v>53</v>
      </c>
      <c r="Y10" s="21">
        <v>0.0</v>
      </c>
      <c r="Z10" s="21" t="s">
        <v>53</v>
      </c>
      <c r="AA10" s="21" t="s">
        <v>155</v>
      </c>
      <c r="AB10" s="23" t="s">
        <v>137</v>
      </c>
      <c r="AC10" s="23" t="b">
        <v>1</v>
      </c>
      <c r="AD10" s="29"/>
      <c r="AE10" s="29"/>
      <c r="AF10" s="31"/>
      <c r="AG10" s="31"/>
      <c r="AH10" s="29"/>
      <c r="AI10" s="29"/>
      <c r="AJ10" s="29"/>
      <c r="AK10" s="29"/>
      <c r="AL10" s="29"/>
      <c r="AM10" s="29"/>
      <c r="AN10" s="26"/>
      <c r="AO10" s="27"/>
      <c r="AP10" s="27"/>
      <c r="AQ10" s="28"/>
    </row>
    <row r="11" ht="15.0" customHeight="1">
      <c r="A11" s="13">
        <v>10.0</v>
      </c>
      <c r="B11" s="8" t="s">
        <v>42</v>
      </c>
      <c r="C11" s="14" t="s">
        <v>138</v>
      </c>
      <c r="D11" s="14" t="s">
        <v>156</v>
      </c>
      <c r="E11" s="14" t="s">
        <v>149</v>
      </c>
      <c r="F11" s="14" t="s">
        <v>154</v>
      </c>
      <c r="G11" s="14" t="s">
        <v>153</v>
      </c>
      <c r="H11" s="14" t="s">
        <v>157</v>
      </c>
      <c r="I11" s="14" t="s">
        <v>158</v>
      </c>
      <c r="J11" s="14" t="s">
        <v>145</v>
      </c>
      <c r="K11" s="14" t="s">
        <v>159</v>
      </c>
      <c r="L11" s="14" t="s">
        <v>160</v>
      </c>
      <c r="M11" s="14">
        <v>1.0</v>
      </c>
      <c r="N11" s="14">
        <v>0.0</v>
      </c>
      <c r="O11" s="14">
        <v>0.16666666666666666</v>
      </c>
      <c r="P11" s="14">
        <v>0.0</v>
      </c>
      <c r="Q11" s="14">
        <v>3.0</v>
      </c>
      <c r="R11" s="14" t="s">
        <v>53</v>
      </c>
      <c r="S11" s="14">
        <v>0.0</v>
      </c>
      <c r="T11" s="14" t="s">
        <v>53</v>
      </c>
      <c r="U11" s="14">
        <v>0.0</v>
      </c>
      <c r="V11" s="14">
        <v>0.0</v>
      </c>
      <c r="W11" s="14">
        <v>0.0</v>
      </c>
      <c r="X11" s="14" t="s">
        <v>53</v>
      </c>
      <c r="Y11" s="14">
        <v>0.0</v>
      </c>
      <c r="Z11" s="14" t="s">
        <v>53</v>
      </c>
      <c r="AA11" s="14" t="s">
        <v>161</v>
      </c>
      <c r="AB11" s="15" t="s">
        <v>137</v>
      </c>
      <c r="AC11" s="15" t="b">
        <v>1</v>
      </c>
      <c r="AD11" s="16" t="s">
        <v>56</v>
      </c>
      <c r="AE11" s="16" t="s">
        <v>57</v>
      </c>
      <c r="AF11" s="16">
        <v>0.0</v>
      </c>
      <c r="AG11" s="16" t="s">
        <v>78</v>
      </c>
      <c r="AH11" s="16" t="s">
        <v>162</v>
      </c>
      <c r="AI11" s="32" t="s">
        <v>163</v>
      </c>
      <c r="AJ11" s="16" t="s">
        <v>60</v>
      </c>
      <c r="AK11" s="16" t="s">
        <v>61</v>
      </c>
      <c r="AL11" s="16" t="s">
        <v>62</v>
      </c>
      <c r="AM11" s="16" t="s">
        <v>63</v>
      </c>
      <c r="AN11" s="16" t="s">
        <v>164</v>
      </c>
      <c r="AO11" s="16" t="s">
        <v>165</v>
      </c>
      <c r="AP11" s="18"/>
      <c r="AQ11" s="19"/>
    </row>
    <row r="12" ht="15.0" customHeight="1">
      <c r="A12" s="20">
        <v>11.0</v>
      </c>
      <c r="B12" s="8" t="s">
        <v>66</v>
      </c>
      <c r="C12" s="21" t="s">
        <v>166</v>
      </c>
      <c r="D12" s="21" t="s">
        <v>167</v>
      </c>
      <c r="E12" s="21" t="s">
        <v>168</v>
      </c>
      <c r="F12" s="21" t="s">
        <v>169</v>
      </c>
      <c r="G12" s="21" t="s">
        <v>170</v>
      </c>
      <c r="H12" s="22" t="s">
        <v>171</v>
      </c>
      <c r="I12" s="21" t="s">
        <v>172</v>
      </c>
      <c r="J12" s="21" t="s">
        <v>173</v>
      </c>
      <c r="K12" s="21" t="s">
        <v>174</v>
      </c>
      <c r="L12" s="21" t="s">
        <v>175</v>
      </c>
      <c r="M12" s="21">
        <v>1.0</v>
      </c>
      <c r="N12" s="21">
        <v>0.0</v>
      </c>
      <c r="O12" s="21">
        <v>0.6681818181818182</v>
      </c>
      <c r="P12" s="21">
        <v>4.0</v>
      </c>
      <c r="Q12" s="21">
        <v>15.0</v>
      </c>
      <c r="R12" s="21" t="s">
        <v>53</v>
      </c>
      <c r="S12" s="21">
        <v>0.0</v>
      </c>
      <c r="T12" s="21" t="s">
        <v>53</v>
      </c>
      <c r="U12" s="21">
        <v>0.0</v>
      </c>
      <c r="V12" s="21">
        <v>0.0</v>
      </c>
      <c r="W12" s="21">
        <v>0.0</v>
      </c>
      <c r="X12" s="21" t="s">
        <v>53</v>
      </c>
      <c r="Y12" s="21">
        <v>0.0</v>
      </c>
      <c r="Z12" s="21" t="s">
        <v>53</v>
      </c>
      <c r="AA12" s="21" t="s">
        <v>176</v>
      </c>
      <c r="AB12" s="23" t="s">
        <v>177</v>
      </c>
      <c r="AC12" s="23" t="b">
        <v>1</v>
      </c>
      <c r="AD12" s="24"/>
      <c r="AE12" s="24"/>
      <c r="AF12" s="25"/>
      <c r="AG12" s="25"/>
      <c r="AH12" s="24"/>
      <c r="AI12" s="24"/>
      <c r="AJ12" s="24"/>
      <c r="AK12" s="24"/>
      <c r="AL12" s="24"/>
      <c r="AM12" s="24"/>
      <c r="AN12" s="27"/>
      <c r="AO12" s="27"/>
      <c r="AP12" s="26"/>
      <c r="AQ12" s="33"/>
    </row>
    <row r="13" ht="15.0" customHeight="1">
      <c r="A13" s="20">
        <v>12.0</v>
      </c>
      <c r="B13" s="8" t="s">
        <v>66</v>
      </c>
      <c r="C13" s="21" t="s">
        <v>166</v>
      </c>
      <c r="D13" s="21" t="s">
        <v>167</v>
      </c>
      <c r="E13" s="21" t="s">
        <v>168</v>
      </c>
      <c r="F13" s="21" t="s">
        <v>178</v>
      </c>
      <c r="G13" s="21" t="s">
        <v>179</v>
      </c>
      <c r="H13" s="22" t="s">
        <v>180</v>
      </c>
      <c r="I13" s="21" t="s">
        <v>181</v>
      </c>
      <c r="J13" s="21" t="s">
        <v>182</v>
      </c>
      <c r="K13" s="21" t="s">
        <v>183</v>
      </c>
      <c r="L13" s="21" t="s">
        <v>184</v>
      </c>
      <c r="M13" s="21">
        <v>1.0</v>
      </c>
      <c r="N13" s="21">
        <v>0.5</v>
      </c>
      <c r="O13" s="21">
        <v>0.6363636363636364</v>
      </c>
      <c r="P13" s="21">
        <v>0.0</v>
      </c>
      <c r="Q13" s="21">
        <v>15.0</v>
      </c>
      <c r="R13" s="21" t="s">
        <v>53</v>
      </c>
      <c r="S13" s="21">
        <v>0.0</v>
      </c>
      <c r="T13" s="21" t="s">
        <v>53</v>
      </c>
      <c r="U13" s="21">
        <v>0.0</v>
      </c>
      <c r="V13" s="21">
        <v>0.0</v>
      </c>
      <c r="W13" s="21">
        <v>0.0</v>
      </c>
      <c r="X13" s="21" t="s">
        <v>53</v>
      </c>
      <c r="Y13" s="21">
        <v>1.0</v>
      </c>
      <c r="Z13" s="21" t="s">
        <v>185</v>
      </c>
      <c r="AA13" s="21" t="s">
        <v>176</v>
      </c>
      <c r="AB13" s="23" t="s">
        <v>177</v>
      </c>
      <c r="AC13" s="23" t="b">
        <v>1</v>
      </c>
      <c r="AD13" s="24"/>
      <c r="AE13" s="24"/>
      <c r="AF13" s="24"/>
      <c r="AG13" s="24"/>
      <c r="AH13" s="24"/>
      <c r="AI13" s="24"/>
      <c r="AJ13" s="24"/>
      <c r="AK13" s="24"/>
      <c r="AL13" s="24"/>
      <c r="AM13" s="24"/>
      <c r="AN13" s="27"/>
      <c r="AO13" s="27"/>
      <c r="AP13" s="27"/>
      <c r="AQ13" s="34"/>
    </row>
    <row r="14" ht="15.0" customHeight="1">
      <c r="A14" s="20">
        <v>13.0</v>
      </c>
      <c r="B14" s="8" t="s">
        <v>66</v>
      </c>
      <c r="C14" s="21" t="s">
        <v>186</v>
      </c>
      <c r="D14" s="21" t="s">
        <v>187</v>
      </c>
      <c r="E14" s="21" t="s">
        <v>188</v>
      </c>
      <c r="F14" s="21" t="s">
        <v>189</v>
      </c>
      <c r="G14" s="21" t="s">
        <v>190</v>
      </c>
      <c r="H14" s="22" t="s">
        <v>191</v>
      </c>
      <c r="I14" s="21" t="s">
        <v>192</v>
      </c>
      <c r="J14" s="21" t="s">
        <v>193</v>
      </c>
      <c r="K14" s="21" t="s">
        <v>194</v>
      </c>
      <c r="L14" s="21" t="s">
        <v>195</v>
      </c>
      <c r="M14" s="21">
        <v>1.0</v>
      </c>
      <c r="N14" s="21">
        <v>0.0</v>
      </c>
      <c r="O14" s="21">
        <v>0.1568627450980392</v>
      </c>
      <c r="P14" s="21">
        <v>1.0</v>
      </c>
      <c r="Q14" s="21">
        <v>8.0</v>
      </c>
      <c r="R14" s="21" t="s">
        <v>53</v>
      </c>
      <c r="S14" s="21">
        <v>0.0</v>
      </c>
      <c r="T14" s="21" t="s">
        <v>53</v>
      </c>
      <c r="U14" s="21">
        <v>0.0</v>
      </c>
      <c r="V14" s="21">
        <v>0.0</v>
      </c>
      <c r="W14" s="21">
        <v>0.0</v>
      </c>
      <c r="X14" s="21" t="s">
        <v>53</v>
      </c>
      <c r="Y14" s="21">
        <v>0.0</v>
      </c>
      <c r="Z14" s="21" t="s">
        <v>53</v>
      </c>
      <c r="AA14" s="21" t="s">
        <v>196</v>
      </c>
      <c r="AB14" s="23" t="s">
        <v>177</v>
      </c>
      <c r="AC14" s="23" t="b">
        <v>1</v>
      </c>
      <c r="AD14" s="24"/>
      <c r="AE14" s="24"/>
      <c r="AF14" s="25"/>
      <c r="AG14" s="25"/>
      <c r="AH14" s="24"/>
      <c r="AI14" s="24"/>
      <c r="AJ14" s="24"/>
      <c r="AK14" s="24"/>
      <c r="AL14" s="24"/>
      <c r="AM14" s="24"/>
      <c r="AN14" s="27"/>
      <c r="AO14" s="27"/>
      <c r="AP14" s="27"/>
      <c r="AQ14" s="28"/>
    </row>
    <row r="15" ht="15.0" customHeight="1">
      <c r="A15" s="13">
        <v>14.0</v>
      </c>
      <c r="B15" s="8" t="s">
        <v>42</v>
      </c>
      <c r="C15" s="14" t="s">
        <v>197</v>
      </c>
      <c r="D15" s="14" t="s">
        <v>198</v>
      </c>
      <c r="E15" s="14" t="s">
        <v>199</v>
      </c>
      <c r="F15" s="14" t="s">
        <v>200</v>
      </c>
      <c r="G15" s="14" t="s">
        <v>201</v>
      </c>
      <c r="H15" s="14" t="s">
        <v>202</v>
      </c>
      <c r="I15" s="14" t="s">
        <v>203</v>
      </c>
      <c r="J15" s="14" t="s">
        <v>204</v>
      </c>
      <c r="K15" s="14" t="s">
        <v>205</v>
      </c>
      <c r="L15" s="14" t="s">
        <v>206</v>
      </c>
      <c r="M15" s="14">
        <v>1.0</v>
      </c>
      <c r="N15" s="14">
        <v>0.0</v>
      </c>
      <c r="O15" s="14">
        <v>0.07657657657657657</v>
      </c>
      <c r="P15" s="14">
        <v>3.0</v>
      </c>
      <c r="Q15" s="14">
        <v>10.0</v>
      </c>
      <c r="R15" s="14" t="s">
        <v>53</v>
      </c>
      <c r="S15" s="14">
        <v>0.0</v>
      </c>
      <c r="T15" s="14" t="s">
        <v>53</v>
      </c>
      <c r="U15" s="14">
        <v>0.0</v>
      </c>
      <c r="V15" s="14">
        <v>0.0</v>
      </c>
      <c r="W15" s="14">
        <v>0.0</v>
      </c>
      <c r="X15" s="14" t="s">
        <v>53</v>
      </c>
      <c r="Y15" s="14">
        <v>0.0</v>
      </c>
      <c r="Z15" s="14" t="s">
        <v>53</v>
      </c>
      <c r="AA15" s="14" t="s">
        <v>207</v>
      </c>
      <c r="AB15" s="15" t="s">
        <v>208</v>
      </c>
      <c r="AC15" s="15" t="b">
        <v>1</v>
      </c>
      <c r="AD15" s="16" t="s">
        <v>77</v>
      </c>
      <c r="AE15" s="16" t="s">
        <v>57</v>
      </c>
      <c r="AF15" s="16">
        <v>0.0</v>
      </c>
      <c r="AG15" s="16" t="s">
        <v>78</v>
      </c>
      <c r="AH15" s="16" t="s">
        <v>162</v>
      </c>
      <c r="AI15" s="16" t="s">
        <v>59</v>
      </c>
      <c r="AJ15" s="16" t="s">
        <v>209</v>
      </c>
      <c r="AK15" s="16" t="s">
        <v>61</v>
      </c>
      <c r="AL15" s="16" t="s">
        <v>62</v>
      </c>
      <c r="AM15" s="16" t="s">
        <v>63</v>
      </c>
      <c r="AN15" s="16" t="s">
        <v>164</v>
      </c>
      <c r="AO15" s="16" t="s">
        <v>65</v>
      </c>
      <c r="AP15" s="18"/>
      <c r="AQ15" s="19"/>
    </row>
    <row r="16" ht="15.0" customHeight="1">
      <c r="A16" s="20">
        <v>15.0</v>
      </c>
      <c r="B16" s="8" t="s">
        <v>66</v>
      </c>
      <c r="C16" s="21" t="s">
        <v>197</v>
      </c>
      <c r="D16" s="21" t="s">
        <v>210</v>
      </c>
      <c r="E16" s="21" t="s">
        <v>211</v>
      </c>
      <c r="F16" s="21" t="s">
        <v>200</v>
      </c>
      <c r="G16" s="21" t="s">
        <v>212</v>
      </c>
      <c r="H16" s="22" t="s">
        <v>213</v>
      </c>
      <c r="I16" s="21" t="s">
        <v>214</v>
      </c>
      <c r="J16" s="21" t="s">
        <v>215</v>
      </c>
      <c r="K16" s="21" t="s">
        <v>216</v>
      </c>
      <c r="L16" s="21" t="s">
        <v>217</v>
      </c>
      <c r="M16" s="21">
        <v>0.8</v>
      </c>
      <c r="N16" s="21">
        <v>0.42857142857142855</v>
      </c>
      <c r="O16" s="21">
        <v>0.3184931506849315</v>
      </c>
      <c r="P16" s="21">
        <v>0.0</v>
      </c>
      <c r="Q16" s="21">
        <v>11.0</v>
      </c>
      <c r="R16" s="21" t="s">
        <v>218</v>
      </c>
      <c r="S16" s="21">
        <v>1.0</v>
      </c>
      <c r="T16" s="21" t="s">
        <v>218</v>
      </c>
      <c r="U16" s="21">
        <v>0.0</v>
      </c>
      <c r="V16" s="21">
        <v>0.0</v>
      </c>
      <c r="W16" s="21">
        <v>1.0</v>
      </c>
      <c r="X16" s="21" t="s">
        <v>219</v>
      </c>
      <c r="Y16" s="21">
        <v>0.0</v>
      </c>
      <c r="Z16" s="21" t="s">
        <v>53</v>
      </c>
      <c r="AA16" s="21" t="s">
        <v>220</v>
      </c>
      <c r="AB16" s="23" t="s">
        <v>208</v>
      </c>
      <c r="AC16" s="23" t="b">
        <v>1</v>
      </c>
      <c r="AD16" s="24"/>
      <c r="AE16" s="24"/>
      <c r="AF16" s="25"/>
      <c r="AG16" s="25"/>
      <c r="AH16" s="24"/>
      <c r="AI16" s="24"/>
      <c r="AJ16" s="24"/>
      <c r="AK16" s="24"/>
      <c r="AL16" s="24"/>
      <c r="AM16" s="29"/>
      <c r="AN16" s="27"/>
      <c r="AO16" s="27"/>
      <c r="AP16" s="27"/>
      <c r="AQ16" s="28"/>
    </row>
    <row r="17" ht="15.0" customHeight="1">
      <c r="A17" s="20">
        <v>16.0</v>
      </c>
      <c r="B17" s="8" t="s">
        <v>66</v>
      </c>
      <c r="C17" s="21" t="s">
        <v>197</v>
      </c>
      <c r="D17" s="21" t="s">
        <v>221</v>
      </c>
      <c r="E17" s="21" t="s">
        <v>222</v>
      </c>
      <c r="F17" s="21" t="s">
        <v>200</v>
      </c>
      <c r="G17" s="21" t="s">
        <v>212</v>
      </c>
      <c r="H17" s="22" t="s">
        <v>223</v>
      </c>
      <c r="I17" s="21" t="s">
        <v>224</v>
      </c>
      <c r="J17" s="21" t="s">
        <v>225</v>
      </c>
      <c r="K17" s="21" t="s">
        <v>226</v>
      </c>
      <c r="L17" s="21" t="s">
        <v>227</v>
      </c>
      <c r="M17" s="21">
        <v>0.8</v>
      </c>
      <c r="N17" s="21">
        <v>0.2</v>
      </c>
      <c r="O17" s="21">
        <v>0.3761755485893417</v>
      </c>
      <c r="P17" s="21">
        <v>0.0</v>
      </c>
      <c r="Q17" s="21">
        <v>11.0</v>
      </c>
      <c r="R17" s="21" t="s">
        <v>218</v>
      </c>
      <c r="S17" s="21">
        <v>1.0</v>
      </c>
      <c r="T17" s="21" t="s">
        <v>218</v>
      </c>
      <c r="U17" s="21">
        <v>0.0</v>
      </c>
      <c r="V17" s="21">
        <v>0.0</v>
      </c>
      <c r="W17" s="21">
        <v>0.0</v>
      </c>
      <c r="X17" s="21" t="s">
        <v>53</v>
      </c>
      <c r="Y17" s="21">
        <v>0.0</v>
      </c>
      <c r="Z17" s="21" t="s">
        <v>53</v>
      </c>
      <c r="AA17" s="21" t="s">
        <v>228</v>
      </c>
      <c r="AB17" s="23" t="s">
        <v>208</v>
      </c>
      <c r="AC17" s="23" t="b">
        <v>1</v>
      </c>
      <c r="AD17" s="21"/>
      <c r="AE17" s="21"/>
      <c r="AF17" s="21"/>
      <c r="AG17" s="21"/>
      <c r="AH17" s="21"/>
      <c r="AI17" s="21"/>
      <c r="AJ17" s="21"/>
      <c r="AK17" s="21"/>
      <c r="AL17" s="21"/>
      <c r="AM17" s="21"/>
      <c r="AN17" s="23"/>
      <c r="AO17" s="23"/>
      <c r="AP17" s="23"/>
      <c r="AQ17" s="35"/>
    </row>
    <row r="18" ht="15.0" customHeight="1">
      <c r="A18" s="20">
        <v>17.0</v>
      </c>
      <c r="B18" s="8" t="s">
        <v>66</v>
      </c>
      <c r="C18" s="21" t="s">
        <v>229</v>
      </c>
      <c r="D18" s="21" t="s">
        <v>230</v>
      </c>
      <c r="E18" s="21" t="s">
        <v>231</v>
      </c>
      <c r="F18" s="21" t="s">
        <v>232</v>
      </c>
      <c r="G18" s="21" t="s">
        <v>233</v>
      </c>
      <c r="H18" s="22" t="s">
        <v>234</v>
      </c>
      <c r="I18" s="21" t="s">
        <v>235</v>
      </c>
      <c r="J18" s="21" t="s">
        <v>236</v>
      </c>
      <c r="K18" s="21" t="s">
        <v>237</v>
      </c>
      <c r="L18" s="21" t="s">
        <v>238</v>
      </c>
      <c r="M18" s="21">
        <v>1.0</v>
      </c>
      <c r="N18" s="21">
        <v>0.25</v>
      </c>
      <c r="O18" s="21">
        <v>0.4477124183006536</v>
      </c>
      <c r="P18" s="21">
        <v>12.0</v>
      </c>
      <c r="Q18" s="21">
        <v>15.0</v>
      </c>
      <c r="R18" s="21" t="s">
        <v>53</v>
      </c>
      <c r="S18" s="21">
        <v>0.0</v>
      </c>
      <c r="T18" s="21" t="s">
        <v>53</v>
      </c>
      <c r="U18" s="21">
        <v>0.0</v>
      </c>
      <c r="V18" s="21">
        <v>0.0</v>
      </c>
      <c r="W18" s="21">
        <v>1.0</v>
      </c>
      <c r="X18" s="21" t="s">
        <v>239</v>
      </c>
      <c r="Y18" s="21">
        <v>0.0</v>
      </c>
      <c r="Z18" s="21" t="s">
        <v>53</v>
      </c>
      <c r="AA18" s="21" t="s">
        <v>240</v>
      </c>
      <c r="AB18" s="23" t="s">
        <v>241</v>
      </c>
      <c r="AC18" s="23" t="b">
        <v>1</v>
      </c>
      <c r="AD18" s="21"/>
      <c r="AE18" s="21"/>
      <c r="AF18" s="21"/>
      <c r="AG18" s="21"/>
      <c r="AH18" s="21"/>
      <c r="AI18" s="21"/>
      <c r="AJ18" s="21"/>
      <c r="AK18" s="21"/>
      <c r="AL18" s="21"/>
      <c r="AM18" s="21"/>
      <c r="AN18" s="23"/>
      <c r="AO18" s="23"/>
      <c r="AP18" s="23"/>
      <c r="AQ18" s="36"/>
    </row>
    <row r="19" ht="15.0" customHeight="1">
      <c r="A19" s="13">
        <v>18.0</v>
      </c>
      <c r="B19" s="8" t="s">
        <v>42</v>
      </c>
      <c r="C19" s="14" t="s">
        <v>229</v>
      </c>
      <c r="D19" s="14" t="s">
        <v>230</v>
      </c>
      <c r="E19" s="14" t="s">
        <v>231</v>
      </c>
      <c r="F19" s="14" t="s">
        <v>242</v>
      </c>
      <c r="G19" s="14" t="s">
        <v>243</v>
      </c>
      <c r="H19" s="14" t="s">
        <v>244</v>
      </c>
      <c r="I19" s="14" t="s">
        <v>245</v>
      </c>
      <c r="J19" s="14" t="s">
        <v>246</v>
      </c>
      <c r="K19" s="14" t="s">
        <v>247</v>
      </c>
      <c r="L19" s="14" t="s">
        <v>248</v>
      </c>
      <c r="M19" s="14">
        <v>1.0</v>
      </c>
      <c r="N19" s="14">
        <v>0.3333333333333333</v>
      </c>
      <c r="O19" s="14">
        <v>0.41237113402061853</v>
      </c>
      <c r="P19" s="14">
        <v>8.0</v>
      </c>
      <c r="Q19" s="14">
        <v>15.0</v>
      </c>
      <c r="R19" s="14" t="s">
        <v>53</v>
      </c>
      <c r="S19" s="14">
        <v>0.0</v>
      </c>
      <c r="T19" s="14" t="s">
        <v>53</v>
      </c>
      <c r="U19" s="14">
        <v>0.0</v>
      </c>
      <c r="V19" s="14">
        <v>0.0</v>
      </c>
      <c r="W19" s="14">
        <v>1.0</v>
      </c>
      <c r="X19" s="14" t="s">
        <v>185</v>
      </c>
      <c r="Y19" s="14">
        <v>0.0</v>
      </c>
      <c r="Z19" s="14" t="s">
        <v>53</v>
      </c>
      <c r="AA19" s="14" t="s">
        <v>240</v>
      </c>
      <c r="AB19" s="15" t="s">
        <v>241</v>
      </c>
      <c r="AC19" s="15" t="b">
        <v>1</v>
      </c>
      <c r="AD19" s="37" t="s">
        <v>57</v>
      </c>
      <c r="AE19" s="37" t="s">
        <v>57</v>
      </c>
      <c r="AF19" s="37">
        <v>0.0</v>
      </c>
      <c r="AG19" s="37" t="s">
        <v>78</v>
      </c>
      <c r="AH19" s="38" t="s">
        <v>162</v>
      </c>
      <c r="AI19" s="37" t="s">
        <v>59</v>
      </c>
      <c r="AJ19" s="37" t="s">
        <v>209</v>
      </c>
      <c r="AK19" s="37" t="s">
        <v>249</v>
      </c>
      <c r="AL19" s="37" t="s">
        <v>62</v>
      </c>
      <c r="AM19" s="37" t="s">
        <v>250</v>
      </c>
      <c r="AN19" s="37" t="s">
        <v>164</v>
      </c>
      <c r="AO19" s="37" t="s">
        <v>65</v>
      </c>
      <c r="AP19" s="15"/>
      <c r="AQ19" s="14"/>
    </row>
    <row r="20" ht="15.0" customHeight="1">
      <c r="A20" s="20">
        <v>19.0</v>
      </c>
      <c r="B20" s="8" t="s">
        <v>66</v>
      </c>
      <c r="C20" s="21" t="s">
        <v>229</v>
      </c>
      <c r="D20" s="21" t="s">
        <v>230</v>
      </c>
      <c r="E20" s="21" t="s">
        <v>231</v>
      </c>
      <c r="F20" s="21" t="s">
        <v>178</v>
      </c>
      <c r="G20" s="21" t="s">
        <v>179</v>
      </c>
      <c r="H20" s="22" t="s">
        <v>251</v>
      </c>
      <c r="I20" s="21" t="s">
        <v>252</v>
      </c>
      <c r="J20" s="21" t="s">
        <v>253</v>
      </c>
      <c r="K20" s="21" t="s">
        <v>254</v>
      </c>
      <c r="L20" s="21" t="s">
        <v>255</v>
      </c>
      <c r="M20" s="21">
        <v>1.0</v>
      </c>
      <c r="N20" s="21">
        <v>0.2</v>
      </c>
      <c r="O20" s="21">
        <v>0.5348314606741573</v>
      </c>
      <c r="P20" s="21">
        <v>0.0</v>
      </c>
      <c r="Q20" s="21">
        <v>15.0</v>
      </c>
      <c r="R20" s="21" t="s">
        <v>53</v>
      </c>
      <c r="S20" s="21">
        <v>0.0</v>
      </c>
      <c r="T20" s="21" t="s">
        <v>53</v>
      </c>
      <c r="U20" s="21">
        <v>0.0</v>
      </c>
      <c r="V20" s="21">
        <v>0.0</v>
      </c>
      <c r="W20" s="21">
        <v>1.0</v>
      </c>
      <c r="X20" s="21" t="s">
        <v>185</v>
      </c>
      <c r="Y20" s="21">
        <v>0.0</v>
      </c>
      <c r="Z20" s="21" t="s">
        <v>53</v>
      </c>
      <c r="AA20" s="21" t="s">
        <v>240</v>
      </c>
      <c r="AB20" s="23" t="s">
        <v>241</v>
      </c>
      <c r="AC20" s="23" t="b">
        <v>1</v>
      </c>
      <c r="AD20" s="21"/>
      <c r="AE20" s="21"/>
      <c r="AF20" s="21"/>
      <c r="AG20" s="21"/>
      <c r="AH20" s="21"/>
      <c r="AI20" s="21"/>
      <c r="AJ20" s="21"/>
      <c r="AK20" s="21"/>
      <c r="AL20" s="21"/>
      <c r="AM20" s="21"/>
      <c r="AN20" s="23"/>
      <c r="AO20" s="23"/>
      <c r="AP20" s="23"/>
      <c r="AQ20" s="39"/>
    </row>
    <row r="21" ht="15.0" customHeight="1">
      <c r="A21" s="20">
        <v>20.0</v>
      </c>
      <c r="B21" s="8" t="s">
        <v>66</v>
      </c>
      <c r="C21" s="21" t="s">
        <v>229</v>
      </c>
      <c r="D21" s="21" t="s">
        <v>230</v>
      </c>
      <c r="E21" s="21" t="s">
        <v>231</v>
      </c>
      <c r="F21" s="21" t="s">
        <v>178</v>
      </c>
      <c r="G21" s="21" t="s">
        <v>179</v>
      </c>
      <c r="H21" s="22" t="s">
        <v>256</v>
      </c>
      <c r="I21" s="21" t="s">
        <v>257</v>
      </c>
      <c r="J21" s="21" t="s">
        <v>182</v>
      </c>
      <c r="K21" s="21" t="s">
        <v>258</v>
      </c>
      <c r="L21" s="21" t="s">
        <v>259</v>
      </c>
      <c r="M21" s="21">
        <v>1.0</v>
      </c>
      <c r="N21" s="21">
        <v>0.5</v>
      </c>
      <c r="O21" s="21">
        <v>0.583916083916084</v>
      </c>
      <c r="P21" s="21">
        <v>0.0</v>
      </c>
      <c r="Q21" s="21">
        <v>15.0</v>
      </c>
      <c r="R21" s="21" t="s">
        <v>53</v>
      </c>
      <c r="S21" s="21">
        <v>0.0</v>
      </c>
      <c r="T21" s="21" t="s">
        <v>53</v>
      </c>
      <c r="U21" s="21">
        <v>0.0</v>
      </c>
      <c r="V21" s="21">
        <v>0.0</v>
      </c>
      <c r="W21" s="21">
        <v>0.0</v>
      </c>
      <c r="X21" s="21" t="s">
        <v>53</v>
      </c>
      <c r="Y21" s="21">
        <v>1.0</v>
      </c>
      <c r="Z21" s="21" t="s">
        <v>185</v>
      </c>
      <c r="AA21" s="21" t="s">
        <v>240</v>
      </c>
      <c r="AB21" s="23" t="s">
        <v>241</v>
      </c>
      <c r="AC21" s="23" t="b">
        <v>1</v>
      </c>
      <c r="AD21" s="21"/>
      <c r="AE21" s="21"/>
      <c r="AF21" s="21"/>
      <c r="AG21" s="21"/>
      <c r="AH21" s="21"/>
      <c r="AI21" s="21"/>
      <c r="AJ21" s="21"/>
      <c r="AK21" s="21"/>
      <c r="AL21" s="21"/>
      <c r="AM21" s="21"/>
      <c r="AN21" s="23"/>
      <c r="AO21" s="23"/>
      <c r="AP21" s="23"/>
      <c r="AQ21" s="39"/>
    </row>
    <row r="22" ht="15.0" customHeight="1">
      <c r="A22" s="7">
        <v>21.0</v>
      </c>
      <c r="B22" s="8" t="s">
        <v>42</v>
      </c>
      <c r="C22" s="9" t="s">
        <v>260</v>
      </c>
      <c r="D22" s="9" t="s">
        <v>261</v>
      </c>
      <c r="E22" s="9" t="s">
        <v>262</v>
      </c>
      <c r="F22" s="9" t="s">
        <v>263</v>
      </c>
      <c r="G22" s="9" t="s">
        <v>264</v>
      </c>
      <c r="H22" s="9" t="s">
        <v>265</v>
      </c>
      <c r="I22" s="9" t="s">
        <v>266</v>
      </c>
      <c r="J22" s="9" t="s">
        <v>267</v>
      </c>
      <c r="K22" s="9" t="s">
        <v>268</v>
      </c>
      <c r="L22" s="9" t="s">
        <v>269</v>
      </c>
      <c r="M22" s="9">
        <v>1.0</v>
      </c>
      <c r="N22" s="9">
        <v>0.0</v>
      </c>
      <c r="O22" s="9">
        <v>0.21158129175946547</v>
      </c>
      <c r="P22" s="9">
        <v>0.0</v>
      </c>
      <c r="Q22" s="9">
        <v>9.0</v>
      </c>
      <c r="R22" s="9" t="s">
        <v>270</v>
      </c>
      <c r="S22" s="9">
        <v>0.0</v>
      </c>
      <c r="T22" s="9" t="s">
        <v>53</v>
      </c>
      <c r="U22" s="9">
        <v>0.0</v>
      </c>
      <c r="V22" s="9">
        <v>0.0</v>
      </c>
      <c r="W22" s="9">
        <v>0.0</v>
      </c>
      <c r="X22" s="9" t="s">
        <v>53</v>
      </c>
      <c r="Y22" s="9">
        <v>0.0</v>
      </c>
      <c r="Z22" s="9" t="s">
        <v>53</v>
      </c>
      <c r="AA22" s="9" t="s">
        <v>271</v>
      </c>
      <c r="AB22" s="10" t="s">
        <v>272</v>
      </c>
      <c r="AC22" s="10" t="b">
        <v>1</v>
      </c>
      <c r="AD22" s="40" t="s">
        <v>56</v>
      </c>
      <c r="AE22" s="40" t="s">
        <v>56</v>
      </c>
      <c r="AF22" s="40">
        <v>1.0</v>
      </c>
      <c r="AG22" s="40"/>
      <c r="AH22" s="40" t="s">
        <v>162</v>
      </c>
      <c r="AI22" s="40" t="s">
        <v>163</v>
      </c>
      <c r="AJ22" s="40" t="s">
        <v>60</v>
      </c>
      <c r="AK22" s="40" t="s">
        <v>61</v>
      </c>
      <c r="AL22" s="40" t="s">
        <v>62</v>
      </c>
      <c r="AM22" s="40" t="s">
        <v>63</v>
      </c>
      <c r="AN22" s="40" t="s">
        <v>164</v>
      </c>
      <c r="AO22" s="40" t="s">
        <v>65</v>
      </c>
      <c r="AP22" s="10"/>
      <c r="AQ22" s="9"/>
    </row>
    <row r="23" ht="15.0" customHeight="1">
      <c r="A23" s="20">
        <v>22.0</v>
      </c>
      <c r="B23" s="8" t="s">
        <v>66</v>
      </c>
      <c r="C23" s="21" t="s">
        <v>260</v>
      </c>
      <c r="D23" s="21" t="s">
        <v>273</v>
      </c>
      <c r="E23" s="21" t="s">
        <v>261</v>
      </c>
      <c r="F23" s="21" t="s">
        <v>274</v>
      </c>
      <c r="G23" s="21" t="s">
        <v>275</v>
      </c>
      <c r="H23" s="22" t="s">
        <v>276</v>
      </c>
      <c r="I23" s="21" t="s">
        <v>277</v>
      </c>
      <c r="J23" s="21" t="s">
        <v>278</v>
      </c>
      <c r="K23" s="21" t="s">
        <v>279</v>
      </c>
      <c r="L23" s="21" t="s">
        <v>280</v>
      </c>
      <c r="M23" s="21">
        <v>1.0</v>
      </c>
      <c r="N23" s="21">
        <v>0.8571428571428571</v>
      </c>
      <c r="O23" s="21">
        <v>0.6983695652173914</v>
      </c>
      <c r="P23" s="21">
        <v>2.0</v>
      </c>
      <c r="Q23" s="21">
        <v>10.0</v>
      </c>
      <c r="R23" s="21" t="s">
        <v>53</v>
      </c>
      <c r="S23" s="21">
        <v>0.0</v>
      </c>
      <c r="T23" s="21" t="s">
        <v>53</v>
      </c>
      <c r="U23" s="21">
        <v>0.0</v>
      </c>
      <c r="V23" s="21">
        <v>0.0</v>
      </c>
      <c r="W23" s="21">
        <v>1.0</v>
      </c>
      <c r="X23" s="21" t="s">
        <v>281</v>
      </c>
      <c r="Y23" s="21">
        <v>0.0</v>
      </c>
      <c r="Z23" s="21" t="s">
        <v>53</v>
      </c>
      <c r="AA23" s="21" t="s">
        <v>282</v>
      </c>
      <c r="AB23" s="23" t="s">
        <v>272</v>
      </c>
      <c r="AC23" s="23" t="b">
        <v>1</v>
      </c>
      <c r="AD23" s="21"/>
      <c r="AE23" s="21"/>
      <c r="AF23" s="21"/>
      <c r="AG23" s="21"/>
      <c r="AH23" s="21"/>
      <c r="AI23" s="21"/>
      <c r="AJ23" s="21"/>
      <c r="AK23" s="21"/>
      <c r="AL23" s="21"/>
      <c r="AM23" s="21"/>
      <c r="AN23" s="23"/>
      <c r="AO23" s="23"/>
      <c r="AP23" s="23"/>
      <c r="AQ23" s="35"/>
    </row>
    <row r="24" ht="15.0" customHeight="1">
      <c r="A24" s="13">
        <v>23.0</v>
      </c>
      <c r="B24" s="8" t="s">
        <v>42</v>
      </c>
      <c r="C24" s="14" t="s">
        <v>260</v>
      </c>
      <c r="D24" s="14" t="s">
        <v>283</v>
      </c>
      <c r="E24" s="14" t="s">
        <v>284</v>
      </c>
      <c r="F24" s="14" t="s">
        <v>285</v>
      </c>
      <c r="G24" s="14" t="s">
        <v>286</v>
      </c>
      <c r="H24" s="14" t="s">
        <v>287</v>
      </c>
      <c r="I24" s="14" t="s">
        <v>288</v>
      </c>
      <c r="J24" s="14" t="s">
        <v>289</v>
      </c>
      <c r="K24" s="14" t="s">
        <v>290</v>
      </c>
      <c r="L24" s="14" t="s">
        <v>291</v>
      </c>
      <c r="M24" s="14">
        <v>1.0</v>
      </c>
      <c r="N24" s="14">
        <v>0.0</v>
      </c>
      <c r="O24" s="14">
        <v>0.10810810810810811</v>
      </c>
      <c r="P24" s="14">
        <v>0.0</v>
      </c>
      <c r="Q24" s="14">
        <v>19.0</v>
      </c>
      <c r="R24" s="14" t="s">
        <v>270</v>
      </c>
      <c r="S24" s="14">
        <v>0.0</v>
      </c>
      <c r="T24" s="14" t="s">
        <v>53</v>
      </c>
      <c r="U24" s="14">
        <v>0.0</v>
      </c>
      <c r="V24" s="14">
        <v>0.0</v>
      </c>
      <c r="W24" s="14">
        <v>0.0</v>
      </c>
      <c r="X24" s="14" t="s">
        <v>53</v>
      </c>
      <c r="Y24" s="14">
        <v>0.0</v>
      </c>
      <c r="Z24" s="14" t="s">
        <v>53</v>
      </c>
      <c r="AA24" s="14" t="s">
        <v>292</v>
      </c>
      <c r="AB24" s="15" t="s">
        <v>293</v>
      </c>
      <c r="AC24" s="15" t="b">
        <v>1</v>
      </c>
      <c r="AD24" s="37" t="s">
        <v>294</v>
      </c>
      <c r="AE24" s="37" t="s">
        <v>57</v>
      </c>
      <c r="AF24" s="37">
        <v>0.5</v>
      </c>
      <c r="AG24" s="37" t="s">
        <v>78</v>
      </c>
      <c r="AH24" s="37" t="s">
        <v>162</v>
      </c>
      <c r="AI24" s="37" t="s">
        <v>163</v>
      </c>
      <c r="AJ24" s="37" t="s">
        <v>60</v>
      </c>
      <c r="AK24" s="37" t="s">
        <v>61</v>
      </c>
      <c r="AL24" s="37" t="s">
        <v>62</v>
      </c>
      <c r="AM24" s="37" t="s">
        <v>63</v>
      </c>
      <c r="AN24" s="37" t="s">
        <v>164</v>
      </c>
      <c r="AO24" s="37" t="s">
        <v>295</v>
      </c>
      <c r="AP24" s="15"/>
      <c r="AQ24" s="14"/>
    </row>
    <row r="25" ht="15.0" customHeight="1">
      <c r="A25" s="20">
        <v>24.0</v>
      </c>
      <c r="B25" s="8" t="s">
        <v>66</v>
      </c>
      <c r="C25" s="21" t="s">
        <v>296</v>
      </c>
      <c r="D25" s="21" t="s">
        <v>297</v>
      </c>
      <c r="E25" s="21" t="s">
        <v>298</v>
      </c>
      <c r="F25" s="21" t="s">
        <v>299</v>
      </c>
      <c r="G25" s="21" t="s">
        <v>300</v>
      </c>
      <c r="H25" s="22" t="s">
        <v>301</v>
      </c>
      <c r="I25" s="21" t="s">
        <v>302</v>
      </c>
      <c r="J25" s="21" t="s">
        <v>303</v>
      </c>
      <c r="K25" s="21" t="s">
        <v>304</v>
      </c>
      <c r="L25" s="21" t="s">
        <v>305</v>
      </c>
      <c r="M25" s="21">
        <v>0.8333333333333334</v>
      </c>
      <c r="N25" s="21">
        <v>0.3333333333333333</v>
      </c>
      <c r="O25" s="21">
        <v>0.3317757009345794</v>
      </c>
      <c r="P25" s="21">
        <v>7.0</v>
      </c>
      <c r="Q25" s="21">
        <v>9.0</v>
      </c>
      <c r="R25" s="21" t="s">
        <v>306</v>
      </c>
      <c r="S25" s="21">
        <v>1.0</v>
      </c>
      <c r="T25" s="21" t="s">
        <v>307</v>
      </c>
      <c r="U25" s="21">
        <v>0.0</v>
      </c>
      <c r="V25" s="21">
        <v>0.0</v>
      </c>
      <c r="W25" s="21">
        <v>0.0</v>
      </c>
      <c r="X25" s="21" t="s">
        <v>53</v>
      </c>
      <c r="Y25" s="21">
        <v>0.0</v>
      </c>
      <c r="Z25" s="21" t="s">
        <v>53</v>
      </c>
      <c r="AA25" s="21" t="s">
        <v>308</v>
      </c>
      <c r="AB25" s="23" t="s">
        <v>293</v>
      </c>
      <c r="AC25" s="23" t="b">
        <v>1</v>
      </c>
      <c r="AD25" s="21"/>
      <c r="AE25" s="21"/>
      <c r="AF25" s="21"/>
      <c r="AG25" s="21"/>
      <c r="AH25" s="21"/>
      <c r="AI25" s="21"/>
      <c r="AJ25" s="21"/>
      <c r="AK25" s="21"/>
      <c r="AL25" s="21"/>
      <c r="AM25" s="21"/>
      <c r="AN25" s="23"/>
      <c r="AO25" s="23"/>
      <c r="AP25" s="23"/>
      <c r="AQ25" s="35"/>
    </row>
    <row r="26" ht="15.0" customHeight="1">
      <c r="A26" s="20">
        <v>25.0</v>
      </c>
      <c r="B26" s="8" t="s">
        <v>66</v>
      </c>
      <c r="C26" s="21" t="s">
        <v>296</v>
      </c>
      <c r="D26" s="21" t="s">
        <v>297</v>
      </c>
      <c r="E26" s="21" t="s">
        <v>298</v>
      </c>
      <c r="F26" s="21" t="s">
        <v>299</v>
      </c>
      <c r="G26" s="21" t="s">
        <v>300</v>
      </c>
      <c r="H26" s="22" t="s">
        <v>309</v>
      </c>
      <c r="I26" s="21" t="s">
        <v>310</v>
      </c>
      <c r="J26" s="21" t="s">
        <v>311</v>
      </c>
      <c r="K26" s="21" t="s">
        <v>312</v>
      </c>
      <c r="L26" s="21" t="s">
        <v>313</v>
      </c>
      <c r="M26" s="21">
        <v>1.0</v>
      </c>
      <c r="N26" s="21">
        <v>0.0</v>
      </c>
      <c r="O26" s="21">
        <v>0.3222748815165877</v>
      </c>
      <c r="P26" s="21">
        <v>0.0</v>
      </c>
      <c r="Q26" s="21">
        <v>9.0</v>
      </c>
      <c r="R26" s="21" t="s">
        <v>314</v>
      </c>
      <c r="S26" s="21">
        <v>0.0</v>
      </c>
      <c r="T26" s="21" t="s">
        <v>53</v>
      </c>
      <c r="U26" s="21">
        <v>0.0</v>
      </c>
      <c r="V26" s="21">
        <v>0.0</v>
      </c>
      <c r="W26" s="21">
        <v>0.0</v>
      </c>
      <c r="X26" s="21" t="s">
        <v>53</v>
      </c>
      <c r="Y26" s="21">
        <v>0.0</v>
      </c>
      <c r="Z26" s="21" t="s">
        <v>53</v>
      </c>
      <c r="AA26" s="21" t="s">
        <v>308</v>
      </c>
      <c r="AB26" s="23" t="s">
        <v>293</v>
      </c>
      <c r="AC26" s="23" t="b">
        <v>1</v>
      </c>
      <c r="AD26" s="21"/>
      <c r="AE26" s="21"/>
      <c r="AF26" s="21"/>
      <c r="AG26" s="21"/>
      <c r="AH26" s="21"/>
      <c r="AI26" s="21"/>
      <c r="AJ26" s="21"/>
      <c r="AK26" s="21"/>
      <c r="AL26" s="21"/>
      <c r="AM26" s="21"/>
      <c r="AN26" s="23"/>
      <c r="AO26" s="23"/>
      <c r="AP26" s="23"/>
      <c r="AQ26" s="35"/>
    </row>
    <row r="27" ht="15.0" customHeight="1">
      <c r="A27" s="20">
        <v>26.0</v>
      </c>
      <c r="B27" s="8" t="s">
        <v>66</v>
      </c>
      <c r="C27" s="21" t="s">
        <v>296</v>
      </c>
      <c r="D27" s="21" t="s">
        <v>297</v>
      </c>
      <c r="E27" s="21" t="s">
        <v>298</v>
      </c>
      <c r="F27" s="21" t="s">
        <v>299</v>
      </c>
      <c r="G27" s="21" t="s">
        <v>300</v>
      </c>
      <c r="H27" s="22" t="s">
        <v>315</v>
      </c>
      <c r="I27" s="21" t="s">
        <v>316</v>
      </c>
      <c r="J27" s="21" t="s">
        <v>317</v>
      </c>
      <c r="K27" s="21" t="s">
        <v>318</v>
      </c>
      <c r="L27" s="21" t="s">
        <v>319</v>
      </c>
      <c r="M27" s="21">
        <v>0.8</v>
      </c>
      <c r="N27" s="21">
        <v>0.3333333333333333</v>
      </c>
      <c r="O27" s="21">
        <v>0.6066350710900474</v>
      </c>
      <c r="P27" s="21">
        <v>0.0</v>
      </c>
      <c r="Q27" s="21">
        <v>9.0</v>
      </c>
      <c r="R27" s="21" t="s">
        <v>314</v>
      </c>
      <c r="S27" s="21">
        <v>0.0</v>
      </c>
      <c r="T27" s="21" t="s">
        <v>53</v>
      </c>
      <c r="U27" s="21">
        <v>1.0</v>
      </c>
      <c r="V27" s="21">
        <v>1.0</v>
      </c>
      <c r="W27" s="21">
        <v>0.0</v>
      </c>
      <c r="X27" s="21" t="s">
        <v>53</v>
      </c>
      <c r="Y27" s="21">
        <v>0.0</v>
      </c>
      <c r="Z27" s="21" t="s">
        <v>53</v>
      </c>
      <c r="AA27" s="21" t="s">
        <v>308</v>
      </c>
      <c r="AB27" s="23" t="s">
        <v>293</v>
      </c>
      <c r="AC27" s="23" t="b">
        <v>1</v>
      </c>
      <c r="AD27" s="21"/>
      <c r="AE27" s="21"/>
      <c r="AF27" s="21"/>
      <c r="AG27" s="21"/>
      <c r="AH27" s="21"/>
      <c r="AI27" s="21"/>
      <c r="AJ27" s="21"/>
      <c r="AK27" s="21"/>
      <c r="AL27" s="21"/>
      <c r="AM27" s="21"/>
      <c r="AN27" s="23"/>
      <c r="AO27" s="23"/>
      <c r="AP27" s="23"/>
      <c r="AQ27" s="35"/>
    </row>
    <row r="28" ht="15.0" customHeight="1">
      <c r="A28" s="20">
        <v>27.0</v>
      </c>
      <c r="B28" s="8" t="s">
        <v>66</v>
      </c>
      <c r="C28" s="21" t="s">
        <v>320</v>
      </c>
      <c r="D28" s="21" t="s">
        <v>297</v>
      </c>
      <c r="E28" s="21" t="s">
        <v>298</v>
      </c>
      <c r="F28" s="21" t="s">
        <v>299</v>
      </c>
      <c r="G28" s="21" t="s">
        <v>321</v>
      </c>
      <c r="H28" s="22" t="s">
        <v>322</v>
      </c>
      <c r="I28" s="21" t="s">
        <v>323</v>
      </c>
      <c r="J28" s="21" t="s">
        <v>324</v>
      </c>
      <c r="K28" s="21" t="s">
        <v>325</v>
      </c>
      <c r="L28" s="21" t="s">
        <v>305</v>
      </c>
      <c r="M28" s="21">
        <v>0.8333333333333334</v>
      </c>
      <c r="N28" s="21">
        <v>0.3333333333333333</v>
      </c>
      <c r="O28" s="21">
        <v>0.34085778781038373</v>
      </c>
      <c r="P28" s="21">
        <v>8.0</v>
      </c>
      <c r="Q28" s="21">
        <v>13.0</v>
      </c>
      <c r="R28" s="21" t="s">
        <v>326</v>
      </c>
      <c r="S28" s="21">
        <v>1.0</v>
      </c>
      <c r="T28" s="21" t="s">
        <v>327</v>
      </c>
      <c r="U28" s="21">
        <v>0.0</v>
      </c>
      <c r="V28" s="21">
        <v>0.0</v>
      </c>
      <c r="W28" s="21">
        <v>0.0</v>
      </c>
      <c r="X28" s="21" t="s">
        <v>53</v>
      </c>
      <c r="Y28" s="21">
        <v>0.0</v>
      </c>
      <c r="Z28" s="21" t="s">
        <v>53</v>
      </c>
      <c r="AA28" s="21" t="s">
        <v>308</v>
      </c>
      <c r="AB28" s="23" t="s">
        <v>293</v>
      </c>
      <c r="AC28" s="23" t="b">
        <v>1</v>
      </c>
      <c r="AD28" s="21"/>
      <c r="AE28" s="21"/>
      <c r="AF28" s="21"/>
      <c r="AG28" s="21"/>
      <c r="AH28" s="21"/>
      <c r="AI28" s="21"/>
      <c r="AJ28" s="21"/>
      <c r="AK28" s="21"/>
      <c r="AL28" s="21"/>
      <c r="AM28" s="21"/>
      <c r="AN28" s="23"/>
      <c r="AO28" s="23"/>
      <c r="AP28" s="23"/>
      <c r="AQ28" s="35"/>
    </row>
    <row r="29" ht="15.0" customHeight="1">
      <c r="A29" s="13">
        <v>28.0</v>
      </c>
      <c r="B29" s="8" t="s">
        <v>42</v>
      </c>
      <c r="C29" s="14" t="s">
        <v>320</v>
      </c>
      <c r="D29" s="14" t="s">
        <v>297</v>
      </c>
      <c r="E29" s="14" t="s">
        <v>298</v>
      </c>
      <c r="F29" s="14" t="s">
        <v>299</v>
      </c>
      <c r="G29" s="14" t="s">
        <v>321</v>
      </c>
      <c r="H29" s="14" t="s">
        <v>328</v>
      </c>
      <c r="I29" s="14" t="s">
        <v>329</v>
      </c>
      <c r="J29" s="14" t="s">
        <v>330</v>
      </c>
      <c r="K29" s="14" t="s">
        <v>331</v>
      </c>
      <c r="L29" s="14" t="s">
        <v>313</v>
      </c>
      <c r="M29" s="14">
        <v>1.0</v>
      </c>
      <c r="N29" s="14">
        <v>0.0</v>
      </c>
      <c r="O29" s="14">
        <v>0.345372460496614</v>
      </c>
      <c r="P29" s="14">
        <v>0.0</v>
      </c>
      <c r="Q29" s="14">
        <v>13.0</v>
      </c>
      <c r="R29" s="14" t="s">
        <v>314</v>
      </c>
      <c r="S29" s="14">
        <v>0.0</v>
      </c>
      <c r="T29" s="14" t="s">
        <v>53</v>
      </c>
      <c r="U29" s="14">
        <v>0.0</v>
      </c>
      <c r="V29" s="14">
        <v>0.0</v>
      </c>
      <c r="W29" s="14">
        <v>0.0</v>
      </c>
      <c r="X29" s="14" t="s">
        <v>53</v>
      </c>
      <c r="Y29" s="14">
        <v>0.0</v>
      </c>
      <c r="Z29" s="14" t="s">
        <v>53</v>
      </c>
      <c r="AA29" s="14" t="s">
        <v>308</v>
      </c>
      <c r="AB29" s="15" t="s">
        <v>293</v>
      </c>
      <c r="AC29" s="15" t="b">
        <v>1</v>
      </c>
      <c r="AD29" s="37" t="s">
        <v>294</v>
      </c>
      <c r="AE29" s="37" t="s">
        <v>332</v>
      </c>
      <c r="AF29" s="37">
        <v>0.33</v>
      </c>
      <c r="AG29" s="37" t="s">
        <v>78</v>
      </c>
      <c r="AH29" s="37" t="s">
        <v>162</v>
      </c>
      <c r="AI29" s="41" t="s">
        <v>163</v>
      </c>
      <c r="AJ29" s="37" t="s">
        <v>209</v>
      </c>
      <c r="AK29" s="38" t="s">
        <v>333</v>
      </c>
      <c r="AL29" s="37" t="s">
        <v>334</v>
      </c>
      <c r="AM29" s="37" t="s">
        <v>63</v>
      </c>
      <c r="AN29" s="37" t="s">
        <v>164</v>
      </c>
      <c r="AO29" s="37" t="s">
        <v>65</v>
      </c>
      <c r="AP29" s="42" t="s">
        <v>335</v>
      </c>
      <c r="AQ29" s="14"/>
    </row>
    <row r="30" ht="15.0" customHeight="1">
      <c r="A30" s="20">
        <v>29.0</v>
      </c>
      <c r="B30" s="8" t="s">
        <v>66</v>
      </c>
      <c r="C30" s="21" t="s">
        <v>320</v>
      </c>
      <c r="D30" s="21" t="s">
        <v>297</v>
      </c>
      <c r="E30" s="21" t="s">
        <v>298</v>
      </c>
      <c r="F30" s="21" t="s">
        <v>299</v>
      </c>
      <c r="G30" s="21" t="s">
        <v>321</v>
      </c>
      <c r="H30" s="22" t="s">
        <v>336</v>
      </c>
      <c r="I30" s="21" t="s">
        <v>337</v>
      </c>
      <c r="J30" s="21" t="s">
        <v>338</v>
      </c>
      <c r="K30" s="21" t="s">
        <v>339</v>
      </c>
      <c r="L30" s="21" t="s">
        <v>319</v>
      </c>
      <c r="M30" s="21">
        <v>0.8</v>
      </c>
      <c r="N30" s="21">
        <v>0.3333333333333333</v>
      </c>
      <c r="O30" s="21">
        <v>0.6252821670428894</v>
      </c>
      <c r="P30" s="21">
        <v>0.0</v>
      </c>
      <c r="Q30" s="21">
        <v>13.0</v>
      </c>
      <c r="R30" s="21" t="s">
        <v>314</v>
      </c>
      <c r="S30" s="21">
        <v>0.0</v>
      </c>
      <c r="T30" s="21" t="s">
        <v>53</v>
      </c>
      <c r="U30" s="21">
        <v>1.0</v>
      </c>
      <c r="V30" s="21">
        <v>1.0</v>
      </c>
      <c r="W30" s="21">
        <v>0.0</v>
      </c>
      <c r="X30" s="21" t="s">
        <v>53</v>
      </c>
      <c r="Y30" s="21">
        <v>0.0</v>
      </c>
      <c r="Z30" s="21" t="s">
        <v>53</v>
      </c>
      <c r="AA30" s="21" t="s">
        <v>308</v>
      </c>
      <c r="AB30" s="23" t="s">
        <v>293</v>
      </c>
      <c r="AC30" s="23" t="b">
        <v>1</v>
      </c>
      <c r="AD30" s="21"/>
      <c r="AE30" s="21"/>
      <c r="AF30" s="21"/>
      <c r="AG30" s="21"/>
      <c r="AH30" s="21"/>
      <c r="AI30" s="21"/>
      <c r="AJ30" s="21"/>
      <c r="AK30" s="21"/>
      <c r="AL30" s="21"/>
      <c r="AM30" s="21"/>
      <c r="AN30" s="23"/>
      <c r="AO30" s="23"/>
      <c r="AP30" s="23"/>
      <c r="AQ30" s="35"/>
    </row>
    <row r="31" ht="15.0" customHeight="1">
      <c r="A31" s="20">
        <v>30.0</v>
      </c>
      <c r="B31" s="8" t="s">
        <v>66</v>
      </c>
      <c r="C31" s="21" t="s">
        <v>340</v>
      </c>
      <c r="D31" s="21" t="s">
        <v>341</v>
      </c>
      <c r="E31" s="21" t="s">
        <v>342</v>
      </c>
      <c r="F31" s="21" t="s">
        <v>343</v>
      </c>
      <c r="G31" s="21" t="s">
        <v>344</v>
      </c>
      <c r="H31" s="22" t="s">
        <v>345</v>
      </c>
      <c r="I31" s="21" t="s">
        <v>346</v>
      </c>
      <c r="J31" s="21" t="s">
        <v>347</v>
      </c>
      <c r="K31" s="21" t="s">
        <v>348</v>
      </c>
      <c r="L31" s="21" t="s">
        <v>349</v>
      </c>
      <c r="M31" s="21">
        <v>1.0</v>
      </c>
      <c r="N31" s="21">
        <v>0.0</v>
      </c>
      <c r="O31" s="21">
        <v>0.041666666666666664</v>
      </c>
      <c r="P31" s="21">
        <v>2.0</v>
      </c>
      <c r="Q31" s="21">
        <v>4.0</v>
      </c>
      <c r="R31" s="21" t="s">
        <v>53</v>
      </c>
      <c r="S31" s="21">
        <v>0.0</v>
      </c>
      <c r="T31" s="21" t="s">
        <v>53</v>
      </c>
      <c r="U31" s="21">
        <v>0.0</v>
      </c>
      <c r="V31" s="21">
        <v>0.0</v>
      </c>
      <c r="W31" s="21">
        <v>0.0</v>
      </c>
      <c r="X31" s="21" t="s">
        <v>53</v>
      </c>
      <c r="Y31" s="21">
        <v>0.0</v>
      </c>
      <c r="Z31" s="21" t="s">
        <v>53</v>
      </c>
      <c r="AA31" s="21" t="s">
        <v>350</v>
      </c>
      <c r="AB31" s="23" t="s">
        <v>351</v>
      </c>
      <c r="AC31" s="23" t="b">
        <v>1</v>
      </c>
      <c r="AD31" s="21"/>
      <c r="AE31" s="21"/>
      <c r="AF31" s="21"/>
      <c r="AG31" s="21"/>
      <c r="AH31" s="21"/>
      <c r="AI31" s="21"/>
      <c r="AJ31" s="21"/>
      <c r="AK31" s="21"/>
      <c r="AL31" s="21"/>
      <c r="AM31" s="21"/>
      <c r="AN31" s="23"/>
      <c r="AO31" s="23"/>
      <c r="AP31" s="23"/>
      <c r="AQ31" s="35"/>
    </row>
    <row r="32" ht="15.0" customHeight="1">
      <c r="A32" s="20">
        <v>31.0</v>
      </c>
      <c r="B32" s="8" t="s">
        <v>66</v>
      </c>
      <c r="C32" s="21" t="s">
        <v>352</v>
      </c>
      <c r="D32" s="21" t="s">
        <v>353</v>
      </c>
      <c r="E32" s="21" t="s">
        <v>354</v>
      </c>
      <c r="F32" s="21" t="s">
        <v>355</v>
      </c>
      <c r="G32" s="21" t="s">
        <v>356</v>
      </c>
      <c r="H32" s="22" t="s">
        <v>357</v>
      </c>
      <c r="I32" s="21" t="s">
        <v>358</v>
      </c>
      <c r="J32" s="21" t="s">
        <v>359</v>
      </c>
      <c r="K32" s="21" t="s">
        <v>360</v>
      </c>
      <c r="L32" s="21" t="s">
        <v>361</v>
      </c>
      <c r="M32" s="21">
        <v>0.3333333333333333</v>
      </c>
      <c r="N32" s="21">
        <v>0.9</v>
      </c>
      <c r="O32" s="21">
        <v>0.020876826722338204</v>
      </c>
      <c r="P32" s="21">
        <v>0.0</v>
      </c>
      <c r="Q32" s="21">
        <v>13.0</v>
      </c>
      <c r="R32" s="21" t="s">
        <v>362</v>
      </c>
      <c r="S32" s="21">
        <v>1.0</v>
      </c>
      <c r="T32" s="21" t="s">
        <v>363</v>
      </c>
      <c r="U32" s="21">
        <v>1.0</v>
      </c>
      <c r="V32" s="21">
        <v>1.0</v>
      </c>
      <c r="W32" s="21">
        <v>0.0</v>
      </c>
      <c r="X32" s="21" t="s">
        <v>53</v>
      </c>
      <c r="Y32" s="21">
        <v>0.0</v>
      </c>
      <c r="Z32" s="21" t="s">
        <v>53</v>
      </c>
      <c r="AA32" s="21" t="s">
        <v>364</v>
      </c>
      <c r="AB32" s="23" t="s">
        <v>365</v>
      </c>
      <c r="AC32" s="23" t="b">
        <v>1</v>
      </c>
      <c r="AD32" s="21"/>
      <c r="AE32" s="21"/>
      <c r="AF32" s="21"/>
      <c r="AG32" s="21"/>
      <c r="AH32" s="21"/>
      <c r="AI32" s="21"/>
      <c r="AJ32" s="21"/>
      <c r="AK32" s="21"/>
      <c r="AL32" s="21"/>
      <c r="AM32" s="21"/>
      <c r="AN32" s="23"/>
      <c r="AO32" s="23"/>
      <c r="AP32" s="23"/>
      <c r="AQ32" s="35"/>
    </row>
    <row r="33" ht="15.0" customHeight="1">
      <c r="A33" s="13">
        <v>32.0</v>
      </c>
      <c r="B33" s="8" t="s">
        <v>42</v>
      </c>
      <c r="C33" s="14" t="s">
        <v>352</v>
      </c>
      <c r="D33" s="14" t="s">
        <v>353</v>
      </c>
      <c r="E33" s="14" t="s">
        <v>354</v>
      </c>
      <c r="F33" s="14" t="s">
        <v>366</v>
      </c>
      <c r="G33" s="14" t="s">
        <v>367</v>
      </c>
      <c r="H33" s="14" t="s">
        <v>368</v>
      </c>
      <c r="I33" s="14" t="s">
        <v>369</v>
      </c>
      <c r="J33" s="14" t="s">
        <v>370</v>
      </c>
      <c r="K33" s="14" t="s">
        <v>371</v>
      </c>
      <c r="L33" s="14" t="s">
        <v>372</v>
      </c>
      <c r="M33" s="14">
        <v>0.5</v>
      </c>
      <c r="N33" s="14">
        <v>0.3333333333333333</v>
      </c>
      <c r="O33" s="14">
        <v>0.01639344262295082</v>
      </c>
      <c r="P33" s="14">
        <v>0.0</v>
      </c>
      <c r="Q33" s="14">
        <v>13.0</v>
      </c>
      <c r="R33" s="14" t="s">
        <v>373</v>
      </c>
      <c r="S33" s="14">
        <v>1.0</v>
      </c>
      <c r="T33" s="14" t="s">
        <v>363</v>
      </c>
      <c r="U33" s="14">
        <v>1.0</v>
      </c>
      <c r="V33" s="14">
        <v>1.0</v>
      </c>
      <c r="W33" s="14">
        <v>0.0</v>
      </c>
      <c r="X33" s="14" t="s">
        <v>53</v>
      </c>
      <c r="Y33" s="14">
        <v>0.0</v>
      </c>
      <c r="Z33" s="14" t="s">
        <v>53</v>
      </c>
      <c r="AA33" s="14" t="s">
        <v>364</v>
      </c>
      <c r="AB33" s="15" t="s">
        <v>365</v>
      </c>
      <c r="AC33" s="15" t="b">
        <v>1</v>
      </c>
      <c r="AD33" s="37" t="s">
        <v>294</v>
      </c>
      <c r="AE33" s="37" t="s">
        <v>57</v>
      </c>
      <c r="AF33" s="37">
        <v>1.0</v>
      </c>
      <c r="AG33" s="37" t="s">
        <v>78</v>
      </c>
      <c r="AH33" s="37" t="s">
        <v>162</v>
      </c>
      <c r="AI33" s="37" t="s">
        <v>162</v>
      </c>
      <c r="AJ33" s="37" t="s">
        <v>60</v>
      </c>
      <c r="AK33" s="37" t="s">
        <v>374</v>
      </c>
      <c r="AL33" s="37" t="s">
        <v>62</v>
      </c>
      <c r="AM33" s="37" t="s">
        <v>63</v>
      </c>
      <c r="AN33" s="37" t="s">
        <v>64</v>
      </c>
      <c r="AO33" s="37" t="s">
        <v>65</v>
      </c>
      <c r="AP33" s="15"/>
      <c r="AQ33" s="14"/>
    </row>
    <row r="34" ht="15.0" customHeight="1">
      <c r="A34" s="20">
        <v>33.0</v>
      </c>
      <c r="B34" s="8" t="s">
        <v>66</v>
      </c>
      <c r="C34" s="21" t="s">
        <v>352</v>
      </c>
      <c r="D34" s="21" t="s">
        <v>353</v>
      </c>
      <c r="E34" s="21" t="s">
        <v>354</v>
      </c>
      <c r="F34" s="21" t="s">
        <v>375</v>
      </c>
      <c r="G34" s="21" t="s">
        <v>376</v>
      </c>
      <c r="H34" s="22" t="s">
        <v>377</v>
      </c>
      <c r="I34" s="21" t="s">
        <v>378</v>
      </c>
      <c r="J34" s="21" t="s">
        <v>379</v>
      </c>
      <c r="K34" s="21" t="s">
        <v>380</v>
      </c>
      <c r="L34" s="21" t="s">
        <v>381</v>
      </c>
      <c r="M34" s="21">
        <v>0.3333333333333333</v>
      </c>
      <c r="N34" s="21">
        <v>0.5</v>
      </c>
      <c r="O34" s="21">
        <v>0.017316017316017316</v>
      </c>
      <c r="P34" s="21">
        <v>0.0</v>
      </c>
      <c r="Q34" s="21">
        <v>13.0</v>
      </c>
      <c r="R34" s="21" t="s">
        <v>382</v>
      </c>
      <c r="S34" s="21">
        <v>1.0</v>
      </c>
      <c r="T34" s="21" t="s">
        <v>382</v>
      </c>
      <c r="U34" s="21">
        <v>1.0</v>
      </c>
      <c r="V34" s="21">
        <v>1.0</v>
      </c>
      <c r="W34" s="21">
        <v>0.0</v>
      </c>
      <c r="X34" s="21" t="s">
        <v>53</v>
      </c>
      <c r="Y34" s="21">
        <v>0.0</v>
      </c>
      <c r="Z34" s="21" t="s">
        <v>53</v>
      </c>
      <c r="AA34" s="21" t="s">
        <v>364</v>
      </c>
      <c r="AB34" s="23" t="s">
        <v>365</v>
      </c>
      <c r="AC34" s="23" t="b">
        <v>1</v>
      </c>
      <c r="AD34" s="21"/>
      <c r="AE34" s="21"/>
      <c r="AF34" s="21"/>
      <c r="AG34" s="21"/>
      <c r="AH34" s="21"/>
      <c r="AI34" s="21"/>
      <c r="AJ34" s="21"/>
      <c r="AK34" s="21"/>
      <c r="AL34" s="21"/>
      <c r="AM34" s="21"/>
      <c r="AN34" s="23"/>
      <c r="AO34" s="23"/>
      <c r="AP34" s="23"/>
      <c r="AQ34" s="35"/>
    </row>
    <row r="35" ht="15.0" customHeight="1">
      <c r="A35" s="20">
        <v>34.0</v>
      </c>
      <c r="B35" s="8" t="s">
        <v>66</v>
      </c>
      <c r="C35" s="21" t="s">
        <v>352</v>
      </c>
      <c r="D35" s="21" t="s">
        <v>383</v>
      </c>
      <c r="E35" s="21" t="s">
        <v>384</v>
      </c>
      <c r="F35" s="21" t="s">
        <v>385</v>
      </c>
      <c r="G35" s="21" t="s">
        <v>386</v>
      </c>
      <c r="H35" s="22" t="s">
        <v>387</v>
      </c>
      <c r="I35" s="21" t="s">
        <v>388</v>
      </c>
      <c r="J35" s="21" t="s">
        <v>389</v>
      </c>
      <c r="K35" s="21" t="s">
        <v>390</v>
      </c>
      <c r="L35" s="21" t="s">
        <v>391</v>
      </c>
      <c r="M35" s="21">
        <v>0.75</v>
      </c>
      <c r="N35" s="21">
        <v>0.2857142857142857</v>
      </c>
      <c r="O35" s="21">
        <v>0.00974025974025974</v>
      </c>
      <c r="P35" s="21">
        <v>0.0</v>
      </c>
      <c r="Q35" s="21">
        <v>16.0</v>
      </c>
      <c r="R35" s="21" t="s">
        <v>392</v>
      </c>
      <c r="S35" s="21">
        <v>1.0</v>
      </c>
      <c r="T35" s="21" t="s">
        <v>393</v>
      </c>
      <c r="U35" s="21">
        <v>0.0</v>
      </c>
      <c r="V35" s="21">
        <v>0.0</v>
      </c>
      <c r="W35" s="21">
        <v>0.0</v>
      </c>
      <c r="X35" s="21" t="s">
        <v>53</v>
      </c>
      <c r="Y35" s="21">
        <v>1.0</v>
      </c>
      <c r="Z35" s="21" t="s">
        <v>394</v>
      </c>
      <c r="AA35" s="21" t="s">
        <v>395</v>
      </c>
      <c r="AB35" s="23" t="s">
        <v>365</v>
      </c>
      <c r="AC35" s="23" t="b">
        <v>1</v>
      </c>
      <c r="AD35" s="21"/>
      <c r="AE35" s="21"/>
      <c r="AF35" s="21"/>
      <c r="AG35" s="21"/>
      <c r="AH35" s="21"/>
      <c r="AI35" s="21"/>
      <c r="AJ35" s="21"/>
      <c r="AK35" s="21"/>
      <c r="AL35" s="21"/>
      <c r="AM35" s="21"/>
      <c r="AN35" s="23"/>
      <c r="AO35" s="23"/>
      <c r="AP35" s="23"/>
      <c r="AQ35" s="35"/>
    </row>
    <row r="36" ht="15.0" customHeight="1">
      <c r="A36" s="20">
        <v>35.0</v>
      </c>
      <c r="B36" s="8" t="s">
        <v>66</v>
      </c>
      <c r="C36" s="21" t="s">
        <v>352</v>
      </c>
      <c r="D36" s="21" t="s">
        <v>396</v>
      </c>
      <c r="E36" s="21" t="s">
        <v>383</v>
      </c>
      <c r="F36" s="21" t="s">
        <v>372</v>
      </c>
      <c r="G36" s="21" t="s">
        <v>371</v>
      </c>
      <c r="H36" s="22" t="s">
        <v>397</v>
      </c>
      <c r="I36" s="21" t="s">
        <v>398</v>
      </c>
      <c r="J36" s="21" t="s">
        <v>399</v>
      </c>
      <c r="K36" s="21" t="s">
        <v>400</v>
      </c>
      <c r="L36" s="21" t="s">
        <v>401</v>
      </c>
      <c r="M36" s="21">
        <v>0.5</v>
      </c>
      <c r="N36" s="21">
        <v>0.3333333333333333</v>
      </c>
      <c r="O36" s="21">
        <v>0.012295081967213115</v>
      </c>
      <c r="P36" s="21">
        <v>0.0</v>
      </c>
      <c r="Q36" s="21">
        <v>15.0</v>
      </c>
      <c r="R36" s="21" t="s">
        <v>402</v>
      </c>
      <c r="S36" s="21">
        <v>1.0</v>
      </c>
      <c r="T36" s="21" t="s">
        <v>403</v>
      </c>
      <c r="U36" s="21">
        <v>1.0</v>
      </c>
      <c r="V36" s="21">
        <v>1.0</v>
      </c>
      <c r="W36" s="21">
        <v>0.0</v>
      </c>
      <c r="X36" s="21" t="s">
        <v>53</v>
      </c>
      <c r="Y36" s="21">
        <v>0.0</v>
      </c>
      <c r="Z36" s="21" t="s">
        <v>53</v>
      </c>
      <c r="AA36" s="21" t="s">
        <v>404</v>
      </c>
      <c r="AB36" s="23" t="s">
        <v>365</v>
      </c>
      <c r="AC36" s="23" t="b">
        <v>1</v>
      </c>
      <c r="AD36" s="21"/>
      <c r="AE36" s="21"/>
      <c r="AF36" s="21"/>
      <c r="AG36" s="21"/>
      <c r="AH36" s="21"/>
      <c r="AI36" s="21"/>
      <c r="AJ36" s="21"/>
      <c r="AK36" s="21"/>
      <c r="AL36" s="21"/>
      <c r="AM36" s="21"/>
      <c r="AN36" s="23"/>
      <c r="AO36" s="23"/>
      <c r="AP36" s="23"/>
      <c r="AQ36" s="35"/>
    </row>
    <row r="37" ht="15.0" customHeight="1">
      <c r="A37" s="13">
        <v>36.0</v>
      </c>
      <c r="B37" s="8" t="s">
        <v>42</v>
      </c>
      <c r="C37" s="14" t="s">
        <v>352</v>
      </c>
      <c r="D37" s="14" t="s">
        <v>396</v>
      </c>
      <c r="E37" s="14" t="s">
        <v>383</v>
      </c>
      <c r="F37" s="14" t="s">
        <v>381</v>
      </c>
      <c r="G37" s="14" t="s">
        <v>380</v>
      </c>
      <c r="H37" s="14" t="s">
        <v>405</v>
      </c>
      <c r="I37" s="14" t="s">
        <v>406</v>
      </c>
      <c r="J37" s="14" t="s">
        <v>407</v>
      </c>
      <c r="K37" s="14" t="s">
        <v>408</v>
      </c>
      <c r="L37" s="14" t="s">
        <v>409</v>
      </c>
      <c r="M37" s="14">
        <v>0.3333333333333333</v>
      </c>
      <c r="N37" s="14">
        <v>0.5</v>
      </c>
      <c r="O37" s="14">
        <v>0.012987012987012988</v>
      </c>
      <c r="P37" s="14">
        <v>0.0</v>
      </c>
      <c r="Q37" s="14">
        <v>15.0</v>
      </c>
      <c r="R37" s="14" t="s">
        <v>410</v>
      </c>
      <c r="S37" s="14">
        <v>1.0</v>
      </c>
      <c r="T37" s="14" t="s">
        <v>410</v>
      </c>
      <c r="U37" s="14">
        <v>1.0</v>
      </c>
      <c r="V37" s="14">
        <v>1.0</v>
      </c>
      <c r="W37" s="14">
        <v>0.0</v>
      </c>
      <c r="X37" s="14" t="s">
        <v>53</v>
      </c>
      <c r="Y37" s="14">
        <v>0.0</v>
      </c>
      <c r="Z37" s="14" t="s">
        <v>53</v>
      </c>
      <c r="AA37" s="14" t="s">
        <v>404</v>
      </c>
      <c r="AB37" s="15" t="s">
        <v>365</v>
      </c>
      <c r="AC37" s="15" t="b">
        <v>1</v>
      </c>
      <c r="AD37" s="37" t="s">
        <v>294</v>
      </c>
      <c r="AE37" s="37" t="s">
        <v>57</v>
      </c>
      <c r="AF37" s="37">
        <v>1.0</v>
      </c>
      <c r="AG37" s="37" t="s">
        <v>78</v>
      </c>
      <c r="AH37" s="37" t="s">
        <v>162</v>
      </c>
      <c r="AI37" s="37" t="s">
        <v>162</v>
      </c>
      <c r="AJ37" s="37" t="s">
        <v>60</v>
      </c>
      <c r="AK37" s="37" t="s">
        <v>374</v>
      </c>
      <c r="AL37" s="37" t="s">
        <v>62</v>
      </c>
      <c r="AM37" s="37" t="s">
        <v>63</v>
      </c>
      <c r="AN37" s="37" t="s">
        <v>64</v>
      </c>
      <c r="AO37" s="37" t="s">
        <v>65</v>
      </c>
      <c r="AP37" s="15"/>
      <c r="AQ37" s="14"/>
    </row>
    <row r="38" ht="15.0" customHeight="1">
      <c r="A38" s="20">
        <v>37.0</v>
      </c>
      <c r="B38" s="8" t="s">
        <v>66</v>
      </c>
      <c r="C38" s="21" t="s">
        <v>411</v>
      </c>
      <c r="D38" s="21" t="s">
        <v>412</v>
      </c>
      <c r="E38" s="21" t="s">
        <v>413</v>
      </c>
      <c r="F38" s="21" t="s">
        <v>414</v>
      </c>
      <c r="G38" s="21" t="s">
        <v>415</v>
      </c>
      <c r="H38" s="22" t="s">
        <v>416</v>
      </c>
      <c r="I38" s="21" t="s">
        <v>417</v>
      </c>
      <c r="J38" s="21" t="s">
        <v>418</v>
      </c>
      <c r="K38" s="21" t="s">
        <v>419</v>
      </c>
      <c r="L38" s="21" t="s">
        <v>420</v>
      </c>
      <c r="M38" s="21">
        <v>1.0</v>
      </c>
      <c r="N38" s="21">
        <v>0.0</v>
      </c>
      <c r="O38" s="21">
        <v>0.21379310344827587</v>
      </c>
      <c r="P38" s="21">
        <v>7.0</v>
      </c>
      <c r="Q38" s="21">
        <v>72.0</v>
      </c>
      <c r="R38" s="21" t="s">
        <v>53</v>
      </c>
      <c r="S38" s="21">
        <v>0.0</v>
      </c>
      <c r="T38" s="21" t="s">
        <v>53</v>
      </c>
      <c r="U38" s="21">
        <v>0.0</v>
      </c>
      <c r="V38" s="21">
        <v>0.0</v>
      </c>
      <c r="W38" s="21">
        <v>0.0</v>
      </c>
      <c r="X38" s="21" t="s">
        <v>53</v>
      </c>
      <c r="Y38" s="21">
        <v>0.0</v>
      </c>
      <c r="Z38" s="21" t="s">
        <v>53</v>
      </c>
      <c r="AA38" s="21" t="s">
        <v>421</v>
      </c>
      <c r="AB38" s="23" t="s">
        <v>422</v>
      </c>
      <c r="AC38" s="23" t="b">
        <v>1</v>
      </c>
      <c r="AD38" s="21"/>
      <c r="AE38" s="21"/>
      <c r="AF38" s="21"/>
      <c r="AG38" s="21"/>
      <c r="AH38" s="21"/>
      <c r="AI38" s="21"/>
      <c r="AJ38" s="21"/>
      <c r="AK38" s="21"/>
      <c r="AL38" s="21"/>
      <c r="AM38" s="21"/>
      <c r="AN38" s="23"/>
      <c r="AO38" s="27"/>
      <c r="AP38" s="23"/>
      <c r="AQ38" s="35"/>
    </row>
    <row r="39" ht="15.0" customHeight="1">
      <c r="A39" s="20">
        <v>38.0</v>
      </c>
      <c r="B39" s="8" t="s">
        <v>66</v>
      </c>
      <c r="C39" s="21" t="s">
        <v>411</v>
      </c>
      <c r="D39" s="21" t="s">
        <v>423</v>
      </c>
      <c r="E39" s="21" t="s">
        <v>424</v>
      </c>
      <c r="F39" s="21" t="s">
        <v>425</v>
      </c>
      <c r="G39" s="21" t="s">
        <v>426</v>
      </c>
      <c r="H39" s="22" t="s">
        <v>427</v>
      </c>
      <c r="I39" s="21" t="s">
        <v>428</v>
      </c>
      <c r="J39" s="21" t="s">
        <v>429</v>
      </c>
      <c r="K39" s="21" t="s">
        <v>430</v>
      </c>
      <c r="L39" s="21" t="s">
        <v>431</v>
      </c>
      <c r="M39" s="21">
        <v>1.0</v>
      </c>
      <c r="N39" s="21">
        <v>0.0</v>
      </c>
      <c r="O39" s="21">
        <v>0.0078125</v>
      </c>
      <c r="P39" s="21">
        <v>0.0</v>
      </c>
      <c r="Q39" s="21">
        <v>74.0</v>
      </c>
      <c r="R39" s="21" t="s">
        <v>53</v>
      </c>
      <c r="S39" s="21">
        <v>0.0</v>
      </c>
      <c r="T39" s="21" t="s">
        <v>53</v>
      </c>
      <c r="U39" s="21">
        <v>0.0</v>
      </c>
      <c r="V39" s="21">
        <v>0.0</v>
      </c>
      <c r="W39" s="21">
        <v>0.0</v>
      </c>
      <c r="X39" s="21" t="s">
        <v>53</v>
      </c>
      <c r="Y39" s="21">
        <v>0.0</v>
      </c>
      <c r="Z39" s="21" t="s">
        <v>53</v>
      </c>
      <c r="AA39" s="21" t="s">
        <v>432</v>
      </c>
      <c r="AB39" s="23" t="s">
        <v>422</v>
      </c>
      <c r="AC39" s="23" t="b">
        <v>1</v>
      </c>
      <c r="AD39" s="21"/>
      <c r="AE39" s="21"/>
      <c r="AF39" s="21"/>
      <c r="AG39" s="21"/>
      <c r="AH39" s="21"/>
      <c r="AI39" s="21"/>
      <c r="AJ39" s="21"/>
      <c r="AK39" s="21"/>
      <c r="AL39" s="21"/>
      <c r="AM39" s="21"/>
      <c r="AN39" s="23"/>
      <c r="AO39" s="23"/>
      <c r="AP39" s="23"/>
      <c r="AQ39" s="35"/>
    </row>
    <row r="40" ht="15.0" customHeight="1">
      <c r="A40" s="20">
        <v>39.0</v>
      </c>
      <c r="B40" s="8" t="s">
        <v>66</v>
      </c>
      <c r="C40" s="21" t="s">
        <v>411</v>
      </c>
      <c r="D40" s="21" t="s">
        <v>423</v>
      </c>
      <c r="E40" s="21" t="s">
        <v>424</v>
      </c>
      <c r="F40" s="21" t="s">
        <v>425</v>
      </c>
      <c r="G40" s="21" t="s">
        <v>426</v>
      </c>
      <c r="H40" s="22" t="s">
        <v>433</v>
      </c>
      <c r="I40" s="21" t="s">
        <v>434</v>
      </c>
      <c r="J40" s="21" t="s">
        <v>429</v>
      </c>
      <c r="K40" s="21" t="s">
        <v>435</v>
      </c>
      <c r="L40" s="21" t="s">
        <v>436</v>
      </c>
      <c r="M40" s="21">
        <v>1.0</v>
      </c>
      <c r="N40" s="21">
        <v>0.0</v>
      </c>
      <c r="O40" s="21">
        <v>0.0234375</v>
      </c>
      <c r="P40" s="21">
        <v>0.0</v>
      </c>
      <c r="Q40" s="21">
        <v>74.0</v>
      </c>
      <c r="R40" s="21" t="s">
        <v>53</v>
      </c>
      <c r="S40" s="21">
        <v>0.0</v>
      </c>
      <c r="T40" s="21" t="s">
        <v>53</v>
      </c>
      <c r="U40" s="21">
        <v>0.0</v>
      </c>
      <c r="V40" s="21">
        <v>0.0</v>
      </c>
      <c r="W40" s="21">
        <v>0.0</v>
      </c>
      <c r="X40" s="21" t="s">
        <v>53</v>
      </c>
      <c r="Y40" s="21">
        <v>0.0</v>
      </c>
      <c r="Z40" s="21" t="s">
        <v>53</v>
      </c>
      <c r="AA40" s="21" t="s">
        <v>432</v>
      </c>
      <c r="AB40" s="23" t="s">
        <v>422</v>
      </c>
      <c r="AC40" s="23" t="b">
        <v>1</v>
      </c>
      <c r="AD40" s="21"/>
      <c r="AE40" s="21"/>
      <c r="AF40" s="21"/>
      <c r="AG40" s="21"/>
      <c r="AH40" s="21"/>
      <c r="AI40" s="21"/>
      <c r="AJ40" s="21"/>
      <c r="AK40" s="21"/>
      <c r="AL40" s="21"/>
      <c r="AM40" s="21"/>
      <c r="AN40" s="23"/>
      <c r="AO40" s="23"/>
      <c r="AP40" s="23"/>
      <c r="AQ40" s="35"/>
    </row>
    <row r="41" ht="15.0" customHeight="1">
      <c r="A41" s="13">
        <v>40.0</v>
      </c>
      <c r="B41" s="8" t="s">
        <v>42</v>
      </c>
      <c r="C41" s="14" t="s">
        <v>411</v>
      </c>
      <c r="D41" s="14" t="s">
        <v>423</v>
      </c>
      <c r="E41" s="14" t="s">
        <v>424</v>
      </c>
      <c r="F41" s="14" t="s">
        <v>425</v>
      </c>
      <c r="G41" s="14" t="s">
        <v>426</v>
      </c>
      <c r="H41" s="14" t="s">
        <v>437</v>
      </c>
      <c r="I41" s="14" t="s">
        <v>438</v>
      </c>
      <c r="J41" s="14" t="s">
        <v>429</v>
      </c>
      <c r="K41" s="14" t="s">
        <v>439</v>
      </c>
      <c r="L41" s="14" t="s">
        <v>440</v>
      </c>
      <c r="M41" s="14">
        <v>1.0</v>
      </c>
      <c r="N41" s="14">
        <v>0.0</v>
      </c>
      <c r="O41" s="14">
        <v>0.031007751937984496</v>
      </c>
      <c r="P41" s="14">
        <v>0.0</v>
      </c>
      <c r="Q41" s="14">
        <v>74.0</v>
      </c>
      <c r="R41" s="14" t="s">
        <v>53</v>
      </c>
      <c r="S41" s="14">
        <v>0.0</v>
      </c>
      <c r="T41" s="14" t="s">
        <v>53</v>
      </c>
      <c r="U41" s="14">
        <v>0.0</v>
      </c>
      <c r="V41" s="14">
        <v>0.0</v>
      </c>
      <c r="W41" s="14">
        <v>0.0</v>
      </c>
      <c r="X41" s="14" t="s">
        <v>53</v>
      </c>
      <c r="Y41" s="14">
        <v>0.0</v>
      </c>
      <c r="Z41" s="14" t="s">
        <v>53</v>
      </c>
      <c r="AA41" s="14" t="s">
        <v>432</v>
      </c>
      <c r="AB41" s="15" t="s">
        <v>422</v>
      </c>
      <c r="AC41" s="15" t="b">
        <v>1</v>
      </c>
      <c r="AD41" s="37" t="s">
        <v>57</v>
      </c>
      <c r="AE41" s="37" t="s">
        <v>57</v>
      </c>
      <c r="AF41" s="37">
        <v>0.67</v>
      </c>
      <c r="AG41" s="37" t="s">
        <v>78</v>
      </c>
      <c r="AH41" s="37" t="s">
        <v>58</v>
      </c>
      <c r="AI41" s="37" t="s">
        <v>59</v>
      </c>
      <c r="AJ41" s="37" t="s">
        <v>60</v>
      </c>
      <c r="AK41" s="37" t="s">
        <v>61</v>
      </c>
      <c r="AL41" s="37" t="s">
        <v>62</v>
      </c>
      <c r="AM41" s="37" t="s">
        <v>63</v>
      </c>
      <c r="AN41" s="37" t="s">
        <v>64</v>
      </c>
      <c r="AO41" s="37" t="s">
        <v>65</v>
      </c>
      <c r="AP41" s="15"/>
      <c r="AQ41" s="14"/>
    </row>
    <row r="42" ht="15.0" customHeight="1">
      <c r="A42" s="7">
        <v>41.0</v>
      </c>
      <c r="B42" s="8" t="s">
        <v>42</v>
      </c>
      <c r="C42" s="9" t="s">
        <v>411</v>
      </c>
      <c r="D42" s="9" t="s">
        <v>423</v>
      </c>
      <c r="E42" s="9" t="s">
        <v>424</v>
      </c>
      <c r="F42" s="9" t="s">
        <v>425</v>
      </c>
      <c r="G42" s="9" t="s">
        <v>426</v>
      </c>
      <c r="H42" s="9" t="s">
        <v>441</v>
      </c>
      <c r="I42" s="9" t="s">
        <v>442</v>
      </c>
      <c r="J42" s="9" t="s">
        <v>429</v>
      </c>
      <c r="K42" s="9" t="s">
        <v>443</v>
      </c>
      <c r="L42" s="9" t="s">
        <v>444</v>
      </c>
      <c r="M42" s="9">
        <v>1.0</v>
      </c>
      <c r="N42" s="9">
        <v>0.0</v>
      </c>
      <c r="O42" s="9">
        <v>0.0234375</v>
      </c>
      <c r="P42" s="9">
        <v>0.0</v>
      </c>
      <c r="Q42" s="9">
        <v>74.0</v>
      </c>
      <c r="R42" s="9" t="s">
        <v>53</v>
      </c>
      <c r="S42" s="9">
        <v>0.0</v>
      </c>
      <c r="T42" s="9" t="s">
        <v>53</v>
      </c>
      <c r="U42" s="9">
        <v>0.0</v>
      </c>
      <c r="V42" s="9">
        <v>0.0</v>
      </c>
      <c r="W42" s="9">
        <v>0.0</v>
      </c>
      <c r="X42" s="9" t="s">
        <v>53</v>
      </c>
      <c r="Y42" s="9">
        <v>0.0</v>
      </c>
      <c r="Z42" s="9" t="s">
        <v>53</v>
      </c>
      <c r="AA42" s="9" t="s">
        <v>432</v>
      </c>
      <c r="AB42" s="10" t="s">
        <v>422</v>
      </c>
      <c r="AC42" s="10" t="b">
        <v>1</v>
      </c>
      <c r="AD42" s="40" t="s">
        <v>57</v>
      </c>
      <c r="AE42" s="40" t="s">
        <v>57</v>
      </c>
      <c r="AF42" s="40">
        <v>0.57</v>
      </c>
      <c r="AG42" s="40"/>
      <c r="AH42" s="40" t="s">
        <v>58</v>
      </c>
      <c r="AI42" s="40" t="s">
        <v>59</v>
      </c>
      <c r="AJ42" s="40" t="s">
        <v>60</v>
      </c>
      <c r="AK42" s="40" t="s">
        <v>61</v>
      </c>
      <c r="AL42" s="40" t="s">
        <v>62</v>
      </c>
      <c r="AM42" s="40" t="s">
        <v>63</v>
      </c>
      <c r="AN42" s="40" t="s">
        <v>64</v>
      </c>
      <c r="AO42" s="40" t="s">
        <v>65</v>
      </c>
      <c r="AP42" s="10"/>
      <c r="AQ42" s="9"/>
    </row>
    <row r="43" ht="15.0" customHeight="1">
      <c r="A43" s="20">
        <v>42.0</v>
      </c>
      <c r="B43" s="8" t="s">
        <v>66</v>
      </c>
      <c r="C43" s="21" t="s">
        <v>411</v>
      </c>
      <c r="D43" s="21" t="s">
        <v>423</v>
      </c>
      <c r="E43" s="21" t="s">
        <v>424</v>
      </c>
      <c r="F43" s="21" t="s">
        <v>445</v>
      </c>
      <c r="G43" s="21" t="s">
        <v>446</v>
      </c>
      <c r="H43" s="22" t="s">
        <v>447</v>
      </c>
      <c r="I43" s="21" t="s">
        <v>448</v>
      </c>
      <c r="J43" s="21" t="s">
        <v>429</v>
      </c>
      <c r="K43" s="21" t="s">
        <v>449</v>
      </c>
      <c r="L43" s="21" t="s">
        <v>450</v>
      </c>
      <c r="M43" s="21">
        <v>1.0</v>
      </c>
      <c r="N43" s="21">
        <v>0.0</v>
      </c>
      <c r="O43" s="21">
        <v>0.015625</v>
      </c>
      <c r="P43" s="21">
        <v>1.0</v>
      </c>
      <c r="Q43" s="21">
        <v>74.0</v>
      </c>
      <c r="R43" s="21" t="s">
        <v>53</v>
      </c>
      <c r="S43" s="21">
        <v>0.0</v>
      </c>
      <c r="T43" s="21" t="s">
        <v>53</v>
      </c>
      <c r="U43" s="21">
        <v>0.0</v>
      </c>
      <c r="V43" s="21">
        <v>0.0</v>
      </c>
      <c r="W43" s="21">
        <v>0.0</v>
      </c>
      <c r="X43" s="21" t="s">
        <v>53</v>
      </c>
      <c r="Y43" s="21">
        <v>0.0</v>
      </c>
      <c r="Z43" s="21" t="s">
        <v>53</v>
      </c>
      <c r="AA43" s="21" t="s">
        <v>432</v>
      </c>
      <c r="AB43" s="23" t="s">
        <v>422</v>
      </c>
      <c r="AC43" s="23" t="b">
        <v>1</v>
      </c>
      <c r="AD43" s="21"/>
      <c r="AE43" s="21"/>
      <c r="AF43" s="21"/>
      <c r="AG43" s="21"/>
      <c r="AH43" s="21"/>
      <c r="AI43" s="21"/>
      <c r="AJ43" s="21"/>
      <c r="AK43" s="21"/>
      <c r="AL43" s="21"/>
      <c r="AM43" s="21"/>
      <c r="AN43" s="23"/>
      <c r="AO43" s="23"/>
      <c r="AP43" s="23"/>
      <c r="AQ43" s="35"/>
    </row>
    <row r="44" ht="15.0" customHeight="1">
      <c r="A44" s="20">
        <v>43.0</v>
      </c>
      <c r="B44" s="8" t="s">
        <v>66</v>
      </c>
      <c r="C44" s="21" t="s">
        <v>411</v>
      </c>
      <c r="D44" s="21" t="s">
        <v>423</v>
      </c>
      <c r="E44" s="21" t="s">
        <v>424</v>
      </c>
      <c r="F44" s="21" t="s">
        <v>425</v>
      </c>
      <c r="G44" s="21" t="s">
        <v>426</v>
      </c>
      <c r="H44" s="22" t="s">
        <v>451</v>
      </c>
      <c r="I44" s="21" t="s">
        <v>452</v>
      </c>
      <c r="J44" s="21" t="s">
        <v>429</v>
      </c>
      <c r="K44" s="21" t="s">
        <v>453</v>
      </c>
      <c r="L44" s="21" t="s">
        <v>454</v>
      </c>
      <c r="M44" s="21">
        <v>1.0</v>
      </c>
      <c r="N44" s="21">
        <v>0.0</v>
      </c>
      <c r="O44" s="21">
        <v>0.0234375</v>
      </c>
      <c r="P44" s="21">
        <v>0.0</v>
      </c>
      <c r="Q44" s="21">
        <v>74.0</v>
      </c>
      <c r="R44" s="21" t="s">
        <v>53</v>
      </c>
      <c r="S44" s="21">
        <v>0.0</v>
      </c>
      <c r="T44" s="21" t="s">
        <v>53</v>
      </c>
      <c r="U44" s="21">
        <v>0.0</v>
      </c>
      <c r="V44" s="21">
        <v>0.0</v>
      </c>
      <c r="W44" s="21">
        <v>0.0</v>
      </c>
      <c r="X44" s="21" t="s">
        <v>53</v>
      </c>
      <c r="Y44" s="21">
        <v>0.0</v>
      </c>
      <c r="Z44" s="21" t="s">
        <v>53</v>
      </c>
      <c r="AA44" s="21" t="s">
        <v>432</v>
      </c>
      <c r="AB44" s="23" t="s">
        <v>422</v>
      </c>
      <c r="AC44" s="23" t="b">
        <v>1</v>
      </c>
      <c r="AD44" s="21"/>
      <c r="AE44" s="21"/>
      <c r="AF44" s="21"/>
      <c r="AG44" s="21"/>
      <c r="AH44" s="21"/>
      <c r="AI44" s="21"/>
      <c r="AJ44" s="21"/>
      <c r="AK44" s="21"/>
      <c r="AL44" s="21"/>
      <c r="AM44" s="21"/>
      <c r="AN44" s="23"/>
      <c r="AO44" s="23"/>
      <c r="AP44" s="23"/>
      <c r="AQ44" s="35"/>
    </row>
    <row r="45" ht="15.0" customHeight="1">
      <c r="A45" s="20">
        <v>44.0</v>
      </c>
      <c r="B45" s="8" t="s">
        <v>66</v>
      </c>
      <c r="C45" s="21" t="s">
        <v>411</v>
      </c>
      <c r="D45" s="21" t="s">
        <v>423</v>
      </c>
      <c r="E45" s="21" t="s">
        <v>424</v>
      </c>
      <c r="F45" s="21" t="s">
        <v>425</v>
      </c>
      <c r="G45" s="21" t="s">
        <v>426</v>
      </c>
      <c r="H45" s="22" t="s">
        <v>455</v>
      </c>
      <c r="I45" s="21" t="s">
        <v>456</v>
      </c>
      <c r="J45" s="21" t="s">
        <v>429</v>
      </c>
      <c r="K45" s="21" t="s">
        <v>457</v>
      </c>
      <c r="L45" s="21" t="s">
        <v>458</v>
      </c>
      <c r="M45" s="21">
        <v>1.0</v>
      </c>
      <c r="N45" s="21">
        <v>0.0</v>
      </c>
      <c r="O45" s="21">
        <v>0.031007751937984496</v>
      </c>
      <c r="P45" s="21">
        <v>0.0</v>
      </c>
      <c r="Q45" s="21">
        <v>74.0</v>
      </c>
      <c r="R45" s="21" t="s">
        <v>53</v>
      </c>
      <c r="S45" s="21">
        <v>0.0</v>
      </c>
      <c r="T45" s="21" t="s">
        <v>53</v>
      </c>
      <c r="U45" s="21">
        <v>0.0</v>
      </c>
      <c r="V45" s="21">
        <v>0.0</v>
      </c>
      <c r="W45" s="21">
        <v>0.0</v>
      </c>
      <c r="X45" s="21" t="s">
        <v>53</v>
      </c>
      <c r="Y45" s="21">
        <v>0.0</v>
      </c>
      <c r="Z45" s="21" t="s">
        <v>53</v>
      </c>
      <c r="AA45" s="21" t="s">
        <v>432</v>
      </c>
      <c r="AB45" s="23" t="s">
        <v>422</v>
      </c>
      <c r="AC45" s="23" t="b">
        <v>1</v>
      </c>
      <c r="AD45" s="21"/>
      <c r="AE45" s="21"/>
      <c r="AF45" s="21"/>
      <c r="AG45" s="21"/>
      <c r="AH45" s="21"/>
      <c r="AI45" s="21"/>
      <c r="AJ45" s="21"/>
      <c r="AK45" s="21"/>
      <c r="AL45" s="21"/>
      <c r="AM45" s="21"/>
      <c r="AN45" s="23"/>
      <c r="AO45" s="23"/>
      <c r="AP45" s="23"/>
      <c r="AQ45" s="35"/>
    </row>
    <row r="46" ht="15.0" customHeight="1">
      <c r="A46" s="13">
        <v>45.0</v>
      </c>
      <c r="B46" s="8" t="s">
        <v>42</v>
      </c>
      <c r="C46" s="14" t="s">
        <v>411</v>
      </c>
      <c r="D46" s="14" t="s">
        <v>423</v>
      </c>
      <c r="E46" s="14" t="s">
        <v>424</v>
      </c>
      <c r="F46" s="14" t="s">
        <v>425</v>
      </c>
      <c r="G46" s="14" t="s">
        <v>426</v>
      </c>
      <c r="H46" s="14" t="s">
        <v>459</v>
      </c>
      <c r="I46" s="14" t="s">
        <v>460</v>
      </c>
      <c r="J46" s="14" t="s">
        <v>429</v>
      </c>
      <c r="K46" s="14" t="s">
        <v>461</v>
      </c>
      <c r="L46" s="14" t="s">
        <v>462</v>
      </c>
      <c r="M46" s="14">
        <v>1.0</v>
      </c>
      <c r="N46" s="14">
        <v>0.0</v>
      </c>
      <c r="O46" s="14">
        <v>0.038461538461538464</v>
      </c>
      <c r="P46" s="14">
        <v>0.0</v>
      </c>
      <c r="Q46" s="14">
        <v>74.0</v>
      </c>
      <c r="R46" s="14" t="s">
        <v>53</v>
      </c>
      <c r="S46" s="14">
        <v>0.0</v>
      </c>
      <c r="T46" s="14" t="s">
        <v>53</v>
      </c>
      <c r="U46" s="14">
        <v>0.0</v>
      </c>
      <c r="V46" s="14">
        <v>0.0</v>
      </c>
      <c r="W46" s="14">
        <v>0.0</v>
      </c>
      <c r="X46" s="14" t="s">
        <v>53</v>
      </c>
      <c r="Y46" s="14">
        <v>0.0</v>
      </c>
      <c r="Z46" s="14" t="s">
        <v>53</v>
      </c>
      <c r="AA46" s="14" t="s">
        <v>432</v>
      </c>
      <c r="AB46" s="15" t="s">
        <v>422</v>
      </c>
      <c r="AC46" s="15" t="b">
        <v>1</v>
      </c>
      <c r="AD46" s="37" t="s">
        <v>57</v>
      </c>
      <c r="AE46" s="37" t="s">
        <v>57</v>
      </c>
      <c r="AF46" s="37">
        <v>0.67</v>
      </c>
      <c r="AG46" s="37" t="s">
        <v>78</v>
      </c>
      <c r="AH46" s="37" t="s">
        <v>58</v>
      </c>
      <c r="AI46" s="37" t="s">
        <v>59</v>
      </c>
      <c r="AJ46" s="37" t="s">
        <v>60</v>
      </c>
      <c r="AK46" s="37" t="s">
        <v>61</v>
      </c>
      <c r="AL46" s="37" t="s">
        <v>62</v>
      </c>
      <c r="AM46" s="37" t="s">
        <v>63</v>
      </c>
      <c r="AN46" s="37" t="s">
        <v>64</v>
      </c>
      <c r="AO46" s="37" t="s">
        <v>65</v>
      </c>
      <c r="AP46" s="15"/>
      <c r="AQ46" s="14"/>
    </row>
    <row r="47" ht="15.0" customHeight="1">
      <c r="A47" s="20">
        <v>46.0</v>
      </c>
      <c r="B47" s="8" t="s">
        <v>66</v>
      </c>
      <c r="C47" s="21" t="s">
        <v>411</v>
      </c>
      <c r="D47" s="21" t="s">
        <v>423</v>
      </c>
      <c r="E47" s="21" t="s">
        <v>424</v>
      </c>
      <c r="F47" s="21" t="s">
        <v>425</v>
      </c>
      <c r="G47" s="21" t="s">
        <v>426</v>
      </c>
      <c r="H47" s="22" t="s">
        <v>463</v>
      </c>
      <c r="I47" s="21" t="s">
        <v>464</v>
      </c>
      <c r="J47" s="21" t="s">
        <v>429</v>
      </c>
      <c r="K47" s="21" t="s">
        <v>465</v>
      </c>
      <c r="L47" s="21" t="s">
        <v>466</v>
      </c>
      <c r="M47" s="21">
        <v>1.0</v>
      </c>
      <c r="N47" s="21">
        <v>0.0</v>
      </c>
      <c r="O47" s="21">
        <v>0.03076923076923077</v>
      </c>
      <c r="P47" s="21">
        <v>0.0</v>
      </c>
      <c r="Q47" s="21">
        <v>74.0</v>
      </c>
      <c r="R47" s="21" t="s">
        <v>53</v>
      </c>
      <c r="S47" s="21">
        <v>0.0</v>
      </c>
      <c r="T47" s="21" t="s">
        <v>53</v>
      </c>
      <c r="U47" s="21">
        <v>0.0</v>
      </c>
      <c r="V47" s="21">
        <v>0.0</v>
      </c>
      <c r="W47" s="21">
        <v>0.0</v>
      </c>
      <c r="X47" s="21" t="s">
        <v>53</v>
      </c>
      <c r="Y47" s="21">
        <v>0.0</v>
      </c>
      <c r="Z47" s="21" t="s">
        <v>53</v>
      </c>
      <c r="AA47" s="21" t="s">
        <v>432</v>
      </c>
      <c r="AB47" s="23" t="s">
        <v>422</v>
      </c>
      <c r="AC47" s="23" t="b">
        <v>1</v>
      </c>
      <c r="AD47" s="21"/>
      <c r="AE47" s="21"/>
      <c r="AF47" s="21"/>
      <c r="AG47" s="21"/>
      <c r="AH47" s="21"/>
      <c r="AI47" s="21"/>
      <c r="AJ47" s="21"/>
      <c r="AK47" s="21"/>
      <c r="AL47" s="21"/>
      <c r="AM47" s="21"/>
      <c r="AN47" s="23"/>
      <c r="AO47" s="23"/>
      <c r="AP47" s="23"/>
      <c r="AQ47" s="35"/>
    </row>
    <row r="48" ht="15.0" customHeight="1">
      <c r="A48" s="20">
        <v>47.0</v>
      </c>
      <c r="B48" s="8" t="s">
        <v>66</v>
      </c>
      <c r="C48" s="21" t="s">
        <v>411</v>
      </c>
      <c r="D48" s="21" t="s">
        <v>423</v>
      </c>
      <c r="E48" s="21" t="s">
        <v>424</v>
      </c>
      <c r="F48" s="21" t="s">
        <v>467</v>
      </c>
      <c r="G48" s="21" t="s">
        <v>468</v>
      </c>
      <c r="H48" s="22" t="s">
        <v>469</v>
      </c>
      <c r="I48" s="21" t="s">
        <v>470</v>
      </c>
      <c r="J48" s="21" t="s">
        <v>471</v>
      </c>
      <c r="K48" s="21" t="s">
        <v>472</v>
      </c>
      <c r="L48" s="21" t="s">
        <v>473</v>
      </c>
      <c r="M48" s="21">
        <v>1.0</v>
      </c>
      <c r="N48" s="21">
        <v>0.0</v>
      </c>
      <c r="O48" s="21">
        <v>0.17094017094017094</v>
      </c>
      <c r="P48" s="21">
        <v>10.0</v>
      </c>
      <c r="Q48" s="21">
        <v>74.0</v>
      </c>
      <c r="R48" s="21" t="s">
        <v>53</v>
      </c>
      <c r="S48" s="21">
        <v>0.0</v>
      </c>
      <c r="T48" s="21" t="s">
        <v>53</v>
      </c>
      <c r="U48" s="21">
        <v>0.0</v>
      </c>
      <c r="V48" s="21">
        <v>0.0</v>
      </c>
      <c r="W48" s="21">
        <v>0.0</v>
      </c>
      <c r="X48" s="21" t="s">
        <v>53</v>
      </c>
      <c r="Y48" s="21">
        <v>0.0</v>
      </c>
      <c r="Z48" s="21" t="s">
        <v>53</v>
      </c>
      <c r="AA48" s="21" t="s">
        <v>432</v>
      </c>
      <c r="AB48" s="23" t="s">
        <v>422</v>
      </c>
      <c r="AC48" s="23" t="b">
        <v>1</v>
      </c>
      <c r="AD48" s="21"/>
      <c r="AE48" s="21"/>
      <c r="AF48" s="21"/>
      <c r="AG48" s="21"/>
      <c r="AH48" s="21"/>
      <c r="AI48" s="21"/>
      <c r="AJ48" s="21"/>
      <c r="AK48" s="21"/>
      <c r="AL48" s="21"/>
      <c r="AM48" s="21"/>
      <c r="AN48" s="23"/>
      <c r="AO48" s="23"/>
      <c r="AP48" s="23"/>
      <c r="AQ48" s="35"/>
    </row>
    <row r="49" ht="15.0" customHeight="1">
      <c r="A49" s="20">
        <v>48.0</v>
      </c>
      <c r="B49" s="8" t="s">
        <v>66</v>
      </c>
      <c r="C49" s="21" t="s">
        <v>411</v>
      </c>
      <c r="D49" s="21" t="s">
        <v>423</v>
      </c>
      <c r="E49" s="21" t="s">
        <v>424</v>
      </c>
      <c r="F49" s="21" t="s">
        <v>474</v>
      </c>
      <c r="G49" s="21" t="s">
        <v>475</v>
      </c>
      <c r="H49" s="22" t="s">
        <v>476</v>
      </c>
      <c r="I49" s="21" t="s">
        <v>477</v>
      </c>
      <c r="J49" s="21" t="s">
        <v>478</v>
      </c>
      <c r="K49" s="21" t="s">
        <v>479</v>
      </c>
      <c r="L49" s="21" t="s">
        <v>480</v>
      </c>
      <c r="M49" s="21">
        <v>1.0</v>
      </c>
      <c r="N49" s="21">
        <v>0.0</v>
      </c>
      <c r="O49" s="21">
        <v>0.26143790849673204</v>
      </c>
      <c r="P49" s="21">
        <v>45.0</v>
      </c>
      <c r="Q49" s="21">
        <v>74.0</v>
      </c>
      <c r="R49" s="21" t="s">
        <v>53</v>
      </c>
      <c r="S49" s="21">
        <v>0.0</v>
      </c>
      <c r="T49" s="21" t="s">
        <v>53</v>
      </c>
      <c r="U49" s="21">
        <v>0.0</v>
      </c>
      <c r="V49" s="21">
        <v>0.0</v>
      </c>
      <c r="W49" s="21">
        <v>0.0</v>
      </c>
      <c r="X49" s="21" t="s">
        <v>53</v>
      </c>
      <c r="Y49" s="21">
        <v>0.0</v>
      </c>
      <c r="Z49" s="21" t="s">
        <v>53</v>
      </c>
      <c r="AA49" s="21" t="s">
        <v>432</v>
      </c>
      <c r="AB49" s="23" t="s">
        <v>422</v>
      </c>
      <c r="AC49" s="23" t="b">
        <v>1</v>
      </c>
      <c r="AD49" s="21"/>
      <c r="AE49" s="21"/>
      <c r="AF49" s="21"/>
      <c r="AG49" s="21"/>
      <c r="AH49" s="21"/>
      <c r="AI49" s="21"/>
      <c r="AJ49" s="21"/>
      <c r="AK49" s="21"/>
      <c r="AL49" s="21"/>
      <c r="AM49" s="21"/>
      <c r="AN49" s="23"/>
      <c r="AO49" s="23"/>
      <c r="AP49" s="23"/>
      <c r="AQ49" s="35"/>
    </row>
    <row r="50" ht="15.0" customHeight="1">
      <c r="A50" s="13">
        <v>49.0</v>
      </c>
      <c r="B50" s="8" t="s">
        <v>42</v>
      </c>
      <c r="C50" s="14" t="s">
        <v>411</v>
      </c>
      <c r="D50" s="14" t="s">
        <v>423</v>
      </c>
      <c r="E50" s="14" t="s">
        <v>424</v>
      </c>
      <c r="F50" s="14" t="s">
        <v>474</v>
      </c>
      <c r="G50" s="14" t="s">
        <v>475</v>
      </c>
      <c r="H50" s="14" t="s">
        <v>481</v>
      </c>
      <c r="I50" s="14" t="s">
        <v>482</v>
      </c>
      <c r="J50" s="14" t="s">
        <v>478</v>
      </c>
      <c r="K50" s="14" t="s">
        <v>483</v>
      </c>
      <c r="L50" s="14" t="s">
        <v>484</v>
      </c>
      <c r="M50" s="14">
        <v>1.0</v>
      </c>
      <c r="N50" s="14">
        <v>0.0</v>
      </c>
      <c r="O50" s="14">
        <v>0.2565789473684211</v>
      </c>
      <c r="P50" s="14">
        <v>45.0</v>
      </c>
      <c r="Q50" s="14">
        <v>74.0</v>
      </c>
      <c r="R50" s="14" t="s">
        <v>53</v>
      </c>
      <c r="S50" s="14">
        <v>0.0</v>
      </c>
      <c r="T50" s="14" t="s">
        <v>53</v>
      </c>
      <c r="U50" s="14">
        <v>0.0</v>
      </c>
      <c r="V50" s="14">
        <v>0.0</v>
      </c>
      <c r="W50" s="14">
        <v>0.0</v>
      </c>
      <c r="X50" s="14" t="s">
        <v>53</v>
      </c>
      <c r="Y50" s="14">
        <v>0.0</v>
      </c>
      <c r="Z50" s="14" t="s">
        <v>53</v>
      </c>
      <c r="AA50" s="14" t="s">
        <v>432</v>
      </c>
      <c r="AB50" s="15" t="s">
        <v>422</v>
      </c>
      <c r="AC50" s="15" t="b">
        <v>1</v>
      </c>
      <c r="AD50" s="37" t="s">
        <v>57</v>
      </c>
      <c r="AE50" s="37" t="s">
        <v>57</v>
      </c>
      <c r="AF50" s="37">
        <v>0.13</v>
      </c>
      <c r="AG50" s="37" t="s">
        <v>78</v>
      </c>
      <c r="AH50" s="37" t="s">
        <v>58</v>
      </c>
      <c r="AI50" s="37" t="s">
        <v>59</v>
      </c>
      <c r="AJ50" s="37" t="s">
        <v>60</v>
      </c>
      <c r="AK50" s="37" t="s">
        <v>61</v>
      </c>
      <c r="AL50" s="37" t="s">
        <v>62</v>
      </c>
      <c r="AM50" s="37" t="s">
        <v>63</v>
      </c>
      <c r="AN50" s="37" t="s">
        <v>64</v>
      </c>
      <c r="AO50" s="37" t="s">
        <v>65</v>
      </c>
      <c r="AP50" s="15"/>
      <c r="AQ50" s="14"/>
    </row>
    <row r="51" ht="15.0" customHeight="1">
      <c r="A51" s="20">
        <v>50.0</v>
      </c>
      <c r="B51" s="8" t="s">
        <v>66</v>
      </c>
      <c r="C51" s="21" t="s">
        <v>411</v>
      </c>
      <c r="D51" s="21" t="s">
        <v>423</v>
      </c>
      <c r="E51" s="21" t="s">
        <v>424</v>
      </c>
      <c r="F51" s="21" t="s">
        <v>485</v>
      </c>
      <c r="G51" s="21" t="s">
        <v>486</v>
      </c>
      <c r="H51" s="22" t="s">
        <v>487</v>
      </c>
      <c r="I51" s="21" t="s">
        <v>488</v>
      </c>
      <c r="J51" s="21" t="s">
        <v>478</v>
      </c>
      <c r="K51" s="21" t="s">
        <v>489</v>
      </c>
      <c r="L51" s="21" t="s">
        <v>490</v>
      </c>
      <c r="M51" s="21">
        <v>1.0</v>
      </c>
      <c r="N51" s="21">
        <v>0.0</v>
      </c>
      <c r="O51" s="21">
        <v>0.25161290322580643</v>
      </c>
      <c r="P51" s="21">
        <v>44.0</v>
      </c>
      <c r="Q51" s="21">
        <v>74.0</v>
      </c>
      <c r="R51" s="21" t="s">
        <v>53</v>
      </c>
      <c r="S51" s="21">
        <v>0.0</v>
      </c>
      <c r="T51" s="21" t="s">
        <v>53</v>
      </c>
      <c r="U51" s="21">
        <v>0.0</v>
      </c>
      <c r="V51" s="21">
        <v>0.0</v>
      </c>
      <c r="W51" s="21">
        <v>0.0</v>
      </c>
      <c r="X51" s="21" t="s">
        <v>53</v>
      </c>
      <c r="Y51" s="21">
        <v>0.0</v>
      </c>
      <c r="Z51" s="21" t="s">
        <v>53</v>
      </c>
      <c r="AA51" s="21" t="s">
        <v>432</v>
      </c>
      <c r="AB51" s="23" t="s">
        <v>422</v>
      </c>
      <c r="AC51" s="23" t="b">
        <v>1</v>
      </c>
      <c r="AD51" s="21"/>
      <c r="AE51" s="21"/>
      <c r="AF51" s="21"/>
      <c r="AG51" s="21"/>
      <c r="AH51" s="21"/>
      <c r="AI51" s="21"/>
      <c r="AJ51" s="21"/>
      <c r="AK51" s="21"/>
      <c r="AL51" s="21"/>
      <c r="AM51" s="21"/>
      <c r="AN51" s="23"/>
      <c r="AO51" s="23"/>
      <c r="AP51" s="23"/>
      <c r="AQ51" s="35"/>
    </row>
    <row r="52" ht="15.0" customHeight="1">
      <c r="A52" s="20">
        <v>51.0</v>
      </c>
      <c r="B52" s="8" t="s">
        <v>66</v>
      </c>
      <c r="C52" s="21" t="s">
        <v>411</v>
      </c>
      <c r="D52" s="21" t="s">
        <v>423</v>
      </c>
      <c r="E52" s="21" t="s">
        <v>424</v>
      </c>
      <c r="F52" s="21" t="s">
        <v>485</v>
      </c>
      <c r="G52" s="21" t="s">
        <v>486</v>
      </c>
      <c r="H52" s="22" t="s">
        <v>491</v>
      </c>
      <c r="I52" s="21" t="s">
        <v>492</v>
      </c>
      <c r="J52" s="21" t="s">
        <v>478</v>
      </c>
      <c r="K52" s="21" t="s">
        <v>493</v>
      </c>
      <c r="L52" s="21" t="s">
        <v>494</v>
      </c>
      <c r="M52" s="21">
        <v>1.0</v>
      </c>
      <c r="N52" s="21">
        <v>0.0</v>
      </c>
      <c r="O52" s="21">
        <v>0.24675324675324675</v>
      </c>
      <c r="P52" s="21">
        <v>44.0</v>
      </c>
      <c r="Q52" s="21">
        <v>74.0</v>
      </c>
      <c r="R52" s="21" t="s">
        <v>53</v>
      </c>
      <c r="S52" s="21">
        <v>0.0</v>
      </c>
      <c r="T52" s="21" t="s">
        <v>53</v>
      </c>
      <c r="U52" s="21">
        <v>0.0</v>
      </c>
      <c r="V52" s="21">
        <v>0.0</v>
      </c>
      <c r="W52" s="21">
        <v>0.0</v>
      </c>
      <c r="X52" s="21" t="s">
        <v>53</v>
      </c>
      <c r="Y52" s="21">
        <v>0.0</v>
      </c>
      <c r="Z52" s="21" t="s">
        <v>53</v>
      </c>
      <c r="AA52" s="21" t="s">
        <v>432</v>
      </c>
      <c r="AB52" s="23" t="s">
        <v>422</v>
      </c>
      <c r="AC52" s="23" t="b">
        <v>1</v>
      </c>
      <c r="AD52" s="21"/>
      <c r="AE52" s="21"/>
      <c r="AF52" s="21"/>
      <c r="AG52" s="21"/>
      <c r="AH52" s="21"/>
      <c r="AI52" s="21"/>
      <c r="AJ52" s="21"/>
      <c r="AK52" s="21"/>
      <c r="AL52" s="21"/>
      <c r="AM52" s="21"/>
      <c r="AN52" s="23"/>
      <c r="AO52" s="23"/>
      <c r="AP52" s="23"/>
      <c r="AQ52" s="35"/>
    </row>
    <row r="53" ht="15.0" customHeight="1">
      <c r="A53" s="20">
        <v>52.0</v>
      </c>
      <c r="B53" s="8" t="s">
        <v>66</v>
      </c>
      <c r="C53" s="21" t="s">
        <v>411</v>
      </c>
      <c r="D53" s="21" t="s">
        <v>423</v>
      </c>
      <c r="E53" s="21" t="s">
        <v>424</v>
      </c>
      <c r="F53" s="21" t="s">
        <v>495</v>
      </c>
      <c r="G53" s="21" t="s">
        <v>496</v>
      </c>
      <c r="H53" s="22" t="s">
        <v>497</v>
      </c>
      <c r="I53" s="21" t="s">
        <v>498</v>
      </c>
      <c r="J53" s="21" t="s">
        <v>478</v>
      </c>
      <c r="K53" s="21" t="s">
        <v>499</v>
      </c>
      <c r="L53" s="21" t="s">
        <v>500</v>
      </c>
      <c r="M53" s="21">
        <v>1.0</v>
      </c>
      <c r="N53" s="21">
        <v>0.0</v>
      </c>
      <c r="O53" s="21">
        <v>0.26490066225165565</v>
      </c>
      <c r="P53" s="21">
        <v>46.0</v>
      </c>
      <c r="Q53" s="21">
        <v>74.0</v>
      </c>
      <c r="R53" s="21" t="s">
        <v>53</v>
      </c>
      <c r="S53" s="21">
        <v>0.0</v>
      </c>
      <c r="T53" s="21" t="s">
        <v>53</v>
      </c>
      <c r="U53" s="21">
        <v>0.0</v>
      </c>
      <c r="V53" s="21">
        <v>0.0</v>
      </c>
      <c r="W53" s="21">
        <v>0.0</v>
      </c>
      <c r="X53" s="21" t="s">
        <v>53</v>
      </c>
      <c r="Y53" s="21">
        <v>0.0</v>
      </c>
      <c r="Z53" s="21" t="s">
        <v>53</v>
      </c>
      <c r="AA53" s="21" t="s">
        <v>432</v>
      </c>
      <c r="AB53" s="23" t="s">
        <v>422</v>
      </c>
      <c r="AC53" s="23" t="b">
        <v>1</v>
      </c>
      <c r="AD53" s="21"/>
      <c r="AE53" s="21"/>
      <c r="AF53" s="21"/>
      <c r="AG53" s="21"/>
      <c r="AH53" s="21"/>
      <c r="AI53" s="21"/>
      <c r="AJ53" s="21"/>
      <c r="AK53" s="21"/>
      <c r="AL53" s="21"/>
      <c r="AM53" s="21"/>
      <c r="AN53" s="23"/>
      <c r="AO53" s="23"/>
      <c r="AP53" s="23"/>
      <c r="AQ53" s="35"/>
    </row>
    <row r="54" ht="15.0" customHeight="1">
      <c r="A54" s="13">
        <v>53.0</v>
      </c>
      <c r="B54" s="8" t="s">
        <v>42</v>
      </c>
      <c r="C54" s="14" t="s">
        <v>411</v>
      </c>
      <c r="D54" s="14" t="s">
        <v>423</v>
      </c>
      <c r="E54" s="14" t="s">
        <v>424</v>
      </c>
      <c r="F54" s="14" t="s">
        <v>495</v>
      </c>
      <c r="G54" s="14" t="s">
        <v>496</v>
      </c>
      <c r="H54" s="14" t="s">
        <v>501</v>
      </c>
      <c r="I54" s="14" t="s">
        <v>502</v>
      </c>
      <c r="J54" s="14" t="s">
        <v>478</v>
      </c>
      <c r="K54" s="14" t="s">
        <v>503</v>
      </c>
      <c r="L54" s="14" t="s">
        <v>504</v>
      </c>
      <c r="M54" s="14">
        <v>1.0</v>
      </c>
      <c r="N54" s="14">
        <v>0.0</v>
      </c>
      <c r="O54" s="14">
        <v>0.26</v>
      </c>
      <c r="P54" s="14">
        <v>46.0</v>
      </c>
      <c r="Q54" s="14">
        <v>74.0</v>
      </c>
      <c r="R54" s="14" t="s">
        <v>53</v>
      </c>
      <c r="S54" s="14">
        <v>0.0</v>
      </c>
      <c r="T54" s="14" t="s">
        <v>53</v>
      </c>
      <c r="U54" s="14">
        <v>0.0</v>
      </c>
      <c r="V54" s="14">
        <v>0.0</v>
      </c>
      <c r="W54" s="14">
        <v>0.0</v>
      </c>
      <c r="X54" s="14" t="s">
        <v>53</v>
      </c>
      <c r="Y54" s="14">
        <v>0.0</v>
      </c>
      <c r="Z54" s="14" t="s">
        <v>53</v>
      </c>
      <c r="AA54" s="14" t="s">
        <v>432</v>
      </c>
      <c r="AB54" s="15" t="s">
        <v>422</v>
      </c>
      <c r="AC54" s="15" t="b">
        <v>1</v>
      </c>
      <c r="AD54" s="37" t="s">
        <v>57</v>
      </c>
      <c r="AE54" s="37" t="s">
        <v>57</v>
      </c>
      <c r="AF54" s="37">
        <v>0.13</v>
      </c>
      <c r="AG54" s="37" t="s">
        <v>78</v>
      </c>
      <c r="AH54" s="37" t="s">
        <v>58</v>
      </c>
      <c r="AI54" s="37" t="s">
        <v>163</v>
      </c>
      <c r="AJ54" s="37" t="s">
        <v>60</v>
      </c>
      <c r="AK54" s="37" t="s">
        <v>61</v>
      </c>
      <c r="AL54" s="37" t="s">
        <v>62</v>
      </c>
      <c r="AM54" s="37" t="s">
        <v>63</v>
      </c>
      <c r="AN54" s="37" t="s">
        <v>64</v>
      </c>
      <c r="AO54" s="37" t="s">
        <v>65</v>
      </c>
      <c r="AP54" s="15"/>
      <c r="AQ54" s="14"/>
    </row>
    <row r="55" ht="15.0" customHeight="1">
      <c r="A55" s="20">
        <v>54.0</v>
      </c>
      <c r="B55" s="8" t="s">
        <v>66</v>
      </c>
      <c r="C55" s="21" t="s">
        <v>411</v>
      </c>
      <c r="D55" s="21" t="s">
        <v>423</v>
      </c>
      <c r="E55" s="21" t="s">
        <v>424</v>
      </c>
      <c r="F55" s="21" t="s">
        <v>485</v>
      </c>
      <c r="G55" s="21" t="s">
        <v>486</v>
      </c>
      <c r="H55" s="22" t="s">
        <v>505</v>
      </c>
      <c r="I55" s="21" t="s">
        <v>506</v>
      </c>
      <c r="J55" s="21" t="s">
        <v>478</v>
      </c>
      <c r="K55" s="21" t="s">
        <v>507</v>
      </c>
      <c r="L55" s="21" t="s">
        <v>508</v>
      </c>
      <c r="M55" s="21">
        <v>1.0</v>
      </c>
      <c r="N55" s="21">
        <v>0.0</v>
      </c>
      <c r="O55" s="21">
        <v>0.28205128205128205</v>
      </c>
      <c r="P55" s="21">
        <v>44.0</v>
      </c>
      <c r="Q55" s="21">
        <v>74.0</v>
      </c>
      <c r="R55" s="21" t="s">
        <v>53</v>
      </c>
      <c r="S55" s="21">
        <v>0.0</v>
      </c>
      <c r="T55" s="21" t="s">
        <v>53</v>
      </c>
      <c r="U55" s="21">
        <v>0.0</v>
      </c>
      <c r="V55" s="21">
        <v>0.0</v>
      </c>
      <c r="W55" s="21">
        <v>0.0</v>
      </c>
      <c r="X55" s="21" t="s">
        <v>53</v>
      </c>
      <c r="Y55" s="21">
        <v>0.0</v>
      </c>
      <c r="Z55" s="21" t="s">
        <v>53</v>
      </c>
      <c r="AA55" s="21" t="s">
        <v>432</v>
      </c>
      <c r="AB55" s="23" t="s">
        <v>422</v>
      </c>
      <c r="AC55" s="23" t="b">
        <v>1</v>
      </c>
      <c r="AD55" s="21"/>
      <c r="AE55" s="21"/>
      <c r="AF55" s="21"/>
      <c r="AG55" s="21"/>
      <c r="AH55" s="21"/>
      <c r="AI55" s="21"/>
      <c r="AJ55" s="21"/>
      <c r="AK55" s="21"/>
      <c r="AL55" s="21"/>
      <c r="AM55" s="21"/>
      <c r="AN55" s="23"/>
      <c r="AO55" s="23"/>
      <c r="AP55" s="23"/>
      <c r="AQ55" s="35"/>
    </row>
    <row r="56" ht="15.0" customHeight="1">
      <c r="A56" s="20">
        <v>55.0</v>
      </c>
      <c r="B56" s="8" t="s">
        <v>66</v>
      </c>
      <c r="C56" s="21" t="s">
        <v>411</v>
      </c>
      <c r="D56" s="21" t="s">
        <v>423</v>
      </c>
      <c r="E56" s="21" t="s">
        <v>424</v>
      </c>
      <c r="F56" s="21" t="s">
        <v>509</v>
      </c>
      <c r="G56" s="21" t="s">
        <v>510</v>
      </c>
      <c r="H56" s="22" t="s">
        <v>511</v>
      </c>
      <c r="I56" s="21" t="s">
        <v>512</v>
      </c>
      <c r="J56" s="21" t="s">
        <v>478</v>
      </c>
      <c r="K56" s="21" t="s">
        <v>513</v>
      </c>
      <c r="L56" s="21" t="s">
        <v>514</v>
      </c>
      <c r="M56" s="21">
        <v>1.0</v>
      </c>
      <c r="N56" s="21">
        <v>0.0</v>
      </c>
      <c r="O56" s="21">
        <v>0.2620689655172414</v>
      </c>
      <c r="P56" s="21">
        <v>11.0</v>
      </c>
      <c r="Q56" s="21">
        <v>74.0</v>
      </c>
      <c r="R56" s="21" t="s">
        <v>53</v>
      </c>
      <c r="S56" s="21">
        <v>0.0</v>
      </c>
      <c r="T56" s="21" t="s">
        <v>53</v>
      </c>
      <c r="U56" s="21">
        <v>0.0</v>
      </c>
      <c r="V56" s="21">
        <v>0.0</v>
      </c>
      <c r="W56" s="21">
        <v>0.0</v>
      </c>
      <c r="X56" s="21" t="s">
        <v>53</v>
      </c>
      <c r="Y56" s="21">
        <v>0.0</v>
      </c>
      <c r="Z56" s="21" t="s">
        <v>53</v>
      </c>
      <c r="AA56" s="21" t="s">
        <v>432</v>
      </c>
      <c r="AB56" s="23" t="s">
        <v>422</v>
      </c>
      <c r="AC56" s="23" t="b">
        <v>1</v>
      </c>
      <c r="AD56" s="21"/>
      <c r="AE56" s="21"/>
      <c r="AF56" s="21"/>
      <c r="AG56" s="21"/>
      <c r="AH56" s="21"/>
      <c r="AI56" s="21"/>
      <c r="AJ56" s="21"/>
      <c r="AK56" s="21"/>
      <c r="AL56" s="21"/>
      <c r="AM56" s="21"/>
      <c r="AN56" s="23"/>
      <c r="AO56" s="23"/>
      <c r="AP56" s="23"/>
      <c r="AQ56" s="35"/>
    </row>
    <row r="57" ht="15.0" customHeight="1">
      <c r="A57" s="20">
        <v>56.0</v>
      </c>
      <c r="B57" s="8" t="s">
        <v>66</v>
      </c>
      <c r="C57" s="21" t="s">
        <v>515</v>
      </c>
      <c r="D57" s="21" t="s">
        <v>516</v>
      </c>
      <c r="E57" s="21" t="s">
        <v>517</v>
      </c>
      <c r="F57" s="21" t="s">
        <v>128</v>
      </c>
      <c r="G57" s="21" t="s">
        <v>518</v>
      </c>
      <c r="H57" s="22" t="s">
        <v>519</v>
      </c>
      <c r="I57" s="21" t="s">
        <v>520</v>
      </c>
      <c r="J57" s="21" t="s">
        <v>132</v>
      </c>
      <c r="K57" s="21" t="s">
        <v>521</v>
      </c>
      <c r="L57" s="21" t="s">
        <v>522</v>
      </c>
      <c r="M57" s="21">
        <v>1.0</v>
      </c>
      <c r="N57" s="21">
        <v>0.0</v>
      </c>
      <c r="O57" s="21">
        <v>0.11153846153846154</v>
      </c>
      <c r="P57" s="21">
        <v>6.0</v>
      </c>
      <c r="Q57" s="21">
        <v>7.0</v>
      </c>
      <c r="R57" s="21" t="s">
        <v>135</v>
      </c>
      <c r="S57" s="21">
        <v>0.0</v>
      </c>
      <c r="T57" s="21" t="s">
        <v>53</v>
      </c>
      <c r="U57" s="21">
        <v>0.0</v>
      </c>
      <c r="V57" s="21">
        <v>0.0</v>
      </c>
      <c r="W57" s="21">
        <v>0.0</v>
      </c>
      <c r="X57" s="21" t="s">
        <v>53</v>
      </c>
      <c r="Y57" s="21">
        <v>0.0</v>
      </c>
      <c r="Z57" s="21" t="s">
        <v>53</v>
      </c>
      <c r="AA57" s="21" t="s">
        <v>523</v>
      </c>
      <c r="AB57" s="23" t="s">
        <v>524</v>
      </c>
      <c r="AC57" s="23" t="b">
        <v>1</v>
      </c>
      <c r="AD57" s="21"/>
      <c r="AE57" s="21"/>
      <c r="AF57" s="21"/>
      <c r="AG57" s="21"/>
      <c r="AH57" s="21"/>
      <c r="AI57" s="21"/>
      <c r="AJ57" s="21"/>
      <c r="AK57" s="21"/>
      <c r="AL57" s="21"/>
      <c r="AM57" s="21"/>
      <c r="AN57" s="23"/>
      <c r="AO57" s="23"/>
      <c r="AP57" s="23"/>
      <c r="AQ57" s="35"/>
    </row>
    <row r="58" ht="15.0" customHeight="1">
      <c r="A58" s="20">
        <v>57.0</v>
      </c>
      <c r="B58" s="8" t="s">
        <v>66</v>
      </c>
      <c r="C58" s="21" t="s">
        <v>525</v>
      </c>
      <c r="D58" s="21" t="s">
        <v>526</v>
      </c>
      <c r="E58" s="21" t="s">
        <v>517</v>
      </c>
      <c r="F58" s="21" t="s">
        <v>527</v>
      </c>
      <c r="G58" s="21" t="s">
        <v>528</v>
      </c>
      <c r="H58" s="22" t="s">
        <v>529</v>
      </c>
      <c r="I58" s="21" t="s">
        <v>530</v>
      </c>
      <c r="J58" s="21" t="s">
        <v>531</v>
      </c>
      <c r="K58" s="21" t="s">
        <v>532</v>
      </c>
      <c r="L58" s="21" t="s">
        <v>533</v>
      </c>
      <c r="M58" s="21">
        <v>1.0</v>
      </c>
      <c r="N58" s="21">
        <v>0.8888888888888888</v>
      </c>
      <c r="O58" s="21">
        <v>0.8594554819720382</v>
      </c>
      <c r="P58" s="21">
        <v>1.0</v>
      </c>
      <c r="Q58" s="21">
        <v>2.0</v>
      </c>
      <c r="R58" s="21" t="s">
        <v>534</v>
      </c>
      <c r="S58" s="21">
        <v>0.0</v>
      </c>
      <c r="T58" s="21" t="s">
        <v>53</v>
      </c>
      <c r="U58" s="21">
        <v>0.0</v>
      </c>
      <c r="V58" s="21">
        <v>0.0</v>
      </c>
      <c r="W58" s="21">
        <v>0.0</v>
      </c>
      <c r="X58" s="21" t="s">
        <v>53</v>
      </c>
      <c r="Y58" s="21">
        <v>3.0</v>
      </c>
      <c r="Z58" s="21" t="s">
        <v>535</v>
      </c>
      <c r="AA58" s="21" t="s">
        <v>536</v>
      </c>
      <c r="AB58" s="23" t="s">
        <v>537</v>
      </c>
      <c r="AC58" s="23" t="b">
        <v>1</v>
      </c>
      <c r="AD58" s="21"/>
      <c r="AE58" s="21"/>
      <c r="AF58" s="21"/>
      <c r="AG58" s="21"/>
      <c r="AH58" s="21"/>
      <c r="AI58" s="21"/>
      <c r="AJ58" s="21"/>
      <c r="AK58" s="21"/>
      <c r="AL58" s="21"/>
      <c r="AM58" s="21"/>
      <c r="AN58" s="23"/>
      <c r="AO58" s="23"/>
      <c r="AP58" s="23"/>
      <c r="AQ58" s="35"/>
    </row>
    <row r="59" ht="15.0" customHeight="1">
      <c r="A59" s="13">
        <v>58.0</v>
      </c>
      <c r="B59" s="8" t="s">
        <v>42</v>
      </c>
      <c r="C59" s="14" t="s">
        <v>229</v>
      </c>
      <c r="D59" s="14" t="s">
        <v>538</v>
      </c>
      <c r="E59" s="14" t="s">
        <v>517</v>
      </c>
      <c r="F59" s="14" t="s">
        <v>539</v>
      </c>
      <c r="G59" s="14" t="s">
        <v>540</v>
      </c>
      <c r="H59" s="14" t="s">
        <v>541</v>
      </c>
      <c r="I59" s="14" t="s">
        <v>542</v>
      </c>
      <c r="J59" s="14" t="s">
        <v>236</v>
      </c>
      <c r="K59" s="14" t="s">
        <v>543</v>
      </c>
      <c r="L59" s="14" t="s">
        <v>238</v>
      </c>
      <c r="M59" s="14">
        <v>1.0</v>
      </c>
      <c r="N59" s="14">
        <v>0.25</v>
      </c>
      <c r="O59" s="14">
        <v>0.44694533762057875</v>
      </c>
      <c r="P59" s="14">
        <v>10.0</v>
      </c>
      <c r="Q59" s="14">
        <v>15.0</v>
      </c>
      <c r="R59" s="14" t="s">
        <v>53</v>
      </c>
      <c r="S59" s="14">
        <v>0.0</v>
      </c>
      <c r="T59" s="14" t="s">
        <v>53</v>
      </c>
      <c r="U59" s="14">
        <v>0.0</v>
      </c>
      <c r="V59" s="14">
        <v>0.0</v>
      </c>
      <c r="W59" s="14">
        <v>1.0</v>
      </c>
      <c r="X59" s="14" t="s">
        <v>239</v>
      </c>
      <c r="Y59" s="14">
        <v>0.0</v>
      </c>
      <c r="Z59" s="14" t="s">
        <v>53</v>
      </c>
      <c r="AA59" s="14" t="s">
        <v>544</v>
      </c>
      <c r="AB59" s="15" t="s">
        <v>545</v>
      </c>
      <c r="AC59" s="15" t="b">
        <v>1</v>
      </c>
      <c r="AD59" s="37" t="s">
        <v>57</v>
      </c>
      <c r="AE59" s="37" t="s">
        <v>57</v>
      </c>
      <c r="AF59" s="37">
        <v>0.0</v>
      </c>
      <c r="AG59" s="37" t="s">
        <v>78</v>
      </c>
      <c r="AH59" s="37" t="s">
        <v>162</v>
      </c>
      <c r="AI59" s="37" t="s">
        <v>59</v>
      </c>
      <c r="AJ59" s="37" t="s">
        <v>546</v>
      </c>
      <c r="AK59" s="43" t="s">
        <v>249</v>
      </c>
      <c r="AL59" s="37" t="s">
        <v>62</v>
      </c>
      <c r="AM59" s="37" t="s">
        <v>547</v>
      </c>
      <c r="AN59" s="37" t="s">
        <v>164</v>
      </c>
      <c r="AO59" s="37" t="s">
        <v>65</v>
      </c>
      <c r="AP59" s="15"/>
      <c r="AQ59" s="14"/>
    </row>
    <row r="60" ht="15.0" customHeight="1">
      <c r="A60" s="20">
        <v>59.0</v>
      </c>
      <c r="B60" s="8" t="s">
        <v>66</v>
      </c>
      <c r="C60" s="21" t="s">
        <v>229</v>
      </c>
      <c r="D60" s="21" t="s">
        <v>538</v>
      </c>
      <c r="E60" s="21" t="s">
        <v>517</v>
      </c>
      <c r="F60" s="21" t="s">
        <v>242</v>
      </c>
      <c r="G60" s="21" t="s">
        <v>548</v>
      </c>
      <c r="H60" s="22" t="s">
        <v>549</v>
      </c>
      <c r="I60" s="21" t="s">
        <v>550</v>
      </c>
      <c r="J60" s="21" t="s">
        <v>246</v>
      </c>
      <c r="K60" s="21" t="s">
        <v>551</v>
      </c>
      <c r="L60" s="21" t="s">
        <v>248</v>
      </c>
      <c r="M60" s="21">
        <v>1.0</v>
      </c>
      <c r="N60" s="21">
        <v>0.3333333333333333</v>
      </c>
      <c r="O60" s="21">
        <v>0.40878378378378377</v>
      </c>
      <c r="P60" s="21">
        <v>8.0</v>
      </c>
      <c r="Q60" s="21">
        <v>15.0</v>
      </c>
      <c r="R60" s="21" t="s">
        <v>53</v>
      </c>
      <c r="S60" s="21">
        <v>0.0</v>
      </c>
      <c r="T60" s="21" t="s">
        <v>53</v>
      </c>
      <c r="U60" s="21">
        <v>0.0</v>
      </c>
      <c r="V60" s="21">
        <v>0.0</v>
      </c>
      <c r="W60" s="21">
        <v>1.0</v>
      </c>
      <c r="X60" s="21" t="s">
        <v>185</v>
      </c>
      <c r="Y60" s="21">
        <v>0.0</v>
      </c>
      <c r="Z60" s="21" t="s">
        <v>53</v>
      </c>
      <c r="AA60" s="21" t="s">
        <v>544</v>
      </c>
      <c r="AB60" s="23" t="s">
        <v>545</v>
      </c>
      <c r="AC60" s="23" t="b">
        <v>1</v>
      </c>
      <c r="AD60" s="21"/>
      <c r="AE60" s="21"/>
      <c r="AF60" s="21"/>
      <c r="AG60" s="21"/>
      <c r="AH60" s="21"/>
      <c r="AI60" s="21"/>
      <c r="AJ60" s="21"/>
      <c r="AK60" s="21"/>
      <c r="AL60" s="21"/>
      <c r="AM60" s="21"/>
      <c r="AN60" s="23"/>
      <c r="AO60" s="23"/>
      <c r="AP60" s="23"/>
      <c r="AQ60" s="35"/>
    </row>
    <row r="61" ht="15.0" customHeight="1">
      <c r="A61" s="20">
        <v>60.0</v>
      </c>
      <c r="B61" s="8" t="s">
        <v>66</v>
      </c>
      <c r="C61" s="21" t="s">
        <v>229</v>
      </c>
      <c r="D61" s="21" t="s">
        <v>538</v>
      </c>
      <c r="E61" s="21" t="s">
        <v>517</v>
      </c>
      <c r="F61" s="21" t="s">
        <v>178</v>
      </c>
      <c r="G61" s="21" t="s">
        <v>552</v>
      </c>
      <c r="H61" s="22" t="s">
        <v>553</v>
      </c>
      <c r="I61" s="21" t="s">
        <v>554</v>
      </c>
      <c r="J61" s="21" t="s">
        <v>253</v>
      </c>
      <c r="K61" s="21" t="s">
        <v>555</v>
      </c>
      <c r="L61" s="21" t="s">
        <v>255</v>
      </c>
      <c r="M61" s="21">
        <v>1.0</v>
      </c>
      <c r="N61" s="21">
        <v>0.2</v>
      </c>
      <c r="O61" s="21">
        <v>0.5444444444444444</v>
      </c>
      <c r="P61" s="21">
        <v>0.0</v>
      </c>
      <c r="Q61" s="21">
        <v>15.0</v>
      </c>
      <c r="R61" s="21" t="s">
        <v>53</v>
      </c>
      <c r="S61" s="21">
        <v>0.0</v>
      </c>
      <c r="T61" s="21" t="s">
        <v>53</v>
      </c>
      <c r="U61" s="21">
        <v>0.0</v>
      </c>
      <c r="V61" s="21">
        <v>0.0</v>
      </c>
      <c r="W61" s="21">
        <v>1.0</v>
      </c>
      <c r="X61" s="21" t="s">
        <v>185</v>
      </c>
      <c r="Y61" s="21">
        <v>0.0</v>
      </c>
      <c r="Z61" s="21" t="s">
        <v>53</v>
      </c>
      <c r="AA61" s="21" t="s">
        <v>544</v>
      </c>
      <c r="AB61" s="23" t="s">
        <v>545</v>
      </c>
      <c r="AC61" s="23" t="b">
        <v>1</v>
      </c>
      <c r="AD61" s="21"/>
      <c r="AE61" s="21"/>
      <c r="AF61" s="21"/>
      <c r="AG61" s="21"/>
      <c r="AH61" s="21"/>
      <c r="AI61" s="21"/>
      <c r="AJ61" s="21"/>
      <c r="AK61" s="21"/>
      <c r="AL61" s="21"/>
      <c r="AM61" s="21"/>
      <c r="AN61" s="23"/>
      <c r="AO61" s="23"/>
      <c r="AP61" s="23"/>
      <c r="AQ61" s="35"/>
    </row>
    <row r="62" ht="15.0" customHeight="1">
      <c r="A62" s="7">
        <v>61.0</v>
      </c>
      <c r="B62" s="8" t="s">
        <v>42</v>
      </c>
      <c r="C62" s="9" t="s">
        <v>229</v>
      </c>
      <c r="D62" s="9" t="s">
        <v>538</v>
      </c>
      <c r="E62" s="9" t="s">
        <v>517</v>
      </c>
      <c r="F62" s="9" t="s">
        <v>178</v>
      </c>
      <c r="G62" s="9" t="s">
        <v>552</v>
      </c>
      <c r="H62" s="9" t="s">
        <v>556</v>
      </c>
      <c r="I62" s="9" t="s">
        <v>557</v>
      </c>
      <c r="J62" s="9" t="s">
        <v>182</v>
      </c>
      <c r="K62" s="9" t="s">
        <v>558</v>
      </c>
      <c r="L62" s="9" t="s">
        <v>259</v>
      </c>
      <c r="M62" s="9">
        <v>1.0</v>
      </c>
      <c r="N62" s="9">
        <v>0.5</v>
      </c>
      <c r="O62" s="9">
        <v>0.5774193548387097</v>
      </c>
      <c r="P62" s="9">
        <v>0.0</v>
      </c>
      <c r="Q62" s="9">
        <v>15.0</v>
      </c>
      <c r="R62" s="9" t="s">
        <v>53</v>
      </c>
      <c r="S62" s="9">
        <v>0.0</v>
      </c>
      <c r="T62" s="9" t="s">
        <v>53</v>
      </c>
      <c r="U62" s="9">
        <v>0.0</v>
      </c>
      <c r="V62" s="9">
        <v>0.0</v>
      </c>
      <c r="W62" s="9">
        <v>0.0</v>
      </c>
      <c r="X62" s="9" t="s">
        <v>53</v>
      </c>
      <c r="Y62" s="9">
        <v>1.0</v>
      </c>
      <c r="Z62" s="9" t="s">
        <v>185</v>
      </c>
      <c r="AA62" s="9" t="s">
        <v>544</v>
      </c>
      <c r="AB62" s="10" t="s">
        <v>545</v>
      </c>
      <c r="AC62" s="10" t="b">
        <v>1</v>
      </c>
      <c r="AD62" s="40" t="s">
        <v>57</v>
      </c>
      <c r="AE62" s="40" t="s">
        <v>123</v>
      </c>
      <c r="AF62" s="40">
        <v>0.2</v>
      </c>
      <c r="AG62" s="40"/>
      <c r="AH62" s="40" t="s">
        <v>559</v>
      </c>
      <c r="AI62" s="40" t="s">
        <v>59</v>
      </c>
      <c r="AJ62" s="40" t="s">
        <v>560</v>
      </c>
      <c r="AK62" s="40" t="s">
        <v>561</v>
      </c>
      <c r="AL62" s="40" t="s">
        <v>62</v>
      </c>
      <c r="AM62" s="40" t="s">
        <v>63</v>
      </c>
      <c r="AN62" s="40" t="s">
        <v>164</v>
      </c>
      <c r="AO62" s="40" t="s">
        <v>562</v>
      </c>
      <c r="AP62" s="10"/>
      <c r="AQ62" s="9"/>
    </row>
    <row r="63" ht="15.0" customHeight="1">
      <c r="A63" s="20">
        <v>62.0</v>
      </c>
      <c r="B63" s="8" t="s">
        <v>66</v>
      </c>
      <c r="C63" s="21" t="s">
        <v>563</v>
      </c>
      <c r="D63" s="21" t="s">
        <v>564</v>
      </c>
      <c r="E63" s="21" t="s">
        <v>565</v>
      </c>
      <c r="F63" s="21" t="s">
        <v>566</v>
      </c>
      <c r="G63" s="21" t="s">
        <v>567</v>
      </c>
      <c r="H63" s="22" t="s">
        <v>568</v>
      </c>
      <c r="I63" s="21" t="s">
        <v>569</v>
      </c>
      <c r="J63" s="21" t="s">
        <v>570</v>
      </c>
      <c r="K63" s="21" t="s">
        <v>571</v>
      </c>
      <c r="L63" s="21" t="s">
        <v>572</v>
      </c>
      <c r="M63" s="21">
        <v>0.3333333333333333</v>
      </c>
      <c r="N63" s="21">
        <v>0.375</v>
      </c>
      <c r="O63" s="21">
        <v>0.0948905109489051</v>
      </c>
      <c r="P63" s="21">
        <v>2.0</v>
      </c>
      <c r="Q63" s="21">
        <v>18.0</v>
      </c>
      <c r="R63" s="21" t="s">
        <v>573</v>
      </c>
      <c r="S63" s="21">
        <v>2.0</v>
      </c>
      <c r="T63" s="21" t="s">
        <v>574</v>
      </c>
      <c r="U63" s="21">
        <v>2.0</v>
      </c>
      <c r="V63" s="21">
        <v>2.0</v>
      </c>
      <c r="W63" s="21">
        <v>0.0</v>
      </c>
      <c r="X63" s="21" t="s">
        <v>53</v>
      </c>
      <c r="Y63" s="21">
        <v>0.0</v>
      </c>
      <c r="Z63" s="21" t="s">
        <v>53</v>
      </c>
      <c r="AA63" s="21" t="s">
        <v>575</v>
      </c>
      <c r="AB63" s="23" t="s">
        <v>545</v>
      </c>
      <c r="AC63" s="23" t="b">
        <v>1</v>
      </c>
      <c r="AD63" s="21"/>
      <c r="AE63" s="21"/>
      <c r="AF63" s="21"/>
      <c r="AG63" s="21"/>
      <c r="AH63" s="21"/>
      <c r="AI63" s="21"/>
      <c r="AJ63" s="21"/>
      <c r="AK63" s="21"/>
      <c r="AL63" s="21"/>
      <c r="AM63" s="21"/>
      <c r="AN63" s="23"/>
      <c r="AO63" s="23"/>
      <c r="AP63" s="23"/>
      <c r="AQ63" s="35"/>
    </row>
    <row r="64" ht="15.0" customHeight="1">
      <c r="A64" s="13">
        <v>63.0</v>
      </c>
      <c r="B64" s="8" t="s">
        <v>42</v>
      </c>
      <c r="C64" s="14" t="s">
        <v>563</v>
      </c>
      <c r="D64" s="14" t="s">
        <v>576</v>
      </c>
      <c r="E64" s="14" t="s">
        <v>577</v>
      </c>
      <c r="F64" s="14" t="s">
        <v>578</v>
      </c>
      <c r="G64" s="14" t="s">
        <v>579</v>
      </c>
      <c r="H64" s="14" t="s">
        <v>580</v>
      </c>
      <c r="I64" s="14" t="s">
        <v>581</v>
      </c>
      <c r="J64" s="14" t="s">
        <v>582</v>
      </c>
      <c r="K64" s="14" t="s">
        <v>583</v>
      </c>
      <c r="L64" s="14" t="s">
        <v>584</v>
      </c>
      <c r="M64" s="14">
        <v>0.5</v>
      </c>
      <c r="N64" s="14">
        <v>0.3333333333333333</v>
      </c>
      <c r="O64" s="14">
        <v>0.09929078014184398</v>
      </c>
      <c r="P64" s="14">
        <v>3.0</v>
      </c>
      <c r="Q64" s="14">
        <v>19.0</v>
      </c>
      <c r="R64" s="14" t="s">
        <v>573</v>
      </c>
      <c r="S64" s="14">
        <v>1.0</v>
      </c>
      <c r="T64" s="14" t="s">
        <v>585</v>
      </c>
      <c r="U64" s="14">
        <v>1.0</v>
      </c>
      <c r="V64" s="14">
        <v>1.0</v>
      </c>
      <c r="W64" s="14">
        <v>0.0</v>
      </c>
      <c r="X64" s="14" t="s">
        <v>53</v>
      </c>
      <c r="Y64" s="14">
        <v>0.0</v>
      </c>
      <c r="Z64" s="14" t="s">
        <v>53</v>
      </c>
      <c r="AA64" s="14" t="s">
        <v>586</v>
      </c>
      <c r="AB64" s="15" t="s">
        <v>545</v>
      </c>
      <c r="AC64" s="15" t="b">
        <v>1</v>
      </c>
      <c r="AD64" s="37" t="s">
        <v>57</v>
      </c>
      <c r="AE64" s="37" t="s">
        <v>57</v>
      </c>
      <c r="AF64" s="37">
        <v>0.5</v>
      </c>
      <c r="AG64" s="37" t="s">
        <v>78</v>
      </c>
      <c r="AH64" s="37" t="s">
        <v>58</v>
      </c>
      <c r="AI64" s="43" t="s">
        <v>163</v>
      </c>
      <c r="AJ64" s="37" t="s">
        <v>209</v>
      </c>
      <c r="AK64" s="38" t="s">
        <v>374</v>
      </c>
      <c r="AL64" s="37" t="s">
        <v>62</v>
      </c>
      <c r="AM64" s="37" t="s">
        <v>63</v>
      </c>
      <c r="AN64" s="37" t="s">
        <v>587</v>
      </c>
      <c r="AO64" s="37" t="s">
        <v>65</v>
      </c>
      <c r="AP64" s="15"/>
      <c r="AQ64" s="14"/>
    </row>
    <row r="65" ht="15.0" customHeight="1">
      <c r="A65" s="20">
        <v>64.0</v>
      </c>
      <c r="B65" s="8" t="s">
        <v>66</v>
      </c>
      <c r="C65" s="21" t="s">
        <v>563</v>
      </c>
      <c r="D65" s="21" t="s">
        <v>588</v>
      </c>
      <c r="E65" s="21" t="s">
        <v>576</v>
      </c>
      <c r="F65" s="21" t="s">
        <v>589</v>
      </c>
      <c r="G65" s="21" t="s">
        <v>590</v>
      </c>
      <c r="H65" s="22" t="s">
        <v>591</v>
      </c>
      <c r="I65" s="21" t="s">
        <v>592</v>
      </c>
      <c r="J65" s="21" t="s">
        <v>593</v>
      </c>
      <c r="K65" s="21" t="s">
        <v>594</v>
      </c>
      <c r="L65" s="21" t="s">
        <v>595</v>
      </c>
      <c r="M65" s="21">
        <v>1.0</v>
      </c>
      <c r="N65" s="21">
        <v>0.0</v>
      </c>
      <c r="O65" s="21">
        <v>0.1037037037037037</v>
      </c>
      <c r="P65" s="21">
        <v>5.0</v>
      </c>
      <c r="Q65" s="21">
        <v>20.0</v>
      </c>
      <c r="R65" s="21" t="s">
        <v>53</v>
      </c>
      <c r="S65" s="21">
        <v>0.0</v>
      </c>
      <c r="T65" s="21" t="s">
        <v>53</v>
      </c>
      <c r="U65" s="21">
        <v>0.0</v>
      </c>
      <c r="V65" s="21">
        <v>0.0</v>
      </c>
      <c r="W65" s="21">
        <v>0.0</v>
      </c>
      <c r="X65" s="21" t="s">
        <v>53</v>
      </c>
      <c r="Y65" s="21">
        <v>0.0</v>
      </c>
      <c r="Z65" s="21" t="s">
        <v>53</v>
      </c>
      <c r="AA65" s="21" t="s">
        <v>596</v>
      </c>
      <c r="AB65" s="23" t="s">
        <v>545</v>
      </c>
      <c r="AC65" s="23" t="b">
        <v>1</v>
      </c>
      <c r="AD65" s="21"/>
      <c r="AE65" s="21"/>
      <c r="AF65" s="21"/>
      <c r="AG65" s="21"/>
      <c r="AH65" s="21"/>
      <c r="AI65" s="21"/>
      <c r="AJ65" s="21"/>
      <c r="AK65" s="44"/>
      <c r="AL65" s="21"/>
      <c r="AM65" s="21"/>
      <c r="AN65" s="23"/>
      <c r="AO65" s="23"/>
      <c r="AP65" s="23"/>
      <c r="AQ65" s="35"/>
    </row>
    <row r="66" ht="15.0" customHeight="1">
      <c r="A66" s="20">
        <v>65.0</v>
      </c>
      <c r="B66" s="8" t="s">
        <v>66</v>
      </c>
      <c r="C66" s="21" t="s">
        <v>563</v>
      </c>
      <c r="D66" s="21" t="s">
        <v>597</v>
      </c>
      <c r="E66" s="21" t="s">
        <v>588</v>
      </c>
      <c r="F66" s="21" t="s">
        <v>598</v>
      </c>
      <c r="G66" s="21" t="s">
        <v>599</v>
      </c>
      <c r="H66" s="22" t="s">
        <v>600</v>
      </c>
      <c r="I66" s="21" t="s">
        <v>601</v>
      </c>
      <c r="J66" s="21" t="s">
        <v>593</v>
      </c>
      <c r="K66" s="21" t="s">
        <v>602</v>
      </c>
      <c r="L66" s="21" t="s">
        <v>603</v>
      </c>
      <c r="M66" s="21">
        <v>1.0</v>
      </c>
      <c r="N66" s="21">
        <v>0.0</v>
      </c>
      <c r="O66" s="21">
        <v>0.1554054054054054</v>
      </c>
      <c r="P66" s="21">
        <v>2.0</v>
      </c>
      <c r="Q66" s="21">
        <v>16.0</v>
      </c>
      <c r="R66" s="21" t="s">
        <v>53</v>
      </c>
      <c r="S66" s="21">
        <v>0.0</v>
      </c>
      <c r="T66" s="21" t="s">
        <v>53</v>
      </c>
      <c r="U66" s="21">
        <v>0.0</v>
      </c>
      <c r="V66" s="21">
        <v>0.0</v>
      </c>
      <c r="W66" s="21">
        <v>0.0</v>
      </c>
      <c r="X66" s="21" t="s">
        <v>53</v>
      </c>
      <c r="Y66" s="21">
        <v>0.0</v>
      </c>
      <c r="Z66" s="21" t="s">
        <v>53</v>
      </c>
      <c r="AA66" s="21" t="s">
        <v>604</v>
      </c>
      <c r="AB66" s="23" t="s">
        <v>545</v>
      </c>
      <c r="AC66" s="23" t="b">
        <v>1</v>
      </c>
      <c r="AD66" s="21"/>
      <c r="AE66" s="21"/>
      <c r="AF66" s="21"/>
      <c r="AG66" s="21"/>
      <c r="AH66" s="21"/>
      <c r="AI66" s="21"/>
      <c r="AJ66" s="21"/>
      <c r="AK66" s="21"/>
      <c r="AL66" s="21"/>
      <c r="AM66" s="21"/>
      <c r="AN66" s="23"/>
      <c r="AO66" s="23"/>
      <c r="AP66" s="23"/>
      <c r="AQ66" s="35"/>
    </row>
    <row r="67" ht="15.0" customHeight="1">
      <c r="A67" s="20">
        <v>66.0</v>
      </c>
      <c r="B67" s="8" t="s">
        <v>66</v>
      </c>
      <c r="C67" s="21" t="s">
        <v>563</v>
      </c>
      <c r="D67" s="21" t="s">
        <v>597</v>
      </c>
      <c r="E67" s="21" t="s">
        <v>588</v>
      </c>
      <c r="F67" s="21" t="s">
        <v>605</v>
      </c>
      <c r="G67" s="21" t="s">
        <v>606</v>
      </c>
      <c r="H67" s="22" t="s">
        <v>607</v>
      </c>
      <c r="I67" s="21" t="s">
        <v>608</v>
      </c>
      <c r="J67" s="21" t="s">
        <v>609</v>
      </c>
      <c r="K67" s="21" t="s">
        <v>610</v>
      </c>
      <c r="L67" s="21" t="s">
        <v>611</v>
      </c>
      <c r="M67" s="21">
        <v>0.3333333333333333</v>
      </c>
      <c r="N67" s="21">
        <v>0.4</v>
      </c>
      <c r="O67" s="21">
        <v>0.08878504672897196</v>
      </c>
      <c r="P67" s="21">
        <v>3.0</v>
      </c>
      <c r="Q67" s="21">
        <v>16.0</v>
      </c>
      <c r="R67" s="21" t="s">
        <v>573</v>
      </c>
      <c r="S67" s="21">
        <v>2.0</v>
      </c>
      <c r="T67" s="21" t="s">
        <v>612</v>
      </c>
      <c r="U67" s="21">
        <v>2.0</v>
      </c>
      <c r="V67" s="21">
        <v>2.0</v>
      </c>
      <c r="W67" s="21">
        <v>0.0</v>
      </c>
      <c r="X67" s="21" t="s">
        <v>53</v>
      </c>
      <c r="Y67" s="21">
        <v>0.0</v>
      </c>
      <c r="Z67" s="21" t="s">
        <v>53</v>
      </c>
      <c r="AA67" s="21" t="s">
        <v>604</v>
      </c>
      <c r="AB67" s="23" t="s">
        <v>545</v>
      </c>
      <c r="AC67" s="23" t="b">
        <v>1</v>
      </c>
      <c r="AD67" s="21"/>
      <c r="AE67" s="21"/>
      <c r="AF67" s="21"/>
      <c r="AG67" s="21"/>
      <c r="AH67" s="21"/>
      <c r="AI67" s="21"/>
      <c r="AJ67" s="21"/>
      <c r="AK67" s="21"/>
      <c r="AL67" s="21"/>
      <c r="AM67" s="21"/>
      <c r="AN67" s="23"/>
      <c r="AO67" s="23"/>
      <c r="AP67" s="23"/>
      <c r="AQ67" s="35"/>
    </row>
    <row r="68" ht="15.0" customHeight="1">
      <c r="A68" s="20">
        <v>67.0</v>
      </c>
      <c r="B68" s="8" t="s">
        <v>66</v>
      </c>
      <c r="C68" s="21" t="s">
        <v>563</v>
      </c>
      <c r="D68" s="21" t="s">
        <v>613</v>
      </c>
      <c r="E68" s="21" t="s">
        <v>614</v>
      </c>
      <c r="F68" s="21" t="s">
        <v>605</v>
      </c>
      <c r="G68" s="21" t="s">
        <v>615</v>
      </c>
      <c r="H68" s="22" t="s">
        <v>616</v>
      </c>
      <c r="I68" s="21" t="s">
        <v>617</v>
      </c>
      <c r="J68" s="21" t="s">
        <v>618</v>
      </c>
      <c r="K68" s="21" t="s">
        <v>619</v>
      </c>
      <c r="L68" s="21" t="s">
        <v>620</v>
      </c>
      <c r="M68" s="21">
        <v>0.75</v>
      </c>
      <c r="N68" s="21">
        <v>0.25</v>
      </c>
      <c r="O68" s="21">
        <v>0.15483870967741936</v>
      </c>
      <c r="P68" s="21">
        <v>0.0</v>
      </c>
      <c r="Q68" s="21">
        <v>22.0</v>
      </c>
      <c r="R68" s="21" t="s">
        <v>621</v>
      </c>
      <c r="S68" s="21">
        <v>1.0</v>
      </c>
      <c r="T68" s="21" t="s">
        <v>622</v>
      </c>
      <c r="U68" s="21">
        <v>0.0</v>
      </c>
      <c r="V68" s="21">
        <v>0.0</v>
      </c>
      <c r="W68" s="21">
        <v>0.0</v>
      </c>
      <c r="X68" s="21" t="s">
        <v>53</v>
      </c>
      <c r="Y68" s="21">
        <v>0.0</v>
      </c>
      <c r="Z68" s="21" t="s">
        <v>53</v>
      </c>
      <c r="AA68" s="21" t="s">
        <v>623</v>
      </c>
      <c r="AB68" s="23" t="s">
        <v>545</v>
      </c>
      <c r="AC68" s="23" t="b">
        <v>1</v>
      </c>
      <c r="AD68" s="21"/>
      <c r="AE68" s="21"/>
      <c r="AF68" s="21"/>
      <c r="AG68" s="21"/>
      <c r="AH68" s="21"/>
      <c r="AI68" s="21"/>
      <c r="AJ68" s="21"/>
      <c r="AK68" s="21"/>
      <c r="AL68" s="21"/>
      <c r="AM68" s="21"/>
      <c r="AN68" s="23"/>
      <c r="AO68" s="23"/>
      <c r="AP68" s="23"/>
      <c r="AQ68" s="35"/>
    </row>
    <row r="69" ht="15.0" customHeight="1">
      <c r="A69" s="13">
        <v>68.0</v>
      </c>
      <c r="B69" s="8" t="s">
        <v>42</v>
      </c>
      <c r="C69" s="14" t="s">
        <v>563</v>
      </c>
      <c r="D69" s="14" t="s">
        <v>613</v>
      </c>
      <c r="E69" s="14" t="s">
        <v>614</v>
      </c>
      <c r="F69" s="14" t="s">
        <v>605</v>
      </c>
      <c r="G69" s="14" t="s">
        <v>615</v>
      </c>
      <c r="H69" s="14" t="s">
        <v>624</v>
      </c>
      <c r="I69" s="14" t="s">
        <v>625</v>
      </c>
      <c r="J69" s="14" t="s">
        <v>626</v>
      </c>
      <c r="K69" s="14" t="s">
        <v>627</v>
      </c>
      <c r="L69" s="14" t="s">
        <v>628</v>
      </c>
      <c r="M69" s="14">
        <v>1.0</v>
      </c>
      <c r="N69" s="14">
        <v>0.0</v>
      </c>
      <c r="O69" s="14">
        <v>0.1437125748502994</v>
      </c>
      <c r="P69" s="14">
        <v>8.0</v>
      </c>
      <c r="Q69" s="14">
        <v>22.0</v>
      </c>
      <c r="R69" s="14" t="s">
        <v>573</v>
      </c>
      <c r="S69" s="14">
        <v>0.0</v>
      </c>
      <c r="T69" s="14" t="s">
        <v>53</v>
      </c>
      <c r="U69" s="14">
        <v>0.0</v>
      </c>
      <c r="V69" s="14">
        <v>0.0</v>
      </c>
      <c r="W69" s="14">
        <v>0.0</v>
      </c>
      <c r="X69" s="14" t="s">
        <v>53</v>
      </c>
      <c r="Y69" s="14">
        <v>0.0</v>
      </c>
      <c r="Z69" s="14" t="s">
        <v>53</v>
      </c>
      <c r="AA69" s="14" t="s">
        <v>623</v>
      </c>
      <c r="AB69" s="15" t="s">
        <v>545</v>
      </c>
      <c r="AC69" s="15" t="b">
        <v>1</v>
      </c>
      <c r="AD69" s="37" t="s">
        <v>57</v>
      </c>
      <c r="AE69" s="37" t="s">
        <v>57</v>
      </c>
      <c r="AF69" s="37">
        <v>0.8</v>
      </c>
      <c r="AG69" s="37" t="s">
        <v>78</v>
      </c>
      <c r="AH69" s="37" t="s">
        <v>58</v>
      </c>
      <c r="AI69" s="37" t="s">
        <v>162</v>
      </c>
      <c r="AJ69" s="37" t="s">
        <v>209</v>
      </c>
      <c r="AK69" s="38" t="s">
        <v>629</v>
      </c>
      <c r="AL69" s="38" t="s">
        <v>630</v>
      </c>
      <c r="AM69" s="37" t="s">
        <v>63</v>
      </c>
      <c r="AN69" s="37" t="s">
        <v>164</v>
      </c>
      <c r="AO69" s="37" t="s">
        <v>65</v>
      </c>
      <c r="AP69" s="15"/>
      <c r="AQ69" s="14"/>
    </row>
    <row r="70" ht="15.0" customHeight="1">
      <c r="A70" s="20">
        <v>69.0</v>
      </c>
      <c r="B70" s="8" t="s">
        <v>66</v>
      </c>
      <c r="C70" s="21" t="s">
        <v>563</v>
      </c>
      <c r="D70" s="21" t="s">
        <v>613</v>
      </c>
      <c r="E70" s="21" t="s">
        <v>614</v>
      </c>
      <c r="F70" s="21" t="s">
        <v>611</v>
      </c>
      <c r="G70" s="21" t="s">
        <v>610</v>
      </c>
      <c r="H70" s="22" t="s">
        <v>631</v>
      </c>
      <c r="I70" s="21" t="s">
        <v>632</v>
      </c>
      <c r="J70" s="21" t="s">
        <v>633</v>
      </c>
      <c r="K70" s="21" t="s">
        <v>634</v>
      </c>
      <c r="L70" s="21" t="s">
        <v>635</v>
      </c>
      <c r="M70" s="21">
        <v>0.8</v>
      </c>
      <c r="N70" s="21">
        <v>0.2857142857142857</v>
      </c>
      <c r="O70" s="21">
        <v>0.17721518987341772</v>
      </c>
      <c r="P70" s="21">
        <v>0.0</v>
      </c>
      <c r="Q70" s="21">
        <v>22.0</v>
      </c>
      <c r="R70" s="21" t="s">
        <v>621</v>
      </c>
      <c r="S70" s="21">
        <v>1.0</v>
      </c>
      <c r="T70" s="21" t="s">
        <v>622</v>
      </c>
      <c r="U70" s="21">
        <v>0.0</v>
      </c>
      <c r="V70" s="21">
        <v>0.0</v>
      </c>
      <c r="W70" s="21">
        <v>0.0</v>
      </c>
      <c r="X70" s="21" t="s">
        <v>53</v>
      </c>
      <c r="Y70" s="21">
        <v>0.0</v>
      </c>
      <c r="Z70" s="21" t="s">
        <v>53</v>
      </c>
      <c r="AA70" s="21" t="s">
        <v>623</v>
      </c>
      <c r="AB70" s="23" t="s">
        <v>545</v>
      </c>
      <c r="AC70" s="23" t="b">
        <v>1</v>
      </c>
      <c r="AD70" s="21"/>
      <c r="AE70" s="21"/>
      <c r="AF70" s="21"/>
      <c r="AG70" s="21"/>
      <c r="AH70" s="21"/>
      <c r="AI70" s="21"/>
      <c r="AJ70" s="21"/>
      <c r="AK70" s="44"/>
      <c r="AL70" s="21"/>
      <c r="AM70" s="21"/>
      <c r="AN70" s="23"/>
      <c r="AO70" s="23"/>
      <c r="AP70" s="23"/>
      <c r="AQ70" s="35"/>
    </row>
    <row r="71" ht="15.0" customHeight="1">
      <c r="A71" s="20">
        <v>70.0</v>
      </c>
      <c r="B71" s="8" t="s">
        <v>66</v>
      </c>
      <c r="C71" s="21" t="s">
        <v>563</v>
      </c>
      <c r="D71" s="21" t="s">
        <v>613</v>
      </c>
      <c r="E71" s="21" t="s">
        <v>614</v>
      </c>
      <c r="F71" s="21" t="s">
        <v>636</v>
      </c>
      <c r="G71" s="21" t="s">
        <v>637</v>
      </c>
      <c r="H71" s="22" t="s">
        <v>638</v>
      </c>
      <c r="I71" s="21" t="s">
        <v>639</v>
      </c>
      <c r="J71" s="21" t="s">
        <v>640</v>
      </c>
      <c r="K71" s="21" t="s">
        <v>641</v>
      </c>
      <c r="L71" s="21" t="s">
        <v>642</v>
      </c>
      <c r="M71" s="21">
        <v>0.6</v>
      </c>
      <c r="N71" s="21">
        <v>0.125</v>
      </c>
      <c r="O71" s="21">
        <v>0.04714640198511166</v>
      </c>
      <c r="P71" s="21">
        <v>0.0</v>
      </c>
      <c r="Q71" s="21">
        <v>22.0</v>
      </c>
      <c r="R71" s="21" t="s">
        <v>643</v>
      </c>
      <c r="S71" s="21">
        <v>1.0</v>
      </c>
      <c r="T71" s="21" t="s">
        <v>644</v>
      </c>
      <c r="U71" s="21">
        <v>1.0</v>
      </c>
      <c r="V71" s="21">
        <v>1.0</v>
      </c>
      <c r="W71" s="21">
        <v>0.0</v>
      </c>
      <c r="X71" s="21" t="s">
        <v>53</v>
      </c>
      <c r="Y71" s="21">
        <v>0.0</v>
      </c>
      <c r="Z71" s="21" t="s">
        <v>53</v>
      </c>
      <c r="AA71" s="21" t="s">
        <v>623</v>
      </c>
      <c r="AB71" s="23" t="s">
        <v>545</v>
      </c>
      <c r="AC71" s="23" t="b">
        <v>1</v>
      </c>
      <c r="AD71" s="21"/>
      <c r="AE71" s="21"/>
      <c r="AF71" s="21"/>
      <c r="AG71" s="21"/>
      <c r="AH71" s="21"/>
      <c r="AI71" s="21"/>
      <c r="AJ71" s="21"/>
      <c r="AK71" s="21"/>
      <c r="AL71" s="21"/>
      <c r="AM71" s="21"/>
      <c r="AN71" s="23"/>
      <c r="AO71" s="23"/>
      <c r="AP71" s="23"/>
      <c r="AQ71" s="35"/>
    </row>
    <row r="72" ht="15.0" customHeight="1">
      <c r="A72" s="20">
        <v>71.0</v>
      </c>
      <c r="B72" s="8" t="s">
        <v>66</v>
      </c>
      <c r="C72" s="21" t="s">
        <v>563</v>
      </c>
      <c r="D72" s="21" t="s">
        <v>613</v>
      </c>
      <c r="E72" s="21" t="s">
        <v>614</v>
      </c>
      <c r="F72" s="21" t="s">
        <v>645</v>
      </c>
      <c r="G72" s="21" t="s">
        <v>646</v>
      </c>
      <c r="H72" s="22" t="s">
        <v>647</v>
      </c>
      <c r="I72" s="21" t="s">
        <v>648</v>
      </c>
      <c r="J72" s="21" t="s">
        <v>649</v>
      </c>
      <c r="K72" s="21" t="s">
        <v>650</v>
      </c>
      <c r="L72" s="21" t="s">
        <v>651</v>
      </c>
      <c r="M72" s="21">
        <v>0.6</v>
      </c>
      <c r="N72" s="21">
        <v>0.1</v>
      </c>
      <c r="O72" s="21">
        <v>0.04589371980676329</v>
      </c>
      <c r="P72" s="21">
        <v>0.0</v>
      </c>
      <c r="Q72" s="21">
        <v>22.0</v>
      </c>
      <c r="R72" s="21" t="s">
        <v>643</v>
      </c>
      <c r="S72" s="21">
        <v>1.0</v>
      </c>
      <c r="T72" s="21" t="s">
        <v>644</v>
      </c>
      <c r="U72" s="21">
        <v>1.0</v>
      </c>
      <c r="V72" s="21">
        <v>1.0</v>
      </c>
      <c r="W72" s="21">
        <v>0.0</v>
      </c>
      <c r="X72" s="21" t="s">
        <v>53</v>
      </c>
      <c r="Y72" s="21">
        <v>0.0</v>
      </c>
      <c r="Z72" s="21" t="s">
        <v>53</v>
      </c>
      <c r="AA72" s="21" t="s">
        <v>623</v>
      </c>
      <c r="AB72" s="23" t="s">
        <v>545</v>
      </c>
      <c r="AC72" s="23" t="b">
        <v>1</v>
      </c>
      <c r="AD72" s="21"/>
      <c r="AE72" s="21"/>
      <c r="AF72" s="21"/>
      <c r="AG72" s="21"/>
      <c r="AH72" s="21"/>
      <c r="AI72" s="21"/>
      <c r="AJ72" s="21"/>
      <c r="AK72" s="21"/>
      <c r="AL72" s="21"/>
      <c r="AM72" s="21"/>
      <c r="AN72" s="23"/>
      <c r="AO72" s="23"/>
      <c r="AP72" s="23"/>
      <c r="AQ72" s="35"/>
    </row>
    <row r="73" ht="15.0" customHeight="1">
      <c r="A73" s="20">
        <v>72.0</v>
      </c>
      <c r="B73" s="8" t="s">
        <v>66</v>
      </c>
      <c r="C73" s="21" t="s">
        <v>563</v>
      </c>
      <c r="D73" s="21" t="s">
        <v>613</v>
      </c>
      <c r="E73" s="21" t="s">
        <v>614</v>
      </c>
      <c r="F73" s="21" t="s">
        <v>605</v>
      </c>
      <c r="G73" s="21" t="s">
        <v>615</v>
      </c>
      <c r="H73" s="22" t="s">
        <v>652</v>
      </c>
      <c r="I73" s="21" t="s">
        <v>653</v>
      </c>
      <c r="J73" s="21" t="s">
        <v>654</v>
      </c>
      <c r="K73" s="21" t="s">
        <v>655</v>
      </c>
      <c r="L73" s="21" t="s">
        <v>656</v>
      </c>
      <c r="M73" s="21">
        <v>0.5</v>
      </c>
      <c r="N73" s="21">
        <v>0.3333333333333333</v>
      </c>
      <c r="O73" s="21">
        <v>0.04195804195804196</v>
      </c>
      <c r="P73" s="21">
        <v>15.0</v>
      </c>
      <c r="Q73" s="21">
        <v>22.0</v>
      </c>
      <c r="R73" s="21" t="s">
        <v>573</v>
      </c>
      <c r="S73" s="21">
        <v>1.0</v>
      </c>
      <c r="T73" s="21" t="s">
        <v>657</v>
      </c>
      <c r="U73" s="21">
        <v>1.0</v>
      </c>
      <c r="V73" s="21">
        <v>1.0</v>
      </c>
      <c r="W73" s="21">
        <v>0.0</v>
      </c>
      <c r="X73" s="21" t="s">
        <v>53</v>
      </c>
      <c r="Y73" s="21">
        <v>0.0</v>
      </c>
      <c r="Z73" s="21" t="s">
        <v>53</v>
      </c>
      <c r="AA73" s="21" t="s">
        <v>623</v>
      </c>
      <c r="AB73" s="23" t="s">
        <v>545</v>
      </c>
      <c r="AC73" s="23" t="b">
        <v>1</v>
      </c>
      <c r="AD73" s="21"/>
      <c r="AE73" s="21"/>
      <c r="AF73" s="21"/>
      <c r="AG73" s="21"/>
      <c r="AH73" s="21"/>
      <c r="AI73" s="21"/>
      <c r="AJ73" s="21"/>
      <c r="AK73" s="21"/>
      <c r="AL73" s="21"/>
      <c r="AM73" s="21"/>
      <c r="AN73" s="23"/>
      <c r="AO73" s="23"/>
      <c r="AP73" s="23"/>
      <c r="AQ73" s="35"/>
    </row>
    <row r="74" ht="15.0" customHeight="1">
      <c r="A74" s="13">
        <v>73.0</v>
      </c>
      <c r="B74" s="8" t="s">
        <v>42</v>
      </c>
      <c r="C74" s="14" t="s">
        <v>563</v>
      </c>
      <c r="D74" s="14" t="s">
        <v>613</v>
      </c>
      <c r="E74" s="14" t="s">
        <v>614</v>
      </c>
      <c r="F74" s="14" t="s">
        <v>578</v>
      </c>
      <c r="G74" s="14" t="s">
        <v>579</v>
      </c>
      <c r="H74" s="14" t="s">
        <v>658</v>
      </c>
      <c r="I74" s="14" t="s">
        <v>659</v>
      </c>
      <c r="J74" s="14" t="s">
        <v>660</v>
      </c>
      <c r="K74" s="14" t="s">
        <v>661</v>
      </c>
      <c r="L74" s="14" t="s">
        <v>662</v>
      </c>
      <c r="M74" s="14">
        <v>1.0</v>
      </c>
      <c r="N74" s="14">
        <v>0.0</v>
      </c>
      <c r="O74" s="14">
        <v>0.19760479041916168</v>
      </c>
      <c r="P74" s="14">
        <v>0.0</v>
      </c>
      <c r="Q74" s="14">
        <v>22.0</v>
      </c>
      <c r="R74" s="14" t="s">
        <v>573</v>
      </c>
      <c r="S74" s="14">
        <v>0.0</v>
      </c>
      <c r="T74" s="14" t="s">
        <v>53</v>
      </c>
      <c r="U74" s="14">
        <v>0.0</v>
      </c>
      <c r="V74" s="14">
        <v>0.0</v>
      </c>
      <c r="W74" s="14">
        <v>0.0</v>
      </c>
      <c r="X74" s="14" t="s">
        <v>53</v>
      </c>
      <c r="Y74" s="14">
        <v>0.0</v>
      </c>
      <c r="Z74" s="14" t="s">
        <v>53</v>
      </c>
      <c r="AA74" s="14" t="s">
        <v>623</v>
      </c>
      <c r="AB74" s="15" t="s">
        <v>545</v>
      </c>
      <c r="AC74" s="15" t="b">
        <v>1</v>
      </c>
      <c r="AD74" s="37" t="s">
        <v>57</v>
      </c>
      <c r="AE74" s="37" t="s">
        <v>57</v>
      </c>
      <c r="AF74" s="37">
        <v>0.33</v>
      </c>
      <c r="AG74" s="37" t="s">
        <v>78</v>
      </c>
      <c r="AH74" s="37" t="s">
        <v>58</v>
      </c>
      <c r="AI74" s="41" t="s">
        <v>163</v>
      </c>
      <c r="AJ74" s="37" t="s">
        <v>209</v>
      </c>
      <c r="AK74" s="37" t="s">
        <v>629</v>
      </c>
      <c r="AL74" s="37" t="s">
        <v>630</v>
      </c>
      <c r="AM74" s="37" t="s">
        <v>63</v>
      </c>
      <c r="AN74" s="37" t="s">
        <v>164</v>
      </c>
      <c r="AO74" s="37" t="s">
        <v>65</v>
      </c>
      <c r="AP74" s="15"/>
      <c r="AQ74" s="14"/>
    </row>
    <row r="75" ht="15.0" customHeight="1">
      <c r="A75" s="20">
        <v>74.0</v>
      </c>
      <c r="B75" s="8" t="s">
        <v>66</v>
      </c>
      <c r="C75" s="21" t="s">
        <v>352</v>
      </c>
      <c r="D75" s="21" t="s">
        <v>663</v>
      </c>
      <c r="E75" s="21" t="s">
        <v>664</v>
      </c>
      <c r="F75" s="21" t="s">
        <v>372</v>
      </c>
      <c r="G75" s="21" t="s">
        <v>371</v>
      </c>
      <c r="H75" s="22" t="s">
        <v>665</v>
      </c>
      <c r="I75" s="21" t="s">
        <v>666</v>
      </c>
      <c r="J75" s="21" t="s">
        <v>667</v>
      </c>
      <c r="K75" s="21" t="s">
        <v>668</v>
      </c>
      <c r="L75" s="21" t="s">
        <v>669</v>
      </c>
      <c r="M75" s="21">
        <v>0.5</v>
      </c>
      <c r="N75" s="21">
        <v>0.3333333333333333</v>
      </c>
      <c r="O75" s="21">
        <v>0.04365079365079365</v>
      </c>
      <c r="P75" s="21">
        <v>1.0</v>
      </c>
      <c r="Q75" s="21">
        <v>9.0</v>
      </c>
      <c r="R75" s="21" t="s">
        <v>670</v>
      </c>
      <c r="S75" s="21">
        <v>1.0</v>
      </c>
      <c r="T75" s="21" t="s">
        <v>403</v>
      </c>
      <c r="U75" s="21">
        <v>1.0</v>
      </c>
      <c r="V75" s="21">
        <v>1.0</v>
      </c>
      <c r="W75" s="21">
        <v>0.0</v>
      </c>
      <c r="X75" s="21" t="s">
        <v>53</v>
      </c>
      <c r="Y75" s="21">
        <v>0.0</v>
      </c>
      <c r="Z75" s="21" t="s">
        <v>53</v>
      </c>
      <c r="AA75" s="21" t="s">
        <v>671</v>
      </c>
      <c r="AB75" s="23" t="s">
        <v>545</v>
      </c>
      <c r="AC75" s="23" t="b">
        <v>1</v>
      </c>
      <c r="AD75" s="21"/>
      <c r="AE75" s="21"/>
      <c r="AF75" s="21"/>
      <c r="AG75" s="21"/>
      <c r="AH75" s="21"/>
      <c r="AI75" s="21"/>
      <c r="AJ75" s="21"/>
      <c r="AK75" s="21"/>
      <c r="AL75" s="21"/>
      <c r="AM75" s="21"/>
      <c r="AN75" s="23"/>
      <c r="AO75" s="23"/>
      <c r="AP75" s="23"/>
      <c r="AQ75" s="35"/>
    </row>
    <row r="76" ht="15.0" customHeight="1">
      <c r="A76" s="20">
        <v>75.0</v>
      </c>
      <c r="B76" s="8" t="s">
        <v>66</v>
      </c>
      <c r="C76" s="21" t="s">
        <v>352</v>
      </c>
      <c r="D76" s="21" t="s">
        <v>663</v>
      </c>
      <c r="E76" s="21" t="s">
        <v>664</v>
      </c>
      <c r="F76" s="21" t="s">
        <v>381</v>
      </c>
      <c r="G76" s="21" t="s">
        <v>380</v>
      </c>
      <c r="H76" s="22" t="s">
        <v>672</v>
      </c>
      <c r="I76" s="21" t="s">
        <v>673</v>
      </c>
      <c r="J76" s="21" t="s">
        <v>674</v>
      </c>
      <c r="K76" s="21" t="s">
        <v>675</v>
      </c>
      <c r="L76" s="21" t="s">
        <v>676</v>
      </c>
      <c r="M76" s="21">
        <v>0.3333333333333333</v>
      </c>
      <c r="N76" s="21">
        <v>0.5</v>
      </c>
      <c r="O76" s="21">
        <v>0.04602510460251046</v>
      </c>
      <c r="P76" s="21">
        <v>0.0</v>
      </c>
      <c r="Q76" s="21">
        <v>9.0</v>
      </c>
      <c r="R76" s="21" t="s">
        <v>410</v>
      </c>
      <c r="S76" s="21">
        <v>1.0</v>
      </c>
      <c r="T76" s="21" t="s">
        <v>410</v>
      </c>
      <c r="U76" s="21">
        <v>1.0</v>
      </c>
      <c r="V76" s="21">
        <v>1.0</v>
      </c>
      <c r="W76" s="21">
        <v>0.0</v>
      </c>
      <c r="X76" s="21" t="s">
        <v>53</v>
      </c>
      <c r="Y76" s="21">
        <v>0.0</v>
      </c>
      <c r="Z76" s="21" t="s">
        <v>53</v>
      </c>
      <c r="AA76" s="21" t="s">
        <v>671</v>
      </c>
      <c r="AB76" s="23" t="s">
        <v>545</v>
      </c>
      <c r="AC76" s="23" t="b">
        <v>1</v>
      </c>
      <c r="AD76" s="21"/>
      <c r="AE76" s="21"/>
      <c r="AF76" s="21"/>
      <c r="AG76" s="21"/>
      <c r="AH76" s="21"/>
      <c r="AI76" s="21"/>
      <c r="AJ76" s="21"/>
      <c r="AK76" s="21"/>
      <c r="AL76" s="21"/>
      <c r="AM76" s="21"/>
      <c r="AN76" s="23"/>
      <c r="AO76" s="23"/>
      <c r="AP76" s="23"/>
      <c r="AQ76" s="35"/>
    </row>
    <row r="77" ht="15.0" customHeight="1">
      <c r="A77" s="20">
        <v>76.0</v>
      </c>
      <c r="B77" s="8" t="s">
        <v>66</v>
      </c>
      <c r="C77" s="21" t="s">
        <v>352</v>
      </c>
      <c r="D77" s="21" t="s">
        <v>663</v>
      </c>
      <c r="E77" s="21" t="s">
        <v>664</v>
      </c>
      <c r="F77" s="21" t="s">
        <v>677</v>
      </c>
      <c r="G77" s="21" t="s">
        <v>678</v>
      </c>
      <c r="H77" s="22" t="s">
        <v>679</v>
      </c>
      <c r="I77" s="21" t="s">
        <v>680</v>
      </c>
      <c r="J77" s="21" t="s">
        <v>681</v>
      </c>
      <c r="K77" s="21" t="s">
        <v>682</v>
      </c>
      <c r="L77" s="21" t="s">
        <v>683</v>
      </c>
      <c r="M77" s="21">
        <v>0.8571428571428571</v>
      </c>
      <c r="N77" s="21">
        <v>0.125</v>
      </c>
      <c r="O77" s="21">
        <v>0.06514657980456026</v>
      </c>
      <c r="P77" s="21">
        <v>0.0</v>
      </c>
      <c r="Q77" s="21">
        <v>9.0</v>
      </c>
      <c r="R77" s="21" t="s">
        <v>684</v>
      </c>
      <c r="S77" s="21">
        <v>1.0</v>
      </c>
      <c r="T77" s="21" t="s">
        <v>685</v>
      </c>
      <c r="U77" s="21">
        <v>0.0</v>
      </c>
      <c r="V77" s="21">
        <v>0.0</v>
      </c>
      <c r="W77" s="21">
        <v>0.0</v>
      </c>
      <c r="X77" s="21" t="s">
        <v>53</v>
      </c>
      <c r="Y77" s="21">
        <v>0.0</v>
      </c>
      <c r="Z77" s="21" t="s">
        <v>53</v>
      </c>
      <c r="AA77" s="21" t="s">
        <v>671</v>
      </c>
      <c r="AB77" s="23" t="s">
        <v>545</v>
      </c>
      <c r="AC77" s="23" t="b">
        <v>1</v>
      </c>
      <c r="AD77" s="21"/>
      <c r="AE77" s="21"/>
      <c r="AF77" s="21"/>
      <c r="AG77" s="21"/>
      <c r="AH77" s="21"/>
      <c r="AI77" s="21"/>
      <c r="AJ77" s="21"/>
      <c r="AK77" s="21"/>
      <c r="AL77" s="21"/>
      <c r="AM77" s="21"/>
      <c r="AN77" s="23"/>
      <c r="AO77" s="23"/>
      <c r="AP77" s="23"/>
      <c r="AQ77" s="35"/>
    </row>
    <row r="78" ht="15.0" customHeight="1">
      <c r="A78" s="13">
        <v>77.0</v>
      </c>
      <c r="B78" s="8" t="s">
        <v>42</v>
      </c>
      <c r="C78" s="14" t="s">
        <v>686</v>
      </c>
      <c r="D78" s="14" t="s">
        <v>687</v>
      </c>
      <c r="E78" s="14" t="s">
        <v>688</v>
      </c>
      <c r="F78" s="14" t="s">
        <v>689</v>
      </c>
      <c r="G78" s="14" t="s">
        <v>690</v>
      </c>
      <c r="H78" s="14" t="s">
        <v>691</v>
      </c>
      <c r="I78" s="14" t="s">
        <v>692</v>
      </c>
      <c r="J78" s="14" t="s">
        <v>693</v>
      </c>
      <c r="K78" s="14" t="s">
        <v>694</v>
      </c>
      <c r="L78" s="14" t="s">
        <v>695</v>
      </c>
      <c r="M78" s="14">
        <v>1.0</v>
      </c>
      <c r="N78" s="14">
        <v>0.14285714285714285</v>
      </c>
      <c r="O78" s="14">
        <v>0.14137214137214138</v>
      </c>
      <c r="P78" s="14">
        <v>17.0</v>
      </c>
      <c r="Q78" s="14">
        <v>23.0</v>
      </c>
      <c r="R78" s="14" t="s">
        <v>53</v>
      </c>
      <c r="S78" s="14">
        <v>0.0</v>
      </c>
      <c r="T78" s="14" t="s">
        <v>53</v>
      </c>
      <c r="U78" s="14">
        <v>0.0</v>
      </c>
      <c r="V78" s="14">
        <v>0.0</v>
      </c>
      <c r="W78" s="14">
        <v>0.0</v>
      </c>
      <c r="X78" s="14" t="s">
        <v>53</v>
      </c>
      <c r="Y78" s="14">
        <v>2.0</v>
      </c>
      <c r="Z78" s="14" t="s">
        <v>696</v>
      </c>
      <c r="AA78" s="14" t="s">
        <v>697</v>
      </c>
      <c r="AB78" s="15" t="s">
        <v>545</v>
      </c>
      <c r="AC78" s="15" t="b">
        <v>1</v>
      </c>
      <c r="AD78" s="37" t="s">
        <v>294</v>
      </c>
      <c r="AE78" s="37" t="s">
        <v>77</v>
      </c>
      <c r="AF78" s="37">
        <v>0.0</v>
      </c>
      <c r="AG78" s="37" t="s">
        <v>78</v>
      </c>
      <c r="AH78" s="37" t="s">
        <v>58</v>
      </c>
      <c r="AI78" s="41" t="s">
        <v>163</v>
      </c>
      <c r="AJ78" s="37" t="s">
        <v>60</v>
      </c>
      <c r="AK78" s="37" t="s">
        <v>561</v>
      </c>
      <c r="AL78" s="37" t="s">
        <v>62</v>
      </c>
      <c r="AM78" s="37" t="s">
        <v>698</v>
      </c>
      <c r="AN78" s="37" t="s">
        <v>64</v>
      </c>
      <c r="AO78" s="37" t="s">
        <v>65</v>
      </c>
      <c r="AP78" s="15"/>
      <c r="AQ78" s="14"/>
    </row>
    <row r="79" ht="15.0" customHeight="1">
      <c r="A79" s="20">
        <v>78.0</v>
      </c>
      <c r="B79" s="8" t="s">
        <v>66</v>
      </c>
      <c r="C79" s="21" t="s">
        <v>563</v>
      </c>
      <c r="D79" s="21" t="s">
        <v>699</v>
      </c>
      <c r="E79" s="21" t="s">
        <v>700</v>
      </c>
      <c r="F79" s="21" t="s">
        <v>701</v>
      </c>
      <c r="G79" s="21" t="s">
        <v>702</v>
      </c>
      <c r="H79" s="22" t="s">
        <v>703</v>
      </c>
      <c r="I79" s="21" t="s">
        <v>704</v>
      </c>
      <c r="J79" s="21" t="s">
        <v>705</v>
      </c>
      <c r="K79" s="21" t="s">
        <v>706</v>
      </c>
      <c r="L79" s="21" t="s">
        <v>707</v>
      </c>
      <c r="M79" s="21">
        <v>1.0</v>
      </c>
      <c r="N79" s="21">
        <v>0.0</v>
      </c>
      <c r="O79" s="21">
        <v>0.22033898305084745</v>
      </c>
      <c r="P79" s="21">
        <v>0.0</v>
      </c>
      <c r="Q79" s="21">
        <v>34.0</v>
      </c>
      <c r="R79" s="21" t="s">
        <v>53</v>
      </c>
      <c r="S79" s="21">
        <v>0.0</v>
      </c>
      <c r="T79" s="21" t="s">
        <v>53</v>
      </c>
      <c r="U79" s="21">
        <v>0.0</v>
      </c>
      <c r="V79" s="21">
        <v>0.0</v>
      </c>
      <c r="W79" s="21">
        <v>0.0</v>
      </c>
      <c r="X79" s="21" t="s">
        <v>53</v>
      </c>
      <c r="Y79" s="21">
        <v>0.0</v>
      </c>
      <c r="Z79" s="21" t="s">
        <v>53</v>
      </c>
      <c r="AA79" s="21" t="s">
        <v>708</v>
      </c>
      <c r="AB79" s="23" t="s">
        <v>545</v>
      </c>
      <c r="AC79" s="23" t="b">
        <v>1</v>
      </c>
      <c r="AD79" s="21"/>
      <c r="AE79" s="21"/>
      <c r="AF79" s="21"/>
      <c r="AG79" s="21"/>
      <c r="AH79" s="21"/>
      <c r="AI79" s="21"/>
      <c r="AJ79" s="21"/>
      <c r="AK79" s="21"/>
      <c r="AL79" s="21"/>
      <c r="AM79" s="21"/>
      <c r="AN79" s="23"/>
      <c r="AO79" s="23"/>
      <c r="AP79" s="23"/>
      <c r="AQ79" s="35"/>
    </row>
    <row r="80" ht="15.0" customHeight="1">
      <c r="A80" s="20">
        <v>79.0</v>
      </c>
      <c r="B80" s="8" t="s">
        <v>66</v>
      </c>
      <c r="C80" s="21" t="s">
        <v>563</v>
      </c>
      <c r="D80" s="21" t="s">
        <v>709</v>
      </c>
      <c r="E80" s="21" t="s">
        <v>710</v>
      </c>
      <c r="F80" s="21" t="s">
        <v>711</v>
      </c>
      <c r="G80" s="21" t="s">
        <v>712</v>
      </c>
      <c r="H80" s="22" t="s">
        <v>713</v>
      </c>
      <c r="I80" s="21" t="s">
        <v>714</v>
      </c>
      <c r="J80" s="21" t="s">
        <v>715</v>
      </c>
      <c r="K80" s="21" t="s">
        <v>716</v>
      </c>
      <c r="L80" s="21" t="s">
        <v>717</v>
      </c>
      <c r="M80" s="21">
        <v>1.0</v>
      </c>
      <c r="N80" s="21">
        <v>0.0</v>
      </c>
      <c r="O80" s="21">
        <v>0.3617021276595745</v>
      </c>
      <c r="P80" s="21">
        <v>0.0</v>
      </c>
      <c r="Q80" s="21">
        <v>40.0</v>
      </c>
      <c r="R80" s="21" t="s">
        <v>53</v>
      </c>
      <c r="S80" s="21">
        <v>0.0</v>
      </c>
      <c r="T80" s="21" t="s">
        <v>53</v>
      </c>
      <c r="U80" s="21">
        <v>0.0</v>
      </c>
      <c r="V80" s="21">
        <v>0.0</v>
      </c>
      <c r="W80" s="21">
        <v>0.0</v>
      </c>
      <c r="X80" s="21" t="s">
        <v>53</v>
      </c>
      <c r="Y80" s="21">
        <v>0.0</v>
      </c>
      <c r="Z80" s="21" t="s">
        <v>53</v>
      </c>
      <c r="AA80" s="21" t="s">
        <v>718</v>
      </c>
      <c r="AB80" s="23" t="s">
        <v>719</v>
      </c>
      <c r="AC80" s="23" t="b">
        <v>1</v>
      </c>
      <c r="AD80" s="21"/>
      <c r="AE80" s="21"/>
      <c r="AF80" s="21"/>
      <c r="AG80" s="21"/>
      <c r="AH80" s="21"/>
      <c r="AI80" s="21"/>
      <c r="AJ80" s="21"/>
      <c r="AK80" s="21"/>
      <c r="AL80" s="21"/>
      <c r="AM80" s="21"/>
      <c r="AN80" s="23"/>
      <c r="AO80" s="23"/>
      <c r="AP80" s="23"/>
      <c r="AQ80" s="35"/>
    </row>
    <row r="81" ht="15.0" customHeight="1">
      <c r="A81" s="20">
        <v>80.0</v>
      </c>
      <c r="B81" s="8" t="s">
        <v>66</v>
      </c>
      <c r="C81" s="21" t="s">
        <v>563</v>
      </c>
      <c r="D81" s="21" t="s">
        <v>709</v>
      </c>
      <c r="E81" s="21" t="s">
        <v>710</v>
      </c>
      <c r="F81" s="21" t="s">
        <v>711</v>
      </c>
      <c r="G81" s="21" t="s">
        <v>712</v>
      </c>
      <c r="H81" s="22" t="s">
        <v>720</v>
      </c>
      <c r="I81" s="21" t="s">
        <v>721</v>
      </c>
      <c r="J81" s="21" t="s">
        <v>715</v>
      </c>
      <c r="K81" s="21" t="s">
        <v>722</v>
      </c>
      <c r="L81" s="21" t="s">
        <v>723</v>
      </c>
      <c r="M81" s="21">
        <v>1.0</v>
      </c>
      <c r="N81" s="21">
        <v>0.0</v>
      </c>
      <c r="O81" s="21">
        <v>0.3617021276595745</v>
      </c>
      <c r="P81" s="21">
        <v>0.0</v>
      </c>
      <c r="Q81" s="21">
        <v>40.0</v>
      </c>
      <c r="R81" s="21" t="s">
        <v>53</v>
      </c>
      <c r="S81" s="21">
        <v>0.0</v>
      </c>
      <c r="T81" s="21" t="s">
        <v>53</v>
      </c>
      <c r="U81" s="21">
        <v>0.0</v>
      </c>
      <c r="V81" s="21">
        <v>0.0</v>
      </c>
      <c r="W81" s="21">
        <v>0.0</v>
      </c>
      <c r="X81" s="21" t="s">
        <v>53</v>
      </c>
      <c r="Y81" s="21">
        <v>0.0</v>
      </c>
      <c r="Z81" s="21" t="s">
        <v>53</v>
      </c>
      <c r="AA81" s="21" t="s">
        <v>718</v>
      </c>
      <c r="AB81" s="23" t="s">
        <v>719</v>
      </c>
      <c r="AC81" s="23" t="b">
        <v>1</v>
      </c>
      <c r="AD81" s="21"/>
      <c r="AE81" s="21"/>
      <c r="AF81" s="21"/>
      <c r="AG81" s="21"/>
      <c r="AH81" s="21"/>
      <c r="AI81" s="21"/>
      <c r="AJ81" s="21"/>
      <c r="AK81" s="21"/>
      <c r="AL81" s="21"/>
      <c r="AM81" s="21"/>
      <c r="AN81" s="23"/>
      <c r="AO81" s="23"/>
      <c r="AP81" s="23"/>
      <c r="AQ81" s="35"/>
    </row>
    <row r="82" ht="15.0" customHeight="1">
      <c r="A82" s="20">
        <v>81.0</v>
      </c>
      <c r="B82" s="8" t="s">
        <v>66</v>
      </c>
      <c r="C82" s="21" t="s">
        <v>724</v>
      </c>
      <c r="D82" s="21" t="s">
        <v>725</v>
      </c>
      <c r="E82" s="21" t="s">
        <v>726</v>
      </c>
      <c r="F82" s="21" t="s">
        <v>727</v>
      </c>
      <c r="G82" s="21" t="s">
        <v>728</v>
      </c>
      <c r="H82" s="22" t="s">
        <v>729</v>
      </c>
      <c r="I82" s="21" t="s">
        <v>730</v>
      </c>
      <c r="J82" s="21" t="s">
        <v>193</v>
      </c>
      <c r="K82" s="21" t="s">
        <v>731</v>
      </c>
      <c r="L82" s="21" t="s">
        <v>732</v>
      </c>
      <c r="M82" s="21">
        <v>1.0</v>
      </c>
      <c r="N82" s="21">
        <v>0.0</v>
      </c>
      <c r="O82" s="21">
        <v>0.37777777777777777</v>
      </c>
      <c r="P82" s="21">
        <v>1.0</v>
      </c>
      <c r="Q82" s="21">
        <v>8.0</v>
      </c>
      <c r="R82" s="21" t="s">
        <v>53</v>
      </c>
      <c r="S82" s="21">
        <v>0.0</v>
      </c>
      <c r="T82" s="21" t="s">
        <v>53</v>
      </c>
      <c r="U82" s="21">
        <v>0.0</v>
      </c>
      <c r="V82" s="21">
        <v>0.0</v>
      </c>
      <c r="W82" s="21">
        <v>0.0</v>
      </c>
      <c r="X82" s="21" t="s">
        <v>53</v>
      </c>
      <c r="Y82" s="21">
        <v>0.0</v>
      </c>
      <c r="Z82" s="21" t="s">
        <v>53</v>
      </c>
      <c r="AA82" s="21" t="s">
        <v>733</v>
      </c>
      <c r="AB82" s="23" t="s">
        <v>734</v>
      </c>
      <c r="AC82" s="23" t="b">
        <v>1</v>
      </c>
      <c r="AD82" s="21"/>
      <c r="AE82" s="21"/>
      <c r="AF82" s="21"/>
      <c r="AG82" s="21"/>
      <c r="AH82" s="21"/>
      <c r="AI82" s="21"/>
      <c r="AJ82" s="21"/>
      <c r="AK82" s="21"/>
      <c r="AL82" s="21"/>
      <c r="AM82" s="21"/>
      <c r="AN82" s="23"/>
      <c r="AO82" s="23"/>
      <c r="AP82" s="23"/>
      <c r="AQ82" s="35"/>
    </row>
    <row r="83" ht="15.0" customHeight="1">
      <c r="A83" s="13">
        <v>82.0</v>
      </c>
      <c r="B83" s="8" t="s">
        <v>42</v>
      </c>
      <c r="C83" s="14" t="s">
        <v>724</v>
      </c>
      <c r="D83" s="14" t="s">
        <v>735</v>
      </c>
      <c r="E83" s="14" t="s">
        <v>736</v>
      </c>
      <c r="F83" s="14" t="s">
        <v>737</v>
      </c>
      <c r="G83" s="14" t="s">
        <v>738</v>
      </c>
      <c r="H83" s="14" t="s">
        <v>739</v>
      </c>
      <c r="I83" s="14" t="s">
        <v>740</v>
      </c>
      <c r="J83" s="14" t="s">
        <v>741</v>
      </c>
      <c r="K83" s="14" t="s">
        <v>742</v>
      </c>
      <c r="L83" s="14" t="s">
        <v>743</v>
      </c>
      <c r="M83" s="14">
        <v>1.0</v>
      </c>
      <c r="N83" s="14">
        <v>0.0</v>
      </c>
      <c r="O83" s="14">
        <v>0.1724137931034483</v>
      </c>
      <c r="P83" s="14">
        <v>1.0</v>
      </c>
      <c r="Q83" s="14">
        <v>10.0</v>
      </c>
      <c r="R83" s="14" t="s">
        <v>53</v>
      </c>
      <c r="S83" s="14">
        <v>0.0</v>
      </c>
      <c r="T83" s="14" t="s">
        <v>53</v>
      </c>
      <c r="U83" s="14">
        <v>0.0</v>
      </c>
      <c r="V83" s="14">
        <v>0.0</v>
      </c>
      <c r="W83" s="14">
        <v>0.0</v>
      </c>
      <c r="X83" s="14" t="s">
        <v>53</v>
      </c>
      <c r="Y83" s="14">
        <v>0.0</v>
      </c>
      <c r="Z83" s="14" t="s">
        <v>53</v>
      </c>
      <c r="AA83" s="14" t="s">
        <v>744</v>
      </c>
      <c r="AB83" s="15" t="s">
        <v>734</v>
      </c>
      <c r="AC83" s="15" t="b">
        <v>1</v>
      </c>
      <c r="AD83" s="37" t="s">
        <v>57</v>
      </c>
      <c r="AE83" s="37" t="s">
        <v>57</v>
      </c>
      <c r="AF83" s="37">
        <v>0.0</v>
      </c>
      <c r="AG83" s="37" t="s">
        <v>78</v>
      </c>
      <c r="AH83" s="37" t="s">
        <v>162</v>
      </c>
      <c r="AI83" s="41" t="s">
        <v>163</v>
      </c>
      <c r="AJ83" s="37" t="s">
        <v>60</v>
      </c>
      <c r="AK83" s="37" t="s">
        <v>61</v>
      </c>
      <c r="AL83" s="37" t="s">
        <v>62</v>
      </c>
      <c r="AM83" s="37" t="s">
        <v>63</v>
      </c>
      <c r="AN83" s="37" t="s">
        <v>164</v>
      </c>
      <c r="AO83" s="37" t="s">
        <v>65</v>
      </c>
      <c r="AP83" s="15"/>
      <c r="AQ83" s="14"/>
    </row>
    <row r="84" ht="15.0" customHeight="1">
      <c r="A84" s="20">
        <v>83.0</v>
      </c>
      <c r="B84" s="8" t="s">
        <v>66</v>
      </c>
      <c r="C84" s="21" t="s">
        <v>352</v>
      </c>
      <c r="D84" s="21" t="s">
        <v>745</v>
      </c>
      <c r="E84" s="21" t="s">
        <v>746</v>
      </c>
      <c r="F84" s="21" t="s">
        <v>747</v>
      </c>
      <c r="G84" s="21" t="s">
        <v>748</v>
      </c>
      <c r="H84" s="22" t="s">
        <v>749</v>
      </c>
      <c r="I84" s="21" t="s">
        <v>750</v>
      </c>
      <c r="J84" s="21" t="s">
        <v>751</v>
      </c>
      <c r="K84" s="21" t="s">
        <v>752</v>
      </c>
      <c r="L84" s="21" t="s">
        <v>753</v>
      </c>
      <c r="M84" s="21">
        <v>0.3333333333333333</v>
      </c>
      <c r="N84" s="21">
        <v>0.6666666666666666</v>
      </c>
      <c r="O84" s="21">
        <v>0.05202312138728324</v>
      </c>
      <c r="P84" s="21">
        <v>0.0</v>
      </c>
      <c r="Q84" s="21">
        <v>19.0</v>
      </c>
      <c r="R84" s="21" t="s">
        <v>314</v>
      </c>
      <c r="S84" s="21">
        <v>1.0</v>
      </c>
      <c r="T84" s="21" t="s">
        <v>754</v>
      </c>
      <c r="U84" s="21">
        <v>1.0</v>
      </c>
      <c r="V84" s="21">
        <v>1.0</v>
      </c>
      <c r="W84" s="21">
        <v>0.0</v>
      </c>
      <c r="X84" s="21" t="s">
        <v>53</v>
      </c>
      <c r="Y84" s="21">
        <v>0.0</v>
      </c>
      <c r="Z84" s="21" t="s">
        <v>53</v>
      </c>
      <c r="AA84" s="21" t="s">
        <v>755</v>
      </c>
      <c r="AB84" s="23" t="s">
        <v>734</v>
      </c>
      <c r="AC84" s="23" t="b">
        <v>1</v>
      </c>
      <c r="AD84" s="21"/>
      <c r="AE84" s="21"/>
      <c r="AF84" s="21"/>
      <c r="AG84" s="21"/>
      <c r="AH84" s="21"/>
      <c r="AI84" s="21"/>
      <c r="AJ84" s="21"/>
      <c r="AK84" s="21"/>
      <c r="AL84" s="21"/>
      <c r="AM84" s="21"/>
      <c r="AN84" s="23"/>
      <c r="AO84" s="23"/>
      <c r="AP84" s="23"/>
      <c r="AQ84" s="35"/>
    </row>
    <row r="85" ht="15.0" customHeight="1">
      <c r="A85" s="20">
        <v>84.0</v>
      </c>
      <c r="B85" s="8" t="s">
        <v>66</v>
      </c>
      <c r="C85" s="21" t="s">
        <v>352</v>
      </c>
      <c r="D85" s="21" t="s">
        <v>745</v>
      </c>
      <c r="E85" s="21" t="s">
        <v>746</v>
      </c>
      <c r="F85" s="21" t="s">
        <v>747</v>
      </c>
      <c r="G85" s="21" t="s">
        <v>748</v>
      </c>
      <c r="H85" s="22" t="s">
        <v>756</v>
      </c>
      <c r="I85" s="21" t="s">
        <v>757</v>
      </c>
      <c r="J85" s="21" t="s">
        <v>758</v>
      </c>
      <c r="K85" s="21" t="s">
        <v>759</v>
      </c>
      <c r="L85" s="21" t="s">
        <v>760</v>
      </c>
      <c r="M85" s="21">
        <v>0.3333333333333333</v>
      </c>
      <c r="N85" s="21">
        <v>0.6666666666666666</v>
      </c>
      <c r="O85" s="21">
        <v>0.05202312138728324</v>
      </c>
      <c r="P85" s="21">
        <v>0.0</v>
      </c>
      <c r="Q85" s="21">
        <v>19.0</v>
      </c>
      <c r="R85" s="21" t="s">
        <v>314</v>
      </c>
      <c r="S85" s="21">
        <v>1.0</v>
      </c>
      <c r="T85" s="21" t="s">
        <v>761</v>
      </c>
      <c r="U85" s="21">
        <v>1.0</v>
      </c>
      <c r="V85" s="21">
        <v>1.0</v>
      </c>
      <c r="W85" s="21">
        <v>0.0</v>
      </c>
      <c r="X85" s="21" t="s">
        <v>53</v>
      </c>
      <c r="Y85" s="21">
        <v>0.0</v>
      </c>
      <c r="Z85" s="21" t="s">
        <v>53</v>
      </c>
      <c r="AA85" s="21" t="s">
        <v>755</v>
      </c>
      <c r="AB85" s="23" t="s">
        <v>734</v>
      </c>
      <c r="AC85" s="23" t="b">
        <v>1</v>
      </c>
      <c r="AD85" s="21"/>
      <c r="AE85" s="21"/>
      <c r="AF85" s="21"/>
      <c r="AG85" s="21"/>
      <c r="AH85" s="21"/>
      <c r="AI85" s="21"/>
      <c r="AJ85" s="21"/>
      <c r="AK85" s="21"/>
      <c r="AL85" s="21"/>
      <c r="AM85" s="21"/>
      <c r="AN85" s="23"/>
      <c r="AO85" s="23"/>
      <c r="AP85" s="23"/>
      <c r="AQ85" s="35"/>
    </row>
    <row r="86" ht="15.0" customHeight="1">
      <c r="A86" s="20">
        <v>85.0</v>
      </c>
      <c r="B86" s="8" t="s">
        <v>66</v>
      </c>
      <c r="C86" s="21" t="s">
        <v>762</v>
      </c>
      <c r="D86" s="21" t="s">
        <v>763</v>
      </c>
      <c r="E86" s="21" t="s">
        <v>764</v>
      </c>
      <c r="F86" s="21" t="s">
        <v>169</v>
      </c>
      <c r="G86" s="21" t="s">
        <v>765</v>
      </c>
      <c r="H86" s="22" t="s">
        <v>766</v>
      </c>
      <c r="I86" s="21" t="s">
        <v>767</v>
      </c>
      <c r="J86" s="21" t="s">
        <v>768</v>
      </c>
      <c r="K86" s="21" t="s">
        <v>769</v>
      </c>
      <c r="L86" s="21" t="s">
        <v>770</v>
      </c>
      <c r="M86" s="21">
        <v>1.0</v>
      </c>
      <c r="N86" s="21">
        <v>0.0</v>
      </c>
      <c r="O86" s="21">
        <v>0.6108374384236454</v>
      </c>
      <c r="P86" s="21">
        <v>3.0</v>
      </c>
      <c r="Q86" s="21">
        <v>9.0</v>
      </c>
      <c r="R86" s="21" t="s">
        <v>53</v>
      </c>
      <c r="S86" s="21">
        <v>0.0</v>
      </c>
      <c r="T86" s="21" t="s">
        <v>53</v>
      </c>
      <c r="U86" s="21">
        <v>0.0</v>
      </c>
      <c r="V86" s="21">
        <v>0.0</v>
      </c>
      <c r="W86" s="21">
        <v>0.0</v>
      </c>
      <c r="X86" s="21" t="s">
        <v>53</v>
      </c>
      <c r="Y86" s="21">
        <v>0.0</v>
      </c>
      <c r="Z86" s="21" t="s">
        <v>53</v>
      </c>
      <c r="AA86" s="21" t="s">
        <v>771</v>
      </c>
      <c r="AB86" s="23" t="s">
        <v>772</v>
      </c>
      <c r="AC86" s="23" t="b">
        <v>1</v>
      </c>
      <c r="AD86" s="21"/>
      <c r="AE86" s="21"/>
      <c r="AF86" s="21"/>
      <c r="AG86" s="21"/>
      <c r="AH86" s="21"/>
      <c r="AI86" s="21"/>
      <c r="AJ86" s="21"/>
      <c r="AK86" s="21"/>
      <c r="AL86" s="21"/>
      <c r="AM86" s="21"/>
      <c r="AN86" s="23"/>
      <c r="AO86" s="23"/>
      <c r="AP86" s="23"/>
      <c r="AQ86" s="35"/>
    </row>
    <row r="87" ht="15.0" customHeight="1">
      <c r="A87" s="20">
        <v>86.0</v>
      </c>
      <c r="B87" s="8" t="s">
        <v>66</v>
      </c>
      <c r="C87" s="21" t="s">
        <v>773</v>
      </c>
      <c r="D87" s="21" t="s">
        <v>774</v>
      </c>
      <c r="E87" s="21" t="s">
        <v>775</v>
      </c>
      <c r="F87" s="21" t="s">
        <v>776</v>
      </c>
      <c r="G87" s="21" t="s">
        <v>777</v>
      </c>
      <c r="H87" s="22" t="s">
        <v>778</v>
      </c>
      <c r="I87" s="21" t="s">
        <v>779</v>
      </c>
      <c r="J87" s="21" t="s">
        <v>780</v>
      </c>
      <c r="K87" s="21" t="s">
        <v>781</v>
      </c>
      <c r="L87" s="21" t="s">
        <v>782</v>
      </c>
      <c r="M87" s="21">
        <v>1.0</v>
      </c>
      <c r="N87" s="21">
        <v>0.0</v>
      </c>
      <c r="O87" s="21">
        <v>0.04823151125401929</v>
      </c>
      <c r="P87" s="21">
        <v>0.0</v>
      </c>
      <c r="Q87" s="21">
        <v>17.0</v>
      </c>
      <c r="R87" s="21" t="s">
        <v>783</v>
      </c>
      <c r="S87" s="21">
        <v>0.0</v>
      </c>
      <c r="T87" s="21" t="s">
        <v>53</v>
      </c>
      <c r="U87" s="21">
        <v>0.0</v>
      </c>
      <c r="V87" s="21">
        <v>0.0</v>
      </c>
      <c r="W87" s="21">
        <v>0.0</v>
      </c>
      <c r="X87" s="21" t="s">
        <v>53</v>
      </c>
      <c r="Y87" s="21">
        <v>0.0</v>
      </c>
      <c r="Z87" s="21" t="s">
        <v>53</v>
      </c>
      <c r="AA87" s="21" t="s">
        <v>784</v>
      </c>
      <c r="AB87" s="23" t="s">
        <v>785</v>
      </c>
      <c r="AC87" s="23" t="b">
        <v>1</v>
      </c>
      <c r="AD87" s="21"/>
      <c r="AE87" s="21"/>
      <c r="AF87" s="21"/>
      <c r="AG87" s="21"/>
      <c r="AH87" s="21"/>
      <c r="AI87" s="21"/>
      <c r="AJ87" s="21"/>
      <c r="AK87" s="21"/>
      <c r="AL87" s="21"/>
      <c r="AM87" s="21"/>
      <c r="AN87" s="23"/>
      <c r="AO87" s="21"/>
      <c r="AP87" s="23"/>
      <c r="AQ87" s="35"/>
    </row>
    <row r="88" ht="15.0" customHeight="1">
      <c r="A88" s="13">
        <v>87.0</v>
      </c>
      <c r="B88" s="8" t="s">
        <v>42</v>
      </c>
      <c r="C88" s="14" t="s">
        <v>773</v>
      </c>
      <c r="D88" s="14" t="s">
        <v>786</v>
      </c>
      <c r="E88" s="14" t="s">
        <v>774</v>
      </c>
      <c r="F88" s="14" t="s">
        <v>787</v>
      </c>
      <c r="G88" s="14" t="s">
        <v>788</v>
      </c>
      <c r="H88" s="14" t="s">
        <v>789</v>
      </c>
      <c r="I88" s="14" t="s">
        <v>790</v>
      </c>
      <c r="J88" s="14" t="s">
        <v>791</v>
      </c>
      <c r="K88" s="14" t="s">
        <v>792</v>
      </c>
      <c r="L88" s="14" t="s">
        <v>793</v>
      </c>
      <c r="M88" s="14">
        <v>0.3333333333333333</v>
      </c>
      <c r="N88" s="14">
        <v>0.6666666666666666</v>
      </c>
      <c r="O88" s="14">
        <v>0.06756756756756757</v>
      </c>
      <c r="P88" s="14">
        <v>2.0</v>
      </c>
      <c r="Q88" s="14">
        <v>22.0</v>
      </c>
      <c r="R88" s="14" t="s">
        <v>794</v>
      </c>
      <c r="S88" s="14">
        <v>1.0</v>
      </c>
      <c r="T88" s="14" t="s">
        <v>795</v>
      </c>
      <c r="U88" s="14">
        <v>1.0</v>
      </c>
      <c r="V88" s="14">
        <v>1.0</v>
      </c>
      <c r="W88" s="14">
        <v>0.0</v>
      </c>
      <c r="X88" s="14" t="s">
        <v>53</v>
      </c>
      <c r="Y88" s="14">
        <v>0.0</v>
      </c>
      <c r="Z88" s="14" t="s">
        <v>53</v>
      </c>
      <c r="AA88" s="14" t="s">
        <v>796</v>
      </c>
      <c r="AB88" s="15" t="s">
        <v>785</v>
      </c>
      <c r="AC88" s="15" t="b">
        <v>1</v>
      </c>
      <c r="AD88" s="37" t="s">
        <v>294</v>
      </c>
      <c r="AE88" s="37" t="s">
        <v>294</v>
      </c>
      <c r="AF88" s="37">
        <v>0.5</v>
      </c>
      <c r="AG88" s="37" t="s">
        <v>78</v>
      </c>
      <c r="AH88" s="37" t="s">
        <v>162</v>
      </c>
      <c r="AI88" s="37" t="s">
        <v>59</v>
      </c>
      <c r="AJ88" s="37" t="s">
        <v>60</v>
      </c>
      <c r="AK88" s="37" t="s">
        <v>374</v>
      </c>
      <c r="AL88" s="37" t="s">
        <v>62</v>
      </c>
      <c r="AM88" s="37" t="s">
        <v>63</v>
      </c>
      <c r="AN88" s="37" t="s">
        <v>64</v>
      </c>
      <c r="AO88" s="37" t="s">
        <v>65</v>
      </c>
      <c r="AP88" s="15"/>
      <c r="AQ88" s="14"/>
    </row>
    <row r="89" ht="15.0" customHeight="1">
      <c r="A89" s="20">
        <v>88.0</v>
      </c>
      <c r="B89" s="8" t="s">
        <v>66</v>
      </c>
      <c r="C89" s="21" t="s">
        <v>773</v>
      </c>
      <c r="D89" s="21" t="s">
        <v>797</v>
      </c>
      <c r="E89" s="21" t="s">
        <v>798</v>
      </c>
      <c r="F89" s="21" t="s">
        <v>799</v>
      </c>
      <c r="G89" s="21" t="s">
        <v>800</v>
      </c>
      <c r="H89" s="22" t="s">
        <v>801</v>
      </c>
      <c r="I89" s="21" t="s">
        <v>802</v>
      </c>
      <c r="J89" s="21" t="s">
        <v>803</v>
      </c>
      <c r="K89" s="21" t="s">
        <v>804</v>
      </c>
      <c r="L89" s="21" t="s">
        <v>805</v>
      </c>
      <c r="M89" s="21">
        <v>0.6</v>
      </c>
      <c r="N89" s="21">
        <v>0.2</v>
      </c>
      <c r="O89" s="21">
        <v>0.06134094151212553</v>
      </c>
      <c r="P89" s="21">
        <v>2.0</v>
      </c>
      <c r="Q89" s="21">
        <v>23.0</v>
      </c>
      <c r="R89" s="21" t="s">
        <v>806</v>
      </c>
      <c r="S89" s="21">
        <v>1.0</v>
      </c>
      <c r="T89" s="21" t="s">
        <v>795</v>
      </c>
      <c r="U89" s="21">
        <v>1.0</v>
      </c>
      <c r="V89" s="21">
        <v>1.0</v>
      </c>
      <c r="W89" s="21">
        <v>0.0</v>
      </c>
      <c r="X89" s="21" t="s">
        <v>53</v>
      </c>
      <c r="Y89" s="21">
        <v>0.0</v>
      </c>
      <c r="Z89" s="21" t="s">
        <v>53</v>
      </c>
      <c r="AA89" s="21" t="s">
        <v>807</v>
      </c>
      <c r="AB89" s="23" t="s">
        <v>785</v>
      </c>
      <c r="AC89" s="23" t="b">
        <v>1</v>
      </c>
      <c r="AD89" s="21"/>
      <c r="AE89" s="21"/>
      <c r="AF89" s="21"/>
      <c r="AG89" s="21"/>
      <c r="AH89" s="21"/>
      <c r="AI89" s="21"/>
      <c r="AJ89" s="21"/>
      <c r="AK89" s="21"/>
      <c r="AL89" s="21"/>
      <c r="AM89" s="21"/>
      <c r="AN89" s="23"/>
      <c r="AO89" s="21"/>
      <c r="AP89" s="23"/>
      <c r="AQ89" s="35"/>
    </row>
    <row r="90" ht="15.0" customHeight="1">
      <c r="A90" s="20">
        <v>89.0</v>
      </c>
      <c r="B90" s="8" t="s">
        <v>66</v>
      </c>
      <c r="C90" s="21" t="s">
        <v>808</v>
      </c>
      <c r="D90" s="21" t="s">
        <v>809</v>
      </c>
      <c r="E90" s="21" t="s">
        <v>810</v>
      </c>
      <c r="F90" s="21" t="s">
        <v>69</v>
      </c>
      <c r="G90" s="21" t="s">
        <v>811</v>
      </c>
      <c r="H90" s="22" t="s">
        <v>812</v>
      </c>
      <c r="I90" s="21" t="s">
        <v>813</v>
      </c>
      <c r="J90" s="21" t="s">
        <v>73</v>
      </c>
      <c r="K90" s="21" t="s">
        <v>814</v>
      </c>
      <c r="L90" s="21" t="s">
        <v>815</v>
      </c>
      <c r="M90" s="21">
        <v>1.0</v>
      </c>
      <c r="N90" s="21">
        <v>0.0</v>
      </c>
      <c r="O90" s="21">
        <v>0.5675675675675675</v>
      </c>
      <c r="P90" s="21">
        <v>16.0</v>
      </c>
      <c r="Q90" s="21">
        <v>57.0</v>
      </c>
      <c r="R90" s="21" t="s">
        <v>53</v>
      </c>
      <c r="S90" s="21">
        <v>0.0</v>
      </c>
      <c r="T90" s="21" t="s">
        <v>53</v>
      </c>
      <c r="U90" s="21">
        <v>0.0</v>
      </c>
      <c r="V90" s="21">
        <v>0.0</v>
      </c>
      <c r="W90" s="21">
        <v>0.0</v>
      </c>
      <c r="X90" s="21" t="s">
        <v>53</v>
      </c>
      <c r="Y90" s="21">
        <v>0.0</v>
      </c>
      <c r="Z90" s="21" t="s">
        <v>53</v>
      </c>
      <c r="AA90" s="21" t="s">
        <v>816</v>
      </c>
      <c r="AB90" s="23" t="s">
        <v>785</v>
      </c>
      <c r="AC90" s="23" t="b">
        <v>1</v>
      </c>
      <c r="AD90" s="21"/>
      <c r="AE90" s="21"/>
      <c r="AF90" s="21"/>
      <c r="AG90" s="21"/>
      <c r="AH90" s="21"/>
      <c r="AI90" s="21"/>
      <c r="AJ90" s="21"/>
      <c r="AK90" s="21"/>
      <c r="AL90" s="21"/>
      <c r="AM90" s="21"/>
      <c r="AN90" s="23"/>
      <c r="AO90" s="23"/>
      <c r="AP90" s="23"/>
      <c r="AQ90" s="45"/>
    </row>
    <row r="91" ht="15.0" customHeight="1">
      <c r="A91" s="20">
        <v>90.0</v>
      </c>
      <c r="B91" s="8" t="s">
        <v>66</v>
      </c>
      <c r="C91" s="21" t="s">
        <v>808</v>
      </c>
      <c r="D91" s="21" t="s">
        <v>809</v>
      </c>
      <c r="E91" s="21" t="s">
        <v>810</v>
      </c>
      <c r="F91" s="21" t="s">
        <v>69</v>
      </c>
      <c r="G91" s="21" t="s">
        <v>811</v>
      </c>
      <c r="H91" s="22" t="s">
        <v>817</v>
      </c>
      <c r="I91" s="21" t="s">
        <v>818</v>
      </c>
      <c r="J91" s="21" t="s">
        <v>73</v>
      </c>
      <c r="K91" s="21" t="s">
        <v>819</v>
      </c>
      <c r="L91" s="21" t="s">
        <v>820</v>
      </c>
      <c r="M91" s="21">
        <v>1.0</v>
      </c>
      <c r="N91" s="21">
        <v>0.0</v>
      </c>
      <c r="O91" s="21">
        <v>0.5675675675675675</v>
      </c>
      <c r="P91" s="21">
        <v>16.0</v>
      </c>
      <c r="Q91" s="21">
        <v>57.0</v>
      </c>
      <c r="R91" s="21" t="s">
        <v>53</v>
      </c>
      <c r="S91" s="21">
        <v>0.0</v>
      </c>
      <c r="T91" s="21" t="s">
        <v>53</v>
      </c>
      <c r="U91" s="21">
        <v>0.0</v>
      </c>
      <c r="V91" s="21">
        <v>0.0</v>
      </c>
      <c r="W91" s="21">
        <v>0.0</v>
      </c>
      <c r="X91" s="21" t="s">
        <v>53</v>
      </c>
      <c r="Y91" s="21">
        <v>0.0</v>
      </c>
      <c r="Z91" s="21" t="s">
        <v>53</v>
      </c>
      <c r="AA91" s="21" t="s">
        <v>816</v>
      </c>
      <c r="AB91" s="23" t="s">
        <v>785</v>
      </c>
      <c r="AC91" s="23" t="b">
        <v>1</v>
      </c>
      <c r="AD91" s="21"/>
      <c r="AE91" s="21"/>
      <c r="AF91" s="21"/>
      <c r="AG91" s="21"/>
      <c r="AH91" s="21"/>
      <c r="AI91" s="21"/>
      <c r="AJ91" s="21"/>
      <c r="AK91" s="21"/>
      <c r="AL91" s="21"/>
      <c r="AM91" s="21"/>
      <c r="AN91" s="23"/>
      <c r="AO91" s="23"/>
      <c r="AP91" s="23"/>
      <c r="AQ91" s="45"/>
    </row>
    <row r="92" ht="15.0" customHeight="1">
      <c r="A92" s="20">
        <v>91.0</v>
      </c>
      <c r="B92" s="8" t="s">
        <v>66</v>
      </c>
      <c r="C92" s="21" t="s">
        <v>563</v>
      </c>
      <c r="D92" s="21" t="s">
        <v>821</v>
      </c>
      <c r="E92" s="21" t="s">
        <v>822</v>
      </c>
      <c r="F92" s="21" t="s">
        <v>620</v>
      </c>
      <c r="G92" s="21" t="s">
        <v>823</v>
      </c>
      <c r="H92" s="22" t="s">
        <v>824</v>
      </c>
      <c r="I92" s="21" t="s">
        <v>825</v>
      </c>
      <c r="J92" s="21" t="s">
        <v>826</v>
      </c>
      <c r="K92" s="21" t="s">
        <v>827</v>
      </c>
      <c r="L92" s="21" t="s">
        <v>828</v>
      </c>
      <c r="M92" s="21">
        <v>0.8</v>
      </c>
      <c r="N92" s="21">
        <v>0.6</v>
      </c>
      <c r="O92" s="21">
        <v>0.35751295336787564</v>
      </c>
      <c r="P92" s="21">
        <v>0.0</v>
      </c>
      <c r="Q92" s="21">
        <v>43.0</v>
      </c>
      <c r="R92" s="21" t="s">
        <v>829</v>
      </c>
      <c r="S92" s="21">
        <v>1.0</v>
      </c>
      <c r="T92" s="21" t="s">
        <v>830</v>
      </c>
      <c r="U92" s="21">
        <v>0.0</v>
      </c>
      <c r="V92" s="21">
        <v>0.0</v>
      </c>
      <c r="W92" s="21">
        <v>0.0</v>
      </c>
      <c r="X92" s="21" t="s">
        <v>53</v>
      </c>
      <c r="Y92" s="21">
        <v>0.0</v>
      </c>
      <c r="Z92" s="21" t="s">
        <v>53</v>
      </c>
      <c r="AA92" s="21" t="s">
        <v>831</v>
      </c>
      <c r="AB92" s="23" t="s">
        <v>785</v>
      </c>
      <c r="AC92" s="23" t="b">
        <v>1</v>
      </c>
      <c r="AD92" s="21"/>
      <c r="AE92" s="21"/>
      <c r="AF92" s="21"/>
      <c r="AG92" s="21"/>
      <c r="AH92" s="21"/>
      <c r="AI92" s="21"/>
      <c r="AJ92" s="21"/>
      <c r="AK92" s="21"/>
      <c r="AL92" s="21"/>
      <c r="AM92" s="21"/>
      <c r="AN92" s="23"/>
      <c r="AO92" s="21"/>
      <c r="AP92" s="23"/>
      <c r="AQ92" s="35"/>
    </row>
    <row r="93" ht="15.0" customHeight="1">
      <c r="A93" s="13">
        <v>92.0</v>
      </c>
      <c r="B93" s="8" t="s">
        <v>42</v>
      </c>
      <c r="C93" s="14" t="s">
        <v>563</v>
      </c>
      <c r="D93" s="14" t="s">
        <v>821</v>
      </c>
      <c r="E93" s="14" t="s">
        <v>822</v>
      </c>
      <c r="F93" s="14" t="s">
        <v>832</v>
      </c>
      <c r="G93" s="14" t="s">
        <v>833</v>
      </c>
      <c r="H93" s="14" t="s">
        <v>834</v>
      </c>
      <c r="I93" s="14" t="s">
        <v>835</v>
      </c>
      <c r="J93" s="14" t="s">
        <v>836</v>
      </c>
      <c r="K93" s="14" t="s">
        <v>837</v>
      </c>
      <c r="L93" s="14" t="s">
        <v>838</v>
      </c>
      <c r="M93" s="14">
        <v>0.8</v>
      </c>
      <c r="N93" s="14">
        <v>0.6</v>
      </c>
      <c r="O93" s="14">
        <v>0.40828402366863903</v>
      </c>
      <c r="P93" s="14">
        <v>0.0</v>
      </c>
      <c r="Q93" s="14">
        <v>43.0</v>
      </c>
      <c r="R93" s="14" t="s">
        <v>829</v>
      </c>
      <c r="S93" s="14">
        <v>1.0</v>
      </c>
      <c r="T93" s="14" t="s">
        <v>830</v>
      </c>
      <c r="U93" s="14">
        <v>0.0</v>
      </c>
      <c r="V93" s="14">
        <v>0.0</v>
      </c>
      <c r="W93" s="14">
        <v>0.0</v>
      </c>
      <c r="X93" s="14" t="s">
        <v>53</v>
      </c>
      <c r="Y93" s="14">
        <v>0.0</v>
      </c>
      <c r="Z93" s="14" t="s">
        <v>53</v>
      </c>
      <c r="AA93" s="14" t="s">
        <v>831</v>
      </c>
      <c r="AB93" s="15" t="s">
        <v>785</v>
      </c>
      <c r="AC93" s="15" t="b">
        <v>1</v>
      </c>
      <c r="AD93" s="37" t="s">
        <v>57</v>
      </c>
      <c r="AE93" s="37" t="s">
        <v>56</v>
      </c>
      <c r="AF93" s="37">
        <v>0.67</v>
      </c>
      <c r="AG93" s="37" t="s">
        <v>78</v>
      </c>
      <c r="AH93" s="37" t="s">
        <v>58</v>
      </c>
      <c r="AI93" s="37" t="s">
        <v>59</v>
      </c>
      <c r="AJ93" s="37" t="s">
        <v>209</v>
      </c>
      <c r="AK93" s="38" t="s">
        <v>839</v>
      </c>
      <c r="AL93" s="37" t="s">
        <v>62</v>
      </c>
      <c r="AM93" s="37" t="s">
        <v>63</v>
      </c>
      <c r="AN93" s="37" t="s">
        <v>64</v>
      </c>
      <c r="AO93" s="37" t="s">
        <v>65</v>
      </c>
      <c r="AP93" s="15"/>
      <c r="AQ93" s="14"/>
    </row>
    <row r="94" ht="15.0" customHeight="1">
      <c r="A94" s="20">
        <v>93.0</v>
      </c>
      <c r="B94" s="8" t="s">
        <v>66</v>
      </c>
      <c r="C94" s="21" t="s">
        <v>840</v>
      </c>
      <c r="D94" s="21" t="s">
        <v>841</v>
      </c>
      <c r="E94" s="21" t="s">
        <v>842</v>
      </c>
      <c r="F94" s="21" t="s">
        <v>843</v>
      </c>
      <c r="G94" s="21" t="s">
        <v>844</v>
      </c>
      <c r="H94" s="22" t="s">
        <v>845</v>
      </c>
      <c r="I94" s="21" t="s">
        <v>846</v>
      </c>
      <c r="J94" s="21" t="s">
        <v>847</v>
      </c>
      <c r="K94" s="21" t="s">
        <v>848</v>
      </c>
      <c r="L94" s="21" t="s">
        <v>849</v>
      </c>
      <c r="M94" s="21">
        <v>0.9230769230769231</v>
      </c>
      <c r="N94" s="21">
        <v>0.22727272727272727</v>
      </c>
      <c r="O94" s="21">
        <v>0.2608695652173913</v>
      </c>
      <c r="P94" s="21">
        <v>0.0</v>
      </c>
      <c r="Q94" s="21">
        <v>1.0</v>
      </c>
      <c r="R94" s="21" t="s">
        <v>850</v>
      </c>
      <c r="S94" s="21">
        <v>1.0</v>
      </c>
      <c r="T94" s="21" t="s">
        <v>851</v>
      </c>
      <c r="U94" s="21">
        <v>0.0</v>
      </c>
      <c r="V94" s="21">
        <v>0.0</v>
      </c>
      <c r="W94" s="21">
        <v>1.0</v>
      </c>
      <c r="X94" s="21" t="s">
        <v>852</v>
      </c>
      <c r="Y94" s="21">
        <v>0.0</v>
      </c>
      <c r="Z94" s="21" t="s">
        <v>53</v>
      </c>
      <c r="AA94" s="21" t="s">
        <v>853</v>
      </c>
      <c r="AB94" s="23" t="s">
        <v>785</v>
      </c>
      <c r="AC94" s="23" t="b">
        <v>1</v>
      </c>
      <c r="AD94" s="21"/>
      <c r="AE94" s="21"/>
      <c r="AF94" s="21"/>
      <c r="AG94" s="21"/>
      <c r="AH94" s="21"/>
      <c r="AI94" s="21"/>
      <c r="AJ94" s="21"/>
      <c r="AK94" s="21"/>
      <c r="AL94" s="21"/>
      <c r="AM94" s="21"/>
      <c r="AN94" s="23"/>
      <c r="AO94" s="21"/>
      <c r="AP94" s="23"/>
      <c r="AQ94" s="35"/>
    </row>
    <row r="95" ht="15.0" customHeight="1">
      <c r="A95" s="20">
        <v>94.0</v>
      </c>
      <c r="B95" s="8" t="s">
        <v>66</v>
      </c>
      <c r="C95" s="21" t="s">
        <v>773</v>
      </c>
      <c r="D95" s="21" t="s">
        <v>854</v>
      </c>
      <c r="E95" s="21" t="s">
        <v>855</v>
      </c>
      <c r="F95" s="21" t="s">
        <v>805</v>
      </c>
      <c r="G95" s="21" t="s">
        <v>804</v>
      </c>
      <c r="H95" s="22" t="s">
        <v>856</v>
      </c>
      <c r="I95" s="21" t="s">
        <v>857</v>
      </c>
      <c r="J95" s="21" t="s">
        <v>858</v>
      </c>
      <c r="K95" s="21" t="s">
        <v>859</v>
      </c>
      <c r="L95" s="21" t="s">
        <v>860</v>
      </c>
      <c r="M95" s="21">
        <v>0.6</v>
      </c>
      <c r="N95" s="21">
        <v>0.2</v>
      </c>
      <c r="O95" s="21">
        <v>0.05270655270655271</v>
      </c>
      <c r="P95" s="21">
        <v>3.0</v>
      </c>
      <c r="Q95" s="21">
        <v>26.0</v>
      </c>
      <c r="R95" s="21" t="s">
        <v>806</v>
      </c>
      <c r="S95" s="21">
        <v>1.0</v>
      </c>
      <c r="T95" s="21" t="s">
        <v>861</v>
      </c>
      <c r="U95" s="21">
        <v>1.0</v>
      </c>
      <c r="V95" s="21">
        <v>1.0</v>
      </c>
      <c r="W95" s="21">
        <v>0.0</v>
      </c>
      <c r="X95" s="21" t="s">
        <v>53</v>
      </c>
      <c r="Y95" s="21">
        <v>0.0</v>
      </c>
      <c r="Z95" s="21" t="s">
        <v>53</v>
      </c>
      <c r="AA95" s="21" t="s">
        <v>862</v>
      </c>
      <c r="AB95" s="23" t="s">
        <v>863</v>
      </c>
      <c r="AC95" s="23" t="b">
        <v>1</v>
      </c>
      <c r="AD95" s="21"/>
      <c r="AE95" s="21"/>
      <c r="AF95" s="21"/>
      <c r="AG95" s="21"/>
      <c r="AH95" s="21"/>
      <c r="AI95" s="21"/>
      <c r="AJ95" s="21"/>
      <c r="AK95" s="21"/>
      <c r="AL95" s="21"/>
      <c r="AM95" s="21"/>
      <c r="AN95" s="23"/>
      <c r="AO95" s="21"/>
      <c r="AP95" s="23"/>
      <c r="AQ95" s="35"/>
    </row>
    <row r="96" ht="15.0" customHeight="1">
      <c r="A96" s="20">
        <v>95.0</v>
      </c>
      <c r="B96" s="8" t="s">
        <v>66</v>
      </c>
      <c r="C96" s="21" t="s">
        <v>808</v>
      </c>
      <c r="D96" s="21" t="s">
        <v>864</v>
      </c>
      <c r="E96" s="21" t="s">
        <v>865</v>
      </c>
      <c r="F96" s="21" t="s">
        <v>820</v>
      </c>
      <c r="G96" s="21" t="s">
        <v>819</v>
      </c>
      <c r="H96" s="22" t="s">
        <v>866</v>
      </c>
      <c r="I96" s="21" t="s">
        <v>867</v>
      </c>
      <c r="J96" s="21" t="s">
        <v>73</v>
      </c>
      <c r="K96" s="21" t="s">
        <v>868</v>
      </c>
      <c r="L96" s="21" t="s">
        <v>869</v>
      </c>
      <c r="M96" s="21">
        <v>1.0</v>
      </c>
      <c r="N96" s="21">
        <v>0.0</v>
      </c>
      <c r="O96" s="21">
        <v>0.020618556701030927</v>
      </c>
      <c r="P96" s="21">
        <v>1.0</v>
      </c>
      <c r="Q96" s="21">
        <v>59.0</v>
      </c>
      <c r="R96" s="21" t="s">
        <v>53</v>
      </c>
      <c r="S96" s="21">
        <v>0.0</v>
      </c>
      <c r="T96" s="21" t="s">
        <v>53</v>
      </c>
      <c r="U96" s="21">
        <v>0.0</v>
      </c>
      <c r="V96" s="21">
        <v>0.0</v>
      </c>
      <c r="W96" s="21">
        <v>0.0</v>
      </c>
      <c r="X96" s="21" t="s">
        <v>53</v>
      </c>
      <c r="Y96" s="21">
        <v>0.0</v>
      </c>
      <c r="Z96" s="21" t="s">
        <v>53</v>
      </c>
      <c r="AA96" s="21" t="s">
        <v>870</v>
      </c>
      <c r="AB96" s="23" t="s">
        <v>863</v>
      </c>
      <c r="AC96" s="23" t="b">
        <v>1</v>
      </c>
      <c r="AD96" s="21"/>
      <c r="AE96" s="21"/>
      <c r="AF96" s="21"/>
      <c r="AG96" s="21"/>
      <c r="AH96" s="21"/>
      <c r="AI96" s="21"/>
      <c r="AJ96" s="21"/>
      <c r="AK96" s="21"/>
      <c r="AL96" s="21"/>
      <c r="AM96" s="21"/>
      <c r="AN96" s="23"/>
      <c r="AO96" s="21"/>
      <c r="AP96" s="23"/>
      <c r="AQ96" s="35"/>
    </row>
    <row r="97" ht="15.0" customHeight="1">
      <c r="A97" s="20">
        <v>96.0</v>
      </c>
      <c r="B97" s="8" t="s">
        <v>66</v>
      </c>
      <c r="C97" s="21" t="s">
        <v>515</v>
      </c>
      <c r="D97" s="21" t="s">
        <v>864</v>
      </c>
      <c r="E97" s="21" t="s">
        <v>865</v>
      </c>
      <c r="F97" s="21" t="s">
        <v>871</v>
      </c>
      <c r="G97" s="21" t="s">
        <v>872</v>
      </c>
      <c r="H97" s="22" t="s">
        <v>873</v>
      </c>
      <c r="I97" s="21" t="s">
        <v>874</v>
      </c>
      <c r="J97" s="21" t="s">
        <v>73</v>
      </c>
      <c r="K97" s="21" t="s">
        <v>875</v>
      </c>
      <c r="L97" s="21" t="s">
        <v>876</v>
      </c>
      <c r="M97" s="21">
        <v>1.0</v>
      </c>
      <c r="N97" s="21">
        <v>0.0</v>
      </c>
      <c r="O97" s="21">
        <v>0.010309278350515464</v>
      </c>
      <c r="P97" s="21">
        <v>1.0</v>
      </c>
      <c r="Q97" s="21">
        <v>25.0</v>
      </c>
      <c r="R97" s="21" t="s">
        <v>53</v>
      </c>
      <c r="S97" s="21">
        <v>0.0</v>
      </c>
      <c r="T97" s="21" t="s">
        <v>53</v>
      </c>
      <c r="U97" s="21">
        <v>0.0</v>
      </c>
      <c r="V97" s="21">
        <v>0.0</v>
      </c>
      <c r="W97" s="21">
        <v>0.0</v>
      </c>
      <c r="X97" s="21" t="s">
        <v>53</v>
      </c>
      <c r="Y97" s="21">
        <v>0.0</v>
      </c>
      <c r="Z97" s="21" t="s">
        <v>53</v>
      </c>
      <c r="AA97" s="21" t="s">
        <v>870</v>
      </c>
      <c r="AB97" s="23" t="s">
        <v>863</v>
      </c>
      <c r="AC97" s="23" t="b">
        <v>1</v>
      </c>
      <c r="AD97" s="21"/>
      <c r="AE97" s="21"/>
      <c r="AF97" s="21"/>
      <c r="AG97" s="21"/>
      <c r="AH97" s="21"/>
      <c r="AI97" s="21"/>
      <c r="AJ97" s="21"/>
      <c r="AK97" s="21"/>
      <c r="AL97" s="21"/>
      <c r="AM97" s="21"/>
      <c r="AN97" s="23"/>
      <c r="AO97" s="21"/>
      <c r="AP97" s="23"/>
      <c r="AQ97" s="35"/>
    </row>
    <row r="98" ht="15.0" customHeight="1">
      <c r="A98" s="13">
        <v>97.0</v>
      </c>
      <c r="B98" s="8" t="s">
        <v>42</v>
      </c>
      <c r="C98" s="14" t="s">
        <v>877</v>
      </c>
      <c r="D98" s="14" t="s">
        <v>878</v>
      </c>
      <c r="E98" s="14" t="s">
        <v>879</v>
      </c>
      <c r="F98" s="14" t="s">
        <v>880</v>
      </c>
      <c r="G98" s="14" t="s">
        <v>881</v>
      </c>
      <c r="H98" s="14" t="s">
        <v>882</v>
      </c>
      <c r="I98" s="14" t="s">
        <v>883</v>
      </c>
      <c r="J98" s="14" t="s">
        <v>884</v>
      </c>
      <c r="K98" s="14" t="s">
        <v>885</v>
      </c>
      <c r="L98" s="14" t="s">
        <v>886</v>
      </c>
      <c r="M98" s="14">
        <v>1.0</v>
      </c>
      <c r="N98" s="14">
        <v>0.0</v>
      </c>
      <c r="O98" s="14">
        <v>0.7590361445783133</v>
      </c>
      <c r="P98" s="14">
        <v>7.0</v>
      </c>
      <c r="Q98" s="14">
        <v>29.0</v>
      </c>
      <c r="R98" s="14" t="s">
        <v>53</v>
      </c>
      <c r="S98" s="14">
        <v>0.0</v>
      </c>
      <c r="T98" s="14" t="s">
        <v>53</v>
      </c>
      <c r="U98" s="14">
        <v>0.0</v>
      </c>
      <c r="V98" s="14">
        <v>0.0</v>
      </c>
      <c r="W98" s="14">
        <v>0.0</v>
      </c>
      <c r="X98" s="14" t="s">
        <v>53</v>
      </c>
      <c r="Y98" s="14">
        <v>0.0</v>
      </c>
      <c r="Z98" s="14" t="s">
        <v>53</v>
      </c>
      <c r="AA98" s="14" t="s">
        <v>887</v>
      </c>
      <c r="AB98" s="15" t="s">
        <v>888</v>
      </c>
      <c r="AC98" s="15" t="b">
        <v>1</v>
      </c>
      <c r="AD98" s="37" t="s">
        <v>57</v>
      </c>
      <c r="AE98" s="37" t="s">
        <v>77</v>
      </c>
      <c r="AF98" s="37">
        <v>0.13</v>
      </c>
      <c r="AG98" s="37" t="s">
        <v>78</v>
      </c>
      <c r="AH98" s="37" t="s">
        <v>559</v>
      </c>
      <c r="AI98" s="37" t="s">
        <v>59</v>
      </c>
      <c r="AJ98" s="37" t="s">
        <v>209</v>
      </c>
      <c r="AK98" s="37" t="s">
        <v>629</v>
      </c>
      <c r="AL98" s="37" t="s">
        <v>334</v>
      </c>
      <c r="AM98" s="37" t="s">
        <v>63</v>
      </c>
      <c r="AN98" s="37" t="s">
        <v>889</v>
      </c>
      <c r="AO98" s="37" t="s">
        <v>890</v>
      </c>
      <c r="AP98" s="15"/>
      <c r="AQ98" s="14"/>
    </row>
    <row r="99" ht="15.0" customHeight="1">
      <c r="A99" s="20">
        <v>98.0</v>
      </c>
      <c r="B99" s="8" t="s">
        <v>66</v>
      </c>
      <c r="C99" s="21" t="s">
        <v>515</v>
      </c>
      <c r="D99" s="21" t="s">
        <v>891</v>
      </c>
      <c r="E99" s="21" t="s">
        <v>892</v>
      </c>
      <c r="F99" s="21" t="s">
        <v>893</v>
      </c>
      <c r="G99" s="21" t="s">
        <v>894</v>
      </c>
      <c r="H99" s="22" t="s">
        <v>895</v>
      </c>
      <c r="I99" s="21" t="s">
        <v>896</v>
      </c>
      <c r="J99" s="21" t="s">
        <v>897</v>
      </c>
      <c r="K99" s="21" t="s">
        <v>898</v>
      </c>
      <c r="L99" s="21" t="s">
        <v>899</v>
      </c>
      <c r="M99" s="21">
        <v>1.0</v>
      </c>
      <c r="N99" s="21">
        <v>0.9166666666666666</v>
      </c>
      <c r="O99" s="21">
        <v>0.8789659224441834</v>
      </c>
      <c r="P99" s="21">
        <v>0.0</v>
      </c>
      <c r="Q99" s="21">
        <v>27.0</v>
      </c>
      <c r="R99" s="21" t="s">
        <v>53</v>
      </c>
      <c r="S99" s="21">
        <v>0.0</v>
      </c>
      <c r="T99" s="21" t="s">
        <v>53</v>
      </c>
      <c r="U99" s="21">
        <v>0.0</v>
      </c>
      <c r="V99" s="21">
        <v>0.0</v>
      </c>
      <c r="W99" s="21">
        <v>1.0</v>
      </c>
      <c r="X99" s="21" t="s">
        <v>900</v>
      </c>
      <c r="Y99" s="21">
        <v>0.0</v>
      </c>
      <c r="Z99" s="21" t="s">
        <v>53</v>
      </c>
      <c r="AA99" s="21" t="s">
        <v>901</v>
      </c>
      <c r="AB99" s="23" t="s">
        <v>902</v>
      </c>
      <c r="AC99" s="23" t="b">
        <v>1</v>
      </c>
      <c r="AD99" s="21"/>
      <c r="AE99" s="21"/>
      <c r="AF99" s="21"/>
      <c r="AG99" s="21"/>
      <c r="AH99" s="21"/>
      <c r="AI99" s="21"/>
      <c r="AJ99" s="21"/>
      <c r="AK99" s="21"/>
      <c r="AL99" s="21"/>
      <c r="AM99" s="21"/>
      <c r="AN99" s="23"/>
      <c r="AO99" s="21"/>
      <c r="AP99" s="23"/>
      <c r="AQ99" s="46"/>
    </row>
    <row r="100" ht="15.0" customHeight="1">
      <c r="A100" s="20">
        <v>99.0</v>
      </c>
      <c r="B100" s="8" t="s">
        <v>66</v>
      </c>
      <c r="C100" s="21" t="s">
        <v>877</v>
      </c>
      <c r="D100" s="21" t="s">
        <v>903</v>
      </c>
      <c r="E100" s="21" t="s">
        <v>904</v>
      </c>
      <c r="F100" s="21" t="s">
        <v>905</v>
      </c>
      <c r="G100" s="21" t="s">
        <v>906</v>
      </c>
      <c r="H100" s="22" t="s">
        <v>907</v>
      </c>
      <c r="I100" s="21" t="s">
        <v>908</v>
      </c>
      <c r="J100" s="21" t="s">
        <v>909</v>
      </c>
      <c r="K100" s="21" t="s">
        <v>910</v>
      </c>
      <c r="L100" s="21" t="s">
        <v>911</v>
      </c>
      <c r="M100" s="21">
        <v>1.0</v>
      </c>
      <c r="N100" s="21">
        <v>0.38461538461538464</v>
      </c>
      <c r="O100" s="21">
        <v>0.2828535669586984</v>
      </c>
      <c r="P100" s="21">
        <v>3.0</v>
      </c>
      <c r="Q100" s="21">
        <v>30.0</v>
      </c>
      <c r="R100" s="21" t="s">
        <v>912</v>
      </c>
      <c r="S100" s="21">
        <v>0.0</v>
      </c>
      <c r="T100" s="21" t="s">
        <v>53</v>
      </c>
      <c r="U100" s="21">
        <v>0.0</v>
      </c>
      <c r="V100" s="21">
        <v>0.0</v>
      </c>
      <c r="W100" s="21">
        <v>0.0</v>
      </c>
      <c r="X100" s="21" t="s">
        <v>53</v>
      </c>
      <c r="Y100" s="21">
        <v>1.0</v>
      </c>
      <c r="Z100" s="21" t="s">
        <v>913</v>
      </c>
      <c r="AA100" s="21" t="s">
        <v>914</v>
      </c>
      <c r="AB100" s="23" t="s">
        <v>915</v>
      </c>
      <c r="AC100" s="23" t="b">
        <v>1</v>
      </c>
      <c r="AD100" s="21"/>
      <c r="AE100" s="21"/>
      <c r="AF100" s="21"/>
      <c r="AG100" s="21"/>
      <c r="AH100" s="21"/>
      <c r="AI100" s="21"/>
      <c r="AJ100" s="21"/>
      <c r="AK100" s="21"/>
      <c r="AL100" s="21"/>
      <c r="AM100" s="21"/>
      <c r="AN100" s="23"/>
      <c r="AO100" s="21"/>
      <c r="AP100" s="23"/>
      <c r="AQ100" s="35"/>
    </row>
    <row r="101" ht="15.0" customHeight="1">
      <c r="A101" s="20">
        <v>100.0</v>
      </c>
      <c r="B101" s="8" t="s">
        <v>66</v>
      </c>
      <c r="C101" s="21" t="s">
        <v>340</v>
      </c>
      <c r="D101" s="21" t="s">
        <v>916</v>
      </c>
      <c r="E101" s="21" t="s">
        <v>917</v>
      </c>
      <c r="F101" s="21" t="s">
        <v>343</v>
      </c>
      <c r="G101" s="21" t="s">
        <v>918</v>
      </c>
      <c r="H101" s="22" t="s">
        <v>919</v>
      </c>
      <c r="I101" s="21" t="s">
        <v>920</v>
      </c>
      <c r="J101" s="21" t="s">
        <v>73</v>
      </c>
      <c r="K101" s="21" t="s">
        <v>921</v>
      </c>
      <c r="L101" s="21" t="s">
        <v>922</v>
      </c>
      <c r="M101" s="21">
        <v>1.0</v>
      </c>
      <c r="N101" s="21">
        <v>0.0</v>
      </c>
      <c r="O101" s="21">
        <v>0.06976744186046512</v>
      </c>
      <c r="P101" s="21">
        <v>1.0</v>
      </c>
      <c r="Q101" s="21">
        <v>7.0</v>
      </c>
      <c r="R101" s="21" t="s">
        <v>53</v>
      </c>
      <c r="S101" s="21">
        <v>0.0</v>
      </c>
      <c r="T101" s="21" t="s">
        <v>53</v>
      </c>
      <c r="U101" s="21">
        <v>0.0</v>
      </c>
      <c r="V101" s="21">
        <v>0.0</v>
      </c>
      <c r="W101" s="21">
        <v>0.0</v>
      </c>
      <c r="X101" s="21" t="s">
        <v>53</v>
      </c>
      <c r="Y101" s="21">
        <v>0.0</v>
      </c>
      <c r="Z101" s="21" t="s">
        <v>53</v>
      </c>
      <c r="AA101" s="21" t="s">
        <v>923</v>
      </c>
      <c r="AB101" s="23" t="s">
        <v>915</v>
      </c>
      <c r="AC101" s="23" t="b">
        <v>1</v>
      </c>
      <c r="AD101" s="21"/>
      <c r="AE101" s="21"/>
      <c r="AF101" s="21"/>
      <c r="AG101" s="21"/>
      <c r="AH101" s="21"/>
      <c r="AI101" s="21"/>
      <c r="AJ101" s="21"/>
      <c r="AK101" s="21"/>
      <c r="AL101" s="21"/>
      <c r="AM101" s="21"/>
      <c r="AN101" s="23"/>
      <c r="AO101" s="21"/>
      <c r="AP101" s="23"/>
      <c r="AQ101" s="35"/>
    </row>
    <row r="102" ht="15.0" customHeight="1">
      <c r="A102" s="20">
        <v>101.0</v>
      </c>
      <c r="B102" s="8" t="s">
        <v>66</v>
      </c>
      <c r="C102" s="21" t="s">
        <v>924</v>
      </c>
      <c r="D102" s="21" t="s">
        <v>916</v>
      </c>
      <c r="E102" s="21" t="s">
        <v>917</v>
      </c>
      <c r="F102" s="21" t="s">
        <v>925</v>
      </c>
      <c r="G102" s="21" t="s">
        <v>926</v>
      </c>
      <c r="H102" s="22" t="s">
        <v>927</v>
      </c>
      <c r="I102" s="21" t="s">
        <v>928</v>
      </c>
      <c r="J102" s="21" t="s">
        <v>929</v>
      </c>
      <c r="K102" s="21" t="s">
        <v>930</v>
      </c>
      <c r="L102" s="21" t="s">
        <v>931</v>
      </c>
      <c r="M102" s="21">
        <v>0.8333333333333334</v>
      </c>
      <c r="N102" s="21">
        <v>0.2</v>
      </c>
      <c r="O102" s="21">
        <v>0.15991902834008098</v>
      </c>
      <c r="P102" s="21">
        <v>0.0</v>
      </c>
      <c r="Q102" s="21">
        <v>21.0</v>
      </c>
      <c r="R102" s="21" t="s">
        <v>932</v>
      </c>
      <c r="S102" s="21">
        <v>1.0</v>
      </c>
      <c r="T102" s="21" t="s">
        <v>314</v>
      </c>
      <c r="U102" s="21">
        <v>0.0</v>
      </c>
      <c r="V102" s="21">
        <v>0.0</v>
      </c>
      <c r="W102" s="21">
        <v>0.0</v>
      </c>
      <c r="X102" s="21" t="s">
        <v>53</v>
      </c>
      <c r="Y102" s="21">
        <v>0.0</v>
      </c>
      <c r="Z102" s="21" t="s">
        <v>53</v>
      </c>
      <c r="AA102" s="21" t="s">
        <v>923</v>
      </c>
      <c r="AB102" s="23" t="s">
        <v>915</v>
      </c>
      <c r="AC102" s="23" t="b">
        <v>1</v>
      </c>
      <c r="AD102" s="21"/>
      <c r="AE102" s="21"/>
      <c r="AF102" s="21"/>
      <c r="AG102" s="21"/>
      <c r="AH102" s="21"/>
      <c r="AI102" s="21"/>
      <c r="AJ102" s="21"/>
      <c r="AK102" s="21"/>
      <c r="AL102" s="21"/>
      <c r="AM102" s="21"/>
      <c r="AN102" s="23"/>
      <c r="AO102" s="21"/>
      <c r="AP102" s="23"/>
      <c r="AQ102" s="35"/>
    </row>
    <row r="103" ht="15.0" customHeight="1">
      <c r="A103" s="13">
        <v>102.0</v>
      </c>
      <c r="B103" s="8" t="s">
        <v>66</v>
      </c>
      <c r="C103" s="14" t="s">
        <v>924</v>
      </c>
      <c r="D103" s="14" t="s">
        <v>916</v>
      </c>
      <c r="E103" s="14" t="s">
        <v>917</v>
      </c>
      <c r="F103" s="14" t="s">
        <v>933</v>
      </c>
      <c r="G103" s="14" t="s">
        <v>934</v>
      </c>
      <c r="H103" s="14" t="s">
        <v>935</v>
      </c>
      <c r="I103" s="14" t="s">
        <v>936</v>
      </c>
      <c r="J103" s="14" t="s">
        <v>73</v>
      </c>
      <c r="K103" s="14" t="s">
        <v>937</v>
      </c>
      <c r="L103" s="14" t="s">
        <v>938</v>
      </c>
      <c r="M103" s="14">
        <v>1.0</v>
      </c>
      <c r="N103" s="14">
        <v>0.0</v>
      </c>
      <c r="O103" s="14">
        <v>0.43243243243243246</v>
      </c>
      <c r="P103" s="14">
        <v>12.0</v>
      </c>
      <c r="Q103" s="14">
        <v>21.0</v>
      </c>
      <c r="R103" s="14" t="s">
        <v>53</v>
      </c>
      <c r="S103" s="14">
        <v>0.0</v>
      </c>
      <c r="T103" s="14" t="s">
        <v>53</v>
      </c>
      <c r="U103" s="14">
        <v>0.0</v>
      </c>
      <c r="V103" s="14">
        <v>0.0</v>
      </c>
      <c r="W103" s="14">
        <v>0.0</v>
      </c>
      <c r="X103" s="14" t="s">
        <v>53</v>
      </c>
      <c r="Y103" s="14">
        <v>0.0</v>
      </c>
      <c r="Z103" s="14" t="s">
        <v>53</v>
      </c>
      <c r="AA103" s="14" t="s">
        <v>923</v>
      </c>
      <c r="AB103" s="15" t="s">
        <v>915</v>
      </c>
      <c r="AC103" s="15" t="b">
        <v>1</v>
      </c>
      <c r="AD103" s="37" t="s">
        <v>77</v>
      </c>
      <c r="AE103" s="37" t="s">
        <v>57</v>
      </c>
      <c r="AF103" s="37">
        <v>0.33</v>
      </c>
      <c r="AG103" s="37" t="s">
        <v>78</v>
      </c>
      <c r="AH103" s="37" t="s">
        <v>58</v>
      </c>
      <c r="AI103" s="37" t="s">
        <v>79</v>
      </c>
      <c r="AJ103" s="37" t="s">
        <v>60</v>
      </c>
      <c r="AK103" s="37" t="s">
        <v>939</v>
      </c>
      <c r="AL103" s="37" t="s">
        <v>62</v>
      </c>
      <c r="AM103" s="37" t="s">
        <v>63</v>
      </c>
      <c r="AN103" s="37" t="s">
        <v>64</v>
      </c>
      <c r="AO103" s="37" t="s">
        <v>65</v>
      </c>
      <c r="AP103" s="42" t="s">
        <v>940</v>
      </c>
      <c r="AQ103" s="14"/>
    </row>
    <row r="104" ht="15.0" customHeight="1">
      <c r="A104" s="20">
        <v>103.0</v>
      </c>
      <c r="B104" s="8" t="s">
        <v>66</v>
      </c>
      <c r="C104" s="21" t="s">
        <v>411</v>
      </c>
      <c r="D104" s="21" t="s">
        <v>916</v>
      </c>
      <c r="E104" s="21" t="s">
        <v>917</v>
      </c>
      <c r="F104" s="21" t="s">
        <v>941</v>
      </c>
      <c r="G104" s="21" t="s">
        <v>942</v>
      </c>
      <c r="H104" s="22" t="s">
        <v>943</v>
      </c>
      <c r="I104" s="21" t="s">
        <v>944</v>
      </c>
      <c r="J104" s="21" t="s">
        <v>418</v>
      </c>
      <c r="K104" s="21" t="s">
        <v>945</v>
      </c>
      <c r="L104" s="21" t="s">
        <v>946</v>
      </c>
      <c r="M104" s="21">
        <v>1.0</v>
      </c>
      <c r="N104" s="21">
        <v>0.0</v>
      </c>
      <c r="O104" s="21">
        <v>0.1</v>
      </c>
      <c r="P104" s="21">
        <v>0.0</v>
      </c>
      <c r="Q104" s="21">
        <v>78.0</v>
      </c>
      <c r="R104" s="21" t="s">
        <v>53</v>
      </c>
      <c r="S104" s="21">
        <v>0.0</v>
      </c>
      <c r="T104" s="21" t="s">
        <v>53</v>
      </c>
      <c r="U104" s="21">
        <v>0.0</v>
      </c>
      <c r="V104" s="21">
        <v>0.0</v>
      </c>
      <c r="W104" s="21">
        <v>0.0</v>
      </c>
      <c r="X104" s="21" t="s">
        <v>53</v>
      </c>
      <c r="Y104" s="21">
        <v>0.0</v>
      </c>
      <c r="Z104" s="21" t="s">
        <v>53</v>
      </c>
      <c r="AA104" s="21" t="s">
        <v>923</v>
      </c>
      <c r="AB104" s="23" t="s">
        <v>915</v>
      </c>
      <c r="AC104" s="23" t="b">
        <v>1</v>
      </c>
      <c r="AD104" s="47"/>
      <c r="AE104" s="21"/>
      <c r="AF104" s="21"/>
      <c r="AG104" s="21"/>
      <c r="AH104" s="21"/>
      <c r="AI104" s="21"/>
      <c r="AJ104" s="21"/>
      <c r="AK104" s="21"/>
      <c r="AL104" s="21"/>
      <c r="AM104" s="21"/>
      <c r="AN104" s="23"/>
      <c r="AO104" s="21"/>
      <c r="AP104" s="23"/>
      <c r="AQ104" s="35"/>
    </row>
    <row r="105" ht="15.0" customHeight="1">
      <c r="A105" s="20">
        <v>104.0</v>
      </c>
      <c r="B105" s="8" t="s">
        <v>66</v>
      </c>
      <c r="C105" s="21" t="s">
        <v>411</v>
      </c>
      <c r="D105" s="21" t="s">
        <v>916</v>
      </c>
      <c r="E105" s="21" t="s">
        <v>917</v>
      </c>
      <c r="F105" s="21" t="s">
        <v>941</v>
      </c>
      <c r="G105" s="21" t="s">
        <v>942</v>
      </c>
      <c r="H105" s="22" t="s">
        <v>947</v>
      </c>
      <c r="I105" s="21" t="s">
        <v>948</v>
      </c>
      <c r="J105" s="21" t="s">
        <v>418</v>
      </c>
      <c r="K105" s="21" t="s">
        <v>949</v>
      </c>
      <c r="L105" s="21" t="s">
        <v>950</v>
      </c>
      <c r="M105" s="21">
        <v>1.0</v>
      </c>
      <c r="N105" s="21">
        <v>0.0</v>
      </c>
      <c r="O105" s="21">
        <v>0.15469613259668508</v>
      </c>
      <c r="P105" s="21">
        <v>0.0</v>
      </c>
      <c r="Q105" s="21">
        <v>78.0</v>
      </c>
      <c r="R105" s="21" t="s">
        <v>53</v>
      </c>
      <c r="S105" s="21">
        <v>0.0</v>
      </c>
      <c r="T105" s="21" t="s">
        <v>53</v>
      </c>
      <c r="U105" s="21">
        <v>0.0</v>
      </c>
      <c r="V105" s="21">
        <v>0.0</v>
      </c>
      <c r="W105" s="21">
        <v>0.0</v>
      </c>
      <c r="X105" s="21" t="s">
        <v>53</v>
      </c>
      <c r="Y105" s="21">
        <v>0.0</v>
      </c>
      <c r="Z105" s="21" t="s">
        <v>53</v>
      </c>
      <c r="AA105" s="21" t="s">
        <v>923</v>
      </c>
      <c r="AB105" s="23" t="s">
        <v>915</v>
      </c>
      <c r="AC105" s="23" t="b">
        <v>1</v>
      </c>
      <c r="AD105" s="21"/>
      <c r="AE105" s="21"/>
      <c r="AF105" s="21"/>
      <c r="AG105" s="21"/>
      <c r="AH105" s="21"/>
      <c r="AI105" s="21"/>
      <c r="AJ105" s="21"/>
      <c r="AK105" s="21"/>
      <c r="AL105" s="21"/>
      <c r="AM105" s="21"/>
      <c r="AN105" s="23"/>
      <c r="AO105" s="21"/>
      <c r="AP105" s="23"/>
      <c r="AQ105" s="35"/>
    </row>
    <row r="106" ht="15.0" customHeight="1">
      <c r="A106" s="20">
        <v>105.0</v>
      </c>
      <c r="B106" s="8" t="s">
        <v>66</v>
      </c>
      <c r="C106" s="21" t="s">
        <v>411</v>
      </c>
      <c r="D106" s="21" t="s">
        <v>916</v>
      </c>
      <c r="E106" s="21" t="s">
        <v>917</v>
      </c>
      <c r="F106" s="21" t="s">
        <v>951</v>
      </c>
      <c r="G106" s="21" t="s">
        <v>952</v>
      </c>
      <c r="H106" s="22" t="s">
        <v>953</v>
      </c>
      <c r="I106" s="21" t="s">
        <v>954</v>
      </c>
      <c r="J106" s="21" t="s">
        <v>471</v>
      </c>
      <c r="K106" s="21" t="s">
        <v>955</v>
      </c>
      <c r="L106" s="21" t="s">
        <v>956</v>
      </c>
      <c r="M106" s="21">
        <v>1.0</v>
      </c>
      <c r="N106" s="21">
        <v>0.0</v>
      </c>
      <c r="O106" s="21">
        <v>0.1111111111111111</v>
      </c>
      <c r="P106" s="21">
        <v>17.0</v>
      </c>
      <c r="Q106" s="21">
        <v>78.0</v>
      </c>
      <c r="R106" s="21" t="s">
        <v>53</v>
      </c>
      <c r="S106" s="21">
        <v>0.0</v>
      </c>
      <c r="T106" s="21" t="s">
        <v>53</v>
      </c>
      <c r="U106" s="21">
        <v>0.0</v>
      </c>
      <c r="V106" s="21">
        <v>0.0</v>
      </c>
      <c r="W106" s="21">
        <v>0.0</v>
      </c>
      <c r="X106" s="21" t="s">
        <v>53</v>
      </c>
      <c r="Y106" s="21">
        <v>0.0</v>
      </c>
      <c r="Z106" s="21" t="s">
        <v>53</v>
      </c>
      <c r="AA106" s="21" t="s">
        <v>923</v>
      </c>
      <c r="AB106" s="23" t="s">
        <v>915</v>
      </c>
      <c r="AC106" s="23" t="b">
        <v>1</v>
      </c>
      <c r="AD106" s="47"/>
      <c r="AE106" s="21"/>
      <c r="AF106" s="21"/>
      <c r="AG106" s="21"/>
      <c r="AH106" s="21"/>
      <c r="AI106" s="21"/>
      <c r="AJ106" s="21"/>
      <c r="AK106" s="21"/>
      <c r="AL106" s="21"/>
      <c r="AM106" s="21"/>
      <c r="AN106" s="23"/>
      <c r="AO106" s="21"/>
      <c r="AP106" s="23"/>
      <c r="AQ106" s="35"/>
    </row>
    <row r="107" ht="15.0" customHeight="1">
      <c r="A107" s="20">
        <v>106.0</v>
      </c>
      <c r="B107" s="8" t="s">
        <v>66</v>
      </c>
      <c r="C107" s="21" t="s">
        <v>411</v>
      </c>
      <c r="D107" s="21" t="s">
        <v>916</v>
      </c>
      <c r="E107" s="21" t="s">
        <v>917</v>
      </c>
      <c r="F107" s="21" t="s">
        <v>474</v>
      </c>
      <c r="G107" s="21" t="s">
        <v>475</v>
      </c>
      <c r="H107" s="22" t="s">
        <v>957</v>
      </c>
      <c r="I107" s="21" t="s">
        <v>958</v>
      </c>
      <c r="J107" s="21" t="s">
        <v>478</v>
      </c>
      <c r="K107" s="21" t="s">
        <v>959</v>
      </c>
      <c r="L107" s="21" t="s">
        <v>960</v>
      </c>
      <c r="M107" s="21">
        <v>1.0</v>
      </c>
      <c r="N107" s="21">
        <v>0.0</v>
      </c>
      <c r="O107" s="21">
        <v>0.26143790849673204</v>
      </c>
      <c r="P107" s="21">
        <v>45.0</v>
      </c>
      <c r="Q107" s="21">
        <v>78.0</v>
      </c>
      <c r="R107" s="21" t="s">
        <v>53</v>
      </c>
      <c r="S107" s="21">
        <v>0.0</v>
      </c>
      <c r="T107" s="21" t="s">
        <v>53</v>
      </c>
      <c r="U107" s="21">
        <v>0.0</v>
      </c>
      <c r="V107" s="21">
        <v>0.0</v>
      </c>
      <c r="W107" s="21">
        <v>0.0</v>
      </c>
      <c r="X107" s="21" t="s">
        <v>53</v>
      </c>
      <c r="Y107" s="21">
        <v>0.0</v>
      </c>
      <c r="Z107" s="21" t="s">
        <v>53</v>
      </c>
      <c r="AA107" s="21" t="s">
        <v>923</v>
      </c>
      <c r="AB107" s="23" t="s">
        <v>915</v>
      </c>
      <c r="AC107" s="23" t="b">
        <v>1</v>
      </c>
      <c r="AD107" s="21"/>
      <c r="AE107" s="21"/>
      <c r="AF107" s="21"/>
      <c r="AG107" s="21"/>
      <c r="AH107" s="21"/>
      <c r="AI107" s="21"/>
      <c r="AJ107" s="21"/>
      <c r="AK107" s="21"/>
      <c r="AL107" s="21"/>
      <c r="AM107" s="21"/>
      <c r="AN107" s="23"/>
      <c r="AO107" s="21"/>
      <c r="AP107" s="23"/>
      <c r="AQ107" s="35"/>
    </row>
    <row r="108" ht="15.0" customHeight="1">
      <c r="A108" s="13">
        <v>107.0</v>
      </c>
      <c r="B108" s="8" t="s">
        <v>42</v>
      </c>
      <c r="C108" s="14" t="s">
        <v>411</v>
      </c>
      <c r="D108" s="14" t="s">
        <v>916</v>
      </c>
      <c r="E108" s="14" t="s">
        <v>917</v>
      </c>
      <c r="F108" s="14" t="s">
        <v>474</v>
      </c>
      <c r="G108" s="14" t="s">
        <v>475</v>
      </c>
      <c r="H108" s="14" t="s">
        <v>961</v>
      </c>
      <c r="I108" s="14" t="s">
        <v>962</v>
      </c>
      <c r="J108" s="14" t="s">
        <v>478</v>
      </c>
      <c r="K108" s="14" t="s">
        <v>963</v>
      </c>
      <c r="L108" s="14" t="s">
        <v>964</v>
      </c>
      <c r="M108" s="14">
        <v>1.0</v>
      </c>
      <c r="N108" s="14">
        <v>0.0</v>
      </c>
      <c r="O108" s="14">
        <v>0.2565789473684211</v>
      </c>
      <c r="P108" s="14">
        <v>45.0</v>
      </c>
      <c r="Q108" s="14">
        <v>78.0</v>
      </c>
      <c r="R108" s="14" t="s">
        <v>53</v>
      </c>
      <c r="S108" s="14">
        <v>0.0</v>
      </c>
      <c r="T108" s="14" t="s">
        <v>53</v>
      </c>
      <c r="U108" s="14">
        <v>0.0</v>
      </c>
      <c r="V108" s="14">
        <v>0.0</v>
      </c>
      <c r="W108" s="14">
        <v>0.0</v>
      </c>
      <c r="X108" s="14" t="s">
        <v>53</v>
      </c>
      <c r="Y108" s="14">
        <v>0.0</v>
      </c>
      <c r="Z108" s="14" t="s">
        <v>53</v>
      </c>
      <c r="AA108" s="14" t="s">
        <v>923</v>
      </c>
      <c r="AB108" s="15" t="s">
        <v>915</v>
      </c>
      <c r="AC108" s="15" t="b">
        <v>1</v>
      </c>
      <c r="AD108" s="37" t="s">
        <v>57</v>
      </c>
      <c r="AE108" s="37" t="s">
        <v>57</v>
      </c>
      <c r="AF108" s="37">
        <v>0.13</v>
      </c>
      <c r="AG108" s="37" t="s">
        <v>78</v>
      </c>
      <c r="AH108" s="37" t="s">
        <v>58</v>
      </c>
      <c r="AI108" s="37" t="s">
        <v>59</v>
      </c>
      <c r="AJ108" s="37" t="s">
        <v>60</v>
      </c>
      <c r="AK108" s="37" t="s">
        <v>61</v>
      </c>
      <c r="AL108" s="37" t="s">
        <v>62</v>
      </c>
      <c r="AM108" s="37" t="s">
        <v>63</v>
      </c>
      <c r="AN108" s="37" t="s">
        <v>64</v>
      </c>
      <c r="AO108" s="37" t="s">
        <v>65</v>
      </c>
      <c r="AP108" s="15"/>
      <c r="AQ108" s="14"/>
    </row>
    <row r="109" ht="15.0" customHeight="1">
      <c r="A109" s="20">
        <v>108.0</v>
      </c>
      <c r="B109" s="8" t="s">
        <v>66</v>
      </c>
      <c r="C109" s="21" t="s">
        <v>411</v>
      </c>
      <c r="D109" s="21" t="s">
        <v>916</v>
      </c>
      <c r="E109" s="21" t="s">
        <v>917</v>
      </c>
      <c r="F109" s="21" t="s">
        <v>485</v>
      </c>
      <c r="G109" s="21" t="s">
        <v>486</v>
      </c>
      <c r="H109" s="22" t="s">
        <v>965</v>
      </c>
      <c r="I109" s="21" t="s">
        <v>966</v>
      </c>
      <c r="J109" s="21" t="s">
        <v>478</v>
      </c>
      <c r="K109" s="21" t="s">
        <v>967</v>
      </c>
      <c r="L109" s="21" t="s">
        <v>968</v>
      </c>
      <c r="M109" s="21">
        <v>1.0</v>
      </c>
      <c r="N109" s="21">
        <v>0.0</v>
      </c>
      <c r="O109" s="21">
        <v>0.25161290322580643</v>
      </c>
      <c r="P109" s="21">
        <v>44.0</v>
      </c>
      <c r="Q109" s="21">
        <v>78.0</v>
      </c>
      <c r="R109" s="21" t="s">
        <v>53</v>
      </c>
      <c r="S109" s="21">
        <v>0.0</v>
      </c>
      <c r="T109" s="21" t="s">
        <v>53</v>
      </c>
      <c r="U109" s="21">
        <v>0.0</v>
      </c>
      <c r="V109" s="21">
        <v>0.0</v>
      </c>
      <c r="W109" s="21">
        <v>0.0</v>
      </c>
      <c r="X109" s="21" t="s">
        <v>53</v>
      </c>
      <c r="Y109" s="21">
        <v>0.0</v>
      </c>
      <c r="Z109" s="21" t="s">
        <v>53</v>
      </c>
      <c r="AA109" s="21" t="s">
        <v>923</v>
      </c>
      <c r="AB109" s="23" t="s">
        <v>915</v>
      </c>
      <c r="AC109" s="23" t="b">
        <v>1</v>
      </c>
      <c r="AD109" s="21"/>
      <c r="AE109" s="21"/>
      <c r="AF109" s="21"/>
      <c r="AG109" s="21"/>
      <c r="AH109" s="21"/>
      <c r="AI109" s="21"/>
      <c r="AJ109" s="21"/>
      <c r="AK109" s="21"/>
      <c r="AL109" s="21"/>
      <c r="AM109" s="21"/>
      <c r="AN109" s="23"/>
      <c r="AO109" s="21"/>
      <c r="AP109" s="23"/>
      <c r="AQ109" s="35"/>
    </row>
    <row r="110" ht="15.0" customHeight="1">
      <c r="A110" s="20">
        <v>109.0</v>
      </c>
      <c r="B110" s="8" t="s">
        <v>66</v>
      </c>
      <c r="C110" s="21" t="s">
        <v>411</v>
      </c>
      <c r="D110" s="21" t="s">
        <v>916</v>
      </c>
      <c r="E110" s="21" t="s">
        <v>917</v>
      </c>
      <c r="F110" s="21" t="s">
        <v>485</v>
      </c>
      <c r="G110" s="21" t="s">
        <v>486</v>
      </c>
      <c r="H110" s="22" t="s">
        <v>969</v>
      </c>
      <c r="I110" s="21" t="s">
        <v>970</v>
      </c>
      <c r="J110" s="21" t="s">
        <v>478</v>
      </c>
      <c r="K110" s="21" t="s">
        <v>971</v>
      </c>
      <c r="L110" s="21" t="s">
        <v>972</v>
      </c>
      <c r="M110" s="21">
        <v>1.0</v>
      </c>
      <c r="N110" s="21">
        <v>0.0</v>
      </c>
      <c r="O110" s="21">
        <v>0.24675324675324675</v>
      </c>
      <c r="P110" s="21">
        <v>44.0</v>
      </c>
      <c r="Q110" s="21">
        <v>78.0</v>
      </c>
      <c r="R110" s="21" t="s">
        <v>53</v>
      </c>
      <c r="S110" s="21">
        <v>0.0</v>
      </c>
      <c r="T110" s="21" t="s">
        <v>53</v>
      </c>
      <c r="U110" s="21">
        <v>0.0</v>
      </c>
      <c r="V110" s="21">
        <v>0.0</v>
      </c>
      <c r="W110" s="21">
        <v>0.0</v>
      </c>
      <c r="X110" s="21" t="s">
        <v>53</v>
      </c>
      <c r="Y110" s="21">
        <v>0.0</v>
      </c>
      <c r="Z110" s="21" t="s">
        <v>53</v>
      </c>
      <c r="AA110" s="21" t="s">
        <v>923</v>
      </c>
      <c r="AB110" s="23" t="s">
        <v>915</v>
      </c>
      <c r="AC110" s="23" t="b">
        <v>1</v>
      </c>
      <c r="AD110" s="21"/>
      <c r="AE110" s="21"/>
      <c r="AF110" s="21"/>
      <c r="AG110" s="21"/>
      <c r="AH110" s="21"/>
      <c r="AI110" s="21"/>
      <c r="AJ110" s="21"/>
      <c r="AK110" s="21"/>
      <c r="AL110" s="21"/>
      <c r="AM110" s="21"/>
      <c r="AN110" s="23"/>
      <c r="AO110" s="21"/>
      <c r="AP110" s="23"/>
      <c r="AQ110" s="35"/>
    </row>
    <row r="111" ht="15.0" customHeight="1">
      <c r="A111" s="20">
        <v>110.0</v>
      </c>
      <c r="B111" s="8" t="s">
        <v>66</v>
      </c>
      <c r="C111" s="21" t="s">
        <v>411</v>
      </c>
      <c r="D111" s="21" t="s">
        <v>916</v>
      </c>
      <c r="E111" s="21" t="s">
        <v>917</v>
      </c>
      <c r="F111" s="21" t="s">
        <v>495</v>
      </c>
      <c r="G111" s="21" t="s">
        <v>496</v>
      </c>
      <c r="H111" s="22" t="s">
        <v>973</v>
      </c>
      <c r="I111" s="21" t="s">
        <v>974</v>
      </c>
      <c r="J111" s="21" t="s">
        <v>478</v>
      </c>
      <c r="K111" s="21" t="s">
        <v>975</v>
      </c>
      <c r="L111" s="21" t="s">
        <v>976</v>
      </c>
      <c r="M111" s="21">
        <v>1.0</v>
      </c>
      <c r="N111" s="21">
        <v>0.0</v>
      </c>
      <c r="O111" s="21">
        <v>0.26490066225165565</v>
      </c>
      <c r="P111" s="21">
        <v>46.0</v>
      </c>
      <c r="Q111" s="21">
        <v>78.0</v>
      </c>
      <c r="R111" s="21" t="s">
        <v>53</v>
      </c>
      <c r="S111" s="21">
        <v>0.0</v>
      </c>
      <c r="T111" s="21" t="s">
        <v>53</v>
      </c>
      <c r="U111" s="21">
        <v>0.0</v>
      </c>
      <c r="V111" s="21">
        <v>0.0</v>
      </c>
      <c r="W111" s="21">
        <v>0.0</v>
      </c>
      <c r="X111" s="21" t="s">
        <v>53</v>
      </c>
      <c r="Y111" s="21">
        <v>0.0</v>
      </c>
      <c r="Z111" s="21" t="s">
        <v>53</v>
      </c>
      <c r="AA111" s="21" t="s">
        <v>923</v>
      </c>
      <c r="AB111" s="23" t="s">
        <v>915</v>
      </c>
      <c r="AC111" s="23" t="b">
        <v>1</v>
      </c>
      <c r="AD111" s="21"/>
      <c r="AE111" s="21"/>
      <c r="AF111" s="21"/>
      <c r="AG111" s="21"/>
      <c r="AH111" s="21"/>
      <c r="AI111" s="21"/>
      <c r="AJ111" s="21"/>
      <c r="AK111" s="21"/>
      <c r="AL111" s="21"/>
      <c r="AM111" s="21"/>
      <c r="AN111" s="23"/>
      <c r="AO111" s="21"/>
      <c r="AP111" s="23"/>
      <c r="AQ111" s="35"/>
    </row>
    <row r="112" ht="15.0" customHeight="1">
      <c r="A112" s="20">
        <v>111.0</v>
      </c>
      <c r="B112" s="8" t="s">
        <v>66</v>
      </c>
      <c r="C112" s="21" t="s">
        <v>411</v>
      </c>
      <c r="D112" s="21" t="s">
        <v>916</v>
      </c>
      <c r="E112" s="21" t="s">
        <v>917</v>
      </c>
      <c r="F112" s="21" t="s">
        <v>495</v>
      </c>
      <c r="G112" s="21" t="s">
        <v>496</v>
      </c>
      <c r="H112" s="22" t="s">
        <v>977</v>
      </c>
      <c r="I112" s="21" t="s">
        <v>978</v>
      </c>
      <c r="J112" s="21" t="s">
        <v>478</v>
      </c>
      <c r="K112" s="21" t="s">
        <v>979</v>
      </c>
      <c r="L112" s="21" t="s">
        <v>980</v>
      </c>
      <c r="M112" s="21">
        <v>1.0</v>
      </c>
      <c r="N112" s="21">
        <v>0.0</v>
      </c>
      <c r="O112" s="21">
        <v>0.26</v>
      </c>
      <c r="P112" s="21">
        <v>46.0</v>
      </c>
      <c r="Q112" s="21">
        <v>78.0</v>
      </c>
      <c r="R112" s="21" t="s">
        <v>53</v>
      </c>
      <c r="S112" s="21">
        <v>0.0</v>
      </c>
      <c r="T112" s="21" t="s">
        <v>53</v>
      </c>
      <c r="U112" s="21">
        <v>0.0</v>
      </c>
      <c r="V112" s="21">
        <v>0.0</v>
      </c>
      <c r="W112" s="21">
        <v>0.0</v>
      </c>
      <c r="X112" s="21" t="s">
        <v>53</v>
      </c>
      <c r="Y112" s="21">
        <v>0.0</v>
      </c>
      <c r="Z112" s="21" t="s">
        <v>53</v>
      </c>
      <c r="AA112" s="21" t="s">
        <v>923</v>
      </c>
      <c r="AB112" s="23" t="s">
        <v>915</v>
      </c>
      <c r="AC112" s="23" t="b">
        <v>1</v>
      </c>
      <c r="AD112" s="21"/>
      <c r="AE112" s="21"/>
      <c r="AF112" s="21"/>
      <c r="AG112" s="21"/>
      <c r="AH112" s="21"/>
      <c r="AI112" s="21"/>
      <c r="AJ112" s="21"/>
      <c r="AK112" s="21"/>
      <c r="AL112" s="21"/>
      <c r="AM112" s="21"/>
      <c r="AN112" s="23"/>
      <c r="AO112" s="21"/>
      <c r="AP112" s="23"/>
      <c r="AQ112" s="35"/>
    </row>
    <row r="113" ht="15.0" customHeight="1">
      <c r="A113" s="13">
        <v>112.0</v>
      </c>
      <c r="B113" s="8" t="s">
        <v>42</v>
      </c>
      <c r="C113" s="14" t="s">
        <v>411</v>
      </c>
      <c r="D113" s="14" t="s">
        <v>916</v>
      </c>
      <c r="E113" s="14" t="s">
        <v>917</v>
      </c>
      <c r="F113" s="14" t="s">
        <v>485</v>
      </c>
      <c r="G113" s="14" t="s">
        <v>486</v>
      </c>
      <c r="H113" s="14" t="s">
        <v>981</v>
      </c>
      <c r="I113" s="14" t="s">
        <v>982</v>
      </c>
      <c r="J113" s="14" t="s">
        <v>478</v>
      </c>
      <c r="K113" s="14" t="s">
        <v>983</v>
      </c>
      <c r="L113" s="14" t="s">
        <v>984</v>
      </c>
      <c r="M113" s="14">
        <v>1.0</v>
      </c>
      <c r="N113" s="14">
        <v>0.0</v>
      </c>
      <c r="O113" s="14">
        <v>0.28205128205128205</v>
      </c>
      <c r="P113" s="14">
        <v>44.0</v>
      </c>
      <c r="Q113" s="14">
        <v>78.0</v>
      </c>
      <c r="R113" s="14" t="s">
        <v>53</v>
      </c>
      <c r="S113" s="14">
        <v>0.0</v>
      </c>
      <c r="T113" s="14" t="s">
        <v>53</v>
      </c>
      <c r="U113" s="14">
        <v>0.0</v>
      </c>
      <c r="V113" s="14">
        <v>0.0</v>
      </c>
      <c r="W113" s="14">
        <v>0.0</v>
      </c>
      <c r="X113" s="14" t="s">
        <v>53</v>
      </c>
      <c r="Y113" s="14">
        <v>0.0</v>
      </c>
      <c r="Z113" s="14" t="s">
        <v>53</v>
      </c>
      <c r="AA113" s="14" t="s">
        <v>923</v>
      </c>
      <c r="AB113" s="15" t="s">
        <v>915</v>
      </c>
      <c r="AC113" s="15" t="b">
        <v>1</v>
      </c>
      <c r="AD113" s="37" t="s">
        <v>57</v>
      </c>
      <c r="AE113" s="37" t="s">
        <v>57</v>
      </c>
      <c r="AF113" s="37">
        <v>0.12</v>
      </c>
      <c r="AG113" s="37" t="s">
        <v>78</v>
      </c>
      <c r="AH113" s="37" t="s">
        <v>58</v>
      </c>
      <c r="AI113" s="37" t="s">
        <v>59</v>
      </c>
      <c r="AJ113" s="37" t="s">
        <v>60</v>
      </c>
      <c r="AK113" s="37" t="s">
        <v>61</v>
      </c>
      <c r="AL113" s="37" t="s">
        <v>62</v>
      </c>
      <c r="AM113" s="37" t="s">
        <v>63</v>
      </c>
      <c r="AN113" s="37" t="s">
        <v>64</v>
      </c>
      <c r="AO113" s="37" t="s">
        <v>65</v>
      </c>
      <c r="AP113" s="15"/>
      <c r="AQ113" s="14"/>
    </row>
    <row r="114" ht="15.0" customHeight="1">
      <c r="A114" s="20">
        <v>113.0</v>
      </c>
      <c r="B114" s="8" t="s">
        <v>66</v>
      </c>
      <c r="C114" s="21" t="s">
        <v>411</v>
      </c>
      <c r="D114" s="21" t="s">
        <v>916</v>
      </c>
      <c r="E114" s="21" t="s">
        <v>917</v>
      </c>
      <c r="F114" s="21" t="s">
        <v>509</v>
      </c>
      <c r="G114" s="21" t="s">
        <v>510</v>
      </c>
      <c r="H114" s="22" t="s">
        <v>985</v>
      </c>
      <c r="I114" s="21" t="s">
        <v>986</v>
      </c>
      <c r="J114" s="21" t="s">
        <v>478</v>
      </c>
      <c r="K114" s="21" t="s">
        <v>987</v>
      </c>
      <c r="L114" s="21" t="s">
        <v>988</v>
      </c>
      <c r="M114" s="21">
        <v>1.0</v>
      </c>
      <c r="N114" s="21">
        <v>0.0</v>
      </c>
      <c r="O114" s="21">
        <v>0.2620689655172414</v>
      </c>
      <c r="P114" s="21">
        <v>11.0</v>
      </c>
      <c r="Q114" s="21">
        <v>78.0</v>
      </c>
      <c r="R114" s="21" t="s">
        <v>53</v>
      </c>
      <c r="S114" s="21">
        <v>0.0</v>
      </c>
      <c r="T114" s="21" t="s">
        <v>53</v>
      </c>
      <c r="U114" s="21">
        <v>0.0</v>
      </c>
      <c r="V114" s="21">
        <v>0.0</v>
      </c>
      <c r="W114" s="21">
        <v>0.0</v>
      </c>
      <c r="X114" s="21" t="s">
        <v>53</v>
      </c>
      <c r="Y114" s="21">
        <v>0.0</v>
      </c>
      <c r="Z114" s="21" t="s">
        <v>53</v>
      </c>
      <c r="AA114" s="21" t="s">
        <v>923</v>
      </c>
      <c r="AB114" s="23" t="s">
        <v>915</v>
      </c>
      <c r="AC114" s="23" t="b">
        <v>1</v>
      </c>
      <c r="AD114" s="21"/>
      <c r="AE114" s="21"/>
      <c r="AF114" s="21"/>
      <c r="AG114" s="21"/>
      <c r="AH114" s="21"/>
      <c r="AI114" s="21"/>
      <c r="AJ114" s="21"/>
      <c r="AK114" s="21"/>
      <c r="AL114" s="21"/>
      <c r="AM114" s="21"/>
      <c r="AN114" s="23"/>
      <c r="AO114" s="21"/>
      <c r="AP114" s="23"/>
      <c r="AQ114" s="35"/>
    </row>
    <row r="115" ht="15.0" customHeight="1">
      <c r="A115" s="20">
        <v>114.0</v>
      </c>
      <c r="B115" s="8" t="s">
        <v>66</v>
      </c>
      <c r="C115" s="21" t="s">
        <v>989</v>
      </c>
      <c r="D115" s="21" t="s">
        <v>990</v>
      </c>
      <c r="E115" s="21" t="s">
        <v>991</v>
      </c>
      <c r="F115" s="21" t="s">
        <v>992</v>
      </c>
      <c r="G115" s="21" t="s">
        <v>993</v>
      </c>
      <c r="H115" s="22" t="s">
        <v>994</v>
      </c>
      <c r="I115" s="21" t="s">
        <v>995</v>
      </c>
      <c r="J115" s="21" t="s">
        <v>996</v>
      </c>
      <c r="K115" s="21" t="s">
        <v>997</v>
      </c>
      <c r="L115" s="21" t="s">
        <v>998</v>
      </c>
      <c r="M115" s="21">
        <v>1.0</v>
      </c>
      <c r="N115" s="21">
        <v>0.0</v>
      </c>
      <c r="O115" s="21">
        <v>0.2264957264957265</v>
      </c>
      <c r="P115" s="21">
        <v>0.0</v>
      </c>
      <c r="Q115" s="21">
        <v>10.0</v>
      </c>
      <c r="R115" s="21" t="s">
        <v>999</v>
      </c>
      <c r="S115" s="21">
        <v>0.0</v>
      </c>
      <c r="T115" s="21" t="s">
        <v>53</v>
      </c>
      <c r="U115" s="21">
        <v>0.0</v>
      </c>
      <c r="V115" s="21">
        <v>0.0</v>
      </c>
      <c r="W115" s="21">
        <v>0.0</v>
      </c>
      <c r="X115" s="21" t="s">
        <v>53</v>
      </c>
      <c r="Y115" s="21">
        <v>0.0</v>
      </c>
      <c r="Z115" s="21" t="s">
        <v>53</v>
      </c>
      <c r="AA115" s="21" t="s">
        <v>1000</v>
      </c>
      <c r="AB115" s="23" t="s">
        <v>1001</v>
      </c>
      <c r="AC115" s="23" t="b">
        <v>1</v>
      </c>
      <c r="AD115" s="21"/>
      <c r="AE115" s="21"/>
      <c r="AF115" s="21"/>
      <c r="AG115" s="21"/>
      <c r="AH115" s="21"/>
      <c r="AI115" s="21"/>
      <c r="AJ115" s="21"/>
      <c r="AK115" s="21"/>
      <c r="AL115" s="21"/>
      <c r="AM115" s="21"/>
      <c r="AN115" s="23"/>
      <c r="AO115" s="21"/>
      <c r="AP115" s="23"/>
      <c r="AQ115" s="35"/>
    </row>
    <row r="116" ht="15.0" customHeight="1">
      <c r="A116" s="20">
        <v>115.0</v>
      </c>
      <c r="B116" s="8" t="s">
        <v>66</v>
      </c>
      <c r="C116" s="21" t="s">
        <v>1002</v>
      </c>
      <c r="D116" s="21" t="s">
        <v>990</v>
      </c>
      <c r="E116" s="21" t="s">
        <v>1003</v>
      </c>
      <c r="F116" s="21" t="s">
        <v>1004</v>
      </c>
      <c r="G116" s="21" t="s">
        <v>1005</v>
      </c>
      <c r="H116" s="22" t="s">
        <v>1006</v>
      </c>
      <c r="I116" s="21" t="s">
        <v>1007</v>
      </c>
      <c r="J116" s="21" t="s">
        <v>1008</v>
      </c>
      <c r="K116" s="21" t="s">
        <v>1009</v>
      </c>
      <c r="L116" s="21" t="s">
        <v>998</v>
      </c>
      <c r="M116" s="21">
        <v>1.0</v>
      </c>
      <c r="N116" s="21">
        <v>0.0</v>
      </c>
      <c r="O116" s="21">
        <v>0.225531914893617</v>
      </c>
      <c r="P116" s="21">
        <v>0.0</v>
      </c>
      <c r="Q116" s="21">
        <v>8.0</v>
      </c>
      <c r="R116" s="21" t="s">
        <v>999</v>
      </c>
      <c r="S116" s="21">
        <v>0.0</v>
      </c>
      <c r="T116" s="21" t="s">
        <v>53</v>
      </c>
      <c r="U116" s="21">
        <v>0.0</v>
      </c>
      <c r="V116" s="21">
        <v>0.0</v>
      </c>
      <c r="W116" s="21">
        <v>0.0</v>
      </c>
      <c r="X116" s="21" t="s">
        <v>53</v>
      </c>
      <c r="Y116" s="21">
        <v>0.0</v>
      </c>
      <c r="Z116" s="21" t="s">
        <v>53</v>
      </c>
      <c r="AA116" s="21" t="s">
        <v>1000</v>
      </c>
      <c r="AB116" s="23" t="s">
        <v>1001</v>
      </c>
      <c r="AC116" s="23" t="b">
        <v>1</v>
      </c>
      <c r="AD116" s="21"/>
      <c r="AE116" s="21"/>
      <c r="AF116" s="21"/>
      <c r="AG116" s="21"/>
      <c r="AH116" s="21"/>
      <c r="AI116" s="21"/>
      <c r="AJ116" s="21"/>
      <c r="AK116" s="21"/>
      <c r="AL116" s="21"/>
      <c r="AM116" s="21"/>
      <c r="AN116" s="23"/>
      <c r="AO116" s="23"/>
      <c r="AP116" s="23"/>
      <c r="AQ116" s="35"/>
    </row>
    <row r="117" ht="15.0" customHeight="1">
      <c r="A117" s="20">
        <v>116.0</v>
      </c>
      <c r="B117" s="8" t="s">
        <v>66</v>
      </c>
      <c r="C117" s="21" t="s">
        <v>877</v>
      </c>
      <c r="D117" s="21" t="s">
        <v>1010</v>
      </c>
      <c r="E117" s="21" t="s">
        <v>1011</v>
      </c>
      <c r="F117" s="21" t="s">
        <v>1012</v>
      </c>
      <c r="G117" s="21" t="s">
        <v>1013</v>
      </c>
      <c r="H117" s="22" t="s">
        <v>1014</v>
      </c>
      <c r="I117" s="21" t="s">
        <v>1015</v>
      </c>
      <c r="J117" s="21" t="s">
        <v>1016</v>
      </c>
      <c r="K117" s="21" t="s">
        <v>1017</v>
      </c>
      <c r="L117" s="21" t="s">
        <v>1018</v>
      </c>
      <c r="M117" s="21">
        <v>1.0</v>
      </c>
      <c r="N117" s="21">
        <v>0.0</v>
      </c>
      <c r="O117" s="21">
        <v>0.5449438202247191</v>
      </c>
      <c r="P117" s="21">
        <v>5.0</v>
      </c>
      <c r="Q117" s="21">
        <v>30.0</v>
      </c>
      <c r="R117" s="21" t="s">
        <v>53</v>
      </c>
      <c r="S117" s="21">
        <v>0.0</v>
      </c>
      <c r="T117" s="21" t="s">
        <v>53</v>
      </c>
      <c r="U117" s="21">
        <v>0.0</v>
      </c>
      <c r="V117" s="21">
        <v>0.0</v>
      </c>
      <c r="W117" s="21">
        <v>0.0</v>
      </c>
      <c r="X117" s="21" t="s">
        <v>53</v>
      </c>
      <c r="Y117" s="21">
        <v>0.0</v>
      </c>
      <c r="Z117" s="21" t="s">
        <v>53</v>
      </c>
      <c r="AA117" s="21" t="s">
        <v>1019</v>
      </c>
      <c r="AB117" s="23" t="s">
        <v>1020</v>
      </c>
      <c r="AC117" s="23" t="b">
        <v>1</v>
      </c>
      <c r="AD117" s="21"/>
      <c r="AE117" s="21"/>
      <c r="AF117" s="21"/>
      <c r="AG117" s="21"/>
      <c r="AH117" s="21"/>
      <c r="AI117" s="21"/>
      <c r="AJ117" s="21"/>
      <c r="AK117" s="21"/>
      <c r="AL117" s="21"/>
      <c r="AM117" s="21"/>
      <c r="AN117" s="23"/>
      <c r="AO117" s="21"/>
      <c r="AP117" s="23"/>
      <c r="AQ117" s="35"/>
    </row>
    <row r="118" ht="15.0" customHeight="1">
      <c r="A118" s="13">
        <v>117.0</v>
      </c>
      <c r="B118" s="8" t="s">
        <v>42</v>
      </c>
      <c r="C118" s="14" t="s">
        <v>229</v>
      </c>
      <c r="D118" s="14" t="s">
        <v>1021</v>
      </c>
      <c r="E118" s="14" t="s">
        <v>1011</v>
      </c>
      <c r="F118" s="14" t="s">
        <v>1022</v>
      </c>
      <c r="G118" s="14" t="s">
        <v>1023</v>
      </c>
      <c r="H118" s="14" t="s">
        <v>1024</v>
      </c>
      <c r="I118" s="14" t="s">
        <v>1025</v>
      </c>
      <c r="J118" s="14" t="s">
        <v>1026</v>
      </c>
      <c r="K118" s="14" t="s">
        <v>1027</v>
      </c>
      <c r="L118" s="14" t="s">
        <v>1028</v>
      </c>
      <c r="M118" s="14">
        <v>1.0</v>
      </c>
      <c r="N118" s="14">
        <v>0.0</v>
      </c>
      <c r="O118" s="14">
        <v>0.3652173913043478</v>
      </c>
      <c r="P118" s="14">
        <v>7.0</v>
      </c>
      <c r="Q118" s="14">
        <v>21.0</v>
      </c>
      <c r="R118" s="14" t="s">
        <v>53</v>
      </c>
      <c r="S118" s="14">
        <v>0.0</v>
      </c>
      <c r="T118" s="14" t="s">
        <v>53</v>
      </c>
      <c r="U118" s="14">
        <v>0.0</v>
      </c>
      <c r="V118" s="14">
        <v>0.0</v>
      </c>
      <c r="W118" s="14">
        <v>0.0</v>
      </c>
      <c r="X118" s="14" t="s">
        <v>53</v>
      </c>
      <c r="Y118" s="14">
        <v>0.0</v>
      </c>
      <c r="Z118" s="14" t="s">
        <v>53</v>
      </c>
      <c r="AA118" s="14" t="s">
        <v>1029</v>
      </c>
      <c r="AB118" s="15" t="s">
        <v>1020</v>
      </c>
      <c r="AC118" s="15" t="b">
        <v>1</v>
      </c>
      <c r="AD118" s="37" t="s">
        <v>57</v>
      </c>
      <c r="AE118" s="37" t="s">
        <v>57</v>
      </c>
      <c r="AF118" s="37">
        <v>0.0</v>
      </c>
      <c r="AG118" s="37" t="s">
        <v>78</v>
      </c>
      <c r="AH118" s="37" t="s">
        <v>162</v>
      </c>
      <c r="AI118" s="37" t="s">
        <v>59</v>
      </c>
      <c r="AJ118" s="37" t="s">
        <v>546</v>
      </c>
      <c r="AK118" s="37" t="s">
        <v>629</v>
      </c>
      <c r="AL118" s="37" t="s">
        <v>334</v>
      </c>
      <c r="AM118" s="37" t="s">
        <v>63</v>
      </c>
      <c r="AN118" s="37" t="s">
        <v>164</v>
      </c>
      <c r="AO118" s="37" t="s">
        <v>65</v>
      </c>
      <c r="AP118" s="14"/>
      <c r="AQ118" s="14"/>
    </row>
    <row r="119" ht="15.0" customHeight="1">
      <c r="A119" s="20">
        <v>118.0</v>
      </c>
      <c r="B119" s="8" t="s">
        <v>66</v>
      </c>
      <c r="C119" s="21" t="s">
        <v>411</v>
      </c>
      <c r="D119" s="21" t="s">
        <v>1030</v>
      </c>
      <c r="E119" s="21" t="s">
        <v>1011</v>
      </c>
      <c r="F119" s="21" t="s">
        <v>1031</v>
      </c>
      <c r="G119" s="21" t="s">
        <v>1032</v>
      </c>
      <c r="H119" s="22" t="s">
        <v>1033</v>
      </c>
      <c r="I119" s="21" t="s">
        <v>1034</v>
      </c>
      <c r="J119" s="21" t="s">
        <v>1035</v>
      </c>
      <c r="K119" s="21" t="s">
        <v>1036</v>
      </c>
      <c r="L119" s="21" t="s">
        <v>1037</v>
      </c>
      <c r="M119" s="21">
        <v>1.0</v>
      </c>
      <c r="N119" s="21">
        <v>0.0</v>
      </c>
      <c r="O119" s="21">
        <v>0.2743362831858407</v>
      </c>
      <c r="P119" s="21">
        <v>38.0</v>
      </c>
      <c r="Q119" s="21">
        <v>92.0</v>
      </c>
      <c r="R119" s="21" t="s">
        <v>53</v>
      </c>
      <c r="S119" s="21">
        <v>0.0</v>
      </c>
      <c r="T119" s="21" t="s">
        <v>53</v>
      </c>
      <c r="U119" s="21">
        <v>0.0</v>
      </c>
      <c r="V119" s="21">
        <v>0.0</v>
      </c>
      <c r="W119" s="21">
        <v>0.0</v>
      </c>
      <c r="X119" s="21" t="s">
        <v>53</v>
      </c>
      <c r="Y119" s="21">
        <v>0.0</v>
      </c>
      <c r="Z119" s="21" t="s">
        <v>53</v>
      </c>
      <c r="AA119" s="21" t="s">
        <v>1038</v>
      </c>
      <c r="AB119" s="23" t="s">
        <v>1020</v>
      </c>
      <c r="AC119" s="23" t="b">
        <v>1</v>
      </c>
      <c r="AD119" s="21"/>
      <c r="AE119" s="21"/>
      <c r="AF119" s="21"/>
      <c r="AG119" s="21"/>
      <c r="AH119" s="21"/>
      <c r="AI119" s="21"/>
      <c r="AJ119" s="21"/>
      <c r="AK119" s="21"/>
      <c r="AL119" s="21"/>
      <c r="AM119" s="21"/>
      <c r="AN119" s="23"/>
      <c r="AO119" s="21"/>
      <c r="AP119" s="21"/>
      <c r="AQ119" s="35"/>
    </row>
    <row r="120" ht="15.0" customHeight="1">
      <c r="A120" s="20">
        <v>119.0</v>
      </c>
      <c r="B120" s="8" t="s">
        <v>66</v>
      </c>
      <c r="C120" s="21" t="s">
        <v>411</v>
      </c>
      <c r="D120" s="21" t="s">
        <v>1030</v>
      </c>
      <c r="E120" s="21" t="s">
        <v>1011</v>
      </c>
      <c r="F120" s="21" t="s">
        <v>1031</v>
      </c>
      <c r="G120" s="21" t="s">
        <v>1032</v>
      </c>
      <c r="H120" s="22" t="s">
        <v>1039</v>
      </c>
      <c r="I120" s="21" t="s">
        <v>1040</v>
      </c>
      <c r="J120" s="21" t="s">
        <v>1035</v>
      </c>
      <c r="K120" s="21" t="s">
        <v>1041</v>
      </c>
      <c r="L120" s="21" t="s">
        <v>1042</v>
      </c>
      <c r="M120" s="21">
        <v>1.0</v>
      </c>
      <c r="N120" s="21">
        <v>0.0</v>
      </c>
      <c r="O120" s="21">
        <v>0.2831858407079646</v>
      </c>
      <c r="P120" s="21">
        <v>38.0</v>
      </c>
      <c r="Q120" s="21">
        <v>92.0</v>
      </c>
      <c r="R120" s="21" t="s">
        <v>53</v>
      </c>
      <c r="S120" s="21">
        <v>0.0</v>
      </c>
      <c r="T120" s="21" t="s">
        <v>53</v>
      </c>
      <c r="U120" s="21">
        <v>0.0</v>
      </c>
      <c r="V120" s="21">
        <v>0.0</v>
      </c>
      <c r="W120" s="21">
        <v>0.0</v>
      </c>
      <c r="X120" s="21" t="s">
        <v>53</v>
      </c>
      <c r="Y120" s="21">
        <v>0.0</v>
      </c>
      <c r="Z120" s="21" t="s">
        <v>53</v>
      </c>
      <c r="AA120" s="21" t="s">
        <v>1038</v>
      </c>
      <c r="AB120" s="23" t="s">
        <v>1020</v>
      </c>
      <c r="AC120" s="23" t="b">
        <v>1</v>
      </c>
      <c r="AD120" s="21"/>
      <c r="AE120" s="21"/>
      <c r="AF120" s="21"/>
      <c r="AG120" s="21"/>
      <c r="AH120" s="21"/>
      <c r="AI120" s="21"/>
      <c r="AJ120" s="21"/>
      <c r="AK120" s="21"/>
      <c r="AL120" s="21"/>
      <c r="AM120" s="21"/>
      <c r="AN120" s="23"/>
      <c r="AO120" s="21"/>
      <c r="AP120" s="21"/>
      <c r="AQ120" s="35"/>
    </row>
    <row r="121" ht="15.0" customHeight="1">
      <c r="A121" s="20">
        <v>120.0</v>
      </c>
      <c r="B121" s="8" t="s">
        <v>66</v>
      </c>
      <c r="C121" s="21" t="s">
        <v>411</v>
      </c>
      <c r="D121" s="21" t="s">
        <v>1030</v>
      </c>
      <c r="E121" s="21" t="s">
        <v>1011</v>
      </c>
      <c r="F121" s="21" t="s">
        <v>1031</v>
      </c>
      <c r="G121" s="21" t="s">
        <v>1032</v>
      </c>
      <c r="H121" s="22" t="s">
        <v>1043</v>
      </c>
      <c r="I121" s="21" t="s">
        <v>1044</v>
      </c>
      <c r="J121" s="21" t="s">
        <v>1035</v>
      </c>
      <c r="K121" s="21" t="s">
        <v>1045</v>
      </c>
      <c r="L121" s="21" t="s">
        <v>1046</v>
      </c>
      <c r="M121" s="21">
        <v>1.0</v>
      </c>
      <c r="N121" s="21">
        <v>0.0</v>
      </c>
      <c r="O121" s="21">
        <v>0.2831858407079646</v>
      </c>
      <c r="P121" s="21">
        <v>38.0</v>
      </c>
      <c r="Q121" s="21">
        <v>92.0</v>
      </c>
      <c r="R121" s="21" t="s">
        <v>53</v>
      </c>
      <c r="S121" s="21">
        <v>0.0</v>
      </c>
      <c r="T121" s="21" t="s">
        <v>53</v>
      </c>
      <c r="U121" s="21">
        <v>0.0</v>
      </c>
      <c r="V121" s="21">
        <v>0.0</v>
      </c>
      <c r="W121" s="21">
        <v>0.0</v>
      </c>
      <c r="X121" s="21" t="s">
        <v>53</v>
      </c>
      <c r="Y121" s="21">
        <v>0.0</v>
      </c>
      <c r="Z121" s="21" t="s">
        <v>53</v>
      </c>
      <c r="AA121" s="21" t="s">
        <v>1038</v>
      </c>
      <c r="AB121" s="23" t="s">
        <v>1020</v>
      </c>
      <c r="AC121" s="23" t="b">
        <v>1</v>
      </c>
      <c r="AD121" s="21"/>
      <c r="AE121" s="21"/>
      <c r="AF121" s="21"/>
      <c r="AG121" s="21"/>
      <c r="AH121" s="21"/>
      <c r="AI121" s="21"/>
      <c r="AJ121" s="21"/>
      <c r="AK121" s="21"/>
      <c r="AL121" s="21"/>
      <c r="AM121" s="21"/>
      <c r="AN121" s="23"/>
      <c r="AO121" s="21"/>
      <c r="AP121" s="21"/>
      <c r="AQ121" s="35"/>
    </row>
    <row r="122" ht="15.0" customHeight="1">
      <c r="A122" s="13">
        <v>121.0</v>
      </c>
      <c r="B122" s="8" t="s">
        <v>66</v>
      </c>
      <c r="C122" s="14" t="s">
        <v>808</v>
      </c>
      <c r="D122" s="14" t="s">
        <v>1047</v>
      </c>
      <c r="E122" s="14" t="s">
        <v>1048</v>
      </c>
      <c r="F122" s="14" t="s">
        <v>880</v>
      </c>
      <c r="G122" s="14" t="s">
        <v>1049</v>
      </c>
      <c r="H122" s="14" t="s">
        <v>1050</v>
      </c>
      <c r="I122" s="14" t="s">
        <v>1051</v>
      </c>
      <c r="J122" s="14" t="s">
        <v>73</v>
      </c>
      <c r="K122" s="14" t="s">
        <v>1052</v>
      </c>
      <c r="L122" s="14" t="s">
        <v>1053</v>
      </c>
      <c r="M122" s="14">
        <v>1.0</v>
      </c>
      <c r="N122" s="14">
        <v>0.0</v>
      </c>
      <c r="O122" s="14">
        <v>0.6133333333333333</v>
      </c>
      <c r="P122" s="14">
        <v>42.0</v>
      </c>
      <c r="Q122" s="14">
        <v>61.0</v>
      </c>
      <c r="R122" s="14" t="s">
        <v>53</v>
      </c>
      <c r="S122" s="14">
        <v>0.0</v>
      </c>
      <c r="T122" s="14" t="s">
        <v>53</v>
      </c>
      <c r="U122" s="14">
        <v>0.0</v>
      </c>
      <c r="V122" s="14">
        <v>0.0</v>
      </c>
      <c r="W122" s="14">
        <v>0.0</v>
      </c>
      <c r="X122" s="14" t="s">
        <v>53</v>
      </c>
      <c r="Y122" s="14">
        <v>0.0</v>
      </c>
      <c r="Z122" s="14" t="s">
        <v>53</v>
      </c>
      <c r="AA122" s="14" t="s">
        <v>1054</v>
      </c>
      <c r="AB122" s="15" t="s">
        <v>1055</v>
      </c>
      <c r="AC122" s="15" t="b">
        <v>1</v>
      </c>
      <c r="AD122" s="37" t="s">
        <v>57</v>
      </c>
      <c r="AE122" s="37" t="s">
        <v>57</v>
      </c>
      <c r="AF122" s="37">
        <v>0.0</v>
      </c>
      <c r="AG122" s="37" t="s">
        <v>78</v>
      </c>
      <c r="AH122" s="37" t="s">
        <v>58</v>
      </c>
      <c r="AI122" s="37" t="s">
        <v>59</v>
      </c>
      <c r="AJ122" s="37" t="s">
        <v>209</v>
      </c>
      <c r="AK122" s="37" t="s">
        <v>1056</v>
      </c>
      <c r="AL122" s="37" t="s">
        <v>630</v>
      </c>
      <c r="AM122" s="37" t="s">
        <v>63</v>
      </c>
      <c r="AN122" s="37" t="s">
        <v>64</v>
      </c>
      <c r="AO122" s="37" t="s">
        <v>1057</v>
      </c>
      <c r="AP122" s="15"/>
      <c r="AQ122" s="14"/>
    </row>
    <row r="123" ht="15.0" customHeight="1">
      <c r="A123" s="20">
        <v>122.0</v>
      </c>
      <c r="B123" s="8" t="s">
        <v>66</v>
      </c>
      <c r="C123" s="21" t="s">
        <v>808</v>
      </c>
      <c r="D123" s="21" t="s">
        <v>1058</v>
      </c>
      <c r="E123" s="21" t="s">
        <v>1059</v>
      </c>
      <c r="F123" s="21" t="s">
        <v>1060</v>
      </c>
      <c r="G123" s="21" t="s">
        <v>1061</v>
      </c>
      <c r="H123" s="22" t="s">
        <v>1062</v>
      </c>
      <c r="I123" s="21" t="s">
        <v>1063</v>
      </c>
      <c r="J123" s="21" t="s">
        <v>1064</v>
      </c>
      <c r="K123" s="21" t="s">
        <v>1065</v>
      </c>
      <c r="L123" s="21" t="s">
        <v>1066</v>
      </c>
      <c r="M123" s="21">
        <v>0.875</v>
      </c>
      <c r="N123" s="21">
        <v>0.10869565217391304</v>
      </c>
      <c r="O123" s="21">
        <v>0.09803921568627451</v>
      </c>
      <c r="P123" s="21">
        <v>0.0</v>
      </c>
      <c r="Q123" s="21">
        <v>66.0</v>
      </c>
      <c r="R123" s="21" t="s">
        <v>1067</v>
      </c>
      <c r="S123" s="21">
        <v>1.0</v>
      </c>
      <c r="T123" s="21" t="s">
        <v>1068</v>
      </c>
      <c r="U123" s="21">
        <v>0.0</v>
      </c>
      <c r="V123" s="21">
        <v>0.0</v>
      </c>
      <c r="W123" s="21">
        <v>4.0</v>
      </c>
      <c r="X123" s="21" t="s">
        <v>1069</v>
      </c>
      <c r="Y123" s="21">
        <v>1.0</v>
      </c>
      <c r="Z123" s="21" t="s">
        <v>1070</v>
      </c>
      <c r="AA123" s="21" t="s">
        <v>1071</v>
      </c>
      <c r="AB123" s="23" t="s">
        <v>1055</v>
      </c>
      <c r="AC123" s="23" t="b">
        <v>1</v>
      </c>
      <c r="AD123" s="21"/>
      <c r="AE123" s="21"/>
      <c r="AF123" s="21"/>
      <c r="AG123" s="21"/>
      <c r="AH123" s="21"/>
      <c r="AI123" s="21"/>
      <c r="AJ123" s="21"/>
      <c r="AK123" s="21"/>
      <c r="AL123" s="21"/>
      <c r="AM123" s="21"/>
      <c r="AN123" s="23"/>
      <c r="AO123" s="21"/>
      <c r="AP123" s="23"/>
      <c r="AQ123" s="35"/>
    </row>
    <row r="124" ht="15.0" customHeight="1">
      <c r="A124" s="20">
        <v>123.0</v>
      </c>
      <c r="B124" s="8" t="s">
        <v>66</v>
      </c>
      <c r="C124" s="21" t="s">
        <v>1072</v>
      </c>
      <c r="D124" s="21" t="s">
        <v>1073</v>
      </c>
      <c r="E124" s="21" t="s">
        <v>1074</v>
      </c>
      <c r="F124" s="21" t="s">
        <v>1075</v>
      </c>
      <c r="G124" s="21" t="s">
        <v>1076</v>
      </c>
      <c r="H124" s="22" t="s">
        <v>1077</v>
      </c>
      <c r="I124" s="21" t="s">
        <v>1078</v>
      </c>
      <c r="J124" s="21" t="s">
        <v>1079</v>
      </c>
      <c r="K124" s="21" t="s">
        <v>1080</v>
      </c>
      <c r="L124" s="21" t="s">
        <v>1081</v>
      </c>
      <c r="M124" s="21">
        <v>1.0</v>
      </c>
      <c r="N124" s="21">
        <v>0.8333333333333334</v>
      </c>
      <c r="O124" s="21">
        <v>0.7795918367346939</v>
      </c>
      <c r="P124" s="21">
        <v>0.0</v>
      </c>
      <c r="Q124" s="21">
        <v>12.0</v>
      </c>
      <c r="R124" s="21" t="s">
        <v>53</v>
      </c>
      <c r="S124" s="21">
        <v>0.0</v>
      </c>
      <c r="T124" s="21" t="s">
        <v>53</v>
      </c>
      <c r="U124" s="21">
        <v>0.0</v>
      </c>
      <c r="V124" s="21">
        <v>0.0</v>
      </c>
      <c r="W124" s="21">
        <v>0.0</v>
      </c>
      <c r="X124" s="21" t="s">
        <v>53</v>
      </c>
      <c r="Y124" s="21">
        <v>2.0</v>
      </c>
      <c r="Z124" s="21" t="s">
        <v>1082</v>
      </c>
      <c r="AA124" s="21" t="s">
        <v>1083</v>
      </c>
      <c r="AB124" s="23" t="s">
        <v>1055</v>
      </c>
      <c r="AC124" s="23" t="b">
        <v>1</v>
      </c>
      <c r="AD124" s="21"/>
      <c r="AE124" s="21"/>
      <c r="AF124" s="21"/>
      <c r="AG124" s="21"/>
      <c r="AH124" s="21"/>
      <c r="AI124" s="21"/>
      <c r="AJ124" s="21"/>
      <c r="AK124" s="21"/>
      <c r="AL124" s="21"/>
      <c r="AM124" s="21"/>
      <c r="AN124" s="21"/>
      <c r="AO124" s="21"/>
      <c r="AP124" s="23"/>
      <c r="AQ124" s="35"/>
    </row>
    <row r="125" ht="15.0" customHeight="1">
      <c r="A125" s="20">
        <v>124.0</v>
      </c>
      <c r="B125" s="8" t="s">
        <v>66</v>
      </c>
      <c r="C125" s="21" t="s">
        <v>1084</v>
      </c>
      <c r="D125" s="21" t="s">
        <v>1085</v>
      </c>
      <c r="E125" s="21" t="s">
        <v>1011</v>
      </c>
      <c r="F125" s="21" t="s">
        <v>1086</v>
      </c>
      <c r="G125" s="21" t="s">
        <v>1087</v>
      </c>
      <c r="H125" s="22" t="s">
        <v>1088</v>
      </c>
      <c r="I125" s="21" t="s">
        <v>1089</v>
      </c>
      <c r="J125" s="21" t="s">
        <v>73</v>
      </c>
      <c r="K125" s="21" t="s">
        <v>1090</v>
      </c>
      <c r="L125" s="21" t="s">
        <v>1091</v>
      </c>
      <c r="M125" s="21">
        <v>1.0</v>
      </c>
      <c r="N125" s="21">
        <v>0.0</v>
      </c>
      <c r="O125" s="21">
        <v>0.6657754010695187</v>
      </c>
      <c r="P125" s="21">
        <v>6.0</v>
      </c>
      <c r="Q125" s="21">
        <v>9.0</v>
      </c>
      <c r="R125" s="21" t="s">
        <v>53</v>
      </c>
      <c r="S125" s="21">
        <v>0.0</v>
      </c>
      <c r="T125" s="21" t="s">
        <v>53</v>
      </c>
      <c r="U125" s="21">
        <v>0.0</v>
      </c>
      <c r="V125" s="21">
        <v>0.0</v>
      </c>
      <c r="W125" s="21">
        <v>0.0</v>
      </c>
      <c r="X125" s="21" t="s">
        <v>53</v>
      </c>
      <c r="Y125" s="21">
        <v>0.0</v>
      </c>
      <c r="Z125" s="21" t="s">
        <v>53</v>
      </c>
      <c r="AA125" s="21" t="s">
        <v>1092</v>
      </c>
      <c r="AB125" s="23" t="s">
        <v>1055</v>
      </c>
      <c r="AC125" s="23" t="b">
        <v>1</v>
      </c>
      <c r="AD125" s="21"/>
      <c r="AE125" s="21"/>
      <c r="AF125" s="21"/>
      <c r="AG125" s="21"/>
      <c r="AH125" s="21"/>
      <c r="AI125" s="21"/>
      <c r="AJ125" s="21"/>
      <c r="AK125" s="21"/>
      <c r="AL125" s="21"/>
      <c r="AM125" s="21"/>
      <c r="AN125" s="21"/>
      <c r="AO125" s="21"/>
      <c r="AP125" s="23"/>
      <c r="AQ125" s="35"/>
    </row>
    <row r="126" ht="15.0" customHeight="1">
      <c r="A126" s="13">
        <v>125.0</v>
      </c>
      <c r="B126" s="8" t="s">
        <v>42</v>
      </c>
      <c r="C126" s="14" t="s">
        <v>1093</v>
      </c>
      <c r="D126" s="14" t="s">
        <v>1094</v>
      </c>
      <c r="E126" s="14" t="s">
        <v>1011</v>
      </c>
      <c r="F126" s="14" t="s">
        <v>1095</v>
      </c>
      <c r="G126" s="14" t="s">
        <v>1096</v>
      </c>
      <c r="H126" s="14" t="s">
        <v>1097</v>
      </c>
      <c r="I126" s="14" t="s">
        <v>1098</v>
      </c>
      <c r="J126" s="14" t="s">
        <v>1099</v>
      </c>
      <c r="K126" s="14" t="s">
        <v>1100</v>
      </c>
      <c r="L126" s="14" t="s">
        <v>1101</v>
      </c>
      <c r="M126" s="14">
        <v>1.0</v>
      </c>
      <c r="N126" s="14">
        <v>0.0</v>
      </c>
      <c r="O126" s="14">
        <v>0.5084745762711864</v>
      </c>
      <c r="P126" s="14">
        <v>1.0</v>
      </c>
      <c r="Q126" s="14">
        <v>3.0</v>
      </c>
      <c r="R126" s="14" t="s">
        <v>53</v>
      </c>
      <c r="S126" s="14">
        <v>0.0</v>
      </c>
      <c r="T126" s="14" t="s">
        <v>53</v>
      </c>
      <c r="U126" s="14">
        <v>0.0</v>
      </c>
      <c r="V126" s="14">
        <v>0.0</v>
      </c>
      <c r="W126" s="14">
        <v>0.0</v>
      </c>
      <c r="X126" s="14" t="s">
        <v>53</v>
      </c>
      <c r="Y126" s="14">
        <v>0.0</v>
      </c>
      <c r="Z126" s="14" t="s">
        <v>53</v>
      </c>
      <c r="AA126" s="14" t="s">
        <v>1102</v>
      </c>
      <c r="AB126" s="15" t="s">
        <v>1055</v>
      </c>
      <c r="AC126" s="15" t="b">
        <v>1</v>
      </c>
      <c r="AD126" s="37" t="s">
        <v>57</v>
      </c>
      <c r="AE126" s="37" t="s">
        <v>56</v>
      </c>
      <c r="AF126" s="37">
        <v>0.0</v>
      </c>
      <c r="AG126" s="37" t="s">
        <v>78</v>
      </c>
      <c r="AH126" s="43" t="s">
        <v>162</v>
      </c>
      <c r="AI126" s="37" t="s">
        <v>59</v>
      </c>
      <c r="AJ126" s="37" t="s">
        <v>60</v>
      </c>
      <c r="AK126" s="37" t="s">
        <v>1103</v>
      </c>
      <c r="AL126" s="43" t="s">
        <v>334</v>
      </c>
      <c r="AM126" s="37" t="s">
        <v>250</v>
      </c>
      <c r="AN126" s="37" t="s">
        <v>64</v>
      </c>
      <c r="AO126" s="37" t="s">
        <v>65</v>
      </c>
      <c r="AP126" s="15"/>
      <c r="AQ126" s="14"/>
    </row>
    <row r="127" ht="15.0" customHeight="1">
      <c r="A127" s="20">
        <v>126.0</v>
      </c>
      <c r="B127" s="8" t="s">
        <v>66</v>
      </c>
      <c r="C127" s="21" t="s">
        <v>1093</v>
      </c>
      <c r="D127" s="21" t="s">
        <v>1094</v>
      </c>
      <c r="E127" s="21" t="s">
        <v>1011</v>
      </c>
      <c r="F127" s="21" t="s">
        <v>1095</v>
      </c>
      <c r="G127" s="21" t="s">
        <v>1096</v>
      </c>
      <c r="H127" s="22" t="s">
        <v>1104</v>
      </c>
      <c r="I127" s="21" t="s">
        <v>1105</v>
      </c>
      <c r="J127" s="21" t="s">
        <v>1099</v>
      </c>
      <c r="K127" s="21" t="s">
        <v>1106</v>
      </c>
      <c r="L127" s="21" t="s">
        <v>1107</v>
      </c>
      <c r="M127" s="21">
        <v>1.0</v>
      </c>
      <c r="N127" s="21">
        <v>0.0</v>
      </c>
      <c r="O127" s="21">
        <v>0.5141242937853108</v>
      </c>
      <c r="P127" s="21">
        <v>1.0</v>
      </c>
      <c r="Q127" s="21">
        <v>3.0</v>
      </c>
      <c r="R127" s="21" t="s">
        <v>53</v>
      </c>
      <c r="S127" s="21">
        <v>0.0</v>
      </c>
      <c r="T127" s="21" t="s">
        <v>53</v>
      </c>
      <c r="U127" s="21">
        <v>0.0</v>
      </c>
      <c r="V127" s="21">
        <v>0.0</v>
      </c>
      <c r="W127" s="21">
        <v>0.0</v>
      </c>
      <c r="X127" s="21" t="s">
        <v>53</v>
      </c>
      <c r="Y127" s="21">
        <v>0.0</v>
      </c>
      <c r="Z127" s="21" t="s">
        <v>53</v>
      </c>
      <c r="AA127" s="21" t="s">
        <v>1102</v>
      </c>
      <c r="AB127" s="23" t="s">
        <v>1055</v>
      </c>
      <c r="AC127" s="23" t="b">
        <v>1</v>
      </c>
      <c r="AD127" s="21"/>
      <c r="AE127" s="21"/>
      <c r="AF127" s="21"/>
      <c r="AG127" s="21"/>
      <c r="AH127" s="21"/>
      <c r="AI127" s="21"/>
      <c r="AJ127" s="21"/>
      <c r="AK127" s="21"/>
      <c r="AL127" s="21"/>
      <c r="AM127" s="21"/>
      <c r="AN127" s="21"/>
      <c r="AO127" s="21"/>
      <c r="AP127" s="23"/>
      <c r="AQ127" s="35"/>
    </row>
    <row r="128" ht="15.0" customHeight="1">
      <c r="A128" s="20">
        <v>127.0</v>
      </c>
      <c r="B128" s="8" t="s">
        <v>66</v>
      </c>
      <c r="C128" s="21" t="s">
        <v>411</v>
      </c>
      <c r="D128" s="21" t="s">
        <v>1108</v>
      </c>
      <c r="E128" s="21" t="s">
        <v>1109</v>
      </c>
      <c r="F128" s="21" t="s">
        <v>968</v>
      </c>
      <c r="G128" s="21" t="s">
        <v>1110</v>
      </c>
      <c r="H128" s="22" t="s">
        <v>1111</v>
      </c>
      <c r="I128" s="21" t="s">
        <v>1112</v>
      </c>
      <c r="J128" s="21" t="s">
        <v>1113</v>
      </c>
      <c r="K128" s="21" t="s">
        <v>1114</v>
      </c>
      <c r="L128" s="21" t="s">
        <v>1115</v>
      </c>
      <c r="M128" s="21">
        <v>1.0</v>
      </c>
      <c r="N128" s="21">
        <v>0.8571428571428571</v>
      </c>
      <c r="O128" s="21">
        <v>0.7158590308370044</v>
      </c>
      <c r="P128" s="21">
        <v>24.0</v>
      </c>
      <c r="Q128" s="21">
        <v>94.0</v>
      </c>
      <c r="R128" s="21" t="s">
        <v>53</v>
      </c>
      <c r="S128" s="21">
        <v>0.0</v>
      </c>
      <c r="T128" s="21" t="s">
        <v>53</v>
      </c>
      <c r="U128" s="21">
        <v>0.0</v>
      </c>
      <c r="V128" s="21">
        <v>0.0</v>
      </c>
      <c r="W128" s="21">
        <v>2.0</v>
      </c>
      <c r="X128" s="21" t="s">
        <v>1116</v>
      </c>
      <c r="Y128" s="21">
        <v>0.0</v>
      </c>
      <c r="Z128" s="21" t="s">
        <v>53</v>
      </c>
      <c r="AA128" s="21" t="s">
        <v>1117</v>
      </c>
      <c r="AB128" s="23" t="s">
        <v>1118</v>
      </c>
      <c r="AC128" s="23" t="b">
        <v>1</v>
      </c>
      <c r="AD128" s="21"/>
      <c r="AE128" s="21"/>
      <c r="AF128" s="21"/>
      <c r="AG128" s="21"/>
      <c r="AH128" s="21"/>
      <c r="AI128" s="21"/>
      <c r="AJ128" s="21"/>
      <c r="AK128" s="21"/>
      <c r="AL128" s="21"/>
      <c r="AM128" s="21"/>
      <c r="AN128" s="21"/>
      <c r="AO128" s="21"/>
      <c r="AP128" s="23"/>
      <c r="AQ128" s="35"/>
    </row>
    <row r="129" ht="15.0" customHeight="1">
      <c r="A129" s="20">
        <v>128.0</v>
      </c>
      <c r="B129" s="8" t="s">
        <v>66</v>
      </c>
      <c r="C129" s="21" t="s">
        <v>724</v>
      </c>
      <c r="D129" s="21" t="s">
        <v>1119</v>
      </c>
      <c r="E129" s="21" t="s">
        <v>1120</v>
      </c>
      <c r="F129" s="21" t="s">
        <v>189</v>
      </c>
      <c r="G129" s="21" t="s">
        <v>1121</v>
      </c>
      <c r="H129" s="22" t="s">
        <v>1122</v>
      </c>
      <c r="I129" s="21" t="s">
        <v>1123</v>
      </c>
      <c r="J129" s="21" t="s">
        <v>193</v>
      </c>
      <c r="K129" s="21" t="s">
        <v>1124</v>
      </c>
      <c r="L129" s="21" t="s">
        <v>1125</v>
      </c>
      <c r="M129" s="21">
        <v>1.0</v>
      </c>
      <c r="N129" s="21">
        <v>0.0</v>
      </c>
      <c r="O129" s="21">
        <v>0.14942528735632185</v>
      </c>
      <c r="P129" s="21">
        <v>1.0</v>
      </c>
      <c r="Q129" s="21">
        <v>10.0</v>
      </c>
      <c r="R129" s="21" t="s">
        <v>53</v>
      </c>
      <c r="S129" s="21">
        <v>0.0</v>
      </c>
      <c r="T129" s="21" t="s">
        <v>53</v>
      </c>
      <c r="U129" s="21">
        <v>0.0</v>
      </c>
      <c r="V129" s="21">
        <v>0.0</v>
      </c>
      <c r="W129" s="21">
        <v>0.0</v>
      </c>
      <c r="X129" s="21" t="s">
        <v>53</v>
      </c>
      <c r="Y129" s="21">
        <v>0.0</v>
      </c>
      <c r="Z129" s="21" t="s">
        <v>53</v>
      </c>
      <c r="AA129" s="21" t="s">
        <v>1126</v>
      </c>
      <c r="AB129" s="23" t="s">
        <v>1127</v>
      </c>
      <c r="AC129" s="23" t="b">
        <v>1</v>
      </c>
      <c r="AD129" s="21"/>
      <c r="AE129" s="21"/>
      <c r="AF129" s="21"/>
      <c r="AG129" s="21"/>
      <c r="AH129" s="21"/>
      <c r="AI129" s="21"/>
      <c r="AJ129" s="21"/>
      <c r="AK129" s="21"/>
      <c r="AL129" s="21"/>
      <c r="AM129" s="21"/>
      <c r="AN129" s="21"/>
      <c r="AO129" s="21"/>
      <c r="AP129" s="23"/>
      <c r="AQ129" s="35"/>
    </row>
    <row r="130" ht="15.0" customHeight="1">
      <c r="A130" s="20">
        <v>129.0</v>
      </c>
      <c r="B130" s="8" t="s">
        <v>66</v>
      </c>
      <c r="C130" s="21" t="s">
        <v>1128</v>
      </c>
      <c r="D130" s="21" t="s">
        <v>1129</v>
      </c>
      <c r="E130" s="21" t="s">
        <v>1120</v>
      </c>
      <c r="F130" s="21" t="s">
        <v>1130</v>
      </c>
      <c r="G130" s="21" t="s">
        <v>1131</v>
      </c>
      <c r="H130" s="22" t="s">
        <v>1132</v>
      </c>
      <c r="I130" s="21" t="s">
        <v>1133</v>
      </c>
      <c r="J130" s="21" t="s">
        <v>1134</v>
      </c>
      <c r="K130" s="21" t="s">
        <v>1135</v>
      </c>
      <c r="L130" s="21" t="s">
        <v>1136</v>
      </c>
      <c r="M130" s="21">
        <v>1.0</v>
      </c>
      <c r="N130" s="21">
        <v>0.0</v>
      </c>
      <c r="O130" s="21">
        <v>0.11834319526627218</v>
      </c>
      <c r="P130" s="21">
        <v>0.0</v>
      </c>
      <c r="Q130" s="21">
        <v>4.0</v>
      </c>
      <c r="R130" s="21" t="s">
        <v>53</v>
      </c>
      <c r="S130" s="21">
        <v>0.0</v>
      </c>
      <c r="T130" s="21" t="s">
        <v>53</v>
      </c>
      <c r="U130" s="21">
        <v>0.0</v>
      </c>
      <c r="V130" s="21">
        <v>0.0</v>
      </c>
      <c r="W130" s="21">
        <v>0.0</v>
      </c>
      <c r="X130" s="21" t="s">
        <v>53</v>
      </c>
      <c r="Y130" s="21">
        <v>0.0</v>
      </c>
      <c r="Z130" s="21" t="s">
        <v>53</v>
      </c>
      <c r="AA130" s="21" t="s">
        <v>1137</v>
      </c>
      <c r="AB130" s="23" t="s">
        <v>1138</v>
      </c>
      <c r="AC130" s="23" t="b">
        <v>1</v>
      </c>
      <c r="AD130" s="21"/>
      <c r="AE130" s="21"/>
      <c r="AF130" s="21"/>
      <c r="AG130" s="21"/>
      <c r="AH130" s="21"/>
      <c r="AI130" s="21"/>
      <c r="AJ130" s="21"/>
      <c r="AK130" s="21"/>
      <c r="AL130" s="21"/>
      <c r="AM130" s="21"/>
      <c r="AN130" s="21"/>
      <c r="AO130" s="21"/>
      <c r="AP130" s="23"/>
      <c r="AQ130" s="35"/>
    </row>
    <row r="131" ht="15.75" customHeight="1">
      <c r="A131" s="20"/>
      <c r="B131" s="48"/>
      <c r="C131" s="48"/>
      <c r="D131" s="48"/>
      <c r="E131" s="48"/>
      <c r="F131" s="48"/>
      <c r="G131" s="48"/>
      <c r="H131" s="22"/>
      <c r="I131" s="48"/>
      <c r="J131" s="48"/>
      <c r="K131" s="48"/>
      <c r="L131" s="48"/>
      <c r="M131" s="48"/>
      <c r="N131" s="48"/>
      <c r="O131" s="48"/>
      <c r="P131" s="21">
        <f>countif(P2:P130,0)</f>
        <v>55</v>
      </c>
      <c r="Q131" s="21">
        <f>55/129</f>
        <v>0.4263565891</v>
      </c>
      <c r="R131" s="48"/>
      <c r="S131" s="48"/>
      <c r="T131" s="48"/>
      <c r="U131" s="48"/>
      <c r="V131" s="48"/>
      <c r="W131" s="48"/>
      <c r="X131" s="48"/>
      <c r="Y131" s="48"/>
      <c r="Z131" s="48"/>
      <c r="AA131" s="48"/>
      <c r="AB131" s="23"/>
      <c r="AC131" s="23"/>
      <c r="AD131" s="48"/>
      <c r="AE131" s="48"/>
      <c r="AF131" s="48"/>
      <c r="AG131" s="48"/>
      <c r="AH131" s="48"/>
      <c r="AI131" s="48"/>
      <c r="AJ131" s="48"/>
      <c r="AK131" s="21"/>
      <c r="AL131" s="48"/>
      <c r="AM131" s="48"/>
      <c r="AN131" s="23"/>
      <c r="AO131" s="23"/>
      <c r="AP131" s="23"/>
    </row>
    <row r="132" ht="15.75" customHeight="1">
      <c r="A132" s="20"/>
      <c r="B132" s="48"/>
      <c r="C132" s="48"/>
      <c r="D132" s="48"/>
      <c r="E132" s="48"/>
      <c r="F132" s="48"/>
      <c r="G132" s="48"/>
      <c r="H132" s="22"/>
      <c r="I132" s="48"/>
      <c r="J132" s="48"/>
      <c r="K132" s="48"/>
      <c r="L132" s="48"/>
      <c r="M132" s="48"/>
      <c r="N132" s="48"/>
      <c r="O132" s="48"/>
      <c r="P132" s="21">
        <f>countif(P2:P130,1)</f>
        <v>13</v>
      </c>
      <c r="Q132" s="21">
        <f>13/129</f>
        <v>0.1007751938</v>
      </c>
      <c r="R132" s="48"/>
      <c r="S132" s="48"/>
      <c r="T132" s="48"/>
      <c r="U132" s="48"/>
      <c r="V132" s="48"/>
      <c r="W132" s="48"/>
      <c r="X132" s="48"/>
      <c r="Y132" s="48"/>
      <c r="Z132" s="48"/>
      <c r="AA132" s="48"/>
      <c r="AB132" s="23"/>
      <c r="AC132" s="23"/>
      <c r="AD132" s="48"/>
      <c r="AE132" s="48"/>
      <c r="AF132" s="48"/>
      <c r="AG132" s="48"/>
      <c r="AH132" s="48"/>
      <c r="AI132" s="48"/>
      <c r="AJ132" s="48"/>
      <c r="AK132" s="48"/>
      <c r="AL132" s="48"/>
      <c r="AM132" s="48"/>
      <c r="AN132" s="23"/>
      <c r="AO132" s="23"/>
      <c r="AP132" s="23"/>
    </row>
    <row r="133" ht="15.75" customHeight="1">
      <c r="A133" s="49"/>
      <c r="H133" s="22"/>
      <c r="AB133" s="50"/>
      <c r="AC133" s="50"/>
      <c r="AN133" s="50"/>
      <c r="AO133" s="50"/>
      <c r="AP133" s="50"/>
    </row>
    <row r="134" ht="15.75" customHeight="1">
      <c r="A134" s="49"/>
      <c r="H134" s="22"/>
      <c r="AB134" s="50"/>
      <c r="AC134" s="50"/>
      <c r="AN134" s="50"/>
      <c r="AO134" s="50"/>
      <c r="AP134" s="50"/>
    </row>
    <row r="135" ht="15.75" customHeight="1">
      <c r="A135" s="49"/>
      <c r="H135" s="22"/>
      <c r="AB135" s="50"/>
      <c r="AC135" s="50"/>
      <c r="AN135" s="50"/>
      <c r="AO135" s="50"/>
      <c r="AP135" s="50"/>
    </row>
    <row r="136" ht="15.75" customHeight="1">
      <c r="A136" s="49"/>
      <c r="H136" s="22"/>
      <c r="AB136" s="50"/>
      <c r="AC136" s="50"/>
      <c r="AN136" s="50"/>
      <c r="AO136" s="50"/>
      <c r="AP136" s="50"/>
    </row>
    <row r="137" ht="15.75" customHeight="1">
      <c r="A137" s="49"/>
      <c r="H137" s="22"/>
      <c r="AB137" s="50"/>
      <c r="AC137" s="50"/>
      <c r="AN137" s="50"/>
      <c r="AO137" s="50"/>
      <c r="AP137" s="50"/>
    </row>
    <row r="138" ht="15.75" customHeight="1">
      <c r="A138" s="49"/>
      <c r="H138" s="22"/>
      <c r="AB138" s="50"/>
      <c r="AC138" s="50"/>
      <c r="AN138" s="50"/>
      <c r="AO138" s="50"/>
      <c r="AP138" s="50"/>
    </row>
    <row r="139" ht="15.75" customHeight="1">
      <c r="A139" s="49"/>
      <c r="H139" s="22"/>
      <c r="AB139" s="50"/>
      <c r="AC139" s="50"/>
      <c r="AN139" s="50"/>
      <c r="AO139" s="50"/>
      <c r="AP139" s="50"/>
    </row>
    <row r="140" ht="15.75" customHeight="1">
      <c r="A140" s="49"/>
      <c r="H140" s="22"/>
      <c r="AB140" s="50"/>
      <c r="AC140" s="50"/>
      <c r="AN140" s="50"/>
      <c r="AO140" s="50"/>
      <c r="AP140" s="50"/>
    </row>
    <row r="141" ht="15.75" customHeight="1">
      <c r="A141" s="49"/>
      <c r="H141" s="22"/>
      <c r="AB141" s="50"/>
      <c r="AC141" s="50"/>
      <c r="AN141" s="50"/>
      <c r="AO141" s="50"/>
      <c r="AP141" s="50"/>
    </row>
    <row r="142" ht="15.75" customHeight="1">
      <c r="A142" s="49"/>
      <c r="H142" s="22"/>
      <c r="AB142" s="50"/>
      <c r="AC142" s="50"/>
      <c r="AN142" s="50"/>
      <c r="AO142" s="50"/>
      <c r="AP142" s="50"/>
    </row>
    <row r="143" ht="15.75" customHeight="1">
      <c r="A143" s="49"/>
      <c r="H143" s="22"/>
      <c r="AB143" s="50"/>
      <c r="AC143" s="50"/>
      <c r="AN143" s="50"/>
      <c r="AO143" s="50"/>
      <c r="AP143" s="50"/>
    </row>
    <row r="144" ht="15.75" customHeight="1">
      <c r="A144" s="49"/>
      <c r="H144" s="22"/>
      <c r="AB144" s="50"/>
      <c r="AC144" s="50"/>
      <c r="AN144" s="50"/>
      <c r="AO144" s="50"/>
      <c r="AP144" s="50"/>
    </row>
    <row r="145" ht="15.75" customHeight="1">
      <c r="A145" s="49"/>
      <c r="H145" s="22"/>
      <c r="AB145" s="50"/>
      <c r="AC145" s="50"/>
      <c r="AN145" s="50"/>
      <c r="AO145" s="50"/>
      <c r="AP145" s="50"/>
    </row>
    <row r="146" ht="15.75" customHeight="1">
      <c r="A146" s="49"/>
      <c r="H146" s="22"/>
      <c r="AB146" s="50"/>
      <c r="AC146" s="50"/>
      <c r="AN146" s="50"/>
      <c r="AO146" s="50"/>
      <c r="AP146" s="50"/>
    </row>
    <row r="147" ht="15.75" customHeight="1">
      <c r="A147" s="49"/>
      <c r="H147" s="22"/>
      <c r="AB147" s="50"/>
      <c r="AC147" s="50"/>
      <c r="AN147" s="50"/>
      <c r="AO147" s="50"/>
      <c r="AP147" s="50"/>
    </row>
    <row r="148" ht="15.75" customHeight="1">
      <c r="A148" s="49"/>
      <c r="H148" s="22"/>
      <c r="AB148" s="50"/>
      <c r="AC148" s="50"/>
      <c r="AN148" s="50"/>
      <c r="AO148" s="50"/>
      <c r="AP148" s="50"/>
    </row>
    <row r="149" ht="15.75" customHeight="1">
      <c r="A149" s="49"/>
      <c r="H149" s="22"/>
      <c r="AB149" s="50"/>
      <c r="AC149" s="50"/>
      <c r="AN149" s="50"/>
      <c r="AO149" s="50"/>
      <c r="AP149" s="50"/>
    </row>
    <row r="150" ht="15.75" customHeight="1">
      <c r="A150" s="49"/>
      <c r="H150" s="22"/>
      <c r="AB150" s="50"/>
      <c r="AC150" s="50"/>
      <c r="AN150" s="50"/>
      <c r="AO150" s="50"/>
      <c r="AP150" s="50"/>
    </row>
    <row r="151" ht="15.75" customHeight="1">
      <c r="A151" s="49"/>
      <c r="H151" s="22"/>
      <c r="AB151" s="50"/>
      <c r="AC151" s="50"/>
      <c r="AN151" s="50"/>
      <c r="AO151" s="50"/>
      <c r="AP151" s="50"/>
    </row>
    <row r="152" ht="15.75" customHeight="1">
      <c r="A152" s="49"/>
      <c r="H152" s="22"/>
      <c r="AB152" s="50"/>
      <c r="AC152" s="50"/>
      <c r="AN152" s="50"/>
      <c r="AO152" s="50"/>
      <c r="AP152" s="50"/>
    </row>
    <row r="153" ht="15.75" customHeight="1">
      <c r="A153" s="49"/>
      <c r="H153" s="22"/>
      <c r="AB153" s="50"/>
      <c r="AC153" s="50"/>
      <c r="AN153" s="50"/>
      <c r="AO153" s="50"/>
      <c r="AP153" s="50"/>
    </row>
    <row r="154" ht="15.75" customHeight="1">
      <c r="A154" s="49"/>
      <c r="H154" s="22"/>
      <c r="AB154" s="50"/>
      <c r="AC154" s="50"/>
      <c r="AN154" s="50"/>
      <c r="AO154" s="50"/>
      <c r="AP154" s="50"/>
    </row>
    <row r="155" ht="15.75" customHeight="1">
      <c r="A155" s="49"/>
      <c r="H155" s="22"/>
      <c r="AB155" s="50"/>
      <c r="AC155" s="50"/>
      <c r="AN155" s="50"/>
      <c r="AO155" s="50"/>
      <c r="AP155" s="50"/>
    </row>
    <row r="156" ht="15.75" customHeight="1">
      <c r="A156" s="49"/>
      <c r="H156" s="22"/>
      <c r="AB156" s="50"/>
      <c r="AC156" s="50"/>
      <c r="AN156" s="50"/>
      <c r="AO156" s="50"/>
      <c r="AP156" s="50"/>
    </row>
    <row r="157" ht="15.75" customHeight="1">
      <c r="A157" s="49"/>
      <c r="H157" s="22"/>
      <c r="AB157" s="50"/>
      <c r="AC157" s="50"/>
      <c r="AN157" s="50"/>
      <c r="AO157" s="50"/>
      <c r="AP157" s="50"/>
    </row>
    <row r="158" ht="15.75" customHeight="1">
      <c r="A158" s="49"/>
      <c r="H158" s="22"/>
      <c r="AB158" s="50"/>
      <c r="AC158" s="50"/>
      <c r="AN158" s="50"/>
      <c r="AO158" s="50"/>
      <c r="AP158" s="50"/>
    </row>
    <row r="159" ht="15.75" customHeight="1">
      <c r="A159" s="49"/>
      <c r="H159" s="22"/>
      <c r="AB159" s="50"/>
      <c r="AC159" s="50"/>
      <c r="AN159" s="50"/>
      <c r="AO159" s="50"/>
      <c r="AP159" s="50"/>
    </row>
    <row r="160" ht="15.75" customHeight="1">
      <c r="A160" s="49"/>
      <c r="H160" s="22"/>
      <c r="AB160" s="50"/>
      <c r="AC160" s="50"/>
      <c r="AN160" s="50"/>
      <c r="AO160" s="50"/>
      <c r="AP160" s="50"/>
    </row>
    <row r="161" ht="15.75" customHeight="1">
      <c r="A161" s="49"/>
      <c r="H161" s="22"/>
      <c r="AB161" s="50"/>
      <c r="AC161" s="50"/>
      <c r="AN161" s="50"/>
      <c r="AO161" s="50"/>
      <c r="AP161" s="50"/>
    </row>
    <row r="162" ht="15.75" customHeight="1">
      <c r="A162" s="49"/>
      <c r="H162" s="22"/>
      <c r="AB162" s="50"/>
      <c r="AC162" s="50"/>
      <c r="AN162" s="50"/>
      <c r="AO162" s="50"/>
      <c r="AP162" s="50"/>
    </row>
    <row r="163" ht="15.75" customHeight="1">
      <c r="A163" s="49"/>
      <c r="H163" s="22"/>
      <c r="AB163" s="50"/>
      <c r="AC163" s="50"/>
      <c r="AN163" s="50"/>
      <c r="AO163" s="50"/>
      <c r="AP163" s="50"/>
    </row>
    <row r="164" ht="15.75" customHeight="1">
      <c r="A164" s="49"/>
      <c r="H164" s="22"/>
      <c r="AB164" s="50"/>
      <c r="AC164" s="50"/>
      <c r="AN164" s="50"/>
      <c r="AO164" s="50"/>
      <c r="AP164" s="50"/>
    </row>
    <row r="165" ht="15.75" customHeight="1">
      <c r="A165" s="49"/>
      <c r="H165" s="22"/>
      <c r="AB165" s="50"/>
      <c r="AC165" s="50"/>
      <c r="AN165" s="50"/>
      <c r="AO165" s="50"/>
      <c r="AP165" s="50"/>
    </row>
    <row r="166" ht="15.75" customHeight="1">
      <c r="A166" s="49"/>
      <c r="H166" s="22"/>
      <c r="AB166" s="50"/>
      <c r="AC166" s="50"/>
      <c r="AN166" s="50"/>
      <c r="AO166" s="50"/>
      <c r="AP166" s="50"/>
    </row>
    <row r="167" ht="15.75" customHeight="1">
      <c r="A167" s="49"/>
      <c r="H167" s="22"/>
      <c r="AB167" s="50"/>
      <c r="AC167" s="50"/>
      <c r="AN167" s="50"/>
      <c r="AO167" s="50"/>
      <c r="AP167" s="50"/>
    </row>
    <row r="168" ht="15.75" customHeight="1">
      <c r="A168" s="49"/>
      <c r="H168" s="22"/>
      <c r="AB168" s="50"/>
      <c r="AC168" s="50"/>
      <c r="AN168" s="50"/>
      <c r="AO168" s="50"/>
      <c r="AP168" s="50"/>
    </row>
    <row r="169" ht="15.75" customHeight="1">
      <c r="A169" s="49"/>
      <c r="H169" s="22"/>
      <c r="AB169" s="50"/>
      <c r="AC169" s="50"/>
      <c r="AN169" s="50"/>
      <c r="AO169" s="50"/>
      <c r="AP169" s="50"/>
    </row>
    <row r="170" ht="15.75" customHeight="1">
      <c r="A170" s="49"/>
      <c r="H170" s="22"/>
      <c r="AB170" s="50"/>
      <c r="AC170" s="50"/>
      <c r="AN170" s="50"/>
      <c r="AO170" s="50"/>
      <c r="AP170" s="50"/>
    </row>
    <row r="171" ht="15.75" customHeight="1">
      <c r="A171" s="49"/>
      <c r="H171" s="22"/>
      <c r="AB171" s="50"/>
      <c r="AC171" s="50"/>
      <c r="AN171" s="50"/>
      <c r="AO171" s="50"/>
      <c r="AP171" s="50"/>
    </row>
    <row r="172" ht="15.75" customHeight="1">
      <c r="A172" s="49"/>
      <c r="H172" s="22"/>
      <c r="AB172" s="50"/>
      <c r="AC172" s="50"/>
      <c r="AN172" s="50"/>
      <c r="AO172" s="50"/>
      <c r="AP172" s="50"/>
    </row>
    <row r="173" ht="15.75" customHeight="1">
      <c r="A173" s="49"/>
      <c r="H173" s="22"/>
      <c r="AB173" s="50"/>
      <c r="AC173" s="50"/>
      <c r="AN173" s="50"/>
      <c r="AO173" s="50"/>
      <c r="AP173" s="50"/>
    </row>
    <row r="174" ht="15.75" customHeight="1">
      <c r="A174" s="49"/>
      <c r="H174" s="22"/>
      <c r="AB174" s="50"/>
      <c r="AC174" s="50"/>
      <c r="AN174" s="50"/>
      <c r="AO174" s="50"/>
      <c r="AP174" s="50"/>
    </row>
    <row r="175" ht="15.75" customHeight="1">
      <c r="A175" s="49"/>
      <c r="H175" s="22"/>
      <c r="AB175" s="50"/>
      <c r="AC175" s="50"/>
      <c r="AN175" s="50"/>
      <c r="AO175" s="50"/>
      <c r="AP175" s="50"/>
    </row>
    <row r="176" ht="15.75" customHeight="1">
      <c r="A176" s="49"/>
      <c r="H176" s="22"/>
      <c r="AB176" s="50"/>
      <c r="AC176" s="50"/>
      <c r="AN176" s="50"/>
      <c r="AO176" s="50"/>
      <c r="AP176" s="50"/>
    </row>
    <row r="177" ht="15.75" customHeight="1">
      <c r="A177" s="49"/>
      <c r="H177" s="22"/>
      <c r="AB177" s="50"/>
      <c r="AC177" s="50"/>
      <c r="AN177" s="50"/>
      <c r="AO177" s="50"/>
      <c r="AP177" s="50"/>
    </row>
    <row r="178" ht="15.75" customHeight="1">
      <c r="A178" s="49"/>
      <c r="H178" s="22"/>
      <c r="AB178" s="50"/>
      <c r="AC178" s="50"/>
      <c r="AN178" s="50"/>
      <c r="AO178" s="50"/>
      <c r="AP178" s="50"/>
    </row>
    <row r="179" ht="15.75" customHeight="1">
      <c r="A179" s="49"/>
      <c r="H179" s="22"/>
      <c r="AB179" s="50"/>
      <c r="AC179" s="50"/>
      <c r="AN179" s="50"/>
      <c r="AO179" s="50"/>
      <c r="AP179" s="50"/>
    </row>
    <row r="180" ht="15.75" customHeight="1">
      <c r="A180" s="49"/>
      <c r="H180" s="22"/>
      <c r="AB180" s="50"/>
      <c r="AC180" s="50"/>
      <c r="AN180" s="50"/>
      <c r="AO180" s="50"/>
      <c r="AP180" s="50"/>
    </row>
    <row r="181" ht="15.75" customHeight="1">
      <c r="A181" s="49"/>
      <c r="H181" s="22"/>
      <c r="AB181" s="50"/>
      <c r="AC181" s="50"/>
      <c r="AN181" s="50"/>
      <c r="AO181" s="50"/>
      <c r="AP181" s="50"/>
    </row>
    <row r="182" ht="15.75" customHeight="1">
      <c r="A182" s="49"/>
      <c r="H182" s="22"/>
      <c r="AB182" s="50"/>
      <c r="AC182" s="50"/>
      <c r="AN182" s="50"/>
      <c r="AO182" s="50"/>
      <c r="AP182" s="50"/>
    </row>
    <row r="183" ht="15.75" customHeight="1">
      <c r="A183" s="49"/>
      <c r="H183" s="22"/>
      <c r="AB183" s="50"/>
      <c r="AC183" s="50"/>
      <c r="AN183" s="50"/>
      <c r="AO183" s="50"/>
      <c r="AP183" s="50"/>
    </row>
    <row r="184" ht="15.75" customHeight="1">
      <c r="A184" s="49"/>
      <c r="H184" s="22"/>
      <c r="AB184" s="50"/>
      <c r="AC184" s="50"/>
      <c r="AN184" s="50"/>
      <c r="AO184" s="50"/>
      <c r="AP184" s="50"/>
    </row>
    <row r="185" ht="15.75" customHeight="1">
      <c r="A185" s="49"/>
      <c r="H185" s="22"/>
      <c r="AB185" s="50"/>
      <c r="AC185" s="50"/>
      <c r="AN185" s="50"/>
      <c r="AO185" s="50"/>
      <c r="AP185" s="50"/>
    </row>
    <row r="186" ht="15.75" customHeight="1">
      <c r="A186" s="49"/>
      <c r="H186" s="22"/>
      <c r="AB186" s="50"/>
      <c r="AC186" s="50"/>
      <c r="AN186" s="50"/>
      <c r="AO186" s="50"/>
      <c r="AP186" s="50"/>
    </row>
    <row r="187" ht="15.75" customHeight="1">
      <c r="A187" s="49"/>
      <c r="H187" s="22"/>
      <c r="AB187" s="50"/>
      <c r="AC187" s="50"/>
      <c r="AN187" s="50"/>
      <c r="AO187" s="50"/>
      <c r="AP187" s="50"/>
    </row>
    <row r="188" ht="15.75" customHeight="1">
      <c r="A188" s="49"/>
      <c r="H188" s="22"/>
      <c r="AB188" s="50"/>
      <c r="AC188" s="50"/>
      <c r="AN188" s="50"/>
      <c r="AO188" s="50"/>
      <c r="AP188" s="50"/>
    </row>
    <row r="189" ht="15.75" customHeight="1">
      <c r="A189" s="49"/>
      <c r="H189" s="22"/>
      <c r="AB189" s="50"/>
      <c r="AC189" s="50"/>
      <c r="AN189" s="50"/>
      <c r="AO189" s="50"/>
      <c r="AP189" s="50"/>
    </row>
    <row r="190" ht="15.75" customHeight="1">
      <c r="A190" s="49"/>
      <c r="H190" s="22"/>
      <c r="AB190" s="50"/>
      <c r="AC190" s="50"/>
      <c r="AN190" s="50"/>
      <c r="AO190" s="50"/>
      <c r="AP190" s="50"/>
    </row>
    <row r="191" ht="15.75" customHeight="1">
      <c r="A191" s="49"/>
      <c r="H191" s="22"/>
      <c r="AB191" s="50"/>
      <c r="AC191" s="50"/>
      <c r="AN191" s="50"/>
      <c r="AO191" s="50"/>
      <c r="AP191" s="50"/>
    </row>
    <row r="192" ht="15.75" customHeight="1">
      <c r="A192" s="49"/>
      <c r="H192" s="22"/>
      <c r="AB192" s="50"/>
      <c r="AC192" s="50"/>
      <c r="AN192" s="50"/>
      <c r="AO192" s="50"/>
      <c r="AP192" s="50"/>
    </row>
    <row r="193" ht="15.75" customHeight="1">
      <c r="A193" s="49"/>
      <c r="H193" s="22"/>
      <c r="AB193" s="50"/>
      <c r="AC193" s="50"/>
      <c r="AN193" s="50"/>
      <c r="AO193" s="50"/>
      <c r="AP193" s="50"/>
    </row>
    <row r="194" ht="15.75" customHeight="1">
      <c r="A194" s="49"/>
      <c r="H194" s="22"/>
      <c r="AB194" s="50"/>
      <c r="AC194" s="50"/>
      <c r="AN194" s="50"/>
      <c r="AO194" s="50"/>
      <c r="AP194" s="50"/>
    </row>
    <row r="195" ht="15.75" customHeight="1">
      <c r="A195" s="49"/>
      <c r="H195" s="22"/>
      <c r="AB195" s="50"/>
      <c r="AC195" s="50"/>
      <c r="AN195" s="50"/>
      <c r="AO195" s="50"/>
      <c r="AP195" s="50"/>
    </row>
    <row r="196" ht="15.75" customHeight="1">
      <c r="A196" s="49"/>
      <c r="H196" s="22"/>
      <c r="AB196" s="50"/>
      <c r="AC196" s="50"/>
      <c r="AN196" s="50"/>
      <c r="AO196" s="50"/>
      <c r="AP196" s="50"/>
    </row>
    <row r="197" ht="15.75" customHeight="1">
      <c r="A197" s="49"/>
      <c r="H197" s="22"/>
      <c r="AB197" s="50"/>
      <c r="AC197" s="50"/>
      <c r="AN197" s="50"/>
      <c r="AO197" s="50"/>
      <c r="AP197" s="50"/>
    </row>
    <row r="198" ht="15.75" customHeight="1">
      <c r="A198" s="49"/>
      <c r="H198" s="22"/>
      <c r="AB198" s="50"/>
      <c r="AC198" s="50"/>
      <c r="AN198" s="50"/>
      <c r="AO198" s="50"/>
      <c r="AP198" s="50"/>
    </row>
    <row r="199" ht="15.75" customHeight="1">
      <c r="A199" s="49"/>
      <c r="H199" s="22"/>
      <c r="AB199" s="50"/>
      <c r="AC199" s="50"/>
      <c r="AN199" s="50"/>
      <c r="AO199" s="50"/>
      <c r="AP199" s="50"/>
    </row>
    <row r="200" ht="15.75" customHeight="1">
      <c r="A200" s="49"/>
      <c r="H200" s="22"/>
      <c r="AB200" s="50"/>
      <c r="AC200" s="50"/>
      <c r="AN200" s="50"/>
      <c r="AO200" s="50"/>
      <c r="AP200" s="50"/>
    </row>
    <row r="201" ht="15.75" customHeight="1">
      <c r="A201" s="49"/>
      <c r="H201" s="22"/>
      <c r="AB201" s="50"/>
      <c r="AC201" s="50"/>
      <c r="AN201" s="50"/>
      <c r="AO201" s="50"/>
      <c r="AP201" s="50"/>
    </row>
    <row r="202" ht="15.75" customHeight="1">
      <c r="A202" s="49"/>
      <c r="H202" s="22"/>
      <c r="AB202" s="50"/>
      <c r="AC202" s="50"/>
      <c r="AN202" s="50"/>
      <c r="AO202" s="50"/>
      <c r="AP202" s="50"/>
    </row>
    <row r="203" ht="15.75" customHeight="1">
      <c r="A203" s="49"/>
      <c r="H203" s="22"/>
      <c r="AB203" s="50"/>
      <c r="AC203" s="50"/>
      <c r="AN203" s="50"/>
      <c r="AO203" s="50"/>
      <c r="AP203" s="50"/>
    </row>
    <row r="204" ht="15.75" customHeight="1">
      <c r="A204" s="49"/>
      <c r="H204" s="22"/>
      <c r="AB204" s="50"/>
      <c r="AC204" s="50"/>
      <c r="AN204" s="50"/>
      <c r="AO204" s="50"/>
      <c r="AP204" s="50"/>
    </row>
    <row r="205" ht="15.75" customHeight="1">
      <c r="A205" s="49"/>
      <c r="H205" s="22"/>
      <c r="AB205" s="50"/>
      <c r="AC205" s="50"/>
      <c r="AN205" s="50"/>
      <c r="AO205" s="50"/>
      <c r="AP205" s="50"/>
    </row>
    <row r="206" ht="15.75" customHeight="1">
      <c r="A206" s="49"/>
      <c r="H206" s="22"/>
      <c r="AB206" s="50"/>
      <c r="AC206" s="50"/>
      <c r="AN206" s="50"/>
      <c r="AO206" s="50"/>
      <c r="AP206" s="50"/>
    </row>
    <row r="207" ht="15.75" customHeight="1">
      <c r="A207" s="49"/>
      <c r="H207" s="22"/>
      <c r="AB207" s="50"/>
      <c r="AC207" s="50"/>
      <c r="AN207" s="50"/>
      <c r="AO207" s="50"/>
      <c r="AP207" s="50"/>
    </row>
    <row r="208" ht="15.75" customHeight="1">
      <c r="A208" s="49"/>
      <c r="H208" s="22"/>
      <c r="AB208" s="50"/>
      <c r="AC208" s="50"/>
      <c r="AN208" s="50"/>
      <c r="AO208" s="50"/>
      <c r="AP208" s="50"/>
    </row>
    <row r="209" ht="15.75" customHeight="1">
      <c r="A209" s="49"/>
      <c r="H209" s="22"/>
      <c r="AB209" s="50"/>
      <c r="AC209" s="50"/>
      <c r="AN209" s="50"/>
      <c r="AO209" s="50"/>
      <c r="AP209" s="50"/>
    </row>
    <row r="210" ht="15.75" customHeight="1">
      <c r="A210" s="49"/>
      <c r="H210" s="22"/>
      <c r="AB210" s="50"/>
      <c r="AC210" s="50"/>
      <c r="AN210" s="50"/>
      <c r="AO210" s="50"/>
      <c r="AP210" s="50"/>
    </row>
    <row r="211" ht="15.75" customHeight="1">
      <c r="A211" s="49"/>
      <c r="H211" s="22"/>
      <c r="AB211" s="50"/>
      <c r="AC211" s="50"/>
      <c r="AN211" s="50"/>
      <c r="AO211" s="50"/>
      <c r="AP211" s="50"/>
    </row>
    <row r="212" ht="15.75" customHeight="1">
      <c r="A212" s="49"/>
      <c r="H212" s="22"/>
      <c r="AB212" s="50"/>
      <c r="AC212" s="50"/>
      <c r="AN212" s="50"/>
      <c r="AO212" s="50"/>
      <c r="AP212" s="50"/>
    </row>
    <row r="213" ht="15.75" customHeight="1">
      <c r="A213" s="49"/>
      <c r="H213" s="22"/>
      <c r="AB213" s="50"/>
      <c r="AC213" s="50"/>
      <c r="AN213" s="50"/>
      <c r="AO213" s="50"/>
      <c r="AP213" s="50"/>
    </row>
    <row r="214" ht="15.75" customHeight="1">
      <c r="A214" s="49"/>
      <c r="H214" s="22"/>
      <c r="AB214" s="50"/>
      <c r="AC214" s="50"/>
      <c r="AN214" s="50"/>
      <c r="AO214" s="50"/>
      <c r="AP214" s="50"/>
    </row>
    <row r="215" ht="15.75" customHeight="1">
      <c r="A215" s="49"/>
      <c r="H215" s="22"/>
      <c r="AB215" s="50"/>
      <c r="AC215" s="50"/>
      <c r="AN215" s="50"/>
      <c r="AO215" s="50"/>
      <c r="AP215" s="50"/>
    </row>
    <row r="216" ht="15.75" customHeight="1">
      <c r="A216" s="49"/>
      <c r="H216" s="22"/>
      <c r="AB216" s="50"/>
      <c r="AC216" s="50"/>
      <c r="AN216" s="50"/>
      <c r="AO216" s="50"/>
      <c r="AP216" s="50"/>
    </row>
    <row r="217" ht="15.75" customHeight="1">
      <c r="A217" s="49"/>
      <c r="H217" s="22"/>
      <c r="AB217" s="50"/>
      <c r="AC217" s="50"/>
      <c r="AN217" s="50"/>
      <c r="AO217" s="50"/>
      <c r="AP217" s="50"/>
    </row>
    <row r="218" ht="15.75" customHeight="1">
      <c r="A218" s="49"/>
      <c r="H218" s="22"/>
      <c r="AB218" s="50"/>
      <c r="AC218" s="50"/>
      <c r="AN218" s="50"/>
      <c r="AO218" s="50"/>
      <c r="AP218" s="50"/>
    </row>
    <row r="219" ht="15.75" customHeight="1">
      <c r="A219" s="49"/>
      <c r="H219" s="22"/>
      <c r="AB219" s="50"/>
      <c r="AC219" s="50"/>
      <c r="AN219" s="50"/>
      <c r="AO219" s="50"/>
      <c r="AP219" s="50"/>
    </row>
    <row r="220" ht="15.75" customHeight="1">
      <c r="A220" s="49"/>
      <c r="H220" s="22"/>
      <c r="AB220" s="50"/>
      <c r="AC220" s="50"/>
      <c r="AN220" s="50"/>
      <c r="AO220" s="50"/>
      <c r="AP220" s="50"/>
    </row>
    <row r="221" ht="15.75" customHeight="1">
      <c r="A221" s="49"/>
      <c r="H221" s="22"/>
      <c r="AB221" s="50"/>
      <c r="AC221" s="50"/>
      <c r="AN221" s="50"/>
      <c r="AO221" s="50"/>
      <c r="AP221" s="50"/>
    </row>
    <row r="222" ht="15.75" customHeight="1">
      <c r="A222" s="49"/>
      <c r="H222" s="22"/>
      <c r="AB222" s="50"/>
      <c r="AC222" s="50"/>
      <c r="AN222" s="50"/>
      <c r="AO222" s="50"/>
      <c r="AP222" s="50"/>
    </row>
    <row r="223" ht="15.75" customHeight="1">
      <c r="A223" s="49"/>
      <c r="H223" s="22"/>
      <c r="AB223" s="50"/>
      <c r="AC223" s="50"/>
      <c r="AN223" s="50"/>
      <c r="AO223" s="50"/>
      <c r="AP223" s="50"/>
    </row>
    <row r="224" ht="15.75" customHeight="1">
      <c r="A224" s="49"/>
      <c r="H224" s="22"/>
      <c r="AB224" s="50"/>
      <c r="AC224" s="50"/>
      <c r="AN224" s="50"/>
      <c r="AO224" s="50"/>
      <c r="AP224" s="50"/>
    </row>
    <row r="225" ht="15.75" customHeight="1">
      <c r="A225" s="49"/>
      <c r="H225" s="22"/>
      <c r="AB225" s="50"/>
      <c r="AC225" s="50"/>
      <c r="AN225" s="50"/>
      <c r="AO225" s="50"/>
      <c r="AP225" s="50"/>
    </row>
    <row r="226" ht="15.75" customHeight="1">
      <c r="A226" s="49"/>
      <c r="H226" s="22"/>
      <c r="AB226" s="50"/>
      <c r="AC226" s="50"/>
      <c r="AN226" s="50"/>
      <c r="AO226" s="50"/>
      <c r="AP226" s="50"/>
    </row>
    <row r="227" ht="15.75" customHeight="1">
      <c r="A227" s="49"/>
      <c r="H227" s="22"/>
      <c r="AB227" s="50"/>
      <c r="AC227" s="50"/>
      <c r="AN227" s="50"/>
      <c r="AO227" s="50"/>
      <c r="AP227" s="50"/>
    </row>
    <row r="228" ht="15.75" customHeight="1">
      <c r="A228" s="49"/>
      <c r="H228" s="22"/>
      <c r="AB228" s="50"/>
      <c r="AC228" s="50"/>
      <c r="AN228" s="50"/>
      <c r="AO228" s="50"/>
      <c r="AP228" s="50"/>
    </row>
    <row r="229" ht="15.75" customHeight="1">
      <c r="A229" s="49"/>
      <c r="H229" s="22"/>
      <c r="AB229" s="50"/>
      <c r="AC229" s="50"/>
      <c r="AN229" s="50"/>
      <c r="AO229" s="50"/>
      <c r="AP229" s="50"/>
    </row>
    <row r="230" ht="15.75" customHeight="1">
      <c r="A230" s="49"/>
      <c r="H230" s="22"/>
      <c r="AB230" s="50"/>
      <c r="AC230" s="50"/>
      <c r="AN230" s="50"/>
      <c r="AO230" s="50"/>
      <c r="AP230" s="50"/>
    </row>
    <row r="231" ht="15.75" customHeight="1">
      <c r="A231" s="49"/>
      <c r="H231" s="22"/>
      <c r="AB231" s="50"/>
      <c r="AC231" s="50"/>
      <c r="AN231" s="50"/>
      <c r="AO231" s="50"/>
      <c r="AP231" s="50"/>
    </row>
    <row r="232" ht="15.75" customHeight="1">
      <c r="A232" s="49"/>
      <c r="H232" s="22"/>
      <c r="AB232" s="50"/>
      <c r="AC232" s="50"/>
      <c r="AN232" s="50"/>
      <c r="AO232" s="50"/>
      <c r="AP232" s="50"/>
    </row>
    <row r="233" ht="15.75" customHeight="1">
      <c r="A233" s="49"/>
      <c r="H233" s="22"/>
      <c r="AB233" s="50"/>
      <c r="AC233" s="50"/>
      <c r="AN233" s="50"/>
      <c r="AO233" s="50"/>
      <c r="AP233" s="50"/>
    </row>
    <row r="234" ht="15.75" customHeight="1">
      <c r="A234" s="49"/>
      <c r="H234" s="22"/>
      <c r="AB234" s="50"/>
      <c r="AC234" s="50"/>
      <c r="AN234" s="50"/>
      <c r="AO234" s="50"/>
      <c r="AP234" s="50"/>
    </row>
    <row r="235" ht="15.75" customHeight="1">
      <c r="A235" s="49"/>
      <c r="H235" s="22"/>
      <c r="AB235" s="50"/>
      <c r="AC235" s="50"/>
      <c r="AN235" s="50"/>
      <c r="AO235" s="50"/>
      <c r="AP235" s="50"/>
    </row>
    <row r="236" ht="15.75" customHeight="1">
      <c r="A236" s="49"/>
      <c r="H236" s="22"/>
      <c r="AB236" s="50"/>
      <c r="AC236" s="50"/>
      <c r="AN236" s="50"/>
      <c r="AO236" s="50"/>
      <c r="AP236" s="50"/>
    </row>
    <row r="237" ht="15.75" customHeight="1">
      <c r="A237" s="49"/>
      <c r="H237" s="22"/>
      <c r="AB237" s="50"/>
      <c r="AC237" s="50"/>
      <c r="AN237" s="50"/>
      <c r="AO237" s="50"/>
      <c r="AP237" s="50"/>
    </row>
    <row r="238" ht="15.75" customHeight="1">
      <c r="A238" s="49"/>
      <c r="H238" s="22"/>
      <c r="AB238" s="50"/>
      <c r="AC238" s="50"/>
      <c r="AN238" s="50"/>
      <c r="AO238" s="50"/>
      <c r="AP238" s="50"/>
    </row>
    <row r="239" ht="15.75" customHeight="1">
      <c r="A239" s="49"/>
      <c r="H239" s="22"/>
      <c r="AB239" s="50"/>
      <c r="AC239" s="50"/>
      <c r="AN239" s="50"/>
      <c r="AO239" s="50"/>
      <c r="AP239" s="50"/>
    </row>
    <row r="240" ht="15.75" customHeight="1">
      <c r="A240" s="49"/>
      <c r="H240" s="22"/>
      <c r="AB240" s="50"/>
      <c r="AC240" s="50"/>
      <c r="AN240" s="50"/>
      <c r="AO240" s="50"/>
      <c r="AP240" s="50"/>
    </row>
    <row r="241" ht="15.75" customHeight="1">
      <c r="A241" s="49"/>
      <c r="H241" s="22"/>
      <c r="AB241" s="50"/>
      <c r="AC241" s="50"/>
      <c r="AN241" s="50"/>
      <c r="AO241" s="50"/>
      <c r="AP241" s="50"/>
    </row>
    <row r="242" ht="15.75" customHeight="1">
      <c r="A242" s="49"/>
      <c r="H242" s="22"/>
      <c r="AB242" s="50"/>
      <c r="AC242" s="50"/>
      <c r="AN242" s="50"/>
      <c r="AO242" s="50"/>
      <c r="AP242" s="50"/>
    </row>
    <row r="243" ht="15.75" customHeight="1">
      <c r="A243" s="49"/>
      <c r="H243" s="22"/>
      <c r="AB243" s="50"/>
      <c r="AC243" s="50"/>
      <c r="AN243" s="50"/>
      <c r="AO243" s="50"/>
      <c r="AP243" s="50"/>
    </row>
    <row r="244" ht="15.75" customHeight="1">
      <c r="A244" s="49"/>
      <c r="H244" s="22"/>
      <c r="AB244" s="50"/>
      <c r="AC244" s="50"/>
      <c r="AN244" s="50"/>
      <c r="AO244" s="50"/>
      <c r="AP244" s="50"/>
    </row>
    <row r="245" ht="15.75" customHeight="1">
      <c r="A245" s="49"/>
      <c r="H245" s="22"/>
      <c r="AB245" s="50"/>
      <c r="AC245" s="50"/>
      <c r="AN245" s="50"/>
      <c r="AO245" s="50"/>
      <c r="AP245" s="50"/>
    </row>
    <row r="246" ht="15.75" customHeight="1">
      <c r="A246" s="49"/>
      <c r="H246" s="22"/>
      <c r="AB246" s="50"/>
      <c r="AC246" s="50"/>
      <c r="AN246" s="50"/>
      <c r="AO246" s="50"/>
      <c r="AP246" s="50"/>
    </row>
    <row r="247" ht="15.75" customHeight="1">
      <c r="A247" s="49"/>
      <c r="H247" s="22"/>
      <c r="AB247" s="50"/>
      <c r="AC247" s="50"/>
      <c r="AN247" s="50"/>
      <c r="AO247" s="50"/>
      <c r="AP247" s="50"/>
    </row>
    <row r="248" ht="15.75" customHeight="1">
      <c r="A248" s="49"/>
      <c r="H248" s="22"/>
      <c r="AB248" s="50"/>
      <c r="AC248" s="50"/>
      <c r="AN248" s="50"/>
      <c r="AO248" s="50"/>
      <c r="AP248" s="50"/>
    </row>
    <row r="249" ht="15.75" customHeight="1">
      <c r="A249" s="49"/>
      <c r="H249" s="22"/>
      <c r="AB249" s="50"/>
      <c r="AC249" s="50"/>
      <c r="AN249" s="50"/>
      <c r="AO249" s="50"/>
      <c r="AP249" s="50"/>
    </row>
    <row r="250" ht="15.75" customHeight="1">
      <c r="A250" s="49"/>
      <c r="H250" s="22"/>
      <c r="AB250" s="50"/>
      <c r="AC250" s="50"/>
      <c r="AN250" s="50"/>
      <c r="AO250" s="50"/>
      <c r="AP250" s="50"/>
    </row>
    <row r="251" ht="15.75" customHeight="1">
      <c r="A251" s="49"/>
      <c r="H251" s="22"/>
      <c r="AB251" s="50"/>
      <c r="AC251" s="50"/>
      <c r="AN251" s="50"/>
      <c r="AO251" s="50"/>
      <c r="AP251" s="50"/>
    </row>
    <row r="252" ht="15.75" customHeight="1">
      <c r="A252" s="49"/>
      <c r="H252" s="22"/>
      <c r="AB252" s="50"/>
      <c r="AC252" s="50"/>
      <c r="AN252" s="50"/>
      <c r="AO252" s="50"/>
      <c r="AP252" s="50"/>
    </row>
    <row r="253" ht="15.75" customHeight="1">
      <c r="A253" s="49"/>
      <c r="H253" s="22"/>
      <c r="AB253" s="50"/>
      <c r="AC253" s="50"/>
      <c r="AN253" s="50"/>
      <c r="AO253" s="50"/>
      <c r="AP253" s="50"/>
    </row>
    <row r="254" ht="15.75" customHeight="1">
      <c r="A254" s="49"/>
      <c r="H254" s="22"/>
      <c r="AB254" s="50"/>
      <c r="AC254" s="50"/>
      <c r="AN254" s="50"/>
      <c r="AO254" s="50"/>
      <c r="AP254" s="50"/>
    </row>
    <row r="255" ht="15.75" customHeight="1">
      <c r="A255" s="49"/>
      <c r="H255" s="22"/>
      <c r="AB255" s="50"/>
      <c r="AC255" s="50"/>
      <c r="AN255" s="50"/>
      <c r="AO255" s="50"/>
      <c r="AP255" s="50"/>
    </row>
    <row r="256" ht="15.75" customHeight="1">
      <c r="A256" s="49"/>
      <c r="H256" s="22"/>
      <c r="AB256" s="50"/>
      <c r="AC256" s="50"/>
      <c r="AN256" s="50"/>
      <c r="AO256" s="50"/>
      <c r="AP256" s="50"/>
    </row>
    <row r="257" ht="15.75" customHeight="1">
      <c r="A257" s="49"/>
      <c r="H257" s="22"/>
      <c r="AB257" s="50"/>
      <c r="AC257" s="50"/>
      <c r="AN257" s="50"/>
      <c r="AO257" s="50"/>
      <c r="AP257" s="50"/>
    </row>
    <row r="258" ht="15.75" customHeight="1">
      <c r="A258" s="49"/>
      <c r="H258" s="22"/>
      <c r="AB258" s="50"/>
      <c r="AC258" s="50"/>
      <c r="AN258" s="50"/>
      <c r="AO258" s="50"/>
      <c r="AP258" s="50"/>
    </row>
    <row r="259" ht="15.75" customHeight="1">
      <c r="A259" s="49"/>
      <c r="H259" s="22"/>
      <c r="AB259" s="50"/>
      <c r="AC259" s="50"/>
      <c r="AN259" s="50"/>
      <c r="AO259" s="50"/>
      <c r="AP259" s="50"/>
    </row>
    <row r="260" ht="15.75" customHeight="1">
      <c r="A260" s="49"/>
      <c r="H260" s="22"/>
      <c r="AB260" s="50"/>
      <c r="AC260" s="50"/>
      <c r="AN260" s="50"/>
      <c r="AO260" s="50"/>
      <c r="AP260" s="50"/>
    </row>
    <row r="261" ht="15.75" customHeight="1">
      <c r="A261" s="49"/>
      <c r="H261" s="22"/>
      <c r="AB261" s="50"/>
      <c r="AC261" s="50"/>
      <c r="AN261" s="50"/>
      <c r="AO261" s="50"/>
      <c r="AP261" s="50"/>
    </row>
    <row r="262" ht="15.75" customHeight="1">
      <c r="A262" s="49"/>
      <c r="H262" s="22"/>
      <c r="AB262" s="50"/>
      <c r="AC262" s="50"/>
      <c r="AN262" s="50"/>
      <c r="AO262" s="50"/>
      <c r="AP262" s="50"/>
    </row>
    <row r="263" ht="15.75" customHeight="1">
      <c r="A263" s="49"/>
      <c r="H263" s="22"/>
      <c r="AB263" s="50"/>
      <c r="AC263" s="50"/>
      <c r="AN263" s="50"/>
      <c r="AO263" s="50"/>
      <c r="AP263" s="50"/>
    </row>
    <row r="264" ht="15.75" customHeight="1">
      <c r="A264" s="49"/>
      <c r="H264" s="22"/>
      <c r="AB264" s="50"/>
      <c r="AC264" s="50"/>
      <c r="AN264" s="50"/>
      <c r="AO264" s="50"/>
      <c r="AP264" s="50"/>
    </row>
    <row r="265" ht="15.75" customHeight="1">
      <c r="A265" s="49"/>
      <c r="H265" s="22"/>
      <c r="AB265" s="50"/>
      <c r="AC265" s="50"/>
      <c r="AN265" s="50"/>
      <c r="AO265" s="50"/>
      <c r="AP265" s="50"/>
    </row>
    <row r="266" ht="15.75" customHeight="1">
      <c r="A266" s="49"/>
      <c r="H266" s="22"/>
      <c r="AB266" s="50"/>
      <c r="AC266" s="50"/>
      <c r="AN266" s="50"/>
      <c r="AO266" s="50"/>
      <c r="AP266" s="50"/>
    </row>
    <row r="267" ht="15.75" customHeight="1">
      <c r="A267" s="49"/>
      <c r="H267" s="22"/>
      <c r="AB267" s="50"/>
      <c r="AC267" s="50"/>
      <c r="AN267" s="50"/>
      <c r="AO267" s="50"/>
      <c r="AP267" s="50"/>
    </row>
    <row r="268" ht="15.75" customHeight="1">
      <c r="A268" s="49"/>
      <c r="H268" s="22"/>
      <c r="AB268" s="50"/>
      <c r="AC268" s="50"/>
      <c r="AN268" s="50"/>
      <c r="AO268" s="50"/>
      <c r="AP268" s="50"/>
    </row>
    <row r="269" ht="15.75" customHeight="1">
      <c r="A269" s="49"/>
      <c r="H269" s="22"/>
      <c r="AB269" s="50"/>
      <c r="AC269" s="50"/>
      <c r="AN269" s="50"/>
      <c r="AO269" s="50"/>
      <c r="AP269" s="50"/>
    </row>
    <row r="270" ht="15.75" customHeight="1">
      <c r="A270" s="49"/>
      <c r="H270" s="22"/>
      <c r="AB270" s="50"/>
      <c r="AC270" s="50"/>
      <c r="AN270" s="50"/>
      <c r="AO270" s="50"/>
      <c r="AP270" s="50"/>
    </row>
    <row r="271" ht="15.75" customHeight="1">
      <c r="A271" s="49"/>
      <c r="H271" s="22"/>
      <c r="AB271" s="50"/>
      <c r="AC271" s="50"/>
      <c r="AN271" s="50"/>
      <c r="AO271" s="50"/>
      <c r="AP271" s="50"/>
    </row>
    <row r="272" ht="15.75" customHeight="1">
      <c r="A272" s="49"/>
      <c r="H272" s="22"/>
      <c r="AB272" s="50"/>
      <c r="AC272" s="50"/>
      <c r="AN272" s="50"/>
      <c r="AO272" s="50"/>
      <c r="AP272" s="50"/>
    </row>
    <row r="273" ht="15.75" customHeight="1">
      <c r="A273" s="49"/>
      <c r="H273" s="22"/>
      <c r="AB273" s="50"/>
      <c r="AC273" s="50"/>
      <c r="AN273" s="50"/>
      <c r="AO273" s="50"/>
      <c r="AP273" s="50"/>
    </row>
    <row r="274" ht="15.75" customHeight="1">
      <c r="A274" s="49"/>
      <c r="H274" s="22"/>
      <c r="AB274" s="50"/>
      <c r="AC274" s="50"/>
      <c r="AN274" s="50"/>
      <c r="AO274" s="50"/>
      <c r="AP274" s="50"/>
    </row>
    <row r="275" ht="15.75" customHeight="1">
      <c r="A275" s="49"/>
      <c r="H275" s="22"/>
      <c r="AB275" s="50"/>
      <c r="AC275" s="50"/>
      <c r="AN275" s="50"/>
      <c r="AO275" s="50"/>
      <c r="AP275" s="50"/>
    </row>
    <row r="276" ht="15.75" customHeight="1">
      <c r="A276" s="49"/>
      <c r="H276" s="22"/>
      <c r="AB276" s="50"/>
      <c r="AC276" s="50"/>
      <c r="AN276" s="50"/>
      <c r="AO276" s="50"/>
      <c r="AP276" s="50"/>
    </row>
    <row r="277" ht="15.75" customHeight="1">
      <c r="A277" s="49"/>
      <c r="H277" s="22"/>
      <c r="AB277" s="50"/>
      <c r="AC277" s="50"/>
      <c r="AN277" s="50"/>
      <c r="AO277" s="50"/>
      <c r="AP277" s="50"/>
    </row>
    <row r="278" ht="15.75" customHeight="1">
      <c r="A278" s="49"/>
      <c r="H278" s="22"/>
      <c r="AB278" s="50"/>
      <c r="AC278" s="50"/>
      <c r="AN278" s="50"/>
      <c r="AO278" s="50"/>
      <c r="AP278" s="50"/>
    </row>
    <row r="279" ht="15.75" customHeight="1">
      <c r="A279" s="49"/>
      <c r="H279" s="22"/>
      <c r="AB279" s="50"/>
      <c r="AC279" s="50"/>
      <c r="AN279" s="50"/>
      <c r="AO279" s="50"/>
      <c r="AP279" s="50"/>
    </row>
    <row r="280" ht="15.75" customHeight="1">
      <c r="A280" s="49"/>
      <c r="H280" s="22"/>
      <c r="AB280" s="50"/>
      <c r="AC280" s="50"/>
      <c r="AN280" s="50"/>
      <c r="AO280" s="50"/>
      <c r="AP280" s="50"/>
    </row>
    <row r="281" ht="15.75" customHeight="1">
      <c r="A281" s="49"/>
      <c r="H281" s="22"/>
      <c r="AB281" s="50"/>
      <c r="AC281" s="50"/>
      <c r="AN281" s="50"/>
      <c r="AO281" s="50"/>
      <c r="AP281" s="50"/>
    </row>
    <row r="282" ht="15.75" customHeight="1">
      <c r="A282" s="49"/>
      <c r="H282" s="22"/>
      <c r="AB282" s="50"/>
      <c r="AC282" s="50"/>
      <c r="AN282" s="50"/>
      <c r="AO282" s="50"/>
      <c r="AP282" s="50"/>
    </row>
    <row r="283" ht="15.75" customHeight="1">
      <c r="A283" s="49"/>
      <c r="H283" s="22"/>
      <c r="AB283" s="50"/>
      <c r="AC283" s="50"/>
      <c r="AN283" s="50"/>
      <c r="AO283" s="50"/>
      <c r="AP283" s="50"/>
    </row>
    <row r="284" ht="15.75" customHeight="1">
      <c r="A284" s="49"/>
      <c r="H284" s="22"/>
      <c r="AB284" s="50"/>
      <c r="AC284" s="50"/>
      <c r="AN284" s="50"/>
      <c r="AO284" s="50"/>
      <c r="AP284" s="50"/>
    </row>
    <row r="285" ht="15.75" customHeight="1">
      <c r="A285" s="49"/>
      <c r="H285" s="22"/>
      <c r="AB285" s="50"/>
      <c r="AC285" s="50"/>
      <c r="AN285" s="50"/>
      <c r="AO285" s="50"/>
      <c r="AP285" s="50"/>
    </row>
    <row r="286" ht="15.75" customHeight="1">
      <c r="A286" s="49"/>
      <c r="H286" s="22"/>
      <c r="AB286" s="50"/>
      <c r="AC286" s="50"/>
      <c r="AN286" s="50"/>
      <c r="AO286" s="50"/>
      <c r="AP286" s="50"/>
    </row>
    <row r="287" ht="15.75" customHeight="1">
      <c r="A287" s="49"/>
      <c r="H287" s="22"/>
      <c r="AB287" s="50"/>
      <c r="AC287" s="50"/>
      <c r="AN287" s="50"/>
      <c r="AO287" s="50"/>
      <c r="AP287" s="50"/>
    </row>
    <row r="288" ht="15.75" customHeight="1">
      <c r="A288" s="49"/>
      <c r="H288" s="22"/>
      <c r="AB288" s="50"/>
      <c r="AC288" s="50"/>
      <c r="AN288" s="50"/>
      <c r="AO288" s="50"/>
      <c r="AP288" s="50"/>
    </row>
    <row r="289" ht="15.75" customHeight="1">
      <c r="A289" s="49"/>
      <c r="H289" s="22"/>
      <c r="AB289" s="50"/>
      <c r="AC289" s="50"/>
      <c r="AN289" s="50"/>
      <c r="AO289" s="50"/>
      <c r="AP289" s="50"/>
    </row>
    <row r="290" ht="15.75" customHeight="1">
      <c r="A290" s="49"/>
      <c r="H290" s="22"/>
      <c r="AB290" s="50"/>
      <c r="AC290" s="50"/>
      <c r="AN290" s="50"/>
      <c r="AO290" s="50"/>
      <c r="AP290" s="50"/>
    </row>
    <row r="291" ht="15.75" customHeight="1">
      <c r="A291" s="49"/>
      <c r="H291" s="22"/>
      <c r="AB291" s="50"/>
      <c r="AC291" s="50"/>
      <c r="AN291" s="50"/>
      <c r="AO291" s="50"/>
      <c r="AP291" s="50"/>
    </row>
    <row r="292" ht="15.75" customHeight="1">
      <c r="A292" s="49"/>
      <c r="H292" s="22"/>
      <c r="AB292" s="50"/>
      <c r="AC292" s="50"/>
      <c r="AN292" s="50"/>
      <c r="AO292" s="50"/>
      <c r="AP292" s="50"/>
    </row>
    <row r="293" ht="15.75" customHeight="1">
      <c r="A293" s="49"/>
      <c r="H293" s="22"/>
      <c r="AB293" s="50"/>
      <c r="AC293" s="50"/>
      <c r="AN293" s="50"/>
      <c r="AO293" s="50"/>
      <c r="AP293" s="50"/>
    </row>
    <row r="294" ht="15.75" customHeight="1">
      <c r="A294" s="49"/>
      <c r="H294" s="22"/>
      <c r="AB294" s="50"/>
      <c r="AC294" s="50"/>
      <c r="AN294" s="50"/>
      <c r="AO294" s="50"/>
      <c r="AP294" s="50"/>
    </row>
    <row r="295" ht="15.75" customHeight="1">
      <c r="A295" s="49"/>
      <c r="H295" s="22"/>
      <c r="AB295" s="50"/>
      <c r="AC295" s="50"/>
      <c r="AN295" s="50"/>
      <c r="AO295" s="50"/>
      <c r="AP295" s="50"/>
    </row>
    <row r="296" ht="15.75" customHeight="1">
      <c r="A296" s="49"/>
      <c r="H296" s="22"/>
      <c r="AB296" s="50"/>
      <c r="AC296" s="50"/>
      <c r="AN296" s="50"/>
      <c r="AO296" s="50"/>
      <c r="AP296" s="50"/>
    </row>
    <row r="297" ht="15.75" customHeight="1">
      <c r="A297" s="49"/>
      <c r="H297" s="22"/>
      <c r="AB297" s="50"/>
      <c r="AC297" s="50"/>
      <c r="AN297" s="50"/>
      <c r="AO297" s="50"/>
      <c r="AP297" s="50"/>
    </row>
    <row r="298" ht="15.75" customHeight="1">
      <c r="A298" s="49"/>
      <c r="H298" s="22"/>
      <c r="AB298" s="50"/>
      <c r="AC298" s="50"/>
      <c r="AN298" s="50"/>
      <c r="AO298" s="50"/>
      <c r="AP298" s="50"/>
    </row>
    <row r="299" ht="15.75" customHeight="1">
      <c r="A299" s="49"/>
      <c r="H299" s="22"/>
      <c r="AB299" s="50"/>
      <c r="AC299" s="50"/>
      <c r="AN299" s="50"/>
      <c r="AO299" s="50"/>
      <c r="AP299" s="50"/>
    </row>
    <row r="300" ht="15.75" customHeight="1">
      <c r="A300" s="49"/>
      <c r="H300" s="22"/>
      <c r="AB300" s="50"/>
      <c r="AC300" s="50"/>
      <c r="AN300" s="50"/>
      <c r="AO300" s="50"/>
      <c r="AP300" s="50"/>
    </row>
    <row r="301" ht="15.75" customHeight="1">
      <c r="A301" s="49"/>
      <c r="H301" s="22"/>
      <c r="AB301" s="50"/>
      <c r="AC301" s="50"/>
      <c r="AN301" s="50"/>
      <c r="AO301" s="50"/>
      <c r="AP301" s="50"/>
    </row>
    <row r="302" ht="15.75" customHeight="1">
      <c r="A302" s="49"/>
      <c r="H302" s="22"/>
      <c r="AB302" s="50"/>
      <c r="AC302" s="50"/>
      <c r="AN302" s="50"/>
      <c r="AO302" s="50"/>
      <c r="AP302" s="50"/>
    </row>
    <row r="303" ht="15.75" customHeight="1">
      <c r="A303" s="49"/>
      <c r="H303" s="22"/>
      <c r="AB303" s="50"/>
      <c r="AC303" s="50"/>
      <c r="AN303" s="50"/>
      <c r="AO303" s="50"/>
      <c r="AP303" s="50"/>
    </row>
    <row r="304" ht="15.75" customHeight="1">
      <c r="A304" s="49"/>
      <c r="H304" s="22"/>
      <c r="AB304" s="50"/>
      <c r="AC304" s="50"/>
      <c r="AN304" s="50"/>
      <c r="AO304" s="50"/>
      <c r="AP304" s="50"/>
    </row>
    <row r="305" ht="15.75" customHeight="1">
      <c r="A305" s="49"/>
      <c r="H305" s="22"/>
      <c r="AB305" s="50"/>
      <c r="AC305" s="50"/>
      <c r="AN305" s="50"/>
      <c r="AO305" s="50"/>
      <c r="AP305" s="50"/>
    </row>
    <row r="306" ht="15.75" customHeight="1">
      <c r="A306" s="49"/>
      <c r="H306" s="22"/>
      <c r="AB306" s="50"/>
      <c r="AC306" s="50"/>
      <c r="AN306" s="50"/>
      <c r="AO306" s="50"/>
      <c r="AP306" s="50"/>
    </row>
    <row r="307" ht="15.75" customHeight="1">
      <c r="A307" s="49"/>
      <c r="H307" s="22"/>
      <c r="AB307" s="50"/>
      <c r="AC307" s="50"/>
      <c r="AN307" s="50"/>
      <c r="AO307" s="50"/>
      <c r="AP307" s="50"/>
    </row>
    <row r="308" ht="15.75" customHeight="1">
      <c r="A308" s="49"/>
      <c r="H308" s="22"/>
      <c r="AB308" s="50"/>
      <c r="AC308" s="50"/>
      <c r="AN308" s="50"/>
      <c r="AO308" s="50"/>
      <c r="AP308" s="50"/>
    </row>
    <row r="309" ht="15.75" customHeight="1">
      <c r="A309" s="49"/>
      <c r="H309" s="22"/>
      <c r="AB309" s="50"/>
      <c r="AC309" s="50"/>
      <c r="AN309" s="50"/>
      <c r="AO309" s="50"/>
      <c r="AP309" s="50"/>
    </row>
    <row r="310" ht="15.75" customHeight="1">
      <c r="A310" s="49"/>
      <c r="H310" s="22"/>
      <c r="AB310" s="50"/>
      <c r="AC310" s="50"/>
      <c r="AN310" s="50"/>
      <c r="AO310" s="50"/>
      <c r="AP310" s="50"/>
    </row>
    <row r="311" ht="15.75" customHeight="1">
      <c r="A311" s="49"/>
      <c r="H311" s="22"/>
      <c r="AB311" s="50"/>
      <c r="AC311" s="50"/>
      <c r="AN311" s="50"/>
      <c r="AO311" s="50"/>
      <c r="AP311" s="50"/>
    </row>
    <row r="312" ht="15.75" customHeight="1">
      <c r="A312" s="49"/>
      <c r="H312" s="22"/>
      <c r="AB312" s="50"/>
      <c r="AC312" s="50"/>
      <c r="AN312" s="50"/>
      <c r="AO312" s="50"/>
      <c r="AP312" s="50"/>
    </row>
    <row r="313" ht="15.75" customHeight="1">
      <c r="A313" s="49"/>
      <c r="H313" s="22"/>
      <c r="AB313" s="50"/>
      <c r="AC313" s="50"/>
      <c r="AN313" s="50"/>
      <c r="AO313" s="50"/>
      <c r="AP313" s="50"/>
    </row>
    <row r="314" ht="15.75" customHeight="1">
      <c r="A314" s="49"/>
      <c r="H314" s="22"/>
      <c r="AB314" s="50"/>
      <c r="AC314" s="50"/>
      <c r="AN314" s="50"/>
      <c r="AO314" s="50"/>
      <c r="AP314" s="50"/>
    </row>
    <row r="315" ht="15.75" customHeight="1">
      <c r="A315" s="49"/>
      <c r="H315" s="22"/>
      <c r="AB315" s="50"/>
      <c r="AC315" s="50"/>
      <c r="AN315" s="50"/>
      <c r="AO315" s="50"/>
      <c r="AP315" s="50"/>
    </row>
    <row r="316" ht="15.75" customHeight="1">
      <c r="A316" s="49"/>
      <c r="H316" s="22"/>
      <c r="AB316" s="50"/>
      <c r="AC316" s="50"/>
      <c r="AN316" s="50"/>
      <c r="AO316" s="50"/>
      <c r="AP316" s="50"/>
    </row>
    <row r="317" ht="15.75" customHeight="1">
      <c r="A317" s="49"/>
      <c r="H317" s="22"/>
      <c r="AB317" s="50"/>
      <c r="AC317" s="50"/>
      <c r="AN317" s="50"/>
      <c r="AO317" s="50"/>
      <c r="AP317" s="50"/>
    </row>
    <row r="318" ht="15.75" customHeight="1">
      <c r="A318" s="49"/>
      <c r="H318" s="22"/>
      <c r="AB318" s="50"/>
      <c r="AC318" s="50"/>
      <c r="AN318" s="50"/>
      <c r="AO318" s="50"/>
      <c r="AP318" s="50"/>
    </row>
    <row r="319" ht="15.75" customHeight="1">
      <c r="A319" s="49"/>
      <c r="H319" s="22"/>
      <c r="AB319" s="50"/>
      <c r="AC319" s="50"/>
      <c r="AN319" s="50"/>
      <c r="AO319" s="50"/>
      <c r="AP319" s="50"/>
    </row>
    <row r="320" ht="15.75" customHeight="1">
      <c r="A320" s="49"/>
      <c r="H320" s="22"/>
      <c r="AB320" s="50"/>
      <c r="AC320" s="50"/>
      <c r="AN320" s="50"/>
      <c r="AO320" s="50"/>
      <c r="AP320" s="50"/>
    </row>
    <row r="321" ht="15.75" customHeight="1">
      <c r="A321" s="49"/>
      <c r="H321" s="22"/>
      <c r="AB321" s="50"/>
      <c r="AC321" s="50"/>
      <c r="AN321" s="50"/>
      <c r="AO321" s="50"/>
      <c r="AP321" s="50"/>
    </row>
    <row r="322" ht="15.75" customHeight="1">
      <c r="A322" s="49"/>
      <c r="H322" s="22"/>
      <c r="AB322" s="50"/>
      <c r="AC322" s="50"/>
      <c r="AN322" s="50"/>
      <c r="AO322" s="50"/>
      <c r="AP322" s="50"/>
    </row>
    <row r="323" ht="15.75" customHeight="1">
      <c r="A323" s="49"/>
      <c r="H323" s="22"/>
      <c r="AB323" s="50"/>
      <c r="AC323" s="50"/>
      <c r="AN323" s="50"/>
      <c r="AO323" s="50"/>
      <c r="AP323" s="50"/>
    </row>
    <row r="324" ht="15.75" customHeight="1">
      <c r="A324" s="49"/>
      <c r="H324" s="22"/>
      <c r="AB324" s="50"/>
      <c r="AC324" s="50"/>
      <c r="AN324" s="50"/>
      <c r="AO324" s="50"/>
      <c r="AP324" s="50"/>
    </row>
    <row r="325" ht="15.75" customHeight="1">
      <c r="A325" s="49"/>
      <c r="H325" s="22"/>
      <c r="AB325" s="50"/>
      <c r="AC325" s="50"/>
      <c r="AN325" s="50"/>
      <c r="AO325" s="50"/>
      <c r="AP325" s="50"/>
    </row>
    <row r="326" ht="15.75" customHeight="1">
      <c r="A326" s="49"/>
      <c r="H326" s="22"/>
      <c r="AB326" s="50"/>
      <c r="AC326" s="50"/>
      <c r="AN326" s="50"/>
      <c r="AO326" s="50"/>
      <c r="AP326" s="50"/>
    </row>
    <row r="327" ht="15.75" customHeight="1">
      <c r="A327" s="49"/>
      <c r="H327" s="22"/>
      <c r="AB327" s="50"/>
      <c r="AC327" s="50"/>
      <c r="AN327" s="50"/>
      <c r="AO327" s="50"/>
      <c r="AP327" s="50"/>
    </row>
    <row r="328" ht="15.75" customHeight="1">
      <c r="A328" s="49"/>
      <c r="H328" s="22"/>
      <c r="AB328" s="50"/>
      <c r="AC328" s="50"/>
      <c r="AN328" s="50"/>
      <c r="AO328" s="50"/>
      <c r="AP328" s="50"/>
    </row>
    <row r="329" ht="15.75" customHeight="1">
      <c r="A329" s="49"/>
      <c r="H329" s="22"/>
      <c r="AB329" s="50"/>
      <c r="AC329" s="50"/>
      <c r="AN329" s="50"/>
      <c r="AO329" s="50"/>
      <c r="AP329" s="50"/>
    </row>
    <row r="330" ht="15.75" customHeight="1">
      <c r="A330" s="49"/>
      <c r="H330" s="22"/>
      <c r="AB330" s="50"/>
      <c r="AC330" s="50"/>
      <c r="AN330" s="50"/>
      <c r="AO330" s="50"/>
      <c r="AP330" s="50"/>
    </row>
    <row r="331" ht="15.75" customHeight="1">
      <c r="A331" s="49"/>
      <c r="H331" s="22"/>
      <c r="AB331" s="50"/>
      <c r="AC331" s="50"/>
      <c r="AN331" s="50"/>
      <c r="AO331" s="50"/>
      <c r="AP331" s="50"/>
    </row>
    <row r="332" ht="15.75" customHeight="1">
      <c r="A332" s="49"/>
      <c r="H332" s="22"/>
      <c r="AB332" s="50"/>
      <c r="AC332" s="50"/>
      <c r="AN332" s="50"/>
      <c r="AO332" s="50"/>
      <c r="AP332" s="50"/>
    </row>
    <row r="333" ht="15.75" customHeight="1">
      <c r="A333" s="49"/>
      <c r="H333" s="22"/>
      <c r="AB333" s="50"/>
      <c r="AC333" s="50"/>
      <c r="AN333" s="50"/>
      <c r="AO333" s="50"/>
      <c r="AP333" s="50"/>
    </row>
    <row r="334" ht="15.75" customHeight="1">
      <c r="A334" s="49"/>
      <c r="H334" s="22"/>
      <c r="AB334" s="50"/>
      <c r="AC334" s="50"/>
      <c r="AN334" s="50"/>
      <c r="AO334" s="50"/>
      <c r="AP334" s="50"/>
    </row>
    <row r="335" ht="15.75" customHeight="1">
      <c r="A335" s="49"/>
      <c r="H335" s="22"/>
      <c r="AB335" s="50"/>
      <c r="AC335" s="50"/>
      <c r="AN335" s="50"/>
      <c r="AO335" s="50"/>
      <c r="AP335" s="50"/>
    </row>
    <row r="336" ht="15.75" customHeight="1">
      <c r="A336" s="49"/>
      <c r="H336" s="22"/>
      <c r="AB336" s="50"/>
      <c r="AC336" s="50"/>
      <c r="AN336" s="50"/>
      <c r="AO336" s="50"/>
      <c r="AP336" s="50"/>
    </row>
    <row r="337" ht="15.75" customHeight="1">
      <c r="A337" s="49"/>
      <c r="H337" s="22"/>
      <c r="AB337" s="50"/>
      <c r="AC337" s="50"/>
      <c r="AN337" s="50"/>
      <c r="AO337" s="50"/>
      <c r="AP337" s="50"/>
    </row>
    <row r="338" ht="15.75" customHeight="1">
      <c r="A338" s="49"/>
      <c r="H338" s="22"/>
      <c r="AB338" s="50"/>
      <c r="AC338" s="50"/>
      <c r="AN338" s="50"/>
      <c r="AO338" s="50"/>
      <c r="AP338" s="50"/>
    </row>
    <row r="339" ht="15.75" customHeight="1">
      <c r="A339" s="49"/>
      <c r="H339" s="22"/>
      <c r="AB339" s="50"/>
      <c r="AC339" s="50"/>
      <c r="AN339" s="50"/>
      <c r="AO339" s="50"/>
      <c r="AP339" s="50"/>
    </row>
    <row r="340" ht="15.75" customHeight="1">
      <c r="A340" s="49"/>
      <c r="H340" s="22"/>
      <c r="AB340" s="50"/>
      <c r="AC340" s="50"/>
      <c r="AN340" s="50"/>
      <c r="AO340" s="50"/>
      <c r="AP340" s="50"/>
    </row>
    <row r="341" ht="15.75" customHeight="1">
      <c r="A341" s="49"/>
      <c r="H341" s="22"/>
      <c r="AB341" s="50"/>
      <c r="AC341" s="50"/>
      <c r="AN341" s="50"/>
      <c r="AO341" s="50"/>
      <c r="AP341" s="50"/>
    </row>
    <row r="342" ht="15.75" customHeight="1">
      <c r="A342" s="49"/>
      <c r="H342" s="22"/>
      <c r="AB342" s="50"/>
      <c r="AC342" s="50"/>
      <c r="AN342" s="50"/>
      <c r="AO342" s="50"/>
      <c r="AP342" s="50"/>
    </row>
    <row r="343" ht="15.75" customHeight="1">
      <c r="A343" s="49"/>
      <c r="H343" s="22"/>
      <c r="AB343" s="50"/>
      <c r="AC343" s="50"/>
      <c r="AN343" s="50"/>
      <c r="AO343" s="50"/>
      <c r="AP343" s="50"/>
    </row>
    <row r="344" ht="15.75" customHeight="1">
      <c r="A344" s="49"/>
      <c r="H344" s="22"/>
      <c r="AB344" s="50"/>
      <c r="AC344" s="50"/>
      <c r="AN344" s="50"/>
      <c r="AO344" s="50"/>
      <c r="AP344" s="50"/>
    </row>
    <row r="345" ht="15.75" customHeight="1">
      <c r="A345" s="49"/>
      <c r="H345" s="22"/>
      <c r="AB345" s="50"/>
      <c r="AC345" s="50"/>
      <c r="AN345" s="50"/>
      <c r="AO345" s="50"/>
      <c r="AP345" s="50"/>
    </row>
    <row r="346" ht="15.75" customHeight="1">
      <c r="A346" s="49"/>
      <c r="H346" s="22"/>
      <c r="AB346" s="50"/>
      <c r="AC346" s="50"/>
      <c r="AN346" s="50"/>
      <c r="AO346" s="50"/>
      <c r="AP346" s="50"/>
    </row>
    <row r="347" ht="15.75" customHeight="1">
      <c r="A347" s="49"/>
      <c r="H347" s="22"/>
      <c r="AB347" s="50"/>
      <c r="AC347" s="50"/>
      <c r="AN347" s="50"/>
      <c r="AO347" s="50"/>
      <c r="AP347" s="50"/>
    </row>
    <row r="348" ht="15.75" customHeight="1">
      <c r="A348" s="49"/>
      <c r="H348" s="22"/>
      <c r="AB348" s="50"/>
      <c r="AC348" s="50"/>
      <c r="AN348" s="50"/>
      <c r="AO348" s="50"/>
      <c r="AP348" s="50"/>
    </row>
    <row r="349" ht="15.75" customHeight="1">
      <c r="A349" s="49"/>
      <c r="H349" s="22"/>
      <c r="AB349" s="50"/>
      <c r="AC349" s="50"/>
      <c r="AN349" s="50"/>
      <c r="AO349" s="50"/>
      <c r="AP349" s="50"/>
    </row>
    <row r="350" ht="15.75" customHeight="1">
      <c r="A350" s="49"/>
      <c r="H350" s="22"/>
      <c r="AB350" s="50"/>
      <c r="AC350" s="50"/>
      <c r="AN350" s="50"/>
      <c r="AO350" s="50"/>
      <c r="AP350" s="50"/>
    </row>
    <row r="351" ht="15.75" customHeight="1">
      <c r="A351" s="49"/>
      <c r="H351" s="22"/>
      <c r="AB351" s="50"/>
      <c r="AC351" s="50"/>
      <c r="AN351" s="50"/>
      <c r="AO351" s="50"/>
      <c r="AP351" s="50"/>
    </row>
    <row r="352" ht="15.75" customHeight="1">
      <c r="A352" s="49"/>
      <c r="H352" s="22"/>
      <c r="AB352" s="50"/>
      <c r="AC352" s="50"/>
      <c r="AN352" s="50"/>
      <c r="AO352" s="50"/>
      <c r="AP352" s="50"/>
    </row>
    <row r="353" ht="15.75" customHeight="1">
      <c r="A353" s="49"/>
      <c r="H353" s="22"/>
      <c r="AB353" s="50"/>
      <c r="AC353" s="50"/>
      <c r="AN353" s="50"/>
      <c r="AO353" s="50"/>
      <c r="AP353" s="50"/>
    </row>
    <row r="354" ht="15.75" customHeight="1">
      <c r="A354" s="49"/>
      <c r="H354" s="22"/>
      <c r="AB354" s="50"/>
      <c r="AC354" s="50"/>
      <c r="AN354" s="50"/>
      <c r="AO354" s="50"/>
      <c r="AP354" s="50"/>
    </row>
    <row r="355" ht="15.75" customHeight="1">
      <c r="A355" s="49"/>
      <c r="H355" s="22"/>
      <c r="AB355" s="50"/>
      <c r="AC355" s="50"/>
      <c r="AN355" s="50"/>
      <c r="AO355" s="50"/>
      <c r="AP355" s="50"/>
    </row>
    <row r="356" ht="15.75" customHeight="1">
      <c r="A356" s="49"/>
      <c r="H356" s="22"/>
      <c r="AB356" s="50"/>
      <c r="AC356" s="50"/>
      <c r="AN356" s="50"/>
      <c r="AO356" s="50"/>
      <c r="AP356" s="50"/>
    </row>
    <row r="357" ht="15.75" customHeight="1">
      <c r="A357" s="49"/>
      <c r="H357" s="22"/>
      <c r="AB357" s="50"/>
      <c r="AC357" s="50"/>
      <c r="AN357" s="50"/>
      <c r="AO357" s="50"/>
      <c r="AP357" s="50"/>
    </row>
    <row r="358" ht="15.75" customHeight="1">
      <c r="A358" s="49"/>
      <c r="H358" s="22"/>
      <c r="AB358" s="50"/>
      <c r="AC358" s="50"/>
      <c r="AN358" s="50"/>
      <c r="AO358" s="50"/>
      <c r="AP358" s="50"/>
    </row>
    <row r="359" ht="15.75" customHeight="1">
      <c r="A359" s="49"/>
      <c r="H359" s="22"/>
      <c r="AB359" s="50"/>
      <c r="AC359" s="50"/>
      <c r="AN359" s="50"/>
      <c r="AO359" s="50"/>
      <c r="AP359" s="50"/>
    </row>
    <row r="360" ht="15.75" customHeight="1">
      <c r="A360" s="49"/>
      <c r="H360" s="22"/>
      <c r="AB360" s="50"/>
      <c r="AC360" s="50"/>
      <c r="AN360" s="50"/>
      <c r="AO360" s="50"/>
      <c r="AP360" s="50"/>
    </row>
    <row r="361" ht="15.75" customHeight="1">
      <c r="A361" s="49"/>
      <c r="H361" s="22"/>
      <c r="AB361" s="50"/>
      <c r="AC361" s="50"/>
      <c r="AN361" s="50"/>
      <c r="AO361" s="50"/>
      <c r="AP361" s="50"/>
    </row>
    <row r="362" ht="15.75" customHeight="1">
      <c r="A362" s="49"/>
      <c r="H362" s="22"/>
      <c r="AB362" s="50"/>
      <c r="AC362" s="50"/>
      <c r="AN362" s="50"/>
      <c r="AO362" s="50"/>
      <c r="AP362" s="50"/>
    </row>
    <row r="363" ht="15.75" customHeight="1">
      <c r="A363" s="49"/>
      <c r="H363" s="22"/>
      <c r="AB363" s="50"/>
      <c r="AC363" s="50"/>
      <c r="AN363" s="50"/>
      <c r="AO363" s="50"/>
      <c r="AP363" s="50"/>
    </row>
    <row r="364" ht="15.75" customHeight="1">
      <c r="A364" s="49"/>
      <c r="H364" s="22"/>
      <c r="AB364" s="50"/>
      <c r="AC364" s="50"/>
      <c r="AN364" s="50"/>
      <c r="AO364" s="50"/>
      <c r="AP364" s="50"/>
    </row>
    <row r="365" ht="15.75" customHeight="1">
      <c r="A365" s="49"/>
      <c r="H365" s="22"/>
      <c r="AB365" s="50"/>
      <c r="AC365" s="50"/>
      <c r="AN365" s="50"/>
      <c r="AO365" s="50"/>
      <c r="AP365" s="50"/>
    </row>
    <row r="366" ht="15.75" customHeight="1">
      <c r="A366" s="49"/>
      <c r="H366" s="22"/>
      <c r="AB366" s="50"/>
      <c r="AC366" s="50"/>
      <c r="AN366" s="50"/>
      <c r="AO366" s="50"/>
      <c r="AP366" s="50"/>
    </row>
    <row r="367" ht="15.75" customHeight="1">
      <c r="A367" s="49"/>
      <c r="H367" s="22"/>
      <c r="AB367" s="50"/>
      <c r="AC367" s="50"/>
      <c r="AN367" s="50"/>
      <c r="AO367" s="50"/>
      <c r="AP367" s="50"/>
    </row>
    <row r="368" ht="15.75" customHeight="1">
      <c r="A368" s="49"/>
      <c r="H368" s="22"/>
      <c r="AB368" s="50"/>
      <c r="AC368" s="50"/>
      <c r="AN368" s="50"/>
      <c r="AO368" s="50"/>
      <c r="AP368" s="50"/>
    </row>
    <row r="369" ht="15.75" customHeight="1">
      <c r="A369" s="49"/>
      <c r="H369" s="22"/>
      <c r="AB369" s="50"/>
      <c r="AC369" s="50"/>
      <c r="AN369" s="50"/>
      <c r="AO369" s="50"/>
      <c r="AP369" s="50"/>
    </row>
    <row r="370" ht="15.75" customHeight="1">
      <c r="A370" s="49"/>
      <c r="H370" s="22"/>
      <c r="AB370" s="50"/>
      <c r="AC370" s="50"/>
      <c r="AN370" s="50"/>
      <c r="AO370" s="50"/>
      <c r="AP370" s="50"/>
    </row>
    <row r="371" ht="15.75" customHeight="1">
      <c r="A371" s="49"/>
      <c r="H371" s="22"/>
      <c r="AB371" s="50"/>
      <c r="AC371" s="50"/>
      <c r="AN371" s="50"/>
      <c r="AO371" s="50"/>
      <c r="AP371" s="50"/>
    </row>
    <row r="372" ht="15.75" customHeight="1">
      <c r="A372" s="49"/>
      <c r="H372" s="22"/>
      <c r="AB372" s="50"/>
      <c r="AC372" s="50"/>
      <c r="AN372" s="50"/>
      <c r="AO372" s="50"/>
      <c r="AP372" s="50"/>
    </row>
    <row r="373" ht="15.75" customHeight="1">
      <c r="A373" s="49"/>
      <c r="H373" s="22"/>
      <c r="AB373" s="50"/>
      <c r="AC373" s="50"/>
      <c r="AN373" s="50"/>
      <c r="AO373" s="50"/>
      <c r="AP373" s="50"/>
    </row>
    <row r="374" ht="15.75" customHeight="1">
      <c r="A374" s="49"/>
      <c r="H374" s="22"/>
      <c r="AB374" s="50"/>
      <c r="AC374" s="50"/>
      <c r="AN374" s="50"/>
      <c r="AO374" s="50"/>
      <c r="AP374" s="50"/>
    </row>
    <row r="375" ht="15.75" customHeight="1">
      <c r="A375" s="49"/>
      <c r="H375" s="22"/>
      <c r="AB375" s="50"/>
      <c r="AC375" s="50"/>
      <c r="AN375" s="50"/>
      <c r="AO375" s="50"/>
      <c r="AP375" s="50"/>
    </row>
    <row r="376" ht="15.75" customHeight="1">
      <c r="A376" s="49"/>
      <c r="H376" s="22"/>
      <c r="AB376" s="50"/>
      <c r="AC376" s="50"/>
      <c r="AN376" s="50"/>
      <c r="AO376" s="50"/>
      <c r="AP376" s="50"/>
    </row>
    <row r="377" ht="15.75" customHeight="1">
      <c r="A377" s="49"/>
      <c r="H377" s="22"/>
      <c r="AB377" s="50"/>
      <c r="AC377" s="50"/>
      <c r="AN377" s="50"/>
      <c r="AO377" s="50"/>
      <c r="AP377" s="50"/>
    </row>
    <row r="378" ht="15.75" customHeight="1">
      <c r="A378" s="49"/>
      <c r="H378" s="22"/>
      <c r="AB378" s="50"/>
      <c r="AC378" s="50"/>
      <c r="AN378" s="50"/>
      <c r="AO378" s="50"/>
      <c r="AP378" s="50"/>
    </row>
    <row r="379" ht="15.75" customHeight="1">
      <c r="A379" s="49"/>
      <c r="H379" s="22"/>
      <c r="AB379" s="50"/>
      <c r="AC379" s="50"/>
      <c r="AN379" s="50"/>
      <c r="AO379" s="50"/>
      <c r="AP379" s="50"/>
    </row>
    <row r="380" ht="15.75" customHeight="1">
      <c r="A380" s="49"/>
      <c r="H380" s="22"/>
      <c r="AB380" s="50"/>
      <c r="AC380" s="50"/>
      <c r="AN380" s="50"/>
      <c r="AO380" s="50"/>
      <c r="AP380" s="50"/>
    </row>
    <row r="381" ht="15.75" customHeight="1">
      <c r="A381" s="49"/>
      <c r="H381" s="22"/>
      <c r="AB381" s="50"/>
      <c r="AC381" s="50"/>
      <c r="AN381" s="50"/>
      <c r="AO381" s="50"/>
      <c r="AP381" s="50"/>
    </row>
    <row r="382" ht="15.75" customHeight="1">
      <c r="A382" s="49"/>
      <c r="H382" s="22"/>
      <c r="AB382" s="50"/>
      <c r="AC382" s="50"/>
      <c r="AN382" s="50"/>
      <c r="AO382" s="50"/>
      <c r="AP382" s="50"/>
    </row>
    <row r="383" ht="15.75" customHeight="1">
      <c r="A383" s="49"/>
      <c r="H383" s="22"/>
      <c r="AB383" s="50"/>
      <c r="AC383" s="50"/>
      <c r="AN383" s="50"/>
      <c r="AO383" s="50"/>
      <c r="AP383" s="50"/>
    </row>
    <row r="384" ht="15.75" customHeight="1">
      <c r="A384" s="49"/>
      <c r="H384" s="22"/>
      <c r="AB384" s="50"/>
      <c r="AC384" s="50"/>
      <c r="AN384" s="50"/>
      <c r="AO384" s="50"/>
      <c r="AP384" s="50"/>
    </row>
    <row r="385" ht="15.75" customHeight="1">
      <c r="A385" s="49"/>
      <c r="H385" s="22"/>
      <c r="AB385" s="50"/>
      <c r="AC385" s="50"/>
      <c r="AN385" s="50"/>
      <c r="AO385" s="50"/>
      <c r="AP385" s="50"/>
    </row>
    <row r="386" ht="15.75" customHeight="1">
      <c r="A386" s="49"/>
      <c r="H386" s="22"/>
      <c r="AB386" s="50"/>
      <c r="AC386" s="50"/>
      <c r="AN386" s="50"/>
      <c r="AO386" s="50"/>
      <c r="AP386" s="50"/>
    </row>
    <row r="387" ht="15.75" customHeight="1">
      <c r="A387" s="49"/>
      <c r="H387" s="22"/>
      <c r="AB387" s="50"/>
      <c r="AC387" s="50"/>
      <c r="AN387" s="50"/>
      <c r="AO387" s="50"/>
      <c r="AP387" s="50"/>
    </row>
    <row r="388" ht="15.75" customHeight="1">
      <c r="A388" s="49"/>
      <c r="H388" s="22"/>
      <c r="AB388" s="50"/>
      <c r="AC388" s="50"/>
      <c r="AN388" s="50"/>
      <c r="AO388" s="50"/>
      <c r="AP388" s="50"/>
    </row>
    <row r="389" ht="15.75" customHeight="1">
      <c r="A389" s="49"/>
      <c r="H389" s="22"/>
      <c r="AB389" s="50"/>
      <c r="AC389" s="50"/>
      <c r="AN389" s="50"/>
      <c r="AO389" s="50"/>
      <c r="AP389" s="50"/>
    </row>
    <row r="390" ht="15.75" customHeight="1">
      <c r="A390" s="49"/>
      <c r="H390" s="22"/>
      <c r="AB390" s="50"/>
      <c r="AC390" s="50"/>
      <c r="AN390" s="50"/>
      <c r="AO390" s="50"/>
      <c r="AP390" s="50"/>
    </row>
    <row r="391" ht="15.75" customHeight="1">
      <c r="A391" s="49"/>
      <c r="H391" s="22"/>
      <c r="AB391" s="50"/>
      <c r="AC391" s="50"/>
      <c r="AN391" s="50"/>
      <c r="AO391" s="50"/>
      <c r="AP391" s="50"/>
    </row>
    <row r="392" ht="15.75" customHeight="1">
      <c r="A392" s="49"/>
      <c r="H392" s="22"/>
      <c r="AB392" s="50"/>
      <c r="AC392" s="50"/>
      <c r="AN392" s="50"/>
      <c r="AO392" s="50"/>
      <c r="AP392" s="50"/>
    </row>
    <row r="393" ht="15.75" customHeight="1">
      <c r="A393" s="49"/>
      <c r="H393" s="22"/>
      <c r="AB393" s="50"/>
      <c r="AC393" s="50"/>
      <c r="AN393" s="50"/>
      <c r="AO393" s="50"/>
      <c r="AP393" s="50"/>
    </row>
    <row r="394" ht="15.75" customHeight="1">
      <c r="A394" s="49"/>
      <c r="H394" s="22"/>
      <c r="AB394" s="50"/>
      <c r="AC394" s="50"/>
      <c r="AN394" s="50"/>
      <c r="AO394" s="50"/>
      <c r="AP394" s="50"/>
    </row>
    <row r="395" ht="15.75" customHeight="1">
      <c r="A395" s="49"/>
      <c r="H395" s="22"/>
      <c r="AB395" s="50"/>
      <c r="AC395" s="50"/>
      <c r="AN395" s="50"/>
      <c r="AO395" s="50"/>
      <c r="AP395" s="50"/>
    </row>
    <row r="396" ht="15.75" customHeight="1">
      <c r="A396" s="49"/>
      <c r="H396" s="22"/>
      <c r="AB396" s="50"/>
      <c r="AC396" s="50"/>
      <c r="AN396" s="50"/>
      <c r="AO396" s="50"/>
      <c r="AP396" s="50"/>
    </row>
    <row r="397" ht="15.75" customHeight="1">
      <c r="A397" s="49"/>
      <c r="H397" s="22"/>
      <c r="AB397" s="50"/>
      <c r="AC397" s="50"/>
      <c r="AN397" s="50"/>
      <c r="AO397" s="50"/>
      <c r="AP397" s="50"/>
    </row>
    <row r="398" ht="15.75" customHeight="1">
      <c r="A398" s="49"/>
      <c r="H398" s="22"/>
      <c r="AB398" s="50"/>
      <c r="AC398" s="50"/>
      <c r="AN398" s="50"/>
      <c r="AO398" s="50"/>
      <c r="AP398" s="50"/>
    </row>
    <row r="399" ht="15.75" customHeight="1">
      <c r="A399" s="49"/>
      <c r="H399" s="22"/>
      <c r="AB399" s="50"/>
      <c r="AC399" s="50"/>
      <c r="AN399" s="50"/>
      <c r="AO399" s="50"/>
      <c r="AP399" s="50"/>
    </row>
    <row r="400" ht="15.75" customHeight="1">
      <c r="A400" s="49"/>
      <c r="H400" s="22"/>
      <c r="AB400" s="50"/>
      <c r="AC400" s="50"/>
      <c r="AN400" s="50"/>
      <c r="AO400" s="50"/>
      <c r="AP400" s="50"/>
    </row>
    <row r="401" ht="15.75" customHeight="1">
      <c r="A401" s="49"/>
      <c r="H401" s="22"/>
      <c r="AB401" s="50"/>
      <c r="AC401" s="50"/>
      <c r="AN401" s="50"/>
      <c r="AO401" s="50"/>
      <c r="AP401" s="50"/>
    </row>
    <row r="402" ht="15.75" customHeight="1">
      <c r="A402" s="49"/>
      <c r="H402" s="22"/>
      <c r="AB402" s="50"/>
      <c r="AC402" s="50"/>
      <c r="AN402" s="50"/>
      <c r="AO402" s="50"/>
      <c r="AP402" s="50"/>
    </row>
    <row r="403" ht="15.75" customHeight="1">
      <c r="A403" s="49"/>
      <c r="H403" s="22"/>
      <c r="AB403" s="50"/>
      <c r="AC403" s="50"/>
      <c r="AN403" s="50"/>
      <c r="AO403" s="50"/>
      <c r="AP403" s="50"/>
    </row>
    <row r="404" ht="15.75" customHeight="1">
      <c r="A404" s="49"/>
      <c r="H404" s="22"/>
      <c r="AB404" s="50"/>
      <c r="AC404" s="50"/>
      <c r="AN404" s="50"/>
      <c r="AO404" s="50"/>
      <c r="AP404" s="50"/>
    </row>
    <row r="405" ht="15.75" customHeight="1">
      <c r="A405" s="49"/>
      <c r="H405" s="22"/>
      <c r="AB405" s="50"/>
      <c r="AC405" s="50"/>
      <c r="AN405" s="50"/>
      <c r="AO405" s="50"/>
      <c r="AP405" s="50"/>
    </row>
    <row r="406" ht="15.75" customHeight="1">
      <c r="A406" s="49"/>
      <c r="H406" s="22"/>
      <c r="AB406" s="50"/>
      <c r="AC406" s="50"/>
      <c r="AN406" s="50"/>
      <c r="AO406" s="50"/>
      <c r="AP406" s="50"/>
    </row>
    <row r="407" ht="15.75" customHeight="1">
      <c r="A407" s="49"/>
      <c r="H407" s="22"/>
      <c r="AB407" s="50"/>
      <c r="AC407" s="50"/>
      <c r="AN407" s="50"/>
      <c r="AO407" s="50"/>
      <c r="AP407" s="50"/>
    </row>
    <row r="408" ht="15.75" customHeight="1">
      <c r="A408" s="49"/>
      <c r="H408" s="22"/>
      <c r="AB408" s="50"/>
      <c r="AC408" s="50"/>
      <c r="AN408" s="50"/>
      <c r="AO408" s="50"/>
      <c r="AP408" s="50"/>
    </row>
    <row r="409" ht="15.75" customHeight="1">
      <c r="A409" s="49"/>
      <c r="H409" s="22"/>
      <c r="AB409" s="50"/>
      <c r="AC409" s="50"/>
      <c r="AN409" s="50"/>
      <c r="AO409" s="50"/>
      <c r="AP409" s="50"/>
    </row>
    <row r="410" ht="15.75" customHeight="1">
      <c r="A410" s="49"/>
      <c r="H410" s="22"/>
      <c r="AB410" s="50"/>
      <c r="AC410" s="50"/>
      <c r="AN410" s="50"/>
      <c r="AO410" s="50"/>
      <c r="AP410" s="50"/>
    </row>
    <row r="411" ht="15.75" customHeight="1">
      <c r="A411" s="49"/>
      <c r="H411" s="22"/>
      <c r="AB411" s="50"/>
      <c r="AC411" s="50"/>
      <c r="AN411" s="50"/>
      <c r="AO411" s="50"/>
      <c r="AP411" s="50"/>
    </row>
    <row r="412" ht="15.75" customHeight="1">
      <c r="A412" s="49"/>
      <c r="H412" s="22"/>
      <c r="AB412" s="50"/>
      <c r="AC412" s="50"/>
      <c r="AN412" s="50"/>
      <c r="AO412" s="50"/>
      <c r="AP412" s="50"/>
    </row>
    <row r="413" ht="15.75" customHeight="1">
      <c r="A413" s="49"/>
      <c r="H413" s="22"/>
      <c r="AB413" s="50"/>
      <c r="AC413" s="50"/>
      <c r="AN413" s="50"/>
      <c r="AO413" s="50"/>
      <c r="AP413" s="50"/>
    </row>
    <row r="414" ht="15.75" customHeight="1">
      <c r="A414" s="49"/>
      <c r="H414" s="22"/>
      <c r="AB414" s="50"/>
      <c r="AC414" s="50"/>
      <c r="AN414" s="50"/>
      <c r="AO414" s="50"/>
      <c r="AP414" s="50"/>
    </row>
    <row r="415" ht="15.75" customHeight="1">
      <c r="A415" s="49"/>
      <c r="H415" s="22"/>
      <c r="AB415" s="50"/>
      <c r="AC415" s="50"/>
      <c r="AN415" s="50"/>
      <c r="AO415" s="50"/>
      <c r="AP415" s="50"/>
    </row>
    <row r="416" ht="15.75" customHeight="1">
      <c r="A416" s="49"/>
      <c r="H416" s="22"/>
      <c r="AB416" s="50"/>
      <c r="AC416" s="50"/>
      <c r="AN416" s="50"/>
      <c r="AO416" s="50"/>
      <c r="AP416" s="50"/>
    </row>
    <row r="417" ht="15.75" customHeight="1">
      <c r="A417" s="49"/>
      <c r="H417" s="22"/>
      <c r="AB417" s="50"/>
      <c r="AC417" s="50"/>
      <c r="AN417" s="50"/>
      <c r="AO417" s="50"/>
      <c r="AP417" s="50"/>
    </row>
    <row r="418" ht="15.75" customHeight="1">
      <c r="A418" s="49"/>
      <c r="H418" s="22"/>
      <c r="AB418" s="50"/>
      <c r="AC418" s="50"/>
      <c r="AN418" s="50"/>
      <c r="AO418" s="50"/>
      <c r="AP418" s="50"/>
    </row>
    <row r="419" ht="15.75" customHeight="1">
      <c r="A419" s="49"/>
      <c r="H419" s="22"/>
      <c r="AB419" s="50"/>
      <c r="AC419" s="50"/>
      <c r="AN419" s="50"/>
      <c r="AO419" s="50"/>
      <c r="AP419" s="50"/>
    </row>
    <row r="420" ht="15.75" customHeight="1">
      <c r="A420" s="49"/>
      <c r="H420" s="22"/>
      <c r="AB420" s="50"/>
      <c r="AC420" s="50"/>
      <c r="AN420" s="50"/>
      <c r="AO420" s="50"/>
      <c r="AP420" s="50"/>
    </row>
    <row r="421" ht="15.75" customHeight="1">
      <c r="A421" s="49"/>
      <c r="H421" s="22"/>
      <c r="AB421" s="50"/>
      <c r="AC421" s="50"/>
      <c r="AN421" s="50"/>
      <c r="AO421" s="50"/>
      <c r="AP421" s="50"/>
    </row>
    <row r="422" ht="15.75" customHeight="1">
      <c r="A422" s="49"/>
      <c r="H422" s="22"/>
      <c r="AB422" s="50"/>
      <c r="AC422" s="50"/>
      <c r="AN422" s="50"/>
      <c r="AO422" s="50"/>
      <c r="AP422" s="50"/>
    </row>
    <row r="423" ht="15.75" customHeight="1">
      <c r="A423" s="49"/>
      <c r="H423" s="22"/>
      <c r="AB423" s="50"/>
      <c r="AC423" s="50"/>
      <c r="AN423" s="50"/>
      <c r="AO423" s="50"/>
      <c r="AP423" s="50"/>
    </row>
    <row r="424" ht="15.75" customHeight="1">
      <c r="A424" s="49"/>
      <c r="H424" s="22"/>
      <c r="AB424" s="50"/>
      <c r="AC424" s="50"/>
      <c r="AN424" s="50"/>
      <c r="AO424" s="50"/>
      <c r="AP424" s="50"/>
    </row>
    <row r="425" ht="15.75" customHeight="1">
      <c r="A425" s="49"/>
      <c r="H425" s="22"/>
      <c r="AB425" s="50"/>
      <c r="AC425" s="50"/>
      <c r="AN425" s="50"/>
      <c r="AO425" s="50"/>
      <c r="AP425" s="50"/>
    </row>
    <row r="426" ht="15.75" customHeight="1">
      <c r="A426" s="49"/>
      <c r="H426" s="22"/>
      <c r="AB426" s="50"/>
      <c r="AC426" s="50"/>
      <c r="AN426" s="50"/>
      <c r="AO426" s="50"/>
      <c r="AP426" s="50"/>
    </row>
    <row r="427" ht="15.75" customHeight="1">
      <c r="A427" s="49"/>
      <c r="H427" s="22"/>
      <c r="AB427" s="50"/>
      <c r="AC427" s="50"/>
      <c r="AN427" s="50"/>
      <c r="AO427" s="50"/>
      <c r="AP427" s="50"/>
    </row>
    <row r="428" ht="15.75" customHeight="1">
      <c r="A428" s="49"/>
      <c r="H428" s="22"/>
      <c r="AB428" s="50"/>
      <c r="AC428" s="50"/>
      <c r="AN428" s="50"/>
      <c r="AO428" s="50"/>
      <c r="AP428" s="50"/>
    </row>
    <row r="429" ht="15.75" customHeight="1">
      <c r="A429" s="49"/>
      <c r="H429" s="22"/>
      <c r="AB429" s="50"/>
      <c r="AC429" s="50"/>
      <c r="AN429" s="50"/>
      <c r="AO429" s="50"/>
      <c r="AP429" s="50"/>
    </row>
    <row r="430" ht="15.75" customHeight="1">
      <c r="A430" s="49"/>
      <c r="H430" s="22"/>
      <c r="AB430" s="50"/>
      <c r="AC430" s="50"/>
      <c r="AN430" s="50"/>
      <c r="AO430" s="50"/>
      <c r="AP430" s="50"/>
    </row>
    <row r="431" ht="15.75" customHeight="1">
      <c r="A431" s="49"/>
      <c r="H431" s="22"/>
      <c r="AB431" s="50"/>
      <c r="AC431" s="50"/>
      <c r="AN431" s="50"/>
      <c r="AO431" s="50"/>
      <c r="AP431" s="50"/>
    </row>
    <row r="432" ht="15.75" customHeight="1">
      <c r="A432" s="49"/>
      <c r="H432" s="22"/>
      <c r="AB432" s="50"/>
      <c r="AC432" s="50"/>
      <c r="AN432" s="50"/>
      <c r="AO432" s="50"/>
      <c r="AP432" s="50"/>
    </row>
    <row r="433" ht="15.75" customHeight="1">
      <c r="A433" s="49"/>
      <c r="H433" s="22"/>
      <c r="AB433" s="50"/>
      <c r="AC433" s="50"/>
      <c r="AN433" s="50"/>
      <c r="AO433" s="50"/>
      <c r="AP433" s="50"/>
    </row>
    <row r="434" ht="15.75" customHeight="1">
      <c r="A434" s="49"/>
      <c r="H434" s="22"/>
      <c r="AB434" s="50"/>
      <c r="AC434" s="50"/>
      <c r="AN434" s="50"/>
      <c r="AO434" s="50"/>
      <c r="AP434" s="50"/>
    </row>
    <row r="435" ht="15.75" customHeight="1">
      <c r="A435" s="49"/>
      <c r="H435" s="22"/>
      <c r="AB435" s="50"/>
      <c r="AC435" s="50"/>
      <c r="AN435" s="50"/>
      <c r="AO435" s="50"/>
      <c r="AP435" s="50"/>
    </row>
    <row r="436" ht="15.75" customHeight="1">
      <c r="A436" s="49"/>
      <c r="H436" s="22"/>
      <c r="AB436" s="50"/>
      <c r="AC436" s="50"/>
      <c r="AN436" s="50"/>
      <c r="AO436" s="50"/>
      <c r="AP436" s="50"/>
    </row>
    <row r="437" ht="15.75" customHeight="1">
      <c r="A437" s="49"/>
      <c r="H437" s="22"/>
      <c r="AB437" s="50"/>
      <c r="AC437" s="50"/>
      <c r="AN437" s="50"/>
      <c r="AO437" s="50"/>
      <c r="AP437" s="50"/>
    </row>
    <row r="438" ht="15.75" customHeight="1">
      <c r="A438" s="49"/>
      <c r="H438" s="22"/>
      <c r="AB438" s="50"/>
      <c r="AC438" s="50"/>
      <c r="AN438" s="50"/>
      <c r="AO438" s="50"/>
      <c r="AP438" s="50"/>
    </row>
    <row r="439" ht="15.75" customHeight="1">
      <c r="A439" s="49"/>
      <c r="H439" s="22"/>
      <c r="AB439" s="50"/>
      <c r="AC439" s="50"/>
      <c r="AN439" s="50"/>
      <c r="AO439" s="50"/>
      <c r="AP439" s="50"/>
    </row>
    <row r="440" ht="15.75" customHeight="1">
      <c r="A440" s="49"/>
      <c r="H440" s="22"/>
      <c r="AB440" s="50"/>
      <c r="AC440" s="50"/>
      <c r="AN440" s="50"/>
      <c r="AO440" s="50"/>
      <c r="AP440" s="50"/>
    </row>
    <row r="441" ht="15.75" customHeight="1">
      <c r="A441" s="49"/>
      <c r="H441" s="22"/>
      <c r="AB441" s="50"/>
      <c r="AC441" s="50"/>
      <c r="AN441" s="50"/>
      <c r="AO441" s="50"/>
      <c r="AP441" s="50"/>
    </row>
    <row r="442" ht="15.75" customHeight="1">
      <c r="A442" s="49"/>
      <c r="H442" s="22"/>
      <c r="AB442" s="50"/>
      <c r="AC442" s="50"/>
      <c r="AN442" s="50"/>
      <c r="AO442" s="50"/>
      <c r="AP442" s="50"/>
    </row>
    <row r="443" ht="15.75" customHeight="1">
      <c r="A443" s="49"/>
      <c r="H443" s="22"/>
      <c r="AB443" s="50"/>
      <c r="AC443" s="50"/>
      <c r="AN443" s="50"/>
      <c r="AO443" s="50"/>
      <c r="AP443" s="50"/>
    </row>
    <row r="444" ht="15.75" customHeight="1">
      <c r="A444" s="49"/>
      <c r="H444" s="22"/>
      <c r="AB444" s="50"/>
      <c r="AC444" s="50"/>
      <c r="AN444" s="50"/>
      <c r="AO444" s="50"/>
      <c r="AP444" s="50"/>
    </row>
    <row r="445" ht="15.75" customHeight="1">
      <c r="A445" s="49"/>
      <c r="H445" s="22"/>
      <c r="AB445" s="50"/>
      <c r="AC445" s="50"/>
      <c r="AN445" s="50"/>
      <c r="AO445" s="50"/>
      <c r="AP445" s="50"/>
    </row>
    <row r="446" ht="15.75" customHeight="1">
      <c r="A446" s="49"/>
      <c r="H446" s="22"/>
      <c r="AB446" s="50"/>
      <c r="AC446" s="50"/>
      <c r="AN446" s="50"/>
      <c r="AO446" s="50"/>
      <c r="AP446" s="50"/>
    </row>
    <row r="447" ht="15.75" customHeight="1">
      <c r="A447" s="49"/>
      <c r="H447" s="22"/>
      <c r="AB447" s="50"/>
      <c r="AC447" s="50"/>
      <c r="AN447" s="50"/>
      <c r="AO447" s="50"/>
      <c r="AP447" s="50"/>
    </row>
    <row r="448" ht="15.75" customHeight="1">
      <c r="A448" s="49"/>
      <c r="H448" s="22"/>
      <c r="AB448" s="50"/>
      <c r="AC448" s="50"/>
      <c r="AN448" s="50"/>
      <c r="AO448" s="50"/>
      <c r="AP448" s="50"/>
    </row>
    <row r="449" ht="15.75" customHeight="1">
      <c r="A449" s="49"/>
      <c r="H449" s="22"/>
      <c r="AB449" s="50"/>
      <c r="AC449" s="50"/>
      <c r="AN449" s="50"/>
      <c r="AO449" s="50"/>
      <c r="AP449" s="50"/>
    </row>
    <row r="450" ht="15.75" customHeight="1">
      <c r="A450" s="49"/>
      <c r="H450" s="22"/>
      <c r="AB450" s="50"/>
      <c r="AC450" s="50"/>
      <c r="AN450" s="50"/>
      <c r="AO450" s="50"/>
      <c r="AP450" s="50"/>
    </row>
    <row r="451" ht="15.75" customHeight="1">
      <c r="A451" s="49"/>
      <c r="H451" s="22"/>
      <c r="AB451" s="50"/>
      <c r="AC451" s="50"/>
      <c r="AN451" s="50"/>
      <c r="AO451" s="50"/>
      <c r="AP451" s="50"/>
    </row>
    <row r="452" ht="15.75" customHeight="1">
      <c r="A452" s="49"/>
      <c r="H452" s="22"/>
      <c r="AB452" s="50"/>
      <c r="AC452" s="50"/>
      <c r="AN452" s="50"/>
      <c r="AO452" s="50"/>
      <c r="AP452" s="50"/>
    </row>
    <row r="453" ht="15.75" customHeight="1">
      <c r="A453" s="49"/>
      <c r="H453" s="22"/>
      <c r="AB453" s="50"/>
      <c r="AC453" s="50"/>
      <c r="AN453" s="50"/>
      <c r="AO453" s="50"/>
      <c r="AP453" s="50"/>
    </row>
    <row r="454" ht="15.75" customHeight="1">
      <c r="A454" s="49"/>
      <c r="H454" s="22"/>
      <c r="AB454" s="50"/>
      <c r="AC454" s="50"/>
      <c r="AN454" s="50"/>
      <c r="AO454" s="50"/>
      <c r="AP454" s="50"/>
    </row>
    <row r="455" ht="15.75" customHeight="1">
      <c r="A455" s="49"/>
      <c r="H455" s="22"/>
      <c r="AB455" s="50"/>
      <c r="AC455" s="50"/>
      <c r="AN455" s="50"/>
      <c r="AO455" s="50"/>
      <c r="AP455" s="50"/>
    </row>
    <row r="456" ht="15.75" customHeight="1">
      <c r="A456" s="49"/>
      <c r="H456" s="22"/>
      <c r="AB456" s="50"/>
      <c r="AC456" s="50"/>
      <c r="AN456" s="50"/>
      <c r="AO456" s="50"/>
      <c r="AP456" s="50"/>
    </row>
    <row r="457" ht="15.75" customHeight="1">
      <c r="A457" s="49"/>
      <c r="H457" s="22"/>
      <c r="AB457" s="50"/>
      <c r="AC457" s="50"/>
      <c r="AN457" s="50"/>
      <c r="AO457" s="50"/>
      <c r="AP457" s="50"/>
    </row>
    <row r="458" ht="15.75" customHeight="1">
      <c r="A458" s="49"/>
      <c r="H458" s="22"/>
      <c r="AB458" s="50"/>
      <c r="AC458" s="50"/>
      <c r="AN458" s="50"/>
      <c r="AO458" s="50"/>
      <c r="AP458" s="50"/>
    </row>
    <row r="459" ht="15.75" customHeight="1">
      <c r="A459" s="49"/>
      <c r="H459" s="22"/>
      <c r="AB459" s="50"/>
      <c r="AC459" s="50"/>
      <c r="AN459" s="50"/>
      <c r="AO459" s="50"/>
      <c r="AP459" s="50"/>
    </row>
    <row r="460" ht="15.75" customHeight="1">
      <c r="A460" s="49"/>
      <c r="H460" s="22"/>
      <c r="AB460" s="50"/>
      <c r="AC460" s="50"/>
      <c r="AN460" s="50"/>
      <c r="AO460" s="50"/>
      <c r="AP460" s="50"/>
    </row>
    <row r="461" ht="15.75" customHeight="1">
      <c r="A461" s="49"/>
      <c r="H461" s="22"/>
      <c r="AB461" s="50"/>
      <c r="AC461" s="50"/>
      <c r="AN461" s="50"/>
      <c r="AO461" s="50"/>
      <c r="AP461" s="50"/>
    </row>
    <row r="462" ht="15.75" customHeight="1">
      <c r="A462" s="49"/>
      <c r="H462" s="22"/>
      <c r="AB462" s="50"/>
      <c r="AC462" s="50"/>
      <c r="AN462" s="50"/>
      <c r="AO462" s="50"/>
      <c r="AP462" s="50"/>
    </row>
    <row r="463" ht="15.75" customHeight="1">
      <c r="A463" s="49"/>
      <c r="H463" s="22"/>
      <c r="AB463" s="50"/>
      <c r="AC463" s="50"/>
      <c r="AN463" s="50"/>
      <c r="AO463" s="50"/>
      <c r="AP463" s="50"/>
    </row>
    <row r="464" ht="15.75" customHeight="1">
      <c r="A464" s="49"/>
      <c r="H464" s="22"/>
      <c r="AB464" s="50"/>
      <c r="AC464" s="50"/>
      <c r="AN464" s="50"/>
      <c r="AO464" s="50"/>
      <c r="AP464" s="50"/>
    </row>
    <row r="465" ht="15.75" customHeight="1">
      <c r="A465" s="49"/>
      <c r="H465" s="22"/>
      <c r="AB465" s="50"/>
      <c r="AC465" s="50"/>
      <c r="AN465" s="50"/>
      <c r="AO465" s="50"/>
      <c r="AP465" s="50"/>
    </row>
    <row r="466" ht="15.75" customHeight="1">
      <c r="A466" s="49"/>
      <c r="H466" s="22"/>
      <c r="AB466" s="50"/>
      <c r="AC466" s="50"/>
      <c r="AN466" s="50"/>
      <c r="AO466" s="50"/>
      <c r="AP466" s="50"/>
    </row>
    <row r="467" ht="15.75" customHeight="1">
      <c r="A467" s="49"/>
      <c r="H467" s="22"/>
      <c r="AB467" s="50"/>
      <c r="AC467" s="50"/>
      <c r="AN467" s="50"/>
      <c r="AO467" s="50"/>
      <c r="AP467" s="50"/>
    </row>
    <row r="468" ht="15.75" customHeight="1">
      <c r="A468" s="49"/>
      <c r="H468" s="22"/>
      <c r="AB468" s="50"/>
      <c r="AC468" s="50"/>
      <c r="AN468" s="50"/>
      <c r="AO468" s="50"/>
      <c r="AP468" s="50"/>
    </row>
    <row r="469" ht="15.75" customHeight="1">
      <c r="A469" s="49"/>
      <c r="H469" s="22"/>
      <c r="AB469" s="50"/>
      <c r="AC469" s="50"/>
      <c r="AN469" s="50"/>
      <c r="AO469" s="50"/>
      <c r="AP469" s="50"/>
    </row>
    <row r="470" ht="15.75" customHeight="1">
      <c r="A470" s="49"/>
      <c r="H470" s="22"/>
      <c r="AB470" s="50"/>
      <c r="AC470" s="50"/>
      <c r="AN470" s="50"/>
      <c r="AO470" s="50"/>
      <c r="AP470" s="50"/>
    </row>
    <row r="471" ht="15.75" customHeight="1">
      <c r="A471" s="49"/>
      <c r="H471" s="22"/>
      <c r="AB471" s="50"/>
      <c r="AC471" s="50"/>
      <c r="AN471" s="50"/>
      <c r="AO471" s="50"/>
      <c r="AP471" s="50"/>
    </row>
    <row r="472" ht="15.75" customHeight="1">
      <c r="A472" s="49"/>
      <c r="H472" s="22"/>
      <c r="AB472" s="50"/>
      <c r="AC472" s="50"/>
      <c r="AN472" s="50"/>
      <c r="AO472" s="50"/>
      <c r="AP472" s="50"/>
    </row>
    <row r="473" ht="15.75" customHeight="1">
      <c r="A473" s="49"/>
      <c r="H473" s="22"/>
      <c r="AB473" s="50"/>
      <c r="AC473" s="50"/>
      <c r="AN473" s="50"/>
      <c r="AO473" s="50"/>
      <c r="AP473" s="50"/>
    </row>
    <row r="474" ht="15.75" customHeight="1">
      <c r="A474" s="49"/>
      <c r="H474" s="22"/>
      <c r="AB474" s="50"/>
      <c r="AC474" s="50"/>
      <c r="AN474" s="50"/>
      <c r="AO474" s="50"/>
      <c r="AP474" s="50"/>
    </row>
    <row r="475" ht="15.75" customHeight="1">
      <c r="A475" s="49"/>
      <c r="H475" s="22"/>
      <c r="AB475" s="50"/>
      <c r="AC475" s="50"/>
      <c r="AN475" s="50"/>
      <c r="AO475" s="50"/>
      <c r="AP475" s="50"/>
    </row>
    <row r="476" ht="15.75" customHeight="1">
      <c r="A476" s="49"/>
      <c r="H476" s="22"/>
      <c r="AB476" s="50"/>
      <c r="AC476" s="50"/>
      <c r="AN476" s="50"/>
      <c r="AO476" s="50"/>
      <c r="AP476" s="50"/>
    </row>
    <row r="477" ht="15.75" customHeight="1">
      <c r="A477" s="49"/>
      <c r="H477" s="22"/>
      <c r="AB477" s="50"/>
      <c r="AC477" s="50"/>
      <c r="AN477" s="50"/>
      <c r="AO477" s="50"/>
      <c r="AP477" s="50"/>
    </row>
    <row r="478" ht="15.75" customHeight="1">
      <c r="A478" s="49"/>
      <c r="H478" s="22"/>
      <c r="AB478" s="50"/>
      <c r="AC478" s="50"/>
      <c r="AN478" s="50"/>
      <c r="AO478" s="50"/>
      <c r="AP478" s="50"/>
    </row>
    <row r="479" ht="15.75" customHeight="1">
      <c r="A479" s="49"/>
      <c r="H479" s="22"/>
      <c r="AB479" s="50"/>
      <c r="AC479" s="50"/>
      <c r="AN479" s="50"/>
      <c r="AO479" s="50"/>
      <c r="AP479" s="50"/>
    </row>
    <row r="480" ht="15.75" customHeight="1">
      <c r="A480" s="49"/>
      <c r="H480" s="22"/>
      <c r="AB480" s="50"/>
      <c r="AC480" s="50"/>
      <c r="AN480" s="50"/>
      <c r="AO480" s="50"/>
      <c r="AP480" s="50"/>
    </row>
    <row r="481" ht="15.75" customHeight="1">
      <c r="A481" s="49"/>
      <c r="H481" s="22"/>
      <c r="AB481" s="50"/>
      <c r="AC481" s="50"/>
      <c r="AN481" s="50"/>
      <c r="AO481" s="50"/>
      <c r="AP481" s="50"/>
    </row>
    <row r="482" ht="15.75" customHeight="1">
      <c r="A482" s="49"/>
      <c r="H482" s="22"/>
      <c r="AB482" s="50"/>
      <c r="AC482" s="50"/>
      <c r="AN482" s="50"/>
      <c r="AO482" s="50"/>
      <c r="AP482" s="50"/>
    </row>
    <row r="483" ht="15.75" customHeight="1">
      <c r="A483" s="49"/>
      <c r="H483" s="22"/>
      <c r="AB483" s="50"/>
      <c r="AC483" s="50"/>
      <c r="AN483" s="50"/>
      <c r="AO483" s="50"/>
      <c r="AP483" s="50"/>
    </row>
    <row r="484" ht="15.75" customHeight="1">
      <c r="A484" s="49"/>
      <c r="H484" s="22"/>
      <c r="AB484" s="50"/>
      <c r="AC484" s="50"/>
      <c r="AN484" s="50"/>
      <c r="AO484" s="50"/>
      <c r="AP484" s="50"/>
    </row>
    <row r="485" ht="15.75" customHeight="1">
      <c r="A485" s="49"/>
      <c r="H485" s="22"/>
      <c r="AB485" s="50"/>
      <c r="AC485" s="50"/>
      <c r="AN485" s="50"/>
      <c r="AO485" s="50"/>
      <c r="AP485" s="50"/>
    </row>
    <row r="486" ht="15.75" customHeight="1">
      <c r="A486" s="49"/>
      <c r="H486" s="22"/>
      <c r="AB486" s="50"/>
      <c r="AC486" s="50"/>
      <c r="AN486" s="50"/>
      <c r="AO486" s="50"/>
      <c r="AP486" s="50"/>
    </row>
    <row r="487" ht="15.75" customHeight="1">
      <c r="A487" s="49"/>
      <c r="H487" s="22"/>
      <c r="AB487" s="50"/>
      <c r="AC487" s="50"/>
      <c r="AN487" s="50"/>
      <c r="AO487" s="50"/>
      <c r="AP487" s="50"/>
    </row>
    <row r="488" ht="15.75" customHeight="1">
      <c r="A488" s="49"/>
      <c r="H488" s="22"/>
      <c r="AB488" s="50"/>
      <c r="AC488" s="50"/>
      <c r="AN488" s="50"/>
      <c r="AO488" s="50"/>
      <c r="AP488" s="50"/>
    </row>
    <row r="489" ht="15.75" customHeight="1">
      <c r="A489" s="49"/>
      <c r="H489" s="22"/>
      <c r="AB489" s="50"/>
      <c r="AC489" s="50"/>
      <c r="AN489" s="50"/>
      <c r="AO489" s="50"/>
      <c r="AP489" s="50"/>
    </row>
    <row r="490" ht="15.75" customHeight="1">
      <c r="A490" s="49"/>
      <c r="H490" s="22"/>
      <c r="AB490" s="50"/>
      <c r="AC490" s="50"/>
      <c r="AN490" s="50"/>
      <c r="AO490" s="50"/>
      <c r="AP490" s="50"/>
    </row>
    <row r="491" ht="15.75" customHeight="1">
      <c r="A491" s="49"/>
      <c r="H491" s="22"/>
      <c r="AB491" s="50"/>
      <c r="AC491" s="50"/>
      <c r="AN491" s="50"/>
      <c r="AO491" s="50"/>
      <c r="AP491" s="50"/>
    </row>
    <row r="492" ht="15.75" customHeight="1">
      <c r="A492" s="49"/>
      <c r="H492" s="22"/>
      <c r="AB492" s="50"/>
      <c r="AC492" s="50"/>
      <c r="AN492" s="50"/>
      <c r="AO492" s="50"/>
      <c r="AP492" s="50"/>
    </row>
    <row r="493" ht="15.75" customHeight="1">
      <c r="A493" s="49"/>
      <c r="H493" s="22"/>
      <c r="AB493" s="50"/>
      <c r="AC493" s="50"/>
      <c r="AN493" s="50"/>
      <c r="AO493" s="50"/>
      <c r="AP493" s="50"/>
    </row>
    <row r="494" ht="15.75" customHeight="1">
      <c r="A494" s="49"/>
      <c r="H494" s="22"/>
      <c r="AB494" s="50"/>
      <c r="AC494" s="50"/>
      <c r="AN494" s="50"/>
      <c r="AO494" s="50"/>
      <c r="AP494" s="50"/>
    </row>
    <row r="495" ht="15.75" customHeight="1">
      <c r="A495" s="49"/>
      <c r="H495" s="22"/>
      <c r="AB495" s="50"/>
      <c r="AC495" s="50"/>
      <c r="AN495" s="50"/>
      <c r="AO495" s="50"/>
      <c r="AP495" s="50"/>
    </row>
    <row r="496" ht="15.75" customHeight="1">
      <c r="A496" s="49"/>
      <c r="H496" s="22"/>
      <c r="AB496" s="50"/>
      <c r="AC496" s="50"/>
      <c r="AN496" s="50"/>
      <c r="AO496" s="50"/>
      <c r="AP496" s="50"/>
    </row>
    <row r="497" ht="15.75" customHeight="1">
      <c r="A497" s="49"/>
      <c r="H497" s="22"/>
      <c r="AB497" s="50"/>
      <c r="AC497" s="50"/>
      <c r="AN497" s="50"/>
      <c r="AO497" s="50"/>
      <c r="AP497" s="50"/>
    </row>
    <row r="498" ht="15.75" customHeight="1">
      <c r="A498" s="49"/>
      <c r="H498" s="22"/>
      <c r="AB498" s="50"/>
      <c r="AC498" s="50"/>
      <c r="AN498" s="50"/>
      <c r="AO498" s="50"/>
      <c r="AP498" s="50"/>
    </row>
    <row r="499" ht="15.75" customHeight="1">
      <c r="A499" s="49"/>
      <c r="H499" s="22"/>
      <c r="AB499" s="50"/>
      <c r="AC499" s="50"/>
      <c r="AN499" s="50"/>
      <c r="AO499" s="50"/>
      <c r="AP499" s="50"/>
    </row>
    <row r="500" ht="15.75" customHeight="1">
      <c r="A500" s="49"/>
      <c r="H500" s="22"/>
      <c r="AB500" s="50"/>
      <c r="AC500" s="50"/>
      <c r="AN500" s="50"/>
      <c r="AO500" s="50"/>
      <c r="AP500" s="50"/>
    </row>
    <row r="501" ht="15.75" customHeight="1">
      <c r="A501" s="49"/>
      <c r="H501" s="22"/>
      <c r="AB501" s="50"/>
      <c r="AC501" s="50"/>
      <c r="AN501" s="50"/>
      <c r="AO501" s="50"/>
      <c r="AP501" s="50"/>
    </row>
    <row r="502" ht="15.75" customHeight="1">
      <c r="A502" s="49"/>
      <c r="H502" s="22"/>
      <c r="AB502" s="50"/>
      <c r="AC502" s="50"/>
      <c r="AN502" s="50"/>
      <c r="AO502" s="50"/>
      <c r="AP502" s="50"/>
    </row>
    <row r="503" ht="15.75" customHeight="1">
      <c r="A503" s="49"/>
      <c r="H503" s="22"/>
      <c r="AB503" s="50"/>
      <c r="AC503" s="50"/>
      <c r="AN503" s="50"/>
      <c r="AO503" s="50"/>
      <c r="AP503" s="50"/>
    </row>
    <row r="504" ht="15.75" customHeight="1">
      <c r="A504" s="49"/>
      <c r="H504" s="22"/>
      <c r="AB504" s="50"/>
      <c r="AC504" s="50"/>
      <c r="AN504" s="50"/>
      <c r="AO504" s="50"/>
      <c r="AP504" s="50"/>
    </row>
    <row r="505" ht="15.75" customHeight="1">
      <c r="A505" s="49"/>
      <c r="H505" s="22"/>
      <c r="AB505" s="50"/>
      <c r="AC505" s="50"/>
      <c r="AN505" s="50"/>
      <c r="AO505" s="50"/>
      <c r="AP505" s="50"/>
    </row>
    <row r="506" ht="15.75" customHeight="1">
      <c r="A506" s="49"/>
      <c r="H506" s="22"/>
      <c r="AB506" s="50"/>
      <c r="AC506" s="50"/>
      <c r="AN506" s="50"/>
      <c r="AO506" s="50"/>
      <c r="AP506" s="50"/>
    </row>
    <row r="507" ht="15.75" customHeight="1">
      <c r="A507" s="49"/>
      <c r="H507" s="22"/>
      <c r="AB507" s="50"/>
      <c r="AC507" s="50"/>
      <c r="AN507" s="50"/>
      <c r="AO507" s="50"/>
      <c r="AP507" s="50"/>
    </row>
    <row r="508" ht="15.75" customHeight="1">
      <c r="A508" s="49"/>
      <c r="H508" s="22"/>
      <c r="AB508" s="50"/>
      <c r="AC508" s="50"/>
      <c r="AN508" s="50"/>
      <c r="AO508" s="50"/>
      <c r="AP508" s="50"/>
    </row>
    <row r="509" ht="15.75" customHeight="1">
      <c r="A509" s="49"/>
      <c r="H509" s="22"/>
      <c r="AB509" s="50"/>
      <c r="AC509" s="50"/>
      <c r="AN509" s="50"/>
      <c r="AO509" s="50"/>
      <c r="AP509" s="50"/>
    </row>
    <row r="510" ht="15.75" customHeight="1">
      <c r="A510" s="49"/>
      <c r="H510" s="22"/>
      <c r="AB510" s="50"/>
      <c r="AC510" s="50"/>
      <c r="AN510" s="50"/>
      <c r="AO510" s="50"/>
      <c r="AP510" s="50"/>
    </row>
    <row r="511" ht="15.75" customHeight="1">
      <c r="A511" s="49"/>
      <c r="H511" s="22"/>
      <c r="AB511" s="50"/>
      <c r="AC511" s="50"/>
      <c r="AN511" s="50"/>
      <c r="AO511" s="50"/>
      <c r="AP511" s="50"/>
    </row>
    <row r="512" ht="15.75" customHeight="1">
      <c r="A512" s="49"/>
      <c r="H512" s="22"/>
      <c r="AB512" s="50"/>
      <c r="AC512" s="50"/>
      <c r="AN512" s="50"/>
      <c r="AO512" s="50"/>
      <c r="AP512" s="50"/>
    </row>
    <row r="513" ht="15.75" customHeight="1">
      <c r="A513" s="49"/>
      <c r="H513" s="22"/>
      <c r="AB513" s="50"/>
      <c r="AC513" s="50"/>
      <c r="AN513" s="50"/>
      <c r="AO513" s="50"/>
      <c r="AP513" s="50"/>
    </row>
    <row r="514" ht="15.75" customHeight="1">
      <c r="A514" s="49"/>
      <c r="H514" s="22"/>
      <c r="AB514" s="50"/>
      <c r="AC514" s="50"/>
      <c r="AN514" s="50"/>
      <c r="AO514" s="50"/>
      <c r="AP514" s="50"/>
    </row>
    <row r="515" ht="15.75" customHeight="1">
      <c r="A515" s="49"/>
      <c r="H515" s="22"/>
      <c r="AB515" s="50"/>
      <c r="AC515" s="50"/>
      <c r="AN515" s="50"/>
      <c r="AO515" s="50"/>
      <c r="AP515" s="50"/>
    </row>
    <row r="516" ht="15.75" customHeight="1">
      <c r="A516" s="49"/>
      <c r="H516" s="22"/>
      <c r="AB516" s="50"/>
      <c r="AC516" s="50"/>
      <c r="AN516" s="50"/>
      <c r="AO516" s="50"/>
      <c r="AP516" s="50"/>
    </row>
    <row r="517" ht="15.75" customHeight="1">
      <c r="A517" s="49"/>
      <c r="H517" s="22"/>
      <c r="AB517" s="50"/>
      <c r="AC517" s="50"/>
      <c r="AN517" s="50"/>
      <c r="AO517" s="50"/>
      <c r="AP517" s="50"/>
    </row>
    <row r="518" ht="15.75" customHeight="1">
      <c r="A518" s="49"/>
      <c r="H518" s="22"/>
      <c r="AB518" s="50"/>
      <c r="AC518" s="50"/>
      <c r="AN518" s="50"/>
      <c r="AO518" s="50"/>
      <c r="AP518" s="50"/>
    </row>
    <row r="519" ht="15.75" customHeight="1">
      <c r="A519" s="49"/>
      <c r="H519" s="22"/>
      <c r="AB519" s="50"/>
      <c r="AC519" s="50"/>
      <c r="AN519" s="50"/>
      <c r="AO519" s="50"/>
      <c r="AP519" s="50"/>
    </row>
    <row r="520" ht="15.75" customHeight="1">
      <c r="A520" s="49"/>
      <c r="H520" s="22"/>
      <c r="AB520" s="50"/>
      <c r="AC520" s="50"/>
      <c r="AN520" s="50"/>
      <c r="AO520" s="50"/>
      <c r="AP520" s="50"/>
    </row>
    <row r="521" ht="15.75" customHeight="1">
      <c r="A521" s="49"/>
      <c r="H521" s="22"/>
      <c r="AB521" s="50"/>
      <c r="AC521" s="50"/>
      <c r="AN521" s="50"/>
      <c r="AO521" s="50"/>
      <c r="AP521" s="50"/>
    </row>
    <row r="522" ht="15.75" customHeight="1">
      <c r="A522" s="49"/>
      <c r="H522" s="22"/>
      <c r="AB522" s="50"/>
      <c r="AC522" s="50"/>
      <c r="AN522" s="50"/>
      <c r="AO522" s="50"/>
      <c r="AP522" s="50"/>
    </row>
    <row r="523" ht="15.75" customHeight="1">
      <c r="A523" s="49"/>
      <c r="H523" s="22"/>
      <c r="AB523" s="50"/>
      <c r="AC523" s="50"/>
      <c r="AN523" s="50"/>
      <c r="AO523" s="50"/>
      <c r="AP523" s="50"/>
    </row>
    <row r="524" ht="15.75" customHeight="1">
      <c r="A524" s="49"/>
      <c r="H524" s="22"/>
      <c r="AB524" s="50"/>
      <c r="AC524" s="50"/>
      <c r="AN524" s="50"/>
      <c r="AO524" s="50"/>
      <c r="AP524" s="50"/>
    </row>
    <row r="525" ht="15.75" customHeight="1">
      <c r="A525" s="49"/>
      <c r="H525" s="22"/>
      <c r="AB525" s="50"/>
      <c r="AC525" s="50"/>
      <c r="AN525" s="50"/>
      <c r="AO525" s="50"/>
      <c r="AP525" s="50"/>
    </row>
    <row r="526" ht="15.75" customHeight="1">
      <c r="A526" s="49"/>
      <c r="H526" s="22"/>
      <c r="AB526" s="50"/>
      <c r="AC526" s="50"/>
      <c r="AN526" s="50"/>
      <c r="AO526" s="50"/>
      <c r="AP526" s="50"/>
    </row>
    <row r="527" ht="15.75" customHeight="1">
      <c r="A527" s="49"/>
      <c r="H527" s="22"/>
      <c r="AB527" s="50"/>
      <c r="AC527" s="50"/>
      <c r="AN527" s="50"/>
      <c r="AO527" s="50"/>
      <c r="AP527" s="50"/>
    </row>
    <row r="528" ht="15.75" customHeight="1">
      <c r="A528" s="49"/>
      <c r="H528" s="22"/>
      <c r="AB528" s="50"/>
      <c r="AC528" s="50"/>
      <c r="AN528" s="50"/>
      <c r="AO528" s="50"/>
      <c r="AP528" s="50"/>
    </row>
    <row r="529" ht="15.75" customHeight="1">
      <c r="A529" s="49"/>
      <c r="H529" s="22"/>
      <c r="AB529" s="50"/>
      <c r="AC529" s="50"/>
      <c r="AN529" s="50"/>
      <c r="AO529" s="50"/>
      <c r="AP529" s="50"/>
    </row>
    <row r="530" ht="15.75" customHeight="1">
      <c r="A530" s="49"/>
      <c r="H530" s="22"/>
      <c r="AB530" s="50"/>
      <c r="AC530" s="50"/>
      <c r="AN530" s="50"/>
      <c r="AO530" s="50"/>
      <c r="AP530" s="50"/>
    </row>
    <row r="531" ht="15.75" customHeight="1">
      <c r="A531" s="49"/>
      <c r="H531" s="22"/>
      <c r="AB531" s="50"/>
      <c r="AC531" s="50"/>
      <c r="AN531" s="50"/>
      <c r="AO531" s="50"/>
      <c r="AP531" s="50"/>
    </row>
    <row r="532" ht="15.75" customHeight="1">
      <c r="A532" s="49"/>
      <c r="H532" s="22"/>
      <c r="AB532" s="50"/>
      <c r="AC532" s="50"/>
      <c r="AN532" s="50"/>
      <c r="AO532" s="50"/>
      <c r="AP532" s="50"/>
    </row>
    <row r="533" ht="15.75" customHeight="1">
      <c r="A533" s="49"/>
      <c r="H533" s="22"/>
      <c r="AB533" s="50"/>
      <c r="AC533" s="50"/>
      <c r="AN533" s="50"/>
      <c r="AO533" s="50"/>
      <c r="AP533" s="50"/>
    </row>
    <row r="534" ht="15.75" customHeight="1">
      <c r="A534" s="49"/>
      <c r="H534" s="22"/>
      <c r="AB534" s="50"/>
      <c r="AC534" s="50"/>
      <c r="AN534" s="50"/>
      <c r="AO534" s="50"/>
      <c r="AP534" s="50"/>
    </row>
    <row r="535" ht="15.75" customHeight="1">
      <c r="A535" s="49"/>
      <c r="H535" s="22"/>
      <c r="AB535" s="50"/>
      <c r="AC535" s="50"/>
      <c r="AN535" s="50"/>
      <c r="AO535" s="50"/>
      <c r="AP535" s="50"/>
    </row>
    <row r="536" ht="15.75" customHeight="1">
      <c r="A536" s="49"/>
      <c r="H536" s="22"/>
      <c r="AB536" s="50"/>
      <c r="AC536" s="50"/>
      <c r="AN536" s="50"/>
      <c r="AO536" s="50"/>
      <c r="AP536" s="50"/>
    </row>
    <row r="537" ht="15.75" customHeight="1">
      <c r="A537" s="49"/>
      <c r="H537" s="22"/>
      <c r="AB537" s="50"/>
      <c r="AC537" s="50"/>
      <c r="AN537" s="50"/>
      <c r="AO537" s="50"/>
      <c r="AP537" s="50"/>
    </row>
    <row r="538" ht="15.75" customHeight="1">
      <c r="A538" s="49"/>
      <c r="H538" s="22"/>
      <c r="AB538" s="50"/>
      <c r="AC538" s="50"/>
      <c r="AN538" s="50"/>
      <c r="AO538" s="50"/>
      <c r="AP538" s="50"/>
    </row>
    <row r="539" ht="15.75" customHeight="1">
      <c r="A539" s="49"/>
      <c r="H539" s="22"/>
      <c r="AB539" s="50"/>
      <c r="AC539" s="50"/>
      <c r="AN539" s="50"/>
      <c r="AO539" s="50"/>
      <c r="AP539" s="50"/>
    </row>
    <row r="540" ht="15.75" customHeight="1">
      <c r="A540" s="49"/>
      <c r="H540" s="22"/>
      <c r="AB540" s="50"/>
      <c r="AC540" s="50"/>
      <c r="AN540" s="50"/>
      <c r="AO540" s="50"/>
      <c r="AP540" s="50"/>
    </row>
    <row r="541" ht="15.75" customHeight="1">
      <c r="A541" s="49"/>
      <c r="H541" s="22"/>
      <c r="AB541" s="50"/>
      <c r="AC541" s="50"/>
      <c r="AN541" s="50"/>
      <c r="AO541" s="50"/>
      <c r="AP541" s="50"/>
    </row>
    <row r="542" ht="15.75" customHeight="1">
      <c r="A542" s="49"/>
      <c r="H542" s="22"/>
      <c r="AB542" s="50"/>
      <c r="AC542" s="50"/>
      <c r="AN542" s="50"/>
      <c r="AO542" s="50"/>
      <c r="AP542" s="50"/>
    </row>
    <row r="543" ht="15.75" customHeight="1">
      <c r="A543" s="49"/>
      <c r="H543" s="22"/>
      <c r="AB543" s="50"/>
      <c r="AC543" s="50"/>
      <c r="AN543" s="50"/>
      <c r="AO543" s="50"/>
      <c r="AP543" s="50"/>
    </row>
    <row r="544" ht="15.75" customHeight="1">
      <c r="A544" s="49"/>
      <c r="H544" s="22"/>
      <c r="AB544" s="50"/>
      <c r="AC544" s="50"/>
      <c r="AN544" s="50"/>
      <c r="AO544" s="50"/>
      <c r="AP544" s="50"/>
    </row>
    <row r="545" ht="15.75" customHeight="1">
      <c r="A545" s="49"/>
      <c r="H545" s="22"/>
      <c r="AB545" s="50"/>
      <c r="AC545" s="50"/>
      <c r="AN545" s="50"/>
      <c r="AO545" s="50"/>
      <c r="AP545" s="50"/>
    </row>
    <row r="546" ht="15.75" customHeight="1">
      <c r="A546" s="49"/>
      <c r="H546" s="22"/>
      <c r="AB546" s="50"/>
      <c r="AC546" s="50"/>
      <c r="AN546" s="50"/>
      <c r="AO546" s="50"/>
      <c r="AP546" s="50"/>
    </row>
    <row r="547" ht="15.75" customHeight="1">
      <c r="A547" s="49"/>
      <c r="H547" s="22"/>
      <c r="AB547" s="50"/>
      <c r="AC547" s="50"/>
      <c r="AN547" s="50"/>
      <c r="AO547" s="50"/>
      <c r="AP547" s="50"/>
    </row>
    <row r="548" ht="15.75" customHeight="1">
      <c r="A548" s="49"/>
      <c r="H548" s="22"/>
      <c r="AB548" s="50"/>
      <c r="AC548" s="50"/>
      <c r="AN548" s="50"/>
      <c r="AO548" s="50"/>
      <c r="AP548" s="50"/>
    </row>
    <row r="549" ht="15.75" customHeight="1">
      <c r="A549" s="49"/>
      <c r="H549" s="22"/>
      <c r="AB549" s="50"/>
      <c r="AC549" s="50"/>
      <c r="AN549" s="50"/>
      <c r="AO549" s="50"/>
      <c r="AP549" s="50"/>
    </row>
    <row r="550" ht="15.75" customHeight="1">
      <c r="A550" s="49"/>
      <c r="H550" s="22"/>
      <c r="AB550" s="50"/>
      <c r="AC550" s="50"/>
      <c r="AN550" s="50"/>
      <c r="AO550" s="50"/>
      <c r="AP550" s="50"/>
    </row>
    <row r="551" ht="15.75" customHeight="1">
      <c r="A551" s="49"/>
      <c r="H551" s="22"/>
      <c r="AB551" s="50"/>
      <c r="AC551" s="50"/>
      <c r="AN551" s="50"/>
      <c r="AO551" s="50"/>
      <c r="AP551" s="50"/>
    </row>
    <row r="552" ht="15.75" customHeight="1">
      <c r="A552" s="49"/>
      <c r="H552" s="22"/>
      <c r="AB552" s="50"/>
      <c r="AC552" s="50"/>
      <c r="AN552" s="50"/>
      <c r="AO552" s="50"/>
      <c r="AP552" s="50"/>
    </row>
    <row r="553" ht="15.75" customHeight="1">
      <c r="A553" s="49"/>
      <c r="H553" s="22"/>
      <c r="AB553" s="50"/>
      <c r="AC553" s="50"/>
      <c r="AN553" s="50"/>
      <c r="AO553" s="50"/>
      <c r="AP553" s="50"/>
    </row>
    <row r="554" ht="15.75" customHeight="1">
      <c r="A554" s="49"/>
      <c r="H554" s="22"/>
      <c r="AB554" s="50"/>
      <c r="AC554" s="50"/>
      <c r="AN554" s="50"/>
      <c r="AO554" s="50"/>
      <c r="AP554" s="50"/>
    </row>
    <row r="555" ht="15.75" customHeight="1">
      <c r="A555" s="49"/>
      <c r="H555" s="22"/>
      <c r="AB555" s="50"/>
      <c r="AC555" s="50"/>
      <c r="AN555" s="50"/>
      <c r="AO555" s="50"/>
      <c r="AP555" s="50"/>
    </row>
    <row r="556" ht="15.75" customHeight="1">
      <c r="A556" s="49"/>
      <c r="H556" s="22"/>
      <c r="AB556" s="50"/>
      <c r="AC556" s="50"/>
      <c r="AN556" s="50"/>
      <c r="AO556" s="50"/>
      <c r="AP556" s="50"/>
    </row>
    <row r="557" ht="15.75" customHeight="1">
      <c r="A557" s="49"/>
      <c r="H557" s="22"/>
      <c r="AB557" s="50"/>
      <c r="AC557" s="50"/>
      <c r="AN557" s="50"/>
      <c r="AO557" s="50"/>
      <c r="AP557" s="50"/>
    </row>
    <row r="558" ht="15.75" customHeight="1">
      <c r="A558" s="49"/>
      <c r="H558" s="22"/>
      <c r="AB558" s="50"/>
      <c r="AC558" s="50"/>
      <c r="AN558" s="50"/>
      <c r="AO558" s="50"/>
      <c r="AP558" s="50"/>
    </row>
    <row r="559" ht="15.75" customHeight="1">
      <c r="A559" s="49"/>
      <c r="H559" s="22"/>
      <c r="AB559" s="50"/>
      <c r="AC559" s="50"/>
      <c r="AN559" s="50"/>
      <c r="AO559" s="50"/>
      <c r="AP559" s="50"/>
    </row>
    <row r="560" ht="15.75" customHeight="1">
      <c r="A560" s="49"/>
      <c r="H560" s="22"/>
      <c r="AB560" s="50"/>
      <c r="AC560" s="50"/>
      <c r="AN560" s="50"/>
      <c r="AO560" s="50"/>
      <c r="AP560" s="50"/>
    </row>
    <row r="561" ht="15.75" customHeight="1">
      <c r="A561" s="49"/>
      <c r="H561" s="22"/>
      <c r="AB561" s="50"/>
      <c r="AC561" s="50"/>
      <c r="AN561" s="50"/>
      <c r="AO561" s="50"/>
      <c r="AP561" s="50"/>
    </row>
    <row r="562" ht="15.75" customHeight="1">
      <c r="A562" s="49"/>
      <c r="H562" s="22"/>
      <c r="AB562" s="50"/>
      <c r="AC562" s="50"/>
      <c r="AN562" s="50"/>
      <c r="AO562" s="50"/>
      <c r="AP562" s="50"/>
    </row>
    <row r="563" ht="15.75" customHeight="1">
      <c r="A563" s="49"/>
      <c r="H563" s="22"/>
      <c r="AB563" s="50"/>
      <c r="AC563" s="50"/>
      <c r="AN563" s="50"/>
      <c r="AO563" s="50"/>
      <c r="AP563" s="50"/>
    </row>
    <row r="564" ht="15.75" customHeight="1">
      <c r="A564" s="49"/>
      <c r="H564" s="22"/>
      <c r="AB564" s="50"/>
      <c r="AC564" s="50"/>
      <c r="AN564" s="50"/>
      <c r="AO564" s="50"/>
      <c r="AP564" s="50"/>
    </row>
    <row r="565" ht="15.75" customHeight="1">
      <c r="A565" s="49"/>
      <c r="H565" s="22"/>
      <c r="AB565" s="50"/>
      <c r="AC565" s="50"/>
      <c r="AN565" s="50"/>
      <c r="AO565" s="50"/>
      <c r="AP565" s="50"/>
    </row>
    <row r="566" ht="15.75" customHeight="1">
      <c r="A566" s="49"/>
      <c r="H566" s="22"/>
      <c r="AB566" s="50"/>
      <c r="AC566" s="50"/>
      <c r="AN566" s="50"/>
      <c r="AO566" s="50"/>
      <c r="AP566" s="50"/>
    </row>
    <row r="567" ht="15.75" customHeight="1">
      <c r="A567" s="49"/>
      <c r="H567" s="22"/>
      <c r="AB567" s="50"/>
      <c r="AC567" s="50"/>
      <c r="AN567" s="50"/>
      <c r="AO567" s="50"/>
      <c r="AP567" s="50"/>
    </row>
    <row r="568" ht="15.75" customHeight="1">
      <c r="A568" s="49"/>
      <c r="H568" s="22"/>
      <c r="AB568" s="50"/>
      <c r="AC568" s="50"/>
      <c r="AN568" s="50"/>
      <c r="AO568" s="50"/>
      <c r="AP568" s="50"/>
    </row>
    <row r="569" ht="15.75" customHeight="1">
      <c r="A569" s="49"/>
      <c r="H569" s="22"/>
      <c r="AB569" s="50"/>
      <c r="AC569" s="50"/>
      <c r="AN569" s="50"/>
      <c r="AO569" s="50"/>
      <c r="AP569" s="50"/>
    </row>
    <row r="570" ht="15.75" customHeight="1">
      <c r="A570" s="49"/>
      <c r="H570" s="22"/>
      <c r="AB570" s="50"/>
      <c r="AC570" s="50"/>
      <c r="AN570" s="50"/>
      <c r="AO570" s="50"/>
      <c r="AP570" s="50"/>
    </row>
    <row r="571" ht="15.75" customHeight="1">
      <c r="A571" s="49"/>
      <c r="H571" s="22"/>
      <c r="AB571" s="50"/>
      <c r="AC571" s="50"/>
      <c r="AN571" s="50"/>
      <c r="AO571" s="50"/>
      <c r="AP571" s="50"/>
    </row>
    <row r="572" ht="15.75" customHeight="1">
      <c r="A572" s="49"/>
      <c r="H572" s="22"/>
      <c r="AB572" s="50"/>
      <c r="AC572" s="50"/>
      <c r="AN572" s="50"/>
      <c r="AO572" s="50"/>
      <c r="AP572" s="50"/>
    </row>
    <row r="573" ht="15.75" customHeight="1">
      <c r="A573" s="49"/>
      <c r="H573" s="22"/>
      <c r="AB573" s="50"/>
      <c r="AC573" s="50"/>
      <c r="AN573" s="50"/>
      <c r="AO573" s="50"/>
      <c r="AP573" s="50"/>
    </row>
    <row r="574" ht="15.75" customHeight="1">
      <c r="A574" s="49"/>
      <c r="H574" s="22"/>
      <c r="AB574" s="50"/>
      <c r="AC574" s="50"/>
      <c r="AN574" s="50"/>
      <c r="AO574" s="50"/>
      <c r="AP574" s="50"/>
    </row>
    <row r="575" ht="15.75" customHeight="1">
      <c r="A575" s="49"/>
      <c r="H575" s="22"/>
      <c r="AB575" s="50"/>
      <c r="AC575" s="50"/>
      <c r="AN575" s="50"/>
      <c r="AO575" s="50"/>
      <c r="AP575" s="50"/>
    </row>
    <row r="576" ht="15.75" customHeight="1">
      <c r="A576" s="49"/>
      <c r="H576" s="22"/>
      <c r="AB576" s="50"/>
      <c r="AC576" s="50"/>
      <c r="AN576" s="50"/>
      <c r="AO576" s="50"/>
      <c r="AP576" s="50"/>
    </row>
    <row r="577" ht="15.75" customHeight="1">
      <c r="A577" s="49"/>
      <c r="H577" s="22"/>
      <c r="AB577" s="50"/>
      <c r="AC577" s="50"/>
      <c r="AN577" s="50"/>
      <c r="AO577" s="50"/>
      <c r="AP577" s="50"/>
    </row>
    <row r="578" ht="15.75" customHeight="1">
      <c r="A578" s="49"/>
      <c r="H578" s="22"/>
      <c r="AB578" s="50"/>
      <c r="AC578" s="50"/>
      <c r="AN578" s="50"/>
      <c r="AO578" s="50"/>
      <c r="AP578" s="50"/>
    </row>
    <row r="579" ht="15.75" customHeight="1">
      <c r="A579" s="49"/>
      <c r="H579" s="22"/>
      <c r="AB579" s="50"/>
      <c r="AC579" s="50"/>
      <c r="AN579" s="50"/>
      <c r="AO579" s="50"/>
      <c r="AP579" s="50"/>
    </row>
    <row r="580" ht="15.75" customHeight="1">
      <c r="A580" s="49"/>
      <c r="H580" s="22"/>
      <c r="AB580" s="50"/>
      <c r="AC580" s="50"/>
      <c r="AN580" s="50"/>
      <c r="AO580" s="50"/>
      <c r="AP580" s="50"/>
    </row>
    <row r="581" ht="15.75" customHeight="1">
      <c r="A581" s="49"/>
      <c r="H581" s="22"/>
      <c r="AB581" s="50"/>
      <c r="AC581" s="50"/>
      <c r="AN581" s="50"/>
      <c r="AO581" s="50"/>
      <c r="AP581" s="50"/>
    </row>
    <row r="582" ht="15.75" customHeight="1">
      <c r="A582" s="49"/>
      <c r="H582" s="22"/>
      <c r="AB582" s="50"/>
      <c r="AC582" s="50"/>
      <c r="AN582" s="50"/>
      <c r="AO582" s="50"/>
      <c r="AP582" s="50"/>
    </row>
    <row r="583" ht="15.75" customHeight="1">
      <c r="A583" s="49"/>
      <c r="H583" s="22"/>
      <c r="AB583" s="50"/>
      <c r="AC583" s="50"/>
      <c r="AN583" s="50"/>
      <c r="AO583" s="50"/>
      <c r="AP583" s="50"/>
    </row>
    <row r="584" ht="15.75" customHeight="1">
      <c r="A584" s="49"/>
      <c r="H584" s="22"/>
      <c r="AB584" s="50"/>
      <c r="AC584" s="50"/>
      <c r="AN584" s="50"/>
      <c r="AO584" s="50"/>
      <c r="AP584" s="50"/>
    </row>
    <row r="585" ht="15.75" customHeight="1">
      <c r="A585" s="49"/>
      <c r="H585" s="22"/>
      <c r="AB585" s="50"/>
      <c r="AC585" s="50"/>
      <c r="AN585" s="50"/>
      <c r="AO585" s="50"/>
      <c r="AP585" s="50"/>
    </row>
    <row r="586" ht="15.75" customHeight="1">
      <c r="A586" s="49"/>
      <c r="H586" s="22"/>
      <c r="AB586" s="50"/>
      <c r="AC586" s="50"/>
      <c r="AN586" s="50"/>
      <c r="AO586" s="50"/>
      <c r="AP586" s="50"/>
    </row>
    <row r="587" ht="15.75" customHeight="1">
      <c r="A587" s="49"/>
      <c r="H587" s="22"/>
      <c r="AB587" s="50"/>
      <c r="AC587" s="50"/>
      <c r="AN587" s="50"/>
      <c r="AO587" s="50"/>
      <c r="AP587" s="50"/>
    </row>
    <row r="588" ht="15.75" customHeight="1">
      <c r="A588" s="49"/>
      <c r="H588" s="22"/>
      <c r="AB588" s="50"/>
      <c r="AC588" s="50"/>
      <c r="AN588" s="50"/>
      <c r="AO588" s="50"/>
      <c r="AP588" s="50"/>
    </row>
    <row r="589" ht="15.75" customHeight="1">
      <c r="A589" s="49"/>
      <c r="H589" s="22"/>
      <c r="AB589" s="50"/>
      <c r="AC589" s="50"/>
      <c r="AN589" s="50"/>
      <c r="AO589" s="50"/>
      <c r="AP589" s="50"/>
    </row>
    <row r="590" ht="15.75" customHeight="1">
      <c r="A590" s="49"/>
      <c r="H590" s="22"/>
      <c r="AB590" s="50"/>
      <c r="AC590" s="50"/>
      <c r="AN590" s="50"/>
      <c r="AO590" s="50"/>
      <c r="AP590" s="50"/>
    </row>
    <row r="591" ht="15.75" customHeight="1">
      <c r="A591" s="49"/>
      <c r="H591" s="22"/>
      <c r="AB591" s="50"/>
      <c r="AC591" s="50"/>
      <c r="AN591" s="50"/>
      <c r="AO591" s="50"/>
      <c r="AP591" s="50"/>
    </row>
    <row r="592" ht="15.75" customHeight="1">
      <c r="A592" s="49"/>
      <c r="H592" s="22"/>
      <c r="AB592" s="50"/>
      <c r="AC592" s="50"/>
      <c r="AN592" s="50"/>
      <c r="AO592" s="50"/>
      <c r="AP592" s="50"/>
    </row>
    <row r="593" ht="15.75" customHeight="1">
      <c r="A593" s="49"/>
      <c r="H593" s="22"/>
      <c r="AB593" s="50"/>
      <c r="AC593" s="50"/>
      <c r="AN593" s="50"/>
      <c r="AO593" s="50"/>
      <c r="AP593" s="50"/>
    </row>
    <row r="594" ht="15.75" customHeight="1">
      <c r="A594" s="49"/>
      <c r="H594" s="22"/>
      <c r="AB594" s="50"/>
      <c r="AC594" s="50"/>
      <c r="AN594" s="50"/>
      <c r="AO594" s="50"/>
      <c r="AP594" s="50"/>
    </row>
    <row r="595" ht="15.75" customHeight="1">
      <c r="A595" s="49"/>
      <c r="H595" s="22"/>
      <c r="AB595" s="50"/>
      <c r="AC595" s="50"/>
      <c r="AN595" s="50"/>
      <c r="AO595" s="50"/>
      <c r="AP595" s="50"/>
    </row>
    <row r="596" ht="15.75" customHeight="1">
      <c r="A596" s="49"/>
      <c r="H596" s="22"/>
      <c r="AB596" s="50"/>
      <c r="AC596" s="50"/>
      <c r="AN596" s="50"/>
      <c r="AO596" s="50"/>
      <c r="AP596" s="50"/>
    </row>
    <row r="597" ht="15.75" customHeight="1">
      <c r="A597" s="49"/>
      <c r="H597" s="22"/>
      <c r="AB597" s="50"/>
      <c r="AC597" s="50"/>
      <c r="AN597" s="50"/>
      <c r="AO597" s="50"/>
      <c r="AP597" s="50"/>
    </row>
    <row r="598" ht="15.75" customHeight="1">
      <c r="A598" s="49"/>
      <c r="H598" s="22"/>
      <c r="AB598" s="50"/>
      <c r="AC598" s="50"/>
      <c r="AN598" s="50"/>
      <c r="AO598" s="50"/>
      <c r="AP598" s="50"/>
    </row>
    <row r="599" ht="15.75" customHeight="1">
      <c r="A599" s="49"/>
      <c r="H599" s="22"/>
      <c r="AB599" s="50"/>
      <c r="AC599" s="50"/>
      <c r="AN599" s="50"/>
      <c r="AO599" s="50"/>
      <c r="AP599" s="50"/>
    </row>
    <row r="600" ht="15.75" customHeight="1">
      <c r="A600" s="49"/>
      <c r="H600" s="22"/>
      <c r="AB600" s="50"/>
      <c r="AC600" s="50"/>
      <c r="AN600" s="50"/>
      <c r="AO600" s="50"/>
      <c r="AP600" s="50"/>
    </row>
    <row r="601" ht="15.75" customHeight="1">
      <c r="A601" s="49"/>
      <c r="H601" s="22"/>
      <c r="AB601" s="50"/>
      <c r="AC601" s="50"/>
      <c r="AN601" s="50"/>
      <c r="AO601" s="50"/>
      <c r="AP601" s="50"/>
    </row>
    <row r="602" ht="15.75" customHeight="1">
      <c r="A602" s="49"/>
      <c r="H602" s="22"/>
      <c r="AB602" s="50"/>
      <c r="AC602" s="50"/>
      <c r="AN602" s="50"/>
      <c r="AO602" s="50"/>
      <c r="AP602" s="50"/>
    </row>
    <row r="603" ht="15.75" customHeight="1">
      <c r="A603" s="49"/>
      <c r="H603" s="22"/>
      <c r="AB603" s="50"/>
      <c r="AC603" s="50"/>
      <c r="AN603" s="50"/>
      <c r="AO603" s="50"/>
      <c r="AP603" s="50"/>
    </row>
    <row r="604" ht="15.75" customHeight="1">
      <c r="A604" s="49"/>
      <c r="H604" s="22"/>
      <c r="AB604" s="50"/>
      <c r="AC604" s="50"/>
      <c r="AN604" s="50"/>
      <c r="AO604" s="50"/>
      <c r="AP604" s="50"/>
    </row>
    <row r="605" ht="15.75" customHeight="1">
      <c r="A605" s="49"/>
      <c r="H605" s="22"/>
      <c r="AB605" s="50"/>
      <c r="AC605" s="50"/>
      <c r="AN605" s="50"/>
      <c r="AO605" s="50"/>
      <c r="AP605" s="50"/>
    </row>
    <row r="606" ht="15.75" customHeight="1">
      <c r="A606" s="49"/>
      <c r="H606" s="22"/>
      <c r="AB606" s="50"/>
      <c r="AC606" s="50"/>
      <c r="AN606" s="50"/>
      <c r="AO606" s="50"/>
      <c r="AP606" s="50"/>
    </row>
    <row r="607" ht="15.75" customHeight="1">
      <c r="A607" s="49"/>
      <c r="H607" s="22"/>
      <c r="AB607" s="50"/>
      <c r="AC607" s="50"/>
      <c r="AN607" s="50"/>
      <c r="AO607" s="50"/>
      <c r="AP607" s="50"/>
    </row>
    <row r="608" ht="15.75" customHeight="1">
      <c r="A608" s="49"/>
      <c r="H608" s="22"/>
      <c r="AB608" s="50"/>
      <c r="AC608" s="50"/>
      <c r="AN608" s="50"/>
      <c r="AO608" s="50"/>
      <c r="AP608" s="50"/>
    </row>
    <row r="609" ht="15.75" customHeight="1">
      <c r="A609" s="49"/>
      <c r="H609" s="22"/>
      <c r="AB609" s="50"/>
      <c r="AC609" s="50"/>
      <c r="AN609" s="50"/>
      <c r="AO609" s="50"/>
      <c r="AP609" s="50"/>
    </row>
    <row r="610" ht="15.75" customHeight="1">
      <c r="A610" s="49"/>
      <c r="H610" s="22"/>
      <c r="AB610" s="50"/>
      <c r="AC610" s="50"/>
      <c r="AN610" s="50"/>
      <c r="AO610" s="50"/>
      <c r="AP610" s="50"/>
    </row>
    <row r="611" ht="15.75" customHeight="1">
      <c r="A611" s="49"/>
      <c r="H611" s="22"/>
      <c r="AB611" s="50"/>
      <c r="AC611" s="50"/>
      <c r="AN611" s="50"/>
      <c r="AO611" s="50"/>
      <c r="AP611" s="50"/>
    </row>
    <row r="612" ht="15.75" customHeight="1">
      <c r="A612" s="49"/>
      <c r="H612" s="22"/>
      <c r="AB612" s="50"/>
      <c r="AC612" s="50"/>
      <c r="AN612" s="50"/>
      <c r="AO612" s="50"/>
      <c r="AP612" s="50"/>
    </row>
    <row r="613" ht="15.75" customHeight="1">
      <c r="A613" s="49"/>
      <c r="H613" s="22"/>
      <c r="AB613" s="50"/>
      <c r="AC613" s="50"/>
      <c r="AN613" s="50"/>
      <c r="AO613" s="50"/>
      <c r="AP613" s="50"/>
    </row>
    <row r="614" ht="15.75" customHeight="1">
      <c r="A614" s="49"/>
      <c r="H614" s="22"/>
      <c r="AB614" s="50"/>
      <c r="AC614" s="50"/>
      <c r="AN614" s="50"/>
      <c r="AO614" s="50"/>
      <c r="AP614" s="50"/>
    </row>
    <row r="615" ht="15.75" customHeight="1">
      <c r="A615" s="49"/>
      <c r="H615" s="22"/>
      <c r="AB615" s="50"/>
      <c r="AC615" s="50"/>
      <c r="AN615" s="50"/>
      <c r="AO615" s="50"/>
      <c r="AP615" s="50"/>
    </row>
    <row r="616" ht="15.75" customHeight="1">
      <c r="A616" s="49"/>
      <c r="H616" s="22"/>
      <c r="AB616" s="50"/>
      <c r="AC616" s="50"/>
      <c r="AN616" s="50"/>
      <c r="AO616" s="50"/>
      <c r="AP616" s="50"/>
    </row>
    <row r="617" ht="15.75" customHeight="1">
      <c r="A617" s="49"/>
      <c r="H617" s="22"/>
      <c r="AB617" s="50"/>
      <c r="AC617" s="50"/>
      <c r="AN617" s="50"/>
      <c r="AO617" s="50"/>
      <c r="AP617" s="50"/>
    </row>
    <row r="618" ht="15.75" customHeight="1">
      <c r="A618" s="49"/>
      <c r="H618" s="22"/>
      <c r="AB618" s="50"/>
      <c r="AC618" s="50"/>
      <c r="AN618" s="50"/>
      <c r="AO618" s="50"/>
      <c r="AP618" s="50"/>
    </row>
    <row r="619" ht="15.75" customHeight="1">
      <c r="A619" s="49"/>
      <c r="H619" s="22"/>
      <c r="AB619" s="50"/>
      <c r="AC619" s="50"/>
      <c r="AN619" s="50"/>
      <c r="AO619" s="50"/>
      <c r="AP619" s="50"/>
    </row>
    <row r="620" ht="15.75" customHeight="1">
      <c r="A620" s="49"/>
      <c r="H620" s="22"/>
      <c r="AB620" s="50"/>
      <c r="AC620" s="50"/>
      <c r="AN620" s="50"/>
      <c r="AO620" s="50"/>
      <c r="AP620" s="50"/>
    </row>
    <row r="621" ht="15.75" customHeight="1">
      <c r="A621" s="49"/>
      <c r="H621" s="22"/>
      <c r="AB621" s="50"/>
      <c r="AC621" s="50"/>
      <c r="AN621" s="50"/>
      <c r="AO621" s="50"/>
      <c r="AP621" s="50"/>
    </row>
    <row r="622" ht="15.75" customHeight="1">
      <c r="A622" s="49"/>
      <c r="H622" s="22"/>
      <c r="AB622" s="50"/>
      <c r="AC622" s="50"/>
      <c r="AN622" s="50"/>
      <c r="AO622" s="50"/>
      <c r="AP622" s="50"/>
    </row>
    <row r="623" ht="15.75" customHeight="1">
      <c r="A623" s="49"/>
      <c r="H623" s="22"/>
      <c r="AB623" s="50"/>
      <c r="AC623" s="50"/>
      <c r="AN623" s="50"/>
      <c r="AO623" s="50"/>
      <c r="AP623" s="50"/>
    </row>
    <row r="624" ht="15.75" customHeight="1">
      <c r="A624" s="49"/>
      <c r="H624" s="22"/>
      <c r="AB624" s="50"/>
      <c r="AC624" s="50"/>
      <c r="AN624" s="50"/>
      <c r="AO624" s="50"/>
      <c r="AP624" s="50"/>
    </row>
    <row r="625" ht="15.75" customHeight="1">
      <c r="A625" s="49"/>
      <c r="H625" s="22"/>
      <c r="AB625" s="50"/>
      <c r="AC625" s="50"/>
      <c r="AN625" s="50"/>
      <c r="AO625" s="50"/>
      <c r="AP625" s="50"/>
    </row>
    <row r="626" ht="15.75" customHeight="1">
      <c r="A626" s="49"/>
      <c r="H626" s="22"/>
      <c r="AB626" s="50"/>
      <c r="AC626" s="50"/>
      <c r="AN626" s="50"/>
      <c r="AO626" s="50"/>
      <c r="AP626" s="50"/>
    </row>
    <row r="627" ht="15.75" customHeight="1">
      <c r="A627" s="49"/>
      <c r="H627" s="22"/>
      <c r="AB627" s="50"/>
      <c r="AC627" s="50"/>
      <c r="AN627" s="50"/>
      <c r="AO627" s="50"/>
      <c r="AP627" s="50"/>
    </row>
    <row r="628" ht="15.75" customHeight="1">
      <c r="A628" s="49"/>
      <c r="H628" s="22"/>
      <c r="AB628" s="50"/>
      <c r="AC628" s="50"/>
      <c r="AN628" s="50"/>
      <c r="AO628" s="50"/>
      <c r="AP628" s="50"/>
    </row>
    <row r="629" ht="15.75" customHeight="1">
      <c r="A629" s="49"/>
      <c r="H629" s="22"/>
      <c r="AB629" s="50"/>
      <c r="AC629" s="50"/>
      <c r="AN629" s="50"/>
      <c r="AO629" s="50"/>
      <c r="AP629" s="50"/>
    </row>
    <row r="630" ht="15.75" customHeight="1">
      <c r="A630" s="49"/>
      <c r="H630" s="22"/>
      <c r="AB630" s="50"/>
      <c r="AC630" s="50"/>
      <c r="AN630" s="50"/>
      <c r="AO630" s="50"/>
      <c r="AP630" s="50"/>
    </row>
    <row r="631" ht="15.75" customHeight="1">
      <c r="A631" s="49"/>
      <c r="H631" s="22"/>
      <c r="AB631" s="50"/>
      <c r="AC631" s="50"/>
      <c r="AN631" s="50"/>
      <c r="AO631" s="50"/>
      <c r="AP631" s="50"/>
    </row>
    <row r="632" ht="15.75" customHeight="1">
      <c r="A632" s="49"/>
      <c r="H632" s="22"/>
      <c r="AB632" s="50"/>
      <c r="AC632" s="50"/>
      <c r="AN632" s="50"/>
      <c r="AO632" s="50"/>
      <c r="AP632" s="50"/>
    </row>
    <row r="633" ht="15.75" customHeight="1">
      <c r="A633" s="49"/>
      <c r="H633" s="22"/>
      <c r="AB633" s="50"/>
      <c r="AC633" s="50"/>
      <c r="AN633" s="50"/>
      <c r="AO633" s="50"/>
      <c r="AP633" s="50"/>
    </row>
    <row r="634" ht="15.75" customHeight="1">
      <c r="A634" s="49"/>
      <c r="H634" s="22"/>
      <c r="AB634" s="50"/>
      <c r="AC634" s="50"/>
      <c r="AN634" s="50"/>
      <c r="AO634" s="50"/>
      <c r="AP634" s="50"/>
    </row>
    <row r="635" ht="15.75" customHeight="1">
      <c r="A635" s="49"/>
      <c r="H635" s="22"/>
      <c r="AB635" s="50"/>
      <c r="AC635" s="50"/>
      <c r="AN635" s="50"/>
      <c r="AO635" s="50"/>
      <c r="AP635" s="50"/>
    </row>
    <row r="636" ht="15.75" customHeight="1">
      <c r="A636" s="49"/>
      <c r="H636" s="22"/>
      <c r="AB636" s="50"/>
      <c r="AC636" s="50"/>
      <c r="AN636" s="50"/>
      <c r="AO636" s="50"/>
      <c r="AP636" s="50"/>
    </row>
    <row r="637" ht="15.75" customHeight="1">
      <c r="A637" s="49"/>
      <c r="H637" s="22"/>
      <c r="AB637" s="50"/>
      <c r="AC637" s="50"/>
      <c r="AN637" s="50"/>
      <c r="AO637" s="50"/>
      <c r="AP637" s="50"/>
    </row>
    <row r="638" ht="15.75" customHeight="1">
      <c r="A638" s="49"/>
      <c r="H638" s="22"/>
      <c r="AB638" s="50"/>
      <c r="AC638" s="50"/>
      <c r="AN638" s="50"/>
      <c r="AO638" s="50"/>
      <c r="AP638" s="50"/>
    </row>
    <row r="639" ht="15.75" customHeight="1">
      <c r="A639" s="49"/>
      <c r="H639" s="22"/>
      <c r="AB639" s="50"/>
      <c r="AC639" s="50"/>
      <c r="AN639" s="50"/>
      <c r="AO639" s="50"/>
      <c r="AP639" s="50"/>
    </row>
    <row r="640" ht="15.75" customHeight="1">
      <c r="A640" s="49"/>
      <c r="H640" s="22"/>
      <c r="AB640" s="50"/>
      <c r="AC640" s="50"/>
      <c r="AN640" s="50"/>
      <c r="AO640" s="50"/>
      <c r="AP640" s="50"/>
    </row>
    <row r="641" ht="15.75" customHeight="1">
      <c r="A641" s="49"/>
      <c r="H641" s="22"/>
      <c r="AB641" s="50"/>
      <c r="AC641" s="50"/>
      <c r="AN641" s="50"/>
      <c r="AO641" s="50"/>
      <c r="AP641" s="50"/>
    </row>
    <row r="642" ht="15.75" customHeight="1">
      <c r="A642" s="49"/>
      <c r="H642" s="22"/>
      <c r="AB642" s="50"/>
      <c r="AC642" s="50"/>
      <c r="AN642" s="50"/>
      <c r="AO642" s="50"/>
      <c r="AP642" s="50"/>
    </row>
    <row r="643" ht="15.75" customHeight="1">
      <c r="A643" s="49"/>
      <c r="H643" s="22"/>
      <c r="AB643" s="50"/>
      <c r="AC643" s="50"/>
      <c r="AN643" s="50"/>
      <c r="AO643" s="50"/>
      <c r="AP643" s="50"/>
    </row>
    <row r="644" ht="15.75" customHeight="1">
      <c r="A644" s="49"/>
      <c r="H644" s="22"/>
      <c r="AB644" s="50"/>
      <c r="AC644" s="50"/>
      <c r="AN644" s="50"/>
      <c r="AO644" s="50"/>
      <c r="AP644" s="50"/>
    </row>
    <row r="645" ht="15.75" customHeight="1">
      <c r="A645" s="49"/>
      <c r="H645" s="22"/>
      <c r="AB645" s="50"/>
      <c r="AC645" s="50"/>
      <c r="AN645" s="50"/>
      <c r="AO645" s="50"/>
      <c r="AP645" s="50"/>
    </row>
    <row r="646" ht="15.75" customHeight="1">
      <c r="A646" s="49"/>
      <c r="H646" s="22"/>
      <c r="AB646" s="50"/>
      <c r="AC646" s="50"/>
      <c r="AN646" s="50"/>
      <c r="AO646" s="50"/>
      <c r="AP646" s="50"/>
    </row>
    <row r="647" ht="15.75" customHeight="1">
      <c r="A647" s="49"/>
      <c r="H647" s="22"/>
      <c r="AB647" s="50"/>
      <c r="AC647" s="50"/>
      <c r="AN647" s="50"/>
      <c r="AO647" s="50"/>
      <c r="AP647" s="50"/>
    </row>
    <row r="648" ht="15.75" customHeight="1">
      <c r="A648" s="49"/>
      <c r="H648" s="22"/>
      <c r="AB648" s="50"/>
      <c r="AC648" s="50"/>
      <c r="AN648" s="50"/>
      <c r="AO648" s="50"/>
      <c r="AP648" s="50"/>
    </row>
    <row r="649" ht="15.75" customHeight="1">
      <c r="A649" s="49"/>
      <c r="H649" s="22"/>
      <c r="AB649" s="50"/>
      <c r="AC649" s="50"/>
      <c r="AN649" s="50"/>
      <c r="AO649" s="50"/>
      <c r="AP649" s="50"/>
    </row>
    <row r="650" ht="15.75" customHeight="1">
      <c r="A650" s="49"/>
      <c r="H650" s="22"/>
      <c r="AB650" s="50"/>
      <c r="AC650" s="50"/>
      <c r="AN650" s="50"/>
      <c r="AO650" s="50"/>
      <c r="AP650" s="50"/>
    </row>
    <row r="651" ht="15.75" customHeight="1">
      <c r="A651" s="49"/>
      <c r="H651" s="22"/>
      <c r="AB651" s="50"/>
      <c r="AC651" s="50"/>
      <c r="AN651" s="50"/>
      <c r="AO651" s="50"/>
      <c r="AP651" s="50"/>
    </row>
    <row r="652" ht="15.75" customHeight="1">
      <c r="A652" s="49"/>
      <c r="H652" s="22"/>
      <c r="AB652" s="50"/>
      <c r="AC652" s="50"/>
      <c r="AN652" s="50"/>
      <c r="AO652" s="50"/>
      <c r="AP652" s="50"/>
    </row>
    <row r="653" ht="15.75" customHeight="1">
      <c r="A653" s="49"/>
      <c r="H653" s="22"/>
      <c r="AB653" s="50"/>
      <c r="AC653" s="50"/>
      <c r="AN653" s="50"/>
      <c r="AO653" s="50"/>
      <c r="AP653" s="50"/>
    </row>
    <row r="654" ht="15.75" customHeight="1">
      <c r="A654" s="49"/>
      <c r="H654" s="22"/>
      <c r="AB654" s="50"/>
      <c r="AC654" s="50"/>
      <c r="AN654" s="50"/>
      <c r="AO654" s="50"/>
      <c r="AP654" s="50"/>
    </row>
    <row r="655" ht="15.75" customHeight="1">
      <c r="A655" s="49"/>
      <c r="H655" s="22"/>
      <c r="AB655" s="50"/>
      <c r="AC655" s="50"/>
      <c r="AN655" s="50"/>
      <c r="AO655" s="50"/>
      <c r="AP655" s="50"/>
    </row>
    <row r="656" ht="15.75" customHeight="1">
      <c r="A656" s="49"/>
      <c r="H656" s="22"/>
      <c r="AB656" s="50"/>
      <c r="AC656" s="50"/>
      <c r="AN656" s="50"/>
      <c r="AO656" s="50"/>
      <c r="AP656" s="50"/>
    </row>
    <row r="657" ht="15.75" customHeight="1">
      <c r="A657" s="49"/>
      <c r="H657" s="22"/>
      <c r="AB657" s="50"/>
      <c r="AC657" s="50"/>
      <c r="AN657" s="50"/>
      <c r="AO657" s="50"/>
      <c r="AP657" s="50"/>
    </row>
    <row r="658" ht="15.75" customHeight="1">
      <c r="A658" s="49"/>
      <c r="H658" s="22"/>
      <c r="AB658" s="50"/>
      <c r="AC658" s="50"/>
      <c r="AN658" s="50"/>
      <c r="AO658" s="50"/>
      <c r="AP658" s="50"/>
    </row>
    <row r="659" ht="15.75" customHeight="1">
      <c r="A659" s="49"/>
      <c r="H659" s="22"/>
      <c r="AB659" s="50"/>
      <c r="AC659" s="50"/>
      <c r="AN659" s="50"/>
      <c r="AO659" s="50"/>
      <c r="AP659" s="50"/>
    </row>
    <row r="660" ht="15.75" customHeight="1">
      <c r="A660" s="49"/>
      <c r="H660" s="22"/>
      <c r="AB660" s="50"/>
      <c r="AC660" s="50"/>
      <c r="AN660" s="50"/>
      <c r="AO660" s="50"/>
      <c r="AP660" s="50"/>
    </row>
    <row r="661" ht="15.75" customHeight="1">
      <c r="A661" s="49"/>
      <c r="H661" s="22"/>
      <c r="AB661" s="50"/>
      <c r="AC661" s="50"/>
      <c r="AN661" s="50"/>
      <c r="AO661" s="50"/>
      <c r="AP661" s="50"/>
    </row>
    <row r="662" ht="15.75" customHeight="1">
      <c r="A662" s="49"/>
      <c r="H662" s="22"/>
      <c r="AB662" s="50"/>
      <c r="AC662" s="50"/>
      <c r="AN662" s="50"/>
      <c r="AO662" s="50"/>
      <c r="AP662" s="50"/>
    </row>
    <row r="663" ht="15.75" customHeight="1">
      <c r="A663" s="49"/>
      <c r="H663" s="22"/>
      <c r="AB663" s="50"/>
      <c r="AC663" s="50"/>
      <c r="AN663" s="50"/>
      <c r="AO663" s="50"/>
      <c r="AP663" s="50"/>
    </row>
    <row r="664" ht="15.75" customHeight="1">
      <c r="A664" s="49"/>
      <c r="H664" s="22"/>
      <c r="AB664" s="50"/>
      <c r="AC664" s="50"/>
      <c r="AN664" s="50"/>
      <c r="AO664" s="50"/>
      <c r="AP664" s="50"/>
    </row>
    <row r="665" ht="15.75" customHeight="1">
      <c r="A665" s="49"/>
      <c r="H665" s="22"/>
      <c r="AB665" s="50"/>
      <c r="AC665" s="50"/>
      <c r="AN665" s="50"/>
      <c r="AO665" s="50"/>
      <c r="AP665" s="50"/>
    </row>
    <row r="666" ht="15.75" customHeight="1">
      <c r="A666" s="49"/>
      <c r="H666" s="22"/>
      <c r="AB666" s="50"/>
      <c r="AC666" s="50"/>
      <c r="AN666" s="50"/>
      <c r="AO666" s="50"/>
      <c r="AP666" s="50"/>
    </row>
    <row r="667" ht="15.75" customHeight="1">
      <c r="A667" s="49"/>
      <c r="H667" s="22"/>
      <c r="AB667" s="50"/>
      <c r="AC667" s="50"/>
      <c r="AN667" s="50"/>
      <c r="AO667" s="50"/>
      <c r="AP667" s="50"/>
    </row>
    <row r="668" ht="15.75" customHeight="1">
      <c r="A668" s="49"/>
      <c r="H668" s="22"/>
      <c r="AB668" s="50"/>
      <c r="AC668" s="50"/>
      <c r="AN668" s="50"/>
      <c r="AO668" s="50"/>
      <c r="AP668" s="50"/>
    </row>
    <row r="669" ht="15.75" customHeight="1">
      <c r="A669" s="49"/>
      <c r="H669" s="22"/>
      <c r="AB669" s="50"/>
      <c r="AC669" s="50"/>
      <c r="AN669" s="50"/>
      <c r="AO669" s="50"/>
      <c r="AP669" s="50"/>
    </row>
    <row r="670" ht="15.75" customHeight="1">
      <c r="A670" s="49"/>
      <c r="H670" s="22"/>
      <c r="AB670" s="50"/>
      <c r="AC670" s="50"/>
      <c r="AN670" s="50"/>
      <c r="AO670" s="50"/>
      <c r="AP670" s="50"/>
    </row>
    <row r="671" ht="15.75" customHeight="1">
      <c r="A671" s="49"/>
      <c r="H671" s="22"/>
      <c r="AB671" s="50"/>
      <c r="AC671" s="50"/>
      <c r="AN671" s="50"/>
      <c r="AO671" s="50"/>
      <c r="AP671" s="50"/>
    </row>
    <row r="672" ht="15.75" customHeight="1">
      <c r="A672" s="49"/>
      <c r="H672" s="22"/>
      <c r="AB672" s="50"/>
      <c r="AC672" s="50"/>
      <c r="AN672" s="50"/>
      <c r="AO672" s="50"/>
      <c r="AP672" s="50"/>
    </row>
    <row r="673" ht="15.75" customHeight="1">
      <c r="A673" s="49"/>
      <c r="H673" s="22"/>
      <c r="AB673" s="50"/>
      <c r="AC673" s="50"/>
      <c r="AN673" s="50"/>
      <c r="AO673" s="50"/>
      <c r="AP673" s="50"/>
    </row>
    <row r="674" ht="15.75" customHeight="1">
      <c r="A674" s="49"/>
      <c r="H674" s="22"/>
      <c r="AB674" s="50"/>
      <c r="AC674" s="50"/>
      <c r="AN674" s="50"/>
      <c r="AO674" s="50"/>
      <c r="AP674" s="50"/>
    </row>
    <row r="675" ht="15.75" customHeight="1">
      <c r="A675" s="49"/>
      <c r="H675" s="22"/>
      <c r="AB675" s="50"/>
      <c r="AC675" s="50"/>
      <c r="AN675" s="50"/>
      <c r="AO675" s="50"/>
      <c r="AP675" s="50"/>
    </row>
    <row r="676" ht="15.75" customHeight="1">
      <c r="A676" s="49"/>
      <c r="H676" s="22"/>
      <c r="AB676" s="50"/>
      <c r="AC676" s="50"/>
      <c r="AN676" s="50"/>
      <c r="AO676" s="50"/>
      <c r="AP676" s="50"/>
    </row>
    <row r="677" ht="15.75" customHeight="1">
      <c r="A677" s="49"/>
      <c r="H677" s="22"/>
      <c r="AB677" s="50"/>
      <c r="AC677" s="50"/>
      <c r="AN677" s="50"/>
      <c r="AO677" s="50"/>
      <c r="AP677" s="50"/>
    </row>
    <row r="678" ht="15.75" customHeight="1">
      <c r="A678" s="49"/>
      <c r="H678" s="22"/>
      <c r="AB678" s="50"/>
      <c r="AC678" s="50"/>
      <c r="AN678" s="50"/>
      <c r="AO678" s="50"/>
      <c r="AP678" s="50"/>
    </row>
    <row r="679" ht="15.75" customHeight="1">
      <c r="A679" s="49"/>
      <c r="H679" s="22"/>
      <c r="AB679" s="50"/>
      <c r="AC679" s="50"/>
      <c r="AN679" s="50"/>
      <c r="AO679" s="50"/>
      <c r="AP679" s="50"/>
    </row>
    <row r="680" ht="15.75" customHeight="1">
      <c r="A680" s="49"/>
      <c r="H680" s="22"/>
      <c r="AB680" s="50"/>
      <c r="AC680" s="50"/>
      <c r="AN680" s="50"/>
      <c r="AO680" s="50"/>
      <c r="AP680" s="50"/>
    </row>
    <row r="681" ht="15.75" customHeight="1">
      <c r="A681" s="49"/>
      <c r="H681" s="22"/>
      <c r="AB681" s="50"/>
      <c r="AC681" s="50"/>
      <c r="AN681" s="50"/>
      <c r="AO681" s="50"/>
      <c r="AP681" s="50"/>
    </row>
    <row r="682" ht="15.75" customHeight="1">
      <c r="A682" s="49"/>
      <c r="H682" s="22"/>
      <c r="AB682" s="50"/>
      <c r="AC682" s="50"/>
      <c r="AN682" s="50"/>
      <c r="AO682" s="50"/>
      <c r="AP682" s="50"/>
    </row>
    <row r="683" ht="15.75" customHeight="1">
      <c r="A683" s="49"/>
      <c r="H683" s="22"/>
      <c r="AB683" s="50"/>
      <c r="AC683" s="50"/>
      <c r="AN683" s="50"/>
      <c r="AO683" s="50"/>
      <c r="AP683" s="50"/>
    </row>
    <row r="684" ht="15.75" customHeight="1">
      <c r="A684" s="49"/>
      <c r="H684" s="22"/>
      <c r="AB684" s="50"/>
      <c r="AC684" s="50"/>
      <c r="AN684" s="50"/>
      <c r="AO684" s="50"/>
      <c r="AP684" s="50"/>
    </row>
    <row r="685" ht="15.75" customHeight="1">
      <c r="A685" s="49"/>
      <c r="H685" s="22"/>
      <c r="AB685" s="50"/>
      <c r="AC685" s="50"/>
      <c r="AN685" s="50"/>
      <c r="AO685" s="50"/>
      <c r="AP685" s="50"/>
    </row>
    <row r="686" ht="15.75" customHeight="1">
      <c r="A686" s="49"/>
      <c r="H686" s="22"/>
      <c r="AB686" s="50"/>
      <c r="AC686" s="50"/>
      <c r="AN686" s="50"/>
      <c r="AO686" s="50"/>
      <c r="AP686" s="50"/>
    </row>
    <row r="687" ht="15.75" customHeight="1">
      <c r="A687" s="49"/>
      <c r="H687" s="22"/>
      <c r="AB687" s="50"/>
      <c r="AC687" s="50"/>
      <c r="AN687" s="50"/>
      <c r="AO687" s="50"/>
      <c r="AP687" s="50"/>
    </row>
    <row r="688" ht="15.75" customHeight="1">
      <c r="A688" s="49"/>
      <c r="H688" s="22"/>
      <c r="AB688" s="50"/>
      <c r="AC688" s="50"/>
      <c r="AN688" s="50"/>
      <c r="AO688" s="50"/>
      <c r="AP688" s="50"/>
    </row>
    <row r="689" ht="15.75" customHeight="1">
      <c r="A689" s="49"/>
      <c r="H689" s="22"/>
      <c r="AB689" s="50"/>
      <c r="AC689" s="50"/>
      <c r="AN689" s="50"/>
      <c r="AO689" s="50"/>
      <c r="AP689" s="50"/>
    </row>
    <row r="690" ht="15.75" customHeight="1">
      <c r="A690" s="49"/>
      <c r="H690" s="22"/>
      <c r="AB690" s="50"/>
      <c r="AC690" s="50"/>
      <c r="AN690" s="50"/>
      <c r="AO690" s="50"/>
      <c r="AP690" s="50"/>
    </row>
    <row r="691" ht="15.75" customHeight="1">
      <c r="A691" s="49"/>
      <c r="H691" s="22"/>
      <c r="AB691" s="50"/>
      <c r="AC691" s="50"/>
      <c r="AN691" s="50"/>
      <c r="AO691" s="50"/>
      <c r="AP691" s="50"/>
    </row>
    <row r="692" ht="15.75" customHeight="1">
      <c r="A692" s="49"/>
      <c r="H692" s="22"/>
      <c r="AB692" s="50"/>
      <c r="AC692" s="50"/>
      <c r="AN692" s="50"/>
      <c r="AO692" s="50"/>
      <c r="AP692" s="50"/>
    </row>
    <row r="693" ht="15.75" customHeight="1">
      <c r="A693" s="49"/>
      <c r="H693" s="22"/>
      <c r="AB693" s="50"/>
      <c r="AC693" s="50"/>
      <c r="AN693" s="50"/>
      <c r="AO693" s="50"/>
      <c r="AP693" s="50"/>
    </row>
    <row r="694" ht="15.75" customHeight="1">
      <c r="A694" s="49"/>
      <c r="H694" s="22"/>
      <c r="AB694" s="50"/>
      <c r="AC694" s="50"/>
      <c r="AN694" s="50"/>
      <c r="AO694" s="50"/>
      <c r="AP694" s="50"/>
    </row>
    <row r="695" ht="15.75" customHeight="1">
      <c r="A695" s="49"/>
      <c r="H695" s="22"/>
      <c r="AB695" s="50"/>
      <c r="AC695" s="50"/>
      <c r="AN695" s="50"/>
      <c r="AO695" s="50"/>
      <c r="AP695" s="50"/>
    </row>
    <row r="696" ht="15.75" customHeight="1">
      <c r="A696" s="49"/>
      <c r="H696" s="22"/>
      <c r="AB696" s="50"/>
      <c r="AC696" s="50"/>
      <c r="AN696" s="50"/>
      <c r="AO696" s="50"/>
      <c r="AP696" s="50"/>
    </row>
    <row r="697" ht="15.75" customHeight="1">
      <c r="A697" s="49"/>
      <c r="H697" s="22"/>
      <c r="AB697" s="50"/>
      <c r="AC697" s="50"/>
      <c r="AN697" s="50"/>
      <c r="AO697" s="50"/>
      <c r="AP697" s="50"/>
    </row>
    <row r="698" ht="15.75" customHeight="1">
      <c r="A698" s="49"/>
      <c r="H698" s="22"/>
      <c r="AB698" s="50"/>
      <c r="AC698" s="50"/>
      <c r="AN698" s="50"/>
      <c r="AO698" s="50"/>
      <c r="AP698" s="50"/>
    </row>
    <row r="699" ht="15.75" customHeight="1">
      <c r="A699" s="49"/>
      <c r="H699" s="22"/>
      <c r="AB699" s="50"/>
      <c r="AC699" s="50"/>
      <c r="AN699" s="50"/>
      <c r="AO699" s="50"/>
      <c r="AP699" s="50"/>
    </row>
    <row r="700" ht="15.75" customHeight="1">
      <c r="A700" s="49"/>
      <c r="H700" s="22"/>
      <c r="AB700" s="50"/>
      <c r="AC700" s="50"/>
      <c r="AN700" s="50"/>
      <c r="AO700" s="50"/>
      <c r="AP700" s="50"/>
    </row>
    <row r="701" ht="15.75" customHeight="1">
      <c r="A701" s="49"/>
      <c r="H701" s="22"/>
      <c r="AB701" s="50"/>
      <c r="AC701" s="50"/>
      <c r="AN701" s="50"/>
      <c r="AO701" s="50"/>
      <c r="AP701" s="50"/>
    </row>
    <row r="702" ht="15.75" customHeight="1">
      <c r="A702" s="49"/>
      <c r="H702" s="22"/>
      <c r="AB702" s="50"/>
      <c r="AC702" s="50"/>
      <c r="AN702" s="50"/>
      <c r="AO702" s="50"/>
      <c r="AP702" s="50"/>
    </row>
    <row r="703" ht="15.75" customHeight="1">
      <c r="A703" s="49"/>
      <c r="H703" s="22"/>
      <c r="AB703" s="50"/>
      <c r="AC703" s="50"/>
      <c r="AN703" s="50"/>
      <c r="AO703" s="50"/>
      <c r="AP703" s="50"/>
    </row>
    <row r="704" ht="15.75" customHeight="1">
      <c r="A704" s="49"/>
      <c r="H704" s="22"/>
      <c r="AB704" s="50"/>
      <c r="AC704" s="50"/>
      <c r="AN704" s="50"/>
      <c r="AO704" s="50"/>
      <c r="AP704" s="50"/>
    </row>
    <row r="705" ht="15.75" customHeight="1">
      <c r="A705" s="49"/>
      <c r="H705" s="22"/>
      <c r="AB705" s="50"/>
      <c r="AC705" s="50"/>
      <c r="AN705" s="50"/>
      <c r="AO705" s="50"/>
      <c r="AP705" s="50"/>
    </row>
    <row r="706" ht="15.75" customHeight="1">
      <c r="A706" s="49"/>
      <c r="H706" s="22"/>
      <c r="AB706" s="50"/>
      <c r="AC706" s="50"/>
      <c r="AN706" s="50"/>
      <c r="AO706" s="50"/>
      <c r="AP706" s="50"/>
    </row>
    <row r="707" ht="15.75" customHeight="1">
      <c r="A707" s="49"/>
      <c r="H707" s="22"/>
      <c r="AB707" s="50"/>
      <c r="AC707" s="50"/>
      <c r="AN707" s="50"/>
      <c r="AO707" s="50"/>
      <c r="AP707" s="50"/>
    </row>
    <row r="708" ht="15.75" customHeight="1">
      <c r="A708" s="49"/>
      <c r="H708" s="22"/>
      <c r="AB708" s="50"/>
      <c r="AC708" s="50"/>
      <c r="AN708" s="50"/>
      <c r="AO708" s="50"/>
      <c r="AP708" s="50"/>
    </row>
    <row r="709" ht="15.75" customHeight="1">
      <c r="A709" s="49"/>
      <c r="H709" s="22"/>
      <c r="AB709" s="50"/>
      <c r="AC709" s="50"/>
      <c r="AN709" s="50"/>
      <c r="AO709" s="50"/>
      <c r="AP709" s="50"/>
    </row>
    <row r="710" ht="15.75" customHeight="1">
      <c r="A710" s="49"/>
      <c r="H710" s="22"/>
      <c r="AB710" s="50"/>
      <c r="AC710" s="50"/>
      <c r="AN710" s="50"/>
      <c r="AO710" s="50"/>
      <c r="AP710" s="50"/>
    </row>
    <row r="711" ht="15.75" customHeight="1">
      <c r="A711" s="49"/>
      <c r="H711" s="22"/>
      <c r="AB711" s="50"/>
      <c r="AC711" s="50"/>
      <c r="AN711" s="50"/>
      <c r="AO711" s="50"/>
      <c r="AP711" s="50"/>
    </row>
    <row r="712" ht="15.75" customHeight="1">
      <c r="A712" s="49"/>
      <c r="H712" s="22"/>
      <c r="AB712" s="50"/>
      <c r="AC712" s="50"/>
      <c r="AN712" s="50"/>
      <c r="AO712" s="50"/>
      <c r="AP712" s="50"/>
    </row>
    <row r="713" ht="15.75" customHeight="1">
      <c r="A713" s="49"/>
      <c r="H713" s="22"/>
      <c r="AB713" s="50"/>
      <c r="AC713" s="50"/>
      <c r="AN713" s="50"/>
      <c r="AO713" s="50"/>
      <c r="AP713" s="50"/>
    </row>
    <row r="714" ht="15.75" customHeight="1">
      <c r="A714" s="49"/>
      <c r="H714" s="22"/>
      <c r="AB714" s="50"/>
      <c r="AC714" s="50"/>
      <c r="AN714" s="50"/>
      <c r="AO714" s="50"/>
      <c r="AP714" s="50"/>
    </row>
    <row r="715" ht="15.75" customHeight="1">
      <c r="A715" s="49"/>
      <c r="H715" s="22"/>
      <c r="AB715" s="50"/>
      <c r="AC715" s="50"/>
      <c r="AN715" s="50"/>
      <c r="AO715" s="50"/>
      <c r="AP715" s="50"/>
    </row>
    <row r="716" ht="15.75" customHeight="1">
      <c r="A716" s="49"/>
      <c r="H716" s="22"/>
      <c r="AB716" s="50"/>
      <c r="AC716" s="50"/>
      <c r="AN716" s="50"/>
      <c r="AO716" s="50"/>
      <c r="AP716" s="50"/>
    </row>
    <row r="717" ht="15.75" customHeight="1">
      <c r="A717" s="49"/>
      <c r="H717" s="22"/>
      <c r="AB717" s="50"/>
      <c r="AC717" s="50"/>
      <c r="AN717" s="50"/>
      <c r="AO717" s="50"/>
      <c r="AP717" s="50"/>
    </row>
    <row r="718" ht="15.75" customHeight="1">
      <c r="A718" s="49"/>
      <c r="H718" s="22"/>
      <c r="AB718" s="50"/>
      <c r="AC718" s="50"/>
      <c r="AN718" s="50"/>
      <c r="AO718" s="50"/>
      <c r="AP718" s="50"/>
    </row>
    <row r="719" ht="15.75" customHeight="1">
      <c r="A719" s="49"/>
      <c r="H719" s="22"/>
      <c r="AB719" s="50"/>
      <c r="AC719" s="50"/>
      <c r="AN719" s="50"/>
      <c r="AO719" s="50"/>
      <c r="AP719" s="50"/>
    </row>
    <row r="720" ht="15.75" customHeight="1">
      <c r="A720" s="49"/>
      <c r="H720" s="22"/>
      <c r="AB720" s="50"/>
      <c r="AC720" s="50"/>
      <c r="AN720" s="50"/>
      <c r="AO720" s="50"/>
      <c r="AP720" s="50"/>
    </row>
    <row r="721" ht="15.75" customHeight="1">
      <c r="A721" s="49"/>
      <c r="H721" s="22"/>
      <c r="AB721" s="50"/>
      <c r="AC721" s="50"/>
      <c r="AN721" s="50"/>
      <c r="AO721" s="50"/>
      <c r="AP721" s="50"/>
    </row>
    <row r="722" ht="15.75" customHeight="1">
      <c r="A722" s="49"/>
      <c r="H722" s="22"/>
      <c r="AB722" s="50"/>
      <c r="AC722" s="50"/>
      <c r="AN722" s="50"/>
      <c r="AO722" s="50"/>
      <c r="AP722" s="50"/>
    </row>
    <row r="723" ht="15.75" customHeight="1">
      <c r="A723" s="49"/>
      <c r="H723" s="22"/>
      <c r="AB723" s="50"/>
      <c r="AC723" s="50"/>
      <c r="AN723" s="50"/>
      <c r="AO723" s="50"/>
      <c r="AP723" s="50"/>
    </row>
    <row r="724" ht="15.75" customHeight="1">
      <c r="A724" s="49"/>
      <c r="H724" s="22"/>
      <c r="AB724" s="50"/>
      <c r="AC724" s="50"/>
      <c r="AN724" s="50"/>
      <c r="AO724" s="50"/>
      <c r="AP724" s="50"/>
    </row>
    <row r="725" ht="15.75" customHeight="1">
      <c r="A725" s="49"/>
      <c r="H725" s="22"/>
      <c r="AB725" s="50"/>
      <c r="AC725" s="50"/>
      <c r="AN725" s="50"/>
      <c r="AO725" s="50"/>
      <c r="AP725" s="50"/>
    </row>
    <row r="726" ht="15.75" customHeight="1">
      <c r="A726" s="49"/>
      <c r="H726" s="22"/>
      <c r="AB726" s="50"/>
      <c r="AC726" s="50"/>
      <c r="AN726" s="50"/>
      <c r="AO726" s="50"/>
      <c r="AP726" s="50"/>
    </row>
    <row r="727" ht="15.75" customHeight="1">
      <c r="A727" s="49"/>
      <c r="H727" s="22"/>
      <c r="AB727" s="50"/>
      <c r="AC727" s="50"/>
      <c r="AN727" s="50"/>
      <c r="AO727" s="50"/>
      <c r="AP727" s="50"/>
    </row>
    <row r="728" ht="15.75" customHeight="1">
      <c r="A728" s="49"/>
      <c r="H728" s="22"/>
      <c r="AB728" s="50"/>
      <c r="AC728" s="50"/>
      <c r="AN728" s="50"/>
      <c r="AO728" s="50"/>
      <c r="AP728" s="50"/>
    </row>
    <row r="729" ht="15.75" customHeight="1">
      <c r="A729" s="49"/>
      <c r="H729" s="22"/>
      <c r="AB729" s="50"/>
      <c r="AC729" s="50"/>
      <c r="AN729" s="50"/>
      <c r="AO729" s="50"/>
      <c r="AP729" s="50"/>
    </row>
    <row r="730" ht="15.75" customHeight="1">
      <c r="A730" s="49"/>
      <c r="H730" s="22"/>
      <c r="AB730" s="50"/>
      <c r="AC730" s="50"/>
      <c r="AN730" s="50"/>
      <c r="AO730" s="50"/>
      <c r="AP730" s="50"/>
    </row>
    <row r="731" ht="15.75" customHeight="1">
      <c r="A731" s="49"/>
      <c r="H731" s="22"/>
      <c r="AB731" s="50"/>
      <c r="AC731" s="50"/>
      <c r="AN731" s="50"/>
      <c r="AO731" s="50"/>
      <c r="AP731" s="50"/>
    </row>
    <row r="732" ht="15.75" customHeight="1">
      <c r="A732" s="49"/>
      <c r="H732" s="22"/>
      <c r="AB732" s="50"/>
      <c r="AC732" s="50"/>
      <c r="AN732" s="50"/>
      <c r="AO732" s="50"/>
      <c r="AP732" s="50"/>
    </row>
    <row r="733" ht="15.75" customHeight="1">
      <c r="A733" s="49"/>
      <c r="H733" s="22"/>
      <c r="AB733" s="50"/>
      <c r="AC733" s="50"/>
      <c r="AN733" s="50"/>
      <c r="AO733" s="50"/>
      <c r="AP733" s="50"/>
    </row>
    <row r="734" ht="15.75" customHeight="1">
      <c r="A734" s="49"/>
      <c r="H734" s="22"/>
      <c r="AB734" s="50"/>
      <c r="AC734" s="50"/>
      <c r="AN734" s="50"/>
      <c r="AO734" s="50"/>
      <c r="AP734" s="50"/>
    </row>
    <row r="735" ht="15.75" customHeight="1">
      <c r="A735" s="49"/>
      <c r="H735" s="22"/>
      <c r="AB735" s="50"/>
      <c r="AC735" s="50"/>
      <c r="AN735" s="50"/>
      <c r="AO735" s="50"/>
      <c r="AP735" s="50"/>
    </row>
    <row r="736" ht="15.75" customHeight="1">
      <c r="A736" s="49"/>
      <c r="H736" s="22"/>
      <c r="AB736" s="50"/>
      <c r="AC736" s="50"/>
      <c r="AN736" s="50"/>
      <c r="AO736" s="50"/>
      <c r="AP736" s="50"/>
    </row>
    <row r="737" ht="15.75" customHeight="1">
      <c r="A737" s="49"/>
      <c r="H737" s="22"/>
      <c r="AB737" s="50"/>
      <c r="AC737" s="50"/>
      <c r="AN737" s="50"/>
      <c r="AO737" s="50"/>
      <c r="AP737" s="50"/>
    </row>
    <row r="738" ht="15.75" customHeight="1">
      <c r="A738" s="49"/>
      <c r="H738" s="22"/>
      <c r="AB738" s="50"/>
      <c r="AC738" s="50"/>
      <c r="AN738" s="50"/>
      <c r="AO738" s="50"/>
      <c r="AP738" s="50"/>
    </row>
    <row r="739" ht="15.75" customHeight="1">
      <c r="A739" s="49"/>
      <c r="H739" s="22"/>
      <c r="AB739" s="50"/>
      <c r="AC739" s="50"/>
      <c r="AN739" s="50"/>
      <c r="AO739" s="50"/>
      <c r="AP739" s="50"/>
    </row>
    <row r="740" ht="15.75" customHeight="1">
      <c r="A740" s="49"/>
      <c r="H740" s="22"/>
      <c r="AB740" s="50"/>
      <c r="AC740" s="50"/>
      <c r="AN740" s="50"/>
      <c r="AO740" s="50"/>
      <c r="AP740" s="50"/>
    </row>
    <row r="741" ht="15.75" customHeight="1">
      <c r="A741" s="49"/>
      <c r="H741" s="22"/>
      <c r="AB741" s="50"/>
      <c r="AC741" s="50"/>
      <c r="AN741" s="50"/>
      <c r="AO741" s="50"/>
      <c r="AP741" s="50"/>
    </row>
    <row r="742" ht="15.75" customHeight="1">
      <c r="A742" s="49"/>
      <c r="H742" s="22"/>
      <c r="AB742" s="50"/>
      <c r="AC742" s="50"/>
      <c r="AN742" s="50"/>
      <c r="AO742" s="50"/>
      <c r="AP742" s="50"/>
    </row>
    <row r="743" ht="15.75" customHeight="1">
      <c r="A743" s="49"/>
      <c r="H743" s="22"/>
      <c r="AB743" s="50"/>
      <c r="AC743" s="50"/>
      <c r="AN743" s="50"/>
      <c r="AO743" s="50"/>
      <c r="AP743" s="50"/>
    </row>
    <row r="744" ht="15.75" customHeight="1">
      <c r="A744" s="49"/>
      <c r="H744" s="22"/>
      <c r="AB744" s="50"/>
      <c r="AC744" s="50"/>
      <c r="AN744" s="50"/>
      <c r="AO744" s="50"/>
      <c r="AP744" s="50"/>
    </row>
    <row r="745" ht="15.75" customHeight="1">
      <c r="A745" s="49"/>
      <c r="H745" s="22"/>
      <c r="AB745" s="50"/>
      <c r="AC745" s="50"/>
      <c r="AN745" s="50"/>
      <c r="AO745" s="50"/>
      <c r="AP745" s="50"/>
    </row>
    <row r="746" ht="15.75" customHeight="1">
      <c r="A746" s="49"/>
      <c r="H746" s="22"/>
      <c r="AB746" s="50"/>
      <c r="AC746" s="50"/>
      <c r="AN746" s="50"/>
      <c r="AO746" s="50"/>
      <c r="AP746" s="50"/>
    </row>
    <row r="747" ht="15.75" customHeight="1">
      <c r="A747" s="49"/>
      <c r="H747" s="22"/>
      <c r="AB747" s="50"/>
      <c r="AC747" s="50"/>
      <c r="AN747" s="50"/>
      <c r="AO747" s="50"/>
      <c r="AP747" s="50"/>
    </row>
    <row r="748" ht="15.75" customHeight="1">
      <c r="A748" s="49"/>
      <c r="H748" s="22"/>
      <c r="AB748" s="50"/>
      <c r="AC748" s="50"/>
      <c r="AN748" s="50"/>
      <c r="AO748" s="50"/>
      <c r="AP748" s="50"/>
    </row>
    <row r="749" ht="15.75" customHeight="1">
      <c r="A749" s="49"/>
      <c r="H749" s="22"/>
      <c r="AB749" s="50"/>
      <c r="AC749" s="50"/>
      <c r="AN749" s="50"/>
      <c r="AO749" s="50"/>
      <c r="AP749" s="50"/>
    </row>
    <row r="750" ht="15.75" customHeight="1">
      <c r="A750" s="49"/>
      <c r="H750" s="22"/>
      <c r="AB750" s="50"/>
      <c r="AC750" s="50"/>
      <c r="AN750" s="50"/>
      <c r="AO750" s="50"/>
      <c r="AP750" s="50"/>
    </row>
    <row r="751" ht="15.75" customHeight="1">
      <c r="A751" s="49"/>
      <c r="H751" s="22"/>
      <c r="AB751" s="50"/>
      <c r="AC751" s="50"/>
      <c r="AN751" s="50"/>
      <c r="AO751" s="50"/>
      <c r="AP751" s="50"/>
    </row>
    <row r="752" ht="15.75" customHeight="1">
      <c r="A752" s="49"/>
      <c r="H752" s="22"/>
      <c r="AB752" s="50"/>
      <c r="AC752" s="50"/>
      <c r="AN752" s="50"/>
      <c r="AO752" s="50"/>
      <c r="AP752" s="50"/>
    </row>
    <row r="753" ht="15.75" customHeight="1">
      <c r="A753" s="49"/>
      <c r="H753" s="22"/>
      <c r="AB753" s="50"/>
      <c r="AC753" s="50"/>
      <c r="AN753" s="50"/>
      <c r="AO753" s="50"/>
      <c r="AP753" s="50"/>
    </row>
    <row r="754" ht="15.75" customHeight="1">
      <c r="A754" s="49"/>
      <c r="H754" s="22"/>
      <c r="AB754" s="50"/>
      <c r="AC754" s="50"/>
      <c r="AN754" s="50"/>
      <c r="AO754" s="50"/>
      <c r="AP754" s="50"/>
    </row>
    <row r="755" ht="15.75" customHeight="1">
      <c r="A755" s="49"/>
      <c r="H755" s="22"/>
      <c r="AB755" s="50"/>
      <c r="AC755" s="50"/>
      <c r="AN755" s="50"/>
      <c r="AO755" s="50"/>
      <c r="AP755" s="50"/>
    </row>
    <row r="756" ht="15.75" customHeight="1">
      <c r="A756" s="49"/>
      <c r="H756" s="22"/>
      <c r="AB756" s="50"/>
      <c r="AC756" s="50"/>
      <c r="AN756" s="50"/>
      <c r="AO756" s="50"/>
      <c r="AP756" s="50"/>
    </row>
    <row r="757" ht="15.75" customHeight="1">
      <c r="A757" s="49"/>
      <c r="H757" s="22"/>
      <c r="AB757" s="50"/>
      <c r="AC757" s="50"/>
      <c r="AN757" s="50"/>
      <c r="AO757" s="50"/>
      <c r="AP757" s="50"/>
    </row>
    <row r="758" ht="15.75" customHeight="1">
      <c r="A758" s="49"/>
      <c r="H758" s="22"/>
      <c r="AB758" s="50"/>
      <c r="AC758" s="50"/>
      <c r="AN758" s="50"/>
      <c r="AO758" s="50"/>
      <c r="AP758" s="50"/>
    </row>
    <row r="759" ht="15.75" customHeight="1">
      <c r="A759" s="49"/>
      <c r="H759" s="22"/>
      <c r="AB759" s="50"/>
      <c r="AC759" s="50"/>
      <c r="AN759" s="50"/>
      <c r="AO759" s="50"/>
      <c r="AP759" s="50"/>
    </row>
    <row r="760" ht="15.75" customHeight="1">
      <c r="A760" s="49"/>
      <c r="H760" s="22"/>
      <c r="AB760" s="50"/>
      <c r="AC760" s="50"/>
      <c r="AN760" s="50"/>
      <c r="AO760" s="50"/>
      <c r="AP760" s="50"/>
    </row>
    <row r="761" ht="15.75" customHeight="1">
      <c r="A761" s="49"/>
      <c r="H761" s="22"/>
      <c r="AB761" s="50"/>
      <c r="AC761" s="50"/>
      <c r="AN761" s="50"/>
      <c r="AO761" s="50"/>
      <c r="AP761" s="50"/>
    </row>
    <row r="762" ht="15.75" customHeight="1">
      <c r="A762" s="49"/>
      <c r="H762" s="22"/>
      <c r="AB762" s="50"/>
      <c r="AC762" s="50"/>
      <c r="AN762" s="50"/>
      <c r="AO762" s="50"/>
      <c r="AP762" s="50"/>
    </row>
    <row r="763" ht="15.75" customHeight="1">
      <c r="A763" s="49"/>
      <c r="H763" s="22"/>
      <c r="AB763" s="50"/>
      <c r="AC763" s="50"/>
      <c r="AN763" s="50"/>
      <c r="AO763" s="50"/>
      <c r="AP763" s="50"/>
    </row>
    <row r="764" ht="15.75" customHeight="1">
      <c r="A764" s="49"/>
      <c r="H764" s="22"/>
      <c r="AB764" s="50"/>
      <c r="AC764" s="50"/>
      <c r="AN764" s="50"/>
      <c r="AO764" s="50"/>
      <c r="AP764" s="50"/>
    </row>
    <row r="765" ht="15.75" customHeight="1">
      <c r="A765" s="49"/>
      <c r="H765" s="22"/>
      <c r="AB765" s="50"/>
      <c r="AC765" s="50"/>
      <c r="AN765" s="50"/>
      <c r="AO765" s="50"/>
      <c r="AP765" s="50"/>
    </row>
    <row r="766" ht="15.75" customHeight="1">
      <c r="A766" s="49"/>
      <c r="H766" s="22"/>
      <c r="AB766" s="50"/>
      <c r="AC766" s="50"/>
      <c r="AN766" s="50"/>
      <c r="AO766" s="50"/>
      <c r="AP766" s="50"/>
    </row>
    <row r="767" ht="15.75" customHeight="1">
      <c r="A767" s="49"/>
      <c r="H767" s="22"/>
      <c r="AB767" s="50"/>
      <c r="AC767" s="50"/>
      <c r="AN767" s="50"/>
      <c r="AO767" s="50"/>
      <c r="AP767" s="50"/>
    </row>
    <row r="768" ht="15.75" customHeight="1">
      <c r="A768" s="49"/>
      <c r="H768" s="22"/>
      <c r="AB768" s="50"/>
      <c r="AC768" s="50"/>
      <c r="AN768" s="50"/>
      <c r="AO768" s="50"/>
      <c r="AP768" s="50"/>
    </row>
    <row r="769" ht="15.75" customHeight="1">
      <c r="A769" s="49"/>
      <c r="H769" s="22"/>
      <c r="AB769" s="50"/>
      <c r="AC769" s="50"/>
      <c r="AN769" s="50"/>
      <c r="AO769" s="50"/>
      <c r="AP769" s="50"/>
    </row>
    <row r="770" ht="15.75" customHeight="1">
      <c r="A770" s="49"/>
      <c r="H770" s="22"/>
      <c r="AB770" s="50"/>
      <c r="AC770" s="50"/>
      <c r="AN770" s="50"/>
      <c r="AO770" s="50"/>
      <c r="AP770" s="50"/>
    </row>
    <row r="771" ht="15.75" customHeight="1">
      <c r="A771" s="49"/>
      <c r="H771" s="22"/>
      <c r="AB771" s="50"/>
      <c r="AC771" s="50"/>
      <c r="AN771" s="50"/>
      <c r="AO771" s="50"/>
      <c r="AP771" s="50"/>
    </row>
    <row r="772" ht="15.75" customHeight="1">
      <c r="A772" s="49"/>
      <c r="H772" s="22"/>
      <c r="AB772" s="50"/>
      <c r="AC772" s="50"/>
      <c r="AN772" s="50"/>
      <c r="AO772" s="50"/>
      <c r="AP772" s="50"/>
    </row>
    <row r="773" ht="15.75" customHeight="1">
      <c r="A773" s="49"/>
      <c r="H773" s="22"/>
      <c r="AB773" s="50"/>
      <c r="AC773" s="50"/>
      <c r="AN773" s="50"/>
      <c r="AO773" s="50"/>
      <c r="AP773" s="50"/>
    </row>
    <row r="774" ht="15.75" customHeight="1">
      <c r="A774" s="49"/>
      <c r="H774" s="22"/>
      <c r="AB774" s="50"/>
      <c r="AC774" s="50"/>
      <c r="AN774" s="50"/>
      <c r="AO774" s="50"/>
      <c r="AP774" s="50"/>
    </row>
    <row r="775" ht="15.75" customHeight="1">
      <c r="A775" s="49"/>
      <c r="H775" s="22"/>
      <c r="AB775" s="50"/>
      <c r="AC775" s="50"/>
      <c r="AN775" s="50"/>
      <c r="AO775" s="50"/>
      <c r="AP775" s="50"/>
    </row>
    <row r="776" ht="15.75" customHeight="1">
      <c r="A776" s="49"/>
      <c r="H776" s="22"/>
      <c r="AB776" s="50"/>
      <c r="AC776" s="50"/>
      <c r="AN776" s="50"/>
      <c r="AO776" s="50"/>
      <c r="AP776" s="50"/>
    </row>
    <row r="777" ht="15.75" customHeight="1">
      <c r="A777" s="49"/>
      <c r="H777" s="22"/>
      <c r="AB777" s="50"/>
      <c r="AC777" s="50"/>
      <c r="AN777" s="50"/>
      <c r="AO777" s="50"/>
      <c r="AP777" s="50"/>
    </row>
    <row r="778" ht="15.75" customHeight="1">
      <c r="A778" s="49"/>
      <c r="H778" s="22"/>
      <c r="AB778" s="50"/>
      <c r="AC778" s="50"/>
      <c r="AN778" s="50"/>
      <c r="AO778" s="50"/>
      <c r="AP778" s="50"/>
    </row>
    <row r="779" ht="15.75" customHeight="1">
      <c r="A779" s="49"/>
      <c r="H779" s="22"/>
      <c r="AB779" s="50"/>
      <c r="AC779" s="50"/>
      <c r="AN779" s="50"/>
      <c r="AO779" s="50"/>
      <c r="AP779" s="50"/>
    </row>
    <row r="780" ht="15.75" customHeight="1">
      <c r="A780" s="49"/>
      <c r="H780" s="22"/>
      <c r="AB780" s="50"/>
      <c r="AC780" s="50"/>
      <c r="AN780" s="50"/>
      <c r="AO780" s="50"/>
      <c r="AP780" s="50"/>
    </row>
    <row r="781" ht="15.75" customHeight="1">
      <c r="A781" s="49"/>
      <c r="H781" s="22"/>
      <c r="AB781" s="50"/>
      <c r="AC781" s="50"/>
      <c r="AN781" s="50"/>
      <c r="AO781" s="50"/>
      <c r="AP781" s="50"/>
    </row>
    <row r="782" ht="15.75" customHeight="1">
      <c r="A782" s="49"/>
      <c r="H782" s="22"/>
      <c r="AB782" s="50"/>
      <c r="AC782" s="50"/>
      <c r="AN782" s="50"/>
      <c r="AO782" s="50"/>
      <c r="AP782" s="50"/>
    </row>
    <row r="783" ht="15.75" customHeight="1">
      <c r="A783" s="49"/>
      <c r="H783" s="22"/>
      <c r="AB783" s="50"/>
      <c r="AC783" s="50"/>
      <c r="AN783" s="50"/>
      <c r="AO783" s="50"/>
      <c r="AP783" s="50"/>
    </row>
    <row r="784" ht="15.75" customHeight="1">
      <c r="A784" s="49"/>
      <c r="H784" s="22"/>
      <c r="AB784" s="50"/>
      <c r="AC784" s="50"/>
      <c r="AN784" s="50"/>
      <c r="AO784" s="50"/>
      <c r="AP784" s="50"/>
    </row>
    <row r="785" ht="15.75" customHeight="1">
      <c r="A785" s="49"/>
      <c r="H785" s="22"/>
      <c r="AB785" s="50"/>
      <c r="AC785" s="50"/>
      <c r="AN785" s="50"/>
      <c r="AO785" s="50"/>
      <c r="AP785" s="50"/>
    </row>
    <row r="786" ht="15.75" customHeight="1">
      <c r="A786" s="49"/>
      <c r="H786" s="22"/>
      <c r="AB786" s="50"/>
      <c r="AC786" s="50"/>
      <c r="AN786" s="50"/>
      <c r="AO786" s="50"/>
      <c r="AP786" s="50"/>
    </row>
    <row r="787" ht="15.75" customHeight="1">
      <c r="A787" s="49"/>
      <c r="H787" s="22"/>
      <c r="AB787" s="50"/>
      <c r="AC787" s="50"/>
      <c r="AN787" s="50"/>
      <c r="AO787" s="50"/>
      <c r="AP787" s="50"/>
    </row>
    <row r="788" ht="15.75" customHeight="1">
      <c r="A788" s="49"/>
      <c r="H788" s="22"/>
      <c r="AB788" s="50"/>
      <c r="AC788" s="50"/>
      <c r="AN788" s="50"/>
      <c r="AO788" s="50"/>
      <c r="AP788" s="50"/>
    </row>
    <row r="789" ht="15.75" customHeight="1">
      <c r="A789" s="49"/>
      <c r="H789" s="22"/>
      <c r="AB789" s="50"/>
      <c r="AC789" s="50"/>
      <c r="AN789" s="50"/>
      <c r="AO789" s="50"/>
      <c r="AP789" s="50"/>
    </row>
    <row r="790" ht="15.75" customHeight="1">
      <c r="A790" s="49"/>
      <c r="H790" s="22"/>
      <c r="AB790" s="50"/>
      <c r="AC790" s="50"/>
      <c r="AN790" s="50"/>
      <c r="AO790" s="50"/>
      <c r="AP790" s="50"/>
    </row>
    <row r="791" ht="15.75" customHeight="1">
      <c r="A791" s="49"/>
      <c r="H791" s="22"/>
      <c r="AB791" s="50"/>
      <c r="AC791" s="50"/>
      <c r="AN791" s="50"/>
      <c r="AO791" s="50"/>
      <c r="AP791" s="50"/>
    </row>
    <row r="792" ht="15.75" customHeight="1">
      <c r="A792" s="49"/>
      <c r="H792" s="22"/>
      <c r="AB792" s="50"/>
      <c r="AC792" s="50"/>
      <c r="AN792" s="50"/>
      <c r="AO792" s="50"/>
      <c r="AP792" s="50"/>
    </row>
    <row r="793" ht="15.75" customHeight="1">
      <c r="A793" s="49"/>
      <c r="H793" s="22"/>
      <c r="AB793" s="50"/>
      <c r="AC793" s="50"/>
      <c r="AN793" s="50"/>
      <c r="AO793" s="50"/>
      <c r="AP793" s="50"/>
    </row>
    <row r="794" ht="15.75" customHeight="1">
      <c r="A794" s="49"/>
      <c r="H794" s="22"/>
      <c r="AB794" s="50"/>
      <c r="AC794" s="50"/>
      <c r="AN794" s="50"/>
      <c r="AO794" s="50"/>
      <c r="AP794" s="50"/>
    </row>
    <row r="795" ht="15.75" customHeight="1">
      <c r="A795" s="49"/>
      <c r="H795" s="22"/>
      <c r="AB795" s="50"/>
      <c r="AC795" s="50"/>
      <c r="AN795" s="50"/>
      <c r="AO795" s="50"/>
      <c r="AP795" s="50"/>
    </row>
    <row r="796" ht="15.75" customHeight="1">
      <c r="A796" s="49"/>
      <c r="H796" s="22"/>
      <c r="AB796" s="50"/>
      <c r="AC796" s="50"/>
      <c r="AN796" s="50"/>
      <c r="AO796" s="50"/>
      <c r="AP796" s="50"/>
    </row>
    <row r="797" ht="15.75" customHeight="1">
      <c r="A797" s="49"/>
      <c r="H797" s="22"/>
      <c r="AB797" s="50"/>
      <c r="AC797" s="50"/>
      <c r="AN797" s="50"/>
      <c r="AO797" s="50"/>
      <c r="AP797" s="50"/>
    </row>
    <row r="798" ht="15.75" customHeight="1">
      <c r="A798" s="49"/>
      <c r="H798" s="22"/>
      <c r="AB798" s="50"/>
      <c r="AC798" s="50"/>
      <c r="AN798" s="50"/>
      <c r="AO798" s="50"/>
      <c r="AP798" s="50"/>
    </row>
    <row r="799" ht="15.75" customHeight="1">
      <c r="A799" s="49"/>
      <c r="H799" s="22"/>
      <c r="AB799" s="50"/>
      <c r="AC799" s="50"/>
      <c r="AN799" s="50"/>
      <c r="AO799" s="50"/>
      <c r="AP799" s="50"/>
    </row>
    <row r="800" ht="15.75" customHeight="1">
      <c r="A800" s="49"/>
      <c r="H800" s="22"/>
      <c r="AB800" s="50"/>
      <c r="AC800" s="50"/>
      <c r="AN800" s="50"/>
      <c r="AO800" s="50"/>
      <c r="AP800" s="50"/>
    </row>
    <row r="801" ht="15.75" customHeight="1">
      <c r="A801" s="49"/>
      <c r="H801" s="22"/>
      <c r="AB801" s="50"/>
      <c r="AC801" s="50"/>
      <c r="AN801" s="50"/>
      <c r="AO801" s="50"/>
      <c r="AP801" s="50"/>
    </row>
    <row r="802" ht="15.75" customHeight="1">
      <c r="A802" s="49"/>
      <c r="H802" s="22"/>
      <c r="AB802" s="50"/>
      <c r="AC802" s="50"/>
      <c r="AN802" s="50"/>
      <c r="AO802" s="50"/>
      <c r="AP802" s="50"/>
    </row>
    <row r="803" ht="15.75" customHeight="1">
      <c r="A803" s="49"/>
      <c r="H803" s="22"/>
      <c r="AB803" s="50"/>
      <c r="AC803" s="50"/>
      <c r="AN803" s="50"/>
      <c r="AO803" s="50"/>
      <c r="AP803" s="50"/>
    </row>
    <row r="804" ht="15.75" customHeight="1">
      <c r="A804" s="49"/>
      <c r="H804" s="22"/>
      <c r="AB804" s="50"/>
      <c r="AC804" s="50"/>
      <c r="AN804" s="50"/>
      <c r="AO804" s="50"/>
      <c r="AP804" s="50"/>
    </row>
    <row r="805" ht="15.75" customHeight="1">
      <c r="A805" s="49"/>
      <c r="H805" s="22"/>
      <c r="AB805" s="50"/>
      <c r="AC805" s="50"/>
      <c r="AN805" s="50"/>
      <c r="AO805" s="50"/>
      <c r="AP805" s="50"/>
    </row>
    <row r="806" ht="15.75" customHeight="1">
      <c r="A806" s="49"/>
      <c r="H806" s="22"/>
      <c r="AB806" s="50"/>
      <c r="AC806" s="50"/>
      <c r="AN806" s="50"/>
      <c r="AO806" s="50"/>
      <c r="AP806" s="50"/>
    </row>
    <row r="807" ht="15.75" customHeight="1">
      <c r="A807" s="49"/>
      <c r="H807" s="22"/>
      <c r="AB807" s="50"/>
      <c r="AC807" s="50"/>
      <c r="AN807" s="50"/>
      <c r="AO807" s="50"/>
      <c r="AP807" s="50"/>
    </row>
    <row r="808" ht="15.75" customHeight="1">
      <c r="A808" s="49"/>
      <c r="H808" s="22"/>
      <c r="AB808" s="50"/>
      <c r="AC808" s="50"/>
      <c r="AN808" s="50"/>
      <c r="AO808" s="50"/>
      <c r="AP808" s="50"/>
    </row>
    <row r="809" ht="15.75" customHeight="1">
      <c r="A809" s="49"/>
      <c r="H809" s="22"/>
      <c r="AB809" s="50"/>
      <c r="AC809" s="50"/>
      <c r="AN809" s="50"/>
      <c r="AO809" s="50"/>
      <c r="AP809" s="50"/>
    </row>
    <row r="810" ht="15.75" customHeight="1">
      <c r="A810" s="49"/>
      <c r="H810" s="22"/>
      <c r="AB810" s="50"/>
      <c r="AC810" s="50"/>
      <c r="AN810" s="50"/>
      <c r="AO810" s="50"/>
      <c r="AP810" s="50"/>
    </row>
    <row r="811" ht="15.75" customHeight="1">
      <c r="A811" s="49"/>
      <c r="H811" s="22"/>
      <c r="AB811" s="50"/>
      <c r="AC811" s="50"/>
      <c r="AN811" s="50"/>
      <c r="AO811" s="50"/>
      <c r="AP811" s="50"/>
    </row>
    <row r="812" ht="15.75" customHeight="1">
      <c r="A812" s="49"/>
      <c r="H812" s="22"/>
      <c r="AB812" s="50"/>
      <c r="AC812" s="50"/>
      <c r="AN812" s="50"/>
      <c r="AO812" s="50"/>
      <c r="AP812" s="50"/>
    </row>
    <row r="813" ht="15.75" customHeight="1">
      <c r="A813" s="49"/>
      <c r="H813" s="22"/>
      <c r="AB813" s="50"/>
      <c r="AC813" s="50"/>
      <c r="AN813" s="50"/>
      <c r="AO813" s="50"/>
      <c r="AP813" s="50"/>
    </row>
    <row r="814" ht="15.75" customHeight="1">
      <c r="A814" s="49"/>
      <c r="H814" s="22"/>
      <c r="AB814" s="50"/>
      <c r="AC814" s="50"/>
      <c r="AN814" s="50"/>
      <c r="AO814" s="50"/>
      <c r="AP814" s="50"/>
    </row>
    <row r="815" ht="15.75" customHeight="1">
      <c r="A815" s="49"/>
      <c r="H815" s="22"/>
      <c r="AB815" s="50"/>
      <c r="AC815" s="50"/>
      <c r="AN815" s="50"/>
      <c r="AO815" s="50"/>
      <c r="AP815" s="50"/>
    </row>
    <row r="816" ht="15.75" customHeight="1">
      <c r="A816" s="49"/>
      <c r="H816" s="22"/>
      <c r="AB816" s="50"/>
      <c r="AC816" s="50"/>
      <c r="AN816" s="50"/>
      <c r="AO816" s="50"/>
      <c r="AP816" s="50"/>
    </row>
    <row r="817" ht="15.75" customHeight="1">
      <c r="A817" s="49"/>
      <c r="H817" s="22"/>
      <c r="AB817" s="50"/>
      <c r="AC817" s="50"/>
      <c r="AN817" s="50"/>
      <c r="AO817" s="50"/>
      <c r="AP817" s="50"/>
    </row>
    <row r="818" ht="15.75" customHeight="1">
      <c r="A818" s="49"/>
      <c r="H818" s="22"/>
      <c r="AB818" s="50"/>
      <c r="AC818" s="50"/>
      <c r="AN818" s="50"/>
      <c r="AO818" s="50"/>
      <c r="AP818" s="50"/>
    </row>
    <row r="819" ht="15.75" customHeight="1">
      <c r="A819" s="49"/>
      <c r="H819" s="22"/>
      <c r="AB819" s="50"/>
      <c r="AC819" s="50"/>
      <c r="AN819" s="50"/>
      <c r="AO819" s="50"/>
      <c r="AP819" s="50"/>
    </row>
    <row r="820" ht="15.75" customHeight="1">
      <c r="A820" s="49"/>
      <c r="H820" s="22"/>
      <c r="AB820" s="50"/>
      <c r="AC820" s="50"/>
      <c r="AN820" s="50"/>
      <c r="AO820" s="50"/>
      <c r="AP820" s="50"/>
    </row>
    <row r="821" ht="15.75" customHeight="1">
      <c r="A821" s="49"/>
      <c r="H821" s="22"/>
      <c r="AB821" s="50"/>
      <c r="AC821" s="50"/>
      <c r="AN821" s="50"/>
      <c r="AO821" s="50"/>
      <c r="AP821" s="50"/>
    </row>
    <row r="822" ht="15.75" customHeight="1">
      <c r="A822" s="49"/>
      <c r="H822" s="22"/>
      <c r="AB822" s="50"/>
      <c r="AC822" s="50"/>
      <c r="AN822" s="50"/>
      <c r="AO822" s="50"/>
      <c r="AP822" s="50"/>
    </row>
    <row r="823" ht="15.75" customHeight="1">
      <c r="A823" s="49"/>
      <c r="H823" s="22"/>
      <c r="AB823" s="50"/>
      <c r="AC823" s="50"/>
      <c r="AN823" s="50"/>
      <c r="AO823" s="50"/>
      <c r="AP823" s="50"/>
    </row>
    <row r="824" ht="15.75" customHeight="1">
      <c r="A824" s="49"/>
      <c r="H824" s="22"/>
      <c r="AB824" s="50"/>
      <c r="AC824" s="50"/>
      <c r="AN824" s="50"/>
      <c r="AO824" s="50"/>
      <c r="AP824" s="50"/>
    </row>
    <row r="825" ht="15.75" customHeight="1">
      <c r="A825" s="49"/>
      <c r="H825" s="22"/>
      <c r="AB825" s="50"/>
      <c r="AC825" s="50"/>
      <c r="AN825" s="50"/>
      <c r="AO825" s="50"/>
      <c r="AP825" s="50"/>
    </row>
    <row r="826" ht="15.75" customHeight="1">
      <c r="A826" s="49"/>
      <c r="H826" s="22"/>
      <c r="AB826" s="50"/>
      <c r="AC826" s="50"/>
      <c r="AN826" s="50"/>
      <c r="AO826" s="50"/>
      <c r="AP826" s="50"/>
    </row>
    <row r="827" ht="15.75" customHeight="1">
      <c r="A827" s="49"/>
      <c r="H827" s="22"/>
      <c r="AB827" s="50"/>
      <c r="AC827" s="50"/>
      <c r="AN827" s="50"/>
      <c r="AO827" s="50"/>
      <c r="AP827" s="50"/>
    </row>
    <row r="828" ht="15.75" customHeight="1">
      <c r="A828" s="49"/>
      <c r="H828" s="22"/>
      <c r="AB828" s="50"/>
      <c r="AC828" s="50"/>
      <c r="AN828" s="50"/>
      <c r="AO828" s="50"/>
      <c r="AP828" s="50"/>
    </row>
    <row r="829" ht="15.75" customHeight="1">
      <c r="A829" s="49"/>
      <c r="H829" s="22"/>
      <c r="AB829" s="50"/>
      <c r="AC829" s="50"/>
      <c r="AN829" s="50"/>
      <c r="AO829" s="50"/>
      <c r="AP829" s="50"/>
    </row>
    <row r="830" ht="15.75" customHeight="1">
      <c r="A830" s="49"/>
      <c r="H830" s="22"/>
      <c r="AB830" s="50"/>
      <c r="AC830" s="50"/>
      <c r="AN830" s="50"/>
      <c r="AO830" s="50"/>
      <c r="AP830" s="50"/>
    </row>
    <row r="831" ht="15.75" customHeight="1">
      <c r="A831" s="49"/>
      <c r="H831" s="22"/>
      <c r="AB831" s="50"/>
      <c r="AC831" s="50"/>
      <c r="AN831" s="50"/>
      <c r="AO831" s="50"/>
      <c r="AP831" s="50"/>
    </row>
    <row r="832" ht="15.75" customHeight="1">
      <c r="A832" s="49"/>
      <c r="H832" s="22"/>
      <c r="AB832" s="50"/>
      <c r="AC832" s="50"/>
      <c r="AN832" s="50"/>
      <c r="AO832" s="50"/>
      <c r="AP832" s="50"/>
    </row>
    <row r="833" ht="15.75" customHeight="1">
      <c r="A833" s="49"/>
      <c r="H833" s="22"/>
      <c r="AB833" s="50"/>
      <c r="AC833" s="50"/>
      <c r="AN833" s="50"/>
      <c r="AO833" s="50"/>
      <c r="AP833" s="50"/>
    </row>
    <row r="834" ht="15.75" customHeight="1">
      <c r="A834" s="49"/>
      <c r="H834" s="22"/>
      <c r="AB834" s="50"/>
      <c r="AC834" s="50"/>
      <c r="AN834" s="50"/>
      <c r="AO834" s="50"/>
      <c r="AP834" s="50"/>
    </row>
    <row r="835" ht="15.75" customHeight="1">
      <c r="A835" s="49"/>
      <c r="H835" s="22"/>
      <c r="AB835" s="50"/>
      <c r="AC835" s="50"/>
      <c r="AN835" s="50"/>
      <c r="AO835" s="50"/>
      <c r="AP835" s="50"/>
    </row>
    <row r="836" ht="15.75" customHeight="1">
      <c r="A836" s="49"/>
      <c r="H836" s="22"/>
      <c r="AB836" s="50"/>
      <c r="AC836" s="50"/>
      <c r="AN836" s="50"/>
      <c r="AO836" s="50"/>
      <c r="AP836" s="50"/>
    </row>
    <row r="837" ht="15.75" customHeight="1">
      <c r="A837" s="49"/>
      <c r="H837" s="22"/>
      <c r="AB837" s="50"/>
      <c r="AC837" s="50"/>
      <c r="AN837" s="50"/>
      <c r="AO837" s="50"/>
      <c r="AP837" s="50"/>
    </row>
    <row r="838" ht="15.75" customHeight="1">
      <c r="A838" s="49"/>
      <c r="H838" s="22"/>
      <c r="AB838" s="50"/>
      <c r="AC838" s="50"/>
      <c r="AN838" s="50"/>
      <c r="AO838" s="50"/>
      <c r="AP838" s="50"/>
    </row>
    <row r="839" ht="15.75" customHeight="1">
      <c r="A839" s="49"/>
      <c r="H839" s="22"/>
      <c r="AB839" s="50"/>
      <c r="AC839" s="50"/>
      <c r="AN839" s="50"/>
      <c r="AO839" s="50"/>
      <c r="AP839" s="50"/>
    </row>
    <row r="840" ht="15.75" customHeight="1">
      <c r="A840" s="49"/>
      <c r="H840" s="22"/>
      <c r="AB840" s="50"/>
      <c r="AC840" s="50"/>
      <c r="AN840" s="50"/>
      <c r="AO840" s="50"/>
      <c r="AP840" s="50"/>
    </row>
    <row r="841" ht="15.75" customHeight="1">
      <c r="A841" s="49"/>
      <c r="H841" s="22"/>
      <c r="AB841" s="50"/>
      <c r="AC841" s="50"/>
      <c r="AN841" s="50"/>
      <c r="AO841" s="50"/>
      <c r="AP841" s="50"/>
    </row>
    <row r="842" ht="15.75" customHeight="1">
      <c r="A842" s="49"/>
      <c r="H842" s="22"/>
      <c r="AB842" s="50"/>
      <c r="AC842" s="50"/>
      <c r="AN842" s="50"/>
      <c r="AO842" s="50"/>
      <c r="AP842" s="50"/>
    </row>
    <row r="843" ht="15.75" customHeight="1">
      <c r="A843" s="49"/>
      <c r="H843" s="22"/>
      <c r="AB843" s="50"/>
      <c r="AC843" s="50"/>
      <c r="AN843" s="50"/>
      <c r="AO843" s="50"/>
      <c r="AP843" s="50"/>
    </row>
    <row r="844" ht="15.75" customHeight="1">
      <c r="A844" s="49"/>
      <c r="H844" s="22"/>
      <c r="AB844" s="50"/>
      <c r="AC844" s="50"/>
      <c r="AN844" s="50"/>
      <c r="AO844" s="50"/>
      <c r="AP844" s="50"/>
    </row>
    <row r="845" ht="15.75" customHeight="1">
      <c r="A845" s="49"/>
      <c r="H845" s="22"/>
      <c r="AB845" s="50"/>
      <c r="AC845" s="50"/>
      <c r="AN845" s="50"/>
      <c r="AO845" s="50"/>
      <c r="AP845" s="50"/>
    </row>
    <row r="846" ht="15.75" customHeight="1">
      <c r="A846" s="49"/>
      <c r="H846" s="22"/>
      <c r="AB846" s="50"/>
      <c r="AC846" s="50"/>
      <c r="AN846" s="50"/>
      <c r="AO846" s="50"/>
      <c r="AP846" s="50"/>
    </row>
    <row r="847" ht="15.75" customHeight="1">
      <c r="A847" s="49"/>
      <c r="H847" s="22"/>
      <c r="AB847" s="50"/>
      <c r="AC847" s="50"/>
      <c r="AN847" s="50"/>
      <c r="AO847" s="50"/>
      <c r="AP847" s="50"/>
    </row>
    <row r="848" ht="15.75" customHeight="1">
      <c r="A848" s="49"/>
      <c r="H848" s="22"/>
      <c r="AB848" s="50"/>
      <c r="AC848" s="50"/>
      <c r="AN848" s="50"/>
      <c r="AO848" s="50"/>
      <c r="AP848" s="50"/>
    </row>
    <row r="849" ht="15.75" customHeight="1">
      <c r="A849" s="49"/>
      <c r="H849" s="22"/>
      <c r="AB849" s="50"/>
      <c r="AC849" s="50"/>
      <c r="AN849" s="50"/>
      <c r="AO849" s="50"/>
      <c r="AP849" s="50"/>
    </row>
    <row r="850" ht="15.75" customHeight="1">
      <c r="A850" s="49"/>
      <c r="H850" s="22"/>
      <c r="AB850" s="50"/>
      <c r="AC850" s="50"/>
      <c r="AN850" s="50"/>
      <c r="AO850" s="50"/>
      <c r="AP850" s="50"/>
    </row>
    <row r="851" ht="15.75" customHeight="1">
      <c r="A851" s="49"/>
      <c r="H851" s="22"/>
      <c r="AB851" s="50"/>
      <c r="AC851" s="50"/>
      <c r="AN851" s="50"/>
      <c r="AO851" s="50"/>
      <c r="AP851" s="50"/>
    </row>
    <row r="852" ht="15.75" customHeight="1">
      <c r="A852" s="49"/>
      <c r="H852" s="22"/>
      <c r="AB852" s="50"/>
      <c r="AC852" s="50"/>
      <c r="AN852" s="50"/>
      <c r="AO852" s="50"/>
      <c r="AP852" s="50"/>
    </row>
    <row r="853" ht="15.75" customHeight="1">
      <c r="A853" s="49"/>
      <c r="H853" s="22"/>
      <c r="AB853" s="50"/>
      <c r="AC853" s="50"/>
      <c r="AN853" s="50"/>
      <c r="AO853" s="50"/>
      <c r="AP853" s="50"/>
    </row>
    <row r="854" ht="15.75" customHeight="1">
      <c r="A854" s="49"/>
      <c r="H854" s="22"/>
      <c r="AB854" s="50"/>
      <c r="AC854" s="50"/>
      <c r="AN854" s="50"/>
      <c r="AO854" s="50"/>
      <c r="AP854" s="50"/>
    </row>
    <row r="855" ht="15.75" customHeight="1">
      <c r="A855" s="49"/>
      <c r="H855" s="22"/>
      <c r="AB855" s="50"/>
      <c r="AC855" s="50"/>
      <c r="AN855" s="50"/>
      <c r="AO855" s="50"/>
      <c r="AP855" s="50"/>
    </row>
    <row r="856" ht="15.75" customHeight="1">
      <c r="A856" s="49"/>
      <c r="H856" s="22"/>
      <c r="AB856" s="50"/>
      <c r="AC856" s="50"/>
      <c r="AN856" s="50"/>
      <c r="AO856" s="50"/>
      <c r="AP856" s="50"/>
    </row>
    <row r="857" ht="15.75" customHeight="1">
      <c r="A857" s="49"/>
      <c r="H857" s="22"/>
      <c r="AB857" s="50"/>
      <c r="AC857" s="50"/>
      <c r="AN857" s="50"/>
      <c r="AO857" s="50"/>
      <c r="AP857" s="50"/>
    </row>
    <row r="858" ht="15.75" customHeight="1">
      <c r="A858" s="49"/>
      <c r="H858" s="22"/>
      <c r="AB858" s="50"/>
      <c r="AC858" s="50"/>
      <c r="AN858" s="50"/>
      <c r="AO858" s="50"/>
      <c r="AP858" s="50"/>
    </row>
    <row r="859" ht="15.75" customHeight="1">
      <c r="A859" s="49"/>
      <c r="H859" s="22"/>
      <c r="AB859" s="50"/>
      <c r="AC859" s="50"/>
      <c r="AN859" s="50"/>
      <c r="AO859" s="50"/>
      <c r="AP859" s="50"/>
    </row>
    <row r="860" ht="15.75" customHeight="1">
      <c r="A860" s="49"/>
      <c r="H860" s="22"/>
      <c r="AB860" s="50"/>
      <c r="AC860" s="50"/>
      <c r="AN860" s="50"/>
      <c r="AO860" s="50"/>
      <c r="AP860" s="50"/>
    </row>
    <row r="861" ht="15.75" customHeight="1">
      <c r="A861" s="49"/>
      <c r="H861" s="22"/>
      <c r="AB861" s="50"/>
      <c r="AC861" s="50"/>
      <c r="AN861" s="50"/>
      <c r="AO861" s="50"/>
      <c r="AP861" s="50"/>
    </row>
    <row r="862" ht="15.75" customHeight="1">
      <c r="A862" s="49"/>
      <c r="H862" s="22"/>
      <c r="AB862" s="50"/>
      <c r="AC862" s="50"/>
      <c r="AN862" s="50"/>
      <c r="AO862" s="50"/>
      <c r="AP862" s="50"/>
    </row>
    <row r="863" ht="15.75" customHeight="1">
      <c r="A863" s="49"/>
      <c r="H863" s="22"/>
      <c r="AB863" s="50"/>
      <c r="AC863" s="50"/>
      <c r="AN863" s="50"/>
      <c r="AO863" s="50"/>
      <c r="AP863" s="50"/>
    </row>
    <row r="864" ht="15.75" customHeight="1">
      <c r="A864" s="49"/>
      <c r="H864" s="22"/>
      <c r="AB864" s="50"/>
      <c r="AC864" s="50"/>
      <c r="AN864" s="50"/>
      <c r="AO864" s="50"/>
      <c r="AP864" s="50"/>
    </row>
    <row r="865" ht="15.75" customHeight="1">
      <c r="A865" s="49"/>
      <c r="H865" s="22"/>
      <c r="AB865" s="50"/>
      <c r="AC865" s="50"/>
      <c r="AN865" s="50"/>
      <c r="AO865" s="50"/>
      <c r="AP865" s="50"/>
    </row>
    <row r="866" ht="15.75" customHeight="1">
      <c r="A866" s="49"/>
      <c r="H866" s="22"/>
      <c r="AB866" s="50"/>
      <c r="AC866" s="50"/>
      <c r="AN866" s="50"/>
      <c r="AO866" s="50"/>
      <c r="AP866" s="50"/>
    </row>
    <row r="867" ht="15.75" customHeight="1">
      <c r="A867" s="49"/>
      <c r="H867" s="22"/>
      <c r="AB867" s="50"/>
      <c r="AC867" s="50"/>
      <c r="AN867" s="50"/>
      <c r="AO867" s="50"/>
      <c r="AP867" s="50"/>
    </row>
    <row r="868" ht="15.75" customHeight="1">
      <c r="A868" s="49"/>
      <c r="H868" s="22"/>
      <c r="AB868" s="50"/>
      <c r="AC868" s="50"/>
      <c r="AN868" s="50"/>
      <c r="AO868" s="50"/>
      <c r="AP868" s="50"/>
    </row>
    <row r="869" ht="15.75" customHeight="1">
      <c r="A869" s="49"/>
      <c r="H869" s="22"/>
      <c r="AB869" s="50"/>
      <c r="AC869" s="50"/>
      <c r="AN869" s="50"/>
      <c r="AO869" s="50"/>
      <c r="AP869" s="50"/>
    </row>
    <row r="870" ht="15.75" customHeight="1">
      <c r="A870" s="49"/>
      <c r="H870" s="22"/>
      <c r="AB870" s="50"/>
      <c r="AC870" s="50"/>
      <c r="AN870" s="50"/>
      <c r="AO870" s="50"/>
      <c r="AP870" s="50"/>
    </row>
    <row r="871" ht="15.75" customHeight="1">
      <c r="A871" s="49"/>
      <c r="H871" s="22"/>
      <c r="AB871" s="50"/>
      <c r="AC871" s="50"/>
      <c r="AN871" s="50"/>
      <c r="AO871" s="50"/>
      <c r="AP871" s="50"/>
    </row>
    <row r="872" ht="15.75" customHeight="1">
      <c r="A872" s="49"/>
      <c r="H872" s="22"/>
      <c r="AB872" s="50"/>
      <c r="AC872" s="50"/>
      <c r="AN872" s="50"/>
      <c r="AO872" s="50"/>
      <c r="AP872" s="50"/>
    </row>
    <row r="873" ht="15.75" customHeight="1">
      <c r="A873" s="49"/>
      <c r="H873" s="22"/>
      <c r="AB873" s="50"/>
      <c r="AC873" s="50"/>
      <c r="AN873" s="50"/>
      <c r="AO873" s="50"/>
      <c r="AP873" s="50"/>
    </row>
    <row r="874" ht="15.75" customHeight="1">
      <c r="A874" s="49"/>
      <c r="H874" s="22"/>
      <c r="AB874" s="50"/>
      <c r="AC874" s="50"/>
      <c r="AN874" s="50"/>
      <c r="AO874" s="50"/>
      <c r="AP874" s="50"/>
    </row>
    <row r="875" ht="15.75" customHeight="1">
      <c r="A875" s="49"/>
      <c r="H875" s="22"/>
      <c r="AB875" s="50"/>
      <c r="AC875" s="50"/>
      <c r="AN875" s="50"/>
      <c r="AO875" s="50"/>
      <c r="AP875" s="50"/>
    </row>
    <row r="876" ht="15.75" customHeight="1">
      <c r="A876" s="49"/>
      <c r="H876" s="22"/>
      <c r="AB876" s="50"/>
      <c r="AC876" s="50"/>
      <c r="AN876" s="50"/>
      <c r="AO876" s="50"/>
      <c r="AP876" s="50"/>
    </row>
    <row r="877" ht="15.75" customHeight="1">
      <c r="A877" s="49"/>
      <c r="H877" s="22"/>
      <c r="AB877" s="50"/>
      <c r="AC877" s="50"/>
      <c r="AN877" s="50"/>
      <c r="AO877" s="50"/>
      <c r="AP877" s="50"/>
    </row>
    <row r="878" ht="15.75" customHeight="1">
      <c r="A878" s="49"/>
      <c r="H878" s="22"/>
      <c r="AB878" s="50"/>
      <c r="AC878" s="50"/>
      <c r="AN878" s="50"/>
      <c r="AO878" s="50"/>
      <c r="AP878" s="50"/>
    </row>
    <row r="879" ht="15.75" customHeight="1">
      <c r="A879" s="49"/>
      <c r="H879" s="22"/>
      <c r="AB879" s="50"/>
      <c r="AC879" s="50"/>
      <c r="AN879" s="50"/>
      <c r="AO879" s="50"/>
      <c r="AP879" s="50"/>
    </row>
    <row r="880" ht="15.75" customHeight="1">
      <c r="A880" s="49"/>
      <c r="H880" s="22"/>
      <c r="AB880" s="50"/>
      <c r="AC880" s="50"/>
      <c r="AN880" s="50"/>
      <c r="AO880" s="50"/>
      <c r="AP880" s="50"/>
    </row>
    <row r="881" ht="15.75" customHeight="1">
      <c r="A881" s="49"/>
      <c r="H881" s="22"/>
      <c r="AB881" s="50"/>
      <c r="AC881" s="50"/>
      <c r="AN881" s="50"/>
      <c r="AO881" s="50"/>
      <c r="AP881" s="50"/>
    </row>
    <row r="882" ht="15.75" customHeight="1">
      <c r="A882" s="49"/>
      <c r="H882" s="22"/>
      <c r="AB882" s="50"/>
      <c r="AC882" s="50"/>
      <c r="AN882" s="50"/>
      <c r="AO882" s="50"/>
      <c r="AP882" s="50"/>
    </row>
    <row r="883" ht="15.75" customHeight="1">
      <c r="A883" s="49"/>
      <c r="H883" s="22"/>
      <c r="AB883" s="50"/>
      <c r="AC883" s="50"/>
      <c r="AN883" s="50"/>
      <c r="AO883" s="50"/>
      <c r="AP883" s="50"/>
    </row>
    <row r="884" ht="15.75" customHeight="1">
      <c r="A884" s="49"/>
      <c r="H884" s="22"/>
      <c r="AB884" s="50"/>
      <c r="AC884" s="50"/>
      <c r="AN884" s="50"/>
      <c r="AO884" s="50"/>
      <c r="AP884" s="50"/>
    </row>
    <row r="885" ht="15.75" customHeight="1">
      <c r="A885" s="49"/>
      <c r="H885" s="22"/>
      <c r="AB885" s="50"/>
      <c r="AC885" s="50"/>
      <c r="AN885" s="50"/>
      <c r="AO885" s="50"/>
      <c r="AP885" s="50"/>
    </row>
    <row r="886" ht="15.75" customHeight="1">
      <c r="A886" s="49"/>
      <c r="H886" s="22"/>
      <c r="AB886" s="50"/>
      <c r="AC886" s="50"/>
      <c r="AN886" s="50"/>
      <c r="AO886" s="50"/>
      <c r="AP886" s="50"/>
    </row>
    <row r="887" ht="15.75" customHeight="1">
      <c r="A887" s="49"/>
      <c r="H887" s="22"/>
      <c r="AB887" s="50"/>
      <c r="AC887" s="50"/>
      <c r="AN887" s="50"/>
      <c r="AO887" s="50"/>
      <c r="AP887" s="50"/>
    </row>
    <row r="888" ht="15.75" customHeight="1">
      <c r="A888" s="49"/>
      <c r="H888" s="22"/>
      <c r="AB888" s="50"/>
      <c r="AC888" s="50"/>
      <c r="AN888" s="50"/>
      <c r="AO888" s="50"/>
      <c r="AP888" s="50"/>
    </row>
    <row r="889" ht="15.75" customHeight="1">
      <c r="A889" s="49"/>
      <c r="H889" s="22"/>
      <c r="AB889" s="50"/>
      <c r="AC889" s="50"/>
      <c r="AN889" s="50"/>
      <c r="AO889" s="50"/>
      <c r="AP889" s="50"/>
    </row>
    <row r="890" ht="15.75" customHeight="1">
      <c r="A890" s="49"/>
      <c r="H890" s="22"/>
      <c r="AB890" s="50"/>
      <c r="AC890" s="50"/>
      <c r="AN890" s="50"/>
      <c r="AO890" s="50"/>
      <c r="AP890" s="50"/>
    </row>
    <row r="891" ht="15.75" customHeight="1">
      <c r="A891" s="49"/>
      <c r="H891" s="22"/>
      <c r="AB891" s="50"/>
      <c r="AC891" s="50"/>
      <c r="AN891" s="50"/>
      <c r="AO891" s="50"/>
      <c r="AP891" s="50"/>
    </row>
    <row r="892" ht="15.75" customHeight="1">
      <c r="A892" s="49"/>
      <c r="H892" s="22"/>
      <c r="AB892" s="50"/>
      <c r="AC892" s="50"/>
      <c r="AN892" s="50"/>
      <c r="AO892" s="50"/>
      <c r="AP892" s="50"/>
    </row>
    <row r="893" ht="15.75" customHeight="1">
      <c r="A893" s="49"/>
      <c r="H893" s="22"/>
      <c r="AB893" s="50"/>
      <c r="AC893" s="50"/>
      <c r="AN893" s="50"/>
      <c r="AO893" s="50"/>
      <c r="AP893" s="50"/>
    </row>
    <row r="894" ht="15.75" customHeight="1">
      <c r="A894" s="49"/>
      <c r="H894" s="22"/>
      <c r="AB894" s="50"/>
      <c r="AC894" s="50"/>
      <c r="AN894" s="50"/>
      <c r="AO894" s="50"/>
      <c r="AP894" s="50"/>
    </row>
    <row r="895" ht="15.75" customHeight="1">
      <c r="A895" s="49"/>
      <c r="H895" s="22"/>
      <c r="AB895" s="50"/>
      <c r="AC895" s="50"/>
      <c r="AN895" s="50"/>
      <c r="AO895" s="50"/>
      <c r="AP895" s="50"/>
    </row>
    <row r="896" ht="15.75" customHeight="1">
      <c r="A896" s="49"/>
      <c r="H896" s="22"/>
      <c r="AB896" s="50"/>
      <c r="AC896" s="50"/>
      <c r="AN896" s="50"/>
      <c r="AO896" s="50"/>
      <c r="AP896" s="50"/>
    </row>
    <row r="897" ht="15.75" customHeight="1">
      <c r="A897" s="49"/>
      <c r="H897" s="22"/>
      <c r="AB897" s="50"/>
      <c r="AC897" s="50"/>
      <c r="AN897" s="50"/>
      <c r="AO897" s="50"/>
      <c r="AP897" s="50"/>
    </row>
    <row r="898" ht="15.75" customHeight="1">
      <c r="A898" s="49"/>
      <c r="H898" s="22"/>
      <c r="AB898" s="50"/>
      <c r="AC898" s="50"/>
      <c r="AN898" s="50"/>
      <c r="AO898" s="50"/>
      <c r="AP898" s="50"/>
    </row>
    <row r="899" ht="15.75" customHeight="1">
      <c r="A899" s="49"/>
      <c r="H899" s="22"/>
      <c r="AB899" s="50"/>
      <c r="AC899" s="50"/>
      <c r="AN899" s="50"/>
      <c r="AO899" s="50"/>
      <c r="AP899" s="50"/>
    </row>
    <row r="900" ht="15.75" customHeight="1">
      <c r="A900" s="49"/>
      <c r="H900" s="22"/>
      <c r="AB900" s="50"/>
      <c r="AC900" s="50"/>
      <c r="AN900" s="50"/>
      <c r="AO900" s="50"/>
      <c r="AP900" s="50"/>
    </row>
    <row r="901" ht="15.75" customHeight="1">
      <c r="A901" s="49"/>
      <c r="H901" s="22"/>
      <c r="AB901" s="50"/>
      <c r="AC901" s="50"/>
      <c r="AN901" s="50"/>
      <c r="AO901" s="50"/>
      <c r="AP901" s="50"/>
    </row>
    <row r="902" ht="15.75" customHeight="1">
      <c r="A902" s="49"/>
      <c r="H902" s="22"/>
      <c r="AB902" s="50"/>
      <c r="AC902" s="50"/>
      <c r="AN902" s="50"/>
      <c r="AO902" s="50"/>
      <c r="AP902" s="50"/>
    </row>
    <row r="903" ht="15.75" customHeight="1">
      <c r="A903" s="49"/>
      <c r="H903" s="22"/>
      <c r="AB903" s="50"/>
      <c r="AC903" s="50"/>
      <c r="AN903" s="50"/>
      <c r="AO903" s="50"/>
      <c r="AP903" s="50"/>
    </row>
    <row r="904" ht="15.75" customHeight="1">
      <c r="A904" s="49"/>
      <c r="H904" s="22"/>
      <c r="AB904" s="50"/>
      <c r="AC904" s="50"/>
      <c r="AN904" s="50"/>
      <c r="AO904" s="50"/>
      <c r="AP904" s="50"/>
    </row>
    <row r="905" ht="15.75" customHeight="1">
      <c r="A905" s="49"/>
      <c r="H905" s="22"/>
      <c r="AB905" s="50"/>
      <c r="AC905" s="50"/>
      <c r="AN905" s="50"/>
      <c r="AO905" s="50"/>
      <c r="AP905" s="50"/>
    </row>
    <row r="906" ht="15.75" customHeight="1">
      <c r="A906" s="49"/>
      <c r="H906" s="22"/>
      <c r="AB906" s="50"/>
      <c r="AC906" s="50"/>
      <c r="AN906" s="50"/>
      <c r="AO906" s="50"/>
      <c r="AP906" s="50"/>
    </row>
    <row r="907" ht="15.75" customHeight="1">
      <c r="A907" s="49"/>
      <c r="H907" s="22"/>
      <c r="AB907" s="50"/>
      <c r="AC907" s="50"/>
      <c r="AN907" s="50"/>
      <c r="AO907" s="50"/>
      <c r="AP907" s="50"/>
    </row>
    <row r="908" ht="15.75" customHeight="1">
      <c r="A908" s="49"/>
      <c r="H908" s="22"/>
      <c r="AB908" s="50"/>
      <c r="AC908" s="50"/>
      <c r="AN908" s="50"/>
      <c r="AO908" s="50"/>
      <c r="AP908" s="50"/>
    </row>
    <row r="909" ht="15.75" customHeight="1">
      <c r="A909" s="49"/>
      <c r="H909" s="22"/>
      <c r="AB909" s="50"/>
      <c r="AC909" s="50"/>
      <c r="AN909" s="50"/>
      <c r="AO909" s="50"/>
      <c r="AP909" s="50"/>
    </row>
    <row r="910" ht="15.75" customHeight="1">
      <c r="A910" s="49"/>
      <c r="H910" s="22"/>
      <c r="AB910" s="50"/>
      <c r="AC910" s="50"/>
      <c r="AN910" s="50"/>
      <c r="AO910" s="50"/>
      <c r="AP910" s="50"/>
    </row>
    <row r="911" ht="15.75" customHeight="1">
      <c r="A911" s="49"/>
      <c r="H911" s="22"/>
      <c r="AB911" s="50"/>
      <c r="AC911" s="50"/>
      <c r="AN911" s="50"/>
      <c r="AO911" s="50"/>
      <c r="AP911" s="50"/>
    </row>
    <row r="912" ht="15.75" customHeight="1">
      <c r="A912" s="49"/>
      <c r="H912" s="22"/>
      <c r="AB912" s="50"/>
      <c r="AC912" s="50"/>
      <c r="AN912" s="50"/>
      <c r="AO912" s="50"/>
      <c r="AP912" s="50"/>
    </row>
    <row r="913" ht="15.75" customHeight="1">
      <c r="A913" s="49"/>
      <c r="H913" s="22"/>
      <c r="AB913" s="50"/>
      <c r="AC913" s="50"/>
      <c r="AN913" s="50"/>
      <c r="AO913" s="50"/>
      <c r="AP913" s="50"/>
    </row>
    <row r="914" ht="15.75" customHeight="1">
      <c r="A914" s="49"/>
      <c r="H914" s="22"/>
      <c r="AB914" s="50"/>
      <c r="AC914" s="50"/>
      <c r="AN914" s="50"/>
      <c r="AO914" s="50"/>
      <c r="AP914" s="50"/>
    </row>
    <row r="915" ht="15.75" customHeight="1">
      <c r="A915" s="49"/>
      <c r="H915" s="22"/>
      <c r="AB915" s="50"/>
      <c r="AC915" s="50"/>
      <c r="AN915" s="50"/>
      <c r="AO915" s="50"/>
      <c r="AP915" s="50"/>
    </row>
    <row r="916" ht="15.75" customHeight="1">
      <c r="A916" s="49"/>
      <c r="H916" s="22"/>
      <c r="AB916" s="50"/>
      <c r="AC916" s="50"/>
      <c r="AN916" s="50"/>
      <c r="AO916" s="50"/>
      <c r="AP916" s="50"/>
    </row>
    <row r="917" ht="15.75" customHeight="1">
      <c r="A917" s="49"/>
      <c r="H917" s="22"/>
      <c r="AB917" s="50"/>
      <c r="AC917" s="50"/>
      <c r="AN917" s="50"/>
      <c r="AO917" s="50"/>
      <c r="AP917" s="50"/>
    </row>
    <row r="918" ht="15.75" customHeight="1">
      <c r="A918" s="49"/>
      <c r="H918" s="22"/>
      <c r="AB918" s="50"/>
      <c r="AC918" s="50"/>
      <c r="AN918" s="50"/>
      <c r="AO918" s="50"/>
      <c r="AP918" s="50"/>
    </row>
    <row r="919" ht="15.75" customHeight="1">
      <c r="A919" s="49"/>
      <c r="H919" s="22"/>
      <c r="AB919" s="50"/>
      <c r="AC919" s="50"/>
      <c r="AN919" s="50"/>
      <c r="AO919" s="50"/>
      <c r="AP919" s="50"/>
    </row>
    <row r="920" ht="15.75" customHeight="1">
      <c r="A920" s="49"/>
      <c r="H920" s="22"/>
      <c r="AB920" s="50"/>
      <c r="AC920" s="50"/>
      <c r="AN920" s="50"/>
      <c r="AO920" s="50"/>
      <c r="AP920" s="50"/>
    </row>
    <row r="921" ht="15.75" customHeight="1">
      <c r="A921" s="49"/>
      <c r="H921" s="22"/>
      <c r="AB921" s="50"/>
      <c r="AC921" s="50"/>
      <c r="AN921" s="50"/>
      <c r="AO921" s="50"/>
      <c r="AP921" s="50"/>
    </row>
    <row r="922" ht="15.75" customHeight="1">
      <c r="A922" s="49"/>
      <c r="H922" s="22"/>
      <c r="AB922" s="50"/>
      <c r="AC922" s="50"/>
      <c r="AN922" s="50"/>
      <c r="AO922" s="50"/>
      <c r="AP922" s="50"/>
    </row>
    <row r="923" ht="15.75" customHeight="1">
      <c r="A923" s="49"/>
      <c r="H923" s="22"/>
      <c r="AB923" s="50"/>
      <c r="AC923" s="50"/>
      <c r="AN923" s="50"/>
      <c r="AO923" s="50"/>
      <c r="AP923" s="50"/>
    </row>
    <row r="924" ht="15.75" customHeight="1">
      <c r="A924" s="49"/>
      <c r="H924" s="22"/>
      <c r="AB924" s="50"/>
      <c r="AC924" s="50"/>
      <c r="AN924" s="50"/>
      <c r="AO924" s="50"/>
      <c r="AP924" s="50"/>
    </row>
    <row r="925" ht="15.75" customHeight="1">
      <c r="A925" s="49"/>
      <c r="H925" s="22"/>
      <c r="AB925" s="50"/>
      <c r="AC925" s="50"/>
      <c r="AN925" s="50"/>
      <c r="AO925" s="50"/>
      <c r="AP925" s="50"/>
    </row>
    <row r="926" ht="15.75" customHeight="1">
      <c r="A926" s="49"/>
      <c r="H926" s="22"/>
      <c r="AB926" s="50"/>
      <c r="AC926" s="50"/>
      <c r="AN926" s="50"/>
      <c r="AO926" s="50"/>
      <c r="AP926" s="50"/>
    </row>
    <row r="927" ht="15.75" customHeight="1">
      <c r="A927" s="49"/>
      <c r="H927" s="22"/>
      <c r="AB927" s="50"/>
      <c r="AC927" s="50"/>
      <c r="AN927" s="50"/>
      <c r="AO927" s="50"/>
      <c r="AP927" s="50"/>
    </row>
    <row r="928" ht="15.75" customHeight="1">
      <c r="A928" s="49"/>
      <c r="H928" s="22"/>
      <c r="AB928" s="50"/>
      <c r="AC928" s="50"/>
      <c r="AN928" s="50"/>
      <c r="AO928" s="50"/>
      <c r="AP928" s="50"/>
    </row>
    <row r="929" ht="15.75" customHeight="1">
      <c r="A929" s="49"/>
      <c r="H929" s="22"/>
      <c r="AB929" s="50"/>
      <c r="AC929" s="50"/>
      <c r="AN929" s="50"/>
      <c r="AO929" s="50"/>
      <c r="AP929" s="50"/>
    </row>
    <row r="930" ht="15.75" customHeight="1">
      <c r="A930" s="49"/>
      <c r="H930" s="22"/>
      <c r="AB930" s="50"/>
      <c r="AC930" s="50"/>
      <c r="AN930" s="50"/>
      <c r="AO930" s="50"/>
      <c r="AP930" s="50"/>
    </row>
    <row r="931" ht="15.75" customHeight="1">
      <c r="A931" s="49"/>
      <c r="H931" s="22"/>
      <c r="AB931" s="50"/>
      <c r="AC931" s="50"/>
      <c r="AN931" s="50"/>
      <c r="AO931" s="50"/>
      <c r="AP931" s="50"/>
    </row>
    <row r="932" ht="15.75" customHeight="1">
      <c r="A932" s="49"/>
      <c r="H932" s="22"/>
      <c r="AB932" s="50"/>
      <c r="AC932" s="50"/>
      <c r="AN932" s="50"/>
      <c r="AO932" s="50"/>
      <c r="AP932" s="50"/>
    </row>
    <row r="933" ht="15.75" customHeight="1">
      <c r="A933" s="49"/>
      <c r="H933" s="22"/>
      <c r="AB933" s="50"/>
      <c r="AC933" s="50"/>
      <c r="AN933" s="50"/>
      <c r="AO933" s="50"/>
      <c r="AP933" s="50"/>
    </row>
    <row r="934" ht="15.75" customHeight="1">
      <c r="A934" s="49"/>
      <c r="H934" s="22"/>
      <c r="AB934" s="50"/>
      <c r="AC934" s="50"/>
      <c r="AN934" s="50"/>
      <c r="AO934" s="50"/>
      <c r="AP934" s="50"/>
    </row>
    <row r="935" ht="15.75" customHeight="1">
      <c r="A935" s="49"/>
      <c r="H935" s="22"/>
      <c r="AB935" s="50"/>
      <c r="AC935" s="50"/>
      <c r="AN935" s="50"/>
      <c r="AO935" s="50"/>
      <c r="AP935" s="50"/>
    </row>
    <row r="936" ht="15.75" customHeight="1">
      <c r="A936" s="49"/>
      <c r="H936" s="22"/>
      <c r="AB936" s="50"/>
      <c r="AC936" s="50"/>
      <c r="AN936" s="50"/>
      <c r="AO936" s="50"/>
      <c r="AP936" s="50"/>
    </row>
    <row r="937" ht="15.75" customHeight="1">
      <c r="A937" s="49"/>
      <c r="H937" s="22"/>
      <c r="AB937" s="50"/>
      <c r="AC937" s="50"/>
      <c r="AN937" s="50"/>
      <c r="AO937" s="50"/>
      <c r="AP937" s="50"/>
    </row>
    <row r="938" ht="15.75" customHeight="1">
      <c r="A938" s="49"/>
      <c r="H938" s="22"/>
      <c r="AB938" s="50"/>
      <c r="AC938" s="50"/>
      <c r="AN938" s="50"/>
      <c r="AO938" s="50"/>
      <c r="AP938" s="50"/>
    </row>
    <row r="939" ht="15.75" customHeight="1">
      <c r="A939" s="49"/>
      <c r="H939" s="22"/>
      <c r="AB939" s="50"/>
      <c r="AC939" s="50"/>
      <c r="AN939" s="50"/>
      <c r="AO939" s="50"/>
      <c r="AP939" s="50"/>
    </row>
    <row r="940" ht="15.75" customHeight="1">
      <c r="A940" s="49"/>
      <c r="H940" s="22"/>
      <c r="AB940" s="50"/>
      <c r="AC940" s="50"/>
      <c r="AN940" s="50"/>
      <c r="AO940" s="50"/>
      <c r="AP940" s="50"/>
    </row>
    <row r="941" ht="15.75" customHeight="1">
      <c r="A941" s="49"/>
      <c r="H941" s="22"/>
      <c r="AB941" s="50"/>
      <c r="AC941" s="50"/>
      <c r="AN941" s="50"/>
      <c r="AO941" s="50"/>
      <c r="AP941" s="50"/>
    </row>
    <row r="942" ht="15.75" customHeight="1">
      <c r="A942" s="49"/>
      <c r="H942" s="22"/>
      <c r="AB942" s="50"/>
      <c r="AC942" s="50"/>
      <c r="AN942" s="50"/>
      <c r="AO942" s="50"/>
      <c r="AP942" s="50"/>
    </row>
    <row r="943" ht="15.75" customHeight="1">
      <c r="A943" s="49"/>
      <c r="H943" s="22"/>
      <c r="AB943" s="50"/>
      <c r="AC943" s="50"/>
      <c r="AN943" s="50"/>
      <c r="AO943" s="50"/>
      <c r="AP943" s="50"/>
    </row>
    <row r="944" ht="15.75" customHeight="1">
      <c r="A944" s="49"/>
      <c r="H944" s="22"/>
      <c r="AB944" s="50"/>
      <c r="AC944" s="50"/>
      <c r="AN944" s="50"/>
      <c r="AO944" s="50"/>
      <c r="AP944" s="50"/>
    </row>
    <row r="945" ht="15.75" customHeight="1">
      <c r="A945" s="49"/>
      <c r="H945" s="22"/>
      <c r="AB945" s="50"/>
      <c r="AC945" s="50"/>
      <c r="AN945" s="50"/>
      <c r="AO945" s="50"/>
      <c r="AP945" s="50"/>
    </row>
    <row r="946" ht="15.75" customHeight="1">
      <c r="A946" s="49"/>
      <c r="H946" s="22"/>
      <c r="AB946" s="50"/>
      <c r="AC946" s="50"/>
      <c r="AN946" s="50"/>
      <c r="AO946" s="50"/>
      <c r="AP946" s="50"/>
    </row>
    <row r="947" ht="15.75" customHeight="1">
      <c r="A947" s="49"/>
      <c r="H947" s="22"/>
      <c r="AB947" s="50"/>
      <c r="AC947" s="50"/>
      <c r="AN947" s="50"/>
      <c r="AO947" s="50"/>
      <c r="AP947" s="50"/>
    </row>
    <row r="948" ht="15.75" customHeight="1">
      <c r="A948" s="49"/>
      <c r="H948" s="22"/>
      <c r="AB948" s="50"/>
      <c r="AC948" s="50"/>
      <c r="AN948" s="50"/>
      <c r="AO948" s="50"/>
      <c r="AP948" s="50"/>
    </row>
    <row r="949" ht="15.75" customHeight="1">
      <c r="A949" s="49"/>
      <c r="H949" s="22"/>
      <c r="AB949" s="50"/>
      <c r="AC949" s="50"/>
      <c r="AN949" s="50"/>
      <c r="AO949" s="50"/>
      <c r="AP949" s="50"/>
    </row>
    <row r="950" ht="15.75" customHeight="1">
      <c r="A950" s="49"/>
      <c r="H950" s="22"/>
      <c r="AB950" s="50"/>
      <c r="AC950" s="50"/>
      <c r="AN950" s="50"/>
      <c r="AO950" s="50"/>
      <c r="AP950" s="50"/>
    </row>
    <row r="951" ht="15.75" customHeight="1">
      <c r="A951" s="49"/>
      <c r="H951" s="22"/>
      <c r="AB951" s="50"/>
      <c r="AC951" s="50"/>
      <c r="AN951" s="50"/>
      <c r="AO951" s="50"/>
      <c r="AP951" s="50"/>
    </row>
    <row r="952" ht="15.75" customHeight="1">
      <c r="A952" s="49"/>
      <c r="H952" s="22"/>
      <c r="AB952" s="50"/>
      <c r="AC952" s="50"/>
      <c r="AN952" s="50"/>
      <c r="AO952" s="50"/>
      <c r="AP952" s="50"/>
    </row>
    <row r="953" ht="15.75" customHeight="1">
      <c r="A953" s="49"/>
      <c r="H953" s="22"/>
      <c r="AB953" s="50"/>
      <c r="AC953" s="50"/>
      <c r="AN953" s="50"/>
      <c r="AO953" s="50"/>
      <c r="AP953" s="50"/>
    </row>
    <row r="954" ht="15.75" customHeight="1">
      <c r="A954" s="49"/>
      <c r="H954" s="22"/>
      <c r="AB954" s="50"/>
      <c r="AC954" s="50"/>
      <c r="AN954" s="50"/>
      <c r="AO954" s="50"/>
      <c r="AP954" s="50"/>
    </row>
    <row r="955" ht="15.75" customHeight="1">
      <c r="A955" s="49"/>
      <c r="H955" s="22"/>
      <c r="AB955" s="50"/>
      <c r="AC955" s="50"/>
      <c r="AN955" s="50"/>
      <c r="AO955" s="50"/>
      <c r="AP955" s="50"/>
    </row>
    <row r="956" ht="15.75" customHeight="1">
      <c r="A956" s="49"/>
      <c r="H956" s="22"/>
      <c r="AB956" s="50"/>
      <c r="AC956" s="50"/>
      <c r="AN956" s="50"/>
      <c r="AO956" s="50"/>
      <c r="AP956" s="50"/>
    </row>
    <row r="957" ht="15.75" customHeight="1">
      <c r="A957" s="49"/>
      <c r="H957" s="22"/>
      <c r="AB957" s="50"/>
      <c r="AC957" s="50"/>
      <c r="AN957" s="50"/>
      <c r="AO957" s="50"/>
      <c r="AP957" s="50"/>
    </row>
    <row r="958" ht="15.75" customHeight="1">
      <c r="A958" s="49"/>
      <c r="H958" s="22"/>
      <c r="AB958" s="50"/>
      <c r="AC958" s="50"/>
      <c r="AN958" s="50"/>
      <c r="AO958" s="50"/>
      <c r="AP958" s="50"/>
    </row>
    <row r="959" ht="15.75" customHeight="1">
      <c r="A959" s="49"/>
      <c r="H959" s="22"/>
      <c r="AB959" s="50"/>
      <c r="AC959" s="50"/>
      <c r="AN959" s="50"/>
      <c r="AO959" s="50"/>
      <c r="AP959" s="50"/>
    </row>
    <row r="960" ht="15.75" customHeight="1">
      <c r="A960" s="49"/>
      <c r="H960" s="22"/>
      <c r="AB960" s="50"/>
      <c r="AC960" s="50"/>
      <c r="AN960" s="50"/>
      <c r="AO960" s="50"/>
      <c r="AP960" s="50"/>
    </row>
    <row r="961" ht="15.75" customHeight="1">
      <c r="A961" s="49"/>
      <c r="H961" s="22"/>
      <c r="AB961" s="50"/>
      <c r="AC961" s="50"/>
      <c r="AN961" s="50"/>
      <c r="AO961" s="50"/>
      <c r="AP961" s="50"/>
    </row>
    <row r="962" ht="15.75" customHeight="1">
      <c r="A962" s="49"/>
      <c r="H962" s="22"/>
      <c r="AB962" s="50"/>
      <c r="AC962" s="50"/>
      <c r="AN962" s="50"/>
      <c r="AO962" s="50"/>
      <c r="AP962" s="50"/>
    </row>
    <row r="963" ht="15.75" customHeight="1">
      <c r="A963" s="49"/>
      <c r="H963" s="22"/>
      <c r="AB963" s="50"/>
      <c r="AC963" s="50"/>
      <c r="AN963" s="50"/>
      <c r="AO963" s="50"/>
      <c r="AP963" s="50"/>
    </row>
    <row r="964" ht="15.75" customHeight="1">
      <c r="A964" s="49"/>
      <c r="H964" s="22"/>
      <c r="AB964" s="50"/>
      <c r="AC964" s="50"/>
      <c r="AN964" s="50"/>
      <c r="AO964" s="50"/>
      <c r="AP964" s="50"/>
    </row>
    <row r="965" ht="15.75" customHeight="1">
      <c r="A965" s="49"/>
      <c r="H965" s="22"/>
      <c r="AB965" s="50"/>
      <c r="AC965" s="50"/>
      <c r="AN965" s="50"/>
      <c r="AO965" s="50"/>
      <c r="AP965" s="50"/>
    </row>
    <row r="966" ht="15.75" customHeight="1">
      <c r="A966" s="49"/>
      <c r="H966" s="22"/>
      <c r="AB966" s="50"/>
      <c r="AC966" s="50"/>
      <c r="AN966" s="50"/>
      <c r="AO966" s="50"/>
      <c r="AP966" s="50"/>
    </row>
    <row r="967" ht="15.75" customHeight="1">
      <c r="A967" s="49"/>
      <c r="H967" s="22"/>
      <c r="AB967" s="50"/>
      <c r="AC967" s="50"/>
      <c r="AN967" s="50"/>
      <c r="AO967" s="50"/>
      <c r="AP967" s="50"/>
    </row>
    <row r="968" ht="15.75" customHeight="1">
      <c r="A968" s="49"/>
      <c r="H968" s="22"/>
      <c r="AB968" s="50"/>
      <c r="AC968" s="50"/>
      <c r="AN968" s="50"/>
      <c r="AO968" s="50"/>
      <c r="AP968" s="50"/>
    </row>
    <row r="969" ht="15.75" customHeight="1">
      <c r="A969" s="49"/>
      <c r="H969" s="22"/>
      <c r="AB969" s="50"/>
      <c r="AC969" s="50"/>
      <c r="AN969" s="50"/>
      <c r="AO969" s="50"/>
      <c r="AP969" s="50"/>
    </row>
    <row r="970" ht="15.75" customHeight="1">
      <c r="A970" s="49"/>
      <c r="H970" s="22"/>
      <c r="AB970" s="50"/>
      <c r="AC970" s="50"/>
      <c r="AN970" s="50"/>
      <c r="AO970" s="50"/>
      <c r="AP970" s="50"/>
    </row>
    <row r="971" ht="15.75" customHeight="1">
      <c r="A971" s="49"/>
      <c r="H971" s="22"/>
      <c r="AB971" s="50"/>
      <c r="AC971" s="50"/>
      <c r="AN971" s="50"/>
      <c r="AO971" s="50"/>
      <c r="AP971" s="50"/>
    </row>
    <row r="972" ht="15.75" customHeight="1">
      <c r="A972" s="49"/>
      <c r="H972" s="22"/>
      <c r="AB972" s="50"/>
      <c r="AC972" s="50"/>
      <c r="AN972" s="50"/>
      <c r="AO972" s="50"/>
      <c r="AP972" s="50"/>
    </row>
    <row r="973" ht="15.75" customHeight="1">
      <c r="A973" s="49"/>
      <c r="H973" s="22"/>
      <c r="AB973" s="50"/>
      <c r="AC973" s="50"/>
      <c r="AN973" s="50"/>
      <c r="AO973" s="50"/>
      <c r="AP973" s="50"/>
    </row>
    <row r="974" ht="15.75" customHeight="1">
      <c r="A974" s="49"/>
      <c r="H974" s="22"/>
      <c r="AB974" s="50"/>
      <c r="AC974" s="50"/>
      <c r="AN974" s="50"/>
      <c r="AO974" s="50"/>
      <c r="AP974" s="50"/>
    </row>
    <row r="975" ht="15.75" customHeight="1">
      <c r="A975" s="49"/>
      <c r="H975" s="22"/>
      <c r="AB975" s="50"/>
      <c r="AC975" s="50"/>
      <c r="AN975" s="50"/>
      <c r="AO975" s="50"/>
      <c r="AP975" s="50"/>
    </row>
    <row r="976" ht="15.75" customHeight="1">
      <c r="A976" s="49"/>
      <c r="H976" s="22"/>
      <c r="AB976" s="50"/>
      <c r="AC976" s="50"/>
      <c r="AN976" s="50"/>
      <c r="AO976" s="50"/>
      <c r="AP976" s="50"/>
    </row>
    <row r="977" ht="15.75" customHeight="1">
      <c r="A977" s="49"/>
      <c r="H977" s="22"/>
      <c r="AB977" s="50"/>
      <c r="AC977" s="50"/>
      <c r="AN977" s="50"/>
      <c r="AO977" s="50"/>
      <c r="AP977" s="50"/>
    </row>
    <row r="978" ht="15.75" customHeight="1">
      <c r="A978" s="49"/>
      <c r="H978" s="22"/>
      <c r="AB978" s="50"/>
      <c r="AC978" s="50"/>
      <c r="AN978" s="50"/>
      <c r="AO978" s="50"/>
      <c r="AP978" s="50"/>
    </row>
    <row r="979" ht="15.75" customHeight="1">
      <c r="A979" s="49"/>
      <c r="H979" s="22"/>
      <c r="AB979" s="50"/>
      <c r="AC979" s="50"/>
      <c r="AN979" s="50"/>
      <c r="AO979" s="50"/>
      <c r="AP979" s="50"/>
    </row>
    <row r="980" ht="15.75" customHeight="1">
      <c r="A980" s="49"/>
      <c r="H980" s="22"/>
      <c r="AB980" s="50"/>
      <c r="AC980" s="50"/>
      <c r="AN980" s="50"/>
      <c r="AO980" s="50"/>
      <c r="AP980" s="50"/>
    </row>
    <row r="981" ht="15.75" customHeight="1">
      <c r="A981" s="49"/>
      <c r="H981" s="22"/>
      <c r="AB981" s="50"/>
      <c r="AC981" s="50"/>
      <c r="AN981" s="50"/>
      <c r="AO981" s="50"/>
      <c r="AP981" s="50"/>
    </row>
    <row r="982" ht="15.75" customHeight="1">
      <c r="A982" s="49"/>
      <c r="H982" s="22"/>
      <c r="AB982" s="50"/>
      <c r="AC982" s="50"/>
      <c r="AN982" s="50"/>
      <c r="AO982" s="50"/>
      <c r="AP982" s="50"/>
    </row>
    <row r="983" ht="15.75" customHeight="1">
      <c r="A983" s="49"/>
      <c r="H983" s="22"/>
      <c r="AB983" s="50"/>
      <c r="AC983" s="50"/>
      <c r="AN983" s="50"/>
      <c r="AO983" s="50"/>
      <c r="AP983" s="50"/>
    </row>
    <row r="984" ht="15.75" customHeight="1">
      <c r="A984" s="49"/>
      <c r="H984" s="22"/>
      <c r="AB984" s="50"/>
      <c r="AC984" s="50"/>
      <c r="AN984" s="50"/>
      <c r="AO984" s="50"/>
      <c r="AP984" s="50"/>
    </row>
    <row r="985" ht="15.75" customHeight="1">
      <c r="A985" s="49"/>
      <c r="H985" s="22"/>
      <c r="AB985" s="50"/>
      <c r="AC985" s="50"/>
      <c r="AN985" s="50"/>
      <c r="AO985" s="50"/>
      <c r="AP985" s="50"/>
    </row>
    <row r="986" ht="15.75" customHeight="1">
      <c r="A986" s="49"/>
      <c r="H986" s="22"/>
      <c r="AB986" s="50"/>
      <c r="AC986" s="50"/>
      <c r="AN986" s="50"/>
      <c r="AO986" s="50"/>
      <c r="AP986" s="50"/>
    </row>
    <row r="987" ht="15.75" customHeight="1">
      <c r="A987" s="49"/>
      <c r="H987" s="22"/>
      <c r="AB987" s="50"/>
      <c r="AC987" s="50"/>
      <c r="AN987" s="50"/>
      <c r="AO987" s="50"/>
      <c r="AP987" s="50"/>
    </row>
    <row r="988" ht="15.75" customHeight="1">
      <c r="A988" s="49"/>
      <c r="H988" s="22"/>
      <c r="AB988" s="50"/>
      <c r="AC988" s="50"/>
      <c r="AN988" s="50"/>
      <c r="AO988" s="50"/>
      <c r="AP988" s="50"/>
    </row>
    <row r="989" ht="15.75" customHeight="1">
      <c r="A989" s="49"/>
      <c r="H989" s="22"/>
      <c r="AB989" s="50"/>
      <c r="AC989" s="50"/>
      <c r="AN989" s="50"/>
      <c r="AO989" s="50"/>
      <c r="AP989" s="50"/>
    </row>
    <row r="990" ht="15.75" customHeight="1">
      <c r="A990" s="49"/>
      <c r="H990" s="22"/>
      <c r="AB990" s="50"/>
      <c r="AC990" s="50"/>
      <c r="AN990" s="50"/>
      <c r="AO990" s="50"/>
      <c r="AP990" s="50"/>
    </row>
    <row r="991" ht="15.75" customHeight="1">
      <c r="A991" s="49"/>
      <c r="H991" s="22"/>
      <c r="AB991" s="50"/>
      <c r="AC991" s="50"/>
      <c r="AN991" s="50"/>
      <c r="AO991" s="50"/>
      <c r="AP991" s="50"/>
    </row>
    <row r="992" ht="15.75" customHeight="1">
      <c r="A992" s="49"/>
      <c r="H992" s="22"/>
      <c r="AB992" s="50"/>
      <c r="AC992" s="50"/>
      <c r="AN992" s="50"/>
      <c r="AO992" s="50"/>
      <c r="AP992" s="50"/>
    </row>
    <row r="993" ht="15.75" customHeight="1">
      <c r="A993" s="49"/>
      <c r="H993" s="22"/>
      <c r="AB993" s="50"/>
      <c r="AC993" s="50"/>
      <c r="AN993" s="50"/>
      <c r="AO993" s="50"/>
      <c r="AP993" s="50"/>
    </row>
    <row r="994" ht="15.75" customHeight="1">
      <c r="A994" s="49"/>
      <c r="H994" s="22"/>
      <c r="AB994" s="50"/>
      <c r="AC994" s="50"/>
      <c r="AN994" s="50"/>
      <c r="AO994" s="50"/>
      <c r="AP994" s="50"/>
    </row>
    <row r="995" ht="15.75" customHeight="1">
      <c r="A995" s="49"/>
      <c r="H995" s="22"/>
      <c r="AB995" s="50"/>
      <c r="AC995" s="50"/>
      <c r="AN995" s="50"/>
      <c r="AO995" s="50"/>
      <c r="AP995" s="50"/>
    </row>
    <row r="996" ht="15.75" customHeight="1">
      <c r="A996" s="49"/>
      <c r="H996" s="22"/>
      <c r="AB996" s="50"/>
      <c r="AC996" s="50"/>
      <c r="AN996" s="50"/>
      <c r="AO996" s="50"/>
      <c r="AP996" s="50"/>
    </row>
    <row r="997" ht="15.75" customHeight="1">
      <c r="A997" s="49"/>
      <c r="H997" s="22"/>
      <c r="AB997" s="50"/>
      <c r="AC997" s="50"/>
      <c r="AN997" s="50"/>
      <c r="AO997" s="50"/>
      <c r="AP997" s="50"/>
    </row>
    <row r="998" ht="15.75" customHeight="1">
      <c r="A998" s="49"/>
      <c r="H998" s="22"/>
      <c r="AB998" s="50"/>
      <c r="AC998" s="50"/>
      <c r="AN998" s="50"/>
      <c r="AO998" s="50"/>
      <c r="AP998" s="50"/>
    </row>
    <row r="999" ht="15.75" customHeight="1">
      <c r="A999" s="49"/>
      <c r="H999" s="22"/>
      <c r="AB999" s="50"/>
      <c r="AC999" s="50"/>
      <c r="AN999" s="50"/>
      <c r="AO999" s="50"/>
      <c r="AP999" s="50"/>
    </row>
    <row r="1000" ht="15.75" customHeight="1">
      <c r="A1000" s="49"/>
      <c r="H1000" s="22"/>
      <c r="AB1000" s="50"/>
      <c r="AC1000" s="50"/>
      <c r="AN1000" s="50"/>
      <c r="AO1000" s="50"/>
      <c r="AP1000" s="5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10" max="31" width="14.43"/>
    <col customWidth="1" min="35" max="35" width="27.57"/>
  </cols>
  <sheetData>
    <row r="1" ht="15.0" customHeight="1">
      <c r="A1" s="1" t="s">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4" t="s">
        <v>27</v>
      </c>
      <c r="AB1" s="4" t="s">
        <v>28</v>
      </c>
      <c r="AC1" s="5" t="s">
        <v>29</v>
      </c>
      <c r="AD1" s="5" t="s">
        <v>30</v>
      </c>
      <c r="AE1" s="5" t="s">
        <v>31</v>
      </c>
      <c r="AF1" s="5" t="s">
        <v>33</v>
      </c>
      <c r="AG1" s="5" t="s">
        <v>34</v>
      </c>
      <c r="AH1" s="5" t="s">
        <v>35</v>
      </c>
      <c r="AI1" s="5" t="s">
        <v>36</v>
      </c>
      <c r="AJ1" s="5" t="s">
        <v>37</v>
      </c>
      <c r="AK1" s="5" t="s">
        <v>38</v>
      </c>
      <c r="AL1" s="5" t="s">
        <v>39</v>
      </c>
      <c r="AM1" s="5" t="s">
        <v>40</v>
      </c>
      <c r="AN1" s="5" t="s">
        <v>41</v>
      </c>
      <c r="AO1" s="51" t="s">
        <v>1139</v>
      </c>
    </row>
    <row r="2" ht="15.0" customHeight="1">
      <c r="A2" s="20">
        <v>1.0</v>
      </c>
      <c r="B2" s="21" t="s">
        <v>43</v>
      </c>
      <c r="C2" s="21" t="s">
        <v>44</v>
      </c>
      <c r="D2" s="21" t="s">
        <v>45</v>
      </c>
      <c r="E2" s="21" t="s">
        <v>46</v>
      </c>
      <c r="F2" s="21" t="s">
        <v>47</v>
      </c>
      <c r="G2" s="21" t="s">
        <v>48</v>
      </c>
      <c r="H2" s="21" t="s">
        <v>49</v>
      </c>
      <c r="I2" s="21" t="s">
        <v>50</v>
      </c>
      <c r="J2" s="21" t="s">
        <v>51</v>
      </c>
      <c r="K2" s="21" t="s">
        <v>52</v>
      </c>
      <c r="L2" s="21">
        <v>1.0</v>
      </c>
      <c r="M2" s="21">
        <v>0.0</v>
      </c>
      <c r="N2" s="21">
        <v>0.06097560975609756</v>
      </c>
      <c r="O2" s="21">
        <v>5.0</v>
      </c>
      <c r="P2" s="21">
        <v>29.0</v>
      </c>
      <c r="Q2" s="21" t="s">
        <v>53</v>
      </c>
      <c r="R2" s="21">
        <v>0.0</v>
      </c>
      <c r="S2" s="21" t="s">
        <v>53</v>
      </c>
      <c r="T2" s="21">
        <v>0.0</v>
      </c>
      <c r="U2" s="21">
        <v>0.0</v>
      </c>
      <c r="V2" s="21">
        <v>0.0</v>
      </c>
      <c r="W2" s="21" t="s">
        <v>53</v>
      </c>
      <c r="X2" s="21">
        <v>0.0</v>
      </c>
      <c r="Y2" s="21" t="s">
        <v>53</v>
      </c>
      <c r="Z2" s="21" t="s">
        <v>54</v>
      </c>
      <c r="AA2" s="23" t="s">
        <v>55</v>
      </c>
      <c r="AB2" s="23" t="b">
        <v>1</v>
      </c>
      <c r="AC2" s="24" t="s">
        <v>56</v>
      </c>
      <c r="AD2" s="24" t="s">
        <v>57</v>
      </c>
      <c r="AE2" s="25">
        <v>0.33</v>
      </c>
      <c r="AF2" s="24" t="s">
        <v>58</v>
      </c>
      <c r="AG2" s="24" t="s">
        <v>59</v>
      </c>
      <c r="AH2" s="24" t="s">
        <v>60</v>
      </c>
      <c r="AI2" s="52" t="s">
        <v>61</v>
      </c>
      <c r="AJ2" s="24" t="s">
        <v>62</v>
      </c>
      <c r="AK2" s="53" t="s">
        <v>1140</v>
      </c>
      <c r="AL2" s="26" t="s">
        <v>64</v>
      </c>
      <c r="AM2" s="27" t="s">
        <v>1141</v>
      </c>
      <c r="AN2" s="23"/>
      <c r="AO2" s="54" t="s">
        <v>1142</v>
      </c>
    </row>
    <row r="3" ht="15.0" customHeight="1">
      <c r="A3" s="20">
        <v>3.0</v>
      </c>
      <c r="B3" s="21" t="s">
        <v>82</v>
      </c>
      <c r="C3" s="21" t="s">
        <v>83</v>
      </c>
      <c r="D3" s="21" t="s">
        <v>45</v>
      </c>
      <c r="E3" s="21" t="s">
        <v>84</v>
      </c>
      <c r="F3" s="21" t="s">
        <v>85</v>
      </c>
      <c r="G3" s="21" t="s">
        <v>86</v>
      </c>
      <c r="H3" s="21" t="s">
        <v>87</v>
      </c>
      <c r="I3" s="21" t="s">
        <v>88</v>
      </c>
      <c r="J3" s="21" t="s">
        <v>89</v>
      </c>
      <c r="K3" s="21" t="s">
        <v>90</v>
      </c>
      <c r="L3" s="21">
        <v>1.0</v>
      </c>
      <c r="M3" s="21">
        <v>0.018867924528301886</v>
      </c>
      <c r="N3" s="21">
        <v>0.11353258613532587</v>
      </c>
      <c r="O3" s="21">
        <v>5.0</v>
      </c>
      <c r="P3" s="21">
        <v>9.0</v>
      </c>
      <c r="Q3" s="21" t="s">
        <v>91</v>
      </c>
      <c r="R3" s="21">
        <v>0.0</v>
      </c>
      <c r="S3" s="21" t="s">
        <v>53</v>
      </c>
      <c r="T3" s="21">
        <v>0.0</v>
      </c>
      <c r="U3" s="21">
        <v>0.0</v>
      </c>
      <c r="V3" s="21">
        <v>1.0</v>
      </c>
      <c r="W3" s="21" t="s">
        <v>92</v>
      </c>
      <c r="X3" s="21">
        <v>0.0</v>
      </c>
      <c r="Y3" s="21" t="s">
        <v>53</v>
      </c>
      <c r="Z3" s="21" t="s">
        <v>93</v>
      </c>
      <c r="AA3" s="23" t="s">
        <v>94</v>
      </c>
      <c r="AB3" s="23" t="b">
        <v>1</v>
      </c>
      <c r="AC3" s="24" t="s">
        <v>1143</v>
      </c>
      <c r="AD3" s="24" t="s">
        <v>1144</v>
      </c>
      <c r="AE3" s="25">
        <v>0.4</v>
      </c>
      <c r="AF3" s="24" t="s">
        <v>162</v>
      </c>
      <c r="AG3" s="24" t="s">
        <v>559</v>
      </c>
      <c r="AH3" s="24" t="s">
        <v>560</v>
      </c>
      <c r="AI3" s="52" t="s">
        <v>61</v>
      </c>
      <c r="AJ3" s="24" t="s">
        <v>62</v>
      </c>
      <c r="AK3" s="24" t="s">
        <v>1145</v>
      </c>
      <c r="AL3" s="26" t="s">
        <v>64</v>
      </c>
      <c r="AM3" s="27" t="s">
        <v>65</v>
      </c>
      <c r="AN3" s="27"/>
      <c r="AO3" s="54" t="s">
        <v>1146</v>
      </c>
    </row>
    <row r="4" ht="15.0" customHeight="1">
      <c r="A4" s="20">
        <v>7.0</v>
      </c>
      <c r="B4" s="21" t="s">
        <v>125</v>
      </c>
      <c r="C4" s="21" t="s">
        <v>126</v>
      </c>
      <c r="D4" s="21" t="s">
        <v>127</v>
      </c>
      <c r="E4" s="21" t="s">
        <v>128</v>
      </c>
      <c r="F4" s="21" t="s">
        <v>129</v>
      </c>
      <c r="G4" s="21" t="s">
        <v>130</v>
      </c>
      <c r="H4" s="21" t="s">
        <v>131</v>
      </c>
      <c r="I4" s="21" t="s">
        <v>132</v>
      </c>
      <c r="J4" s="21" t="s">
        <v>133</v>
      </c>
      <c r="K4" s="21" t="s">
        <v>134</v>
      </c>
      <c r="L4" s="21">
        <v>1.0</v>
      </c>
      <c r="M4" s="21">
        <v>0.0</v>
      </c>
      <c r="N4" s="21">
        <v>0.11877394636015326</v>
      </c>
      <c r="O4" s="21">
        <v>1.0</v>
      </c>
      <c r="P4" s="21">
        <v>6.0</v>
      </c>
      <c r="Q4" s="21" t="s">
        <v>135</v>
      </c>
      <c r="R4" s="21">
        <v>0.0</v>
      </c>
      <c r="S4" s="21" t="s">
        <v>53</v>
      </c>
      <c r="T4" s="21">
        <v>0.0</v>
      </c>
      <c r="U4" s="21">
        <v>0.0</v>
      </c>
      <c r="V4" s="21">
        <v>0.0</v>
      </c>
      <c r="W4" s="21" t="s">
        <v>53</v>
      </c>
      <c r="X4" s="21">
        <v>0.0</v>
      </c>
      <c r="Y4" s="21" t="s">
        <v>53</v>
      </c>
      <c r="Z4" s="21" t="s">
        <v>136</v>
      </c>
      <c r="AA4" s="23" t="s">
        <v>137</v>
      </c>
      <c r="AB4" s="23" t="b">
        <v>1</v>
      </c>
      <c r="AC4" s="24" t="s">
        <v>57</v>
      </c>
      <c r="AD4" s="24" t="s">
        <v>57</v>
      </c>
      <c r="AE4" s="25">
        <v>0.5</v>
      </c>
      <c r="AF4" s="24" t="s">
        <v>162</v>
      </c>
      <c r="AG4" s="24" t="s">
        <v>559</v>
      </c>
      <c r="AH4" s="24" t="s">
        <v>546</v>
      </c>
      <c r="AI4" s="52" t="s">
        <v>61</v>
      </c>
      <c r="AJ4" s="24" t="s">
        <v>62</v>
      </c>
      <c r="AK4" s="24" t="s">
        <v>1140</v>
      </c>
      <c r="AL4" s="27" t="s">
        <v>164</v>
      </c>
      <c r="AM4" s="27" t="s">
        <v>1147</v>
      </c>
      <c r="AN4" s="27"/>
      <c r="AO4" s="54" t="s">
        <v>1142</v>
      </c>
    </row>
    <row r="5" ht="15.0" customHeight="1">
      <c r="A5" s="20">
        <v>8.0</v>
      </c>
      <c r="B5" s="21" t="s">
        <v>138</v>
      </c>
      <c r="C5" s="21" t="s">
        <v>139</v>
      </c>
      <c r="D5" s="21" t="s">
        <v>140</v>
      </c>
      <c r="E5" s="21" t="s">
        <v>141</v>
      </c>
      <c r="F5" s="21" t="s">
        <v>142</v>
      </c>
      <c r="G5" s="21" t="s">
        <v>143</v>
      </c>
      <c r="H5" s="21" t="s">
        <v>144</v>
      </c>
      <c r="I5" s="21" t="s">
        <v>145</v>
      </c>
      <c r="J5" s="21" t="s">
        <v>146</v>
      </c>
      <c r="K5" s="21" t="s">
        <v>147</v>
      </c>
      <c r="L5" s="21">
        <v>1.0</v>
      </c>
      <c r="M5" s="21">
        <v>0.0</v>
      </c>
      <c r="N5" s="21">
        <v>0.40654205607476634</v>
      </c>
      <c r="O5" s="21">
        <v>0.0</v>
      </c>
      <c r="P5" s="21">
        <v>2.0</v>
      </c>
      <c r="Q5" s="21" t="s">
        <v>53</v>
      </c>
      <c r="R5" s="21">
        <v>0.0</v>
      </c>
      <c r="S5" s="21" t="s">
        <v>53</v>
      </c>
      <c r="T5" s="21">
        <v>0.0</v>
      </c>
      <c r="U5" s="21">
        <v>0.0</v>
      </c>
      <c r="V5" s="21">
        <v>0.0</v>
      </c>
      <c r="W5" s="21" t="s">
        <v>53</v>
      </c>
      <c r="X5" s="21">
        <v>0.0</v>
      </c>
      <c r="Y5" s="21" t="s">
        <v>53</v>
      </c>
      <c r="Z5" s="21" t="s">
        <v>148</v>
      </c>
      <c r="AA5" s="23" t="s">
        <v>137</v>
      </c>
      <c r="AB5" s="23" t="b">
        <v>1</v>
      </c>
      <c r="AC5" s="24" t="s">
        <v>56</v>
      </c>
      <c r="AD5" s="24" t="s">
        <v>57</v>
      </c>
      <c r="AE5" s="25">
        <v>0.33</v>
      </c>
      <c r="AF5" s="24" t="s">
        <v>162</v>
      </c>
      <c r="AG5" s="24" t="s">
        <v>559</v>
      </c>
      <c r="AH5" s="24" t="s">
        <v>60</v>
      </c>
      <c r="AI5" s="52" t="s">
        <v>61</v>
      </c>
      <c r="AJ5" s="24" t="s">
        <v>62</v>
      </c>
      <c r="AK5" s="24" t="s">
        <v>1140</v>
      </c>
      <c r="AL5" s="27" t="s">
        <v>164</v>
      </c>
      <c r="AM5" s="27" t="s">
        <v>65</v>
      </c>
      <c r="AN5" s="27"/>
      <c r="AO5" s="54" t="s">
        <v>1142</v>
      </c>
    </row>
    <row r="6" ht="15.0" customHeight="1">
      <c r="A6" s="20">
        <v>9.0</v>
      </c>
      <c r="B6" s="21" t="s">
        <v>138</v>
      </c>
      <c r="C6" s="21" t="s">
        <v>149</v>
      </c>
      <c r="D6" s="21" t="s">
        <v>150</v>
      </c>
      <c r="E6" s="21" t="s">
        <v>147</v>
      </c>
      <c r="F6" s="21" t="s">
        <v>146</v>
      </c>
      <c r="G6" s="21" t="s">
        <v>151</v>
      </c>
      <c r="H6" s="21" t="s">
        <v>152</v>
      </c>
      <c r="I6" s="21" t="s">
        <v>145</v>
      </c>
      <c r="J6" s="21" t="s">
        <v>153</v>
      </c>
      <c r="K6" s="21" t="s">
        <v>154</v>
      </c>
      <c r="L6" s="21">
        <v>1.0</v>
      </c>
      <c r="M6" s="21">
        <v>0.0</v>
      </c>
      <c r="N6" s="21">
        <v>0.16778523489932887</v>
      </c>
      <c r="O6" s="21">
        <v>4.0</v>
      </c>
      <c r="P6" s="21">
        <v>8.0</v>
      </c>
      <c r="Q6" s="21" t="s">
        <v>53</v>
      </c>
      <c r="R6" s="21">
        <v>0.0</v>
      </c>
      <c r="S6" s="21" t="s">
        <v>53</v>
      </c>
      <c r="T6" s="21">
        <v>0.0</v>
      </c>
      <c r="U6" s="21">
        <v>0.0</v>
      </c>
      <c r="V6" s="21">
        <v>0.0</v>
      </c>
      <c r="W6" s="21" t="s">
        <v>53</v>
      </c>
      <c r="X6" s="21">
        <v>0.0</v>
      </c>
      <c r="Y6" s="21" t="s">
        <v>53</v>
      </c>
      <c r="Z6" s="21" t="s">
        <v>155</v>
      </c>
      <c r="AA6" s="23" t="s">
        <v>137</v>
      </c>
      <c r="AB6" s="23" t="b">
        <v>1</v>
      </c>
      <c r="AC6" s="29" t="s">
        <v>77</v>
      </c>
      <c r="AD6" s="29" t="s">
        <v>57</v>
      </c>
      <c r="AE6" s="31">
        <v>0.14</v>
      </c>
      <c r="AF6" s="29" t="s">
        <v>162</v>
      </c>
      <c r="AG6" s="29" t="s">
        <v>59</v>
      </c>
      <c r="AH6" s="29" t="s">
        <v>60</v>
      </c>
      <c r="AI6" s="55" t="s">
        <v>61</v>
      </c>
      <c r="AJ6" s="29" t="s">
        <v>62</v>
      </c>
      <c r="AK6" s="29" t="s">
        <v>1140</v>
      </c>
      <c r="AL6" s="26" t="s">
        <v>164</v>
      </c>
      <c r="AM6" s="27" t="s">
        <v>65</v>
      </c>
      <c r="AN6" s="27"/>
      <c r="AO6" s="54" t="s">
        <v>1142</v>
      </c>
    </row>
    <row r="7" ht="15.0" customHeight="1">
      <c r="A7" s="20">
        <v>10.0</v>
      </c>
      <c r="B7" s="21" t="s">
        <v>138</v>
      </c>
      <c r="C7" s="21" t="s">
        <v>156</v>
      </c>
      <c r="D7" s="21" t="s">
        <v>149</v>
      </c>
      <c r="E7" s="21" t="s">
        <v>154</v>
      </c>
      <c r="F7" s="21" t="s">
        <v>153</v>
      </c>
      <c r="G7" s="21" t="s">
        <v>157</v>
      </c>
      <c r="H7" s="21" t="s">
        <v>158</v>
      </c>
      <c r="I7" s="21" t="s">
        <v>145</v>
      </c>
      <c r="J7" s="21" t="s">
        <v>159</v>
      </c>
      <c r="K7" s="21" t="s">
        <v>160</v>
      </c>
      <c r="L7" s="21">
        <v>1.0</v>
      </c>
      <c r="M7" s="21">
        <v>0.0</v>
      </c>
      <c r="N7" s="21">
        <v>0.16666666666666666</v>
      </c>
      <c r="O7" s="21">
        <v>0.0</v>
      </c>
      <c r="P7" s="21">
        <v>3.0</v>
      </c>
      <c r="Q7" s="21" t="s">
        <v>53</v>
      </c>
      <c r="R7" s="21">
        <v>0.0</v>
      </c>
      <c r="S7" s="21" t="s">
        <v>53</v>
      </c>
      <c r="T7" s="21">
        <v>0.0</v>
      </c>
      <c r="U7" s="21">
        <v>0.0</v>
      </c>
      <c r="V7" s="21">
        <v>0.0</v>
      </c>
      <c r="W7" s="21" t="s">
        <v>53</v>
      </c>
      <c r="X7" s="21">
        <v>0.0</v>
      </c>
      <c r="Y7" s="21" t="s">
        <v>53</v>
      </c>
      <c r="Z7" s="21" t="s">
        <v>161</v>
      </c>
      <c r="AA7" s="23" t="s">
        <v>137</v>
      </c>
      <c r="AB7" s="23" t="b">
        <v>1</v>
      </c>
      <c r="AC7" s="24" t="s">
        <v>56</v>
      </c>
      <c r="AD7" s="24" t="s">
        <v>57</v>
      </c>
      <c r="AE7" s="25">
        <v>0.17</v>
      </c>
      <c r="AF7" s="24" t="s">
        <v>162</v>
      </c>
      <c r="AG7" s="24" t="s">
        <v>59</v>
      </c>
      <c r="AH7" s="24" t="s">
        <v>60</v>
      </c>
      <c r="AI7" s="52" t="s">
        <v>61</v>
      </c>
      <c r="AJ7" s="24" t="s">
        <v>62</v>
      </c>
      <c r="AK7" s="24" t="s">
        <v>1140</v>
      </c>
      <c r="AL7" s="27" t="s">
        <v>164</v>
      </c>
      <c r="AM7" s="27" t="s">
        <v>65</v>
      </c>
      <c r="AN7" s="27"/>
      <c r="AO7" s="54" t="s">
        <v>1142</v>
      </c>
    </row>
    <row r="8" ht="15.0" customHeight="1">
      <c r="A8" s="20">
        <v>13.0</v>
      </c>
      <c r="B8" s="21" t="s">
        <v>186</v>
      </c>
      <c r="C8" s="21" t="s">
        <v>187</v>
      </c>
      <c r="D8" s="21" t="s">
        <v>188</v>
      </c>
      <c r="E8" s="21" t="s">
        <v>189</v>
      </c>
      <c r="F8" s="21" t="s">
        <v>190</v>
      </c>
      <c r="G8" s="21" t="s">
        <v>191</v>
      </c>
      <c r="H8" s="21" t="s">
        <v>192</v>
      </c>
      <c r="I8" s="21" t="s">
        <v>193</v>
      </c>
      <c r="J8" s="21" t="s">
        <v>194</v>
      </c>
      <c r="K8" s="21" t="s">
        <v>195</v>
      </c>
      <c r="L8" s="21">
        <v>1.0</v>
      </c>
      <c r="M8" s="21">
        <v>0.0</v>
      </c>
      <c r="N8" s="21">
        <v>0.1568627450980392</v>
      </c>
      <c r="O8" s="21">
        <v>1.0</v>
      </c>
      <c r="P8" s="21">
        <v>8.0</v>
      </c>
      <c r="Q8" s="21" t="s">
        <v>53</v>
      </c>
      <c r="R8" s="21">
        <v>0.0</v>
      </c>
      <c r="S8" s="21" t="s">
        <v>53</v>
      </c>
      <c r="T8" s="21">
        <v>0.0</v>
      </c>
      <c r="U8" s="21">
        <v>0.0</v>
      </c>
      <c r="V8" s="21">
        <v>0.0</v>
      </c>
      <c r="W8" s="21" t="s">
        <v>53</v>
      </c>
      <c r="X8" s="21">
        <v>0.0</v>
      </c>
      <c r="Y8" s="21" t="s">
        <v>53</v>
      </c>
      <c r="Z8" s="21" t="s">
        <v>196</v>
      </c>
      <c r="AA8" s="23" t="s">
        <v>177</v>
      </c>
      <c r="AB8" s="23" t="b">
        <v>1</v>
      </c>
      <c r="AC8" s="24" t="s">
        <v>56</v>
      </c>
      <c r="AD8" s="24" t="s">
        <v>57</v>
      </c>
      <c r="AE8" s="25">
        <v>0.2</v>
      </c>
      <c r="AF8" s="24" t="s">
        <v>58</v>
      </c>
      <c r="AG8" s="24" t="s">
        <v>59</v>
      </c>
      <c r="AH8" s="24" t="s">
        <v>60</v>
      </c>
      <c r="AI8" s="52" t="s">
        <v>61</v>
      </c>
      <c r="AJ8" s="24" t="s">
        <v>62</v>
      </c>
      <c r="AK8" s="24" t="s">
        <v>1140</v>
      </c>
      <c r="AL8" s="27" t="s">
        <v>164</v>
      </c>
      <c r="AM8" s="27" t="s">
        <v>65</v>
      </c>
      <c r="AN8" s="27"/>
      <c r="AO8" s="54" t="s">
        <v>1142</v>
      </c>
    </row>
    <row r="9" ht="15.0" customHeight="1">
      <c r="A9" s="20">
        <v>14.0</v>
      </c>
      <c r="B9" s="21" t="s">
        <v>197</v>
      </c>
      <c r="C9" s="21" t="s">
        <v>198</v>
      </c>
      <c r="D9" s="21" t="s">
        <v>199</v>
      </c>
      <c r="E9" s="21" t="s">
        <v>200</v>
      </c>
      <c r="F9" s="21" t="s">
        <v>201</v>
      </c>
      <c r="G9" s="21" t="s">
        <v>202</v>
      </c>
      <c r="H9" s="21" t="s">
        <v>203</v>
      </c>
      <c r="I9" s="21" t="s">
        <v>204</v>
      </c>
      <c r="J9" s="21" t="s">
        <v>205</v>
      </c>
      <c r="K9" s="21" t="s">
        <v>206</v>
      </c>
      <c r="L9" s="21">
        <v>1.0</v>
      </c>
      <c r="M9" s="21">
        <v>0.0</v>
      </c>
      <c r="N9" s="21">
        <v>0.07657657657657657</v>
      </c>
      <c r="O9" s="21">
        <v>3.0</v>
      </c>
      <c r="P9" s="21">
        <v>10.0</v>
      </c>
      <c r="Q9" s="21" t="s">
        <v>53</v>
      </c>
      <c r="R9" s="21">
        <v>0.0</v>
      </c>
      <c r="S9" s="21" t="s">
        <v>53</v>
      </c>
      <c r="T9" s="21">
        <v>0.0</v>
      </c>
      <c r="U9" s="21">
        <v>0.0</v>
      </c>
      <c r="V9" s="21">
        <v>0.0</v>
      </c>
      <c r="W9" s="21" t="s">
        <v>53</v>
      </c>
      <c r="X9" s="21">
        <v>0.0</v>
      </c>
      <c r="Y9" s="21" t="s">
        <v>53</v>
      </c>
      <c r="Z9" s="21" t="s">
        <v>207</v>
      </c>
      <c r="AA9" s="23" t="s">
        <v>208</v>
      </c>
      <c r="AB9" s="23" t="b">
        <v>1</v>
      </c>
      <c r="AC9" s="24" t="s">
        <v>77</v>
      </c>
      <c r="AD9" s="24" t="s">
        <v>57</v>
      </c>
      <c r="AE9" s="25">
        <v>0.17</v>
      </c>
      <c r="AF9" s="24" t="s">
        <v>162</v>
      </c>
      <c r="AG9" s="24" t="s">
        <v>59</v>
      </c>
      <c r="AH9" s="24" t="s">
        <v>209</v>
      </c>
      <c r="AI9" s="52" t="s">
        <v>61</v>
      </c>
      <c r="AJ9" s="24" t="s">
        <v>62</v>
      </c>
      <c r="AK9" s="24" t="s">
        <v>1140</v>
      </c>
      <c r="AL9" s="27" t="s">
        <v>164</v>
      </c>
      <c r="AM9" s="27" t="s">
        <v>65</v>
      </c>
      <c r="AN9" s="27"/>
      <c r="AO9" s="54" t="s">
        <v>1142</v>
      </c>
    </row>
    <row r="10" ht="15.0" customHeight="1">
      <c r="A10" s="20">
        <v>16.0</v>
      </c>
      <c r="B10" s="21" t="s">
        <v>197</v>
      </c>
      <c r="C10" s="21" t="s">
        <v>221</v>
      </c>
      <c r="D10" s="21" t="s">
        <v>222</v>
      </c>
      <c r="E10" s="21" t="s">
        <v>200</v>
      </c>
      <c r="F10" s="21" t="s">
        <v>212</v>
      </c>
      <c r="G10" s="21" t="s">
        <v>223</v>
      </c>
      <c r="H10" s="21" t="s">
        <v>224</v>
      </c>
      <c r="I10" s="21" t="s">
        <v>225</v>
      </c>
      <c r="J10" s="21" t="s">
        <v>226</v>
      </c>
      <c r="K10" s="21" t="s">
        <v>227</v>
      </c>
      <c r="L10" s="21">
        <v>0.8</v>
      </c>
      <c r="M10" s="21">
        <v>0.2</v>
      </c>
      <c r="N10" s="21">
        <v>0.3761755485893417</v>
      </c>
      <c r="O10" s="21">
        <v>0.0</v>
      </c>
      <c r="P10" s="21">
        <v>11.0</v>
      </c>
      <c r="Q10" s="21" t="s">
        <v>218</v>
      </c>
      <c r="R10" s="21">
        <v>1.0</v>
      </c>
      <c r="S10" s="21" t="s">
        <v>218</v>
      </c>
      <c r="T10" s="21">
        <v>0.0</v>
      </c>
      <c r="U10" s="21">
        <v>0.0</v>
      </c>
      <c r="V10" s="21">
        <v>0.0</v>
      </c>
      <c r="W10" s="21" t="s">
        <v>53</v>
      </c>
      <c r="X10" s="21">
        <v>0.0</v>
      </c>
      <c r="Y10" s="21" t="s">
        <v>53</v>
      </c>
      <c r="Z10" s="21" t="s">
        <v>228</v>
      </c>
      <c r="AA10" s="23" t="s">
        <v>208</v>
      </c>
      <c r="AB10" s="23" t="b">
        <v>1</v>
      </c>
      <c r="AC10" s="21" t="s">
        <v>77</v>
      </c>
      <c r="AD10" s="21" t="s">
        <v>57</v>
      </c>
      <c r="AE10" s="21">
        <v>0.33</v>
      </c>
      <c r="AF10" s="21" t="s">
        <v>559</v>
      </c>
      <c r="AG10" s="21" t="s">
        <v>59</v>
      </c>
      <c r="AH10" s="21" t="s">
        <v>209</v>
      </c>
      <c r="AI10" s="22" t="s">
        <v>61</v>
      </c>
      <c r="AJ10" s="21" t="s">
        <v>62</v>
      </c>
      <c r="AK10" s="21" t="s">
        <v>1148</v>
      </c>
      <c r="AL10" s="23" t="s">
        <v>164</v>
      </c>
      <c r="AM10" s="23" t="s">
        <v>1149</v>
      </c>
      <c r="AN10" s="23" t="s">
        <v>1150</v>
      </c>
      <c r="AO10" s="54" t="s">
        <v>1151</v>
      </c>
    </row>
    <row r="11" ht="15.0" customHeight="1">
      <c r="A11" s="20">
        <v>21.0</v>
      </c>
      <c r="B11" s="21" t="s">
        <v>260</v>
      </c>
      <c r="C11" s="21" t="s">
        <v>261</v>
      </c>
      <c r="D11" s="21" t="s">
        <v>262</v>
      </c>
      <c r="E11" s="21" t="s">
        <v>263</v>
      </c>
      <c r="F11" s="21" t="s">
        <v>264</v>
      </c>
      <c r="G11" s="21" t="s">
        <v>265</v>
      </c>
      <c r="H11" s="21" t="s">
        <v>266</v>
      </c>
      <c r="I11" s="21" t="s">
        <v>267</v>
      </c>
      <c r="J11" s="21" t="s">
        <v>268</v>
      </c>
      <c r="K11" s="21" t="s">
        <v>269</v>
      </c>
      <c r="L11" s="21">
        <v>1.0</v>
      </c>
      <c r="M11" s="21">
        <v>0.0</v>
      </c>
      <c r="N11" s="21">
        <v>0.21158129175946547</v>
      </c>
      <c r="O11" s="21">
        <v>0.0</v>
      </c>
      <c r="P11" s="21">
        <v>9.0</v>
      </c>
      <c r="Q11" s="21" t="s">
        <v>270</v>
      </c>
      <c r="R11" s="21">
        <v>0.0</v>
      </c>
      <c r="S11" s="21" t="s">
        <v>53</v>
      </c>
      <c r="T11" s="21">
        <v>0.0</v>
      </c>
      <c r="U11" s="21">
        <v>0.0</v>
      </c>
      <c r="V11" s="21">
        <v>0.0</v>
      </c>
      <c r="W11" s="21" t="s">
        <v>53</v>
      </c>
      <c r="X11" s="21">
        <v>0.0</v>
      </c>
      <c r="Y11" s="21" t="s">
        <v>53</v>
      </c>
      <c r="Z11" s="21" t="s">
        <v>271</v>
      </c>
      <c r="AA11" s="23" t="s">
        <v>272</v>
      </c>
      <c r="AB11" s="23" t="b">
        <v>1</v>
      </c>
      <c r="AC11" s="21" t="s">
        <v>57</v>
      </c>
      <c r="AD11" s="21" t="s">
        <v>56</v>
      </c>
      <c r="AE11" s="21">
        <v>0.5</v>
      </c>
      <c r="AF11" s="21" t="s">
        <v>162</v>
      </c>
      <c r="AG11" s="21" t="s">
        <v>559</v>
      </c>
      <c r="AH11" s="21" t="s">
        <v>60</v>
      </c>
      <c r="AI11" s="22" t="s">
        <v>61</v>
      </c>
      <c r="AJ11" s="21" t="s">
        <v>62</v>
      </c>
      <c r="AK11" s="21" t="s">
        <v>1140</v>
      </c>
      <c r="AL11" s="23" t="s">
        <v>164</v>
      </c>
      <c r="AM11" s="23" t="s">
        <v>65</v>
      </c>
      <c r="AN11" s="23" t="s">
        <v>1152</v>
      </c>
      <c r="AO11" s="54" t="s">
        <v>1142</v>
      </c>
    </row>
    <row r="12" ht="15.0" customHeight="1">
      <c r="A12" s="20">
        <v>23.0</v>
      </c>
      <c r="B12" s="21" t="s">
        <v>260</v>
      </c>
      <c r="C12" s="21" t="s">
        <v>283</v>
      </c>
      <c r="D12" s="21" t="s">
        <v>284</v>
      </c>
      <c r="E12" s="21" t="s">
        <v>285</v>
      </c>
      <c r="F12" s="21" t="s">
        <v>286</v>
      </c>
      <c r="G12" s="21" t="s">
        <v>287</v>
      </c>
      <c r="H12" s="21" t="s">
        <v>288</v>
      </c>
      <c r="I12" s="21" t="s">
        <v>289</v>
      </c>
      <c r="J12" s="21" t="s">
        <v>290</v>
      </c>
      <c r="K12" s="21" t="s">
        <v>291</v>
      </c>
      <c r="L12" s="21">
        <v>1.0</v>
      </c>
      <c r="M12" s="21">
        <v>0.0</v>
      </c>
      <c r="N12" s="21">
        <v>0.10810810810810811</v>
      </c>
      <c r="O12" s="21">
        <v>0.0</v>
      </c>
      <c r="P12" s="21">
        <v>19.0</v>
      </c>
      <c r="Q12" s="21" t="s">
        <v>270</v>
      </c>
      <c r="R12" s="21">
        <v>0.0</v>
      </c>
      <c r="S12" s="21" t="s">
        <v>53</v>
      </c>
      <c r="T12" s="21">
        <v>0.0</v>
      </c>
      <c r="U12" s="21">
        <v>0.0</v>
      </c>
      <c r="V12" s="21">
        <v>0.0</v>
      </c>
      <c r="W12" s="21" t="s">
        <v>53</v>
      </c>
      <c r="X12" s="21">
        <v>0.0</v>
      </c>
      <c r="Y12" s="21" t="s">
        <v>53</v>
      </c>
      <c r="Z12" s="21" t="s">
        <v>292</v>
      </c>
      <c r="AA12" s="23" t="s">
        <v>293</v>
      </c>
      <c r="AB12" s="23" t="b">
        <v>1</v>
      </c>
      <c r="AC12" s="21" t="s">
        <v>1143</v>
      </c>
      <c r="AD12" s="21" t="s">
        <v>57</v>
      </c>
      <c r="AE12" s="21">
        <v>0.25</v>
      </c>
      <c r="AF12" s="21" t="s">
        <v>162</v>
      </c>
      <c r="AG12" s="21" t="s">
        <v>559</v>
      </c>
      <c r="AH12" s="21" t="s">
        <v>60</v>
      </c>
      <c r="AI12" s="22" t="s">
        <v>61</v>
      </c>
      <c r="AJ12" s="21" t="s">
        <v>62</v>
      </c>
      <c r="AK12" s="21" t="s">
        <v>1140</v>
      </c>
      <c r="AL12" s="23" t="s">
        <v>164</v>
      </c>
      <c r="AM12" s="23" t="s">
        <v>65</v>
      </c>
      <c r="AN12" s="23" t="s">
        <v>1153</v>
      </c>
      <c r="AO12" s="54" t="s">
        <v>1142</v>
      </c>
    </row>
    <row r="13" ht="15.0" customHeight="1">
      <c r="A13" s="20">
        <v>25.0</v>
      </c>
      <c r="B13" s="21" t="s">
        <v>296</v>
      </c>
      <c r="C13" s="21" t="s">
        <v>297</v>
      </c>
      <c r="D13" s="21" t="s">
        <v>298</v>
      </c>
      <c r="E13" s="21" t="s">
        <v>299</v>
      </c>
      <c r="F13" s="21" t="s">
        <v>300</v>
      </c>
      <c r="G13" s="21" t="s">
        <v>309</v>
      </c>
      <c r="H13" s="21" t="s">
        <v>310</v>
      </c>
      <c r="I13" s="21" t="s">
        <v>311</v>
      </c>
      <c r="J13" s="21" t="s">
        <v>312</v>
      </c>
      <c r="K13" s="21" t="s">
        <v>313</v>
      </c>
      <c r="L13" s="21">
        <v>1.0</v>
      </c>
      <c r="M13" s="21">
        <v>0.0</v>
      </c>
      <c r="N13" s="21">
        <v>0.3222748815165877</v>
      </c>
      <c r="O13" s="21">
        <v>0.0</v>
      </c>
      <c r="P13" s="21">
        <v>9.0</v>
      </c>
      <c r="Q13" s="21" t="s">
        <v>314</v>
      </c>
      <c r="R13" s="21">
        <v>0.0</v>
      </c>
      <c r="S13" s="21" t="s">
        <v>53</v>
      </c>
      <c r="T13" s="21">
        <v>0.0</v>
      </c>
      <c r="U13" s="21">
        <v>0.0</v>
      </c>
      <c r="V13" s="21">
        <v>0.0</v>
      </c>
      <c r="W13" s="21" t="s">
        <v>53</v>
      </c>
      <c r="X13" s="21">
        <v>0.0</v>
      </c>
      <c r="Y13" s="21" t="s">
        <v>53</v>
      </c>
      <c r="Z13" s="21" t="s">
        <v>308</v>
      </c>
      <c r="AA13" s="23" t="s">
        <v>293</v>
      </c>
      <c r="AB13" s="23" t="b">
        <v>1</v>
      </c>
      <c r="AC13" s="21" t="s">
        <v>1143</v>
      </c>
      <c r="AD13" s="21" t="s">
        <v>1144</v>
      </c>
      <c r="AE13" s="21">
        <v>0.5</v>
      </c>
      <c r="AF13" s="21" t="s">
        <v>162</v>
      </c>
      <c r="AG13" s="21" t="s">
        <v>559</v>
      </c>
      <c r="AH13" s="21" t="s">
        <v>209</v>
      </c>
      <c r="AI13" s="22" t="s">
        <v>61</v>
      </c>
      <c r="AJ13" s="21" t="s">
        <v>62</v>
      </c>
      <c r="AK13" s="21" t="s">
        <v>1154</v>
      </c>
      <c r="AL13" s="23" t="s">
        <v>164</v>
      </c>
      <c r="AM13" s="23" t="s">
        <v>65</v>
      </c>
      <c r="AN13" s="23" t="s">
        <v>1155</v>
      </c>
      <c r="AO13" s="54" t="s">
        <v>1142</v>
      </c>
    </row>
    <row r="14" ht="15.0" customHeight="1">
      <c r="A14" s="20">
        <v>28.0</v>
      </c>
      <c r="B14" s="21" t="s">
        <v>320</v>
      </c>
      <c r="C14" s="21" t="s">
        <v>297</v>
      </c>
      <c r="D14" s="21" t="s">
        <v>298</v>
      </c>
      <c r="E14" s="21" t="s">
        <v>299</v>
      </c>
      <c r="F14" s="21" t="s">
        <v>321</v>
      </c>
      <c r="G14" s="21" t="s">
        <v>328</v>
      </c>
      <c r="H14" s="21" t="s">
        <v>329</v>
      </c>
      <c r="I14" s="21" t="s">
        <v>330</v>
      </c>
      <c r="J14" s="21" t="s">
        <v>331</v>
      </c>
      <c r="K14" s="21" t="s">
        <v>313</v>
      </c>
      <c r="L14" s="21">
        <v>1.0</v>
      </c>
      <c r="M14" s="21">
        <v>0.0</v>
      </c>
      <c r="N14" s="21">
        <v>0.345372460496614</v>
      </c>
      <c r="O14" s="21">
        <v>0.0</v>
      </c>
      <c r="P14" s="21">
        <v>13.0</v>
      </c>
      <c r="Q14" s="21" t="s">
        <v>314</v>
      </c>
      <c r="R14" s="21">
        <v>0.0</v>
      </c>
      <c r="S14" s="21" t="s">
        <v>53</v>
      </c>
      <c r="T14" s="21">
        <v>0.0</v>
      </c>
      <c r="U14" s="21">
        <v>0.0</v>
      </c>
      <c r="V14" s="21">
        <v>0.0</v>
      </c>
      <c r="W14" s="21" t="s">
        <v>53</v>
      </c>
      <c r="X14" s="21">
        <v>0.0</v>
      </c>
      <c r="Y14" s="21" t="s">
        <v>53</v>
      </c>
      <c r="Z14" s="21" t="s">
        <v>308</v>
      </c>
      <c r="AA14" s="23" t="s">
        <v>293</v>
      </c>
      <c r="AB14" s="23" t="b">
        <v>1</v>
      </c>
      <c r="AC14" s="21" t="s">
        <v>1143</v>
      </c>
      <c r="AD14" s="21" t="s">
        <v>1144</v>
      </c>
      <c r="AE14" s="21">
        <v>0.5</v>
      </c>
      <c r="AF14" s="21" t="s">
        <v>162</v>
      </c>
      <c r="AG14" s="21" t="s">
        <v>559</v>
      </c>
      <c r="AH14" s="21" t="s">
        <v>209</v>
      </c>
      <c r="AI14" s="22" t="s">
        <v>61</v>
      </c>
      <c r="AJ14" s="21" t="s">
        <v>62</v>
      </c>
      <c r="AK14" s="21" t="s">
        <v>1154</v>
      </c>
      <c r="AL14" s="23" t="s">
        <v>164</v>
      </c>
      <c r="AM14" s="23" t="s">
        <v>65</v>
      </c>
      <c r="AN14" s="23" t="s">
        <v>1155</v>
      </c>
      <c r="AO14" s="54" t="s">
        <v>1142</v>
      </c>
    </row>
    <row r="15" ht="15.0" customHeight="1">
      <c r="A15" s="20">
        <v>30.0</v>
      </c>
      <c r="B15" s="21" t="s">
        <v>340</v>
      </c>
      <c r="C15" s="21" t="s">
        <v>341</v>
      </c>
      <c r="D15" s="21" t="s">
        <v>342</v>
      </c>
      <c r="E15" s="21" t="s">
        <v>343</v>
      </c>
      <c r="F15" s="21" t="s">
        <v>344</v>
      </c>
      <c r="G15" s="21" t="s">
        <v>345</v>
      </c>
      <c r="H15" s="21" t="s">
        <v>346</v>
      </c>
      <c r="I15" s="21" t="s">
        <v>347</v>
      </c>
      <c r="J15" s="21" t="s">
        <v>348</v>
      </c>
      <c r="K15" s="21" t="s">
        <v>349</v>
      </c>
      <c r="L15" s="21">
        <v>1.0</v>
      </c>
      <c r="M15" s="21">
        <v>0.0</v>
      </c>
      <c r="N15" s="21">
        <v>0.041666666666666664</v>
      </c>
      <c r="O15" s="21">
        <v>2.0</v>
      </c>
      <c r="P15" s="21">
        <v>4.0</v>
      </c>
      <c r="Q15" s="21" t="s">
        <v>53</v>
      </c>
      <c r="R15" s="21">
        <v>0.0</v>
      </c>
      <c r="S15" s="21" t="s">
        <v>53</v>
      </c>
      <c r="T15" s="21">
        <v>0.0</v>
      </c>
      <c r="U15" s="21">
        <v>0.0</v>
      </c>
      <c r="V15" s="21">
        <v>0.0</v>
      </c>
      <c r="W15" s="21" t="s">
        <v>53</v>
      </c>
      <c r="X15" s="21">
        <v>0.0</v>
      </c>
      <c r="Y15" s="21" t="s">
        <v>53</v>
      </c>
      <c r="Z15" s="21" t="s">
        <v>350</v>
      </c>
      <c r="AA15" s="23" t="s">
        <v>351</v>
      </c>
      <c r="AB15" s="23" t="b">
        <v>1</v>
      </c>
      <c r="AC15" s="21" t="s">
        <v>56</v>
      </c>
      <c r="AD15" s="21" t="s">
        <v>57</v>
      </c>
      <c r="AE15" s="21">
        <v>0.71</v>
      </c>
      <c r="AF15" s="21" t="s">
        <v>58</v>
      </c>
      <c r="AG15" s="21" t="s">
        <v>559</v>
      </c>
      <c r="AH15" s="21" t="s">
        <v>60</v>
      </c>
      <c r="AI15" s="22" t="s">
        <v>61</v>
      </c>
      <c r="AJ15" s="21" t="s">
        <v>62</v>
      </c>
      <c r="AK15" s="21" t="s">
        <v>1140</v>
      </c>
      <c r="AL15" s="23" t="s">
        <v>164</v>
      </c>
      <c r="AM15" s="23" t="s">
        <v>65</v>
      </c>
      <c r="AN15" s="23" t="s">
        <v>1156</v>
      </c>
      <c r="AO15" s="54" t="s">
        <v>1142</v>
      </c>
    </row>
    <row r="16" ht="15.0" customHeight="1">
      <c r="A16" s="20">
        <v>37.0</v>
      </c>
      <c r="B16" s="21" t="s">
        <v>411</v>
      </c>
      <c r="C16" s="21" t="s">
        <v>412</v>
      </c>
      <c r="D16" s="21" t="s">
        <v>413</v>
      </c>
      <c r="E16" s="21" t="s">
        <v>414</v>
      </c>
      <c r="F16" s="21" t="s">
        <v>415</v>
      </c>
      <c r="G16" s="21" t="s">
        <v>416</v>
      </c>
      <c r="H16" s="21" t="s">
        <v>417</v>
      </c>
      <c r="I16" s="21" t="s">
        <v>418</v>
      </c>
      <c r="J16" s="21" t="s">
        <v>419</v>
      </c>
      <c r="K16" s="21" t="s">
        <v>420</v>
      </c>
      <c r="L16" s="21">
        <v>1.0</v>
      </c>
      <c r="M16" s="21">
        <v>0.0</v>
      </c>
      <c r="N16" s="21">
        <v>0.21379310344827587</v>
      </c>
      <c r="O16" s="21">
        <v>7.0</v>
      </c>
      <c r="P16" s="21">
        <v>72.0</v>
      </c>
      <c r="Q16" s="21" t="s">
        <v>53</v>
      </c>
      <c r="R16" s="21">
        <v>0.0</v>
      </c>
      <c r="S16" s="21" t="s">
        <v>53</v>
      </c>
      <c r="T16" s="21">
        <v>0.0</v>
      </c>
      <c r="U16" s="21">
        <v>0.0</v>
      </c>
      <c r="V16" s="21">
        <v>0.0</v>
      </c>
      <c r="W16" s="21" t="s">
        <v>53</v>
      </c>
      <c r="X16" s="21">
        <v>0.0</v>
      </c>
      <c r="Y16" s="21" t="s">
        <v>53</v>
      </c>
      <c r="Z16" s="21" t="s">
        <v>421</v>
      </c>
      <c r="AA16" s="23" t="s">
        <v>422</v>
      </c>
      <c r="AB16" s="23" t="b">
        <v>1</v>
      </c>
      <c r="AC16" s="21" t="s">
        <v>77</v>
      </c>
      <c r="AD16" s="21" t="s">
        <v>57</v>
      </c>
      <c r="AE16" s="21">
        <v>0.4</v>
      </c>
      <c r="AF16" s="21" t="s">
        <v>58</v>
      </c>
      <c r="AG16" s="21" t="s">
        <v>59</v>
      </c>
      <c r="AH16" s="21" t="s">
        <v>60</v>
      </c>
      <c r="AI16" s="22" t="s">
        <v>61</v>
      </c>
      <c r="AJ16" s="21" t="s">
        <v>62</v>
      </c>
      <c r="AK16" s="21" t="s">
        <v>1140</v>
      </c>
      <c r="AL16" s="23" t="s">
        <v>64</v>
      </c>
      <c r="AM16" s="27" t="s">
        <v>1141</v>
      </c>
      <c r="AN16" s="23" t="s">
        <v>1150</v>
      </c>
      <c r="AO16" s="54" t="s">
        <v>1142</v>
      </c>
    </row>
    <row r="17" ht="15.0" customHeight="1">
      <c r="A17" s="20">
        <v>38.0</v>
      </c>
      <c r="B17" s="21" t="s">
        <v>411</v>
      </c>
      <c r="C17" s="21" t="s">
        <v>423</v>
      </c>
      <c r="D17" s="21" t="s">
        <v>424</v>
      </c>
      <c r="E17" s="21" t="s">
        <v>425</v>
      </c>
      <c r="F17" s="21" t="s">
        <v>426</v>
      </c>
      <c r="G17" s="21" t="s">
        <v>427</v>
      </c>
      <c r="H17" s="21" t="s">
        <v>428</v>
      </c>
      <c r="I17" s="21" t="s">
        <v>429</v>
      </c>
      <c r="J17" s="21" t="s">
        <v>430</v>
      </c>
      <c r="K17" s="21" t="s">
        <v>431</v>
      </c>
      <c r="L17" s="21">
        <v>1.0</v>
      </c>
      <c r="M17" s="21">
        <v>0.0</v>
      </c>
      <c r="N17" s="21">
        <v>0.0078125</v>
      </c>
      <c r="O17" s="21">
        <v>0.0</v>
      </c>
      <c r="P17" s="21">
        <v>74.0</v>
      </c>
      <c r="Q17" s="21" t="s">
        <v>53</v>
      </c>
      <c r="R17" s="21">
        <v>0.0</v>
      </c>
      <c r="S17" s="21" t="s">
        <v>53</v>
      </c>
      <c r="T17" s="21">
        <v>0.0</v>
      </c>
      <c r="U17" s="21">
        <v>0.0</v>
      </c>
      <c r="V17" s="21">
        <v>0.0</v>
      </c>
      <c r="W17" s="21" t="s">
        <v>53</v>
      </c>
      <c r="X17" s="21">
        <v>0.0</v>
      </c>
      <c r="Y17" s="21" t="s">
        <v>53</v>
      </c>
      <c r="Z17" s="21" t="s">
        <v>432</v>
      </c>
      <c r="AA17" s="23" t="s">
        <v>422</v>
      </c>
      <c r="AB17" s="23" t="b">
        <v>1</v>
      </c>
      <c r="AC17" s="21" t="s">
        <v>57</v>
      </c>
      <c r="AD17" s="21" t="s">
        <v>57</v>
      </c>
      <c r="AE17" s="21">
        <v>0.75</v>
      </c>
      <c r="AF17" s="21" t="s">
        <v>58</v>
      </c>
      <c r="AG17" s="21" t="s">
        <v>559</v>
      </c>
      <c r="AH17" s="21" t="s">
        <v>60</v>
      </c>
      <c r="AI17" s="22" t="s">
        <v>61</v>
      </c>
      <c r="AJ17" s="21" t="s">
        <v>62</v>
      </c>
      <c r="AK17" s="21" t="s">
        <v>1140</v>
      </c>
      <c r="AL17" s="23" t="s">
        <v>64</v>
      </c>
      <c r="AM17" s="23" t="s">
        <v>65</v>
      </c>
      <c r="AN17" s="23" t="s">
        <v>1152</v>
      </c>
      <c r="AO17" s="54" t="s">
        <v>1142</v>
      </c>
    </row>
    <row r="18" ht="15.0" customHeight="1">
      <c r="A18" s="20">
        <v>39.0</v>
      </c>
      <c r="B18" s="21" t="s">
        <v>411</v>
      </c>
      <c r="C18" s="21" t="s">
        <v>423</v>
      </c>
      <c r="D18" s="21" t="s">
        <v>424</v>
      </c>
      <c r="E18" s="21" t="s">
        <v>425</v>
      </c>
      <c r="F18" s="21" t="s">
        <v>426</v>
      </c>
      <c r="G18" s="21" t="s">
        <v>433</v>
      </c>
      <c r="H18" s="21" t="s">
        <v>434</v>
      </c>
      <c r="I18" s="21" t="s">
        <v>429</v>
      </c>
      <c r="J18" s="21" t="s">
        <v>435</v>
      </c>
      <c r="K18" s="21" t="s">
        <v>436</v>
      </c>
      <c r="L18" s="21">
        <v>1.0</v>
      </c>
      <c r="M18" s="21">
        <v>0.0</v>
      </c>
      <c r="N18" s="21">
        <v>0.0234375</v>
      </c>
      <c r="O18" s="21">
        <v>0.0</v>
      </c>
      <c r="P18" s="21">
        <v>74.0</v>
      </c>
      <c r="Q18" s="21" t="s">
        <v>53</v>
      </c>
      <c r="R18" s="21">
        <v>0.0</v>
      </c>
      <c r="S18" s="21" t="s">
        <v>53</v>
      </c>
      <c r="T18" s="21">
        <v>0.0</v>
      </c>
      <c r="U18" s="21">
        <v>0.0</v>
      </c>
      <c r="V18" s="21">
        <v>0.0</v>
      </c>
      <c r="W18" s="21" t="s">
        <v>53</v>
      </c>
      <c r="X18" s="21">
        <v>0.0</v>
      </c>
      <c r="Y18" s="21" t="s">
        <v>53</v>
      </c>
      <c r="Z18" s="21" t="s">
        <v>432</v>
      </c>
      <c r="AA18" s="23" t="s">
        <v>422</v>
      </c>
      <c r="AB18" s="23" t="b">
        <v>1</v>
      </c>
      <c r="AC18" s="21" t="s">
        <v>57</v>
      </c>
      <c r="AD18" s="21" t="s">
        <v>57</v>
      </c>
      <c r="AE18" s="21">
        <v>0.75</v>
      </c>
      <c r="AF18" s="21" t="s">
        <v>58</v>
      </c>
      <c r="AG18" s="21" t="s">
        <v>59</v>
      </c>
      <c r="AH18" s="21" t="s">
        <v>60</v>
      </c>
      <c r="AI18" s="22" t="s">
        <v>61</v>
      </c>
      <c r="AJ18" s="21" t="s">
        <v>62</v>
      </c>
      <c r="AK18" s="21" t="s">
        <v>1140</v>
      </c>
      <c r="AL18" s="23" t="s">
        <v>64</v>
      </c>
      <c r="AM18" s="23" t="s">
        <v>65</v>
      </c>
      <c r="AN18" s="23" t="s">
        <v>1152</v>
      </c>
      <c r="AO18" s="54" t="s">
        <v>1142</v>
      </c>
    </row>
    <row r="19" ht="15.0" customHeight="1">
      <c r="A19" s="20">
        <v>40.0</v>
      </c>
      <c r="B19" s="21" t="s">
        <v>411</v>
      </c>
      <c r="C19" s="21" t="s">
        <v>423</v>
      </c>
      <c r="D19" s="21" t="s">
        <v>424</v>
      </c>
      <c r="E19" s="21" t="s">
        <v>425</v>
      </c>
      <c r="F19" s="21" t="s">
        <v>426</v>
      </c>
      <c r="G19" s="21" t="s">
        <v>437</v>
      </c>
      <c r="H19" s="21" t="s">
        <v>438</v>
      </c>
      <c r="I19" s="21" t="s">
        <v>429</v>
      </c>
      <c r="J19" s="21" t="s">
        <v>439</v>
      </c>
      <c r="K19" s="21" t="s">
        <v>440</v>
      </c>
      <c r="L19" s="21">
        <v>1.0</v>
      </c>
      <c r="M19" s="21">
        <v>0.0</v>
      </c>
      <c r="N19" s="21">
        <v>0.031007751937984496</v>
      </c>
      <c r="O19" s="21">
        <v>0.0</v>
      </c>
      <c r="P19" s="21">
        <v>74.0</v>
      </c>
      <c r="Q19" s="21" t="s">
        <v>53</v>
      </c>
      <c r="R19" s="21">
        <v>0.0</v>
      </c>
      <c r="S19" s="21" t="s">
        <v>53</v>
      </c>
      <c r="T19" s="21">
        <v>0.0</v>
      </c>
      <c r="U19" s="21">
        <v>0.0</v>
      </c>
      <c r="V19" s="21">
        <v>0.0</v>
      </c>
      <c r="W19" s="21" t="s">
        <v>53</v>
      </c>
      <c r="X19" s="21">
        <v>0.0</v>
      </c>
      <c r="Y19" s="21" t="s">
        <v>53</v>
      </c>
      <c r="Z19" s="21" t="s">
        <v>432</v>
      </c>
      <c r="AA19" s="23" t="s">
        <v>422</v>
      </c>
      <c r="AB19" s="23" t="b">
        <v>1</v>
      </c>
      <c r="AC19" s="21" t="s">
        <v>57</v>
      </c>
      <c r="AD19" s="21" t="s">
        <v>57</v>
      </c>
      <c r="AE19" s="21">
        <v>0.75</v>
      </c>
      <c r="AF19" s="21" t="s">
        <v>58</v>
      </c>
      <c r="AG19" s="21" t="s">
        <v>59</v>
      </c>
      <c r="AH19" s="21" t="s">
        <v>60</v>
      </c>
      <c r="AI19" s="22" t="s">
        <v>61</v>
      </c>
      <c r="AJ19" s="21" t="s">
        <v>62</v>
      </c>
      <c r="AK19" s="21" t="s">
        <v>1140</v>
      </c>
      <c r="AL19" s="23" t="s">
        <v>64</v>
      </c>
      <c r="AM19" s="23" t="s">
        <v>65</v>
      </c>
      <c r="AN19" s="23" t="s">
        <v>1152</v>
      </c>
      <c r="AO19" s="54" t="s">
        <v>1142</v>
      </c>
    </row>
    <row r="20" ht="15.0" customHeight="1">
      <c r="A20" s="20">
        <v>41.0</v>
      </c>
      <c r="B20" s="21" t="s">
        <v>411</v>
      </c>
      <c r="C20" s="21" t="s">
        <v>423</v>
      </c>
      <c r="D20" s="21" t="s">
        <v>424</v>
      </c>
      <c r="E20" s="21" t="s">
        <v>425</v>
      </c>
      <c r="F20" s="21" t="s">
        <v>426</v>
      </c>
      <c r="G20" s="21" t="s">
        <v>441</v>
      </c>
      <c r="H20" s="21" t="s">
        <v>442</v>
      </c>
      <c r="I20" s="21" t="s">
        <v>429</v>
      </c>
      <c r="J20" s="21" t="s">
        <v>443</v>
      </c>
      <c r="K20" s="21" t="s">
        <v>444</v>
      </c>
      <c r="L20" s="21">
        <v>1.0</v>
      </c>
      <c r="M20" s="21">
        <v>0.0</v>
      </c>
      <c r="N20" s="21">
        <v>0.0234375</v>
      </c>
      <c r="O20" s="21">
        <v>0.0</v>
      </c>
      <c r="P20" s="21">
        <v>74.0</v>
      </c>
      <c r="Q20" s="21" t="s">
        <v>53</v>
      </c>
      <c r="R20" s="21">
        <v>0.0</v>
      </c>
      <c r="S20" s="21" t="s">
        <v>53</v>
      </c>
      <c r="T20" s="21">
        <v>0.0</v>
      </c>
      <c r="U20" s="21">
        <v>0.0</v>
      </c>
      <c r="V20" s="21">
        <v>0.0</v>
      </c>
      <c r="W20" s="21" t="s">
        <v>53</v>
      </c>
      <c r="X20" s="21">
        <v>0.0</v>
      </c>
      <c r="Y20" s="21" t="s">
        <v>53</v>
      </c>
      <c r="Z20" s="21" t="s">
        <v>432</v>
      </c>
      <c r="AA20" s="23" t="s">
        <v>422</v>
      </c>
      <c r="AB20" s="23" t="b">
        <v>1</v>
      </c>
      <c r="AC20" s="21" t="s">
        <v>57</v>
      </c>
      <c r="AD20" s="21" t="s">
        <v>57</v>
      </c>
      <c r="AE20" s="21">
        <v>0.75</v>
      </c>
      <c r="AF20" s="21" t="s">
        <v>58</v>
      </c>
      <c r="AG20" s="21" t="s">
        <v>59</v>
      </c>
      <c r="AH20" s="21" t="s">
        <v>60</v>
      </c>
      <c r="AI20" s="22" t="s">
        <v>61</v>
      </c>
      <c r="AJ20" s="21" t="s">
        <v>62</v>
      </c>
      <c r="AK20" s="21" t="s">
        <v>1140</v>
      </c>
      <c r="AL20" s="23" t="s">
        <v>64</v>
      </c>
      <c r="AM20" s="23" t="s">
        <v>65</v>
      </c>
      <c r="AN20" s="23" t="s">
        <v>1152</v>
      </c>
      <c r="AO20" s="54" t="s">
        <v>1142</v>
      </c>
    </row>
    <row r="21" ht="15.0" customHeight="1">
      <c r="A21" s="20">
        <v>42.0</v>
      </c>
      <c r="B21" s="21" t="s">
        <v>411</v>
      </c>
      <c r="C21" s="21" t="s">
        <v>423</v>
      </c>
      <c r="D21" s="21" t="s">
        <v>424</v>
      </c>
      <c r="E21" s="21" t="s">
        <v>445</v>
      </c>
      <c r="F21" s="21" t="s">
        <v>446</v>
      </c>
      <c r="G21" s="21" t="s">
        <v>447</v>
      </c>
      <c r="H21" s="21" t="s">
        <v>448</v>
      </c>
      <c r="I21" s="21" t="s">
        <v>429</v>
      </c>
      <c r="J21" s="21" t="s">
        <v>449</v>
      </c>
      <c r="K21" s="21" t="s">
        <v>450</v>
      </c>
      <c r="L21" s="21">
        <v>1.0</v>
      </c>
      <c r="M21" s="21">
        <v>0.0</v>
      </c>
      <c r="N21" s="21">
        <v>0.015625</v>
      </c>
      <c r="O21" s="21">
        <v>1.0</v>
      </c>
      <c r="P21" s="21">
        <v>74.0</v>
      </c>
      <c r="Q21" s="21" t="s">
        <v>53</v>
      </c>
      <c r="R21" s="21">
        <v>0.0</v>
      </c>
      <c r="S21" s="21" t="s">
        <v>53</v>
      </c>
      <c r="T21" s="21">
        <v>0.0</v>
      </c>
      <c r="U21" s="21">
        <v>0.0</v>
      </c>
      <c r="V21" s="21">
        <v>0.0</v>
      </c>
      <c r="W21" s="21" t="s">
        <v>53</v>
      </c>
      <c r="X21" s="21">
        <v>0.0</v>
      </c>
      <c r="Y21" s="21" t="s">
        <v>53</v>
      </c>
      <c r="Z21" s="21" t="s">
        <v>432</v>
      </c>
      <c r="AA21" s="23" t="s">
        <v>422</v>
      </c>
      <c r="AB21" s="23" t="b">
        <v>1</v>
      </c>
      <c r="AC21" s="21" t="s">
        <v>57</v>
      </c>
      <c r="AD21" s="21" t="s">
        <v>57</v>
      </c>
      <c r="AE21" s="21">
        <v>0.75</v>
      </c>
      <c r="AF21" s="21" t="s">
        <v>58</v>
      </c>
      <c r="AG21" s="21" t="s">
        <v>559</v>
      </c>
      <c r="AH21" s="21" t="s">
        <v>60</v>
      </c>
      <c r="AI21" s="22" t="s">
        <v>61</v>
      </c>
      <c r="AJ21" s="21" t="s">
        <v>62</v>
      </c>
      <c r="AK21" s="21" t="s">
        <v>1140</v>
      </c>
      <c r="AL21" s="23" t="s">
        <v>64</v>
      </c>
      <c r="AM21" s="23" t="s">
        <v>65</v>
      </c>
      <c r="AN21" s="23" t="s">
        <v>1152</v>
      </c>
      <c r="AO21" s="54" t="s">
        <v>1142</v>
      </c>
    </row>
    <row r="22" ht="15.0" customHeight="1">
      <c r="A22" s="20">
        <v>43.0</v>
      </c>
      <c r="B22" s="21" t="s">
        <v>411</v>
      </c>
      <c r="C22" s="21" t="s">
        <v>423</v>
      </c>
      <c r="D22" s="21" t="s">
        <v>424</v>
      </c>
      <c r="E22" s="21" t="s">
        <v>425</v>
      </c>
      <c r="F22" s="21" t="s">
        <v>426</v>
      </c>
      <c r="G22" s="21" t="s">
        <v>451</v>
      </c>
      <c r="H22" s="21" t="s">
        <v>452</v>
      </c>
      <c r="I22" s="21" t="s">
        <v>429</v>
      </c>
      <c r="J22" s="21" t="s">
        <v>453</v>
      </c>
      <c r="K22" s="21" t="s">
        <v>454</v>
      </c>
      <c r="L22" s="21">
        <v>1.0</v>
      </c>
      <c r="M22" s="21">
        <v>0.0</v>
      </c>
      <c r="N22" s="21">
        <v>0.0234375</v>
      </c>
      <c r="O22" s="21">
        <v>0.0</v>
      </c>
      <c r="P22" s="21">
        <v>74.0</v>
      </c>
      <c r="Q22" s="21" t="s">
        <v>53</v>
      </c>
      <c r="R22" s="21">
        <v>0.0</v>
      </c>
      <c r="S22" s="21" t="s">
        <v>53</v>
      </c>
      <c r="T22" s="21">
        <v>0.0</v>
      </c>
      <c r="U22" s="21">
        <v>0.0</v>
      </c>
      <c r="V22" s="21">
        <v>0.0</v>
      </c>
      <c r="W22" s="21" t="s">
        <v>53</v>
      </c>
      <c r="X22" s="21">
        <v>0.0</v>
      </c>
      <c r="Y22" s="21" t="s">
        <v>53</v>
      </c>
      <c r="Z22" s="21" t="s">
        <v>432</v>
      </c>
      <c r="AA22" s="23" t="s">
        <v>422</v>
      </c>
      <c r="AB22" s="23" t="b">
        <v>1</v>
      </c>
      <c r="AC22" s="21" t="s">
        <v>57</v>
      </c>
      <c r="AD22" s="21" t="s">
        <v>57</v>
      </c>
      <c r="AE22" s="21">
        <v>0.75</v>
      </c>
      <c r="AF22" s="21" t="s">
        <v>58</v>
      </c>
      <c r="AG22" s="21" t="s">
        <v>59</v>
      </c>
      <c r="AH22" s="21" t="s">
        <v>60</v>
      </c>
      <c r="AI22" s="22" t="s">
        <v>61</v>
      </c>
      <c r="AJ22" s="21" t="s">
        <v>62</v>
      </c>
      <c r="AK22" s="21" t="s">
        <v>1140</v>
      </c>
      <c r="AL22" s="23" t="s">
        <v>64</v>
      </c>
      <c r="AM22" s="23" t="s">
        <v>65</v>
      </c>
      <c r="AN22" s="23" t="s">
        <v>1152</v>
      </c>
      <c r="AO22" s="54" t="s">
        <v>1142</v>
      </c>
    </row>
    <row r="23" ht="15.0" customHeight="1">
      <c r="A23" s="20">
        <v>44.0</v>
      </c>
      <c r="B23" s="21" t="s">
        <v>411</v>
      </c>
      <c r="C23" s="21" t="s">
        <v>423</v>
      </c>
      <c r="D23" s="21" t="s">
        <v>424</v>
      </c>
      <c r="E23" s="21" t="s">
        <v>425</v>
      </c>
      <c r="F23" s="21" t="s">
        <v>426</v>
      </c>
      <c r="G23" s="21" t="s">
        <v>455</v>
      </c>
      <c r="H23" s="21" t="s">
        <v>456</v>
      </c>
      <c r="I23" s="21" t="s">
        <v>429</v>
      </c>
      <c r="J23" s="21" t="s">
        <v>457</v>
      </c>
      <c r="K23" s="21" t="s">
        <v>458</v>
      </c>
      <c r="L23" s="21">
        <v>1.0</v>
      </c>
      <c r="M23" s="21">
        <v>0.0</v>
      </c>
      <c r="N23" s="21">
        <v>0.031007751937984496</v>
      </c>
      <c r="O23" s="21">
        <v>0.0</v>
      </c>
      <c r="P23" s="21">
        <v>74.0</v>
      </c>
      <c r="Q23" s="21" t="s">
        <v>53</v>
      </c>
      <c r="R23" s="21">
        <v>0.0</v>
      </c>
      <c r="S23" s="21" t="s">
        <v>53</v>
      </c>
      <c r="T23" s="21">
        <v>0.0</v>
      </c>
      <c r="U23" s="21">
        <v>0.0</v>
      </c>
      <c r="V23" s="21">
        <v>0.0</v>
      </c>
      <c r="W23" s="21" t="s">
        <v>53</v>
      </c>
      <c r="X23" s="21">
        <v>0.0</v>
      </c>
      <c r="Y23" s="21" t="s">
        <v>53</v>
      </c>
      <c r="Z23" s="21" t="s">
        <v>432</v>
      </c>
      <c r="AA23" s="23" t="s">
        <v>422</v>
      </c>
      <c r="AB23" s="23" t="b">
        <v>1</v>
      </c>
      <c r="AC23" s="21" t="s">
        <v>57</v>
      </c>
      <c r="AD23" s="21" t="s">
        <v>57</v>
      </c>
      <c r="AE23" s="21">
        <v>0.75</v>
      </c>
      <c r="AF23" s="21" t="s">
        <v>58</v>
      </c>
      <c r="AG23" s="21" t="s">
        <v>59</v>
      </c>
      <c r="AH23" s="21" t="s">
        <v>60</v>
      </c>
      <c r="AI23" s="22" t="s">
        <v>61</v>
      </c>
      <c r="AJ23" s="21" t="s">
        <v>62</v>
      </c>
      <c r="AK23" s="21" t="s">
        <v>1140</v>
      </c>
      <c r="AL23" s="23" t="s">
        <v>64</v>
      </c>
      <c r="AM23" s="23" t="s">
        <v>65</v>
      </c>
      <c r="AN23" s="23" t="s">
        <v>1152</v>
      </c>
      <c r="AO23" s="54" t="s">
        <v>1142</v>
      </c>
    </row>
    <row r="24" ht="15.0" customHeight="1">
      <c r="A24" s="20">
        <v>45.0</v>
      </c>
      <c r="B24" s="21" t="s">
        <v>411</v>
      </c>
      <c r="C24" s="21" t="s">
        <v>423</v>
      </c>
      <c r="D24" s="21" t="s">
        <v>424</v>
      </c>
      <c r="E24" s="21" t="s">
        <v>425</v>
      </c>
      <c r="F24" s="21" t="s">
        <v>426</v>
      </c>
      <c r="G24" s="21" t="s">
        <v>459</v>
      </c>
      <c r="H24" s="21" t="s">
        <v>460</v>
      </c>
      <c r="I24" s="21" t="s">
        <v>429</v>
      </c>
      <c r="J24" s="21" t="s">
        <v>461</v>
      </c>
      <c r="K24" s="21" t="s">
        <v>462</v>
      </c>
      <c r="L24" s="21">
        <v>1.0</v>
      </c>
      <c r="M24" s="21">
        <v>0.0</v>
      </c>
      <c r="N24" s="21">
        <v>0.038461538461538464</v>
      </c>
      <c r="O24" s="21">
        <v>0.0</v>
      </c>
      <c r="P24" s="21">
        <v>74.0</v>
      </c>
      <c r="Q24" s="21" t="s">
        <v>53</v>
      </c>
      <c r="R24" s="21">
        <v>0.0</v>
      </c>
      <c r="S24" s="21" t="s">
        <v>53</v>
      </c>
      <c r="T24" s="21">
        <v>0.0</v>
      </c>
      <c r="U24" s="21">
        <v>0.0</v>
      </c>
      <c r="V24" s="21">
        <v>0.0</v>
      </c>
      <c r="W24" s="21" t="s">
        <v>53</v>
      </c>
      <c r="X24" s="21">
        <v>0.0</v>
      </c>
      <c r="Y24" s="21" t="s">
        <v>53</v>
      </c>
      <c r="Z24" s="21" t="s">
        <v>432</v>
      </c>
      <c r="AA24" s="23" t="s">
        <v>422</v>
      </c>
      <c r="AB24" s="23" t="b">
        <v>1</v>
      </c>
      <c r="AC24" s="21" t="s">
        <v>57</v>
      </c>
      <c r="AD24" s="21" t="s">
        <v>57</v>
      </c>
      <c r="AE24" s="21">
        <v>0.75</v>
      </c>
      <c r="AF24" s="21" t="s">
        <v>58</v>
      </c>
      <c r="AG24" s="21" t="s">
        <v>59</v>
      </c>
      <c r="AH24" s="21" t="s">
        <v>60</v>
      </c>
      <c r="AI24" s="22" t="s">
        <v>61</v>
      </c>
      <c r="AJ24" s="21" t="s">
        <v>62</v>
      </c>
      <c r="AK24" s="21" t="s">
        <v>1140</v>
      </c>
      <c r="AL24" s="23" t="s">
        <v>64</v>
      </c>
      <c r="AM24" s="23" t="s">
        <v>65</v>
      </c>
      <c r="AN24" s="23" t="s">
        <v>1152</v>
      </c>
      <c r="AO24" s="54" t="s">
        <v>1142</v>
      </c>
    </row>
    <row r="25" ht="15.0" customHeight="1">
      <c r="A25" s="20">
        <v>46.0</v>
      </c>
      <c r="B25" s="21" t="s">
        <v>411</v>
      </c>
      <c r="C25" s="21" t="s">
        <v>423</v>
      </c>
      <c r="D25" s="21" t="s">
        <v>424</v>
      </c>
      <c r="E25" s="21" t="s">
        <v>425</v>
      </c>
      <c r="F25" s="21" t="s">
        <v>426</v>
      </c>
      <c r="G25" s="21" t="s">
        <v>463</v>
      </c>
      <c r="H25" s="21" t="s">
        <v>464</v>
      </c>
      <c r="I25" s="21" t="s">
        <v>429</v>
      </c>
      <c r="J25" s="21" t="s">
        <v>465</v>
      </c>
      <c r="K25" s="21" t="s">
        <v>466</v>
      </c>
      <c r="L25" s="21">
        <v>1.0</v>
      </c>
      <c r="M25" s="21">
        <v>0.0</v>
      </c>
      <c r="N25" s="21">
        <v>0.03076923076923077</v>
      </c>
      <c r="O25" s="21">
        <v>0.0</v>
      </c>
      <c r="P25" s="21">
        <v>74.0</v>
      </c>
      <c r="Q25" s="21" t="s">
        <v>53</v>
      </c>
      <c r="R25" s="21">
        <v>0.0</v>
      </c>
      <c r="S25" s="21" t="s">
        <v>53</v>
      </c>
      <c r="T25" s="21">
        <v>0.0</v>
      </c>
      <c r="U25" s="21">
        <v>0.0</v>
      </c>
      <c r="V25" s="21">
        <v>0.0</v>
      </c>
      <c r="W25" s="21" t="s">
        <v>53</v>
      </c>
      <c r="X25" s="21">
        <v>0.0</v>
      </c>
      <c r="Y25" s="21" t="s">
        <v>53</v>
      </c>
      <c r="Z25" s="21" t="s">
        <v>432</v>
      </c>
      <c r="AA25" s="23" t="s">
        <v>422</v>
      </c>
      <c r="AB25" s="23" t="b">
        <v>1</v>
      </c>
      <c r="AC25" s="21" t="s">
        <v>57</v>
      </c>
      <c r="AD25" s="21" t="s">
        <v>57</v>
      </c>
      <c r="AE25" s="21">
        <v>0.75</v>
      </c>
      <c r="AF25" s="21" t="s">
        <v>58</v>
      </c>
      <c r="AG25" s="21" t="s">
        <v>59</v>
      </c>
      <c r="AH25" s="21" t="s">
        <v>60</v>
      </c>
      <c r="AI25" s="22" t="s">
        <v>61</v>
      </c>
      <c r="AJ25" s="21" t="s">
        <v>62</v>
      </c>
      <c r="AK25" s="21" t="s">
        <v>1140</v>
      </c>
      <c r="AL25" s="23" t="s">
        <v>64</v>
      </c>
      <c r="AM25" s="23" t="s">
        <v>65</v>
      </c>
      <c r="AN25" s="23" t="s">
        <v>1152</v>
      </c>
      <c r="AO25" s="54" t="s">
        <v>1142</v>
      </c>
    </row>
    <row r="26" ht="15.0" customHeight="1">
      <c r="A26" s="20">
        <v>47.0</v>
      </c>
      <c r="B26" s="21" t="s">
        <v>411</v>
      </c>
      <c r="C26" s="21" t="s">
        <v>423</v>
      </c>
      <c r="D26" s="21" t="s">
        <v>424</v>
      </c>
      <c r="E26" s="21" t="s">
        <v>467</v>
      </c>
      <c r="F26" s="21" t="s">
        <v>468</v>
      </c>
      <c r="G26" s="21" t="s">
        <v>469</v>
      </c>
      <c r="H26" s="21" t="s">
        <v>470</v>
      </c>
      <c r="I26" s="21" t="s">
        <v>471</v>
      </c>
      <c r="J26" s="21" t="s">
        <v>472</v>
      </c>
      <c r="K26" s="21" t="s">
        <v>473</v>
      </c>
      <c r="L26" s="21">
        <v>1.0</v>
      </c>
      <c r="M26" s="21">
        <v>0.0</v>
      </c>
      <c r="N26" s="21">
        <v>0.17094017094017094</v>
      </c>
      <c r="O26" s="21">
        <v>10.0</v>
      </c>
      <c r="P26" s="21">
        <v>74.0</v>
      </c>
      <c r="Q26" s="21" t="s">
        <v>53</v>
      </c>
      <c r="R26" s="21">
        <v>0.0</v>
      </c>
      <c r="S26" s="21" t="s">
        <v>53</v>
      </c>
      <c r="T26" s="21">
        <v>0.0</v>
      </c>
      <c r="U26" s="21">
        <v>0.0</v>
      </c>
      <c r="V26" s="21">
        <v>0.0</v>
      </c>
      <c r="W26" s="21" t="s">
        <v>53</v>
      </c>
      <c r="X26" s="21">
        <v>0.0</v>
      </c>
      <c r="Y26" s="21" t="s">
        <v>53</v>
      </c>
      <c r="Z26" s="21" t="s">
        <v>432</v>
      </c>
      <c r="AA26" s="23" t="s">
        <v>422</v>
      </c>
      <c r="AB26" s="23" t="b">
        <v>1</v>
      </c>
      <c r="AC26" s="21" t="s">
        <v>57</v>
      </c>
      <c r="AD26" s="21" t="s">
        <v>57</v>
      </c>
      <c r="AE26" s="21">
        <v>0.2</v>
      </c>
      <c r="AF26" s="21" t="s">
        <v>58</v>
      </c>
      <c r="AG26" s="21" t="s">
        <v>59</v>
      </c>
      <c r="AH26" s="21" t="s">
        <v>60</v>
      </c>
      <c r="AI26" s="22" t="s">
        <v>61</v>
      </c>
      <c r="AJ26" s="21" t="s">
        <v>62</v>
      </c>
      <c r="AK26" s="21" t="s">
        <v>1140</v>
      </c>
      <c r="AL26" s="23" t="s">
        <v>64</v>
      </c>
      <c r="AM26" s="23" t="s">
        <v>65</v>
      </c>
      <c r="AN26" s="23" t="s">
        <v>1152</v>
      </c>
      <c r="AO26" s="54" t="s">
        <v>1142</v>
      </c>
    </row>
    <row r="27" ht="15.0" customHeight="1">
      <c r="A27" s="20">
        <v>48.0</v>
      </c>
      <c r="B27" s="21" t="s">
        <v>411</v>
      </c>
      <c r="C27" s="21" t="s">
        <v>423</v>
      </c>
      <c r="D27" s="21" t="s">
        <v>424</v>
      </c>
      <c r="E27" s="21" t="s">
        <v>474</v>
      </c>
      <c r="F27" s="21" t="s">
        <v>475</v>
      </c>
      <c r="G27" s="21" t="s">
        <v>476</v>
      </c>
      <c r="H27" s="21" t="s">
        <v>477</v>
      </c>
      <c r="I27" s="21" t="s">
        <v>478</v>
      </c>
      <c r="J27" s="21" t="s">
        <v>479</v>
      </c>
      <c r="K27" s="21" t="s">
        <v>480</v>
      </c>
      <c r="L27" s="21">
        <v>1.0</v>
      </c>
      <c r="M27" s="21">
        <v>0.0</v>
      </c>
      <c r="N27" s="21">
        <v>0.26143790849673204</v>
      </c>
      <c r="O27" s="21">
        <v>45.0</v>
      </c>
      <c r="P27" s="21">
        <v>74.0</v>
      </c>
      <c r="Q27" s="21" t="s">
        <v>53</v>
      </c>
      <c r="R27" s="21">
        <v>0.0</v>
      </c>
      <c r="S27" s="21" t="s">
        <v>53</v>
      </c>
      <c r="T27" s="21">
        <v>0.0</v>
      </c>
      <c r="U27" s="21">
        <v>0.0</v>
      </c>
      <c r="V27" s="21">
        <v>0.0</v>
      </c>
      <c r="W27" s="21" t="s">
        <v>53</v>
      </c>
      <c r="X27" s="21">
        <v>0.0</v>
      </c>
      <c r="Y27" s="21" t="s">
        <v>53</v>
      </c>
      <c r="Z27" s="21" t="s">
        <v>432</v>
      </c>
      <c r="AA27" s="23" t="s">
        <v>422</v>
      </c>
      <c r="AB27" s="23" t="b">
        <v>1</v>
      </c>
      <c r="AC27" s="21" t="s">
        <v>57</v>
      </c>
      <c r="AD27" s="21" t="s">
        <v>57</v>
      </c>
      <c r="AE27" s="21">
        <v>0.12</v>
      </c>
      <c r="AF27" s="21" t="s">
        <v>58</v>
      </c>
      <c r="AG27" s="21" t="s">
        <v>59</v>
      </c>
      <c r="AH27" s="21" t="s">
        <v>60</v>
      </c>
      <c r="AI27" s="22" t="s">
        <v>61</v>
      </c>
      <c r="AJ27" s="21" t="s">
        <v>62</v>
      </c>
      <c r="AK27" s="21" t="s">
        <v>1140</v>
      </c>
      <c r="AL27" s="23" t="s">
        <v>64</v>
      </c>
      <c r="AM27" s="23" t="s">
        <v>65</v>
      </c>
      <c r="AN27" s="23" t="s">
        <v>1152</v>
      </c>
      <c r="AO27" s="54" t="s">
        <v>1142</v>
      </c>
    </row>
    <row r="28" ht="15.0" customHeight="1">
      <c r="A28" s="20">
        <v>49.0</v>
      </c>
      <c r="B28" s="21" t="s">
        <v>411</v>
      </c>
      <c r="C28" s="21" t="s">
        <v>423</v>
      </c>
      <c r="D28" s="21" t="s">
        <v>424</v>
      </c>
      <c r="E28" s="21" t="s">
        <v>474</v>
      </c>
      <c r="F28" s="21" t="s">
        <v>475</v>
      </c>
      <c r="G28" s="21" t="s">
        <v>481</v>
      </c>
      <c r="H28" s="21" t="s">
        <v>482</v>
      </c>
      <c r="I28" s="21" t="s">
        <v>478</v>
      </c>
      <c r="J28" s="21" t="s">
        <v>483</v>
      </c>
      <c r="K28" s="21" t="s">
        <v>484</v>
      </c>
      <c r="L28" s="21">
        <v>1.0</v>
      </c>
      <c r="M28" s="21">
        <v>0.0</v>
      </c>
      <c r="N28" s="21">
        <v>0.2565789473684211</v>
      </c>
      <c r="O28" s="21">
        <v>45.0</v>
      </c>
      <c r="P28" s="21">
        <v>74.0</v>
      </c>
      <c r="Q28" s="21" t="s">
        <v>53</v>
      </c>
      <c r="R28" s="21">
        <v>0.0</v>
      </c>
      <c r="S28" s="21" t="s">
        <v>53</v>
      </c>
      <c r="T28" s="21">
        <v>0.0</v>
      </c>
      <c r="U28" s="21">
        <v>0.0</v>
      </c>
      <c r="V28" s="21">
        <v>0.0</v>
      </c>
      <c r="W28" s="21" t="s">
        <v>53</v>
      </c>
      <c r="X28" s="21">
        <v>0.0</v>
      </c>
      <c r="Y28" s="21" t="s">
        <v>53</v>
      </c>
      <c r="Z28" s="21" t="s">
        <v>432</v>
      </c>
      <c r="AA28" s="23" t="s">
        <v>422</v>
      </c>
      <c r="AB28" s="23" t="b">
        <v>1</v>
      </c>
      <c r="AC28" s="21" t="s">
        <v>57</v>
      </c>
      <c r="AD28" s="21" t="s">
        <v>57</v>
      </c>
      <c r="AE28" s="21">
        <v>0.12</v>
      </c>
      <c r="AF28" s="21" t="s">
        <v>58</v>
      </c>
      <c r="AG28" s="21" t="s">
        <v>59</v>
      </c>
      <c r="AH28" s="21" t="s">
        <v>60</v>
      </c>
      <c r="AI28" s="22" t="s">
        <v>61</v>
      </c>
      <c r="AJ28" s="21" t="s">
        <v>62</v>
      </c>
      <c r="AK28" s="21" t="s">
        <v>1140</v>
      </c>
      <c r="AL28" s="23" t="s">
        <v>64</v>
      </c>
      <c r="AM28" s="23" t="s">
        <v>65</v>
      </c>
      <c r="AN28" s="23" t="s">
        <v>1152</v>
      </c>
      <c r="AO28" s="54" t="s">
        <v>1142</v>
      </c>
    </row>
    <row r="29" ht="15.0" customHeight="1">
      <c r="A29" s="20">
        <v>50.0</v>
      </c>
      <c r="B29" s="21" t="s">
        <v>411</v>
      </c>
      <c r="C29" s="21" t="s">
        <v>423</v>
      </c>
      <c r="D29" s="21" t="s">
        <v>424</v>
      </c>
      <c r="E29" s="21" t="s">
        <v>485</v>
      </c>
      <c r="F29" s="21" t="s">
        <v>486</v>
      </c>
      <c r="G29" s="21" t="s">
        <v>487</v>
      </c>
      <c r="H29" s="21" t="s">
        <v>488</v>
      </c>
      <c r="I29" s="21" t="s">
        <v>478</v>
      </c>
      <c r="J29" s="21" t="s">
        <v>489</v>
      </c>
      <c r="K29" s="21" t="s">
        <v>490</v>
      </c>
      <c r="L29" s="21">
        <v>1.0</v>
      </c>
      <c r="M29" s="21">
        <v>0.0</v>
      </c>
      <c r="N29" s="21">
        <v>0.25161290322580643</v>
      </c>
      <c r="O29" s="21">
        <v>44.0</v>
      </c>
      <c r="P29" s="21">
        <v>74.0</v>
      </c>
      <c r="Q29" s="21" t="s">
        <v>53</v>
      </c>
      <c r="R29" s="21">
        <v>0.0</v>
      </c>
      <c r="S29" s="21" t="s">
        <v>53</v>
      </c>
      <c r="T29" s="21">
        <v>0.0</v>
      </c>
      <c r="U29" s="21">
        <v>0.0</v>
      </c>
      <c r="V29" s="21">
        <v>0.0</v>
      </c>
      <c r="W29" s="21" t="s">
        <v>53</v>
      </c>
      <c r="X29" s="21">
        <v>0.0</v>
      </c>
      <c r="Y29" s="21" t="s">
        <v>53</v>
      </c>
      <c r="Z29" s="21" t="s">
        <v>432</v>
      </c>
      <c r="AA29" s="23" t="s">
        <v>422</v>
      </c>
      <c r="AB29" s="23" t="b">
        <v>1</v>
      </c>
      <c r="AC29" s="21" t="s">
        <v>57</v>
      </c>
      <c r="AD29" s="21" t="s">
        <v>57</v>
      </c>
      <c r="AE29" s="21">
        <v>0.12</v>
      </c>
      <c r="AF29" s="21" t="s">
        <v>58</v>
      </c>
      <c r="AG29" s="21" t="s">
        <v>59</v>
      </c>
      <c r="AH29" s="21" t="s">
        <v>60</v>
      </c>
      <c r="AI29" s="22" t="s">
        <v>61</v>
      </c>
      <c r="AJ29" s="21" t="s">
        <v>62</v>
      </c>
      <c r="AK29" s="21" t="s">
        <v>1140</v>
      </c>
      <c r="AL29" s="23" t="s">
        <v>64</v>
      </c>
      <c r="AM29" s="23" t="s">
        <v>65</v>
      </c>
      <c r="AN29" s="23" t="s">
        <v>1152</v>
      </c>
      <c r="AO29" s="54" t="s">
        <v>1142</v>
      </c>
    </row>
    <row r="30" ht="15.0" customHeight="1">
      <c r="A30" s="20">
        <v>51.0</v>
      </c>
      <c r="B30" s="21" t="s">
        <v>411</v>
      </c>
      <c r="C30" s="21" t="s">
        <v>423</v>
      </c>
      <c r="D30" s="21" t="s">
        <v>424</v>
      </c>
      <c r="E30" s="21" t="s">
        <v>485</v>
      </c>
      <c r="F30" s="21" t="s">
        <v>486</v>
      </c>
      <c r="G30" s="21" t="s">
        <v>491</v>
      </c>
      <c r="H30" s="21" t="s">
        <v>492</v>
      </c>
      <c r="I30" s="21" t="s">
        <v>478</v>
      </c>
      <c r="J30" s="21" t="s">
        <v>493</v>
      </c>
      <c r="K30" s="21" t="s">
        <v>494</v>
      </c>
      <c r="L30" s="21">
        <v>1.0</v>
      </c>
      <c r="M30" s="21">
        <v>0.0</v>
      </c>
      <c r="N30" s="21">
        <v>0.24675324675324675</v>
      </c>
      <c r="O30" s="21">
        <v>44.0</v>
      </c>
      <c r="P30" s="21">
        <v>74.0</v>
      </c>
      <c r="Q30" s="21" t="s">
        <v>53</v>
      </c>
      <c r="R30" s="21">
        <v>0.0</v>
      </c>
      <c r="S30" s="21" t="s">
        <v>53</v>
      </c>
      <c r="T30" s="21">
        <v>0.0</v>
      </c>
      <c r="U30" s="21">
        <v>0.0</v>
      </c>
      <c r="V30" s="21">
        <v>0.0</v>
      </c>
      <c r="W30" s="21" t="s">
        <v>53</v>
      </c>
      <c r="X30" s="21">
        <v>0.0</v>
      </c>
      <c r="Y30" s="21" t="s">
        <v>53</v>
      </c>
      <c r="Z30" s="21" t="s">
        <v>432</v>
      </c>
      <c r="AA30" s="23" t="s">
        <v>422</v>
      </c>
      <c r="AB30" s="23" t="b">
        <v>1</v>
      </c>
      <c r="AC30" s="21" t="s">
        <v>57</v>
      </c>
      <c r="AD30" s="21" t="s">
        <v>57</v>
      </c>
      <c r="AE30" s="21">
        <v>0.18</v>
      </c>
      <c r="AF30" s="21" t="s">
        <v>58</v>
      </c>
      <c r="AG30" s="21" t="s">
        <v>59</v>
      </c>
      <c r="AH30" s="21" t="s">
        <v>60</v>
      </c>
      <c r="AI30" s="22" t="s">
        <v>61</v>
      </c>
      <c r="AJ30" s="21" t="s">
        <v>62</v>
      </c>
      <c r="AK30" s="21" t="s">
        <v>1140</v>
      </c>
      <c r="AL30" s="23" t="s">
        <v>64</v>
      </c>
      <c r="AM30" s="23" t="s">
        <v>65</v>
      </c>
      <c r="AN30" s="23" t="s">
        <v>1152</v>
      </c>
      <c r="AO30" s="54" t="s">
        <v>1142</v>
      </c>
    </row>
    <row r="31" ht="15.0" customHeight="1">
      <c r="A31" s="20">
        <v>52.0</v>
      </c>
      <c r="B31" s="21" t="s">
        <v>411</v>
      </c>
      <c r="C31" s="21" t="s">
        <v>423</v>
      </c>
      <c r="D31" s="21" t="s">
        <v>424</v>
      </c>
      <c r="E31" s="21" t="s">
        <v>495</v>
      </c>
      <c r="F31" s="21" t="s">
        <v>496</v>
      </c>
      <c r="G31" s="21" t="s">
        <v>497</v>
      </c>
      <c r="H31" s="21" t="s">
        <v>498</v>
      </c>
      <c r="I31" s="21" t="s">
        <v>478</v>
      </c>
      <c r="J31" s="21" t="s">
        <v>499</v>
      </c>
      <c r="K31" s="21" t="s">
        <v>500</v>
      </c>
      <c r="L31" s="21">
        <v>1.0</v>
      </c>
      <c r="M31" s="21">
        <v>0.0</v>
      </c>
      <c r="N31" s="21">
        <v>0.26490066225165565</v>
      </c>
      <c r="O31" s="21">
        <v>46.0</v>
      </c>
      <c r="P31" s="21">
        <v>74.0</v>
      </c>
      <c r="Q31" s="21" t="s">
        <v>53</v>
      </c>
      <c r="R31" s="21">
        <v>0.0</v>
      </c>
      <c r="S31" s="21" t="s">
        <v>53</v>
      </c>
      <c r="T31" s="21">
        <v>0.0</v>
      </c>
      <c r="U31" s="21">
        <v>0.0</v>
      </c>
      <c r="V31" s="21">
        <v>0.0</v>
      </c>
      <c r="W31" s="21" t="s">
        <v>53</v>
      </c>
      <c r="X31" s="21">
        <v>0.0</v>
      </c>
      <c r="Y31" s="21" t="s">
        <v>53</v>
      </c>
      <c r="Z31" s="21" t="s">
        <v>432</v>
      </c>
      <c r="AA31" s="23" t="s">
        <v>422</v>
      </c>
      <c r="AB31" s="23" t="b">
        <v>1</v>
      </c>
      <c r="AC31" s="21" t="s">
        <v>57</v>
      </c>
      <c r="AD31" s="21" t="s">
        <v>57</v>
      </c>
      <c r="AE31" s="21">
        <v>0.18</v>
      </c>
      <c r="AF31" s="21" t="s">
        <v>58</v>
      </c>
      <c r="AG31" s="21" t="s">
        <v>559</v>
      </c>
      <c r="AH31" s="21" t="s">
        <v>60</v>
      </c>
      <c r="AI31" s="22" t="s">
        <v>61</v>
      </c>
      <c r="AJ31" s="21" t="s">
        <v>62</v>
      </c>
      <c r="AK31" s="21" t="s">
        <v>1140</v>
      </c>
      <c r="AL31" s="23" t="s">
        <v>64</v>
      </c>
      <c r="AM31" s="23" t="s">
        <v>65</v>
      </c>
      <c r="AN31" s="23" t="s">
        <v>1157</v>
      </c>
      <c r="AO31" s="54" t="s">
        <v>1142</v>
      </c>
    </row>
    <row r="32" ht="15.0" customHeight="1">
      <c r="A32" s="20">
        <v>53.0</v>
      </c>
      <c r="B32" s="21" t="s">
        <v>411</v>
      </c>
      <c r="C32" s="21" t="s">
        <v>423</v>
      </c>
      <c r="D32" s="21" t="s">
        <v>424</v>
      </c>
      <c r="E32" s="21" t="s">
        <v>495</v>
      </c>
      <c r="F32" s="21" t="s">
        <v>496</v>
      </c>
      <c r="G32" s="21" t="s">
        <v>501</v>
      </c>
      <c r="H32" s="21" t="s">
        <v>502</v>
      </c>
      <c r="I32" s="21" t="s">
        <v>478</v>
      </c>
      <c r="J32" s="21" t="s">
        <v>503</v>
      </c>
      <c r="K32" s="21" t="s">
        <v>504</v>
      </c>
      <c r="L32" s="21">
        <v>1.0</v>
      </c>
      <c r="M32" s="21">
        <v>0.0</v>
      </c>
      <c r="N32" s="21">
        <v>0.26</v>
      </c>
      <c r="O32" s="21">
        <v>46.0</v>
      </c>
      <c r="P32" s="21">
        <v>74.0</v>
      </c>
      <c r="Q32" s="21" t="s">
        <v>53</v>
      </c>
      <c r="R32" s="21">
        <v>0.0</v>
      </c>
      <c r="S32" s="21" t="s">
        <v>53</v>
      </c>
      <c r="T32" s="21">
        <v>0.0</v>
      </c>
      <c r="U32" s="21">
        <v>0.0</v>
      </c>
      <c r="V32" s="21">
        <v>0.0</v>
      </c>
      <c r="W32" s="21" t="s">
        <v>53</v>
      </c>
      <c r="X32" s="21">
        <v>0.0</v>
      </c>
      <c r="Y32" s="21" t="s">
        <v>53</v>
      </c>
      <c r="Z32" s="21" t="s">
        <v>432</v>
      </c>
      <c r="AA32" s="23" t="s">
        <v>422</v>
      </c>
      <c r="AB32" s="23" t="b">
        <v>1</v>
      </c>
      <c r="AC32" s="21" t="s">
        <v>57</v>
      </c>
      <c r="AD32" s="21" t="s">
        <v>57</v>
      </c>
      <c r="AE32" s="21">
        <v>0.18</v>
      </c>
      <c r="AF32" s="21" t="s">
        <v>58</v>
      </c>
      <c r="AG32" s="21" t="s">
        <v>559</v>
      </c>
      <c r="AH32" s="21" t="s">
        <v>60</v>
      </c>
      <c r="AI32" s="22" t="s">
        <v>61</v>
      </c>
      <c r="AJ32" s="21" t="s">
        <v>62</v>
      </c>
      <c r="AK32" s="21" t="s">
        <v>1140</v>
      </c>
      <c r="AL32" s="23" t="s">
        <v>64</v>
      </c>
      <c r="AM32" s="23" t="s">
        <v>65</v>
      </c>
      <c r="AN32" s="23" t="s">
        <v>1157</v>
      </c>
      <c r="AO32" s="54" t="s">
        <v>1142</v>
      </c>
    </row>
    <row r="33" ht="15.0" customHeight="1">
      <c r="A33" s="20">
        <v>54.0</v>
      </c>
      <c r="B33" s="21" t="s">
        <v>411</v>
      </c>
      <c r="C33" s="21" t="s">
        <v>423</v>
      </c>
      <c r="D33" s="21" t="s">
        <v>424</v>
      </c>
      <c r="E33" s="21" t="s">
        <v>485</v>
      </c>
      <c r="F33" s="21" t="s">
        <v>486</v>
      </c>
      <c r="G33" s="21" t="s">
        <v>505</v>
      </c>
      <c r="H33" s="21" t="s">
        <v>506</v>
      </c>
      <c r="I33" s="21" t="s">
        <v>478</v>
      </c>
      <c r="J33" s="21" t="s">
        <v>507</v>
      </c>
      <c r="K33" s="21" t="s">
        <v>508</v>
      </c>
      <c r="L33" s="21">
        <v>1.0</v>
      </c>
      <c r="M33" s="21">
        <v>0.0</v>
      </c>
      <c r="N33" s="21">
        <v>0.28205128205128205</v>
      </c>
      <c r="O33" s="21">
        <v>44.0</v>
      </c>
      <c r="P33" s="21">
        <v>74.0</v>
      </c>
      <c r="Q33" s="21" t="s">
        <v>53</v>
      </c>
      <c r="R33" s="21">
        <v>0.0</v>
      </c>
      <c r="S33" s="21" t="s">
        <v>53</v>
      </c>
      <c r="T33" s="21">
        <v>0.0</v>
      </c>
      <c r="U33" s="21">
        <v>0.0</v>
      </c>
      <c r="V33" s="21">
        <v>0.0</v>
      </c>
      <c r="W33" s="21" t="s">
        <v>53</v>
      </c>
      <c r="X33" s="21">
        <v>0.0</v>
      </c>
      <c r="Y33" s="21" t="s">
        <v>53</v>
      </c>
      <c r="Z33" s="21" t="s">
        <v>432</v>
      </c>
      <c r="AA33" s="23" t="s">
        <v>422</v>
      </c>
      <c r="AB33" s="23" t="b">
        <v>1</v>
      </c>
      <c r="AC33" s="21" t="s">
        <v>57</v>
      </c>
      <c r="AD33" s="21" t="s">
        <v>57</v>
      </c>
      <c r="AE33" s="21">
        <v>0.18</v>
      </c>
      <c r="AF33" s="21" t="s">
        <v>58</v>
      </c>
      <c r="AG33" s="21" t="s">
        <v>59</v>
      </c>
      <c r="AH33" s="21" t="s">
        <v>60</v>
      </c>
      <c r="AI33" s="22" t="s">
        <v>61</v>
      </c>
      <c r="AJ33" s="21" t="s">
        <v>62</v>
      </c>
      <c r="AK33" s="21" t="s">
        <v>1140</v>
      </c>
      <c r="AL33" s="23" t="s">
        <v>64</v>
      </c>
      <c r="AM33" s="23" t="s">
        <v>65</v>
      </c>
      <c r="AN33" s="23" t="s">
        <v>1152</v>
      </c>
      <c r="AO33" s="54" t="s">
        <v>1142</v>
      </c>
    </row>
    <row r="34" ht="15.0" customHeight="1">
      <c r="A34" s="20">
        <v>55.0</v>
      </c>
      <c r="B34" s="21" t="s">
        <v>411</v>
      </c>
      <c r="C34" s="21" t="s">
        <v>423</v>
      </c>
      <c r="D34" s="21" t="s">
        <v>424</v>
      </c>
      <c r="E34" s="21" t="s">
        <v>509</v>
      </c>
      <c r="F34" s="21" t="s">
        <v>510</v>
      </c>
      <c r="G34" s="21" t="s">
        <v>511</v>
      </c>
      <c r="H34" s="21" t="s">
        <v>512</v>
      </c>
      <c r="I34" s="21" t="s">
        <v>478</v>
      </c>
      <c r="J34" s="21" t="s">
        <v>513</v>
      </c>
      <c r="K34" s="21" t="s">
        <v>514</v>
      </c>
      <c r="L34" s="21">
        <v>1.0</v>
      </c>
      <c r="M34" s="21">
        <v>0.0</v>
      </c>
      <c r="N34" s="21">
        <v>0.2620689655172414</v>
      </c>
      <c r="O34" s="21">
        <v>11.0</v>
      </c>
      <c r="P34" s="21">
        <v>74.0</v>
      </c>
      <c r="Q34" s="21" t="s">
        <v>53</v>
      </c>
      <c r="R34" s="21">
        <v>0.0</v>
      </c>
      <c r="S34" s="21" t="s">
        <v>53</v>
      </c>
      <c r="T34" s="21">
        <v>0.0</v>
      </c>
      <c r="U34" s="21">
        <v>0.0</v>
      </c>
      <c r="V34" s="21">
        <v>0.0</v>
      </c>
      <c r="W34" s="21" t="s">
        <v>53</v>
      </c>
      <c r="X34" s="21">
        <v>0.0</v>
      </c>
      <c r="Y34" s="21" t="s">
        <v>53</v>
      </c>
      <c r="Z34" s="21" t="s">
        <v>432</v>
      </c>
      <c r="AA34" s="23" t="s">
        <v>422</v>
      </c>
      <c r="AB34" s="23" t="b">
        <v>1</v>
      </c>
      <c r="AC34" s="21" t="s">
        <v>57</v>
      </c>
      <c r="AD34" s="21" t="s">
        <v>57</v>
      </c>
      <c r="AE34" s="21">
        <v>0.18</v>
      </c>
      <c r="AF34" s="21" t="s">
        <v>58</v>
      </c>
      <c r="AG34" s="21" t="s">
        <v>59</v>
      </c>
      <c r="AH34" s="21" t="s">
        <v>60</v>
      </c>
      <c r="AI34" s="22" t="s">
        <v>61</v>
      </c>
      <c r="AJ34" s="21" t="s">
        <v>62</v>
      </c>
      <c r="AK34" s="21" t="s">
        <v>1140</v>
      </c>
      <c r="AL34" s="23" t="s">
        <v>64</v>
      </c>
      <c r="AM34" s="23" t="s">
        <v>65</v>
      </c>
      <c r="AN34" s="23" t="s">
        <v>1152</v>
      </c>
      <c r="AO34" s="54" t="s">
        <v>1142</v>
      </c>
    </row>
    <row r="35" ht="15.0" customHeight="1">
      <c r="A35" s="20">
        <v>56.0</v>
      </c>
      <c r="B35" s="21" t="s">
        <v>515</v>
      </c>
      <c r="C35" s="21" t="s">
        <v>516</v>
      </c>
      <c r="D35" s="21" t="s">
        <v>517</v>
      </c>
      <c r="E35" s="21" t="s">
        <v>128</v>
      </c>
      <c r="F35" s="21" t="s">
        <v>518</v>
      </c>
      <c r="G35" s="21" t="s">
        <v>519</v>
      </c>
      <c r="H35" s="21" t="s">
        <v>520</v>
      </c>
      <c r="I35" s="21" t="s">
        <v>132</v>
      </c>
      <c r="J35" s="21" t="s">
        <v>521</v>
      </c>
      <c r="K35" s="21" t="s">
        <v>522</v>
      </c>
      <c r="L35" s="21">
        <v>1.0</v>
      </c>
      <c r="M35" s="21">
        <v>0.0</v>
      </c>
      <c r="N35" s="21">
        <v>0.11153846153846154</v>
      </c>
      <c r="O35" s="21">
        <v>6.0</v>
      </c>
      <c r="P35" s="21">
        <v>7.0</v>
      </c>
      <c r="Q35" s="21" t="s">
        <v>135</v>
      </c>
      <c r="R35" s="21">
        <v>0.0</v>
      </c>
      <c r="S35" s="21" t="s">
        <v>53</v>
      </c>
      <c r="T35" s="21">
        <v>0.0</v>
      </c>
      <c r="U35" s="21">
        <v>0.0</v>
      </c>
      <c r="V35" s="21">
        <v>0.0</v>
      </c>
      <c r="W35" s="21" t="s">
        <v>53</v>
      </c>
      <c r="X35" s="21">
        <v>0.0</v>
      </c>
      <c r="Y35" s="21" t="s">
        <v>53</v>
      </c>
      <c r="Z35" s="21" t="s">
        <v>523</v>
      </c>
      <c r="AA35" s="23" t="s">
        <v>524</v>
      </c>
      <c r="AB35" s="23" t="b">
        <v>1</v>
      </c>
      <c r="AC35" s="21" t="s">
        <v>57</v>
      </c>
      <c r="AD35" s="21" t="s">
        <v>56</v>
      </c>
      <c r="AE35" s="21">
        <v>0.5</v>
      </c>
      <c r="AF35" s="21" t="s">
        <v>162</v>
      </c>
      <c r="AG35" s="21" t="s">
        <v>79</v>
      </c>
      <c r="AH35" s="21" t="s">
        <v>546</v>
      </c>
      <c r="AI35" s="22" t="s">
        <v>61</v>
      </c>
      <c r="AJ35" s="21" t="s">
        <v>62</v>
      </c>
      <c r="AK35" s="21" t="s">
        <v>1140</v>
      </c>
      <c r="AL35" s="23" t="s">
        <v>164</v>
      </c>
      <c r="AM35" s="23" t="s">
        <v>65</v>
      </c>
      <c r="AN35" s="23" t="s">
        <v>1158</v>
      </c>
      <c r="AO35" s="54" t="s">
        <v>1142</v>
      </c>
    </row>
    <row r="36" ht="15.0" customHeight="1">
      <c r="A36" s="20">
        <v>64.0</v>
      </c>
      <c r="B36" s="21" t="s">
        <v>563</v>
      </c>
      <c r="C36" s="21" t="s">
        <v>588</v>
      </c>
      <c r="D36" s="21" t="s">
        <v>576</v>
      </c>
      <c r="E36" s="21" t="s">
        <v>589</v>
      </c>
      <c r="F36" s="21" t="s">
        <v>590</v>
      </c>
      <c r="G36" s="21" t="s">
        <v>591</v>
      </c>
      <c r="H36" s="21" t="s">
        <v>592</v>
      </c>
      <c r="I36" s="21" t="s">
        <v>593</v>
      </c>
      <c r="J36" s="21" t="s">
        <v>594</v>
      </c>
      <c r="K36" s="21" t="s">
        <v>595</v>
      </c>
      <c r="L36" s="21">
        <v>1.0</v>
      </c>
      <c r="M36" s="21">
        <v>0.0</v>
      </c>
      <c r="N36" s="21">
        <v>0.1037037037037037</v>
      </c>
      <c r="O36" s="21">
        <v>5.0</v>
      </c>
      <c r="P36" s="21">
        <v>20.0</v>
      </c>
      <c r="Q36" s="21" t="s">
        <v>53</v>
      </c>
      <c r="R36" s="21">
        <v>0.0</v>
      </c>
      <c r="S36" s="21" t="s">
        <v>53</v>
      </c>
      <c r="T36" s="21">
        <v>0.0</v>
      </c>
      <c r="U36" s="21">
        <v>0.0</v>
      </c>
      <c r="V36" s="21">
        <v>0.0</v>
      </c>
      <c r="W36" s="21" t="s">
        <v>53</v>
      </c>
      <c r="X36" s="21">
        <v>0.0</v>
      </c>
      <c r="Y36" s="21" t="s">
        <v>53</v>
      </c>
      <c r="Z36" s="21" t="s">
        <v>596</v>
      </c>
      <c r="AA36" s="23" t="s">
        <v>545</v>
      </c>
      <c r="AB36" s="23" t="b">
        <v>1</v>
      </c>
      <c r="AC36" s="21" t="s">
        <v>57</v>
      </c>
      <c r="AD36" s="21" t="s">
        <v>1144</v>
      </c>
      <c r="AE36" s="21">
        <v>0.22</v>
      </c>
      <c r="AF36" s="21" t="s">
        <v>58</v>
      </c>
      <c r="AG36" s="21" t="s">
        <v>1159</v>
      </c>
      <c r="AH36" s="21" t="s">
        <v>209</v>
      </c>
      <c r="AI36" s="22" t="s">
        <v>61</v>
      </c>
      <c r="AJ36" s="21" t="s">
        <v>62</v>
      </c>
      <c r="AK36" s="21" t="s">
        <v>1140</v>
      </c>
      <c r="AL36" s="23" t="s">
        <v>164</v>
      </c>
      <c r="AM36" s="23" t="s">
        <v>1160</v>
      </c>
      <c r="AN36" s="23" t="s">
        <v>1161</v>
      </c>
      <c r="AO36" s="54" t="s">
        <v>1142</v>
      </c>
    </row>
    <row r="37" ht="15.0" customHeight="1">
      <c r="A37" s="20">
        <v>65.0</v>
      </c>
      <c r="B37" s="21" t="s">
        <v>563</v>
      </c>
      <c r="C37" s="21" t="s">
        <v>597</v>
      </c>
      <c r="D37" s="21" t="s">
        <v>588</v>
      </c>
      <c r="E37" s="21" t="s">
        <v>598</v>
      </c>
      <c r="F37" s="21" t="s">
        <v>599</v>
      </c>
      <c r="G37" s="21" t="s">
        <v>600</v>
      </c>
      <c r="H37" s="21" t="s">
        <v>601</v>
      </c>
      <c r="I37" s="21" t="s">
        <v>593</v>
      </c>
      <c r="J37" s="21" t="s">
        <v>602</v>
      </c>
      <c r="K37" s="21" t="s">
        <v>603</v>
      </c>
      <c r="L37" s="21">
        <v>1.0</v>
      </c>
      <c r="M37" s="21">
        <v>0.0</v>
      </c>
      <c r="N37" s="21">
        <v>0.1554054054054054</v>
      </c>
      <c r="O37" s="21">
        <v>2.0</v>
      </c>
      <c r="P37" s="21">
        <v>16.0</v>
      </c>
      <c r="Q37" s="21" t="s">
        <v>53</v>
      </c>
      <c r="R37" s="21">
        <v>0.0</v>
      </c>
      <c r="S37" s="21" t="s">
        <v>53</v>
      </c>
      <c r="T37" s="21">
        <v>0.0</v>
      </c>
      <c r="U37" s="21">
        <v>0.0</v>
      </c>
      <c r="V37" s="21">
        <v>0.0</v>
      </c>
      <c r="W37" s="21" t="s">
        <v>53</v>
      </c>
      <c r="X37" s="21">
        <v>0.0</v>
      </c>
      <c r="Y37" s="21" t="s">
        <v>53</v>
      </c>
      <c r="Z37" s="21" t="s">
        <v>604</v>
      </c>
      <c r="AA37" s="23" t="s">
        <v>545</v>
      </c>
      <c r="AB37" s="23" t="b">
        <v>1</v>
      </c>
      <c r="AC37" s="21" t="s">
        <v>57</v>
      </c>
      <c r="AD37" s="21" t="s">
        <v>1144</v>
      </c>
      <c r="AE37" s="21">
        <v>0.22</v>
      </c>
      <c r="AF37" s="21" t="s">
        <v>58</v>
      </c>
      <c r="AG37" s="21" t="s">
        <v>162</v>
      </c>
      <c r="AH37" s="21" t="s">
        <v>209</v>
      </c>
      <c r="AI37" s="22" t="s">
        <v>61</v>
      </c>
      <c r="AJ37" s="21" t="s">
        <v>630</v>
      </c>
      <c r="AK37" s="21" t="s">
        <v>1140</v>
      </c>
      <c r="AL37" s="23" t="s">
        <v>164</v>
      </c>
      <c r="AM37" s="23" t="s">
        <v>65</v>
      </c>
      <c r="AN37" s="23" t="s">
        <v>1161</v>
      </c>
      <c r="AO37" s="54" t="s">
        <v>1142</v>
      </c>
    </row>
    <row r="38" ht="15.0" customHeight="1">
      <c r="A38" s="20">
        <v>67.0</v>
      </c>
      <c r="B38" s="21" t="s">
        <v>563</v>
      </c>
      <c r="C38" s="21" t="s">
        <v>613</v>
      </c>
      <c r="D38" s="21" t="s">
        <v>614</v>
      </c>
      <c r="E38" s="21" t="s">
        <v>605</v>
      </c>
      <c r="F38" s="21" t="s">
        <v>615</v>
      </c>
      <c r="G38" s="21" t="s">
        <v>616</v>
      </c>
      <c r="H38" s="21" t="s">
        <v>617</v>
      </c>
      <c r="I38" s="21" t="s">
        <v>618</v>
      </c>
      <c r="J38" s="21" t="s">
        <v>619</v>
      </c>
      <c r="K38" s="21" t="s">
        <v>620</v>
      </c>
      <c r="L38" s="21">
        <v>0.75</v>
      </c>
      <c r="M38" s="21">
        <v>0.25</v>
      </c>
      <c r="N38" s="21">
        <v>0.15483870967741936</v>
      </c>
      <c r="O38" s="21">
        <v>0.0</v>
      </c>
      <c r="P38" s="21">
        <v>22.0</v>
      </c>
      <c r="Q38" s="21" t="s">
        <v>621</v>
      </c>
      <c r="R38" s="21">
        <v>1.0</v>
      </c>
      <c r="S38" s="21" t="s">
        <v>622</v>
      </c>
      <c r="T38" s="21">
        <v>0.0</v>
      </c>
      <c r="U38" s="21">
        <v>0.0</v>
      </c>
      <c r="V38" s="21">
        <v>0.0</v>
      </c>
      <c r="W38" s="21" t="s">
        <v>53</v>
      </c>
      <c r="X38" s="21">
        <v>0.0</v>
      </c>
      <c r="Y38" s="21" t="s">
        <v>53</v>
      </c>
      <c r="Z38" s="21" t="s">
        <v>623</v>
      </c>
      <c r="AA38" s="23" t="s">
        <v>545</v>
      </c>
      <c r="AB38" s="23" t="b">
        <v>1</v>
      </c>
      <c r="AC38" s="21" t="s">
        <v>57</v>
      </c>
      <c r="AD38" s="21" t="s">
        <v>57</v>
      </c>
      <c r="AE38" s="21">
        <v>0.67</v>
      </c>
      <c r="AF38" s="21" t="s">
        <v>58</v>
      </c>
      <c r="AG38" s="21" t="s">
        <v>162</v>
      </c>
      <c r="AH38" s="21" t="s">
        <v>209</v>
      </c>
      <c r="AI38" s="22" t="s">
        <v>61</v>
      </c>
      <c r="AJ38" s="21" t="s">
        <v>630</v>
      </c>
      <c r="AK38" s="21" t="s">
        <v>1140</v>
      </c>
      <c r="AL38" s="23" t="s">
        <v>164</v>
      </c>
      <c r="AM38" s="23" t="s">
        <v>65</v>
      </c>
      <c r="AN38" s="23" t="s">
        <v>1158</v>
      </c>
      <c r="AO38" s="54" t="s">
        <v>1151</v>
      </c>
    </row>
    <row r="39" ht="15.0" customHeight="1">
      <c r="A39" s="20">
        <v>68.0</v>
      </c>
      <c r="B39" s="21" t="s">
        <v>563</v>
      </c>
      <c r="C39" s="21" t="s">
        <v>613</v>
      </c>
      <c r="D39" s="21" t="s">
        <v>614</v>
      </c>
      <c r="E39" s="21" t="s">
        <v>605</v>
      </c>
      <c r="F39" s="21" t="s">
        <v>615</v>
      </c>
      <c r="G39" s="21" t="s">
        <v>624</v>
      </c>
      <c r="H39" s="21" t="s">
        <v>625</v>
      </c>
      <c r="I39" s="21" t="s">
        <v>626</v>
      </c>
      <c r="J39" s="21" t="s">
        <v>627</v>
      </c>
      <c r="K39" s="21" t="s">
        <v>628</v>
      </c>
      <c r="L39" s="21">
        <v>1.0</v>
      </c>
      <c r="M39" s="21">
        <v>0.0</v>
      </c>
      <c r="N39" s="21">
        <v>0.1437125748502994</v>
      </c>
      <c r="O39" s="21">
        <v>8.0</v>
      </c>
      <c r="P39" s="21">
        <v>22.0</v>
      </c>
      <c r="Q39" s="21" t="s">
        <v>573</v>
      </c>
      <c r="R39" s="21">
        <v>0.0</v>
      </c>
      <c r="S39" s="21" t="s">
        <v>53</v>
      </c>
      <c r="T39" s="21">
        <v>0.0</v>
      </c>
      <c r="U39" s="21">
        <v>0.0</v>
      </c>
      <c r="V39" s="21">
        <v>0.0</v>
      </c>
      <c r="W39" s="21" t="s">
        <v>53</v>
      </c>
      <c r="X39" s="21">
        <v>0.0</v>
      </c>
      <c r="Y39" s="21" t="s">
        <v>53</v>
      </c>
      <c r="Z39" s="21" t="s">
        <v>623</v>
      </c>
      <c r="AA39" s="23" t="s">
        <v>545</v>
      </c>
      <c r="AB39" s="23" t="b">
        <v>1</v>
      </c>
      <c r="AC39" s="21" t="s">
        <v>57</v>
      </c>
      <c r="AD39" s="21" t="s">
        <v>57</v>
      </c>
      <c r="AE39" s="21">
        <v>0.83</v>
      </c>
      <c r="AF39" s="21" t="s">
        <v>58</v>
      </c>
      <c r="AG39" s="21" t="s">
        <v>162</v>
      </c>
      <c r="AH39" s="21" t="s">
        <v>209</v>
      </c>
      <c r="AI39" s="22" t="s">
        <v>61</v>
      </c>
      <c r="AJ39" s="21" t="s">
        <v>630</v>
      </c>
      <c r="AK39" s="21" t="s">
        <v>1140</v>
      </c>
      <c r="AL39" s="23" t="s">
        <v>164</v>
      </c>
      <c r="AM39" s="23" t="s">
        <v>65</v>
      </c>
      <c r="AN39" s="23" t="s">
        <v>1158</v>
      </c>
      <c r="AO39" s="54" t="s">
        <v>1142</v>
      </c>
    </row>
    <row r="40" ht="15.0" customHeight="1">
      <c r="A40" s="20">
        <v>69.0</v>
      </c>
      <c r="B40" s="21" t="s">
        <v>563</v>
      </c>
      <c r="C40" s="21" t="s">
        <v>613</v>
      </c>
      <c r="D40" s="21" t="s">
        <v>614</v>
      </c>
      <c r="E40" s="21" t="s">
        <v>611</v>
      </c>
      <c r="F40" s="21" t="s">
        <v>610</v>
      </c>
      <c r="G40" s="21" t="s">
        <v>631</v>
      </c>
      <c r="H40" s="21" t="s">
        <v>632</v>
      </c>
      <c r="I40" s="21" t="s">
        <v>633</v>
      </c>
      <c r="J40" s="21" t="s">
        <v>634</v>
      </c>
      <c r="K40" s="21" t="s">
        <v>635</v>
      </c>
      <c r="L40" s="21">
        <v>0.8</v>
      </c>
      <c r="M40" s="21">
        <v>0.2857142857142857</v>
      </c>
      <c r="N40" s="21">
        <v>0.17721518987341772</v>
      </c>
      <c r="O40" s="21">
        <v>0.0</v>
      </c>
      <c r="P40" s="21">
        <v>22.0</v>
      </c>
      <c r="Q40" s="21" t="s">
        <v>621</v>
      </c>
      <c r="R40" s="21">
        <v>1.0</v>
      </c>
      <c r="S40" s="21" t="s">
        <v>622</v>
      </c>
      <c r="T40" s="21">
        <v>0.0</v>
      </c>
      <c r="U40" s="21">
        <v>0.0</v>
      </c>
      <c r="V40" s="21">
        <v>0.0</v>
      </c>
      <c r="W40" s="21" t="s">
        <v>53</v>
      </c>
      <c r="X40" s="21">
        <v>0.0</v>
      </c>
      <c r="Y40" s="21" t="s">
        <v>53</v>
      </c>
      <c r="Z40" s="21" t="s">
        <v>623</v>
      </c>
      <c r="AA40" s="23" t="s">
        <v>545</v>
      </c>
      <c r="AB40" s="23" t="b">
        <v>1</v>
      </c>
      <c r="AC40" s="21" t="s">
        <v>57</v>
      </c>
      <c r="AD40" s="21" t="s">
        <v>57</v>
      </c>
      <c r="AE40" s="21">
        <v>0.71</v>
      </c>
      <c r="AF40" s="21" t="s">
        <v>58</v>
      </c>
      <c r="AG40" s="21" t="s">
        <v>162</v>
      </c>
      <c r="AH40" s="21" t="s">
        <v>209</v>
      </c>
      <c r="AI40" s="22" t="s">
        <v>61</v>
      </c>
      <c r="AJ40" s="21" t="s">
        <v>630</v>
      </c>
      <c r="AK40" s="21" t="s">
        <v>1140</v>
      </c>
      <c r="AL40" s="23" t="s">
        <v>164</v>
      </c>
      <c r="AM40" s="23" t="s">
        <v>65</v>
      </c>
      <c r="AN40" s="23" t="s">
        <v>1158</v>
      </c>
      <c r="AO40" s="54" t="s">
        <v>1162</v>
      </c>
    </row>
    <row r="41" ht="15.0" customHeight="1">
      <c r="A41" s="20">
        <v>70.0</v>
      </c>
      <c r="B41" s="21" t="s">
        <v>563</v>
      </c>
      <c r="C41" s="21" t="s">
        <v>613</v>
      </c>
      <c r="D41" s="21" t="s">
        <v>614</v>
      </c>
      <c r="E41" s="21" t="s">
        <v>636</v>
      </c>
      <c r="F41" s="21" t="s">
        <v>637</v>
      </c>
      <c r="G41" s="21" t="s">
        <v>638</v>
      </c>
      <c r="H41" s="21" t="s">
        <v>639</v>
      </c>
      <c r="I41" s="21" t="s">
        <v>640</v>
      </c>
      <c r="J41" s="21" t="s">
        <v>641</v>
      </c>
      <c r="K41" s="21" t="s">
        <v>642</v>
      </c>
      <c r="L41" s="21">
        <v>0.6</v>
      </c>
      <c r="M41" s="21">
        <v>0.125</v>
      </c>
      <c r="N41" s="21">
        <v>0.04714640198511166</v>
      </c>
      <c r="O41" s="21">
        <v>0.0</v>
      </c>
      <c r="P41" s="21">
        <v>22.0</v>
      </c>
      <c r="Q41" s="21" t="s">
        <v>643</v>
      </c>
      <c r="R41" s="21">
        <v>1.0</v>
      </c>
      <c r="S41" s="21" t="s">
        <v>644</v>
      </c>
      <c r="T41" s="21">
        <v>1.0</v>
      </c>
      <c r="U41" s="21">
        <v>1.0</v>
      </c>
      <c r="V41" s="21">
        <v>0.0</v>
      </c>
      <c r="W41" s="21" t="s">
        <v>53</v>
      </c>
      <c r="X41" s="21">
        <v>0.0</v>
      </c>
      <c r="Y41" s="21" t="s">
        <v>53</v>
      </c>
      <c r="Z41" s="21" t="s">
        <v>623</v>
      </c>
      <c r="AA41" s="23" t="s">
        <v>545</v>
      </c>
      <c r="AB41" s="23" t="b">
        <v>1</v>
      </c>
      <c r="AC41" s="21" t="s">
        <v>57</v>
      </c>
      <c r="AD41" s="21" t="s">
        <v>57</v>
      </c>
      <c r="AE41" s="21">
        <v>0.8</v>
      </c>
      <c r="AF41" s="21" t="s">
        <v>162</v>
      </c>
      <c r="AG41" s="21" t="s">
        <v>162</v>
      </c>
      <c r="AH41" s="21" t="s">
        <v>60</v>
      </c>
      <c r="AI41" s="22" t="s">
        <v>1163</v>
      </c>
      <c r="AJ41" s="21" t="s">
        <v>630</v>
      </c>
      <c r="AK41" s="21" t="s">
        <v>1140</v>
      </c>
      <c r="AL41" s="23" t="s">
        <v>64</v>
      </c>
      <c r="AM41" s="23" t="s">
        <v>65</v>
      </c>
      <c r="AN41" s="23" t="s">
        <v>1158</v>
      </c>
      <c r="AO41" s="54" t="s">
        <v>1164</v>
      </c>
    </row>
    <row r="42" ht="15.0" customHeight="1">
      <c r="A42" s="20">
        <v>71.0</v>
      </c>
      <c r="B42" s="21" t="s">
        <v>563</v>
      </c>
      <c r="C42" s="21" t="s">
        <v>613</v>
      </c>
      <c r="D42" s="21" t="s">
        <v>614</v>
      </c>
      <c r="E42" s="21" t="s">
        <v>645</v>
      </c>
      <c r="F42" s="21" t="s">
        <v>646</v>
      </c>
      <c r="G42" s="21" t="s">
        <v>647</v>
      </c>
      <c r="H42" s="21" t="s">
        <v>648</v>
      </c>
      <c r="I42" s="21" t="s">
        <v>649</v>
      </c>
      <c r="J42" s="21" t="s">
        <v>650</v>
      </c>
      <c r="K42" s="21" t="s">
        <v>651</v>
      </c>
      <c r="L42" s="21">
        <v>0.6</v>
      </c>
      <c r="M42" s="21">
        <v>0.1</v>
      </c>
      <c r="N42" s="21">
        <v>0.04589371980676329</v>
      </c>
      <c r="O42" s="21">
        <v>0.0</v>
      </c>
      <c r="P42" s="21">
        <v>22.0</v>
      </c>
      <c r="Q42" s="21" t="s">
        <v>643</v>
      </c>
      <c r="R42" s="21">
        <v>1.0</v>
      </c>
      <c r="S42" s="21" t="s">
        <v>644</v>
      </c>
      <c r="T42" s="21">
        <v>1.0</v>
      </c>
      <c r="U42" s="21">
        <v>1.0</v>
      </c>
      <c r="V42" s="21">
        <v>0.0</v>
      </c>
      <c r="W42" s="21" t="s">
        <v>53</v>
      </c>
      <c r="X42" s="21">
        <v>0.0</v>
      </c>
      <c r="Y42" s="21" t="s">
        <v>53</v>
      </c>
      <c r="Z42" s="21" t="s">
        <v>623</v>
      </c>
      <c r="AA42" s="23" t="s">
        <v>545</v>
      </c>
      <c r="AB42" s="23" t="b">
        <v>1</v>
      </c>
      <c r="AC42" s="21" t="s">
        <v>57</v>
      </c>
      <c r="AD42" s="21" t="s">
        <v>57</v>
      </c>
      <c r="AE42" s="21">
        <v>0.8</v>
      </c>
      <c r="AF42" s="21" t="s">
        <v>162</v>
      </c>
      <c r="AG42" s="21" t="s">
        <v>162</v>
      </c>
      <c r="AH42" s="21" t="s">
        <v>60</v>
      </c>
      <c r="AI42" s="22" t="s">
        <v>1163</v>
      </c>
      <c r="AJ42" s="21" t="s">
        <v>630</v>
      </c>
      <c r="AK42" s="21" t="s">
        <v>1140</v>
      </c>
      <c r="AL42" s="23" t="s">
        <v>64</v>
      </c>
      <c r="AM42" s="23" t="s">
        <v>65</v>
      </c>
      <c r="AN42" s="23" t="s">
        <v>1158</v>
      </c>
      <c r="AO42" s="54" t="s">
        <v>1164</v>
      </c>
    </row>
    <row r="43" ht="15.0" customHeight="1">
      <c r="A43" s="20">
        <v>76.0</v>
      </c>
      <c r="B43" s="21" t="s">
        <v>352</v>
      </c>
      <c r="C43" s="21" t="s">
        <v>663</v>
      </c>
      <c r="D43" s="21" t="s">
        <v>664</v>
      </c>
      <c r="E43" s="21" t="s">
        <v>677</v>
      </c>
      <c r="F43" s="21" t="s">
        <v>678</v>
      </c>
      <c r="G43" s="21" t="s">
        <v>679</v>
      </c>
      <c r="H43" s="21" t="s">
        <v>680</v>
      </c>
      <c r="I43" s="21" t="s">
        <v>681</v>
      </c>
      <c r="J43" s="21" t="s">
        <v>682</v>
      </c>
      <c r="K43" s="21" t="s">
        <v>683</v>
      </c>
      <c r="L43" s="21">
        <v>0.8571428571428571</v>
      </c>
      <c r="M43" s="21">
        <v>0.125</v>
      </c>
      <c r="N43" s="21">
        <v>0.06514657980456026</v>
      </c>
      <c r="O43" s="21">
        <v>0.0</v>
      </c>
      <c r="P43" s="21">
        <v>9.0</v>
      </c>
      <c r="Q43" s="21" t="s">
        <v>684</v>
      </c>
      <c r="R43" s="21">
        <v>1.0</v>
      </c>
      <c r="S43" s="21" t="s">
        <v>685</v>
      </c>
      <c r="T43" s="21">
        <v>0.0</v>
      </c>
      <c r="U43" s="21">
        <v>0.0</v>
      </c>
      <c r="V43" s="21">
        <v>0.0</v>
      </c>
      <c r="W43" s="21" t="s">
        <v>53</v>
      </c>
      <c r="X43" s="21">
        <v>0.0</v>
      </c>
      <c r="Y43" s="21" t="s">
        <v>53</v>
      </c>
      <c r="Z43" s="21" t="s">
        <v>671</v>
      </c>
      <c r="AA43" s="23" t="s">
        <v>545</v>
      </c>
      <c r="AB43" s="23" t="b">
        <v>1</v>
      </c>
      <c r="AC43" s="21" t="s">
        <v>57</v>
      </c>
      <c r="AD43" s="21" t="s">
        <v>57</v>
      </c>
      <c r="AE43" s="21">
        <v>0.71</v>
      </c>
      <c r="AF43" s="21" t="s">
        <v>162</v>
      </c>
      <c r="AG43" s="21" t="s">
        <v>162</v>
      </c>
      <c r="AH43" s="21" t="s">
        <v>60</v>
      </c>
      <c r="AI43" s="22" t="s">
        <v>1165</v>
      </c>
      <c r="AJ43" s="21" t="s">
        <v>630</v>
      </c>
      <c r="AK43" s="21" t="s">
        <v>1140</v>
      </c>
      <c r="AL43" s="23" t="s">
        <v>64</v>
      </c>
      <c r="AM43" s="23" t="s">
        <v>65</v>
      </c>
      <c r="AN43" s="23" t="s">
        <v>1158</v>
      </c>
      <c r="AO43" s="54" t="s">
        <v>1162</v>
      </c>
    </row>
    <row r="44" ht="15.0" customHeight="1">
      <c r="A44" s="20">
        <v>81.0</v>
      </c>
      <c r="B44" s="21" t="s">
        <v>724</v>
      </c>
      <c r="C44" s="21" t="s">
        <v>725</v>
      </c>
      <c r="D44" s="21" t="s">
        <v>726</v>
      </c>
      <c r="E44" s="21" t="s">
        <v>727</v>
      </c>
      <c r="F44" s="21" t="s">
        <v>728</v>
      </c>
      <c r="G44" s="21" t="s">
        <v>729</v>
      </c>
      <c r="H44" s="21" t="s">
        <v>730</v>
      </c>
      <c r="I44" s="21" t="s">
        <v>193</v>
      </c>
      <c r="J44" s="21" t="s">
        <v>731</v>
      </c>
      <c r="K44" s="21" t="s">
        <v>732</v>
      </c>
      <c r="L44" s="21">
        <v>1.0</v>
      </c>
      <c r="M44" s="21">
        <v>0.0</v>
      </c>
      <c r="N44" s="21">
        <v>0.37777777777777777</v>
      </c>
      <c r="O44" s="21">
        <v>1.0</v>
      </c>
      <c r="P44" s="21">
        <v>8.0</v>
      </c>
      <c r="Q44" s="21" t="s">
        <v>53</v>
      </c>
      <c r="R44" s="21">
        <v>0.0</v>
      </c>
      <c r="S44" s="21" t="s">
        <v>53</v>
      </c>
      <c r="T44" s="21">
        <v>0.0</v>
      </c>
      <c r="U44" s="21">
        <v>0.0</v>
      </c>
      <c r="V44" s="21">
        <v>0.0</v>
      </c>
      <c r="W44" s="21" t="s">
        <v>53</v>
      </c>
      <c r="X44" s="21">
        <v>0.0</v>
      </c>
      <c r="Y44" s="21" t="s">
        <v>53</v>
      </c>
      <c r="Z44" s="21" t="s">
        <v>733</v>
      </c>
      <c r="AA44" s="23" t="s">
        <v>734</v>
      </c>
      <c r="AB44" s="23" t="b">
        <v>1</v>
      </c>
      <c r="AC44" s="21" t="s">
        <v>56</v>
      </c>
      <c r="AD44" s="21" t="s">
        <v>57</v>
      </c>
      <c r="AE44" s="21">
        <v>0.25</v>
      </c>
      <c r="AF44" s="21" t="s">
        <v>58</v>
      </c>
      <c r="AG44" s="21" t="s">
        <v>59</v>
      </c>
      <c r="AH44" s="21" t="s">
        <v>60</v>
      </c>
      <c r="AI44" s="22" t="s">
        <v>61</v>
      </c>
      <c r="AJ44" s="21" t="s">
        <v>62</v>
      </c>
      <c r="AK44" s="21" t="s">
        <v>1140</v>
      </c>
      <c r="AL44" s="23" t="s">
        <v>889</v>
      </c>
      <c r="AM44" s="23" t="s">
        <v>65</v>
      </c>
      <c r="AN44" s="23" t="s">
        <v>1153</v>
      </c>
      <c r="AO44" s="54" t="s">
        <v>1142</v>
      </c>
    </row>
    <row r="45" ht="15.0" customHeight="1">
      <c r="A45" s="20">
        <v>82.0</v>
      </c>
      <c r="B45" s="21" t="s">
        <v>724</v>
      </c>
      <c r="C45" s="21" t="s">
        <v>735</v>
      </c>
      <c r="D45" s="21" t="s">
        <v>736</v>
      </c>
      <c r="E45" s="21" t="s">
        <v>737</v>
      </c>
      <c r="F45" s="21" t="s">
        <v>738</v>
      </c>
      <c r="G45" s="21" t="s">
        <v>739</v>
      </c>
      <c r="H45" s="21" t="s">
        <v>740</v>
      </c>
      <c r="I45" s="21" t="s">
        <v>741</v>
      </c>
      <c r="J45" s="21" t="s">
        <v>742</v>
      </c>
      <c r="K45" s="21" t="s">
        <v>743</v>
      </c>
      <c r="L45" s="21">
        <v>1.0</v>
      </c>
      <c r="M45" s="21">
        <v>0.0</v>
      </c>
      <c r="N45" s="21">
        <v>0.1724137931034483</v>
      </c>
      <c r="O45" s="21">
        <v>1.0</v>
      </c>
      <c r="P45" s="21">
        <v>10.0</v>
      </c>
      <c r="Q45" s="21" t="s">
        <v>53</v>
      </c>
      <c r="R45" s="21">
        <v>0.0</v>
      </c>
      <c r="S45" s="21" t="s">
        <v>53</v>
      </c>
      <c r="T45" s="21">
        <v>0.0</v>
      </c>
      <c r="U45" s="21">
        <v>0.0</v>
      </c>
      <c r="V45" s="21">
        <v>0.0</v>
      </c>
      <c r="W45" s="21" t="s">
        <v>53</v>
      </c>
      <c r="X45" s="21">
        <v>0.0</v>
      </c>
      <c r="Y45" s="21" t="s">
        <v>53</v>
      </c>
      <c r="Z45" s="21" t="s">
        <v>744</v>
      </c>
      <c r="AA45" s="23" t="s">
        <v>734</v>
      </c>
      <c r="AB45" s="23" t="b">
        <v>1</v>
      </c>
      <c r="AC45" s="21" t="s">
        <v>57</v>
      </c>
      <c r="AD45" s="21" t="s">
        <v>57</v>
      </c>
      <c r="AE45" s="21">
        <v>0.13</v>
      </c>
      <c r="AF45" s="21" t="s">
        <v>162</v>
      </c>
      <c r="AG45" s="21" t="s">
        <v>59</v>
      </c>
      <c r="AH45" s="21" t="s">
        <v>60</v>
      </c>
      <c r="AI45" s="22" t="s">
        <v>61</v>
      </c>
      <c r="AJ45" s="21" t="s">
        <v>62</v>
      </c>
      <c r="AK45" s="21" t="s">
        <v>1140</v>
      </c>
      <c r="AL45" s="23" t="s">
        <v>164</v>
      </c>
      <c r="AM45" s="23" t="s">
        <v>65</v>
      </c>
      <c r="AN45" s="23" t="s">
        <v>1150</v>
      </c>
      <c r="AO45" s="54" t="s">
        <v>1142</v>
      </c>
    </row>
    <row r="46" ht="15.0" customHeight="1">
      <c r="A46" s="20">
        <v>85.0</v>
      </c>
      <c r="B46" s="21" t="s">
        <v>762</v>
      </c>
      <c r="C46" s="21" t="s">
        <v>763</v>
      </c>
      <c r="D46" s="21" t="s">
        <v>764</v>
      </c>
      <c r="E46" s="21" t="s">
        <v>169</v>
      </c>
      <c r="F46" s="21" t="s">
        <v>765</v>
      </c>
      <c r="G46" s="21" t="s">
        <v>766</v>
      </c>
      <c r="H46" s="21" t="s">
        <v>767</v>
      </c>
      <c r="I46" s="21" t="s">
        <v>768</v>
      </c>
      <c r="J46" s="21" t="s">
        <v>769</v>
      </c>
      <c r="K46" s="21" t="s">
        <v>770</v>
      </c>
      <c r="L46" s="21">
        <v>1.0</v>
      </c>
      <c r="M46" s="21">
        <v>0.0</v>
      </c>
      <c r="N46" s="21">
        <v>0.6108374384236454</v>
      </c>
      <c r="O46" s="21">
        <v>3.0</v>
      </c>
      <c r="P46" s="21">
        <v>9.0</v>
      </c>
      <c r="Q46" s="21" t="s">
        <v>53</v>
      </c>
      <c r="R46" s="21">
        <v>0.0</v>
      </c>
      <c r="S46" s="21" t="s">
        <v>53</v>
      </c>
      <c r="T46" s="21">
        <v>0.0</v>
      </c>
      <c r="U46" s="21">
        <v>0.0</v>
      </c>
      <c r="V46" s="21">
        <v>0.0</v>
      </c>
      <c r="W46" s="21" t="s">
        <v>53</v>
      </c>
      <c r="X46" s="21">
        <v>0.0</v>
      </c>
      <c r="Y46" s="21" t="s">
        <v>53</v>
      </c>
      <c r="Z46" s="21" t="s">
        <v>771</v>
      </c>
      <c r="AA46" s="23" t="s">
        <v>772</v>
      </c>
      <c r="AB46" s="23" t="b">
        <v>1</v>
      </c>
      <c r="AC46" s="21" t="s">
        <v>57</v>
      </c>
      <c r="AD46" s="21" t="s">
        <v>56</v>
      </c>
      <c r="AE46" s="21">
        <v>0.13</v>
      </c>
      <c r="AF46" s="21" t="s">
        <v>559</v>
      </c>
      <c r="AG46" s="21" t="s">
        <v>59</v>
      </c>
      <c r="AH46" s="21" t="s">
        <v>209</v>
      </c>
      <c r="AI46" s="22" t="s">
        <v>61</v>
      </c>
      <c r="AJ46" s="21" t="s">
        <v>62</v>
      </c>
      <c r="AK46" s="21" t="s">
        <v>1140</v>
      </c>
      <c r="AL46" s="23" t="s">
        <v>1166</v>
      </c>
      <c r="AM46" s="23" t="s">
        <v>1149</v>
      </c>
      <c r="AN46" s="23" t="s">
        <v>1167</v>
      </c>
      <c r="AO46" s="54" t="s">
        <v>1142</v>
      </c>
    </row>
    <row r="47" ht="15.0" customHeight="1">
      <c r="A47" s="20">
        <v>95.0</v>
      </c>
      <c r="B47" s="21" t="s">
        <v>808</v>
      </c>
      <c r="C47" s="21" t="s">
        <v>864</v>
      </c>
      <c r="D47" s="21" t="s">
        <v>865</v>
      </c>
      <c r="E47" s="21" t="s">
        <v>820</v>
      </c>
      <c r="F47" s="21" t="s">
        <v>819</v>
      </c>
      <c r="G47" s="21" t="s">
        <v>866</v>
      </c>
      <c r="H47" s="21" t="s">
        <v>867</v>
      </c>
      <c r="I47" s="21" t="s">
        <v>73</v>
      </c>
      <c r="J47" s="21" t="s">
        <v>868</v>
      </c>
      <c r="K47" s="21" t="s">
        <v>869</v>
      </c>
      <c r="L47" s="21">
        <v>1.0</v>
      </c>
      <c r="M47" s="21">
        <v>0.0</v>
      </c>
      <c r="N47" s="21">
        <v>0.020618556701030927</v>
      </c>
      <c r="O47" s="21">
        <v>1.0</v>
      </c>
      <c r="P47" s="21">
        <v>59.0</v>
      </c>
      <c r="Q47" s="21" t="s">
        <v>53</v>
      </c>
      <c r="R47" s="21">
        <v>0.0</v>
      </c>
      <c r="S47" s="21" t="s">
        <v>53</v>
      </c>
      <c r="T47" s="21">
        <v>0.0</v>
      </c>
      <c r="U47" s="21">
        <v>0.0</v>
      </c>
      <c r="V47" s="21">
        <v>0.0</v>
      </c>
      <c r="W47" s="21" t="s">
        <v>53</v>
      </c>
      <c r="X47" s="21">
        <v>0.0</v>
      </c>
      <c r="Y47" s="21" t="s">
        <v>53</v>
      </c>
      <c r="Z47" s="21" t="s">
        <v>870</v>
      </c>
      <c r="AA47" s="23" t="s">
        <v>863</v>
      </c>
      <c r="AB47" s="23" t="b">
        <v>1</v>
      </c>
      <c r="AC47" s="21" t="s">
        <v>57</v>
      </c>
      <c r="AD47" s="21" t="s">
        <v>57</v>
      </c>
      <c r="AE47" s="21">
        <v>0.71</v>
      </c>
      <c r="AF47" s="21" t="s">
        <v>58</v>
      </c>
      <c r="AG47" s="21" t="s">
        <v>59</v>
      </c>
      <c r="AH47" s="21" t="s">
        <v>60</v>
      </c>
      <c r="AI47" s="22" t="s">
        <v>61</v>
      </c>
      <c r="AJ47" s="21" t="s">
        <v>62</v>
      </c>
      <c r="AK47" s="21" t="s">
        <v>1140</v>
      </c>
      <c r="AL47" s="23" t="s">
        <v>64</v>
      </c>
      <c r="AM47" s="21" t="s">
        <v>65</v>
      </c>
      <c r="AN47" s="23" t="s">
        <v>1158</v>
      </c>
      <c r="AO47" s="54" t="s">
        <v>1142</v>
      </c>
    </row>
    <row r="48" ht="15.0" customHeight="1">
      <c r="A48" s="20">
        <v>96.0</v>
      </c>
      <c r="B48" s="21" t="s">
        <v>515</v>
      </c>
      <c r="C48" s="21" t="s">
        <v>864</v>
      </c>
      <c r="D48" s="21" t="s">
        <v>865</v>
      </c>
      <c r="E48" s="21" t="s">
        <v>871</v>
      </c>
      <c r="F48" s="21" t="s">
        <v>872</v>
      </c>
      <c r="G48" s="21" t="s">
        <v>873</v>
      </c>
      <c r="H48" s="21" t="s">
        <v>874</v>
      </c>
      <c r="I48" s="21" t="s">
        <v>73</v>
      </c>
      <c r="J48" s="21" t="s">
        <v>875</v>
      </c>
      <c r="K48" s="21" t="s">
        <v>876</v>
      </c>
      <c r="L48" s="21">
        <v>1.0</v>
      </c>
      <c r="M48" s="21">
        <v>0.0</v>
      </c>
      <c r="N48" s="21">
        <v>0.010309278350515464</v>
      </c>
      <c r="O48" s="21">
        <v>1.0</v>
      </c>
      <c r="P48" s="21">
        <v>25.0</v>
      </c>
      <c r="Q48" s="21" t="s">
        <v>53</v>
      </c>
      <c r="R48" s="21">
        <v>0.0</v>
      </c>
      <c r="S48" s="21" t="s">
        <v>53</v>
      </c>
      <c r="T48" s="21">
        <v>0.0</v>
      </c>
      <c r="U48" s="21">
        <v>0.0</v>
      </c>
      <c r="V48" s="21">
        <v>0.0</v>
      </c>
      <c r="W48" s="21" t="s">
        <v>53</v>
      </c>
      <c r="X48" s="21">
        <v>0.0</v>
      </c>
      <c r="Y48" s="21" t="s">
        <v>53</v>
      </c>
      <c r="Z48" s="21" t="s">
        <v>870</v>
      </c>
      <c r="AA48" s="23" t="s">
        <v>863</v>
      </c>
      <c r="AB48" s="23" t="b">
        <v>1</v>
      </c>
      <c r="AC48" s="21" t="s">
        <v>57</v>
      </c>
      <c r="AD48" s="21" t="s">
        <v>57</v>
      </c>
      <c r="AE48" s="21">
        <v>0.71</v>
      </c>
      <c r="AF48" s="21" t="s">
        <v>58</v>
      </c>
      <c r="AG48" s="21" t="s">
        <v>59</v>
      </c>
      <c r="AH48" s="21" t="s">
        <v>60</v>
      </c>
      <c r="AI48" s="22" t="s">
        <v>61</v>
      </c>
      <c r="AJ48" s="21" t="s">
        <v>62</v>
      </c>
      <c r="AK48" s="21" t="s">
        <v>1140</v>
      </c>
      <c r="AL48" s="23" t="s">
        <v>64</v>
      </c>
      <c r="AM48" s="21" t="s">
        <v>65</v>
      </c>
      <c r="AN48" s="23" t="s">
        <v>1158</v>
      </c>
      <c r="AO48" s="54" t="s">
        <v>1142</v>
      </c>
    </row>
    <row r="49" ht="15.0" customHeight="1">
      <c r="A49" s="20">
        <v>98.0</v>
      </c>
      <c r="B49" s="21" t="s">
        <v>515</v>
      </c>
      <c r="C49" s="21" t="s">
        <v>891</v>
      </c>
      <c r="D49" s="21" t="s">
        <v>892</v>
      </c>
      <c r="E49" s="21" t="s">
        <v>893</v>
      </c>
      <c r="F49" s="21" t="s">
        <v>894</v>
      </c>
      <c r="G49" s="21" t="s">
        <v>895</v>
      </c>
      <c r="H49" s="21" t="s">
        <v>896</v>
      </c>
      <c r="I49" s="21" t="s">
        <v>897</v>
      </c>
      <c r="J49" s="21" t="s">
        <v>898</v>
      </c>
      <c r="K49" s="21" t="s">
        <v>899</v>
      </c>
      <c r="L49" s="21">
        <v>1.0</v>
      </c>
      <c r="M49" s="21">
        <v>0.9166666666666666</v>
      </c>
      <c r="N49" s="21">
        <v>0.8789659224441834</v>
      </c>
      <c r="O49" s="21">
        <v>0.0</v>
      </c>
      <c r="P49" s="21">
        <v>27.0</v>
      </c>
      <c r="Q49" s="21" t="s">
        <v>53</v>
      </c>
      <c r="R49" s="21">
        <v>0.0</v>
      </c>
      <c r="S49" s="21" t="s">
        <v>53</v>
      </c>
      <c r="T49" s="21">
        <v>0.0</v>
      </c>
      <c r="U49" s="21">
        <v>0.0</v>
      </c>
      <c r="V49" s="21">
        <v>1.0</v>
      </c>
      <c r="W49" s="21" t="s">
        <v>900</v>
      </c>
      <c r="X49" s="21">
        <v>0.0</v>
      </c>
      <c r="Y49" s="21" t="s">
        <v>53</v>
      </c>
      <c r="Z49" s="21" t="s">
        <v>901</v>
      </c>
      <c r="AA49" s="23" t="s">
        <v>902</v>
      </c>
      <c r="AB49" s="23" t="b">
        <v>1</v>
      </c>
      <c r="AC49" s="21" t="s">
        <v>57</v>
      </c>
      <c r="AD49" s="21" t="s">
        <v>56</v>
      </c>
      <c r="AE49" s="21">
        <v>0.33</v>
      </c>
      <c r="AF49" s="21" t="s">
        <v>59</v>
      </c>
      <c r="AG49" s="21" t="s">
        <v>59</v>
      </c>
      <c r="AH49" s="21" t="s">
        <v>1168</v>
      </c>
      <c r="AI49" s="22" t="s">
        <v>61</v>
      </c>
      <c r="AJ49" s="21" t="s">
        <v>62</v>
      </c>
      <c r="AK49" s="21" t="s">
        <v>1140</v>
      </c>
      <c r="AL49" s="23" t="s">
        <v>1166</v>
      </c>
      <c r="AM49" s="21" t="s">
        <v>1169</v>
      </c>
      <c r="AN49" s="23" t="s">
        <v>1153</v>
      </c>
      <c r="AO49" s="54" t="s">
        <v>1146</v>
      </c>
    </row>
    <row r="50" ht="15.0" customHeight="1">
      <c r="A50" s="20">
        <v>100.0</v>
      </c>
      <c r="B50" s="21" t="s">
        <v>340</v>
      </c>
      <c r="C50" s="21" t="s">
        <v>916</v>
      </c>
      <c r="D50" s="21" t="s">
        <v>917</v>
      </c>
      <c r="E50" s="21" t="s">
        <v>343</v>
      </c>
      <c r="F50" s="21" t="s">
        <v>918</v>
      </c>
      <c r="G50" s="21" t="s">
        <v>919</v>
      </c>
      <c r="H50" s="21" t="s">
        <v>920</v>
      </c>
      <c r="I50" s="21" t="s">
        <v>73</v>
      </c>
      <c r="J50" s="21" t="s">
        <v>921</v>
      </c>
      <c r="K50" s="21" t="s">
        <v>922</v>
      </c>
      <c r="L50" s="21">
        <v>1.0</v>
      </c>
      <c r="M50" s="21">
        <v>0.0</v>
      </c>
      <c r="N50" s="21">
        <v>0.06976744186046512</v>
      </c>
      <c r="O50" s="21">
        <v>1.0</v>
      </c>
      <c r="P50" s="21">
        <v>7.0</v>
      </c>
      <c r="Q50" s="21" t="s">
        <v>53</v>
      </c>
      <c r="R50" s="21">
        <v>0.0</v>
      </c>
      <c r="S50" s="21" t="s">
        <v>53</v>
      </c>
      <c r="T50" s="21">
        <v>0.0</v>
      </c>
      <c r="U50" s="21">
        <v>0.0</v>
      </c>
      <c r="V50" s="21">
        <v>0.0</v>
      </c>
      <c r="W50" s="21" t="s">
        <v>53</v>
      </c>
      <c r="X50" s="21">
        <v>0.0</v>
      </c>
      <c r="Y50" s="21" t="s">
        <v>53</v>
      </c>
      <c r="Z50" s="21" t="s">
        <v>923</v>
      </c>
      <c r="AA50" s="23" t="s">
        <v>915</v>
      </c>
      <c r="AB50" s="23" t="b">
        <v>1</v>
      </c>
      <c r="AC50" s="21" t="s">
        <v>56</v>
      </c>
      <c r="AD50" s="21" t="s">
        <v>57</v>
      </c>
      <c r="AE50" s="21">
        <v>0.57</v>
      </c>
      <c r="AF50" s="21" t="s">
        <v>58</v>
      </c>
      <c r="AG50" s="21" t="s">
        <v>559</v>
      </c>
      <c r="AH50" s="21" t="s">
        <v>60</v>
      </c>
      <c r="AI50" s="22" t="s">
        <v>61</v>
      </c>
      <c r="AJ50" s="21" t="s">
        <v>62</v>
      </c>
      <c r="AK50" s="21" t="s">
        <v>1140</v>
      </c>
      <c r="AL50" s="23" t="s">
        <v>64</v>
      </c>
      <c r="AM50" s="21" t="s">
        <v>65</v>
      </c>
      <c r="AN50" s="23" t="s">
        <v>1161</v>
      </c>
      <c r="AO50" s="54" t="s">
        <v>1142</v>
      </c>
    </row>
    <row r="51" ht="15.0" customHeight="1">
      <c r="A51" s="20">
        <v>103.0</v>
      </c>
      <c r="B51" s="21" t="s">
        <v>411</v>
      </c>
      <c r="C51" s="21" t="s">
        <v>916</v>
      </c>
      <c r="D51" s="21" t="s">
        <v>917</v>
      </c>
      <c r="E51" s="21" t="s">
        <v>941</v>
      </c>
      <c r="F51" s="21" t="s">
        <v>942</v>
      </c>
      <c r="G51" s="21" t="s">
        <v>943</v>
      </c>
      <c r="H51" s="21" t="s">
        <v>944</v>
      </c>
      <c r="I51" s="21" t="s">
        <v>418</v>
      </c>
      <c r="J51" s="21" t="s">
        <v>945</v>
      </c>
      <c r="K51" s="21" t="s">
        <v>946</v>
      </c>
      <c r="L51" s="21">
        <v>1.0</v>
      </c>
      <c r="M51" s="21">
        <v>0.0</v>
      </c>
      <c r="N51" s="21">
        <v>0.1</v>
      </c>
      <c r="O51" s="21">
        <v>0.0</v>
      </c>
      <c r="P51" s="21">
        <v>78.0</v>
      </c>
      <c r="Q51" s="21" t="s">
        <v>53</v>
      </c>
      <c r="R51" s="21">
        <v>0.0</v>
      </c>
      <c r="S51" s="21" t="s">
        <v>53</v>
      </c>
      <c r="T51" s="21">
        <v>0.0</v>
      </c>
      <c r="U51" s="21">
        <v>0.0</v>
      </c>
      <c r="V51" s="21">
        <v>0.0</v>
      </c>
      <c r="W51" s="21" t="s">
        <v>53</v>
      </c>
      <c r="X51" s="21">
        <v>0.0</v>
      </c>
      <c r="Y51" s="21" t="s">
        <v>53</v>
      </c>
      <c r="Z51" s="21" t="s">
        <v>923</v>
      </c>
      <c r="AA51" s="23" t="s">
        <v>915</v>
      </c>
      <c r="AB51" s="23" t="b">
        <v>1</v>
      </c>
      <c r="AC51" s="21" t="s">
        <v>57</v>
      </c>
      <c r="AD51" s="21" t="s">
        <v>57</v>
      </c>
      <c r="AE51" s="21">
        <v>0.58</v>
      </c>
      <c r="AF51" s="21" t="s">
        <v>58</v>
      </c>
      <c r="AG51" s="21" t="s">
        <v>559</v>
      </c>
      <c r="AH51" s="21" t="s">
        <v>60</v>
      </c>
      <c r="AI51" s="22" t="s">
        <v>61</v>
      </c>
      <c r="AJ51" s="21" t="s">
        <v>62</v>
      </c>
      <c r="AK51" s="21" t="s">
        <v>1140</v>
      </c>
      <c r="AL51" s="23" t="s">
        <v>64</v>
      </c>
      <c r="AM51" s="21" t="s">
        <v>65</v>
      </c>
      <c r="AN51" s="23" t="s">
        <v>1153</v>
      </c>
      <c r="AO51" s="54" t="s">
        <v>1142</v>
      </c>
    </row>
    <row r="52" ht="15.0" customHeight="1">
      <c r="A52" s="20">
        <v>104.0</v>
      </c>
      <c r="B52" s="21" t="s">
        <v>411</v>
      </c>
      <c r="C52" s="21" t="s">
        <v>916</v>
      </c>
      <c r="D52" s="21" t="s">
        <v>917</v>
      </c>
      <c r="E52" s="21" t="s">
        <v>941</v>
      </c>
      <c r="F52" s="21" t="s">
        <v>942</v>
      </c>
      <c r="G52" s="21" t="s">
        <v>947</v>
      </c>
      <c r="H52" s="21" t="s">
        <v>948</v>
      </c>
      <c r="I52" s="21" t="s">
        <v>418</v>
      </c>
      <c r="J52" s="21" t="s">
        <v>949</v>
      </c>
      <c r="K52" s="21" t="s">
        <v>950</v>
      </c>
      <c r="L52" s="21">
        <v>1.0</v>
      </c>
      <c r="M52" s="21">
        <v>0.0</v>
      </c>
      <c r="N52" s="21">
        <v>0.15469613259668508</v>
      </c>
      <c r="O52" s="21">
        <v>0.0</v>
      </c>
      <c r="P52" s="21">
        <v>78.0</v>
      </c>
      <c r="Q52" s="21" t="s">
        <v>53</v>
      </c>
      <c r="R52" s="21">
        <v>0.0</v>
      </c>
      <c r="S52" s="21" t="s">
        <v>53</v>
      </c>
      <c r="T52" s="21">
        <v>0.0</v>
      </c>
      <c r="U52" s="21">
        <v>0.0</v>
      </c>
      <c r="V52" s="21">
        <v>0.0</v>
      </c>
      <c r="W52" s="21" t="s">
        <v>53</v>
      </c>
      <c r="X52" s="21">
        <v>0.0</v>
      </c>
      <c r="Y52" s="21" t="s">
        <v>53</v>
      </c>
      <c r="Z52" s="21" t="s">
        <v>923</v>
      </c>
      <c r="AA52" s="23" t="s">
        <v>915</v>
      </c>
      <c r="AB52" s="23" t="b">
        <v>1</v>
      </c>
      <c r="AC52" s="21" t="s">
        <v>57</v>
      </c>
      <c r="AD52" s="21" t="s">
        <v>57</v>
      </c>
      <c r="AE52" s="21">
        <v>0.58</v>
      </c>
      <c r="AF52" s="21" t="s">
        <v>58</v>
      </c>
      <c r="AG52" s="21" t="s">
        <v>559</v>
      </c>
      <c r="AH52" s="21" t="s">
        <v>60</v>
      </c>
      <c r="AI52" s="22" t="s">
        <v>61</v>
      </c>
      <c r="AJ52" s="21" t="s">
        <v>62</v>
      </c>
      <c r="AK52" s="21" t="s">
        <v>1140</v>
      </c>
      <c r="AL52" s="23" t="s">
        <v>64</v>
      </c>
      <c r="AM52" s="21" t="s">
        <v>65</v>
      </c>
      <c r="AN52" s="23" t="s">
        <v>1153</v>
      </c>
      <c r="AO52" s="54" t="s">
        <v>1142</v>
      </c>
    </row>
    <row r="53" ht="15.0" customHeight="1">
      <c r="A53" s="20">
        <v>105.0</v>
      </c>
      <c r="B53" s="21" t="s">
        <v>411</v>
      </c>
      <c r="C53" s="21" t="s">
        <v>916</v>
      </c>
      <c r="D53" s="21" t="s">
        <v>917</v>
      </c>
      <c r="E53" s="21" t="s">
        <v>951</v>
      </c>
      <c r="F53" s="21" t="s">
        <v>952</v>
      </c>
      <c r="G53" s="21" t="s">
        <v>953</v>
      </c>
      <c r="H53" s="21" t="s">
        <v>954</v>
      </c>
      <c r="I53" s="21" t="s">
        <v>471</v>
      </c>
      <c r="J53" s="21" t="s">
        <v>955</v>
      </c>
      <c r="K53" s="21" t="s">
        <v>956</v>
      </c>
      <c r="L53" s="21">
        <v>1.0</v>
      </c>
      <c r="M53" s="21">
        <v>0.0</v>
      </c>
      <c r="N53" s="21">
        <v>0.1111111111111111</v>
      </c>
      <c r="O53" s="21">
        <v>17.0</v>
      </c>
      <c r="P53" s="21">
        <v>78.0</v>
      </c>
      <c r="Q53" s="21" t="s">
        <v>53</v>
      </c>
      <c r="R53" s="21">
        <v>0.0</v>
      </c>
      <c r="S53" s="21" t="s">
        <v>53</v>
      </c>
      <c r="T53" s="21">
        <v>0.0</v>
      </c>
      <c r="U53" s="21">
        <v>0.0</v>
      </c>
      <c r="V53" s="21">
        <v>0.0</v>
      </c>
      <c r="W53" s="21" t="s">
        <v>53</v>
      </c>
      <c r="X53" s="21">
        <v>0.0</v>
      </c>
      <c r="Y53" s="21" t="s">
        <v>53</v>
      </c>
      <c r="Z53" s="21" t="s">
        <v>923</v>
      </c>
      <c r="AA53" s="23" t="s">
        <v>915</v>
      </c>
      <c r="AB53" s="23" t="b">
        <v>1</v>
      </c>
      <c r="AC53" s="21" t="s">
        <v>57</v>
      </c>
      <c r="AD53" s="21" t="s">
        <v>57</v>
      </c>
      <c r="AE53" s="21">
        <v>0.63</v>
      </c>
      <c r="AF53" s="21" t="s">
        <v>58</v>
      </c>
      <c r="AG53" s="21" t="s">
        <v>59</v>
      </c>
      <c r="AH53" s="21" t="s">
        <v>60</v>
      </c>
      <c r="AI53" s="22" t="s">
        <v>61</v>
      </c>
      <c r="AJ53" s="21" t="s">
        <v>62</v>
      </c>
      <c r="AK53" s="21" t="s">
        <v>1140</v>
      </c>
      <c r="AL53" s="23" t="s">
        <v>64</v>
      </c>
      <c r="AM53" s="21" t="s">
        <v>65</v>
      </c>
      <c r="AN53" s="23" t="s">
        <v>1153</v>
      </c>
      <c r="AO53" s="54" t="s">
        <v>1142</v>
      </c>
    </row>
    <row r="54" ht="15.0" customHeight="1">
      <c r="A54" s="20">
        <v>106.0</v>
      </c>
      <c r="B54" s="21" t="s">
        <v>411</v>
      </c>
      <c r="C54" s="21" t="s">
        <v>916</v>
      </c>
      <c r="D54" s="21" t="s">
        <v>917</v>
      </c>
      <c r="E54" s="21" t="s">
        <v>474</v>
      </c>
      <c r="F54" s="21" t="s">
        <v>475</v>
      </c>
      <c r="G54" s="21" t="s">
        <v>957</v>
      </c>
      <c r="H54" s="21" t="s">
        <v>958</v>
      </c>
      <c r="I54" s="21" t="s">
        <v>478</v>
      </c>
      <c r="J54" s="21" t="s">
        <v>959</v>
      </c>
      <c r="K54" s="21" t="s">
        <v>960</v>
      </c>
      <c r="L54" s="21">
        <v>1.0</v>
      </c>
      <c r="M54" s="21">
        <v>0.0</v>
      </c>
      <c r="N54" s="21">
        <v>0.26143790849673204</v>
      </c>
      <c r="O54" s="21">
        <v>45.0</v>
      </c>
      <c r="P54" s="21">
        <v>78.0</v>
      </c>
      <c r="Q54" s="21" t="s">
        <v>53</v>
      </c>
      <c r="R54" s="21">
        <v>0.0</v>
      </c>
      <c r="S54" s="21" t="s">
        <v>53</v>
      </c>
      <c r="T54" s="21">
        <v>0.0</v>
      </c>
      <c r="U54" s="21">
        <v>0.0</v>
      </c>
      <c r="V54" s="21">
        <v>0.0</v>
      </c>
      <c r="W54" s="21" t="s">
        <v>53</v>
      </c>
      <c r="X54" s="21">
        <v>0.0</v>
      </c>
      <c r="Y54" s="21" t="s">
        <v>53</v>
      </c>
      <c r="Z54" s="21" t="s">
        <v>923</v>
      </c>
      <c r="AA54" s="23" t="s">
        <v>915</v>
      </c>
      <c r="AB54" s="23" t="b">
        <v>1</v>
      </c>
      <c r="AC54" s="21" t="s">
        <v>57</v>
      </c>
      <c r="AD54" s="21" t="s">
        <v>57</v>
      </c>
      <c r="AE54" s="21">
        <v>0.63</v>
      </c>
      <c r="AF54" s="21" t="s">
        <v>58</v>
      </c>
      <c r="AG54" s="21" t="s">
        <v>59</v>
      </c>
      <c r="AH54" s="21" t="s">
        <v>60</v>
      </c>
      <c r="AI54" s="22" t="s">
        <v>61</v>
      </c>
      <c r="AJ54" s="21" t="s">
        <v>62</v>
      </c>
      <c r="AK54" s="21" t="s">
        <v>1140</v>
      </c>
      <c r="AL54" s="23" t="s">
        <v>64</v>
      </c>
      <c r="AM54" s="21" t="s">
        <v>1170</v>
      </c>
      <c r="AN54" s="23" t="s">
        <v>1153</v>
      </c>
      <c r="AO54" s="54" t="s">
        <v>1142</v>
      </c>
    </row>
    <row r="55" ht="15.0" customHeight="1">
      <c r="A55" s="20">
        <v>107.0</v>
      </c>
      <c r="B55" s="21" t="s">
        <v>411</v>
      </c>
      <c r="C55" s="21" t="s">
        <v>916</v>
      </c>
      <c r="D55" s="21" t="s">
        <v>917</v>
      </c>
      <c r="E55" s="21" t="s">
        <v>474</v>
      </c>
      <c r="F55" s="21" t="s">
        <v>475</v>
      </c>
      <c r="G55" s="21" t="s">
        <v>961</v>
      </c>
      <c r="H55" s="21" t="s">
        <v>962</v>
      </c>
      <c r="I55" s="21" t="s">
        <v>478</v>
      </c>
      <c r="J55" s="21" t="s">
        <v>963</v>
      </c>
      <c r="K55" s="21" t="s">
        <v>964</v>
      </c>
      <c r="L55" s="21">
        <v>1.0</v>
      </c>
      <c r="M55" s="21">
        <v>0.0</v>
      </c>
      <c r="N55" s="21">
        <v>0.2565789473684211</v>
      </c>
      <c r="O55" s="21">
        <v>45.0</v>
      </c>
      <c r="P55" s="21">
        <v>78.0</v>
      </c>
      <c r="Q55" s="21" t="s">
        <v>53</v>
      </c>
      <c r="R55" s="21">
        <v>0.0</v>
      </c>
      <c r="S55" s="21" t="s">
        <v>53</v>
      </c>
      <c r="T55" s="21">
        <v>0.0</v>
      </c>
      <c r="U55" s="21">
        <v>0.0</v>
      </c>
      <c r="V55" s="21">
        <v>0.0</v>
      </c>
      <c r="W55" s="21" t="s">
        <v>53</v>
      </c>
      <c r="X55" s="21">
        <v>0.0</v>
      </c>
      <c r="Y55" s="21" t="s">
        <v>53</v>
      </c>
      <c r="Z55" s="21" t="s">
        <v>923</v>
      </c>
      <c r="AA55" s="23" t="s">
        <v>915</v>
      </c>
      <c r="AB55" s="23" t="b">
        <v>1</v>
      </c>
      <c r="AC55" s="21" t="s">
        <v>57</v>
      </c>
      <c r="AD55" s="21" t="s">
        <v>57</v>
      </c>
      <c r="AE55" s="21">
        <v>0.63</v>
      </c>
      <c r="AF55" s="21" t="s">
        <v>58</v>
      </c>
      <c r="AG55" s="21" t="s">
        <v>59</v>
      </c>
      <c r="AH55" s="21" t="s">
        <v>60</v>
      </c>
      <c r="AI55" s="22" t="s">
        <v>61</v>
      </c>
      <c r="AJ55" s="21" t="s">
        <v>62</v>
      </c>
      <c r="AK55" s="21" t="s">
        <v>1140</v>
      </c>
      <c r="AL55" s="23" t="s">
        <v>64</v>
      </c>
      <c r="AM55" s="21" t="s">
        <v>1170</v>
      </c>
      <c r="AN55" s="23" t="s">
        <v>1153</v>
      </c>
      <c r="AO55" s="54" t="s">
        <v>1142</v>
      </c>
    </row>
    <row r="56" ht="15.0" customHeight="1">
      <c r="A56" s="20">
        <v>108.0</v>
      </c>
      <c r="B56" s="21" t="s">
        <v>411</v>
      </c>
      <c r="C56" s="21" t="s">
        <v>916</v>
      </c>
      <c r="D56" s="21" t="s">
        <v>917</v>
      </c>
      <c r="E56" s="21" t="s">
        <v>485</v>
      </c>
      <c r="F56" s="21" t="s">
        <v>486</v>
      </c>
      <c r="G56" s="21" t="s">
        <v>965</v>
      </c>
      <c r="H56" s="21" t="s">
        <v>966</v>
      </c>
      <c r="I56" s="21" t="s">
        <v>478</v>
      </c>
      <c r="J56" s="21" t="s">
        <v>967</v>
      </c>
      <c r="K56" s="21" t="s">
        <v>968</v>
      </c>
      <c r="L56" s="21">
        <v>1.0</v>
      </c>
      <c r="M56" s="21">
        <v>0.0</v>
      </c>
      <c r="N56" s="21">
        <v>0.25161290322580643</v>
      </c>
      <c r="O56" s="21">
        <v>44.0</v>
      </c>
      <c r="P56" s="21">
        <v>78.0</v>
      </c>
      <c r="Q56" s="21" t="s">
        <v>53</v>
      </c>
      <c r="R56" s="21">
        <v>0.0</v>
      </c>
      <c r="S56" s="21" t="s">
        <v>53</v>
      </c>
      <c r="T56" s="21">
        <v>0.0</v>
      </c>
      <c r="U56" s="21">
        <v>0.0</v>
      </c>
      <c r="V56" s="21">
        <v>0.0</v>
      </c>
      <c r="W56" s="21" t="s">
        <v>53</v>
      </c>
      <c r="X56" s="21">
        <v>0.0</v>
      </c>
      <c r="Y56" s="21" t="s">
        <v>53</v>
      </c>
      <c r="Z56" s="21" t="s">
        <v>923</v>
      </c>
      <c r="AA56" s="23" t="s">
        <v>915</v>
      </c>
      <c r="AB56" s="23" t="b">
        <v>1</v>
      </c>
      <c r="AC56" s="21" t="s">
        <v>57</v>
      </c>
      <c r="AD56" s="21" t="s">
        <v>57</v>
      </c>
      <c r="AE56" s="21">
        <v>0.63</v>
      </c>
      <c r="AF56" s="21" t="s">
        <v>58</v>
      </c>
      <c r="AG56" s="21" t="s">
        <v>59</v>
      </c>
      <c r="AH56" s="21" t="s">
        <v>60</v>
      </c>
      <c r="AI56" s="22" t="s">
        <v>61</v>
      </c>
      <c r="AJ56" s="21" t="s">
        <v>62</v>
      </c>
      <c r="AK56" s="21" t="s">
        <v>1140</v>
      </c>
      <c r="AL56" s="23" t="s">
        <v>64</v>
      </c>
      <c r="AM56" s="21" t="s">
        <v>1170</v>
      </c>
      <c r="AN56" s="23" t="s">
        <v>1153</v>
      </c>
      <c r="AO56" s="54" t="s">
        <v>1142</v>
      </c>
    </row>
    <row r="57" ht="15.0" customHeight="1">
      <c r="A57" s="20">
        <v>109.0</v>
      </c>
      <c r="B57" s="21" t="s">
        <v>411</v>
      </c>
      <c r="C57" s="21" t="s">
        <v>916</v>
      </c>
      <c r="D57" s="21" t="s">
        <v>917</v>
      </c>
      <c r="E57" s="21" t="s">
        <v>485</v>
      </c>
      <c r="F57" s="21" t="s">
        <v>486</v>
      </c>
      <c r="G57" s="21" t="s">
        <v>969</v>
      </c>
      <c r="H57" s="21" t="s">
        <v>970</v>
      </c>
      <c r="I57" s="21" t="s">
        <v>478</v>
      </c>
      <c r="J57" s="21" t="s">
        <v>971</v>
      </c>
      <c r="K57" s="21" t="s">
        <v>972</v>
      </c>
      <c r="L57" s="21">
        <v>1.0</v>
      </c>
      <c r="M57" s="21">
        <v>0.0</v>
      </c>
      <c r="N57" s="21">
        <v>0.24675324675324675</v>
      </c>
      <c r="O57" s="21">
        <v>44.0</v>
      </c>
      <c r="P57" s="21">
        <v>78.0</v>
      </c>
      <c r="Q57" s="21" t="s">
        <v>53</v>
      </c>
      <c r="R57" s="21">
        <v>0.0</v>
      </c>
      <c r="S57" s="21" t="s">
        <v>53</v>
      </c>
      <c r="T57" s="21">
        <v>0.0</v>
      </c>
      <c r="U57" s="21">
        <v>0.0</v>
      </c>
      <c r="V57" s="21">
        <v>0.0</v>
      </c>
      <c r="W57" s="21" t="s">
        <v>53</v>
      </c>
      <c r="X57" s="21">
        <v>0.0</v>
      </c>
      <c r="Y57" s="21" t="s">
        <v>53</v>
      </c>
      <c r="Z57" s="21" t="s">
        <v>923</v>
      </c>
      <c r="AA57" s="23" t="s">
        <v>915</v>
      </c>
      <c r="AB57" s="23" t="b">
        <v>1</v>
      </c>
      <c r="AC57" s="21" t="s">
        <v>57</v>
      </c>
      <c r="AD57" s="21" t="s">
        <v>57</v>
      </c>
      <c r="AE57" s="21">
        <v>0.63</v>
      </c>
      <c r="AF57" s="21" t="s">
        <v>58</v>
      </c>
      <c r="AG57" s="21" t="s">
        <v>59</v>
      </c>
      <c r="AH57" s="21" t="s">
        <v>60</v>
      </c>
      <c r="AI57" s="22" t="s">
        <v>61</v>
      </c>
      <c r="AJ57" s="21" t="s">
        <v>62</v>
      </c>
      <c r="AK57" s="21" t="s">
        <v>1140</v>
      </c>
      <c r="AL57" s="23" t="s">
        <v>64</v>
      </c>
      <c r="AM57" s="21" t="s">
        <v>1170</v>
      </c>
      <c r="AN57" s="23" t="s">
        <v>1153</v>
      </c>
      <c r="AO57" s="54" t="s">
        <v>1142</v>
      </c>
    </row>
    <row r="58" ht="15.0" customHeight="1">
      <c r="A58" s="20">
        <v>110.0</v>
      </c>
      <c r="B58" s="21" t="s">
        <v>411</v>
      </c>
      <c r="C58" s="21" t="s">
        <v>916</v>
      </c>
      <c r="D58" s="21" t="s">
        <v>917</v>
      </c>
      <c r="E58" s="21" t="s">
        <v>495</v>
      </c>
      <c r="F58" s="21" t="s">
        <v>496</v>
      </c>
      <c r="G58" s="21" t="s">
        <v>973</v>
      </c>
      <c r="H58" s="21" t="s">
        <v>974</v>
      </c>
      <c r="I58" s="21" t="s">
        <v>478</v>
      </c>
      <c r="J58" s="21" t="s">
        <v>975</v>
      </c>
      <c r="K58" s="21" t="s">
        <v>976</v>
      </c>
      <c r="L58" s="21">
        <v>1.0</v>
      </c>
      <c r="M58" s="21">
        <v>0.0</v>
      </c>
      <c r="N58" s="21">
        <v>0.26490066225165565</v>
      </c>
      <c r="O58" s="21">
        <v>46.0</v>
      </c>
      <c r="P58" s="21">
        <v>78.0</v>
      </c>
      <c r="Q58" s="21" t="s">
        <v>53</v>
      </c>
      <c r="R58" s="21">
        <v>0.0</v>
      </c>
      <c r="S58" s="21" t="s">
        <v>53</v>
      </c>
      <c r="T58" s="21">
        <v>0.0</v>
      </c>
      <c r="U58" s="21">
        <v>0.0</v>
      </c>
      <c r="V58" s="21">
        <v>0.0</v>
      </c>
      <c r="W58" s="21" t="s">
        <v>53</v>
      </c>
      <c r="X58" s="21">
        <v>0.0</v>
      </c>
      <c r="Y58" s="21" t="s">
        <v>53</v>
      </c>
      <c r="Z58" s="21" t="s">
        <v>923</v>
      </c>
      <c r="AA58" s="23" t="s">
        <v>915</v>
      </c>
      <c r="AB58" s="23" t="b">
        <v>1</v>
      </c>
      <c r="AC58" s="21" t="s">
        <v>57</v>
      </c>
      <c r="AD58" s="21" t="s">
        <v>57</v>
      </c>
      <c r="AE58" s="21">
        <v>0.63</v>
      </c>
      <c r="AF58" s="21" t="s">
        <v>58</v>
      </c>
      <c r="AG58" s="21" t="s">
        <v>59</v>
      </c>
      <c r="AH58" s="21" t="s">
        <v>60</v>
      </c>
      <c r="AI58" s="22" t="s">
        <v>61</v>
      </c>
      <c r="AJ58" s="21" t="s">
        <v>62</v>
      </c>
      <c r="AK58" s="21" t="s">
        <v>1140</v>
      </c>
      <c r="AL58" s="23" t="s">
        <v>64</v>
      </c>
      <c r="AM58" s="21" t="s">
        <v>1171</v>
      </c>
      <c r="AN58" s="23" t="s">
        <v>1153</v>
      </c>
      <c r="AO58" s="54" t="s">
        <v>1142</v>
      </c>
    </row>
    <row r="59" ht="15.0" customHeight="1">
      <c r="A59" s="20">
        <v>111.0</v>
      </c>
      <c r="B59" s="21" t="s">
        <v>411</v>
      </c>
      <c r="C59" s="21" t="s">
        <v>916</v>
      </c>
      <c r="D59" s="21" t="s">
        <v>917</v>
      </c>
      <c r="E59" s="21" t="s">
        <v>495</v>
      </c>
      <c r="F59" s="21" t="s">
        <v>496</v>
      </c>
      <c r="G59" s="21" t="s">
        <v>977</v>
      </c>
      <c r="H59" s="21" t="s">
        <v>978</v>
      </c>
      <c r="I59" s="21" t="s">
        <v>478</v>
      </c>
      <c r="J59" s="21" t="s">
        <v>979</v>
      </c>
      <c r="K59" s="21" t="s">
        <v>980</v>
      </c>
      <c r="L59" s="21">
        <v>1.0</v>
      </c>
      <c r="M59" s="21">
        <v>0.0</v>
      </c>
      <c r="N59" s="21">
        <v>0.26</v>
      </c>
      <c r="O59" s="21">
        <v>46.0</v>
      </c>
      <c r="P59" s="21">
        <v>78.0</v>
      </c>
      <c r="Q59" s="21" t="s">
        <v>53</v>
      </c>
      <c r="R59" s="21">
        <v>0.0</v>
      </c>
      <c r="S59" s="21" t="s">
        <v>53</v>
      </c>
      <c r="T59" s="21">
        <v>0.0</v>
      </c>
      <c r="U59" s="21">
        <v>0.0</v>
      </c>
      <c r="V59" s="21">
        <v>0.0</v>
      </c>
      <c r="W59" s="21" t="s">
        <v>53</v>
      </c>
      <c r="X59" s="21">
        <v>0.0</v>
      </c>
      <c r="Y59" s="21" t="s">
        <v>53</v>
      </c>
      <c r="Z59" s="21" t="s">
        <v>923</v>
      </c>
      <c r="AA59" s="23" t="s">
        <v>915</v>
      </c>
      <c r="AB59" s="23" t="b">
        <v>1</v>
      </c>
      <c r="AC59" s="21" t="s">
        <v>57</v>
      </c>
      <c r="AD59" s="21" t="s">
        <v>57</v>
      </c>
      <c r="AE59" s="21">
        <v>0.63</v>
      </c>
      <c r="AF59" s="21" t="s">
        <v>58</v>
      </c>
      <c r="AG59" s="21" t="s">
        <v>59</v>
      </c>
      <c r="AH59" s="21" t="s">
        <v>60</v>
      </c>
      <c r="AI59" s="22" t="s">
        <v>61</v>
      </c>
      <c r="AJ59" s="21" t="s">
        <v>62</v>
      </c>
      <c r="AK59" s="21" t="s">
        <v>1140</v>
      </c>
      <c r="AL59" s="23" t="s">
        <v>64</v>
      </c>
      <c r="AM59" s="21" t="s">
        <v>1171</v>
      </c>
      <c r="AN59" s="23" t="s">
        <v>1153</v>
      </c>
      <c r="AO59" s="54" t="s">
        <v>1142</v>
      </c>
    </row>
    <row r="60" ht="15.0" customHeight="1">
      <c r="A60" s="20">
        <v>112.0</v>
      </c>
      <c r="B60" s="21" t="s">
        <v>411</v>
      </c>
      <c r="C60" s="21" t="s">
        <v>916</v>
      </c>
      <c r="D60" s="21" t="s">
        <v>917</v>
      </c>
      <c r="E60" s="21" t="s">
        <v>485</v>
      </c>
      <c r="F60" s="21" t="s">
        <v>486</v>
      </c>
      <c r="G60" s="21" t="s">
        <v>981</v>
      </c>
      <c r="H60" s="21" t="s">
        <v>982</v>
      </c>
      <c r="I60" s="21" t="s">
        <v>478</v>
      </c>
      <c r="J60" s="21" t="s">
        <v>983</v>
      </c>
      <c r="K60" s="21" t="s">
        <v>984</v>
      </c>
      <c r="L60" s="21">
        <v>1.0</v>
      </c>
      <c r="M60" s="21">
        <v>0.0</v>
      </c>
      <c r="N60" s="21">
        <v>0.28205128205128205</v>
      </c>
      <c r="O60" s="21">
        <v>44.0</v>
      </c>
      <c r="P60" s="21">
        <v>78.0</v>
      </c>
      <c r="Q60" s="21" t="s">
        <v>53</v>
      </c>
      <c r="R60" s="21">
        <v>0.0</v>
      </c>
      <c r="S60" s="21" t="s">
        <v>53</v>
      </c>
      <c r="T60" s="21">
        <v>0.0</v>
      </c>
      <c r="U60" s="21">
        <v>0.0</v>
      </c>
      <c r="V60" s="21">
        <v>0.0</v>
      </c>
      <c r="W60" s="21" t="s">
        <v>53</v>
      </c>
      <c r="X60" s="21">
        <v>0.0</v>
      </c>
      <c r="Y60" s="21" t="s">
        <v>53</v>
      </c>
      <c r="Z60" s="21" t="s">
        <v>923</v>
      </c>
      <c r="AA60" s="23" t="s">
        <v>915</v>
      </c>
      <c r="AB60" s="23" t="b">
        <v>1</v>
      </c>
      <c r="AC60" s="21" t="s">
        <v>57</v>
      </c>
      <c r="AD60" s="21" t="s">
        <v>57</v>
      </c>
      <c r="AE60" s="21">
        <v>0.63</v>
      </c>
      <c r="AF60" s="21" t="s">
        <v>58</v>
      </c>
      <c r="AG60" s="21" t="s">
        <v>59</v>
      </c>
      <c r="AH60" s="21" t="s">
        <v>60</v>
      </c>
      <c r="AI60" s="22" t="s">
        <v>61</v>
      </c>
      <c r="AJ60" s="21" t="s">
        <v>62</v>
      </c>
      <c r="AK60" s="21" t="s">
        <v>1140</v>
      </c>
      <c r="AL60" s="23" t="s">
        <v>64</v>
      </c>
      <c r="AM60" s="21"/>
      <c r="AN60" s="23" t="s">
        <v>1153</v>
      </c>
      <c r="AO60" s="54" t="s">
        <v>1142</v>
      </c>
    </row>
    <row r="61" ht="15.0" customHeight="1">
      <c r="A61" s="20">
        <v>113.0</v>
      </c>
      <c r="B61" s="21" t="s">
        <v>411</v>
      </c>
      <c r="C61" s="21" t="s">
        <v>916</v>
      </c>
      <c r="D61" s="21" t="s">
        <v>917</v>
      </c>
      <c r="E61" s="21" t="s">
        <v>509</v>
      </c>
      <c r="F61" s="21" t="s">
        <v>510</v>
      </c>
      <c r="G61" s="21" t="s">
        <v>985</v>
      </c>
      <c r="H61" s="21" t="s">
        <v>986</v>
      </c>
      <c r="I61" s="21" t="s">
        <v>478</v>
      </c>
      <c r="J61" s="21" t="s">
        <v>987</v>
      </c>
      <c r="K61" s="21" t="s">
        <v>988</v>
      </c>
      <c r="L61" s="21">
        <v>1.0</v>
      </c>
      <c r="M61" s="21">
        <v>0.0</v>
      </c>
      <c r="N61" s="21">
        <v>0.2620689655172414</v>
      </c>
      <c r="O61" s="21">
        <v>11.0</v>
      </c>
      <c r="P61" s="21">
        <v>78.0</v>
      </c>
      <c r="Q61" s="21" t="s">
        <v>53</v>
      </c>
      <c r="R61" s="21">
        <v>0.0</v>
      </c>
      <c r="S61" s="21" t="s">
        <v>53</v>
      </c>
      <c r="T61" s="21">
        <v>0.0</v>
      </c>
      <c r="U61" s="21">
        <v>0.0</v>
      </c>
      <c r="V61" s="21">
        <v>0.0</v>
      </c>
      <c r="W61" s="21" t="s">
        <v>53</v>
      </c>
      <c r="X61" s="21">
        <v>0.0</v>
      </c>
      <c r="Y61" s="21" t="s">
        <v>53</v>
      </c>
      <c r="Z61" s="21" t="s">
        <v>923</v>
      </c>
      <c r="AA61" s="23" t="s">
        <v>915</v>
      </c>
      <c r="AB61" s="23" t="b">
        <v>1</v>
      </c>
      <c r="AC61" s="21" t="s">
        <v>57</v>
      </c>
      <c r="AD61" s="21" t="s">
        <v>57</v>
      </c>
      <c r="AE61" s="21">
        <v>0.63</v>
      </c>
      <c r="AF61" s="21" t="s">
        <v>58</v>
      </c>
      <c r="AG61" s="21" t="s">
        <v>59</v>
      </c>
      <c r="AH61" s="21" t="s">
        <v>60</v>
      </c>
      <c r="AI61" s="22" t="s">
        <v>61</v>
      </c>
      <c r="AJ61" s="21" t="s">
        <v>62</v>
      </c>
      <c r="AK61" s="21" t="s">
        <v>1140</v>
      </c>
      <c r="AL61" s="23" t="s">
        <v>64</v>
      </c>
      <c r="AM61" s="21"/>
      <c r="AN61" s="23" t="s">
        <v>1153</v>
      </c>
      <c r="AO61" s="54" t="s">
        <v>1142</v>
      </c>
    </row>
    <row r="62" ht="15.0" customHeight="1">
      <c r="A62" s="20">
        <v>118.0</v>
      </c>
      <c r="B62" s="21" t="s">
        <v>411</v>
      </c>
      <c r="C62" s="21" t="s">
        <v>1030</v>
      </c>
      <c r="D62" s="21" t="s">
        <v>1011</v>
      </c>
      <c r="E62" s="21" t="s">
        <v>1031</v>
      </c>
      <c r="F62" s="21" t="s">
        <v>1032</v>
      </c>
      <c r="G62" s="21" t="s">
        <v>1033</v>
      </c>
      <c r="H62" s="21" t="s">
        <v>1034</v>
      </c>
      <c r="I62" s="21" t="s">
        <v>1035</v>
      </c>
      <c r="J62" s="21" t="s">
        <v>1036</v>
      </c>
      <c r="K62" s="21" t="s">
        <v>1037</v>
      </c>
      <c r="L62" s="21">
        <v>1.0</v>
      </c>
      <c r="M62" s="21">
        <v>0.0</v>
      </c>
      <c r="N62" s="21">
        <v>0.2743362831858407</v>
      </c>
      <c r="O62" s="21">
        <v>38.0</v>
      </c>
      <c r="P62" s="21">
        <v>92.0</v>
      </c>
      <c r="Q62" s="21" t="s">
        <v>53</v>
      </c>
      <c r="R62" s="21">
        <v>0.0</v>
      </c>
      <c r="S62" s="21" t="s">
        <v>53</v>
      </c>
      <c r="T62" s="21">
        <v>0.0</v>
      </c>
      <c r="U62" s="21">
        <v>0.0</v>
      </c>
      <c r="V62" s="21">
        <v>0.0</v>
      </c>
      <c r="W62" s="21" t="s">
        <v>53</v>
      </c>
      <c r="X62" s="21">
        <v>0.0</v>
      </c>
      <c r="Y62" s="21" t="s">
        <v>53</v>
      </c>
      <c r="Z62" s="21" t="s">
        <v>1038</v>
      </c>
      <c r="AA62" s="23" t="s">
        <v>1020</v>
      </c>
      <c r="AB62" s="23" t="b">
        <v>1</v>
      </c>
      <c r="AC62" s="21" t="s">
        <v>56</v>
      </c>
      <c r="AD62" s="21" t="s">
        <v>57</v>
      </c>
      <c r="AE62" s="21">
        <v>0.14</v>
      </c>
      <c r="AF62" s="21" t="s">
        <v>58</v>
      </c>
      <c r="AG62" s="21" t="s">
        <v>59</v>
      </c>
      <c r="AH62" s="21" t="s">
        <v>60</v>
      </c>
      <c r="AI62" s="22" t="s">
        <v>61</v>
      </c>
      <c r="AJ62" s="21" t="s">
        <v>62</v>
      </c>
      <c r="AK62" s="21" t="s">
        <v>1140</v>
      </c>
      <c r="AL62" s="23" t="s">
        <v>64</v>
      </c>
      <c r="AM62" s="21" t="s">
        <v>65</v>
      </c>
      <c r="AN62" s="21" t="s">
        <v>1150</v>
      </c>
      <c r="AO62" s="54" t="s">
        <v>1142</v>
      </c>
    </row>
    <row r="63" ht="15.0" customHeight="1">
      <c r="A63" s="20">
        <v>119.0</v>
      </c>
      <c r="B63" s="21" t="s">
        <v>411</v>
      </c>
      <c r="C63" s="21" t="s">
        <v>1030</v>
      </c>
      <c r="D63" s="21" t="s">
        <v>1011</v>
      </c>
      <c r="E63" s="21" t="s">
        <v>1031</v>
      </c>
      <c r="F63" s="21" t="s">
        <v>1032</v>
      </c>
      <c r="G63" s="21" t="s">
        <v>1039</v>
      </c>
      <c r="H63" s="21" t="s">
        <v>1040</v>
      </c>
      <c r="I63" s="21" t="s">
        <v>1035</v>
      </c>
      <c r="J63" s="21" t="s">
        <v>1041</v>
      </c>
      <c r="K63" s="21" t="s">
        <v>1042</v>
      </c>
      <c r="L63" s="21">
        <v>1.0</v>
      </c>
      <c r="M63" s="21">
        <v>0.0</v>
      </c>
      <c r="N63" s="21">
        <v>0.2831858407079646</v>
      </c>
      <c r="O63" s="21">
        <v>38.0</v>
      </c>
      <c r="P63" s="21">
        <v>92.0</v>
      </c>
      <c r="Q63" s="21" t="s">
        <v>53</v>
      </c>
      <c r="R63" s="21">
        <v>0.0</v>
      </c>
      <c r="S63" s="21" t="s">
        <v>53</v>
      </c>
      <c r="T63" s="21">
        <v>0.0</v>
      </c>
      <c r="U63" s="21">
        <v>0.0</v>
      </c>
      <c r="V63" s="21">
        <v>0.0</v>
      </c>
      <c r="W63" s="21" t="s">
        <v>53</v>
      </c>
      <c r="X63" s="21">
        <v>0.0</v>
      </c>
      <c r="Y63" s="21" t="s">
        <v>53</v>
      </c>
      <c r="Z63" s="21" t="s">
        <v>1038</v>
      </c>
      <c r="AA63" s="23" t="s">
        <v>1020</v>
      </c>
      <c r="AB63" s="23" t="b">
        <v>1</v>
      </c>
      <c r="AC63" s="21" t="s">
        <v>57</v>
      </c>
      <c r="AD63" s="21" t="s">
        <v>57</v>
      </c>
      <c r="AE63" s="21">
        <v>0.14</v>
      </c>
      <c r="AF63" s="21" t="s">
        <v>58</v>
      </c>
      <c r="AG63" s="21" t="s">
        <v>59</v>
      </c>
      <c r="AH63" s="21" t="s">
        <v>60</v>
      </c>
      <c r="AI63" s="22" t="s">
        <v>61</v>
      </c>
      <c r="AJ63" s="21" t="s">
        <v>62</v>
      </c>
      <c r="AK63" s="21" t="s">
        <v>1140</v>
      </c>
      <c r="AL63" s="23" t="s">
        <v>64</v>
      </c>
      <c r="AM63" s="21" t="s">
        <v>65</v>
      </c>
      <c r="AN63" s="21" t="s">
        <v>1150</v>
      </c>
      <c r="AO63" s="54" t="s">
        <v>1142</v>
      </c>
    </row>
    <row r="64" ht="15.0" customHeight="1">
      <c r="A64" s="20">
        <v>120.0</v>
      </c>
      <c r="B64" s="21" t="s">
        <v>411</v>
      </c>
      <c r="C64" s="21" t="s">
        <v>1030</v>
      </c>
      <c r="D64" s="21" t="s">
        <v>1011</v>
      </c>
      <c r="E64" s="21" t="s">
        <v>1031</v>
      </c>
      <c r="F64" s="21" t="s">
        <v>1032</v>
      </c>
      <c r="G64" s="21" t="s">
        <v>1043</v>
      </c>
      <c r="H64" s="21" t="s">
        <v>1044</v>
      </c>
      <c r="I64" s="21" t="s">
        <v>1035</v>
      </c>
      <c r="J64" s="21" t="s">
        <v>1045</v>
      </c>
      <c r="K64" s="21" t="s">
        <v>1046</v>
      </c>
      <c r="L64" s="21">
        <v>1.0</v>
      </c>
      <c r="M64" s="21">
        <v>0.0</v>
      </c>
      <c r="N64" s="21">
        <v>0.2831858407079646</v>
      </c>
      <c r="O64" s="21">
        <v>38.0</v>
      </c>
      <c r="P64" s="21">
        <v>92.0</v>
      </c>
      <c r="Q64" s="21" t="s">
        <v>53</v>
      </c>
      <c r="R64" s="21">
        <v>0.0</v>
      </c>
      <c r="S64" s="21" t="s">
        <v>53</v>
      </c>
      <c r="T64" s="21">
        <v>0.0</v>
      </c>
      <c r="U64" s="21">
        <v>0.0</v>
      </c>
      <c r="V64" s="21">
        <v>0.0</v>
      </c>
      <c r="W64" s="21" t="s">
        <v>53</v>
      </c>
      <c r="X64" s="21">
        <v>0.0</v>
      </c>
      <c r="Y64" s="21" t="s">
        <v>53</v>
      </c>
      <c r="Z64" s="21" t="s">
        <v>1038</v>
      </c>
      <c r="AA64" s="23" t="s">
        <v>1020</v>
      </c>
      <c r="AB64" s="23" t="b">
        <v>1</v>
      </c>
      <c r="AC64" s="21" t="s">
        <v>57</v>
      </c>
      <c r="AD64" s="21" t="s">
        <v>57</v>
      </c>
      <c r="AE64" s="21">
        <v>0.14</v>
      </c>
      <c r="AF64" s="21" t="s">
        <v>58</v>
      </c>
      <c r="AG64" s="21" t="s">
        <v>59</v>
      </c>
      <c r="AH64" s="21" t="s">
        <v>60</v>
      </c>
      <c r="AI64" s="22" t="s">
        <v>61</v>
      </c>
      <c r="AJ64" s="21" t="s">
        <v>62</v>
      </c>
      <c r="AK64" s="21" t="s">
        <v>1140</v>
      </c>
      <c r="AL64" s="23" t="s">
        <v>64</v>
      </c>
      <c r="AM64" s="21" t="s">
        <v>65</v>
      </c>
      <c r="AN64" s="21" t="s">
        <v>1150</v>
      </c>
      <c r="AO64" s="54" t="s">
        <v>1142</v>
      </c>
    </row>
    <row r="65" ht="15.0" customHeight="1">
      <c r="A65" s="20">
        <v>125.0</v>
      </c>
      <c r="B65" s="21" t="s">
        <v>1093</v>
      </c>
      <c r="C65" s="21" t="s">
        <v>1094</v>
      </c>
      <c r="D65" s="21" t="s">
        <v>1011</v>
      </c>
      <c r="E65" s="21" t="s">
        <v>1095</v>
      </c>
      <c r="F65" s="21" t="s">
        <v>1096</v>
      </c>
      <c r="G65" s="21" t="s">
        <v>1097</v>
      </c>
      <c r="H65" s="21" t="s">
        <v>1098</v>
      </c>
      <c r="I65" s="21" t="s">
        <v>1099</v>
      </c>
      <c r="J65" s="21" t="s">
        <v>1100</v>
      </c>
      <c r="K65" s="21" t="s">
        <v>1101</v>
      </c>
      <c r="L65" s="21">
        <v>1.0</v>
      </c>
      <c r="M65" s="21">
        <v>0.0</v>
      </c>
      <c r="N65" s="21">
        <v>0.5084745762711864</v>
      </c>
      <c r="O65" s="21">
        <v>1.0</v>
      </c>
      <c r="P65" s="21">
        <v>3.0</v>
      </c>
      <c r="Q65" s="21" t="s">
        <v>53</v>
      </c>
      <c r="R65" s="21">
        <v>0.0</v>
      </c>
      <c r="S65" s="21" t="s">
        <v>53</v>
      </c>
      <c r="T65" s="21">
        <v>0.0</v>
      </c>
      <c r="U65" s="21">
        <v>0.0</v>
      </c>
      <c r="V65" s="21">
        <v>0.0</v>
      </c>
      <c r="W65" s="21" t="s">
        <v>53</v>
      </c>
      <c r="X65" s="21">
        <v>0.0</v>
      </c>
      <c r="Y65" s="21" t="s">
        <v>53</v>
      </c>
      <c r="Z65" s="21" t="s">
        <v>1102</v>
      </c>
      <c r="AA65" s="23" t="s">
        <v>1055</v>
      </c>
      <c r="AB65" s="23" t="b">
        <v>1</v>
      </c>
      <c r="AC65" s="21" t="s">
        <v>57</v>
      </c>
      <c r="AD65" s="21" t="s">
        <v>56</v>
      </c>
      <c r="AE65" s="21">
        <v>0.2</v>
      </c>
      <c r="AF65" s="21" t="s">
        <v>58</v>
      </c>
      <c r="AG65" s="21" t="s">
        <v>59</v>
      </c>
      <c r="AH65" s="21" t="s">
        <v>60</v>
      </c>
      <c r="AI65" s="22" t="s">
        <v>1165</v>
      </c>
      <c r="AJ65" s="21" t="s">
        <v>630</v>
      </c>
      <c r="AK65" s="21" t="s">
        <v>1148</v>
      </c>
      <c r="AL65" s="21" t="s">
        <v>64</v>
      </c>
      <c r="AM65" s="21" t="s">
        <v>65</v>
      </c>
      <c r="AN65" s="23" t="s">
        <v>1153</v>
      </c>
      <c r="AO65" s="54" t="s">
        <v>1142</v>
      </c>
    </row>
    <row r="66" ht="15.0" customHeight="1">
      <c r="A66" s="20">
        <v>126.0</v>
      </c>
      <c r="B66" s="21" t="s">
        <v>1093</v>
      </c>
      <c r="C66" s="21" t="s">
        <v>1094</v>
      </c>
      <c r="D66" s="21" t="s">
        <v>1011</v>
      </c>
      <c r="E66" s="21" t="s">
        <v>1095</v>
      </c>
      <c r="F66" s="21" t="s">
        <v>1096</v>
      </c>
      <c r="G66" s="21" t="s">
        <v>1104</v>
      </c>
      <c r="H66" s="21" t="s">
        <v>1105</v>
      </c>
      <c r="I66" s="21" t="s">
        <v>1099</v>
      </c>
      <c r="J66" s="21" t="s">
        <v>1106</v>
      </c>
      <c r="K66" s="21" t="s">
        <v>1107</v>
      </c>
      <c r="L66" s="21">
        <v>1.0</v>
      </c>
      <c r="M66" s="21">
        <v>0.0</v>
      </c>
      <c r="N66" s="21">
        <v>0.5141242937853108</v>
      </c>
      <c r="O66" s="21">
        <v>1.0</v>
      </c>
      <c r="P66" s="21">
        <v>3.0</v>
      </c>
      <c r="Q66" s="21" t="s">
        <v>53</v>
      </c>
      <c r="R66" s="21">
        <v>0.0</v>
      </c>
      <c r="S66" s="21" t="s">
        <v>53</v>
      </c>
      <c r="T66" s="21">
        <v>0.0</v>
      </c>
      <c r="U66" s="21">
        <v>0.0</v>
      </c>
      <c r="V66" s="21">
        <v>0.0</v>
      </c>
      <c r="W66" s="21" t="s">
        <v>53</v>
      </c>
      <c r="X66" s="21">
        <v>0.0</v>
      </c>
      <c r="Y66" s="21" t="s">
        <v>53</v>
      </c>
      <c r="Z66" s="21" t="s">
        <v>1102</v>
      </c>
      <c r="AA66" s="23" t="s">
        <v>1055</v>
      </c>
      <c r="AB66" s="23" t="b">
        <v>1</v>
      </c>
      <c r="AC66" s="21" t="s">
        <v>57</v>
      </c>
      <c r="AD66" s="21" t="s">
        <v>56</v>
      </c>
      <c r="AE66" s="21">
        <v>0.2</v>
      </c>
      <c r="AF66" s="21" t="s">
        <v>58</v>
      </c>
      <c r="AG66" s="21" t="s">
        <v>59</v>
      </c>
      <c r="AH66" s="21" t="s">
        <v>60</v>
      </c>
      <c r="AI66" s="22" t="s">
        <v>1165</v>
      </c>
      <c r="AJ66" s="21" t="s">
        <v>630</v>
      </c>
      <c r="AK66" s="21" t="s">
        <v>1148</v>
      </c>
      <c r="AL66" s="21" t="s">
        <v>64</v>
      </c>
      <c r="AM66" s="21" t="s">
        <v>65</v>
      </c>
      <c r="AN66" s="23" t="s">
        <v>1153</v>
      </c>
      <c r="AO66" s="54" t="s">
        <v>1142</v>
      </c>
    </row>
    <row r="67" ht="15.0" customHeight="1">
      <c r="A67" s="20">
        <v>128.0</v>
      </c>
      <c r="B67" s="21" t="s">
        <v>724</v>
      </c>
      <c r="C67" s="21" t="s">
        <v>1119</v>
      </c>
      <c r="D67" s="21" t="s">
        <v>1120</v>
      </c>
      <c r="E67" s="21" t="s">
        <v>189</v>
      </c>
      <c r="F67" s="21" t="s">
        <v>1121</v>
      </c>
      <c r="G67" s="21" t="s">
        <v>1122</v>
      </c>
      <c r="H67" s="21" t="s">
        <v>1123</v>
      </c>
      <c r="I67" s="21" t="s">
        <v>193</v>
      </c>
      <c r="J67" s="21" t="s">
        <v>1124</v>
      </c>
      <c r="K67" s="21" t="s">
        <v>1125</v>
      </c>
      <c r="L67" s="21">
        <v>1.0</v>
      </c>
      <c r="M67" s="21">
        <v>0.0</v>
      </c>
      <c r="N67" s="21">
        <v>0.14942528735632185</v>
      </c>
      <c r="O67" s="21">
        <v>1.0</v>
      </c>
      <c r="P67" s="21">
        <v>10.0</v>
      </c>
      <c r="Q67" s="21" t="s">
        <v>53</v>
      </c>
      <c r="R67" s="21">
        <v>0.0</v>
      </c>
      <c r="S67" s="21" t="s">
        <v>53</v>
      </c>
      <c r="T67" s="21">
        <v>0.0</v>
      </c>
      <c r="U67" s="21">
        <v>0.0</v>
      </c>
      <c r="V67" s="21">
        <v>0.0</v>
      </c>
      <c r="W67" s="21" t="s">
        <v>53</v>
      </c>
      <c r="X67" s="21">
        <v>0.0</v>
      </c>
      <c r="Y67" s="21" t="s">
        <v>53</v>
      </c>
      <c r="Z67" s="21" t="s">
        <v>1126</v>
      </c>
      <c r="AA67" s="23" t="s">
        <v>1127</v>
      </c>
      <c r="AB67" s="23" t="b">
        <v>1</v>
      </c>
      <c r="AC67" s="21" t="s">
        <v>56</v>
      </c>
      <c r="AD67" s="21" t="s">
        <v>57</v>
      </c>
      <c r="AE67" s="21">
        <v>0.25</v>
      </c>
      <c r="AF67" s="21" t="s">
        <v>58</v>
      </c>
      <c r="AG67" s="21" t="s">
        <v>59</v>
      </c>
      <c r="AH67" s="21" t="s">
        <v>60</v>
      </c>
      <c r="AI67" s="22" t="s">
        <v>61</v>
      </c>
      <c r="AJ67" s="21" t="s">
        <v>62</v>
      </c>
      <c r="AK67" s="21" t="s">
        <v>1140</v>
      </c>
      <c r="AL67" s="21" t="s">
        <v>164</v>
      </c>
      <c r="AM67" s="21" t="s">
        <v>65</v>
      </c>
      <c r="AN67" s="23" t="s">
        <v>1172</v>
      </c>
      <c r="AO67" s="54" t="s">
        <v>1142</v>
      </c>
    </row>
    <row r="68" ht="15.0" customHeight="1">
      <c r="A68" s="20">
        <v>129.0</v>
      </c>
      <c r="B68" s="21" t="s">
        <v>1128</v>
      </c>
      <c r="C68" s="21" t="s">
        <v>1129</v>
      </c>
      <c r="D68" s="21" t="s">
        <v>1120</v>
      </c>
      <c r="E68" s="21" t="s">
        <v>1130</v>
      </c>
      <c r="F68" s="21" t="s">
        <v>1131</v>
      </c>
      <c r="G68" s="21" t="s">
        <v>1132</v>
      </c>
      <c r="H68" s="21" t="s">
        <v>1133</v>
      </c>
      <c r="I68" s="21" t="s">
        <v>1134</v>
      </c>
      <c r="J68" s="21" t="s">
        <v>1135</v>
      </c>
      <c r="K68" s="21" t="s">
        <v>1136</v>
      </c>
      <c r="L68" s="21">
        <v>1.0</v>
      </c>
      <c r="M68" s="21">
        <v>0.0</v>
      </c>
      <c r="N68" s="21">
        <v>0.11834319526627218</v>
      </c>
      <c r="O68" s="21">
        <v>0.0</v>
      </c>
      <c r="P68" s="21">
        <v>4.0</v>
      </c>
      <c r="Q68" s="21" t="s">
        <v>53</v>
      </c>
      <c r="R68" s="21">
        <v>0.0</v>
      </c>
      <c r="S68" s="21" t="s">
        <v>53</v>
      </c>
      <c r="T68" s="21">
        <v>0.0</v>
      </c>
      <c r="U68" s="21">
        <v>0.0</v>
      </c>
      <c r="V68" s="21">
        <v>0.0</v>
      </c>
      <c r="W68" s="21" t="s">
        <v>53</v>
      </c>
      <c r="X68" s="21">
        <v>0.0</v>
      </c>
      <c r="Y68" s="21" t="s">
        <v>53</v>
      </c>
      <c r="Z68" s="21" t="s">
        <v>1137</v>
      </c>
      <c r="AA68" s="23" t="s">
        <v>1138</v>
      </c>
      <c r="AB68" s="23" t="b">
        <v>1</v>
      </c>
      <c r="AC68" s="21" t="s">
        <v>57</v>
      </c>
      <c r="AD68" s="21" t="s">
        <v>57</v>
      </c>
      <c r="AE68" s="21">
        <v>0.6</v>
      </c>
      <c r="AF68" s="21" t="s">
        <v>162</v>
      </c>
      <c r="AG68" s="21" t="s">
        <v>59</v>
      </c>
      <c r="AH68" s="21" t="s">
        <v>546</v>
      </c>
      <c r="AI68" s="22" t="s">
        <v>61</v>
      </c>
      <c r="AJ68" s="21" t="s">
        <v>62</v>
      </c>
      <c r="AK68" s="21" t="s">
        <v>1140</v>
      </c>
      <c r="AL68" s="21" t="s">
        <v>64</v>
      </c>
      <c r="AM68" s="21" t="s">
        <v>65</v>
      </c>
      <c r="AN68" s="23" t="s">
        <v>1158</v>
      </c>
      <c r="AO68" s="54" t="s">
        <v>1142</v>
      </c>
    </row>
    <row r="69" ht="15.0" customHeight="1">
      <c r="A69" s="20"/>
      <c r="B69" s="21"/>
      <c r="C69" s="21"/>
      <c r="D69" s="21"/>
      <c r="E69" s="21"/>
      <c r="F69" s="21"/>
      <c r="G69" s="21"/>
      <c r="H69" s="21"/>
      <c r="I69" s="21"/>
      <c r="J69" s="21"/>
      <c r="K69" s="21"/>
      <c r="L69" s="21"/>
      <c r="M69" s="21"/>
      <c r="N69" s="21"/>
      <c r="O69" s="21">
        <f>countif(O2:O68,0)</f>
        <v>24</v>
      </c>
      <c r="P69" s="21"/>
      <c r="Q69" s="21"/>
      <c r="R69" s="21"/>
      <c r="S69" s="21"/>
      <c r="T69" s="21"/>
      <c r="U69" s="21"/>
      <c r="V69" s="21"/>
      <c r="W69" s="21"/>
      <c r="X69" s="21"/>
      <c r="Y69" s="21"/>
      <c r="Z69" s="21"/>
      <c r="AA69" s="23"/>
      <c r="AB69" s="23"/>
      <c r="AC69" s="21"/>
      <c r="AD69" s="21"/>
      <c r="AE69" s="21"/>
      <c r="AF69" s="21"/>
      <c r="AG69" s="21"/>
      <c r="AH69" s="21"/>
      <c r="AI69" s="22">
        <f>COUNTIF(AI2:AI68,"identical")</f>
        <v>62</v>
      </c>
      <c r="AJ69" s="21"/>
      <c r="AK69" s="21"/>
      <c r="AL69" s="23"/>
      <c r="AM69" s="23"/>
      <c r="AN69" s="23"/>
      <c r="AO69" s="21"/>
    </row>
    <row r="70" ht="15.0" customHeight="1">
      <c r="A70" s="20"/>
      <c r="B70" s="21"/>
      <c r="C70" s="21"/>
      <c r="D70" s="21"/>
      <c r="E70" s="21"/>
      <c r="F70" s="21"/>
      <c r="G70" s="21"/>
      <c r="H70" s="21"/>
      <c r="I70" s="21"/>
      <c r="J70" s="21"/>
      <c r="K70" s="21"/>
      <c r="L70" s="21"/>
      <c r="M70" s="21"/>
      <c r="N70" s="21"/>
      <c r="O70" s="21">
        <f>countif(O2:O68,1)</f>
        <v>11</v>
      </c>
      <c r="P70" s="21"/>
      <c r="Q70" s="21"/>
      <c r="R70" s="21"/>
      <c r="S70" s="21"/>
      <c r="T70" s="21"/>
      <c r="U70" s="21"/>
      <c r="V70" s="21"/>
      <c r="W70" s="21"/>
      <c r="X70" s="21"/>
      <c r="Y70" s="21"/>
      <c r="Z70" s="21"/>
      <c r="AA70" s="23"/>
      <c r="AB70" s="23"/>
      <c r="AC70" s="21"/>
      <c r="AD70" s="21"/>
      <c r="AE70" s="21"/>
      <c r="AF70" s="21"/>
      <c r="AG70" s="21"/>
      <c r="AH70" s="21"/>
      <c r="AI70" s="22"/>
      <c r="AJ70" s="21"/>
      <c r="AK70" s="21"/>
      <c r="AL70" s="23"/>
      <c r="AM70" s="23"/>
      <c r="AN70" s="23"/>
      <c r="AO70" s="21"/>
    </row>
    <row r="71">
      <c r="F71" s="53" t="str">
        <f t="array" ref="F71:F74">unique(AF2:AF68)</f>
        <v>no variable declaration</v>
      </c>
      <c r="H71" s="21" t="s">
        <v>58</v>
      </c>
      <c r="I71" s="53">
        <f>countif(AF2:AF68,"no variable declaration")</f>
        <v>48</v>
      </c>
      <c r="AF71" s="53" t="str">
        <f t="array" ref="AF71:AF75">unique(AG2:AG68)</f>
        <v>changed</v>
      </c>
      <c r="AG71" s="53">
        <f>countif(AG2:AG68,"changed")</f>
        <v>43</v>
      </c>
      <c r="AH71" s="53" t="str">
        <f t="array" ref="AH71:AH75">unique(AH2:AH68)</f>
        <v>no constructor</v>
      </c>
      <c r="AI71" s="22">
        <f>countif(AH2:AH68,"no constructor")</f>
        <v>52</v>
      </c>
      <c r="AK71" s="53" t="str">
        <f t="array" ref="AK71:AK74">unique(AK2:AK68)</f>
        <v>no assertion addition</v>
      </c>
      <c r="AL71" s="53">
        <f>countif(AK2:AK68,"no assertion addition")</f>
        <v>61</v>
      </c>
    </row>
    <row r="72">
      <c r="F72" s="53" t="s">
        <v>162</v>
      </c>
      <c r="H72" s="53" t="s">
        <v>162</v>
      </c>
      <c r="I72" s="53">
        <f>countif(AF2:AF68,"exact same")</f>
        <v>16</v>
      </c>
      <c r="AF72" s="53" t="s">
        <v>559</v>
      </c>
      <c r="AG72" s="53">
        <f>countif(AG2:AG68,"similar")+countif(AG2:AG68,"changed and similar")</f>
        <v>16</v>
      </c>
      <c r="AH72" s="53" t="s">
        <v>560</v>
      </c>
      <c r="AI72" s="22">
        <f>countif(A2:AH68,"constructor parameters changed in type")+countif(AH2:AH68,"constructor parameters changed in count")+countif(AH2:AH68,"constructor parameters changed in type | constructor parameters changed in count")</f>
        <v>5</v>
      </c>
      <c r="AK72" s="53" t="s">
        <v>1145</v>
      </c>
      <c r="AL72" s="53">
        <f>countif(AK2:AK68,"new attribute in assertion")</f>
        <v>1</v>
      </c>
    </row>
    <row r="73">
      <c r="F73" s="53" t="s">
        <v>559</v>
      </c>
      <c r="H73" s="53" t="s">
        <v>559</v>
      </c>
      <c r="I73" s="53">
        <f>countif(AF2:AF68,"similar")</f>
        <v>2</v>
      </c>
      <c r="AF73" s="53" t="s">
        <v>79</v>
      </c>
      <c r="AG73" s="53">
        <f>countif(AG4:AG70,"no literal value")</f>
        <v>1</v>
      </c>
      <c r="AH73" s="53" t="s">
        <v>546</v>
      </c>
      <c r="AI73" s="22"/>
      <c r="AK73" s="53" t="s">
        <v>1148</v>
      </c>
      <c r="AL73" s="53">
        <f>countif(AK2:AK68,"assertion checking added")</f>
        <v>3</v>
      </c>
    </row>
    <row r="74">
      <c r="F74" s="53" t="s">
        <v>59</v>
      </c>
      <c r="H74" s="53" t="s">
        <v>59</v>
      </c>
      <c r="I74" s="53">
        <f>countif(AF2:AF68,"changed")</f>
        <v>1</v>
      </c>
      <c r="AF74" s="53" t="s">
        <v>1159</v>
      </c>
      <c r="AG74" s="53">
        <f>countif(AG5:AG71,"exact same")</f>
        <v>7</v>
      </c>
      <c r="AH74" s="53" t="s">
        <v>209</v>
      </c>
      <c r="AI74" s="22">
        <f>countif(AH5:AH71,"same constructor")</f>
        <v>10</v>
      </c>
      <c r="AK74" s="53" t="s">
        <v>1154</v>
      </c>
      <c r="AL74" s="53">
        <f>countif(AK2:AK68,"similar assertion added")</f>
        <v>2</v>
      </c>
    </row>
    <row r="75">
      <c r="AF75" s="53" t="s">
        <v>162</v>
      </c>
      <c r="AH75" s="53" t="s">
        <v>1168</v>
      </c>
      <c r="AI75" s="22"/>
    </row>
    <row r="76">
      <c r="AI76" s="22"/>
    </row>
    <row r="77">
      <c r="AI77" s="22"/>
    </row>
    <row r="78">
      <c r="AI78" s="22"/>
    </row>
    <row r="79">
      <c r="AI79" s="22"/>
    </row>
    <row r="80">
      <c r="AI80" s="22"/>
    </row>
    <row r="81">
      <c r="AI81" s="22"/>
    </row>
    <row r="82">
      <c r="AI82" s="22"/>
    </row>
    <row r="83">
      <c r="AI83" s="22"/>
    </row>
    <row r="84">
      <c r="AI84" s="22"/>
    </row>
    <row r="85">
      <c r="AI85" s="22"/>
    </row>
    <row r="86">
      <c r="AI86" s="22"/>
    </row>
    <row r="87">
      <c r="AI87" s="22"/>
    </row>
    <row r="88">
      <c r="AI88" s="22"/>
    </row>
    <row r="89">
      <c r="AI89" s="22"/>
    </row>
    <row r="90">
      <c r="AI90" s="22"/>
    </row>
    <row r="91">
      <c r="AI91" s="22"/>
    </row>
    <row r="92">
      <c r="AI92" s="22"/>
    </row>
    <row r="93">
      <c r="AI93" s="22"/>
    </row>
    <row r="94">
      <c r="AI94" s="22"/>
    </row>
    <row r="95">
      <c r="AI95" s="22"/>
    </row>
    <row r="96">
      <c r="AI96" s="22"/>
    </row>
    <row r="97">
      <c r="AI97" s="22"/>
    </row>
    <row r="98">
      <c r="AI98" s="22"/>
    </row>
    <row r="99">
      <c r="AI99" s="22"/>
    </row>
    <row r="100">
      <c r="AI100" s="22"/>
    </row>
    <row r="101">
      <c r="AI101" s="22"/>
    </row>
    <row r="102">
      <c r="AI102" s="22"/>
    </row>
    <row r="103">
      <c r="AI103" s="22"/>
    </row>
    <row r="104">
      <c r="AI104" s="22"/>
    </row>
    <row r="105">
      <c r="AI105" s="22"/>
    </row>
    <row r="106">
      <c r="AI106" s="22"/>
    </row>
    <row r="107">
      <c r="AI107" s="22"/>
    </row>
    <row r="108">
      <c r="AI108" s="22"/>
    </row>
    <row r="109">
      <c r="AI109" s="22"/>
    </row>
    <row r="110">
      <c r="AI110" s="22"/>
    </row>
    <row r="111">
      <c r="AI111" s="22"/>
    </row>
    <row r="112">
      <c r="AI112" s="22"/>
    </row>
    <row r="113">
      <c r="AI113" s="22"/>
    </row>
    <row r="114">
      <c r="AI114" s="22"/>
    </row>
    <row r="115">
      <c r="AI115" s="22"/>
    </row>
    <row r="116">
      <c r="AI116" s="22"/>
    </row>
    <row r="117">
      <c r="AI117" s="22"/>
    </row>
    <row r="118">
      <c r="AI118" s="22"/>
    </row>
    <row r="119">
      <c r="AI119" s="22"/>
    </row>
    <row r="120">
      <c r="AI120" s="22"/>
    </row>
    <row r="121">
      <c r="AI121" s="22"/>
    </row>
    <row r="122">
      <c r="AI122" s="22"/>
    </row>
    <row r="123">
      <c r="AI123" s="22"/>
    </row>
    <row r="124">
      <c r="AI124" s="22"/>
    </row>
    <row r="125">
      <c r="AI125" s="22"/>
    </row>
    <row r="126">
      <c r="AI126" s="22"/>
    </row>
    <row r="127">
      <c r="AI127" s="22"/>
    </row>
    <row r="128">
      <c r="AI128" s="22"/>
    </row>
    <row r="129">
      <c r="AI129" s="22"/>
    </row>
    <row r="130">
      <c r="AI130" s="22"/>
    </row>
    <row r="131">
      <c r="AI131" s="22"/>
    </row>
    <row r="132">
      <c r="AI132" s="22"/>
    </row>
    <row r="133">
      <c r="AI133" s="22"/>
    </row>
    <row r="134">
      <c r="AI134" s="22"/>
    </row>
    <row r="135">
      <c r="AI135" s="22"/>
    </row>
    <row r="136">
      <c r="AI136" s="22"/>
    </row>
    <row r="137">
      <c r="AI137" s="22"/>
    </row>
    <row r="138">
      <c r="AI138" s="22"/>
    </row>
    <row r="139">
      <c r="AI139" s="22"/>
    </row>
    <row r="140">
      <c r="AI140" s="22"/>
    </row>
    <row r="141">
      <c r="AI141" s="22"/>
    </row>
    <row r="142">
      <c r="AI142" s="22"/>
    </row>
    <row r="143">
      <c r="AI143" s="22"/>
    </row>
    <row r="144">
      <c r="AI144" s="22"/>
    </row>
    <row r="145">
      <c r="AI145" s="22"/>
    </row>
    <row r="146">
      <c r="AI146" s="22"/>
    </row>
    <row r="147">
      <c r="AI147" s="22"/>
    </row>
    <row r="148">
      <c r="AI148" s="22"/>
    </row>
    <row r="149">
      <c r="AI149" s="22"/>
    </row>
    <row r="150">
      <c r="AI150" s="22"/>
    </row>
    <row r="151">
      <c r="AI151" s="22"/>
    </row>
    <row r="152">
      <c r="AI152" s="22"/>
    </row>
    <row r="153">
      <c r="AI153" s="22"/>
    </row>
    <row r="154">
      <c r="AI154" s="22"/>
    </row>
    <row r="155">
      <c r="AI155" s="22"/>
    </row>
    <row r="156">
      <c r="AI156" s="22"/>
    </row>
    <row r="157">
      <c r="AI157" s="22"/>
    </row>
    <row r="158">
      <c r="AI158" s="22"/>
    </row>
    <row r="159">
      <c r="AI159" s="22"/>
    </row>
    <row r="160">
      <c r="AI160" s="22"/>
    </row>
    <row r="161">
      <c r="AI161" s="22"/>
    </row>
    <row r="162">
      <c r="AI162" s="22"/>
    </row>
    <row r="163">
      <c r="AI163" s="22"/>
    </row>
    <row r="164">
      <c r="AI164" s="22"/>
    </row>
    <row r="165">
      <c r="AI165" s="22"/>
    </row>
    <row r="166">
      <c r="AI166" s="22"/>
    </row>
    <row r="167">
      <c r="AI167" s="22"/>
    </row>
    <row r="168">
      <c r="AI168" s="22"/>
    </row>
    <row r="169">
      <c r="AI169" s="22"/>
    </row>
    <row r="170">
      <c r="AI170" s="22"/>
    </row>
    <row r="171">
      <c r="AI171" s="22"/>
    </row>
    <row r="172">
      <c r="AI172" s="22"/>
    </row>
    <row r="173">
      <c r="AI173" s="22"/>
    </row>
    <row r="174">
      <c r="AI174" s="22"/>
    </row>
    <row r="175">
      <c r="AI175" s="22"/>
    </row>
    <row r="176">
      <c r="AI176" s="22"/>
    </row>
    <row r="177">
      <c r="AI177" s="22"/>
    </row>
    <row r="178">
      <c r="AI178" s="22"/>
    </row>
    <row r="179">
      <c r="AI179" s="22"/>
    </row>
    <row r="180">
      <c r="AI180" s="22"/>
    </row>
    <row r="181">
      <c r="AI181" s="22"/>
    </row>
    <row r="182">
      <c r="AI182" s="22"/>
    </row>
    <row r="183">
      <c r="AI183" s="22"/>
    </row>
    <row r="184">
      <c r="AI184" s="22"/>
    </row>
    <row r="185">
      <c r="AI185" s="22"/>
    </row>
    <row r="186">
      <c r="AI186" s="22"/>
    </row>
    <row r="187">
      <c r="AI187" s="22"/>
    </row>
    <row r="188">
      <c r="AI188" s="22"/>
    </row>
    <row r="189">
      <c r="AI189" s="22"/>
    </row>
    <row r="190">
      <c r="AI190" s="22"/>
    </row>
    <row r="191">
      <c r="AI191" s="22"/>
    </row>
    <row r="192">
      <c r="AI192" s="22"/>
    </row>
    <row r="193">
      <c r="AI193" s="22"/>
    </row>
    <row r="194">
      <c r="AI194" s="22"/>
    </row>
    <row r="195">
      <c r="AI195" s="22"/>
    </row>
    <row r="196">
      <c r="AI196" s="22"/>
    </row>
    <row r="197">
      <c r="AI197" s="22"/>
    </row>
    <row r="198">
      <c r="AI198" s="22"/>
    </row>
    <row r="199">
      <c r="AI199" s="22"/>
    </row>
    <row r="200">
      <c r="AI200" s="22"/>
    </row>
    <row r="201">
      <c r="AI201" s="22"/>
    </row>
    <row r="202">
      <c r="AI202" s="22"/>
    </row>
    <row r="203">
      <c r="AI203" s="22"/>
    </row>
    <row r="204">
      <c r="AI204" s="22"/>
    </row>
    <row r="205">
      <c r="AI205" s="22"/>
    </row>
    <row r="206">
      <c r="AI206" s="22"/>
    </row>
    <row r="207">
      <c r="AI207" s="22"/>
    </row>
    <row r="208">
      <c r="AI208" s="22"/>
    </row>
    <row r="209">
      <c r="AI209" s="22"/>
    </row>
    <row r="210">
      <c r="AI210" s="22"/>
    </row>
    <row r="211">
      <c r="AI211" s="22"/>
    </row>
    <row r="212">
      <c r="AI212" s="22"/>
    </row>
    <row r="213">
      <c r="AI213" s="22"/>
    </row>
    <row r="214">
      <c r="AI214" s="22"/>
    </row>
    <row r="215">
      <c r="AI215" s="22"/>
    </row>
    <row r="216">
      <c r="AI216" s="22"/>
    </row>
    <row r="217">
      <c r="AI217" s="22"/>
    </row>
    <row r="218">
      <c r="AI218" s="22"/>
    </row>
    <row r="219">
      <c r="AI219" s="22"/>
    </row>
    <row r="220">
      <c r="AI220" s="22"/>
    </row>
    <row r="221">
      <c r="AI221" s="22"/>
    </row>
    <row r="222">
      <c r="AI222" s="22"/>
    </row>
    <row r="223">
      <c r="AI223" s="22"/>
    </row>
    <row r="224">
      <c r="AI224" s="22"/>
    </row>
    <row r="225">
      <c r="AI225" s="22"/>
    </row>
    <row r="226">
      <c r="AI226" s="22"/>
    </row>
    <row r="227">
      <c r="AI227" s="22"/>
    </row>
    <row r="228">
      <c r="AI228" s="22"/>
    </row>
    <row r="229">
      <c r="AI229" s="22"/>
    </row>
    <row r="230">
      <c r="AI230" s="22"/>
    </row>
    <row r="231">
      <c r="AI231" s="22"/>
    </row>
    <row r="232">
      <c r="AI232" s="22"/>
    </row>
    <row r="233">
      <c r="AI233" s="22"/>
    </row>
    <row r="234">
      <c r="AI234" s="22"/>
    </row>
    <row r="235">
      <c r="AI235" s="22"/>
    </row>
    <row r="236">
      <c r="AI236" s="22"/>
    </row>
    <row r="237">
      <c r="AI237" s="22"/>
    </row>
    <row r="238">
      <c r="AI238" s="22"/>
    </row>
    <row r="239">
      <c r="AI239" s="22"/>
    </row>
    <row r="240">
      <c r="AI240" s="22"/>
    </row>
    <row r="241">
      <c r="AI241" s="22"/>
    </row>
    <row r="242">
      <c r="AI242" s="22"/>
    </row>
    <row r="243">
      <c r="AI243" s="22"/>
    </row>
    <row r="244">
      <c r="AI244" s="22"/>
    </row>
    <row r="245">
      <c r="AI245" s="22"/>
    </row>
    <row r="246">
      <c r="AI246" s="22"/>
    </row>
    <row r="247">
      <c r="AI247" s="22"/>
    </row>
    <row r="248">
      <c r="AI248" s="22"/>
    </row>
    <row r="249">
      <c r="AI249" s="22"/>
    </row>
    <row r="250">
      <c r="AI250" s="22"/>
    </row>
    <row r="251">
      <c r="AI251" s="22"/>
    </row>
    <row r="252">
      <c r="AI252" s="22"/>
    </row>
    <row r="253">
      <c r="AI253" s="22"/>
    </row>
    <row r="254">
      <c r="AI254" s="22"/>
    </row>
    <row r="255">
      <c r="AI255" s="22"/>
    </row>
    <row r="256">
      <c r="AI256" s="22"/>
    </row>
    <row r="257">
      <c r="AI257" s="22"/>
    </row>
    <row r="258">
      <c r="AI258" s="22"/>
    </row>
    <row r="259">
      <c r="AI259" s="22"/>
    </row>
    <row r="260">
      <c r="AI260" s="22"/>
    </row>
    <row r="261">
      <c r="AI261" s="22"/>
    </row>
    <row r="262">
      <c r="AI262" s="22"/>
    </row>
    <row r="263">
      <c r="AI263" s="22"/>
    </row>
    <row r="264">
      <c r="AI264" s="22"/>
    </row>
    <row r="265">
      <c r="AI265" s="22"/>
    </row>
    <row r="266">
      <c r="AI266" s="22"/>
    </row>
    <row r="267">
      <c r="AI267" s="22"/>
    </row>
    <row r="268">
      <c r="AI268" s="22"/>
    </row>
    <row r="269">
      <c r="AI269" s="22"/>
    </row>
    <row r="270">
      <c r="AI270" s="22"/>
    </row>
    <row r="271">
      <c r="AI271" s="22"/>
    </row>
    <row r="272">
      <c r="AI272" s="22"/>
    </row>
    <row r="273">
      <c r="AI273" s="22"/>
    </row>
    <row r="274">
      <c r="AI274" s="22"/>
    </row>
    <row r="275">
      <c r="AI275" s="22"/>
    </row>
    <row r="276">
      <c r="AI276" s="22"/>
    </row>
    <row r="277">
      <c r="AI277" s="22"/>
    </row>
    <row r="278">
      <c r="AI278" s="22"/>
    </row>
    <row r="279">
      <c r="AI279" s="22"/>
    </row>
    <row r="280">
      <c r="AI280" s="22"/>
    </row>
    <row r="281">
      <c r="AI281" s="22"/>
    </row>
    <row r="282">
      <c r="AI282" s="22"/>
    </row>
    <row r="283">
      <c r="AI283" s="22"/>
    </row>
    <row r="284">
      <c r="AI284" s="22"/>
    </row>
    <row r="285">
      <c r="AI285" s="22"/>
    </row>
    <row r="286">
      <c r="AI286" s="22"/>
    </row>
    <row r="287">
      <c r="AI287" s="22"/>
    </row>
    <row r="288">
      <c r="AI288" s="22"/>
    </row>
    <row r="289">
      <c r="AI289" s="22"/>
    </row>
    <row r="290">
      <c r="AI290" s="22"/>
    </row>
    <row r="291">
      <c r="AI291" s="22"/>
    </row>
    <row r="292">
      <c r="AI292" s="22"/>
    </row>
    <row r="293">
      <c r="AI293" s="22"/>
    </row>
    <row r="294">
      <c r="AI294" s="22"/>
    </row>
    <row r="295">
      <c r="AI295" s="22"/>
    </row>
    <row r="296">
      <c r="AI296" s="22"/>
    </row>
    <row r="297">
      <c r="AI297" s="22"/>
    </row>
    <row r="298">
      <c r="AI298" s="22"/>
    </row>
    <row r="299">
      <c r="AI299" s="22"/>
    </row>
    <row r="300">
      <c r="AI300" s="22"/>
    </row>
    <row r="301">
      <c r="AI301" s="22"/>
    </row>
    <row r="302">
      <c r="AI302" s="22"/>
    </row>
    <row r="303">
      <c r="AI303" s="22"/>
    </row>
    <row r="304">
      <c r="AI304" s="22"/>
    </row>
    <row r="305">
      <c r="AI305" s="22"/>
    </row>
    <row r="306">
      <c r="AI306" s="22"/>
    </row>
    <row r="307">
      <c r="AI307" s="22"/>
    </row>
    <row r="308">
      <c r="AI308" s="22"/>
    </row>
    <row r="309">
      <c r="AI309" s="22"/>
    </row>
    <row r="310">
      <c r="AI310" s="22"/>
    </row>
    <row r="311">
      <c r="AI311" s="22"/>
    </row>
    <row r="312">
      <c r="AI312" s="22"/>
    </row>
    <row r="313">
      <c r="AI313" s="22"/>
    </row>
    <row r="314">
      <c r="AI314" s="22"/>
    </row>
    <row r="315">
      <c r="AI315" s="22"/>
    </row>
    <row r="316">
      <c r="AI316" s="22"/>
    </row>
    <row r="317">
      <c r="AI317" s="22"/>
    </row>
    <row r="318">
      <c r="AI318" s="22"/>
    </row>
    <row r="319">
      <c r="AI319" s="22"/>
    </row>
    <row r="320">
      <c r="AI320" s="22"/>
    </row>
    <row r="321">
      <c r="AI321" s="22"/>
    </row>
    <row r="322">
      <c r="AI322" s="22"/>
    </row>
    <row r="323">
      <c r="AI323" s="22"/>
    </row>
    <row r="324">
      <c r="AI324" s="22"/>
    </row>
    <row r="325">
      <c r="AI325" s="22"/>
    </row>
    <row r="326">
      <c r="AI326" s="22"/>
    </row>
    <row r="327">
      <c r="AI327" s="22"/>
    </row>
    <row r="328">
      <c r="AI328" s="22"/>
    </row>
    <row r="329">
      <c r="AI329" s="22"/>
    </row>
    <row r="330">
      <c r="AI330" s="22"/>
    </row>
    <row r="331">
      <c r="AI331" s="22"/>
    </row>
    <row r="332">
      <c r="AI332" s="22"/>
    </row>
    <row r="333">
      <c r="AI333" s="22"/>
    </row>
    <row r="334">
      <c r="AI334" s="22"/>
    </row>
    <row r="335">
      <c r="AI335" s="22"/>
    </row>
    <row r="336">
      <c r="AI336" s="22"/>
    </row>
    <row r="337">
      <c r="AI337" s="22"/>
    </row>
    <row r="338">
      <c r="AI338" s="22"/>
    </row>
    <row r="339">
      <c r="AI339" s="22"/>
    </row>
    <row r="340">
      <c r="AI340" s="22"/>
    </row>
    <row r="341">
      <c r="AI341" s="22"/>
    </row>
    <row r="342">
      <c r="AI342" s="22"/>
    </row>
    <row r="343">
      <c r="AI343" s="22"/>
    </row>
    <row r="344">
      <c r="AI344" s="22"/>
    </row>
    <row r="345">
      <c r="AI345" s="22"/>
    </row>
    <row r="346">
      <c r="AI346" s="22"/>
    </row>
    <row r="347">
      <c r="AI347" s="22"/>
    </row>
    <row r="348">
      <c r="AI348" s="22"/>
    </row>
    <row r="349">
      <c r="AI349" s="22"/>
    </row>
    <row r="350">
      <c r="AI350" s="22"/>
    </row>
    <row r="351">
      <c r="AI351" s="22"/>
    </row>
    <row r="352">
      <c r="AI352" s="22"/>
    </row>
    <row r="353">
      <c r="AI353" s="22"/>
    </row>
    <row r="354">
      <c r="AI354" s="22"/>
    </row>
    <row r="355">
      <c r="AI355" s="22"/>
    </row>
    <row r="356">
      <c r="AI356" s="22"/>
    </row>
    <row r="357">
      <c r="AI357" s="22"/>
    </row>
    <row r="358">
      <c r="AI358" s="22"/>
    </row>
    <row r="359">
      <c r="AI359" s="22"/>
    </row>
    <row r="360">
      <c r="AI360" s="22"/>
    </row>
    <row r="361">
      <c r="AI361" s="22"/>
    </row>
    <row r="362">
      <c r="AI362" s="22"/>
    </row>
    <row r="363">
      <c r="AI363" s="22"/>
    </row>
    <row r="364">
      <c r="AI364" s="22"/>
    </row>
    <row r="365">
      <c r="AI365" s="22"/>
    </row>
    <row r="366">
      <c r="AI366" s="22"/>
    </row>
    <row r="367">
      <c r="AI367" s="22"/>
    </row>
    <row r="368">
      <c r="AI368" s="22"/>
    </row>
    <row r="369">
      <c r="AI369" s="22"/>
    </row>
    <row r="370">
      <c r="AI370" s="22"/>
    </row>
    <row r="371">
      <c r="AI371" s="22"/>
    </row>
    <row r="372">
      <c r="AI372" s="22"/>
    </row>
    <row r="373">
      <c r="AI373" s="22"/>
    </row>
    <row r="374">
      <c r="AI374" s="22"/>
    </row>
    <row r="375">
      <c r="AI375" s="22"/>
    </row>
    <row r="376">
      <c r="AI376" s="22"/>
    </row>
    <row r="377">
      <c r="AI377" s="22"/>
    </row>
    <row r="378">
      <c r="AI378" s="22"/>
    </row>
    <row r="379">
      <c r="AI379" s="22"/>
    </row>
    <row r="380">
      <c r="AI380" s="22"/>
    </row>
    <row r="381">
      <c r="AI381" s="22"/>
    </row>
    <row r="382">
      <c r="AI382" s="22"/>
    </row>
    <row r="383">
      <c r="AI383" s="22"/>
    </row>
    <row r="384">
      <c r="AI384" s="22"/>
    </row>
    <row r="385">
      <c r="AI385" s="22"/>
    </row>
    <row r="386">
      <c r="AI386" s="22"/>
    </row>
    <row r="387">
      <c r="AI387" s="22"/>
    </row>
    <row r="388">
      <c r="AI388" s="22"/>
    </row>
    <row r="389">
      <c r="AI389" s="22"/>
    </row>
    <row r="390">
      <c r="AI390" s="22"/>
    </row>
    <row r="391">
      <c r="AI391" s="22"/>
    </row>
    <row r="392">
      <c r="AI392" s="22"/>
    </row>
    <row r="393">
      <c r="AI393" s="22"/>
    </row>
    <row r="394">
      <c r="AI394" s="22"/>
    </row>
    <row r="395">
      <c r="AI395" s="22"/>
    </row>
    <row r="396">
      <c r="AI396" s="22"/>
    </row>
    <row r="397">
      <c r="AI397" s="22"/>
    </row>
    <row r="398">
      <c r="AI398" s="22"/>
    </row>
    <row r="399">
      <c r="AI399" s="22"/>
    </row>
    <row r="400">
      <c r="AI400" s="22"/>
    </row>
    <row r="401">
      <c r="AI401" s="22"/>
    </row>
    <row r="402">
      <c r="AI402" s="22"/>
    </row>
    <row r="403">
      <c r="AI403" s="22"/>
    </row>
    <row r="404">
      <c r="AI404" s="22"/>
    </row>
    <row r="405">
      <c r="AI405" s="22"/>
    </row>
    <row r="406">
      <c r="AI406" s="22"/>
    </row>
    <row r="407">
      <c r="AI407" s="22"/>
    </row>
    <row r="408">
      <c r="AI408" s="22"/>
    </row>
    <row r="409">
      <c r="AI409" s="22"/>
    </row>
    <row r="410">
      <c r="AI410" s="22"/>
    </row>
    <row r="411">
      <c r="AI411" s="22"/>
    </row>
    <row r="412">
      <c r="AI412" s="22"/>
    </row>
    <row r="413">
      <c r="AI413" s="22"/>
    </row>
    <row r="414">
      <c r="AI414" s="22"/>
    </row>
    <row r="415">
      <c r="AI415" s="22"/>
    </row>
    <row r="416">
      <c r="AI416" s="22"/>
    </row>
    <row r="417">
      <c r="AI417" s="22"/>
    </row>
    <row r="418">
      <c r="AI418" s="22"/>
    </row>
    <row r="419">
      <c r="AI419" s="22"/>
    </row>
    <row r="420">
      <c r="AI420" s="22"/>
    </row>
    <row r="421">
      <c r="AI421" s="22"/>
    </row>
    <row r="422">
      <c r="AI422" s="22"/>
    </row>
    <row r="423">
      <c r="AI423" s="22"/>
    </row>
    <row r="424">
      <c r="AI424" s="22"/>
    </row>
    <row r="425">
      <c r="AI425" s="22"/>
    </row>
    <row r="426">
      <c r="AI426" s="22"/>
    </row>
    <row r="427">
      <c r="AI427" s="22"/>
    </row>
    <row r="428">
      <c r="AI428" s="22"/>
    </row>
    <row r="429">
      <c r="AI429" s="22"/>
    </row>
    <row r="430">
      <c r="AI430" s="22"/>
    </row>
    <row r="431">
      <c r="AI431" s="22"/>
    </row>
    <row r="432">
      <c r="AI432" s="22"/>
    </row>
    <row r="433">
      <c r="AI433" s="22"/>
    </row>
    <row r="434">
      <c r="AI434" s="22"/>
    </row>
    <row r="435">
      <c r="AI435" s="22"/>
    </row>
    <row r="436">
      <c r="AI436" s="22"/>
    </row>
    <row r="437">
      <c r="AI437" s="22"/>
    </row>
    <row r="438">
      <c r="AI438" s="22"/>
    </row>
    <row r="439">
      <c r="AI439" s="22"/>
    </row>
    <row r="440">
      <c r="AI440" s="22"/>
    </row>
    <row r="441">
      <c r="AI441" s="22"/>
    </row>
    <row r="442">
      <c r="AI442" s="22"/>
    </row>
    <row r="443">
      <c r="AI443" s="22"/>
    </row>
    <row r="444">
      <c r="AI444" s="22"/>
    </row>
    <row r="445">
      <c r="AI445" s="22"/>
    </row>
    <row r="446">
      <c r="AI446" s="22"/>
    </row>
    <row r="447">
      <c r="AI447" s="22"/>
    </row>
    <row r="448">
      <c r="AI448" s="22"/>
    </row>
    <row r="449">
      <c r="AI449" s="22"/>
    </row>
    <row r="450">
      <c r="AI450" s="22"/>
    </row>
    <row r="451">
      <c r="AI451" s="22"/>
    </row>
    <row r="452">
      <c r="AI452" s="22"/>
    </row>
    <row r="453">
      <c r="AI453" s="22"/>
    </row>
    <row r="454">
      <c r="AI454" s="22"/>
    </row>
    <row r="455">
      <c r="AI455" s="22"/>
    </row>
    <row r="456">
      <c r="AI456" s="22"/>
    </row>
    <row r="457">
      <c r="AI457" s="22"/>
    </row>
    <row r="458">
      <c r="AI458" s="22"/>
    </row>
    <row r="459">
      <c r="AI459" s="22"/>
    </row>
    <row r="460">
      <c r="AI460" s="22"/>
    </row>
    <row r="461">
      <c r="AI461" s="22"/>
    </row>
    <row r="462">
      <c r="AI462" s="22"/>
    </row>
    <row r="463">
      <c r="AI463" s="22"/>
    </row>
    <row r="464">
      <c r="AI464" s="22"/>
    </row>
    <row r="465">
      <c r="AI465" s="22"/>
    </row>
    <row r="466">
      <c r="AI466" s="22"/>
    </row>
    <row r="467">
      <c r="AI467" s="22"/>
    </row>
    <row r="468">
      <c r="AI468" s="22"/>
    </row>
    <row r="469">
      <c r="AI469" s="22"/>
    </row>
    <row r="470">
      <c r="AI470" s="22"/>
    </row>
    <row r="471">
      <c r="AI471" s="22"/>
    </row>
    <row r="472">
      <c r="AI472" s="22"/>
    </row>
    <row r="473">
      <c r="AI473" s="22"/>
    </row>
    <row r="474">
      <c r="AI474" s="22"/>
    </row>
    <row r="475">
      <c r="AI475" s="22"/>
    </row>
    <row r="476">
      <c r="AI476" s="22"/>
    </row>
    <row r="477">
      <c r="AI477" s="22"/>
    </row>
    <row r="478">
      <c r="AI478" s="22"/>
    </row>
    <row r="479">
      <c r="AI479" s="22"/>
    </row>
    <row r="480">
      <c r="AI480" s="22"/>
    </row>
    <row r="481">
      <c r="AI481" s="22"/>
    </row>
    <row r="482">
      <c r="AI482" s="22"/>
    </row>
    <row r="483">
      <c r="AI483" s="22"/>
    </row>
    <row r="484">
      <c r="AI484" s="22"/>
    </row>
    <row r="485">
      <c r="AI485" s="22"/>
    </row>
    <row r="486">
      <c r="AI486" s="22"/>
    </row>
    <row r="487">
      <c r="AI487" s="22"/>
    </row>
    <row r="488">
      <c r="AI488" s="22"/>
    </row>
    <row r="489">
      <c r="AI489" s="22"/>
    </row>
    <row r="490">
      <c r="AI490" s="22"/>
    </row>
    <row r="491">
      <c r="AI491" s="22"/>
    </row>
    <row r="492">
      <c r="AI492" s="22"/>
    </row>
    <row r="493">
      <c r="AI493" s="22"/>
    </row>
    <row r="494">
      <c r="AI494" s="22"/>
    </row>
    <row r="495">
      <c r="AI495" s="22"/>
    </row>
    <row r="496">
      <c r="AI496" s="22"/>
    </row>
    <row r="497">
      <c r="AI497" s="22"/>
    </row>
    <row r="498">
      <c r="AI498" s="22"/>
    </row>
    <row r="499">
      <c r="AI499" s="22"/>
    </row>
    <row r="500">
      <c r="AI500" s="22"/>
    </row>
    <row r="501">
      <c r="AI501" s="22"/>
    </row>
    <row r="502">
      <c r="AI502" s="22"/>
    </row>
    <row r="503">
      <c r="AI503" s="22"/>
    </row>
    <row r="504">
      <c r="AI504" s="22"/>
    </row>
    <row r="505">
      <c r="AI505" s="22"/>
    </row>
    <row r="506">
      <c r="AI506" s="22"/>
    </row>
    <row r="507">
      <c r="AI507" s="22"/>
    </row>
    <row r="508">
      <c r="AI508" s="22"/>
    </row>
    <row r="509">
      <c r="AI509" s="22"/>
    </row>
    <row r="510">
      <c r="AI510" s="22"/>
    </row>
    <row r="511">
      <c r="AI511" s="22"/>
    </row>
    <row r="512">
      <c r="AI512" s="22"/>
    </row>
    <row r="513">
      <c r="AI513" s="22"/>
    </row>
    <row r="514">
      <c r="AI514" s="22"/>
    </row>
    <row r="515">
      <c r="AI515" s="22"/>
    </row>
    <row r="516">
      <c r="AI516" s="22"/>
    </row>
    <row r="517">
      <c r="AI517" s="22"/>
    </row>
    <row r="518">
      <c r="AI518" s="22"/>
    </row>
    <row r="519">
      <c r="AI519" s="22"/>
    </row>
    <row r="520">
      <c r="AI520" s="22"/>
    </row>
    <row r="521">
      <c r="AI521" s="22"/>
    </row>
    <row r="522">
      <c r="AI522" s="22"/>
    </row>
    <row r="523">
      <c r="AI523" s="22"/>
    </row>
    <row r="524">
      <c r="AI524" s="22"/>
    </row>
    <row r="525">
      <c r="AI525" s="22"/>
    </row>
    <row r="526">
      <c r="AI526" s="22"/>
    </row>
    <row r="527">
      <c r="AI527" s="22"/>
    </row>
    <row r="528">
      <c r="AI528" s="22"/>
    </row>
    <row r="529">
      <c r="AI529" s="22"/>
    </row>
    <row r="530">
      <c r="AI530" s="22"/>
    </row>
    <row r="531">
      <c r="AI531" s="22"/>
    </row>
    <row r="532">
      <c r="AI532" s="22"/>
    </row>
    <row r="533">
      <c r="AI533" s="22"/>
    </row>
    <row r="534">
      <c r="AI534" s="22"/>
    </row>
    <row r="535">
      <c r="AI535" s="22"/>
    </row>
    <row r="536">
      <c r="AI536" s="22"/>
    </row>
    <row r="537">
      <c r="AI537" s="22"/>
    </row>
    <row r="538">
      <c r="AI538" s="22"/>
    </row>
    <row r="539">
      <c r="AI539" s="22"/>
    </row>
    <row r="540">
      <c r="AI540" s="22"/>
    </row>
    <row r="541">
      <c r="AI541" s="22"/>
    </row>
    <row r="542">
      <c r="AI542" s="22"/>
    </row>
    <row r="543">
      <c r="AI543" s="22"/>
    </row>
    <row r="544">
      <c r="AI544" s="22"/>
    </row>
    <row r="545">
      <c r="AI545" s="22"/>
    </row>
    <row r="546">
      <c r="AI546" s="22"/>
    </row>
    <row r="547">
      <c r="AI547" s="22"/>
    </row>
    <row r="548">
      <c r="AI548" s="22"/>
    </row>
    <row r="549">
      <c r="AI549" s="22"/>
    </row>
    <row r="550">
      <c r="AI550" s="22"/>
    </row>
    <row r="551">
      <c r="AI551" s="22"/>
    </row>
    <row r="552">
      <c r="AI552" s="22"/>
    </row>
    <row r="553">
      <c r="AI553" s="22"/>
    </row>
    <row r="554">
      <c r="AI554" s="22"/>
    </row>
    <row r="555">
      <c r="AI555" s="22"/>
    </row>
    <row r="556">
      <c r="AI556" s="22"/>
    </row>
    <row r="557">
      <c r="AI557" s="22"/>
    </row>
    <row r="558">
      <c r="AI558" s="22"/>
    </row>
    <row r="559">
      <c r="AI559" s="22"/>
    </row>
    <row r="560">
      <c r="AI560" s="22"/>
    </row>
    <row r="561">
      <c r="AI561" s="22"/>
    </row>
    <row r="562">
      <c r="AI562" s="22"/>
    </row>
    <row r="563">
      <c r="AI563" s="22"/>
    </row>
    <row r="564">
      <c r="AI564" s="22"/>
    </row>
    <row r="565">
      <c r="AI565" s="22"/>
    </row>
    <row r="566">
      <c r="AI566" s="22"/>
    </row>
    <row r="567">
      <c r="AI567" s="22"/>
    </row>
    <row r="568">
      <c r="AI568" s="22"/>
    </row>
    <row r="569">
      <c r="AI569" s="22"/>
    </row>
    <row r="570">
      <c r="AI570" s="22"/>
    </row>
    <row r="571">
      <c r="AI571" s="22"/>
    </row>
    <row r="572">
      <c r="AI572" s="22"/>
    </row>
    <row r="573">
      <c r="AI573" s="22"/>
    </row>
    <row r="574">
      <c r="AI574" s="22"/>
    </row>
    <row r="575">
      <c r="AI575" s="22"/>
    </row>
    <row r="576">
      <c r="AI576" s="22"/>
    </row>
    <row r="577">
      <c r="AI577" s="22"/>
    </row>
    <row r="578">
      <c r="AI578" s="22"/>
    </row>
    <row r="579">
      <c r="AI579" s="22"/>
    </row>
    <row r="580">
      <c r="AI580" s="22"/>
    </row>
    <row r="581">
      <c r="AI581" s="22"/>
    </row>
    <row r="582">
      <c r="AI582" s="22"/>
    </row>
    <row r="583">
      <c r="AI583" s="22"/>
    </row>
    <row r="584">
      <c r="AI584" s="22"/>
    </row>
    <row r="585">
      <c r="AI585" s="22"/>
    </row>
    <row r="586">
      <c r="AI586" s="22"/>
    </row>
    <row r="587">
      <c r="AI587" s="22"/>
    </row>
    <row r="588">
      <c r="AI588" s="22"/>
    </row>
    <row r="589">
      <c r="AI589" s="22"/>
    </row>
    <row r="590">
      <c r="AI590" s="22"/>
    </row>
    <row r="591">
      <c r="AI591" s="22"/>
    </row>
    <row r="592">
      <c r="AI592" s="22"/>
    </row>
    <row r="593">
      <c r="AI593" s="22"/>
    </row>
    <row r="594">
      <c r="AI594" s="22"/>
    </row>
    <row r="595">
      <c r="AI595" s="22"/>
    </row>
    <row r="596">
      <c r="AI596" s="22"/>
    </row>
    <row r="597">
      <c r="AI597" s="22"/>
    </row>
    <row r="598">
      <c r="AI598" s="22"/>
    </row>
    <row r="599">
      <c r="AI599" s="22"/>
    </row>
    <row r="600">
      <c r="AI600" s="22"/>
    </row>
    <row r="601">
      <c r="AI601" s="22"/>
    </row>
    <row r="602">
      <c r="AI602" s="22"/>
    </row>
    <row r="603">
      <c r="AI603" s="22"/>
    </row>
    <row r="604">
      <c r="AI604" s="22"/>
    </row>
    <row r="605">
      <c r="AI605" s="22"/>
    </row>
    <row r="606">
      <c r="AI606" s="22"/>
    </row>
    <row r="607">
      <c r="AI607" s="22"/>
    </row>
    <row r="608">
      <c r="AI608" s="22"/>
    </row>
    <row r="609">
      <c r="AI609" s="22"/>
    </row>
    <row r="610">
      <c r="AI610" s="22"/>
    </row>
    <row r="611">
      <c r="AI611" s="22"/>
    </row>
    <row r="612">
      <c r="AI612" s="22"/>
    </row>
    <row r="613">
      <c r="AI613" s="22"/>
    </row>
    <row r="614">
      <c r="AI614" s="22"/>
    </row>
    <row r="615">
      <c r="AI615" s="22"/>
    </row>
    <row r="616">
      <c r="AI616" s="22"/>
    </row>
    <row r="617">
      <c r="AI617" s="22"/>
    </row>
    <row r="618">
      <c r="AI618" s="22"/>
    </row>
    <row r="619">
      <c r="AI619" s="22"/>
    </row>
    <row r="620">
      <c r="AI620" s="22"/>
    </row>
    <row r="621">
      <c r="AI621" s="22"/>
    </row>
    <row r="622">
      <c r="AI622" s="22"/>
    </row>
    <row r="623">
      <c r="AI623" s="22"/>
    </row>
    <row r="624">
      <c r="AI624" s="22"/>
    </row>
    <row r="625">
      <c r="AI625" s="22"/>
    </row>
    <row r="626">
      <c r="AI626" s="22"/>
    </row>
    <row r="627">
      <c r="AI627" s="22"/>
    </row>
    <row r="628">
      <c r="AI628" s="22"/>
    </row>
    <row r="629">
      <c r="AI629" s="22"/>
    </row>
    <row r="630">
      <c r="AI630" s="22"/>
    </row>
    <row r="631">
      <c r="AI631" s="22"/>
    </row>
    <row r="632">
      <c r="AI632" s="22"/>
    </row>
    <row r="633">
      <c r="AI633" s="22"/>
    </row>
    <row r="634">
      <c r="AI634" s="22"/>
    </row>
    <row r="635">
      <c r="AI635" s="22"/>
    </row>
    <row r="636">
      <c r="AI636" s="22"/>
    </row>
    <row r="637">
      <c r="AI637" s="22"/>
    </row>
    <row r="638">
      <c r="AI638" s="22"/>
    </row>
    <row r="639">
      <c r="AI639" s="22"/>
    </row>
    <row r="640">
      <c r="AI640" s="22"/>
    </row>
    <row r="641">
      <c r="AI641" s="22"/>
    </row>
    <row r="642">
      <c r="AI642" s="22"/>
    </row>
    <row r="643">
      <c r="AI643" s="22"/>
    </row>
    <row r="644">
      <c r="AI644" s="22"/>
    </row>
    <row r="645">
      <c r="AI645" s="22"/>
    </row>
    <row r="646">
      <c r="AI646" s="22"/>
    </row>
    <row r="647">
      <c r="AI647" s="22"/>
    </row>
    <row r="648">
      <c r="AI648" s="22"/>
    </row>
    <row r="649">
      <c r="AI649" s="22"/>
    </row>
    <row r="650">
      <c r="AI650" s="22"/>
    </row>
    <row r="651">
      <c r="AI651" s="22"/>
    </row>
    <row r="652">
      <c r="AI652" s="22"/>
    </row>
    <row r="653">
      <c r="AI653" s="22"/>
    </row>
    <row r="654">
      <c r="AI654" s="22"/>
    </row>
    <row r="655">
      <c r="AI655" s="22"/>
    </row>
    <row r="656">
      <c r="AI656" s="22"/>
    </row>
    <row r="657">
      <c r="AI657" s="22"/>
    </row>
    <row r="658">
      <c r="AI658" s="22"/>
    </row>
    <row r="659">
      <c r="AI659" s="22"/>
    </row>
    <row r="660">
      <c r="AI660" s="22"/>
    </row>
    <row r="661">
      <c r="AI661" s="22"/>
    </row>
    <row r="662">
      <c r="AI662" s="22"/>
    </row>
    <row r="663">
      <c r="AI663" s="22"/>
    </row>
    <row r="664">
      <c r="AI664" s="22"/>
    </row>
    <row r="665">
      <c r="AI665" s="22"/>
    </row>
    <row r="666">
      <c r="AI666" s="22"/>
    </row>
    <row r="667">
      <c r="AI667" s="22"/>
    </row>
    <row r="668">
      <c r="AI668" s="22"/>
    </row>
    <row r="669">
      <c r="AI669" s="22"/>
    </row>
    <row r="670">
      <c r="AI670" s="22"/>
    </row>
    <row r="671">
      <c r="AI671" s="22"/>
    </row>
    <row r="672">
      <c r="AI672" s="22"/>
    </row>
    <row r="673">
      <c r="AI673" s="22"/>
    </row>
    <row r="674">
      <c r="AI674" s="22"/>
    </row>
    <row r="675">
      <c r="AI675" s="22"/>
    </row>
    <row r="676">
      <c r="AI676" s="22"/>
    </row>
    <row r="677">
      <c r="AI677" s="22"/>
    </row>
    <row r="678">
      <c r="AI678" s="22"/>
    </row>
    <row r="679">
      <c r="AI679" s="22"/>
    </row>
    <row r="680">
      <c r="AI680" s="22"/>
    </row>
    <row r="681">
      <c r="AI681" s="22"/>
    </row>
    <row r="682">
      <c r="AI682" s="22"/>
    </row>
    <row r="683">
      <c r="AI683" s="22"/>
    </row>
    <row r="684">
      <c r="AI684" s="22"/>
    </row>
    <row r="685">
      <c r="AI685" s="22"/>
    </row>
    <row r="686">
      <c r="AI686" s="22"/>
    </row>
    <row r="687">
      <c r="AI687" s="22"/>
    </row>
    <row r="688">
      <c r="AI688" s="22"/>
    </row>
    <row r="689">
      <c r="AI689" s="22"/>
    </row>
    <row r="690">
      <c r="AI690" s="22"/>
    </row>
    <row r="691">
      <c r="AI691" s="22"/>
    </row>
    <row r="692">
      <c r="AI692" s="22"/>
    </row>
    <row r="693">
      <c r="AI693" s="22"/>
    </row>
    <row r="694">
      <c r="AI694" s="22"/>
    </row>
    <row r="695">
      <c r="AI695" s="22"/>
    </row>
    <row r="696">
      <c r="AI696" s="22"/>
    </row>
    <row r="697">
      <c r="AI697" s="22"/>
    </row>
    <row r="698">
      <c r="AI698" s="22"/>
    </row>
    <row r="699">
      <c r="AI699" s="22"/>
    </row>
    <row r="700">
      <c r="AI700" s="22"/>
    </row>
    <row r="701">
      <c r="AI701" s="22"/>
    </row>
    <row r="702">
      <c r="AI702" s="22"/>
    </row>
    <row r="703">
      <c r="AI703" s="22"/>
    </row>
    <row r="704">
      <c r="AI704" s="22"/>
    </row>
    <row r="705">
      <c r="AI705" s="22"/>
    </row>
    <row r="706">
      <c r="AI706" s="22"/>
    </row>
    <row r="707">
      <c r="AI707" s="22"/>
    </row>
    <row r="708">
      <c r="AI708" s="22"/>
    </row>
    <row r="709">
      <c r="AI709" s="22"/>
    </row>
    <row r="710">
      <c r="AI710" s="22"/>
    </row>
    <row r="711">
      <c r="AI711" s="22"/>
    </row>
    <row r="712">
      <c r="AI712" s="22"/>
    </row>
    <row r="713">
      <c r="AI713" s="22"/>
    </row>
    <row r="714">
      <c r="AI714" s="22"/>
    </row>
    <row r="715">
      <c r="AI715" s="22"/>
    </row>
    <row r="716">
      <c r="AI716" s="22"/>
    </row>
    <row r="717">
      <c r="AI717" s="22"/>
    </row>
    <row r="718">
      <c r="AI718" s="22"/>
    </row>
    <row r="719">
      <c r="AI719" s="22"/>
    </row>
    <row r="720">
      <c r="AI720" s="22"/>
    </row>
    <row r="721">
      <c r="AI721" s="22"/>
    </row>
    <row r="722">
      <c r="AI722" s="22"/>
    </row>
    <row r="723">
      <c r="AI723" s="22"/>
    </row>
    <row r="724">
      <c r="AI724" s="22"/>
    </row>
    <row r="725">
      <c r="AI725" s="22"/>
    </row>
    <row r="726">
      <c r="AI726" s="22"/>
    </row>
    <row r="727">
      <c r="AI727" s="22"/>
    </row>
    <row r="728">
      <c r="AI728" s="22"/>
    </row>
    <row r="729">
      <c r="AI729" s="22"/>
    </row>
    <row r="730">
      <c r="AI730" s="22"/>
    </row>
    <row r="731">
      <c r="AI731" s="22"/>
    </row>
    <row r="732">
      <c r="AI732" s="22"/>
    </row>
    <row r="733">
      <c r="AI733" s="22"/>
    </row>
    <row r="734">
      <c r="AI734" s="22"/>
    </row>
    <row r="735">
      <c r="AI735" s="22"/>
    </row>
    <row r="736">
      <c r="AI736" s="22"/>
    </row>
    <row r="737">
      <c r="AI737" s="22"/>
    </row>
    <row r="738">
      <c r="AI738" s="22"/>
    </row>
    <row r="739">
      <c r="AI739" s="22"/>
    </row>
    <row r="740">
      <c r="AI740" s="22"/>
    </row>
    <row r="741">
      <c r="AI741" s="22"/>
    </row>
    <row r="742">
      <c r="AI742" s="22"/>
    </row>
    <row r="743">
      <c r="AI743" s="22"/>
    </row>
    <row r="744">
      <c r="AI744" s="22"/>
    </row>
    <row r="745">
      <c r="AI745" s="22"/>
    </row>
    <row r="746">
      <c r="AI746" s="22"/>
    </row>
    <row r="747">
      <c r="AI747" s="22"/>
    </row>
    <row r="748">
      <c r="AI748" s="22"/>
    </row>
    <row r="749">
      <c r="AI749" s="22"/>
    </row>
    <row r="750">
      <c r="AI750" s="22"/>
    </row>
    <row r="751">
      <c r="AI751" s="22"/>
    </row>
    <row r="752">
      <c r="AI752" s="22"/>
    </row>
    <row r="753">
      <c r="AI753" s="22"/>
    </row>
    <row r="754">
      <c r="AI754" s="22"/>
    </row>
    <row r="755">
      <c r="AI755" s="22"/>
    </row>
    <row r="756">
      <c r="AI756" s="22"/>
    </row>
    <row r="757">
      <c r="AI757" s="22"/>
    </row>
    <row r="758">
      <c r="AI758" s="22"/>
    </row>
    <row r="759">
      <c r="AI759" s="22"/>
    </row>
    <row r="760">
      <c r="AI760" s="22"/>
    </row>
    <row r="761">
      <c r="AI761" s="22"/>
    </row>
    <row r="762">
      <c r="AI762" s="22"/>
    </row>
    <row r="763">
      <c r="AI763" s="22"/>
    </row>
    <row r="764">
      <c r="AI764" s="22"/>
    </row>
    <row r="765">
      <c r="AI765" s="22"/>
    </row>
    <row r="766">
      <c r="AI766" s="22"/>
    </row>
    <row r="767">
      <c r="AI767" s="22"/>
    </row>
    <row r="768">
      <c r="AI768" s="22"/>
    </row>
    <row r="769">
      <c r="AI769" s="22"/>
    </row>
    <row r="770">
      <c r="AI770" s="22"/>
    </row>
    <row r="771">
      <c r="AI771" s="22"/>
    </row>
    <row r="772">
      <c r="AI772" s="22"/>
    </row>
    <row r="773">
      <c r="AI773" s="22"/>
    </row>
    <row r="774">
      <c r="AI774" s="22"/>
    </row>
    <row r="775">
      <c r="AI775" s="22"/>
    </row>
    <row r="776">
      <c r="AI776" s="22"/>
    </row>
    <row r="777">
      <c r="AI777" s="22"/>
    </row>
    <row r="778">
      <c r="AI778" s="22"/>
    </row>
    <row r="779">
      <c r="AI779" s="22"/>
    </row>
    <row r="780">
      <c r="AI780" s="22"/>
    </row>
    <row r="781">
      <c r="AI781" s="22"/>
    </row>
    <row r="782">
      <c r="AI782" s="22"/>
    </row>
    <row r="783">
      <c r="AI783" s="22"/>
    </row>
    <row r="784">
      <c r="AI784" s="22"/>
    </row>
    <row r="785">
      <c r="AI785" s="22"/>
    </row>
    <row r="786">
      <c r="AI786" s="22"/>
    </row>
    <row r="787">
      <c r="AI787" s="22"/>
    </row>
    <row r="788">
      <c r="AI788" s="22"/>
    </row>
    <row r="789">
      <c r="AI789" s="22"/>
    </row>
    <row r="790">
      <c r="AI790" s="22"/>
    </row>
    <row r="791">
      <c r="AI791" s="22"/>
    </row>
    <row r="792">
      <c r="AI792" s="22"/>
    </row>
    <row r="793">
      <c r="AI793" s="22"/>
    </row>
    <row r="794">
      <c r="AI794" s="22"/>
    </row>
    <row r="795">
      <c r="AI795" s="22"/>
    </row>
    <row r="796">
      <c r="AI796" s="22"/>
    </row>
    <row r="797">
      <c r="AI797" s="22"/>
    </row>
    <row r="798">
      <c r="AI798" s="22"/>
    </row>
    <row r="799">
      <c r="AI799" s="22"/>
    </row>
    <row r="800">
      <c r="AI800" s="22"/>
    </row>
    <row r="801">
      <c r="AI801" s="22"/>
    </row>
    <row r="802">
      <c r="AI802" s="22"/>
    </row>
    <row r="803">
      <c r="AI803" s="22"/>
    </row>
    <row r="804">
      <c r="AI804" s="22"/>
    </row>
    <row r="805">
      <c r="AI805" s="22"/>
    </row>
    <row r="806">
      <c r="AI806" s="22"/>
    </row>
    <row r="807">
      <c r="AI807" s="22"/>
    </row>
    <row r="808">
      <c r="AI808" s="22"/>
    </row>
    <row r="809">
      <c r="AI809" s="22"/>
    </row>
    <row r="810">
      <c r="AI810" s="22"/>
    </row>
    <row r="811">
      <c r="AI811" s="22"/>
    </row>
    <row r="812">
      <c r="AI812" s="22"/>
    </row>
    <row r="813">
      <c r="AI813" s="22"/>
    </row>
    <row r="814">
      <c r="AI814" s="22"/>
    </row>
    <row r="815">
      <c r="AI815" s="22"/>
    </row>
    <row r="816">
      <c r="AI816" s="22"/>
    </row>
    <row r="817">
      <c r="AI817" s="22"/>
    </row>
    <row r="818">
      <c r="AI818" s="22"/>
    </row>
    <row r="819">
      <c r="AI819" s="22"/>
    </row>
    <row r="820">
      <c r="AI820" s="22"/>
    </row>
    <row r="821">
      <c r="AI821" s="22"/>
    </row>
    <row r="822">
      <c r="AI822" s="22"/>
    </row>
    <row r="823">
      <c r="AI823" s="22"/>
    </row>
    <row r="824">
      <c r="AI824" s="22"/>
    </row>
    <row r="825">
      <c r="AI825" s="22"/>
    </row>
    <row r="826">
      <c r="AI826" s="22"/>
    </row>
    <row r="827">
      <c r="AI827" s="22"/>
    </row>
    <row r="828">
      <c r="AI828" s="22"/>
    </row>
    <row r="829">
      <c r="AI829" s="22"/>
    </row>
    <row r="830">
      <c r="AI830" s="22"/>
    </row>
    <row r="831">
      <c r="AI831" s="22"/>
    </row>
    <row r="832">
      <c r="AI832" s="22"/>
    </row>
    <row r="833">
      <c r="AI833" s="22"/>
    </row>
    <row r="834">
      <c r="AI834" s="22"/>
    </row>
    <row r="835">
      <c r="AI835" s="22"/>
    </row>
    <row r="836">
      <c r="AI836" s="22"/>
    </row>
    <row r="837">
      <c r="AI837" s="22"/>
    </row>
    <row r="838">
      <c r="AI838" s="22"/>
    </row>
    <row r="839">
      <c r="AI839" s="22"/>
    </row>
    <row r="840">
      <c r="AI840" s="22"/>
    </row>
    <row r="841">
      <c r="AI841" s="22"/>
    </row>
    <row r="842">
      <c r="AI842" s="22"/>
    </row>
    <row r="843">
      <c r="AI843" s="22"/>
    </row>
    <row r="844">
      <c r="AI844" s="22"/>
    </row>
    <row r="845">
      <c r="AI845" s="22"/>
    </row>
    <row r="846">
      <c r="AI846" s="22"/>
    </row>
    <row r="847">
      <c r="AI847" s="22"/>
    </row>
    <row r="848">
      <c r="AI848" s="22"/>
    </row>
    <row r="849">
      <c r="AI849" s="22"/>
    </row>
    <row r="850">
      <c r="AI850" s="22"/>
    </row>
    <row r="851">
      <c r="AI851" s="22"/>
    </row>
    <row r="852">
      <c r="AI852" s="22"/>
    </row>
    <row r="853">
      <c r="AI853" s="22"/>
    </row>
    <row r="854">
      <c r="AI854" s="22"/>
    </row>
    <row r="855">
      <c r="AI855" s="22"/>
    </row>
    <row r="856">
      <c r="AI856" s="22"/>
    </row>
    <row r="857">
      <c r="AI857" s="22"/>
    </row>
    <row r="858">
      <c r="AI858" s="22"/>
    </row>
    <row r="859">
      <c r="AI859" s="22"/>
    </row>
    <row r="860">
      <c r="AI860" s="22"/>
    </row>
    <row r="861">
      <c r="AI861" s="22"/>
    </row>
    <row r="862">
      <c r="AI862" s="22"/>
    </row>
    <row r="863">
      <c r="AI863" s="22"/>
    </row>
    <row r="864">
      <c r="AI864" s="22"/>
    </row>
    <row r="865">
      <c r="AI865" s="22"/>
    </row>
    <row r="866">
      <c r="AI866" s="22"/>
    </row>
    <row r="867">
      <c r="AI867" s="22"/>
    </row>
    <row r="868">
      <c r="AI868" s="22"/>
    </row>
    <row r="869">
      <c r="AI869" s="22"/>
    </row>
    <row r="870">
      <c r="AI870" s="22"/>
    </row>
    <row r="871">
      <c r="AI871" s="22"/>
    </row>
    <row r="872">
      <c r="AI872" s="22"/>
    </row>
    <row r="873">
      <c r="AI873" s="22"/>
    </row>
    <row r="874">
      <c r="AI874" s="22"/>
    </row>
    <row r="875">
      <c r="AI875" s="22"/>
    </row>
    <row r="876">
      <c r="AI876" s="22"/>
    </row>
    <row r="877">
      <c r="AI877" s="22"/>
    </row>
    <row r="878">
      <c r="AI878" s="22"/>
    </row>
    <row r="879">
      <c r="AI879" s="22"/>
    </row>
    <row r="880">
      <c r="AI880" s="22"/>
    </row>
    <row r="881">
      <c r="AI881" s="22"/>
    </row>
    <row r="882">
      <c r="AI882" s="22"/>
    </row>
    <row r="883">
      <c r="AI883" s="22"/>
    </row>
    <row r="884">
      <c r="AI884" s="22"/>
    </row>
    <row r="885">
      <c r="AI885" s="22"/>
    </row>
    <row r="886">
      <c r="AI886" s="22"/>
    </row>
    <row r="887">
      <c r="AI887" s="22"/>
    </row>
    <row r="888">
      <c r="AI888" s="22"/>
    </row>
    <row r="889">
      <c r="AI889" s="22"/>
    </row>
    <row r="890">
      <c r="AI890" s="22"/>
    </row>
    <row r="891">
      <c r="AI891" s="22"/>
    </row>
    <row r="892">
      <c r="AI892" s="22"/>
    </row>
    <row r="893">
      <c r="AI893" s="22"/>
    </row>
    <row r="894">
      <c r="AI894" s="22"/>
    </row>
    <row r="895">
      <c r="AI895" s="22"/>
    </row>
    <row r="896">
      <c r="AI896" s="22"/>
    </row>
    <row r="897">
      <c r="AI897" s="22"/>
    </row>
    <row r="898">
      <c r="AI898" s="22"/>
    </row>
    <row r="899">
      <c r="AI899" s="22"/>
    </row>
    <row r="900">
      <c r="AI900" s="22"/>
    </row>
    <row r="901">
      <c r="AI901" s="22"/>
    </row>
    <row r="902">
      <c r="AI902" s="22"/>
    </row>
    <row r="903">
      <c r="AI903" s="22"/>
    </row>
    <row r="904">
      <c r="AI904" s="22"/>
    </row>
    <row r="905">
      <c r="AI905" s="22"/>
    </row>
    <row r="906">
      <c r="AI906" s="22"/>
    </row>
    <row r="907">
      <c r="AI907" s="22"/>
    </row>
    <row r="908">
      <c r="AI908" s="22"/>
    </row>
    <row r="909">
      <c r="AI909" s="22"/>
    </row>
    <row r="910">
      <c r="AI910" s="22"/>
    </row>
    <row r="911">
      <c r="AI911" s="22"/>
    </row>
    <row r="912">
      <c r="AI912" s="22"/>
    </row>
    <row r="913">
      <c r="AI913" s="22"/>
    </row>
    <row r="914">
      <c r="AI914" s="22"/>
    </row>
    <row r="915">
      <c r="AI915" s="22"/>
    </row>
    <row r="916">
      <c r="AI916" s="22"/>
    </row>
    <row r="917">
      <c r="AI917" s="22"/>
    </row>
    <row r="918">
      <c r="AI918" s="22"/>
    </row>
    <row r="919">
      <c r="AI919" s="22"/>
    </row>
    <row r="920">
      <c r="AI920" s="22"/>
    </row>
    <row r="921">
      <c r="AI921" s="22"/>
    </row>
    <row r="922">
      <c r="AI922" s="22"/>
    </row>
    <row r="923">
      <c r="AI923" s="22"/>
    </row>
    <row r="924">
      <c r="AI924" s="22"/>
    </row>
    <row r="925">
      <c r="AI925" s="22"/>
    </row>
    <row r="926">
      <c r="AI926" s="22"/>
    </row>
    <row r="927">
      <c r="AI927" s="22"/>
    </row>
    <row r="928">
      <c r="AI928" s="22"/>
    </row>
    <row r="929">
      <c r="AI929" s="22"/>
    </row>
    <row r="930">
      <c r="AI930" s="22"/>
    </row>
    <row r="931">
      <c r="AI931" s="22"/>
    </row>
    <row r="932">
      <c r="AI932" s="22"/>
    </row>
    <row r="933">
      <c r="AI933" s="22"/>
    </row>
    <row r="934">
      <c r="AI934" s="22"/>
    </row>
    <row r="935">
      <c r="AI935" s="22"/>
    </row>
    <row r="936">
      <c r="AI936" s="22"/>
    </row>
    <row r="937">
      <c r="AI937" s="22"/>
    </row>
    <row r="938">
      <c r="AI938"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53" t="s">
        <v>2</v>
      </c>
      <c r="B1" s="53" t="s">
        <v>3</v>
      </c>
      <c r="C1" s="53" t="s">
        <v>4</v>
      </c>
      <c r="D1" s="53" t="s">
        <v>1173</v>
      </c>
      <c r="E1" s="53" t="s">
        <v>1174</v>
      </c>
      <c r="F1" s="53" t="s">
        <v>1175</v>
      </c>
      <c r="G1" s="53" t="s">
        <v>1176</v>
      </c>
      <c r="H1" s="53" t="s">
        <v>1177</v>
      </c>
      <c r="I1" s="53" t="s">
        <v>14</v>
      </c>
      <c r="J1" s="53" t="s">
        <v>1178</v>
      </c>
      <c r="K1" s="53" t="s">
        <v>1179</v>
      </c>
      <c r="L1" s="53" t="s">
        <v>1180</v>
      </c>
    </row>
    <row r="2">
      <c r="A2" s="53" t="s">
        <v>67</v>
      </c>
      <c r="B2" s="53" t="s">
        <v>68</v>
      </c>
      <c r="C2" s="53" t="s">
        <v>45</v>
      </c>
      <c r="D2" s="53" t="s">
        <v>1181</v>
      </c>
      <c r="E2" s="53" t="s">
        <v>1182</v>
      </c>
      <c r="F2" s="53" t="s">
        <v>1183</v>
      </c>
      <c r="G2" s="53" t="s">
        <v>1184</v>
      </c>
      <c r="H2" s="53">
        <v>1.0</v>
      </c>
      <c r="I2" s="53">
        <v>0.02834008097165992</v>
      </c>
      <c r="J2" s="53">
        <v>0.0</v>
      </c>
      <c r="K2" s="53" t="s">
        <v>1185</v>
      </c>
      <c r="L2" s="53" t="s">
        <v>53</v>
      </c>
    </row>
    <row r="3">
      <c r="A3" s="53" t="s">
        <v>67</v>
      </c>
      <c r="B3" s="53" t="s">
        <v>68</v>
      </c>
      <c r="C3" s="53" t="s">
        <v>45</v>
      </c>
      <c r="D3" s="53" t="s">
        <v>1181</v>
      </c>
      <c r="E3" s="53" t="s">
        <v>1186</v>
      </c>
      <c r="F3" s="53" t="s">
        <v>1183</v>
      </c>
      <c r="G3" s="53" t="s">
        <v>1187</v>
      </c>
      <c r="H3" s="53">
        <v>1.0</v>
      </c>
      <c r="I3" s="53">
        <v>0.07335907335907337</v>
      </c>
      <c r="J3" s="53">
        <v>1.0</v>
      </c>
      <c r="K3" s="53" t="s">
        <v>1185</v>
      </c>
      <c r="L3" s="53" t="s">
        <v>53</v>
      </c>
    </row>
    <row r="4">
      <c r="A4" s="53" t="s">
        <v>67</v>
      </c>
      <c r="B4" s="53" t="s">
        <v>68</v>
      </c>
      <c r="C4" s="53" t="s">
        <v>45</v>
      </c>
      <c r="D4" s="53" t="s">
        <v>1181</v>
      </c>
      <c r="E4" s="53" t="s">
        <v>1188</v>
      </c>
      <c r="F4" s="53" t="s">
        <v>1183</v>
      </c>
      <c r="G4" s="53" t="s">
        <v>1189</v>
      </c>
      <c r="H4" s="53">
        <v>1.0</v>
      </c>
      <c r="I4" s="53">
        <v>0.1695501730103806</v>
      </c>
      <c r="J4" s="53">
        <v>2.0</v>
      </c>
      <c r="K4" s="53" t="s">
        <v>1185</v>
      </c>
      <c r="L4" s="53" t="s">
        <v>53</v>
      </c>
    </row>
    <row r="5">
      <c r="A5" s="53" t="s">
        <v>67</v>
      </c>
      <c r="B5" s="53" t="s">
        <v>68</v>
      </c>
      <c r="C5" s="53" t="s">
        <v>45</v>
      </c>
      <c r="D5" s="53" t="s">
        <v>1184</v>
      </c>
      <c r="E5" s="53" t="s">
        <v>1190</v>
      </c>
      <c r="F5" s="53" t="s">
        <v>1183</v>
      </c>
      <c r="G5" s="53" t="s">
        <v>1187</v>
      </c>
      <c r="H5" s="53">
        <v>1.0</v>
      </c>
      <c r="I5" s="53">
        <v>0.07335907335907337</v>
      </c>
      <c r="J5" s="53">
        <v>0.0</v>
      </c>
      <c r="K5" s="53" t="s">
        <v>1185</v>
      </c>
      <c r="L5" s="53" t="s">
        <v>53</v>
      </c>
    </row>
    <row r="6">
      <c r="A6" s="53" t="s">
        <v>67</v>
      </c>
      <c r="B6" s="53" t="s">
        <v>68</v>
      </c>
      <c r="C6" s="53" t="s">
        <v>45</v>
      </c>
      <c r="D6" s="53" t="s">
        <v>1184</v>
      </c>
      <c r="E6" s="53" t="s">
        <v>1191</v>
      </c>
      <c r="F6" s="53" t="s">
        <v>1183</v>
      </c>
      <c r="G6" s="53" t="s">
        <v>1189</v>
      </c>
      <c r="H6" s="53">
        <v>1.0</v>
      </c>
      <c r="I6" s="53">
        <v>0.1695501730103806</v>
      </c>
      <c r="J6" s="53">
        <v>1.0</v>
      </c>
      <c r="K6" s="53" t="s">
        <v>1185</v>
      </c>
      <c r="L6" s="53" t="s">
        <v>53</v>
      </c>
    </row>
    <row r="7">
      <c r="A7" s="53" t="s">
        <v>67</v>
      </c>
      <c r="B7" s="53" t="s">
        <v>68</v>
      </c>
      <c r="C7" s="53" t="s">
        <v>45</v>
      </c>
      <c r="D7" s="53" t="s">
        <v>1187</v>
      </c>
      <c r="E7" s="53" t="s">
        <v>1192</v>
      </c>
      <c r="F7" s="53" t="s">
        <v>1183</v>
      </c>
      <c r="G7" s="53" t="s">
        <v>1189</v>
      </c>
      <c r="H7" s="53">
        <v>1.0</v>
      </c>
      <c r="I7" s="53">
        <v>0.12802768166089964</v>
      </c>
      <c r="J7" s="53">
        <v>0.0</v>
      </c>
      <c r="K7" s="53" t="s">
        <v>1185</v>
      </c>
      <c r="L7" s="53" t="s">
        <v>53</v>
      </c>
    </row>
    <row r="8">
      <c r="A8" s="53" t="s">
        <v>1193</v>
      </c>
      <c r="B8" s="53" t="s">
        <v>1194</v>
      </c>
      <c r="D8" s="53" t="s">
        <v>1195</v>
      </c>
      <c r="E8" s="53" t="s">
        <v>1196</v>
      </c>
      <c r="F8" s="53" t="s">
        <v>1197</v>
      </c>
      <c r="G8" s="53" t="s">
        <v>1198</v>
      </c>
      <c r="H8" s="53">
        <v>0.5</v>
      </c>
      <c r="I8" s="53">
        <v>0.06814310051107325</v>
      </c>
      <c r="J8" s="53">
        <v>0.0</v>
      </c>
      <c r="K8" s="53" t="s">
        <v>53</v>
      </c>
      <c r="L8" s="53" t="s">
        <v>1199</v>
      </c>
    </row>
    <row r="9">
      <c r="A9" s="53" t="s">
        <v>1200</v>
      </c>
      <c r="B9" s="53" t="s">
        <v>1194</v>
      </c>
      <c r="D9" s="53" t="s">
        <v>1195</v>
      </c>
      <c r="E9" s="53" t="s">
        <v>1201</v>
      </c>
      <c r="F9" s="53" t="s">
        <v>1197</v>
      </c>
      <c r="G9" s="53" t="s">
        <v>1198</v>
      </c>
      <c r="H9" s="53">
        <v>0.5</v>
      </c>
      <c r="I9" s="53">
        <v>0.06814310051107325</v>
      </c>
      <c r="J9" s="53">
        <v>0.0</v>
      </c>
      <c r="K9" s="53" t="s">
        <v>53</v>
      </c>
      <c r="L9" s="53" t="s">
        <v>1199</v>
      </c>
    </row>
    <row r="10">
      <c r="A10" s="53" t="s">
        <v>1202</v>
      </c>
      <c r="B10" s="53" t="s">
        <v>1203</v>
      </c>
      <c r="C10" s="53" t="s">
        <v>1204</v>
      </c>
      <c r="D10" s="53" t="s">
        <v>1205</v>
      </c>
      <c r="E10" s="53" t="s">
        <v>1206</v>
      </c>
      <c r="F10" s="53" t="s">
        <v>1207</v>
      </c>
      <c r="G10" s="53" t="s">
        <v>1208</v>
      </c>
      <c r="H10" s="53">
        <v>1.0</v>
      </c>
      <c r="I10" s="53">
        <v>0.04178272980501393</v>
      </c>
      <c r="J10" s="53">
        <v>0.0</v>
      </c>
      <c r="K10" s="53" t="s">
        <v>1209</v>
      </c>
      <c r="L10" s="53" t="s">
        <v>53</v>
      </c>
    </row>
    <row r="11">
      <c r="A11" s="53" t="s">
        <v>1210</v>
      </c>
      <c r="B11" s="53" t="s">
        <v>1211</v>
      </c>
      <c r="C11" s="53" t="s">
        <v>1212</v>
      </c>
      <c r="D11" s="53" t="s">
        <v>1213</v>
      </c>
      <c r="E11" s="53" t="s">
        <v>1214</v>
      </c>
      <c r="F11" s="53" t="s">
        <v>1215</v>
      </c>
      <c r="G11" s="53" t="s">
        <v>1216</v>
      </c>
      <c r="H11" s="53">
        <v>1.0</v>
      </c>
      <c r="I11" s="53">
        <v>0.3203125</v>
      </c>
      <c r="J11" s="53">
        <v>1.0</v>
      </c>
      <c r="K11" s="53" t="s">
        <v>1217</v>
      </c>
      <c r="L11" s="53" t="s">
        <v>53</v>
      </c>
    </row>
    <row r="12">
      <c r="A12" s="53" t="s">
        <v>1200</v>
      </c>
      <c r="B12" s="53" t="s">
        <v>1218</v>
      </c>
      <c r="C12" s="53" t="s">
        <v>1194</v>
      </c>
      <c r="D12" s="53" t="s">
        <v>1219</v>
      </c>
      <c r="E12" s="53" t="s">
        <v>1220</v>
      </c>
      <c r="F12" s="53" t="s">
        <v>1197</v>
      </c>
      <c r="G12" s="53" t="s">
        <v>1221</v>
      </c>
      <c r="H12" s="53">
        <v>0.5</v>
      </c>
      <c r="I12" s="53">
        <v>0.06802721088435375</v>
      </c>
      <c r="J12" s="53">
        <v>0.0</v>
      </c>
      <c r="K12" s="53" t="s">
        <v>53</v>
      </c>
      <c r="L12" s="53" t="s">
        <v>1199</v>
      </c>
    </row>
    <row r="13">
      <c r="A13" s="53" t="s">
        <v>1193</v>
      </c>
      <c r="B13" s="53" t="s">
        <v>1222</v>
      </c>
      <c r="C13" s="53" t="s">
        <v>1223</v>
      </c>
      <c r="D13" s="53" t="s">
        <v>1224</v>
      </c>
      <c r="E13" s="53" t="s">
        <v>1225</v>
      </c>
      <c r="F13" s="53" t="s">
        <v>1226</v>
      </c>
      <c r="G13" s="53" t="s">
        <v>1227</v>
      </c>
      <c r="H13" s="53">
        <v>1.0</v>
      </c>
      <c r="I13" s="53">
        <v>0.28732394366197184</v>
      </c>
      <c r="J13" s="53">
        <v>0.0</v>
      </c>
      <c r="K13" s="53" t="s">
        <v>53</v>
      </c>
      <c r="L13" s="53" t="s">
        <v>53</v>
      </c>
    </row>
    <row r="14">
      <c r="A14" s="53" t="s">
        <v>1193</v>
      </c>
      <c r="B14" s="53" t="s">
        <v>1222</v>
      </c>
      <c r="C14" s="53" t="s">
        <v>1223</v>
      </c>
      <c r="D14" s="53" t="s">
        <v>1224</v>
      </c>
      <c r="E14" s="53" t="s">
        <v>1228</v>
      </c>
      <c r="F14" s="53" t="s">
        <v>1229</v>
      </c>
      <c r="G14" s="53" t="s">
        <v>1230</v>
      </c>
      <c r="H14" s="53">
        <v>1.0</v>
      </c>
      <c r="I14" s="53">
        <v>0.3708609271523179</v>
      </c>
      <c r="J14" s="53">
        <v>1.0</v>
      </c>
      <c r="K14" s="53" t="s">
        <v>53</v>
      </c>
      <c r="L14" s="53" t="s">
        <v>53</v>
      </c>
    </row>
    <row r="15">
      <c r="A15" s="53" t="s">
        <v>1193</v>
      </c>
      <c r="B15" s="53" t="s">
        <v>1222</v>
      </c>
      <c r="C15" s="53" t="s">
        <v>1223</v>
      </c>
      <c r="D15" s="53" t="s">
        <v>1227</v>
      </c>
      <c r="E15" s="53" t="s">
        <v>1231</v>
      </c>
      <c r="F15" s="53" t="s">
        <v>1229</v>
      </c>
      <c r="G15" s="53" t="s">
        <v>1230</v>
      </c>
      <c r="H15" s="53">
        <v>1.0</v>
      </c>
      <c r="I15" s="53">
        <v>0.31346578366445915</v>
      </c>
      <c r="J15" s="53">
        <v>0.0</v>
      </c>
      <c r="K15" s="53" t="s">
        <v>53</v>
      </c>
      <c r="L15" s="53" t="s">
        <v>53</v>
      </c>
    </row>
    <row r="16">
      <c r="A16" s="53" t="s">
        <v>1200</v>
      </c>
      <c r="B16" s="53" t="s">
        <v>1222</v>
      </c>
      <c r="C16" s="53" t="s">
        <v>1223</v>
      </c>
      <c r="D16" s="53" t="s">
        <v>1232</v>
      </c>
      <c r="E16" s="53" t="s">
        <v>1233</v>
      </c>
      <c r="F16" s="53" t="s">
        <v>1234</v>
      </c>
      <c r="G16" s="53" t="s">
        <v>1235</v>
      </c>
      <c r="H16" s="53">
        <v>1.0</v>
      </c>
      <c r="I16" s="53">
        <v>0.41005291005291006</v>
      </c>
      <c r="J16" s="53">
        <v>0.0</v>
      </c>
      <c r="K16" s="53" t="s">
        <v>53</v>
      </c>
      <c r="L16" s="53" t="s">
        <v>53</v>
      </c>
    </row>
    <row r="17">
      <c r="A17" s="53" t="s">
        <v>1236</v>
      </c>
      <c r="B17" s="53" t="s">
        <v>1237</v>
      </c>
      <c r="D17" s="53" t="s">
        <v>1238</v>
      </c>
      <c r="E17" s="53" t="s">
        <v>1239</v>
      </c>
      <c r="F17" s="53" t="s">
        <v>1240</v>
      </c>
      <c r="G17" s="53" t="s">
        <v>1241</v>
      </c>
      <c r="H17" s="53">
        <v>0.6</v>
      </c>
      <c r="I17" s="53">
        <v>0.051118210862619806</v>
      </c>
      <c r="J17" s="53">
        <v>0.0</v>
      </c>
      <c r="K17" s="53" t="s">
        <v>53</v>
      </c>
      <c r="L17" s="53" t="s">
        <v>1242</v>
      </c>
    </row>
    <row r="18">
      <c r="A18" s="53" t="s">
        <v>1236</v>
      </c>
      <c r="B18" s="53" t="s">
        <v>1237</v>
      </c>
      <c r="D18" s="53" t="s">
        <v>1238</v>
      </c>
      <c r="E18" s="53" t="s">
        <v>1243</v>
      </c>
      <c r="F18" s="53" t="s">
        <v>1244</v>
      </c>
      <c r="G18" s="53" t="s">
        <v>1245</v>
      </c>
      <c r="H18" s="53">
        <v>0.6</v>
      </c>
      <c r="I18" s="53">
        <v>0.051118210862619806</v>
      </c>
      <c r="J18" s="53">
        <v>4.0</v>
      </c>
      <c r="K18" s="53" t="s">
        <v>53</v>
      </c>
      <c r="L18" s="53" t="s">
        <v>1246</v>
      </c>
    </row>
    <row r="19">
      <c r="A19" s="53" t="s">
        <v>1236</v>
      </c>
      <c r="B19" s="53" t="s">
        <v>1237</v>
      </c>
      <c r="D19" s="53" t="s">
        <v>1238</v>
      </c>
      <c r="E19" s="53" t="s">
        <v>1247</v>
      </c>
      <c r="F19" s="53" t="s">
        <v>1248</v>
      </c>
      <c r="G19" s="53" t="s">
        <v>1249</v>
      </c>
      <c r="H19" s="53">
        <v>0.6</v>
      </c>
      <c r="I19" s="53">
        <v>0.05750798722044728</v>
      </c>
      <c r="J19" s="53">
        <v>2.0</v>
      </c>
      <c r="K19" s="53" t="s">
        <v>53</v>
      </c>
      <c r="L19" s="53" t="s">
        <v>1250</v>
      </c>
    </row>
    <row r="20">
      <c r="A20" s="53" t="s">
        <v>1236</v>
      </c>
      <c r="B20" s="53" t="s">
        <v>1237</v>
      </c>
      <c r="D20" s="53" t="s">
        <v>1238</v>
      </c>
      <c r="E20" s="53" t="s">
        <v>1251</v>
      </c>
      <c r="F20" s="53" t="s">
        <v>1252</v>
      </c>
      <c r="G20" s="53" t="s">
        <v>1253</v>
      </c>
      <c r="H20" s="53">
        <v>0.6</v>
      </c>
      <c r="I20" s="53">
        <v>0.05750798722044728</v>
      </c>
      <c r="J20" s="53">
        <v>1.0</v>
      </c>
      <c r="K20" s="53" t="s">
        <v>53</v>
      </c>
      <c r="L20" s="53" t="s">
        <v>1254</v>
      </c>
    </row>
    <row r="21" ht="15.75" customHeight="1">
      <c r="A21" s="53" t="s">
        <v>1236</v>
      </c>
      <c r="B21" s="53" t="s">
        <v>1237</v>
      </c>
      <c r="D21" s="53" t="s">
        <v>1238</v>
      </c>
      <c r="E21" s="53" t="s">
        <v>1255</v>
      </c>
      <c r="F21" s="53" t="s">
        <v>1256</v>
      </c>
      <c r="G21" s="53" t="s">
        <v>1257</v>
      </c>
      <c r="H21" s="53">
        <v>0.6</v>
      </c>
      <c r="I21" s="53">
        <v>0.05750798722044728</v>
      </c>
      <c r="J21" s="53">
        <v>3.0</v>
      </c>
      <c r="K21" s="53" t="s">
        <v>53</v>
      </c>
      <c r="L21" s="53" t="s">
        <v>1258</v>
      </c>
    </row>
    <row r="22" ht="15.75" customHeight="1">
      <c r="A22" s="53" t="s">
        <v>1236</v>
      </c>
      <c r="B22" s="53" t="s">
        <v>1237</v>
      </c>
      <c r="D22" s="53" t="s">
        <v>1241</v>
      </c>
      <c r="E22" s="53" t="s">
        <v>1259</v>
      </c>
      <c r="F22" s="53" t="s">
        <v>1260</v>
      </c>
      <c r="G22" s="53" t="s">
        <v>1249</v>
      </c>
      <c r="H22" s="53">
        <v>0.6</v>
      </c>
      <c r="I22" s="53">
        <v>0.038834951456310676</v>
      </c>
      <c r="J22" s="53">
        <v>1.0</v>
      </c>
      <c r="K22" s="53" t="s">
        <v>53</v>
      </c>
      <c r="L22" s="53" t="s">
        <v>1261</v>
      </c>
    </row>
    <row r="23" ht="15.75" customHeight="1">
      <c r="A23" s="53" t="s">
        <v>1236</v>
      </c>
      <c r="B23" s="53" t="s">
        <v>1237</v>
      </c>
      <c r="D23" s="53" t="s">
        <v>1241</v>
      </c>
      <c r="E23" s="53" t="s">
        <v>1262</v>
      </c>
      <c r="F23" s="53" t="s">
        <v>1263</v>
      </c>
      <c r="G23" s="53" t="s">
        <v>1253</v>
      </c>
      <c r="H23" s="53">
        <v>0.6</v>
      </c>
      <c r="I23" s="53">
        <v>0.038834951456310676</v>
      </c>
      <c r="J23" s="53">
        <v>0.0</v>
      </c>
      <c r="K23" s="53" t="s">
        <v>53</v>
      </c>
      <c r="L23" s="53" t="s">
        <v>1264</v>
      </c>
    </row>
    <row r="24" ht="15.75" customHeight="1">
      <c r="A24" s="53" t="s">
        <v>1236</v>
      </c>
      <c r="B24" s="53" t="s">
        <v>1237</v>
      </c>
      <c r="D24" s="53" t="s">
        <v>1241</v>
      </c>
      <c r="E24" s="53" t="s">
        <v>1265</v>
      </c>
      <c r="F24" s="53" t="s">
        <v>1266</v>
      </c>
      <c r="G24" s="53" t="s">
        <v>1257</v>
      </c>
      <c r="H24" s="53">
        <v>0.6</v>
      </c>
      <c r="I24" s="53">
        <v>0.038834951456310676</v>
      </c>
      <c r="J24" s="53">
        <v>2.0</v>
      </c>
      <c r="K24" s="53" t="s">
        <v>53</v>
      </c>
      <c r="L24" s="53" t="s">
        <v>1267</v>
      </c>
    </row>
    <row r="25" ht="15.75" customHeight="1">
      <c r="A25" s="53" t="s">
        <v>1236</v>
      </c>
      <c r="B25" s="53" t="s">
        <v>1237</v>
      </c>
      <c r="D25" s="53" t="s">
        <v>1241</v>
      </c>
      <c r="E25" s="53" t="s">
        <v>1268</v>
      </c>
      <c r="F25" s="53" t="s">
        <v>1269</v>
      </c>
      <c r="G25" s="53" t="s">
        <v>1245</v>
      </c>
      <c r="H25" s="53">
        <v>0.6</v>
      </c>
      <c r="I25" s="53">
        <v>0.038834951456310676</v>
      </c>
      <c r="J25" s="53">
        <v>3.0</v>
      </c>
      <c r="K25" s="53" t="s">
        <v>53</v>
      </c>
      <c r="L25" s="53" t="s">
        <v>1270</v>
      </c>
    </row>
    <row r="26" ht="15.75" customHeight="1">
      <c r="A26" s="53" t="s">
        <v>1236</v>
      </c>
      <c r="B26" s="53" t="s">
        <v>1237</v>
      </c>
      <c r="D26" s="53" t="s">
        <v>1253</v>
      </c>
      <c r="E26" s="53" t="s">
        <v>1271</v>
      </c>
      <c r="F26" s="53" t="s">
        <v>1272</v>
      </c>
      <c r="G26" s="53" t="s">
        <v>1249</v>
      </c>
      <c r="H26" s="53">
        <v>0.6</v>
      </c>
      <c r="I26" s="53">
        <v>0.012944983818770227</v>
      </c>
      <c r="J26" s="53">
        <v>0.0</v>
      </c>
      <c r="K26" s="53" t="s">
        <v>53</v>
      </c>
      <c r="L26" s="53" t="s">
        <v>1273</v>
      </c>
    </row>
    <row r="27" ht="15.75" customHeight="1">
      <c r="A27" s="53" t="s">
        <v>1236</v>
      </c>
      <c r="B27" s="53" t="s">
        <v>1237</v>
      </c>
      <c r="D27" s="53" t="s">
        <v>1253</v>
      </c>
      <c r="E27" s="53" t="s">
        <v>1274</v>
      </c>
      <c r="F27" s="53" t="s">
        <v>1275</v>
      </c>
      <c r="G27" s="53" t="s">
        <v>1257</v>
      </c>
      <c r="H27" s="53">
        <v>0.6</v>
      </c>
      <c r="I27" s="53">
        <v>0.012944983818770227</v>
      </c>
      <c r="J27" s="53">
        <v>1.0</v>
      </c>
      <c r="K27" s="53" t="s">
        <v>53</v>
      </c>
      <c r="L27" s="53" t="s">
        <v>1276</v>
      </c>
    </row>
    <row r="28" ht="15.75" customHeight="1">
      <c r="A28" s="53" t="s">
        <v>1236</v>
      </c>
      <c r="B28" s="53" t="s">
        <v>1237</v>
      </c>
      <c r="D28" s="53" t="s">
        <v>1253</v>
      </c>
      <c r="E28" s="53" t="s">
        <v>1277</v>
      </c>
      <c r="F28" s="53" t="s">
        <v>1278</v>
      </c>
      <c r="G28" s="53" t="s">
        <v>1245</v>
      </c>
      <c r="H28" s="53">
        <v>0.6</v>
      </c>
      <c r="I28" s="53">
        <v>0.013114754098360656</v>
      </c>
      <c r="J28" s="53">
        <v>2.0</v>
      </c>
      <c r="K28" s="53" t="s">
        <v>53</v>
      </c>
      <c r="L28" s="53" t="s">
        <v>1279</v>
      </c>
    </row>
    <row r="29" ht="15.75" customHeight="1">
      <c r="A29" s="53" t="s">
        <v>1236</v>
      </c>
      <c r="B29" s="53" t="s">
        <v>1237</v>
      </c>
      <c r="D29" s="53" t="s">
        <v>1249</v>
      </c>
      <c r="E29" s="53" t="s">
        <v>1280</v>
      </c>
      <c r="F29" s="53" t="s">
        <v>1281</v>
      </c>
      <c r="G29" s="53" t="s">
        <v>1257</v>
      </c>
      <c r="H29" s="53">
        <v>0.6</v>
      </c>
      <c r="I29" s="53">
        <v>0.006472491909385114</v>
      </c>
      <c r="J29" s="53">
        <v>0.0</v>
      </c>
      <c r="K29" s="53" t="s">
        <v>53</v>
      </c>
      <c r="L29" s="53" t="s">
        <v>1282</v>
      </c>
    </row>
    <row r="30" ht="15.75" customHeight="1">
      <c r="A30" s="53" t="s">
        <v>1236</v>
      </c>
      <c r="B30" s="53" t="s">
        <v>1237</v>
      </c>
      <c r="D30" s="53" t="s">
        <v>1249</v>
      </c>
      <c r="E30" s="53" t="s">
        <v>1283</v>
      </c>
      <c r="F30" s="53" t="s">
        <v>1284</v>
      </c>
      <c r="G30" s="53" t="s">
        <v>1245</v>
      </c>
      <c r="H30" s="53">
        <v>0.6</v>
      </c>
      <c r="I30" s="53">
        <v>0.025889967637540454</v>
      </c>
      <c r="J30" s="53">
        <v>1.0</v>
      </c>
      <c r="K30" s="53" t="s">
        <v>53</v>
      </c>
      <c r="L30" s="53" t="s">
        <v>1285</v>
      </c>
    </row>
    <row r="31" ht="15.75" customHeight="1">
      <c r="A31" s="53" t="s">
        <v>1236</v>
      </c>
      <c r="B31" s="53" t="s">
        <v>1237</v>
      </c>
      <c r="D31" s="53" t="s">
        <v>1257</v>
      </c>
      <c r="E31" s="53" t="s">
        <v>1286</v>
      </c>
      <c r="F31" s="53" t="s">
        <v>1287</v>
      </c>
      <c r="G31" s="53" t="s">
        <v>1245</v>
      </c>
      <c r="H31" s="53">
        <v>0.6</v>
      </c>
      <c r="I31" s="53">
        <v>0.025889967637540454</v>
      </c>
      <c r="J31" s="53">
        <v>0.0</v>
      </c>
      <c r="K31" s="53" t="s">
        <v>53</v>
      </c>
      <c r="L31" s="53" t="s">
        <v>1288</v>
      </c>
    </row>
    <row r="32" ht="15.75" customHeight="1">
      <c r="A32" s="53" t="s">
        <v>1236</v>
      </c>
      <c r="B32" s="53" t="s">
        <v>1237</v>
      </c>
      <c r="D32" s="53" t="s">
        <v>1289</v>
      </c>
      <c r="E32" s="53" t="s">
        <v>1290</v>
      </c>
      <c r="F32" s="53" t="s">
        <v>1291</v>
      </c>
      <c r="G32" s="53" t="s">
        <v>98</v>
      </c>
      <c r="H32" s="53">
        <v>0.7142857142857143</v>
      </c>
      <c r="I32" s="53">
        <v>0.16666666666666666</v>
      </c>
      <c r="J32" s="53">
        <v>0.0</v>
      </c>
      <c r="K32" s="53" t="s">
        <v>53</v>
      </c>
      <c r="L32" s="53" t="s">
        <v>1292</v>
      </c>
    </row>
    <row r="33" ht="15.75" customHeight="1">
      <c r="A33" s="53" t="s">
        <v>1236</v>
      </c>
      <c r="B33" s="53" t="s">
        <v>1237</v>
      </c>
      <c r="D33" s="53" t="s">
        <v>1293</v>
      </c>
      <c r="E33" s="53" t="s">
        <v>1294</v>
      </c>
      <c r="F33" s="53" t="s">
        <v>1295</v>
      </c>
      <c r="G33" s="53" t="s">
        <v>1296</v>
      </c>
      <c r="H33" s="53">
        <v>0.5</v>
      </c>
      <c r="I33" s="53">
        <v>0.05423728813559322</v>
      </c>
      <c r="J33" s="53">
        <v>0.0</v>
      </c>
      <c r="K33" s="53" t="s">
        <v>53</v>
      </c>
      <c r="L33" s="53" t="s">
        <v>1297</v>
      </c>
    </row>
    <row r="34" ht="15.75" customHeight="1">
      <c r="A34" s="53" t="s">
        <v>1236</v>
      </c>
      <c r="B34" s="53" t="s">
        <v>1237</v>
      </c>
      <c r="D34" s="53" t="s">
        <v>1293</v>
      </c>
      <c r="E34" s="53" t="s">
        <v>1298</v>
      </c>
      <c r="F34" s="53" t="s">
        <v>1299</v>
      </c>
      <c r="G34" s="53" t="s">
        <v>1300</v>
      </c>
      <c r="H34" s="53">
        <v>0.5</v>
      </c>
      <c r="I34" s="53">
        <v>0.05423728813559322</v>
      </c>
      <c r="J34" s="53">
        <v>4.0</v>
      </c>
      <c r="K34" s="53" t="s">
        <v>53</v>
      </c>
      <c r="L34" s="53" t="s">
        <v>1301</v>
      </c>
    </row>
    <row r="35" ht="15.75" customHeight="1">
      <c r="A35" s="53" t="s">
        <v>1236</v>
      </c>
      <c r="B35" s="53" t="s">
        <v>1237</v>
      </c>
      <c r="D35" s="53" t="s">
        <v>1293</v>
      </c>
      <c r="E35" s="53" t="s">
        <v>1302</v>
      </c>
      <c r="F35" s="53" t="s">
        <v>1303</v>
      </c>
      <c r="G35" s="53" t="s">
        <v>1304</v>
      </c>
      <c r="H35" s="53">
        <v>0.5</v>
      </c>
      <c r="I35" s="53">
        <v>0.061016949152542375</v>
      </c>
      <c r="J35" s="53">
        <v>2.0</v>
      </c>
      <c r="K35" s="53" t="s">
        <v>53</v>
      </c>
      <c r="L35" s="53" t="s">
        <v>1305</v>
      </c>
    </row>
    <row r="36" ht="15.75" customHeight="1">
      <c r="A36" s="53" t="s">
        <v>1236</v>
      </c>
      <c r="B36" s="53" t="s">
        <v>1237</v>
      </c>
      <c r="D36" s="53" t="s">
        <v>1293</v>
      </c>
      <c r="E36" s="53" t="s">
        <v>1306</v>
      </c>
      <c r="F36" s="53" t="s">
        <v>1307</v>
      </c>
      <c r="G36" s="53" t="s">
        <v>1308</v>
      </c>
      <c r="H36" s="53">
        <v>0.5</v>
      </c>
      <c r="I36" s="53">
        <v>0.061016949152542375</v>
      </c>
      <c r="J36" s="53">
        <v>1.0</v>
      </c>
      <c r="K36" s="53" t="s">
        <v>53</v>
      </c>
      <c r="L36" s="53" t="s">
        <v>1309</v>
      </c>
    </row>
    <row r="37" ht="15.75" customHeight="1">
      <c r="A37" s="53" t="s">
        <v>1236</v>
      </c>
      <c r="B37" s="53" t="s">
        <v>1237</v>
      </c>
      <c r="D37" s="53" t="s">
        <v>1293</v>
      </c>
      <c r="E37" s="53" t="s">
        <v>1310</v>
      </c>
      <c r="F37" s="53" t="s">
        <v>1311</v>
      </c>
      <c r="G37" s="53" t="s">
        <v>1312</v>
      </c>
      <c r="H37" s="53">
        <v>0.5</v>
      </c>
      <c r="I37" s="53">
        <v>0.061016949152542375</v>
      </c>
      <c r="J37" s="53">
        <v>3.0</v>
      </c>
      <c r="K37" s="53" t="s">
        <v>53</v>
      </c>
      <c r="L37" s="53" t="s">
        <v>1313</v>
      </c>
    </row>
    <row r="38" ht="15.75" customHeight="1">
      <c r="A38" s="53" t="s">
        <v>1236</v>
      </c>
      <c r="B38" s="53" t="s">
        <v>1237</v>
      </c>
      <c r="D38" s="53" t="s">
        <v>1296</v>
      </c>
      <c r="E38" s="53" t="s">
        <v>1314</v>
      </c>
      <c r="F38" s="53" t="s">
        <v>1315</v>
      </c>
      <c r="G38" s="53" t="s">
        <v>1304</v>
      </c>
      <c r="H38" s="53">
        <v>0.5</v>
      </c>
      <c r="I38" s="53">
        <v>0.041237113402061855</v>
      </c>
      <c r="J38" s="53">
        <v>1.0</v>
      </c>
      <c r="K38" s="53" t="s">
        <v>53</v>
      </c>
      <c r="L38" s="53" t="s">
        <v>1316</v>
      </c>
    </row>
    <row r="39" ht="15.75" customHeight="1">
      <c r="A39" s="53" t="s">
        <v>1236</v>
      </c>
      <c r="B39" s="53" t="s">
        <v>1237</v>
      </c>
      <c r="D39" s="53" t="s">
        <v>1296</v>
      </c>
      <c r="E39" s="53" t="s">
        <v>1317</v>
      </c>
      <c r="F39" s="53" t="s">
        <v>1318</v>
      </c>
      <c r="G39" s="53" t="s">
        <v>1300</v>
      </c>
      <c r="H39" s="53">
        <v>0.5</v>
      </c>
      <c r="I39" s="53">
        <v>0.041237113402061855</v>
      </c>
      <c r="J39" s="53">
        <v>3.0</v>
      </c>
      <c r="K39" s="53" t="s">
        <v>53</v>
      </c>
      <c r="L39" s="53" t="s">
        <v>1319</v>
      </c>
    </row>
    <row r="40" ht="15.75" customHeight="1">
      <c r="A40" s="53" t="s">
        <v>1236</v>
      </c>
      <c r="B40" s="53" t="s">
        <v>1237</v>
      </c>
      <c r="D40" s="53" t="s">
        <v>1296</v>
      </c>
      <c r="E40" s="53" t="s">
        <v>1320</v>
      </c>
      <c r="F40" s="53" t="s">
        <v>1321</v>
      </c>
      <c r="G40" s="53" t="s">
        <v>1308</v>
      </c>
      <c r="H40" s="53">
        <v>0.5</v>
      </c>
      <c r="I40" s="53">
        <v>0.041237113402061855</v>
      </c>
      <c r="J40" s="53">
        <v>0.0</v>
      </c>
      <c r="K40" s="53" t="s">
        <v>53</v>
      </c>
      <c r="L40" s="53" t="s">
        <v>1322</v>
      </c>
    </row>
    <row r="41" ht="15.75" customHeight="1">
      <c r="A41" s="53" t="s">
        <v>1236</v>
      </c>
      <c r="B41" s="53" t="s">
        <v>1237</v>
      </c>
      <c r="D41" s="53" t="s">
        <v>1296</v>
      </c>
      <c r="E41" s="53" t="s">
        <v>1323</v>
      </c>
      <c r="F41" s="53" t="s">
        <v>1324</v>
      </c>
      <c r="G41" s="53" t="s">
        <v>1312</v>
      </c>
      <c r="H41" s="53">
        <v>0.5</v>
      </c>
      <c r="I41" s="53">
        <v>0.041237113402061855</v>
      </c>
      <c r="J41" s="53">
        <v>2.0</v>
      </c>
      <c r="K41" s="53" t="s">
        <v>53</v>
      </c>
      <c r="L41" s="53" t="s">
        <v>1325</v>
      </c>
    </row>
    <row r="42" ht="15.75" customHeight="1">
      <c r="A42" s="53" t="s">
        <v>1236</v>
      </c>
      <c r="B42" s="53" t="s">
        <v>1237</v>
      </c>
      <c r="D42" s="53" t="s">
        <v>1308</v>
      </c>
      <c r="E42" s="53" t="s">
        <v>1326</v>
      </c>
      <c r="F42" s="53" t="s">
        <v>1327</v>
      </c>
      <c r="G42" s="53" t="s">
        <v>1304</v>
      </c>
      <c r="H42" s="53">
        <v>0.5</v>
      </c>
      <c r="I42" s="53">
        <v>0.013745704467353952</v>
      </c>
      <c r="J42" s="53">
        <v>0.0</v>
      </c>
      <c r="K42" s="53" t="s">
        <v>53</v>
      </c>
      <c r="L42" s="53" t="s">
        <v>1328</v>
      </c>
    </row>
    <row r="43" ht="15.75" customHeight="1">
      <c r="A43" s="53" t="s">
        <v>1236</v>
      </c>
      <c r="B43" s="53" t="s">
        <v>1237</v>
      </c>
      <c r="D43" s="53" t="s">
        <v>1308</v>
      </c>
      <c r="E43" s="53" t="s">
        <v>1329</v>
      </c>
      <c r="F43" s="53" t="s">
        <v>1330</v>
      </c>
      <c r="G43" s="53" t="s">
        <v>1312</v>
      </c>
      <c r="H43" s="53">
        <v>0.5</v>
      </c>
      <c r="I43" s="53">
        <v>0.013745704467353952</v>
      </c>
      <c r="J43" s="53">
        <v>1.0</v>
      </c>
      <c r="K43" s="53" t="s">
        <v>53</v>
      </c>
      <c r="L43" s="53" t="s">
        <v>1331</v>
      </c>
    </row>
    <row r="44" ht="15.75" customHeight="1">
      <c r="A44" s="53" t="s">
        <v>1236</v>
      </c>
      <c r="B44" s="53" t="s">
        <v>1237</v>
      </c>
      <c r="D44" s="53" t="s">
        <v>1308</v>
      </c>
      <c r="E44" s="53" t="s">
        <v>1332</v>
      </c>
      <c r="F44" s="53" t="s">
        <v>1333</v>
      </c>
      <c r="G44" s="53" t="s">
        <v>1300</v>
      </c>
      <c r="H44" s="53">
        <v>0.5</v>
      </c>
      <c r="I44" s="53">
        <v>0.013937282229965157</v>
      </c>
      <c r="J44" s="53">
        <v>2.0</v>
      </c>
      <c r="K44" s="53" t="s">
        <v>53</v>
      </c>
      <c r="L44" s="53" t="s">
        <v>1334</v>
      </c>
    </row>
    <row r="45" ht="15.75" customHeight="1">
      <c r="A45" s="53" t="s">
        <v>1236</v>
      </c>
      <c r="B45" s="53" t="s">
        <v>1237</v>
      </c>
      <c r="D45" s="53" t="s">
        <v>1304</v>
      </c>
      <c r="E45" s="53" t="s">
        <v>1335</v>
      </c>
      <c r="F45" s="53" t="s">
        <v>1336</v>
      </c>
      <c r="G45" s="53" t="s">
        <v>1312</v>
      </c>
      <c r="H45" s="53">
        <v>0.5</v>
      </c>
      <c r="I45" s="53">
        <v>0.006872852233676976</v>
      </c>
      <c r="J45" s="53">
        <v>0.0</v>
      </c>
      <c r="K45" s="53" t="s">
        <v>53</v>
      </c>
      <c r="L45" s="53" t="s">
        <v>1337</v>
      </c>
    </row>
    <row r="46" ht="15.75" customHeight="1">
      <c r="A46" s="53" t="s">
        <v>1236</v>
      </c>
      <c r="B46" s="53" t="s">
        <v>1237</v>
      </c>
      <c r="D46" s="53" t="s">
        <v>1304</v>
      </c>
      <c r="E46" s="53" t="s">
        <v>1338</v>
      </c>
      <c r="F46" s="53" t="s">
        <v>1339</v>
      </c>
      <c r="G46" s="53" t="s">
        <v>1300</v>
      </c>
      <c r="H46" s="53">
        <v>0.5</v>
      </c>
      <c r="I46" s="53">
        <v>0.027491408934707903</v>
      </c>
      <c r="J46" s="53">
        <v>1.0</v>
      </c>
      <c r="K46" s="53" t="s">
        <v>53</v>
      </c>
      <c r="L46" s="53" t="s">
        <v>1340</v>
      </c>
    </row>
    <row r="47" ht="15.75" customHeight="1">
      <c r="A47" s="53" t="s">
        <v>1236</v>
      </c>
      <c r="B47" s="53" t="s">
        <v>1237</v>
      </c>
      <c r="D47" s="53" t="s">
        <v>1312</v>
      </c>
      <c r="E47" s="53" t="s">
        <v>1341</v>
      </c>
      <c r="F47" s="53" t="s">
        <v>1342</v>
      </c>
      <c r="G47" s="53" t="s">
        <v>1300</v>
      </c>
      <c r="H47" s="53">
        <v>0.5</v>
      </c>
      <c r="I47" s="53">
        <v>0.027491408934707903</v>
      </c>
      <c r="J47" s="53">
        <v>0.0</v>
      </c>
      <c r="K47" s="53" t="s">
        <v>53</v>
      </c>
      <c r="L47" s="53" t="s">
        <v>1343</v>
      </c>
    </row>
    <row r="48" ht="15.75" customHeight="1">
      <c r="A48" s="53" t="s">
        <v>1344</v>
      </c>
      <c r="B48" s="53" t="s">
        <v>1237</v>
      </c>
      <c r="D48" s="53" t="s">
        <v>1345</v>
      </c>
      <c r="E48" s="53" t="s">
        <v>1346</v>
      </c>
      <c r="F48" s="53" t="s">
        <v>73</v>
      </c>
      <c r="G48" s="53" t="s">
        <v>1347</v>
      </c>
      <c r="H48" s="53">
        <v>1.0</v>
      </c>
      <c r="I48" s="53">
        <v>0.17777777777777778</v>
      </c>
      <c r="J48" s="53">
        <v>4.0</v>
      </c>
      <c r="K48" s="53" t="s">
        <v>53</v>
      </c>
      <c r="L48" s="53" t="s">
        <v>53</v>
      </c>
    </row>
    <row r="49" ht="15.75" customHeight="1">
      <c r="A49" s="53" t="s">
        <v>1344</v>
      </c>
      <c r="B49" s="53" t="s">
        <v>1237</v>
      </c>
      <c r="D49" s="53" t="s">
        <v>1345</v>
      </c>
      <c r="E49" s="53" t="s">
        <v>1348</v>
      </c>
      <c r="F49" s="53" t="s">
        <v>73</v>
      </c>
      <c r="G49" s="53" t="s">
        <v>1349</v>
      </c>
      <c r="H49" s="53">
        <v>1.0</v>
      </c>
      <c r="I49" s="53">
        <v>0.17777777777777778</v>
      </c>
      <c r="J49" s="53">
        <v>0.0</v>
      </c>
      <c r="K49" s="53" t="s">
        <v>53</v>
      </c>
      <c r="L49" s="53" t="s">
        <v>53</v>
      </c>
    </row>
    <row r="50" ht="15.75" customHeight="1">
      <c r="A50" s="53" t="s">
        <v>1344</v>
      </c>
      <c r="B50" s="53" t="s">
        <v>1237</v>
      </c>
      <c r="D50" s="53" t="s">
        <v>1345</v>
      </c>
      <c r="E50" s="53" t="s">
        <v>1350</v>
      </c>
      <c r="F50" s="53" t="s">
        <v>73</v>
      </c>
      <c r="G50" s="53" t="s">
        <v>1351</v>
      </c>
      <c r="H50" s="53">
        <v>1.0</v>
      </c>
      <c r="I50" s="53">
        <v>0.2</v>
      </c>
      <c r="J50" s="53">
        <v>1.0</v>
      </c>
      <c r="K50" s="53" t="s">
        <v>53</v>
      </c>
      <c r="L50" s="53" t="s">
        <v>53</v>
      </c>
    </row>
    <row r="51" ht="15.75" customHeight="1">
      <c r="A51" s="53" t="s">
        <v>1344</v>
      </c>
      <c r="B51" s="53" t="s">
        <v>1237</v>
      </c>
      <c r="D51" s="53" t="s">
        <v>1345</v>
      </c>
      <c r="E51" s="53" t="s">
        <v>1352</v>
      </c>
      <c r="F51" s="53" t="s">
        <v>73</v>
      </c>
      <c r="G51" s="53" t="s">
        <v>1353</v>
      </c>
      <c r="H51" s="53">
        <v>1.0</v>
      </c>
      <c r="I51" s="53">
        <v>0.2</v>
      </c>
      <c r="J51" s="53">
        <v>2.0</v>
      </c>
      <c r="K51" s="53" t="s">
        <v>53</v>
      </c>
      <c r="L51" s="53" t="s">
        <v>53</v>
      </c>
    </row>
    <row r="52" ht="15.75" customHeight="1">
      <c r="A52" s="53" t="s">
        <v>1344</v>
      </c>
      <c r="B52" s="53" t="s">
        <v>1237</v>
      </c>
      <c r="D52" s="53" t="s">
        <v>1345</v>
      </c>
      <c r="E52" s="53" t="s">
        <v>1354</v>
      </c>
      <c r="F52" s="53" t="s">
        <v>73</v>
      </c>
      <c r="G52" s="53" t="s">
        <v>1355</v>
      </c>
      <c r="H52" s="53">
        <v>1.0</v>
      </c>
      <c r="I52" s="53">
        <v>0.2</v>
      </c>
      <c r="J52" s="53">
        <v>3.0</v>
      </c>
      <c r="K52" s="53" t="s">
        <v>53</v>
      </c>
      <c r="L52" s="53" t="s">
        <v>53</v>
      </c>
    </row>
    <row r="53" ht="15.75" customHeight="1">
      <c r="A53" s="53" t="s">
        <v>1344</v>
      </c>
      <c r="B53" s="53" t="s">
        <v>1237</v>
      </c>
      <c r="D53" s="53" t="s">
        <v>1349</v>
      </c>
      <c r="E53" s="53" t="s">
        <v>1356</v>
      </c>
      <c r="F53" s="53" t="s">
        <v>73</v>
      </c>
      <c r="G53" s="53" t="s">
        <v>1351</v>
      </c>
      <c r="H53" s="53">
        <v>1.0</v>
      </c>
      <c r="I53" s="53">
        <v>0.1511627906976744</v>
      </c>
      <c r="J53" s="53">
        <v>0.0</v>
      </c>
      <c r="K53" s="53" t="s">
        <v>53</v>
      </c>
      <c r="L53" s="53" t="s">
        <v>53</v>
      </c>
    </row>
    <row r="54" ht="15.75" customHeight="1">
      <c r="A54" s="53" t="s">
        <v>1344</v>
      </c>
      <c r="B54" s="53" t="s">
        <v>1237</v>
      </c>
      <c r="D54" s="53" t="s">
        <v>1349</v>
      </c>
      <c r="E54" s="53" t="s">
        <v>1357</v>
      </c>
      <c r="F54" s="53" t="s">
        <v>73</v>
      </c>
      <c r="G54" s="53" t="s">
        <v>1353</v>
      </c>
      <c r="H54" s="53">
        <v>1.0</v>
      </c>
      <c r="I54" s="53">
        <v>0.1511627906976744</v>
      </c>
      <c r="J54" s="53">
        <v>1.0</v>
      </c>
      <c r="K54" s="53" t="s">
        <v>53</v>
      </c>
      <c r="L54" s="53" t="s">
        <v>53</v>
      </c>
    </row>
    <row r="55" ht="15.75" customHeight="1">
      <c r="A55" s="53" t="s">
        <v>1344</v>
      </c>
      <c r="B55" s="53" t="s">
        <v>1237</v>
      </c>
      <c r="D55" s="53" t="s">
        <v>1349</v>
      </c>
      <c r="E55" s="53" t="s">
        <v>1358</v>
      </c>
      <c r="F55" s="53" t="s">
        <v>73</v>
      </c>
      <c r="G55" s="53" t="s">
        <v>1347</v>
      </c>
      <c r="H55" s="53">
        <v>1.0</v>
      </c>
      <c r="I55" s="53">
        <v>0.1511627906976744</v>
      </c>
      <c r="J55" s="53">
        <v>3.0</v>
      </c>
      <c r="K55" s="53" t="s">
        <v>53</v>
      </c>
      <c r="L55" s="53" t="s">
        <v>53</v>
      </c>
    </row>
    <row r="56" ht="15.75" customHeight="1">
      <c r="A56" s="53" t="s">
        <v>1344</v>
      </c>
      <c r="B56" s="53" t="s">
        <v>1237</v>
      </c>
      <c r="D56" s="53" t="s">
        <v>1349</v>
      </c>
      <c r="E56" s="53" t="s">
        <v>1359</v>
      </c>
      <c r="F56" s="53" t="s">
        <v>73</v>
      </c>
      <c r="G56" s="53" t="s">
        <v>1355</v>
      </c>
      <c r="H56" s="53">
        <v>1.0</v>
      </c>
      <c r="I56" s="53">
        <v>0.1511627906976744</v>
      </c>
      <c r="J56" s="53">
        <v>2.0</v>
      </c>
      <c r="K56" s="53" t="s">
        <v>53</v>
      </c>
      <c r="L56" s="53" t="s">
        <v>53</v>
      </c>
    </row>
    <row r="57" ht="15.75" customHeight="1">
      <c r="A57" s="53" t="s">
        <v>1344</v>
      </c>
      <c r="B57" s="53" t="s">
        <v>1237</v>
      </c>
      <c r="D57" s="53" t="s">
        <v>1351</v>
      </c>
      <c r="E57" s="53" t="s">
        <v>1360</v>
      </c>
      <c r="F57" s="53" t="s">
        <v>73</v>
      </c>
      <c r="G57" s="53" t="s">
        <v>1353</v>
      </c>
      <c r="H57" s="53">
        <v>1.0</v>
      </c>
      <c r="I57" s="53">
        <v>0.046511627906976744</v>
      </c>
      <c r="J57" s="53">
        <v>0.0</v>
      </c>
      <c r="K57" s="53" t="s">
        <v>53</v>
      </c>
      <c r="L57" s="53" t="s">
        <v>53</v>
      </c>
    </row>
    <row r="58" ht="15.75" customHeight="1">
      <c r="A58" s="53" t="s">
        <v>1344</v>
      </c>
      <c r="B58" s="53" t="s">
        <v>1237</v>
      </c>
      <c r="D58" s="53" t="s">
        <v>1351</v>
      </c>
      <c r="E58" s="53" t="s">
        <v>1361</v>
      </c>
      <c r="F58" s="53" t="s">
        <v>73</v>
      </c>
      <c r="G58" s="53" t="s">
        <v>1355</v>
      </c>
      <c r="H58" s="53">
        <v>1.0</v>
      </c>
      <c r="I58" s="53">
        <v>0.046511627906976744</v>
      </c>
      <c r="J58" s="53">
        <v>1.0</v>
      </c>
      <c r="K58" s="53" t="s">
        <v>53</v>
      </c>
      <c r="L58" s="53" t="s">
        <v>53</v>
      </c>
    </row>
    <row r="59" ht="15.75" customHeight="1">
      <c r="A59" s="53" t="s">
        <v>1344</v>
      </c>
      <c r="B59" s="53" t="s">
        <v>1237</v>
      </c>
      <c r="D59" s="53" t="s">
        <v>1351</v>
      </c>
      <c r="E59" s="53" t="s">
        <v>1362</v>
      </c>
      <c r="F59" s="53" t="s">
        <v>73</v>
      </c>
      <c r="G59" s="53" t="s">
        <v>1347</v>
      </c>
      <c r="H59" s="53">
        <v>1.0</v>
      </c>
      <c r="I59" s="53">
        <v>0.04878048780487805</v>
      </c>
      <c r="J59" s="53">
        <v>2.0</v>
      </c>
      <c r="K59" s="53" t="s">
        <v>53</v>
      </c>
      <c r="L59" s="53" t="s">
        <v>53</v>
      </c>
    </row>
    <row r="60" ht="15.75" customHeight="1">
      <c r="A60" s="53" t="s">
        <v>1344</v>
      </c>
      <c r="B60" s="53" t="s">
        <v>1237</v>
      </c>
      <c r="D60" s="53" t="s">
        <v>1353</v>
      </c>
      <c r="E60" s="53" t="s">
        <v>1363</v>
      </c>
      <c r="F60" s="53" t="s">
        <v>73</v>
      </c>
      <c r="G60" s="53" t="s">
        <v>1355</v>
      </c>
      <c r="H60" s="53">
        <v>1.0</v>
      </c>
      <c r="I60" s="53">
        <v>0.023255813953488372</v>
      </c>
      <c r="J60" s="53">
        <v>0.0</v>
      </c>
      <c r="K60" s="53" t="s">
        <v>53</v>
      </c>
      <c r="L60" s="53" t="s">
        <v>53</v>
      </c>
    </row>
    <row r="61" ht="15.75" customHeight="1">
      <c r="A61" s="53" t="s">
        <v>1344</v>
      </c>
      <c r="B61" s="53" t="s">
        <v>1237</v>
      </c>
      <c r="D61" s="53" t="s">
        <v>1353</v>
      </c>
      <c r="E61" s="53" t="s">
        <v>1364</v>
      </c>
      <c r="F61" s="53" t="s">
        <v>73</v>
      </c>
      <c r="G61" s="53" t="s">
        <v>1347</v>
      </c>
      <c r="H61" s="53">
        <v>1.0</v>
      </c>
      <c r="I61" s="53">
        <v>0.09302325581395349</v>
      </c>
      <c r="J61" s="53">
        <v>1.0</v>
      </c>
      <c r="K61" s="53" t="s">
        <v>53</v>
      </c>
      <c r="L61" s="53" t="s">
        <v>53</v>
      </c>
    </row>
    <row r="62" ht="15.75" customHeight="1">
      <c r="A62" s="53" t="s">
        <v>1344</v>
      </c>
      <c r="B62" s="53" t="s">
        <v>1237</v>
      </c>
      <c r="D62" s="53" t="s">
        <v>1355</v>
      </c>
      <c r="E62" s="53" t="s">
        <v>1365</v>
      </c>
      <c r="F62" s="53" t="s">
        <v>73</v>
      </c>
      <c r="G62" s="53" t="s">
        <v>1347</v>
      </c>
      <c r="H62" s="53">
        <v>1.0</v>
      </c>
      <c r="I62" s="53">
        <v>0.09302325581395349</v>
      </c>
      <c r="J62" s="53">
        <v>0.0</v>
      </c>
      <c r="K62" s="53" t="s">
        <v>53</v>
      </c>
      <c r="L62" s="53" t="s">
        <v>53</v>
      </c>
    </row>
    <row r="63" ht="15.75" customHeight="1">
      <c r="A63" s="53" t="s">
        <v>1366</v>
      </c>
      <c r="B63" s="53" t="s">
        <v>1367</v>
      </c>
      <c r="D63" s="53" t="s">
        <v>1368</v>
      </c>
      <c r="E63" s="53" t="s">
        <v>1369</v>
      </c>
      <c r="F63" s="53" t="s">
        <v>1134</v>
      </c>
      <c r="G63" s="53" t="s">
        <v>1130</v>
      </c>
      <c r="H63" s="53">
        <v>1.0</v>
      </c>
      <c r="I63" s="53">
        <v>0.12162162162162163</v>
      </c>
      <c r="J63" s="53">
        <v>0.0</v>
      </c>
      <c r="K63" s="53" t="s">
        <v>53</v>
      </c>
      <c r="L63" s="53" t="s">
        <v>53</v>
      </c>
    </row>
    <row r="64" ht="15.75" customHeight="1">
      <c r="A64" s="53" t="s">
        <v>1366</v>
      </c>
      <c r="B64" s="53" t="s">
        <v>1367</v>
      </c>
      <c r="D64" s="53" t="s">
        <v>1368</v>
      </c>
      <c r="E64" s="53" t="s">
        <v>1370</v>
      </c>
      <c r="F64" s="53" t="s">
        <v>1134</v>
      </c>
      <c r="G64" s="53" t="s">
        <v>1371</v>
      </c>
      <c r="H64" s="53">
        <v>1.0</v>
      </c>
      <c r="I64" s="53">
        <v>0.22424242424242424</v>
      </c>
      <c r="J64" s="53">
        <v>1.0</v>
      </c>
      <c r="K64" s="53" t="s">
        <v>53</v>
      </c>
      <c r="L64" s="53" t="s">
        <v>53</v>
      </c>
    </row>
    <row r="65" ht="15.75" customHeight="1">
      <c r="A65" s="53" t="s">
        <v>1366</v>
      </c>
      <c r="B65" s="53" t="s">
        <v>1367</v>
      </c>
      <c r="D65" s="53" t="s">
        <v>1130</v>
      </c>
      <c r="E65" s="53" t="s">
        <v>1372</v>
      </c>
      <c r="F65" s="53" t="s">
        <v>1134</v>
      </c>
      <c r="G65" s="53" t="s">
        <v>1371</v>
      </c>
      <c r="H65" s="53">
        <v>1.0</v>
      </c>
      <c r="I65" s="53">
        <v>0.11515151515151516</v>
      </c>
      <c r="J65" s="53">
        <v>0.0</v>
      </c>
      <c r="K65" s="53" t="s">
        <v>53</v>
      </c>
      <c r="L65" s="53" t="s">
        <v>53</v>
      </c>
    </row>
    <row r="66" ht="15.75" customHeight="1">
      <c r="A66" s="53" t="s">
        <v>1373</v>
      </c>
      <c r="B66" s="53" t="s">
        <v>1367</v>
      </c>
      <c r="D66" s="53" t="s">
        <v>1368</v>
      </c>
      <c r="E66" s="53" t="s">
        <v>1374</v>
      </c>
      <c r="F66" s="53" t="s">
        <v>1375</v>
      </c>
      <c r="G66" s="53" t="s">
        <v>1130</v>
      </c>
      <c r="H66" s="53">
        <v>1.0</v>
      </c>
      <c r="I66" s="53">
        <v>0.12162162162162163</v>
      </c>
      <c r="J66" s="53">
        <v>0.0</v>
      </c>
      <c r="K66" s="53" t="s">
        <v>53</v>
      </c>
      <c r="L66" s="53" t="s">
        <v>53</v>
      </c>
    </row>
    <row r="67" ht="15.75" customHeight="1">
      <c r="A67" s="53" t="s">
        <v>1373</v>
      </c>
      <c r="B67" s="53" t="s">
        <v>1367</v>
      </c>
      <c r="D67" s="53" t="s">
        <v>1368</v>
      </c>
      <c r="E67" s="53" t="s">
        <v>1376</v>
      </c>
      <c r="F67" s="53" t="s">
        <v>1375</v>
      </c>
      <c r="G67" s="53" t="s">
        <v>1371</v>
      </c>
      <c r="H67" s="53">
        <v>1.0</v>
      </c>
      <c r="I67" s="53">
        <v>0.22424242424242424</v>
      </c>
      <c r="J67" s="53">
        <v>1.0</v>
      </c>
      <c r="K67" s="53" t="s">
        <v>53</v>
      </c>
      <c r="L67" s="53" t="s">
        <v>53</v>
      </c>
    </row>
    <row r="68" ht="15.75" customHeight="1">
      <c r="A68" s="53" t="s">
        <v>1373</v>
      </c>
      <c r="B68" s="53" t="s">
        <v>1367</v>
      </c>
      <c r="D68" s="53" t="s">
        <v>1130</v>
      </c>
      <c r="E68" s="53" t="s">
        <v>1377</v>
      </c>
      <c r="F68" s="53" t="s">
        <v>1375</v>
      </c>
      <c r="G68" s="53" t="s">
        <v>1371</v>
      </c>
      <c r="H68" s="53">
        <v>1.0</v>
      </c>
      <c r="I68" s="53">
        <v>0.11515151515151516</v>
      </c>
      <c r="J68" s="53">
        <v>0.0</v>
      </c>
      <c r="K68" s="53" t="s">
        <v>53</v>
      </c>
      <c r="L68" s="53" t="s">
        <v>53</v>
      </c>
    </row>
    <row r="69" ht="15.75" customHeight="1">
      <c r="A69" s="53" t="s">
        <v>1378</v>
      </c>
      <c r="B69" s="53" t="s">
        <v>1379</v>
      </c>
      <c r="D69" s="53" t="s">
        <v>1345</v>
      </c>
      <c r="E69" s="53" t="s">
        <v>1380</v>
      </c>
      <c r="F69" s="53" t="s">
        <v>73</v>
      </c>
      <c r="G69" s="53" t="s">
        <v>1347</v>
      </c>
      <c r="H69" s="53">
        <v>1.0</v>
      </c>
      <c r="I69" s="53">
        <v>0.1951219512195122</v>
      </c>
      <c r="J69" s="53">
        <v>4.0</v>
      </c>
      <c r="K69" s="53" t="s">
        <v>53</v>
      </c>
      <c r="L69" s="53" t="s">
        <v>53</v>
      </c>
    </row>
    <row r="70" ht="15.75" customHeight="1">
      <c r="A70" s="53" t="s">
        <v>1378</v>
      </c>
      <c r="B70" s="53" t="s">
        <v>1379</v>
      </c>
      <c r="D70" s="53" t="s">
        <v>1345</v>
      </c>
      <c r="E70" s="53" t="s">
        <v>1381</v>
      </c>
      <c r="F70" s="53" t="s">
        <v>73</v>
      </c>
      <c r="G70" s="53" t="s">
        <v>1349</v>
      </c>
      <c r="H70" s="53">
        <v>1.0</v>
      </c>
      <c r="I70" s="53">
        <v>0.1951219512195122</v>
      </c>
      <c r="J70" s="53">
        <v>0.0</v>
      </c>
      <c r="K70" s="53" t="s">
        <v>53</v>
      </c>
      <c r="L70" s="53" t="s">
        <v>53</v>
      </c>
    </row>
    <row r="71" ht="15.75" customHeight="1">
      <c r="A71" s="53" t="s">
        <v>1378</v>
      </c>
      <c r="B71" s="53" t="s">
        <v>1379</v>
      </c>
      <c r="D71" s="53" t="s">
        <v>1345</v>
      </c>
      <c r="E71" s="53" t="s">
        <v>1382</v>
      </c>
      <c r="F71" s="53" t="s">
        <v>73</v>
      </c>
      <c r="G71" s="53" t="s">
        <v>1351</v>
      </c>
      <c r="H71" s="53">
        <v>1.0</v>
      </c>
      <c r="I71" s="53">
        <v>0.21951219512195122</v>
      </c>
      <c r="J71" s="53">
        <v>1.0</v>
      </c>
      <c r="K71" s="53" t="s">
        <v>53</v>
      </c>
      <c r="L71" s="53" t="s">
        <v>53</v>
      </c>
    </row>
    <row r="72" ht="15.75" customHeight="1">
      <c r="A72" s="53" t="s">
        <v>1378</v>
      </c>
      <c r="B72" s="53" t="s">
        <v>1379</v>
      </c>
      <c r="D72" s="53" t="s">
        <v>1345</v>
      </c>
      <c r="E72" s="53" t="s">
        <v>1383</v>
      </c>
      <c r="F72" s="53" t="s">
        <v>73</v>
      </c>
      <c r="G72" s="53" t="s">
        <v>1353</v>
      </c>
      <c r="H72" s="53">
        <v>1.0</v>
      </c>
      <c r="I72" s="53">
        <v>0.21951219512195122</v>
      </c>
      <c r="J72" s="53">
        <v>2.0</v>
      </c>
      <c r="K72" s="53" t="s">
        <v>53</v>
      </c>
      <c r="L72" s="53" t="s">
        <v>53</v>
      </c>
    </row>
    <row r="73" ht="15.75" customHeight="1">
      <c r="A73" s="53" t="s">
        <v>1378</v>
      </c>
      <c r="B73" s="53" t="s">
        <v>1379</v>
      </c>
      <c r="D73" s="53" t="s">
        <v>1345</v>
      </c>
      <c r="E73" s="53" t="s">
        <v>1384</v>
      </c>
      <c r="F73" s="53" t="s">
        <v>73</v>
      </c>
      <c r="G73" s="53" t="s">
        <v>1355</v>
      </c>
      <c r="H73" s="53">
        <v>1.0</v>
      </c>
      <c r="I73" s="53">
        <v>0.21951219512195122</v>
      </c>
      <c r="J73" s="53">
        <v>3.0</v>
      </c>
      <c r="K73" s="53" t="s">
        <v>53</v>
      </c>
      <c r="L73" s="53" t="s">
        <v>53</v>
      </c>
    </row>
    <row r="74" ht="15.75" customHeight="1">
      <c r="A74" s="53" t="s">
        <v>1378</v>
      </c>
      <c r="B74" s="53" t="s">
        <v>1379</v>
      </c>
      <c r="D74" s="53" t="s">
        <v>1349</v>
      </c>
      <c r="E74" s="53" t="s">
        <v>1385</v>
      </c>
      <c r="F74" s="53" t="s">
        <v>73</v>
      </c>
      <c r="G74" s="53" t="s">
        <v>1351</v>
      </c>
      <c r="H74" s="53">
        <v>1.0</v>
      </c>
      <c r="I74" s="53">
        <v>0.16666666666666666</v>
      </c>
      <c r="J74" s="53">
        <v>0.0</v>
      </c>
      <c r="K74" s="53" t="s">
        <v>53</v>
      </c>
      <c r="L74" s="53" t="s">
        <v>53</v>
      </c>
    </row>
    <row r="75" ht="15.75" customHeight="1">
      <c r="A75" s="53" t="s">
        <v>1378</v>
      </c>
      <c r="B75" s="53" t="s">
        <v>1379</v>
      </c>
      <c r="D75" s="53" t="s">
        <v>1349</v>
      </c>
      <c r="E75" s="53" t="s">
        <v>1386</v>
      </c>
      <c r="F75" s="53" t="s">
        <v>73</v>
      </c>
      <c r="G75" s="53" t="s">
        <v>1353</v>
      </c>
      <c r="H75" s="53">
        <v>1.0</v>
      </c>
      <c r="I75" s="53">
        <v>0.16666666666666666</v>
      </c>
      <c r="J75" s="53">
        <v>1.0</v>
      </c>
      <c r="K75" s="53" t="s">
        <v>53</v>
      </c>
      <c r="L75" s="53" t="s">
        <v>53</v>
      </c>
    </row>
    <row r="76" ht="15.75" customHeight="1">
      <c r="A76" s="53" t="s">
        <v>1378</v>
      </c>
      <c r="B76" s="53" t="s">
        <v>1379</v>
      </c>
      <c r="D76" s="53" t="s">
        <v>1349</v>
      </c>
      <c r="E76" s="53" t="s">
        <v>1387</v>
      </c>
      <c r="F76" s="53" t="s">
        <v>73</v>
      </c>
      <c r="G76" s="53" t="s">
        <v>1347</v>
      </c>
      <c r="H76" s="53">
        <v>1.0</v>
      </c>
      <c r="I76" s="53">
        <v>0.16666666666666666</v>
      </c>
      <c r="J76" s="53">
        <v>3.0</v>
      </c>
      <c r="K76" s="53" t="s">
        <v>53</v>
      </c>
      <c r="L76" s="53" t="s">
        <v>53</v>
      </c>
    </row>
    <row r="77" ht="15.75" customHeight="1">
      <c r="A77" s="53" t="s">
        <v>1378</v>
      </c>
      <c r="B77" s="53" t="s">
        <v>1379</v>
      </c>
      <c r="D77" s="53" t="s">
        <v>1349</v>
      </c>
      <c r="E77" s="53" t="s">
        <v>1388</v>
      </c>
      <c r="F77" s="53" t="s">
        <v>73</v>
      </c>
      <c r="G77" s="53" t="s">
        <v>1355</v>
      </c>
      <c r="H77" s="53">
        <v>1.0</v>
      </c>
      <c r="I77" s="53">
        <v>0.16666666666666666</v>
      </c>
      <c r="J77" s="53">
        <v>2.0</v>
      </c>
      <c r="K77" s="53" t="s">
        <v>53</v>
      </c>
      <c r="L77" s="53" t="s">
        <v>53</v>
      </c>
    </row>
    <row r="78" ht="15.75" customHeight="1">
      <c r="A78" s="53" t="s">
        <v>1378</v>
      </c>
      <c r="B78" s="53" t="s">
        <v>1379</v>
      </c>
      <c r="D78" s="53" t="s">
        <v>1351</v>
      </c>
      <c r="E78" s="53" t="s">
        <v>1389</v>
      </c>
      <c r="F78" s="53" t="s">
        <v>73</v>
      </c>
      <c r="G78" s="53" t="s">
        <v>1353</v>
      </c>
      <c r="H78" s="53">
        <v>1.0</v>
      </c>
      <c r="I78" s="53">
        <v>0.05128205128205128</v>
      </c>
      <c r="J78" s="53">
        <v>0.0</v>
      </c>
      <c r="K78" s="53" t="s">
        <v>53</v>
      </c>
      <c r="L78" s="53" t="s">
        <v>53</v>
      </c>
    </row>
    <row r="79" ht="15.75" customHeight="1">
      <c r="A79" s="53" t="s">
        <v>1378</v>
      </c>
      <c r="B79" s="53" t="s">
        <v>1379</v>
      </c>
      <c r="D79" s="53" t="s">
        <v>1351</v>
      </c>
      <c r="E79" s="53" t="s">
        <v>1390</v>
      </c>
      <c r="F79" s="53" t="s">
        <v>73</v>
      </c>
      <c r="G79" s="53" t="s">
        <v>1355</v>
      </c>
      <c r="H79" s="53">
        <v>1.0</v>
      </c>
      <c r="I79" s="53">
        <v>0.05128205128205128</v>
      </c>
      <c r="J79" s="53">
        <v>1.0</v>
      </c>
      <c r="K79" s="53" t="s">
        <v>53</v>
      </c>
      <c r="L79" s="53" t="s">
        <v>53</v>
      </c>
    </row>
    <row r="80" ht="15.75" customHeight="1">
      <c r="A80" s="53" t="s">
        <v>1378</v>
      </c>
      <c r="B80" s="53" t="s">
        <v>1379</v>
      </c>
      <c r="D80" s="53" t="s">
        <v>1351</v>
      </c>
      <c r="E80" s="53" t="s">
        <v>1391</v>
      </c>
      <c r="F80" s="53" t="s">
        <v>73</v>
      </c>
      <c r="G80" s="53" t="s">
        <v>1347</v>
      </c>
      <c r="H80" s="53">
        <v>1.0</v>
      </c>
      <c r="I80" s="53">
        <v>0.05405405405405406</v>
      </c>
      <c r="J80" s="53">
        <v>2.0</v>
      </c>
      <c r="K80" s="53" t="s">
        <v>53</v>
      </c>
      <c r="L80" s="53" t="s">
        <v>53</v>
      </c>
    </row>
    <row r="81" ht="15.75" customHeight="1">
      <c r="A81" s="53" t="s">
        <v>1378</v>
      </c>
      <c r="B81" s="53" t="s">
        <v>1379</v>
      </c>
      <c r="D81" s="53" t="s">
        <v>1353</v>
      </c>
      <c r="E81" s="53" t="s">
        <v>1392</v>
      </c>
      <c r="F81" s="53" t="s">
        <v>73</v>
      </c>
      <c r="G81" s="53" t="s">
        <v>1355</v>
      </c>
      <c r="H81" s="53">
        <v>1.0</v>
      </c>
      <c r="I81" s="53">
        <v>0.02564102564102564</v>
      </c>
      <c r="J81" s="53">
        <v>0.0</v>
      </c>
      <c r="K81" s="53" t="s">
        <v>53</v>
      </c>
      <c r="L81" s="53" t="s">
        <v>53</v>
      </c>
    </row>
    <row r="82" ht="15.75" customHeight="1">
      <c r="A82" s="53" t="s">
        <v>1378</v>
      </c>
      <c r="B82" s="53" t="s">
        <v>1379</v>
      </c>
      <c r="D82" s="53" t="s">
        <v>1353</v>
      </c>
      <c r="E82" s="53" t="s">
        <v>1393</v>
      </c>
      <c r="F82" s="53" t="s">
        <v>73</v>
      </c>
      <c r="G82" s="53" t="s">
        <v>1347</v>
      </c>
      <c r="H82" s="53">
        <v>1.0</v>
      </c>
      <c r="I82" s="53">
        <v>0.10256410256410256</v>
      </c>
      <c r="J82" s="53">
        <v>1.0</v>
      </c>
      <c r="K82" s="53" t="s">
        <v>53</v>
      </c>
      <c r="L82" s="53" t="s">
        <v>53</v>
      </c>
    </row>
    <row r="83" ht="15.75" customHeight="1">
      <c r="A83" s="53" t="s">
        <v>1378</v>
      </c>
      <c r="B83" s="53" t="s">
        <v>1379</v>
      </c>
      <c r="D83" s="53" t="s">
        <v>1355</v>
      </c>
      <c r="E83" s="53" t="s">
        <v>1394</v>
      </c>
      <c r="F83" s="53" t="s">
        <v>73</v>
      </c>
      <c r="G83" s="53" t="s">
        <v>1347</v>
      </c>
      <c r="H83" s="53">
        <v>1.0</v>
      </c>
      <c r="I83" s="53">
        <v>0.10256410256410256</v>
      </c>
      <c r="J83" s="53">
        <v>0.0</v>
      </c>
      <c r="K83" s="53" t="s">
        <v>53</v>
      </c>
      <c r="L83" s="53" t="s">
        <v>53</v>
      </c>
    </row>
    <row r="84" ht="15.75" customHeight="1">
      <c r="A84" s="53" t="s">
        <v>67</v>
      </c>
      <c r="B84" s="53" t="s">
        <v>1395</v>
      </c>
      <c r="C84" s="53" t="s">
        <v>1396</v>
      </c>
      <c r="D84" s="53" t="s">
        <v>1397</v>
      </c>
      <c r="E84" s="53" t="s">
        <v>1398</v>
      </c>
      <c r="F84" s="53" t="s">
        <v>1399</v>
      </c>
      <c r="G84" s="53" t="s">
        <v>1400</v>
      </c>
      <c r="H84" s="53">
        <v>0.8</v>
      </c>
      <c r="I84" s="53">
        <v>0.3284403669724771</v>
      </c>
      <c r="J84" s="53">
        <v>0.0</v>
      </c>
      <c r="K84" s="53" t="s">
        <v>1401</v>
      </c>
      <c r="L84" s="53" t="s">
        <v>1402</v>
      </c>
    </row>
    <row r="85" ht="15.75" customHeight="1">
      <c r="A85" s="53" t="s">
        <v>95</v>
      </c>
      <c r="B85" s="53" t="s">
        <v>1395</v>
      </c>
      <c r="D85" s="53" t="s">
        <v>1238</v>
      </c>
      <c r="E85" s="53" t="s">
        <v>1403</v>
      </c>
      <c r="F85" s="53" t="s">
        <v>1404</v>
      </c>
      <c r="G85" s="53" t="s">
        <v>1241</v>
      </c>
      <c r="H85" s="53">
        <v>0.6</v>
      </c>
      <c r="I85" s="53">
        <v>0.05194805194805195</v>
      </c>
      <c r="J85" s="53">
        <v>0.0</v>
      </c>
      <c r="K85" s="53" t="s">
        <v>53</v>
      </c>
      <c r="L85" s="53" t="s">
        <v>1405</v>
      </c>
    </row>
    <row r="86" ht="15.75" customHeight="1">
      <c r="A86" s="53" t="s">
        <v>95</v>
      </c>
      <c r="B86" s="53" t="s">
        <v>1395</v>
      </c>
      <c r="D86" s="53" t="s">
        <v>1238</v>
      </c>
      <c r="E86" s="53" t="s">
        <v>1406</v>
      </c>
      <c r="F86" s="53" t="s">
        <v>1407</v>
      </c>
      <c r="G86" s="53" t="s">
        <v>1245</v>
      </c>
      <c r="H86" s="53">
        <v>0.6</v>
      </c>
      <c r="I86" s="53">
        <v>0.05194805194805195</v>
      </c>
      <c r="J86" s="53">
        <v>4.0</v>
      </c>
      <c r="K86" s="53" t="s">
        <v>53</v>
      </c>
      <c r="L86" s="53" t="s">
        <v>1408</v>
      </c>
    </row>
    <row r="87" ht="15.75" customHeight="1">
      <c r="A87" s="53" t="s">
        <v>95</v>
      </c>
      <c r="B87" s="53" t="s">
        <v>1395</v>
      </c>
      <c r="D87" s="53" t="s">
        <v>1238</v>
      </c>
      <c r="E87" s="53" t="s">
        <v>1409</v>
      </c>
      <c r="F87" s="53" t="s">
        <v>1410</v>
      </c>
      <c r="G87" s="53" t="s">
        <v>1249</v>
      </c>
      <c r="H87" s="53">
        <v>0.6</v>
      </c>
      <c r="I87" s="53">
        <v>0.05844155844155844</v>
      </c>
      <c r="J87" s="53">
        <v>2.0</v>
      </c>
      <c r="K87" s="53" t="s">
        <v>53</v>
      </c>
      <c r="L87" s="53" t="s">
        <v>1411</v>
      </c>
    </row>
    <row r="88" ht="15.75" customHeight="1">
      <c r="A88" s="53" t="s">
        <v>95</v>
      </c>
      <c r="B88" s="53" t="s">
        <v>1395</v>
      </c>
      <c r="D88" s="53" t="s">
        <v>1238</v>
      </c>
      <c r="E88" s="53" t="s">
        <v>1412</v>
      </c>
      <c r="F88" s="53" t="s">
        <v>1413</v>
      </c>
      <c r="G88" s="53" t="s">
        <v>1253</v>
      </c>
      <c r="H88" s="53">
        <v>0.6</v>
      </c>
      <c r="I88" s="53">
        <v>0.05844155844155844</v>
      </c>
      <c r="J88" s="53">
        <v>1.0</v>
      </c>
      <c r="K88" s="53" t="s">
        <v>53</v>
      </c>
      <c r="L88" s="53" t="s">
        <v>1414</v>
      </c>
    </row>
    <row r="89" ht="15.75" customHeight="1">
      <c r="A89" s="53" t="s">
        <v>95</v>
      </c>
      <c r="B89" s="53" t="s">
        <v>1395</v>
      </c>
      <c r="D89" s="53" t="s">
        <v>1238</v>
      </c>
      <c r="E89" s="53" t="s">
        <v>1415</v>
      </c>
      <c r="F89" s="53" t="s">
        <v>1416</v>
      </c>
      <c r="G89" s="53" t="s">
        <v>1257</v>
      </c>
      <c r="H89" s="53">
        <v>0.6</v>
      </c>
      <c r="I89" s="53">
        <v>0.05844155844155844</v>
      </c>
      <c r="J89" s="53">
        <v>3.0</v>
      </c>
      <c r="K89" s="53" t="s">
        <v>53</v>
      </c>
      <c r="L89" s="53" t="s">
        <v>1417</v>
      </c>
    </row>
    <row r="90" ht="15.75" customHeight="1">
      <c r="A90" s="53" t="s">
        <v>95</v>
      </c>
      <c r="B90" s="53" t="s">
        <v>1395</v>
      </c>
      <c r="D90" s="53" t="s">
        <v>1241</v>
      </c>
      <c r="E90" s="53" t="s">
        <v>1418</v>
      </c>
      <c r="F90" s="53" t="s">
        <v>1419</v>
      </c>
      <c r="G90" s="53" t="s">
        <v>1249</v>
      </c>
      <c r="H90" s="53">
        <v>0.6</v>
      </c>
      <c r="I90" s="53">
        <v>0.039473684210526314</v>
      </c>
      <c r="J90" s="53">
        <v>1.0</v>
      </c>
      <c r="K90" s="53" t="s">
        <v>53</v>
      </c>
      <c r="L90" s="53" t="s">
        <v>1420</v>
      </c>
    </row>
    <row r="91" ht="15.75" customHeight="1">
      <c r="A91" s="53" t="s">
        <v>95</v>
      </c>
      <c r="B91" s="53" t="s">
        <v>1395</v>
      </c>
      <c r="D91" s="53" t="s">
        <v>1241</v>
      </c>
      <c r="E91" s="53" t="s">
        <v>1421</v>
      </c>
      <c r="F91" s="53" t="s">
        <v>1422</v>
      </c>
      <c r="G91" s="53" t="s">
        <v>1253</v>
      </c>
      <c r="H91" s="53">
        <v>0.6</v>
      </c>
      <c r="I91" s="53">
        <v>0.039473684210526314</v>
      </c>
      <c r="J91" s="53">
        <v>0.0</v>
      </c>
      <c r="K91" s="53" t="s">
        <v>53</v>
      </c>
      <c r="L91" s="53" t="s">
        <v>1423</v>
      </c>
    </row>
    <row r="92" ht="15.75" customHeight="1">
      <c r="A92" s="53" t="s">
        <v>95</v>
      </c>
      <c r="B92" s="53" t="s">
        <v>1395</v>
      </c>
      <c r="D92" s="53" t="s">
        <v>1241</v>
      </c>
      <c r="E92" s="53" t="s">
        <v>1424</v>
      </c>
      <c r="F92" s="53" t="s">
        <v>1425</v>
      </c>
      <c r="G92" s="53" t="s">
        <v>1257</v>
      </c>
      <c r="H92" s="53">
        <v>0.6</v>
      </c>
      <c r="I92" s="53">
        <v>0.039473684210526314</v>
      </c>
      <c r="J92" s="53">
        <v>2.0</v>
      </c>
      <c r="K92" s="53" t="s">
        <v>53</v>
      </c>
      <c r="L92" s="53" t="s">
        <v>1426</v>
      </c>
    </row>
    <row r="93" ht="15.75" customHeight="1">
      <c r="A93" s="53" t="s">
        <v>95</v>
      </c>
      <c r="B93" s="53" t="s">
        <v>1395</v>
      </c>
      <c r="D93" s="53" t="s">
        <v>1241</v>
      </c>
      <c r="E93" s="53" t="s">
        <v>1427</v>
      </c>
      <c r="F93" s="53" t="s">
        <v>1428</v>
      </c>
      <c r="G93" s="53" t="s">
        <v>1245</v>
      </c>
      <c r="H93" s="53">
        <v>0.6</v>
      </c>
      <c r="I93" s="53">
        <v>0.039473684210526314</v>
      </c>
      <c r="J93" s="53">
        <v>3.0</v>
      </c>
      <c r="K93" s="53" t="s">
        <v>53</v>
      </c>
      <c r="L93" s="53" t="s">
        <v>1429</v>
      </c>
    </row>
    <row r="94" ht="15.75" customHeight="1">
      <c r="A94" s="53" t="s">
        <v>95</v>
      </c>
      <c r="B94" s="53" t="s">
        <v>1395</v>
      </c>
      <c r="D94" s="53" t="s">
        <v>1253</v>
      </c>
      <c r="E94" s="53" t="s">
        <v>1430</v>
      </c>
      <c r="F94" s="53" t="s">
        <v>1431</v>
      </c>
      <c r="G94" s="53" t="s">
        <v>1249</v>
      </c>
      <c r="H94" s="53">
        <v>0.6</v>
      </c>
      <c r="I94" s="53">
        <v>0.013157894736842105</v>
      </c>
      <c r="J94" s="53">
        <v>0.0</v>
      </c>
      <c r="K94" s="53" t="s">
        <v>53</v>
      </c>
      <c r="L94" s="53" t="s">
        <v>1432</v>
      </c>
    </row>
    <row r="95" ht="15.75" customHeight="1">
      <c r="A95" s="53" t="s">
        <v>95</v>
      </c>
      <c r="B95" s="53" t="s">
        <v>1395</v>
      </c>
      <c r="D95" s="53" t="s">
        <v>1253</v>
      </c>
      <c r="E95" s="53" t="s">
        <v>1433</v>
      </c>
      <c r="F95" s="53" t="s">
        <v>1434</v>
      </c>
      <c r="G95" s="53" t="s">
        <v>1257</v>
      </c>
      <c r="H95" s="53">
        <v>0.6</v>
      </c>
      <c r="I95" s="53">
        <v>0.013157894736842105</v>
      </c>
      <c r="J95" s="53">
        <v>1.0</v>
      </c>
      <c r="K95" s="53" t="s">
        <v>53</v>
      </c>
      <c r="L95" s="53" t="s">
        <v>1435</v>
      </c>
    </row>
    <row r="96" ht="15.75" customHeight="1">
      <c r="A96" s="53" t="s">
        <v>95</v>
      </c>
      <c r="B96" s="53" t="s">
        <v>1395</v>
      </c>
      <c r="D96" s="53" t="s">
        <v>1253</v>
      </c>
      <c r="E96" s="53" t="s">
        <v>1436</v>
      </c>
      <c r="F96" s="53" t="s">
        <v>1437</v>
      </c>
      <c r="G96" s="53" t="s">
        <v>1245</v>
      </c>
      <c r="H96" s="53">
        <v>0.6</v>
      </c>
      <c r="I96" s="53">
        <v>0.013333333333333334</v>
      </c>
      <c r="J96" s="53">
        <v>2.0</v>
      </c>
      <c r="K96" s="53" t="s">
        <v>53</v>
      </c>
      <c r="L96" s="53" t="s">
        <v>1438</v>
      </c>
    </row>
    <row r="97" ht="15.75" customHeight="1">
      <c r="A97" s="53" t="s">
        <v>95</v>
      </c>
      <c r="B97" s="53" t="s">
        <v>1395</v>
      </c>
      <c r="D97" s="53" t="s">
        <v>1249</v>
      </c>
      <c r="E97" s="53" t="s">
        <v>1439</v>
      </c>
      <c r="F97" s="53" t="s">
        <v>1440</v>
      </c>
      <c r="G97" s="53" t="s">
        <v>1257</v>
      </c>
      <c r="H97" s="53">
        <v>0.6</v>
      </c>
      <c r="I97" s="53">
        <v>0.006578947368421052</v>
      </c>
      <c r="J97" s="53">
        <v>0.0</v>
      </c>
      <c r="K97" s="53" t="s">
        <v>53</v>
      </c>
      <c r="L97" s="53" t="s">
        <v>1441</v>
      </c>
    </row>
    <row r="98" ht="15.75" customHeight="1">
      <c r="A98" s="53" t="s">
        <v>95</v>
      </c>
      <c r="B98" s="53" t="s">
        <v>1395</v>
      </c>
      <c r="D98" s="53" t="s">
        <v>1249</v>
      </c>
      <c r="E98" s="53" t="s">
        <v>1442</v>
      </c>
      <c r="F98" s="53" t="s">
        <v>1443</v>
      </c>
      <c r="G98" s="53" t="s">
        <v>1245</v>
      </c>
      <c r="H98" s="53">
        <v>0.6</v>
      </c>
      <c r="I98" s="53">
        <v>0.02631578947368421</v>
      </c>
      <c r="J98" s="53">
        <v>1.0</v>
      </c>
      <c r="K98" s="53" t="s">
        <v>53</v>
      </c>
      <c r="L98" s="53" t="s">
        <v>1444</v>
      </c>
    </row>
    <row r="99" ht="15.75" customHeight="1">
      <c r="A99" s="53" t="s">
        <v>95</v>
      </c>
      <c r="B99" s="53" t="s">
        <v>1395</v>
      </c>
      <c r="D99" s="53" t="s">
        <v>1257</v>
      </c>
      <c r="E99" s="53" t="s">
        <v>1445</v>
      </c>
      <c r="F99" s="53" t="s">
        <v>1446</v>
      </c>
      <c r="G99" s="53" t="s">
        <v>1245</v>
      </c>
      <c r="H99" s="53">
        <v>0.6</v>
      </c>
      <c r="I99" s="53">
        <v>0.02631578947368421</v>
      </c>
      <c r="J99" s="53">
        <v>0.0</v>
      </c>
      <c r="K99" s="53" t="s">
        <v>53</v>
      </c>
      <c r="L99" s="53" t="s">
        <v>1447</v>
      </c>
    </row>
    <row r="100" ht="15.75" customHeight="1">
      <c r="A100" s="53" t="s">
        <v>95</v>
      </c>
      <c r="B100" s="53" t="s">
        <v>1395</v>
      </c>
      <c r="D100" s="53" t="s">
        <v>1289</v>
      </c>
      <c r="E100" s="53" t="s">
        <v>1448</v>
      </c>
      <c r="F100" s="53" t="s">
        <v>1449</v>
      </c>
      <c r="G100" s="53" t="s">
        <v>98</v>
      </c>
      <c r="H100" s="53">
        <v>0.7142857142857143</v>
      </c>
      <c r="I100" s="53">
        <v>0.1708542713567839</v>
      </c>
      <c r="J100" s="53">
        <v>0.0</v>
      </c>
      <c r="K100" s="53" t="s">
        <v>53</v>
      </c>
      <c r="L100" s="53" t="s">
        <v>1450</v>
      </c>
    </row>
    <row r="101" ht="15.75" customHeight="1">
      <c r="A101" s="53" t="s">
        <v>95</v>
      </c>
      <c r="B101" s="53" t="s">
        <v>1395</v>
      </c>
      <c r="D101" s="53" t="s">
        <v>1293</v>
      </c>
      <c r="E101" s="53" t="s">
        <v>1451</v>
      </c>
      <c r="F101" s="53" t="s">
        <v>1452</v>
      </c>
      <c r="G101" s="53" t="s">
        <v>1296</v>
      </c>
      <c r="H101" s="53">
        <v>0.5</v>
      </c>
      <c r="I101" s="53">
        <v>0.05517241379310345</v>
      </c>
      <c r="J101" s="53">
        <v>0.0</v>
      </c>
      <c r="K101" s="53" t="s">
        <v>53</v>
      </c>
      <c r="L101" s="53" t="s">
        <v>1453</v>
      </c>
    </row>
    <row r="102" ht="15.75" customHeight="1">
      <c r="A102" s="53" t="s">
        <v>95</v>
      </c>
      <c r="B102" s="53" t="s">
        <v>1395</v>
      </c>
      <c r="D102" s="53" t="s">
        <v>1293</v>
      </c>
      <c r="E102" s="53" t="s">
        <v>1454</v>
      </c>
      <c r="F102" s="53" t="s">
        <v>1455</v>
      </c>
      <c r="G102" s="53" t="s">
        <v>1300</v>
      </c>
      <c r="H102" s="53">
        <v>0.5</v>
      </c>
      <c r="I102" s="53">
        <v>0.05517241379310345</v>
      </c>
      <c r="J102" s="53">
        <v>4.0</v>
      </c>
      <c r="K102" s="53" t="s">
        <v>53</v>
      </c>
      <c r="L102" s="53" t="s">
        <v>1456</v>
      </c>
    </row>
    <row r="103" ht="15.75" customHeight="1">
      <c r="A103" s="53" t="s">
        <v>95</v>
      </c>
      <c r="B103" s="53" t="s">
        <v>1395</v>
      </c>
      <c r="D103" s="53" t="s">
        <v>1293</v>
      </c>
      <c r="E103" s="53" t="s">
        <v>1457</v>
      </c>
      <c r="F103" s="53" t="s">
        <v>1458</v>
      </c>
      <c r="G103" s="53" t="s">
        <v>1304</v>
      </c>
      <c r="H103" s="53">
        <v>0.5</v>
      </c>
      <c r="I103" s="53">
        <v>0.06206896551724138</v>
      </c>
      <c r="J103" s="53">
        <v>2.0</v>
      </c>
      <c r="K103" s="53" t="s">
        <v>53</v>
      </c>
      <c r="L103" s="53" t="s">
        <v>1459</v>
      </c>
    </row>
    <row r="104" ht="15.75" customHeight="1">
      <c r="A104" s="53" t="s">
        <v>95</v>
      </c>
      <c r="B104" s="53" t="s">
        <v>1395</v>
      </c>
      <c r="D104" s="53" t="s">
        <v>1293</v>
      </c>
      <c r="E104" s="53" t="s">
        <v>1460</v>
      </c>
      <c r="F104" s="53" t="s">
        <v>1461</v>
      </c>
      <c r="G104" s="53" t="s">
        <v>1308</v>
      </c>
      <c r="H104" s="53">
        <v>0.5</v>
      </c>
      <c r="I104" s="53">
        <v>0.06206896551724138</v>
      </c>
      <c r="J104" s="53">
        <v>1.0</v>
      </c>
      <c r="K104" s="53" t="s">
        <v>53</v>
      </c>
      <c r="L104" s="53" t="s">
        <v>1462</v>
      </c>
    </row>
    <row r="105" ht="15.75" customHeight="1">
      <c r="A105" s="53" t="s">
        <v>95</v>
      </c>
      <c r="B105" s="53" t="s">
        <v>1395</v>
      </c>
      <c r="D105" s="53" t="s">
        <v>1293</v>
      </c>
      <c r="E105" s="53" t="s">
        <v>1463</v>
      </c>
      <c r="F105" s="53" t="s">
        <v>1464</v>
      </c>
      <c r="G105" s="53" t="s">
        <v>1312</v>
      </c>
      <c r="H105" s="53">
        <v>0.5</v>
      </c>
      <c r="I105" s="53">
        <v>0.06206896551724138</v>
      </c>
      <c r="J105" s="53">
        <v>3.0</v>
      </c>
      <c r="K105" s="53" t="s">
        <v>53</v>
      </c>
      <c r="L105" s="53" t="s">
        <v>1465</v>
      </c>
    </row>
    <row r="106" ht="15.75" customHeight="1">
      <c r="A106" s="53" t="s">
        <v>95</v>
      </c>
      <c r="B106" s="53" t="s">
        <v>1395</v>
      </c>
      <c r="D106" s="53" t="s">
        <v>1296</v>
      </c>
      <c r="E106" s="53" t="s">
        <v>1466</v>
      </c>
      <c r="F106" s="53" t="s">
        <v>1467</v>
      </c>
      <c r="G106" s="53" t="s">
        <v>1304</v>
      </c>
      <c r="H106" s="53">
        <v>0.5</v>
      </c>
      <c r="I106" s="53">
        <v>0.04195804195804196</v>
      </c>
      <c r="J106" s="53">
        <v>1.0</v>
      </c>
      <c r="K106" s="53" t="s">
        <v>53</v>
      </c>
      <c r="L106" s="53" t="s">
        <v>1468</v>
      </c>
    </row>
    <row r="107" ht="15.75" customHeight="1">
      <c r="A107" s="53" t="s">
        <v>95</v>
      </c>
      <c r="B107" s="53" t="s">
        <v>1395</v>
      </c>
      <c r="D107" s="53" t="s">
        <v>1296</v>
      </c>
      <c r="E107" s="53" t="s">
        <v>1469</v>
      </c>
      <c r="F107" s="53" t="s">
        <v>1470</v>
      </c>
      <c r="G107" s="53" t="s">
        <v>1300</v>
      </c>
      <c r="H107" s="53">
        <v>0.5</v>
      </c>
      <c r="I107" s="53">
        <v>0.04195804195804196</v>
      </c>
      <c r="J107" s="53">
        <v>3.0</v>
      </c>
      <c r="K107" s="53" t="s">
        <v>53</v>
      </c>
      <c r="L107" s="53" t="s">
        <v>1471</v>
      </c>
    </row>
    <row r="108" ht="15.75" customHeight="1">
      <c r="A108" s="53" t="s">
        <v>95</v>
      </c>
      <c r="B108" s="53" t="s">
        <v>1395</v>
      </c>
      <c r="D108" s="53" t="s">
        <v>1296</v>
      </c>
      <c r="E108" s="53" t="s">
        <v>1472</v>
      </c>
      <c r="F108" s="53" t="s">
        <v>1473</v>
      </c>
      <c r="G108" s="53" t="s">
        <v>1308</v>
      </c>
      <c r="H108" s="53">
        <v>0.5</v>
      </c>
      <c r="I108" s="53">
        <v>0.04195804195804196</v>
      </c>
      <c r="J108" s="53">
        <v>0.0</v>
      </c>
      <c r="K108" s="53" t="s">
        <v>53</v>
      </c>
      <c r="L108" s="53" t="s">
        <v>1474</v>
      </c>
    </row>
    <row r="109" ht="15.75" customHeight="1">
      <c r="A109" s="53" t="s">
        <v>95</v>
      </c>
      <c r="B109" s="53" t="s">
        <v>1395</v>
      </c>
      <c r="D109" s="53" t="s">
        <v>1296</v>
      </c>
      <c r="E109" s="53" t="s">
        <v>1475</v>
      </c>
      <c r="F109" s="53" t="s">
        <v>1476</v>
      </c>
      <c r="G109" s="53" t="s">
        <v>1312</v>
      </c>
      <c r="H109" s="53">
        <v>0.5</v>
      </c>
      <c r="I109" s="53">
        <v>0.04195804195804196</v>
      </c>
      <c r="J109" s="53">
        <v>2.0</v>
      </c>
      <c r="K109" s="53" t="s">
        <v>53</v>
      </c>
      <c r="L109" s="53" t="s">
        <v>1477</v>
      </c>
    </row>
    <row r="110" ht="15.75" customHeight="1">
      <c r="A110" s="53" t="s">
        <v>95</v>
      </c>
      <c r="B110" s="53" t="s">
        <v>1395</v>
      </c>
      <c r="D110" s="53" t="s">
        <v>1308</v>
      </c>
      <c r="E110" s="53" t="s">
        <v>1478</v>
      </c>
      <c r="F110" s="53" t="s">
        <v>1479</v>
      </c>
      <c r="G110" s="53" t="s">
        <v>1304</v>
      </c>
      <c r="H110" s="53">
        <v>0.5</v>
      </c>
      <c r="I110" s="53">
        <v>0.013986013986013986</v>
      </c>
      <c r="J110" s="53">
        <v>0.0</v>
      </c>
      <c r="K110" s="53" t="s">
        <v>53</v>
      </c>
      <c r="L110" s="53" t="s">
        <v>1480</v>
      </c>
    </row>
    <row r="111" ht="15.75" customHeight="1">
      <c r="A111" s="53" t="s">
        <v>95</v>
      </c>
      <c r="B111" s="53" t="s">
        <v>1395</v>
      </c>
      <c r="D111" s="53" t="s">
        <v>1308</v>
      </c>
      <c r="E111" s="53" t="s">
        <v>1481</v>
      </c>
      <c r="F111" s="53" t="s">
        <v>1482</v>
      </c>
      <c r="G111" s="53" t="s">
        <v>1312</v>
      </c>
      <c r="H111" s="53">
        <v>0.5</v>
      </c>
      <c r="I111" s="53">
        <v>0.013986013986013986</v>
      </c>
      <c r="J111" s="53">
        <v>1.0</v>
      </c>
      <c r="K111" s="53" t="s">
        <v>53</v>
      </c>
      <c r="L111" s="53" t="s">
        <v>1483</v>
      </c>
    </row>
    <row r="112" ht="15.75" customHeight="1">
      <c r="A112" s="53" t="s">
        <v>95</v>
      </c>
      <c r="B112" s="53" t="s">
        <v>1395</v>
      </c>
      <c r="D112" s="53" t="s">
        <v>1308</v>
      </c>
      <c r="E112" s="53" t="s">
        <v>1484</v>
      </c>
      <c r="F112" s="53" t="s">
        <v>1485</v>
      </c>
      <c r="G112" s="53" t="s">
        <v>1300</v>
      </c>
      <c r="H112" s="53">
        <v>0.5</v>
      </c>
      <c r="I112" s="53">
        <v>0.014184397163120567</v>
      </c>
      <c r="J112" s="53">
        <v>2.0</v>
      </c>
      <c r="K112" s="53" t="s">
        <v>53</v>
      </c>
      <c r="L112" s="53" t="s">
        <v>1486</v>
      </c>
    </row>
    <row r="113" ht="15.75" customHeight="1">
      <c r="A113" s="53" t="s">
        <v>95</v>
      </c>
      <c r="B113" s="53" t="s">
        <v>1395</v>
      </c>
      <c r="D113" s="53" t="s">
        <v>1304</v>
      </c>
      <c r="E113" s="53" t="s">
        <v>1487</v>
      </c>
      <c r="F113" s="53" t="s">
        <v>1488</v>
      </c>
      <c r="G113" s="53" t="s">
        <v>1312</v>
      </c>
      <c r="H113" s="53">
        <v>0.5</v>
      </c>
      <c r="I113" s="53">
        <v>0.006993006993006993</v>
      </c>
      <c r="J113" s="53">
        <v>0.0</v>
      </c>
      <c r="K113" s="53" t="s">
        <v>53</v>
      </c>
      <c r="L113" s="53" t="s">
        <v>1489</v>
      </c>
    </row>
    <row r="114" ht="15.75" customHeight="1">
      <c r="A114" s="53" t="s">
        <v>95</v>
      </c>
      <c r="B114" s="53" t="s">
        <v>1395</v>
      </c>
      <c r="D114" s="53" t="s">
        <v>1304</v>
      </c>
      <c r="E114" s="53" t="s">
        <v>1490</v>
      </c>
      <c r="F114" s="53" t="s">
        <v>1491</v>
      </c>
      <c r="G114" s="53" t="s">
        <v>1300</v>
      </c>
      <c r="H114" s="53">
        <v>0.5</v>
      </c>
      <c r="I114" s="53">
        <v>0.027972027972027972</v>
      </c>
      <c r="J114" s="53">
        <v>1.0</v>
      </c>
      <c r="K114" s="53" t="s">
        <v>53</v>
      </c>
      <c r="L114" s="53" t="s">
        <v>1492</v>
      </c>
    </row>
    <row r="115" ht="15.75" customHeight="1">
      <c r="A115" s="53" t="s">
        <v>95</v>
      </c>
      <c r="B115" s="53" t="s">
        <v>1395</v>
      </c>
      <c r="D115" s="53" t="s">
        <v>1312</v>
      </c>
      <c r="E115" s="53" t="s">
        <v>1493</v>
      </c>
      <c r="F115" s="53" t="s">
        <v>1494</v>
      </c>
      <c r="G115" s="53" t="s">
        <v>1300</v>
      </c>
      <c r="H115" s="53">
        <v>0.5</v>
      </c>
      <c r="I115" s="53">
        <v>0.027972027972027972</v>
      </c>
      <c r="J115" s="53">
        <v>0.0</v>
      </c>
      <c r="K115" s="53" t="s">
        <v>53</v>
      </c>
      <c r="L115" s="53" t="s">
        <v>1495</v>
      </c>
    </row>
    <row r="116" ht="15.75" customHeight="1">
      <c r="A116" s="53" t="s">
        <v>82</v>
      </c>
      <c r="B116" s="53" t="s">
        <v>83</v>
      </c>
      <c r="C116" s="53" t="s">
        <v>45</v>
      </c>
      <c r="D116" s="53" t="s">
        <v>1496</v>
      </c>
      <c r="E116" s="53" t="s">
        <v>1497</v>
      </c>
      <c r="F116" s="53" t="s">
        <v>1498</v>
      </c>
      <c r="G116" s="53" t="s">
        <v>1499</v>
      </c>
      <c r="H116" s="53">
        <v>0.5</v>
      </c>
      <c r="I116" s="53">
        <v>0.05398587285570131</v>
      </c>
      <c r="J116" s="53">
        <v>0.0</v>
      </c>
      <c r="K116" s="53" t="s">
        <v>1500</v>
      </c>
      <c r="L116" s="53" t="s">
        <v>1501</v>
      </c>
    </row>
    <row r="117" ht="15.75" customHeight="1">
      <c r="A117" s="53" t="s">
        <v>1502</v>
      </c>
      <c r="B117" s="53" t="s">
        <v>1503</v>
      </c>
      <c r="D117" s="53" t="s">
        <v>1504</v>
      </c>
      <c r="E117" s="53" t="s">
        <v>1505</v>
      </c>
      <c r="F117" s="53" t="s">
        <v>1506</v>
      </c>
      <c r="G117" s="53" t="s">
        <v>1507</v>
      </c>
      <c r="H117" s="53">
        <v>1.0</v>
      </c>
      <c r="I117" s="53">
        <v>0.03333333333333333</v>
      </c>
      <c r="J117" s="53">
        <v>0.0</v>
      </c>
      <c r="K117" s="53" t="s">
        <v>53</v>
      </c>
      <c r="L117" s="53" t="s">
        <v>53</v>
      </c>
    </row>
    <row r="118" ht="15.75" customHeight="1">
      <c r="A118" s="53" t="s">
        <v>1202</v>
      </c>
      <c r="B118" s="53" t="s">
        <v>96</v>
      </c>
      <c r="C118" s="53" t="s">
        <v>1203</v>
      </c>
      <c r="D118" s="53" t="s">
        <v>1508</v>
      </c>
      <c r="E118" s="53" t="s">
        <v>1509</v>
      </c>
      <c r="F118" s="53" t="s">
        <v>1510</v>
      </c>
      <c r="G118" s="53" t="s">
        <v>1511</v>
      </c>
      <c r="H118" s="53">
        <v>1.0</v>
      </c>
      <c r="I118" s="53">
        <v>0.10576923076923077</v>
      </c>
      <c r="J118" s="53">
        <v>0.0</v>
      </c>
      <c r="K118" s="53" t="s">
        <v>1512</v>
      </c>
      <c r="L118" s="53" t="s">
        <v>53</v>
      </c>
    </row>
    <row r="119" ht="15.75" customHeight="1">
      <c r="A119" s="53" t="s">
        <v>1202</v>
      </c>
      <c r="B119" s="53" t="s">
        <v>96</v>
      </c>
      <c r="C119" s="53" t="s">
        <v>1203</v>
      </c>
      <c r="D119" s="53" t="s">
        <v>1508</v>
      </c>
      <c r="E119" s="53" t="s">
        <v>1513</v>
      </c>
      <c r="F119" s="53" t="s">
        <v>1510</v>
      </c>
      <c r="G119" s="53" t="s">
        <v>1514</v>
      </c>
      <c r="H119" s="53">
        <v>1.0</v>
      </c>
      <c r="I119" s="53">
        <v>0.18421052631578946</v>
      </c>
      <c r="J119" s="53">
        <v>1.0</v>
      </c>
      <c r="K119" s="53" t="s">
        <v>1512</v>
      </c>
      <c r="L119" s="53" t="s">
        <v>53</v>
      </c>
    </row>
    <row r="120" ht="15.75" customHeight="1">
      <c r="A120" s="53" t="s">
        <v>1202</v>
      </c>
      <c r="B120" s="53" t="s">
        <v>96</v>
      </c>
      <c r="C120" s="53" t="s">
        <v>1203</v>
      </c>
      <c r="D120" s="53" t="s">
        <v>1511</v>
      </c>
      <c r="E120" s="53" t="s">
        <v>1515</v>
      </c>
      <c r="F120" s="53" t="s">
        <v>1510</v>
      </c>
      <c r="G120" s="53" t="s">
        <v>1514</v>
      </c>
      <c r="H120" s="53">
        <v>1.0</v>
      </c>
      <c r="I120" s="53">
        <v>0.09649122807017543</v>
      </c>
      <c r="J120" s="53">
        <v>0.0</v>
      </c>
      <c r="K120" s="53" t="s">
        <v>1512</v>
      </c>
      <c r="L120" s="53" t="s">
        <v>53</v>
      </c>
    </row>
    <row r="121" ht="15.75" customHeight="1">
      <c r="A121" s="53" t="s">
        <v>1202</v>
      </c>
      <c r="B121" s="53" t="s">
        <v>1516</v>
      </c>
      <c r="C121" s="53" t="s">
        <v>1517</v>
      </c>
      <c r="D121" s="53" t="s">
        <v>1518</v>
      </c>
      <c r="E121" s="53" t="s">
        <v>1519</v>
      </c>
      <c r="F121" s="53" t="s">
        <v>1520</v>
      </c>
      <c r="G121" s="53" t="s">
        <v>1521</v>
      </c>
      <c r="H121" s="53">
        <v>0.7777777777777778</v>
      </c>
      <c r="I121" s="53">
        <v>0.16748768472906403</v>
      </c>
      <c r="J121" s="53">
        <v>1.0</v>
      </c>
      <c r="K121" s="53" t="s">
        <v>1522</v>
      </c>
      <c r="L121" s="53" t="s">
        <v>1523</v>
      </c>
    </row>
    <row r="122" ht="15.75" customHeight="1">
      <c r="A122" s="53" t="s">
        <v>1202</v>
      </c>
      <c r="B122" s="53" t="s">
        <v>1516</v>
      </c>
      <c r="C122" s="53" t="s">
        <v>1517</v>
      </c>
      <c r="D122" s="53" t="s">
        <v>1518</v>
      </c>
      <c r="E122" s="53" t="s">
        <v>1524</v>
      </c>
      <c r="F122" s="53" t="s">
        <v>1525</v>
      </c>
      <c r="G122" s="53" t="s">
        <v>1526</v>
      </c>
      <c r="H122" s="53">
        <v>0.875</v>
      </c>
      <c r="I122" s="53">
        <v>0.21182266009852216</v>
      </c>
      <c r="J122" s="53">
        <v>0.0</v>
      </c>
      <c r="K122" s="53" t="s">
        <v>1522</v>
      </c>
      <c r="L122" s="53" t="s">
        <v>1527</v>
      </c>
    </row>
    <row r="123" ht="15.75" customHeight="1">
      <c r="A123" s="53" t="s">
        <v>1202</v>
      </c>
      <c r="B123" s="53" t="s">
        <v>1516</v>
      </c>
      <c r="C123" s="53" t="s">
        <v>1517</v>
      </c>
      <c r="D123" s="53" t="s">
        <v>1526</v>
      </c>
      <c r="E123" s="53" t="s">
        <v>1528</v>
      </c>
      <c r="F123" s="53" t="s">
        <v>1529</v>
      </c>
      <c r="G123" s="53" t="s">
        <v>1521</v>
      </c>
      <c r="H123" s="53">
        <v>0.6666666666666666</v>
      </c>
      <c r="I123" s="53">
        <v>0.1</v>
      </c>
      <c r="J123" s="53">
        <v>0.0</v>
      </c>
      <c r="K123" s="53" t="s">
        <v>1522</v>
      </c>
      <c r="L123" s="53" t="s">
        <v>1530</v>
      </c>
    </row>
    <row r="124" ht="15.75" customHeight="1">
      <c r="A124" s="53" t="s">
        <v>1531</v>
      </c>
      <c r="B124" s="53" t="s">
        <v>1532</v>
      </c>
      <c r="D124" s="53" t="s">
        <v>1533</v>
      </c>
      <c r="E124" s="53" t="s">
        <v>1534</v>
      </c>
      <c r="F124" s="53" t="s">
        <v>1535</v>
      </c>
      <c r="G124" s="53" t="s">
        <v>1536</v>
      </c>
      <c r="H124" s="53">
        <v>0.75</v>
      </c>
      <c r="I124" s="53">
        <v>0.06885245901639345</v>
      </c>
      <c r="J124" s="53">
        <v>1.0</v>
      </c>
      <c r="K124" s="53" t="s">
        <v>53</v>
      </c>
      <c r="L124" s="53" t="s">
        <v>1537</v>
      </c>
    </row>
    <row r="125" ht="15.75" customHeight="1">
      <c r="A125" s="53" t="s">
        <v>1531</v>
      </c>
      <c r="B125" s="53" t="s">
        <v>1532</v>
      </c>
      <c r="D125" s="53" t="s">
        <v>1533</v>
      </c>
      <c r="E125" s="53" t="s">
        <v>1538</v>
      </c>
      <c r="F125" s="53" t="s">
        <v>1539</v>
      </c>
      <c r="G125" s="53" t="s">
        <v>1540</v>
      </c>
      <c r="H125" s="53">
        <v>0.75</v>
      </c>
      <c r="I125" s="53">
        <v>0.0728476821192053</v>
      </c>
      <c r="J125" s="53">
        <v>0.0</v>
      </c>
      <c r="K125" s="53" t="s">
        <v>53</v>
      </c>
      <c r="L125" s="53" t="s">
        <v>1541</v>
      </c>
    </row>
    <row r="126" ht="15.75" customHeight="1">
      <c r="A126" s="53" t="s">
        <v>1531</v>
      </c>
      <c r="B126" s="53" t="s">
        <v>1532</v>
      </c>
      <c r="D126" s="53" t="s">
        <v>1533</v>
      </c>
      <c r="E126" s="53" t="s">
        <v>1542</v>
      </c>
      <c r="F126" s="53" t="s">
        <v>1543</v>
      </c>
      <c r="G126" s="53" t="s">
        <v>1544</v>
      </c>
      <c r="H126" s="53">
        <v>0.75</v>
      </c>
      <c r="I126" s="53">
        <v>0.13114754098360656</v>
      </c>
      <c r="J126" s="53">
        <v>2.0</v>
      </c>
      <c r="K126" s="53" t="s">
        <v>53</v>
      </c>
      <c r="L126" s="53" t="s">
        <v>1545</v>
      </c>
    </row>
    <row r="127" ht="15.75" customHeight="1">
      <c r="A127" s="53" t="s">
        <v>1531</v>
      </c>
      <c r="B127" s="53" t="s">
        <v>1532</v>
      </c>
      <c r="D127" s="53" t="s">
        <v>1540</v>
      </c>
      <c r="E127" s="53" t="s">
        <v>1546</v>
      </c>
      <c r="F127" s="53" t="s">
        <v>1547</v>
      </c>
      <c r="G127" s="53" t="s">
        <v>1544</v>
      </c>
      <c r="H127" s="53">
        <v>0.75</v>
      </c>
      <c r="I127" s="53">
        <v>0.06885245901639345</v>
      </c>
      <c r="J127" s="53">
        <v>1.0</v>
      </c>
      <c r="K127" s="53" t="s">
        <v>53</v>
      </c>
      <c r="L127" s="53" t="s">
        <v>1548</v>
      </c>
    </row>
    <row r="128" ht="15.75" customHeight="1">
      <c r="A128" s="53" t="s">
        <v>1531</v>
      </c>
      <c r="B128" s="53" t="s">
        <v>1532</v>
      </c>
      <c r="D128" s="53" t="s">
        <v>1540</v>
      </c>
      <c r="E128" s="53" t="s">
        <v>1549</v>
      </c>
      <c r="F128" s="53" t="s">
        <v>1550</v>
      </c>
      <c r="G128" s="53" t="s">
        <v>1536</v>
      </c>
      <c r="H128" s="53">
        <v>0.75</v>
      </c>
      <c r="I128" s="53">
        <v>0.1377049180327869</v>
      </c>
      <c r="J128" s="53">
        <v>0.0</v>
      </c>
      <c r="K128" s="53" t="s">
        <v>53</v>
      </c>
      <c r="L128" s="53" t="s">
        <v>1551</v>
      </c>
    </row>
    <row r="129" ht="15.75" customHeight="1">
      <c r="A129" s="53" t="s">
        <v>1531</v>
      </c>
      <c r="B129" s="53" t="s">
        <v>1532</v>
      </c>
      <c r="D129" s="53" t="s">
        <v>1536</v>
      </c>
      <c r="E129" s="53" t="s">
        <v>1552</v>
      </c>
      <c r="F129" s="53" t="s">
        <v>1553</v>
      </c>
      <c r="G129" s="53" t="s">
        <v>1544</v>
      </c>
      <c r="H129" s="53">
        <v>0.75</v>
      </c>
      <c r="I129" s="53">
        <v>0.07213114754098361</v>
      </c>
      <c r="J129" s="53">
        <v>0.0</v>
      </c>
      <c r="K129" s="53" t="s">
        <v>53</v>
      </c>
      <c r="L129" s="53" t="s">
        <v>1554</v>
      </c>
    </row>
    <row r="130" ht="15.75" customHeight="1">
      <c r="A130" s="53" t="s">
        <v>1531</v>
      </c>
      <c r="B130" s="53" t="s">
        <v>1532</v>
      </c>
      <c r="D130" s="53" t="s">
        <v>1555</v>
      </c>
      <c r="E130" s="53" t="s">
        <v>1556</v>
      </c>
      <c r="F130" s="53" t="s">
        <v>1557</v>
      </c>
      <c r="G130" s="53" t="s">
        <v>1558</v>
      </c>
      <c r="H130" s="53">
        <v>0.7142857142857143</v>
      </c>
      <c r="I130" s="53">
        <v>0.05734767025089606</v>
      </c>
      <c r="J130" s="53">
        <v>0.0</v>
      </c>
      <c r="K130" s="53" t="s">
        <v>53</v>
      </c>
      <c r="L130" s="53" t="s">
        <v>1559</v>
      </c>
    </row>
    <row r="131" ht="15.75" customHeight="1">
      <c r="A131" s="53" t="s">
        <v>1531</v>
      </c>
      <c r="B131" s="53" t="s">
        <v>1532</v>
      </c>
      <c r="D131" s="53" t="s">
        <v>1555</v>
      </c>
      <c r="E131" s="53" t="s">
        <v>1560</v>
      </c>
      <c r="F131" s="53" t="s">
        <v>1561</v>
      </c>
      <c r="G131" s="53" t="s">
        <v>1562</v>
      </c>
      <c r="H131" s="53">
        <v>0.7142857142857143</v>
      </c>
      <c r="I131" s="53">
        <v>0.11428571428571428</v>
      </c>
      <c r="J131" s="53">
        <v>1.0</v>
      </c>
      <c r="K131" s="53" t="s">
        <v>53</v>
      </c>
      <c r="L131" s="53" t="s">
        <v>1563</v>
      </c>
    </row>
    <row r="132" ht="15.75" customHeight="1">
      <c r="A132" s="53" t="s">
        <v>1531</v>
      </c>
      <c r="B132" s="53" t="s">
        <v>1532</v>
      </c>
      <c r="D132" s="53" t="s">
        <v>1555</v>
      </c>
      <c r="E132" s="53" t="s">
        <v>1564</v>
      </c>
      <c r="F132" s="53" t="s">
        <v>1557</v>
      </c>
      <c r="G132" s="53" t="s">
        <v>1565</v>
      </c>
      <c r="H132" s="53">
        <v>0.7142857142857143</v>
      </c>
      <c r="I132" s="53">
        <v>0.14285714285714285</v>
      </c>
      <c r="J132" s="53">
        <v>2.0</v>
      </c>
      <c r="K132" s="53" t="s">
        <v>53</v>
      </c>
      <c r="L132" s="53" t="s">
        <v>1559</v>
      </c>
    </row>
    <row r="133" ht="15.75" customHeight="1">
      <c r="A133" s="53" t="s">
        <v>1531</v>
      </c>
      <c r="B133" s="53" t="s">
        <v>1532</v>
      </c>
      <c r="D133" s="53" t="s">
        <v>1558</v>
      </c>
      <c r="E133" s="53" t="s">
        <v>1566</v>
      </c>
      <c r="F133" s="53" t="s">
        <v>1567</v>
      </c>
      <c r="G133" s="53" t="s">
        <v>1565</v>
      </c>
      <c r="H133" s="53">
        <v>1.0</v>
      </c>
      <c r="I133" s="53">
        <v>0.09415584415584416</v>
      </c>
      <c r="J133" s="53">
        <v>1.0</v>
      </c>
      <c r="K133" s="53" t="s">
        <v>53</v>
      </c>
      <c r="L133" s="53" t="s">
        <v>53</v>
      </c>
    </row>
    <row r="134" ht="15.75" customHeight="1">
      <c r="A134" s="53" t="s">
        <v>1531</v>
      </c>
      <c r="B134" s="53" t="s">
        <v>1532</v>
      </c>
      <c r="D134" s="53" t="s">
        <v>1558</v>
      </c>
      <c r="E134" s="53" t="s">
        <v>1568</v>
      </c>
      <c r="F134" s="53" t="s">
        <v>1569</v>
      </c>
      <c r="G134" s="53" t="s">
        <v>1562</v>
      </c>
      <c r="H134" s="53">
        <v>0.7142857142857143</v>
      </c>
      <c r="I134" s="53">
        <v>0.1619047619047619</v>
      </c>
      <c r="J134" s="53">
        <v>0.0</v>
      </c>
      <c r="K134" s="53" t="s">
        <v>53</v>
      </c>
      <c r="L134" s="53" t="s">
        <v>1570</v>
      </c>
    </row>
    <row r="135" ht="15.75" customHeight="1">
      <c r="A135" s="53" t="s">
        <v>1531</v>
      </c>
      <c r="B135" s="53" t="s">
        <v>1532</v>
      </c>
      <c r="D135" s="53" t="s">
        <v>1562</v>
      </c>
      <c r="E135" s="53" t="s">
        <v>1571</v>
      </c>
      <c r="F135" s="53" t="s">
        <v>1572</v>
      </c>
      <c r="G135" s="53" t="s">
        <v>1565</v>
      </c>
      <c r="H135" s="53">
        <v>0.7142857142857143</v>
      </c>
      <c r="I135" s="53">
        <v>0.09523809523809523</v>
      </c>
      <c r="J135" s="53">
        <v>0.0</v>
      </c>
      <c r="K135" s="53" t="s">
        <v>53</v>
      </c>
      <c r="L135" s="53" t="s">
        <v>1570</v>
      </c>
    </row>
    <row r="136" ht="15.75" customHeight="1">
      <c r="A136" s="53" t="s">
        <v>1193</v>
      </c>
      <c r="B136" s="53" t="s">
        <v>109</v>
      </c>
      <c r="C136" s="53" t="s">
        <v>1395</v>
      </c>
      <c r="D136" s="53" t="s">
        <v>1573</v>
      </c>
      <c r="E136" s="53" t="s">
        <v>1574</v>
      </c>
      <c r="F136" s="53" t="s">
        <v>1575</v>
      </c>
      <c r="G136" s="53" t="s">
        <v>1576</v>
      </c>
      <c r="H136" s="53">
        <v>1.0</v>
      </c>
      <c r="I136" s="53">
        <v>0.047619047619047616</v>
      </c>
      <c r="J136" s="53">
        <v>0.0</v>
      </c>
      <c r="K136" s="53" t="s">
        <v>1577</v>
      </c>
      <c r="L136" s="53" t="s">
        <v>53</v>
      </c>
    </row>
    <row r="137" ht="15.75" customHeight="1">
      <c r="A137" s="53" t="s">
        <v>1200</v>
      </c>
      <c r="B137" s="53" t="s">
        <v>109</v>
      </c>
      <c r="C137" s="53" t="s">
        <v>1395</v>
      </c>
      <c r="D137" s="53" t="s">
        <v>1578</v>
      </c>
      <c r="E137" s="53" t="s">
        <v>1579</v>
      </c>
      <c r="F137" s="53" t="s">
        <v>1580</v>
      </c>
      <c r="G137" s="53" t="s">
        <v>1581</v>
      </c>
      <c r="H137" s="53">
        <v>1.0</v>
      </c>
      <c r="I137" s="53">
        <v>0.046875</v>
      </c>
      <c r="J137" s="53">
        <v>0.0</v>
      </c>
      <c r="K137" s="53" t="s">
        <v>1582</v>
      </c>
      <c r="L137" s="53" t="s">
        <v>53</v>
      </c>
    </row>
    <row r="138" ht="15.75" customHeight="1">
      <c r="A138" s="53" t="s">
        <v>1583</v>
      </c>
      <c r="B138" s="53" t="s">
        <v>1584</v>
      </c>
      <c r="D138" s="53" t="s">
        <v>1585</v>
      </c>
      <c r="E138" s="53" t="s">
        <v>1586</v>
      </c>
      <c r="F138" s="53" t="s">
        <v>1587</v>
      </c>
      <c r="G138" s="53" t="s">
        <v>1588</v>
      </c>
      <c r="H138" s="53">
        <v>1.0</v>
      </c>
      <c r="I138" s="53">
        <v>0.046875</v>
      </c>
      <c r="J138" s="53">
        <v>0.0</v>
      </c>
      <c r="K138" s="53" t="s">
        <v>53</v>
      </c>
      <c r="L138" s="53" t="s">
        <v>53</v>
      </c>
    </row>
    <row r="139" ht="15.75" customHeight="1">
      <c r="A139" s="53" t="s">
        <v>1583</v>
      </c>
      <c r="B139" s="53" t="s">
        <v>1584</v>
      </c>
      <c r="D139" s="53" t="s">
        <v>1232</v>
      </c>
      <c r="E139" s="53" t="s">
        <v>1589</v>
      </c>
      <c r="F139" s="53" t="s">
        <v>1590</v>
      </c>
      <c r="G139" s="53" t="s">
        <v>1235</v>
      </c>
      <c r="H139" s="53">
        <v>1.0</v>
      </c>
      <c r="I139" s="53">
        <v>0.5960854092526691</v>
      </c>
      <c r="J139" s="53">
        <v>0.0</v>
      </c>
      <c r="K139" s="53" t="s">
        <v>53</v>
      </c>
      <c r="L139" s="53" t="s">
        <v>53</v>
      </c>
    </row>
    <row r="140" ht="15.75" customHeight="1">
      <c r="A140" s="53" t="s">
        <v>1591</v>
      </c>
      <c r="B140" s="53" t="s">
        <v>1584</v>
      </c>
      <c r="D140" s="53" t="s">
        <v>1592</v>
      </c>
      <c r="E140" s="53" t="s">
        <v>1593</v>
      </c>
      <c r="F140" s="53" t="s">
        <v>1594</v>
      </c>
      <c r="G140" s="53" t="s">
        <v>1595</v>
      </c>
      <c r="H140" s="53">
        <v>1.0</v>
      </c>
      <c r="I140" s="53">
        <v>0.047619047619047616</v>
      </c>
      <c r="J140" s="53">
        <v>0.0</v>
      </c>
      <c r="K140" s="53" t="s">
        <v>53</v>
      </c>
      <c r="L140" s="53" t="s">
        <v>53</v>
      </c>
    </row>
    <row r="141" ht="15.75" customHeight="1">
      <c r="A141" s="53" t="s">
        <v>1591</v>
      </c>
      <c r="B141" s="53" t="s">
        <v>1584</v>
      </c>
      <c r="D141" s="53" t="s">
        <v>1596</v>
      </c>
      <c r="E141" s="53" t="s">
        <v>1597</v>
      </c>
      <c r="F141" s="53" t="s">
        <v>1598</v>
      </c>
      <c r="G141" s="53" t="s">
        <v>1599</v>
      </c>
      <c r="H141" s="53">
        <v>0.5</v>
      </c>
      <c r="I141" s="53">
        <v>0.0446927374301676</v>
      </c>
      <c r="J141" s="53">
        <v>0.0</v>
      </c>
      <c r="K141" s="53" t="s">
        <v>53</v>
      </c>
      <c r="L141" s="53" t="s">
        <v>1199</v>
      </c>
    </row>
    <row r="142" ht="15.75" customHeight="1">
      <c r="A142" s="53" t="s">
        <v>1591</v>
      </c>
      <c r="B142" s="53" t="s">
        <v>1584</v>
      </c>
      <c r="D142" s="53" t="s">
        <v>1224</v>
      </c>
      <c r="E142" s="53" t="s">
        <v>1600</v>
      </c>
      <c r="F142" s="53" t="s">
        <v>1601</v>
      </c>
      <c r="G142" s="53" t="s">
        <v>1227</v>
      </c>
      <c r="H142" s="53">
        <v>1.0</v>
      </c>
      <c r="I142" s="53">
        <v>0.272</v>
      </c>
      <c r="J142" s="53">
        <v>0.0</v>
      </c>
      <c r="K142" s="53" t="s">
        <v>53</v>
      </c>
      <c r="L142" s="53" t="s">
        <v>53</v>
      </c>
    </row>
    <row r="143" ht="15.75" customHeight="1">
      <c r="A143" s="53" t="s">
        <v>1591</v>
      </c>
      <c r="B143" s="53" t="s">
        <v>1584</v>
      </c>
      <c r="D143" s="53" t="s">
        <v>1224</v>
      </c>
      <c r="E143" s="53" t="s">
        <v>1602</v>
      </c>
      <c r="F143" s="53" t="s">
        <v>1603</v>
      </c>
      <c r="G143" s="53" t="s">
        <v>1230</v>
      </c>
      <c r="H143" s="53">
        <v>1.0</v>
      </c>
      <c r="I143" s="53">
        <v>0.5054263565891473</v>
      </c>
      <c r="J143" s="53">
        <v>1.0</v>
      </c>
      <c r="K143" s="53" t="s">
        <v>53</v>
      </c>
      <c r="L143" s="53" t="s">
        <v>53</v>
      </c>
    </row>
    <row r="144" ht="15.75" customHeight="1">
      <c r="A144" s="53" t="s">
        <v>1591</v>
      </c>
      <c r="B144" s="53" t="s">
        <v>1584</v>
      </c>
      <c r="D144" s="53" t="s">
        <v>1227</v>
      </c>
      <c r="E144" s="53" t="s">
        <v>1604</v>
      </c>
      <c r="F144" s="53" t="s">
        <v>1603</v>
      </c>
      <c r="G144" s="53" t="s">
        <v>1230</v>
      </c>
      <c r="H144" s="53">
        <v>1.0</v>
      </c>
      <c r="I144" s="53">
        <v>0.4806201550387597</v>
      </c>
      <c r="J144" s="53">
        <v>0.0</v>
      </c>
      <c r="K144" s="53" t="s">
        <v>53</v>
      </c>
      <c r="L144" s="53" t="s">
        <v>53</v>
      </c>
    </row>
    <row r="145" ht="15.75" customHeight="1">
      <c r="A145" s="53" t="s">
        <v>125</v>
      </c>
      <c r="B145" s="53" t="s">
        <v>127</v>
      </c>
      <c r="C145" s="53" t="s">
        <v>1605</v>
      </c>
      <c r="D145" s="53" t="s">
        <v>1606</v>
      </c>
      <c r="E145" s="53" t="s">
        <v>1607</v>
      </c>
      <c r="F145" s="53" t="s">
        <v>1608</v>
      </c>
      <c r="G145" s="53" t="s">
        <v>1609</v>
      </c>
      <c r="H145" s="53">
        <v>1.0</v>
      </c>
      <c r="I145" s="53">
        <v>0.03292181069958848</v>
      </c>
      <c r="J145" s="53">
        <v>1.0</v>
      </c>
      <c r="K145" s="53" t="s">
        <v>53</v>
      </c>
      <c r="L145" s="53" t="s">
        <v>53</v>
      </c>
    </row>
    <row r="146" ht="15.75" customHeight="1">
      <c r="A146" s="53" t="s">
        <v>125</v>
      </c>
      <c r="B146" s="53" t="s">
        <v>127</v>
      </c>
      <c r="C146" s="53" t="s">
        <v>1605</v>
      </c>
      <c r="D146" s="53" t="s">
        <v>1606</v>
      </c>
      <c r="E146" s="53" t="s">
        <v>1610</v>
      </c>
      <c r="F146" s="53" t="s">
        <v>1608</v>
      </c>
      <c r="G146" s="53" t="s">
        <v>1611</v>
      </c>
      <c r="H146" s="53">
        <v>1.0</v>
      </c>
      <c r="I146" s="53">
        <v>0.03292181069958848</v>
      </c>
      <c r="J146" s="53">
        <v>0.0</v>
      </c>
      <c r="K146" s="53" t="s">
        <v>53</v>
      </c>
      <c r="L146" s="53" t="s">
        <v>53</v>
      </c>
    </row>
    <row r="147" ht="15.75" customHeight="1">
      <c r="A147" s="53" t="s">
        <v>125</v>
      </c>
      <c r="B147" s="53" t="s">
        <v>127</v>
      </c>
      <c r="C147" s="53" t="s">
        <v>1605</v>
      </c>
      <c r="D147" s="53" t="s">
        <v>1611</v>
      </c>
      <c r="E147" s="53" t="s">
        <v>1612</v>
      </c>
      <c r="F147" s="53" t="s">
        <v>1608</v>
      </c>
      <c r="G147" s="53" t="s">
        <v>1609</v>
      </c>
      <c r="H147" s="53">
        <v>1.0</v>
      </c>
      <c r="I147" s="53">
        <v>0.04526748971193416</v>
      </c>
      <c r="J147" s="53">
        <v>0.0</v>
      </c>
      <c r="K147" s="53" t="s">
        <v>53</v>
      </c>
      <c r="L147" s="53" t="s">
        <v>53</v>
      </c>
    </row>
    <row r="148" ht="15.75" customHeight="1">
      <c r="A148" s="53" t="s">
        <v>1613</v>
      </c>
      <c r="B148" s="53" t="s">
        <v>127</v>
      </c>
      <c r="D148" s="53" t="s">
        <v>1614</v>
      </c>
      <c r="E148" s="53" t="s">
        <v>1615</v>
      </c>
      <c r="F148" s="53" t="s">
        <v>1616</v>
      </c>
      <c r="G148" s="53" t="s">
        <v>1617</v>
      </c>
      <c r="H148" s="53">
        <v>1.0</v>
      </c>
      <c r="I148" s="53">
        <v>0.5093457943925234</v>
      </c>
      <c r="J148" s="53">
        <v>1.0</v>
      </c>
      <c r="K148" s="53" t="s">
        <v>53</v>
      </c>
      <c r="L148" s="53" t="s">
        <v>53</v>
      </c>
    </row>
    <row r="149" ht="15.75" customHeight="1">
      <c r="A149" s="53" t="s">
        <v>1613</v>
      </c>
      <c r="B149" s="53" t="s">
        <v>127</v>
      </c>
      <c r="D149" s="53" t="s">
        <v>1614</v>
      </c>
      <c r="E149" s="53" t="s">
        <v>1618</v>
      </c>
      <c r="F149" s="53" t="s">
        <v>1619</v>
      </c>
      <c r="G149" s="53" t="s">
        <v>1620</v>
      </c>
      <c r="H149" s="53">
        <v>1.0</v>
      </c>
      <c r="I149" s="53">
        <v>0.6049618320610687</v>
      </c>
      <c r="J149" s="53">
        <v>0.0</v>
      </c>
      <c r="K149" s="53" t="s">
        <v>53</v>
      </c>
      <c r="L149" s="53" t="s">
        <v>53</v>
      </c>
    </row>
    <row r="150" ht="15.75" customHeight="1">
      <c r="A150" s="53" t="s">
        <v>1613</v>
      </c>
      <c r="B150" s="53" t="s">
        <v>127</v>
      </c>
      <c r="D150" s="53" t="s">
        <v>1620</v>
      </c>
      <c r="E150" s="53" t="s">
        <v>1621</v>
      </c>
      <c r="F150" s="53" t="s">
        <v>1622</v>
      </c>
      <c r="G150" s="53" t="s">
        <v>1617</v>
      </c>
      <c r="H150" s="53">
        <v>1.0</v>
      </c>
      <c r="I150" s="53">
        <v>0.7977099236641222</v>
      </c>
      <c r="J150" s="53">
        <v>0.0</v>
      </c>
      <c r="K150" s="53" t="s">
        <v>53</v>
      </c>
      <c r="L150" s="53" t="s">
        <v>53</v>
      </c>
    </row>
    <row r="151" ht="15.75" customHeight="1">
      <c r="A151" s="53" t="s">
        <v>186</v>
      </c>
      <c r="B151" s="53" t="s">
        <v>1623</v>
      </c>
      <c r="C151" s="53" t="s">
        <v>1624</v>
      </c>
      <c r="D151" s="53" t="s">
        <v>727</v>
      </c>
      <c r="E151" s="53" t="s">
        <v>1625</v>
      </c>
      <c r="F151" s="53" t="s">
        <v>193</v>
      </c>
      <c r="G151" s="53" t="s">
        <v>1626</v>
      </c>
      <c r="H151" s="53">
        <v>1.0</v>
      </c>
      <c r="I151" s="53">
        <v>0.08620689655172414</v>
      </c>
      <c r="J151" s="53">
        <v>2.0</v>
      </c>
      <c r="K151" s="53" t="s">
        <v>53</v>
      </c>
      <c r="L151" s="53" t="s">
        <v>53</v>
      </c>
    </row>
    <row r="152" ht="15.75" customHeight="1">
      <c r="A152" s="53" t="s">
        <v>186</v>
      </c>
      <c r="B152" s="53" t="s">
        <v>1623</v>
      </c>
      <c r="C152" s="53" t="s">
        <v>1624</v>
      </c>
      <c r="D152" s="53" t="s">
        <v>727</v>
      </c>
      <c r="E152" s="53" t="s">
        <v>1627</v>
      </c>
      <c r="F152" s="53" t="s">
        <v>193</v>
      </c>
      <c r="G152" s="53" t="s">
        <v>1628</v>
      </c>
      <c r="H152" s="53">
        <v>1.0</v>
      </c>
      <c r="I152" s="53">
        <v>0.8426229508196721</v>
      </c>
      <c r="J152" s="53">
        <v>5.0</v>
      </c>
      <c r="K152" s="53" t="s">
        <v>53</v>
      </c>
      <c r="L152" s="53" t="s">
        <v>53</v>
      </c>
    </row>
    <row r="153" ht="15.75" customHeight="1">
      <c r="A153" s="53" t="s">
        <v>186</v>
      </c>
      <c r="B153" s="53" t="s">
        <v>1623</v>
      </c>
      <c r="C153" s="53" t="s">
        <v>1624</v>
      </c>
      <c r="D153" s="53" t="s">
        <v>1626</v>
      </c>
      <c r="E153" s="53" t="s">
        <v>1629</v>
      </c>
      <c r="F153" s="53" t="s">
        <v>193</v>
      </c>
      <c r="G153" s="53" t="s">
        <v>1628</v>
      </c>
      <c r="H153" s="53">
        <v>1.0</v>
      </c>
      <c r="I153" s="53">
        <v>0.8426229508196721</v>
      </c>
      <c r="J153" s="53">
        <v>2.0</v>
      </c>
      <c r="K153" s="53" t="s">
        <v>53</v>
      </c>
      <c r="L153" s="53" t="s">
        <v>53</v>
      </c>
    </row>
    <row r="154" ht="15.75" customHeight="1">
      <c r="A154" s="53" t="s">
        <v>186</v>
      </c>
      <c r="B154" s="53" t="s">
        <v>1630</v>
      </c>
      <c r="C154" s="53" t="s">
        <v>1631</v>
      </c>
      <c r="D154" s="53" t="s">
        <v>1632</v>
      </c>
      <c r="E154" s="53" t="s">
        <v>1633</v>
      </c>
      <c r="F154" s="53" t="s">
        <v>741</v>
      </c>
      <c r="G154" s="53" t="s">
        <v>737</v>
      </c>
      <c r="H154" s="53">
        <v>1.0</v>
      </c>
      <c r="I154" s="53">
        <v>0.06015037593984962</v>
      </c>
      <c r="J154" s="53">
        <v>0.0</v>
      </c>
      <c r="K154" s="53" t="s">
        <v>1634</v>
      </c>
      <c r="L154" s="53" t="s">
        <v>53</v>
      </c>
    </row>
    <row r="155" ht="15.75" customHeight="1">
      <c r="A155" s="53" t="s">
        <v>138</v>
      </c>
      <c r="B155" s="53" t="s">
        <v>139</v>
      </c>
      <c r="C155" s="53" t="s">
        <v>140</v>
      </c>
      <c r="D155" s="53" t="s">
        <v>1635</v>
      </c>
      <c r="E155" s="53" t="s">
        <v>1636</v>
      </c>
      <c r="F155" s="53" t="s">
        <v>741</v>
      </c>
      <c r="G155" s="53" t="s">
        <v>1637</v>
      </c>
      <c r="H155" s="53">
        <v>1.0</v>
      </c>
      <c r="I155" s="53">
        <v>0.5777310924369747</v>
      </c>
      <c r="J155" s="53">
        <v>2.0</v>
      </c>
      <c r="K155" s="53" t="s">
        <v>1638</v>
      </c>
      <c r="L155" s="53" t="s">
        <v>53</v>
      </c>
    </row>
    <row r="156" ht="15.75" customHeight="1">
      <c r="A156" s="53" t="s">
        <v>138</v>
      </c>
      <c r="B156" s="53" t="s">
        <v>139</v>
      </c>
      <c r="C156" s="53" t="s">
        <v>140</v>
      </c>
      <c r="D156" s="53" t="s">
        <v>1635</v>
      </c>
      <c r="E156" s="53" t="s">
        <v>1639</v>
      </c>
      <c r="F156" s="53" t="s">
        <v>741</v>
      </c>
      <c r="G156" s="53" t="s">
        <v>1640</v>
      </c>
      <c r="H156" s="53">
        <v>1.0</v>
      </c>
      <c r="I156" s="53">
        <v>0.5821205821205822</v>
      </c>
      <c r="J156" s="53">
        <v>3.0</v>
      </c>
      <c r="K156" s="53" t="s">
        <v>1638</v>
      </c>
      <c r="L156" s="53" t="s">
        <v>53</v>
      </c>
    </row>
    <row r="157" ht="15.75" customHeight="1">
      <c r="A157" s="53" t="s">
        <v>138</v>
      </c>
      <c r="B157" s="53" t="s">
        <v>139</v>
      </c>
      <c r="C157" s="53" t="s">
        <v>140</v>
      </c>
      <c r="D157" s="53" t="s">
        <v>1635</v>
      </c>
      <c r="E157" s="53" t="s">
        <v>1641</v>
      </c>
      <c r="F157" s="53" t="s">
        <v>741</v>
      </c>
      <c r="G157" s="53" t="s">
        <v>1642</v>
      </c>
      <c r="H157" s="53">
        <v>1.0</v>
      </c>
      <c r="I157" s="53">
        <v>0.6336996336996337</v>
      </c>
      <c r="J157" s="53">
        <v>1.0</v>
      </c>
      <c r="K157" s="53" t="s">
        <v>1638</v>
      </c>
      <c r="L157" s="53" t="s">
        <v>53</v>
      </c>
    </row>
    <row r="158" ht="15.75" customHeight="1">
      <c r="A158" s="53" t="s">
        <v>138</v>
      </c>
      <c r="B158" s="53" t="s">
        <v>139</v>
      </c>
      <c r="C158" s="53" t="s">
        <v>140</v>
      </c>
      <c r="D158" s="53" t="s">
        <v>1642</v>
      </c>
      <c r="E158" s="53" t="s">
        <v>1643</v>
      </c>
      <c r="F158" s="53" t="s">
        <v>741</v>
      </c>
      <c r="G158" s="53" t="s">
        <v>1640</v>
      </c>
      <c r="H158" s="53">
        <v>1.0</v>
      </c>
      <c r="I158" s="53">
        <v>0.12454212454212454</v>
      </c>
      <c r="J158" s="53">
        <v>1.0</v>
      </c>
      <c r="K158" s="53" t="s">
        <v>1638</v>
      </c>
      <c r="L158" s="53" t="s">
        <v>53</v>
      </c>
    </row>
    <row r="159" ht="15.75" customHeight="1">
      <c r="A159" s="53" t="s">
        <v>138</v>
      </c>
      <c r="B159" s="53" t="s">
        <v>139</v>
      </c>
      <c r="C159" s="53" t="s">
        <v>140</v>
      </c>
      <c r="D159" s="53" t="s">
        <v>1642</v>
      </c>
      <c r="E159" s="53" t="s">
        <v>1644</v>
      </c>
      <c r="F159" s="53" t="s">
        <v>741</v>
      </c>
      <c r="G159" s="53" t="s">
        <v>1637</v>
      </c>
      <c r="H159" s="53">
        <v>1.0</v>
      </c>
      <c r="I159" s="53">
        <v>0.1336996336996337</v>
      </c>
      <c r="J159" s="53">
        <v>0.0</v>
      </c>
      <c r="K159" s="53" t="s">
        <v>1638</v>
      </c>
      <c r="L159" s="53" t="s">
        <v>53</v>
      </c>
    </row>
    <row r="160" ht="15.75" customHeight="1">
      <c r="A160" s="53" t="s">
        <v>138</v>
      </c>
      <c r="B160" s="53" t="s">
        <v>139</v>
      </c>
      <c r="C160" s="53" t="s">
        <v>140</v>
      </c>
      <c r="D160" s="53" t="s">
        <v>1637</v>
      </c>
      <c r="E160" s="53" t="s">
        <v>1645</v>
      </c>
      <c r="F160" s="53" t="s">
        <v>741</v>
      </c>
      <c r="G160" s="53" t="s">
        <v>1640</v>
      </c>
      <c r="H160" s="53">
        <v>1.0</v>
      </c>
      <c r="I160" s="53">
        <v>0.014553014553014554</v>
      </c>
      <c r="J160" s="53">
        <v>0.0</v>
      </c>
      <c r="K160" s="53" t="s">
        <v>1638</v>
      </c>
      <c r="L160" s="53" t="s">
        <v>53</v>
      </c>
    </row>
    <row r="161" ht="15.75" customHeight="1">
      <c r="A161" s="53" t="s">
        <v>138</v>
      </c>
      <c r="B161" s="53" t="s">
        <v>156</v>
      </c>
      <c r="C161" s="53" t="s">
        <v>149</v>
      </c>
      <c r="D161" s="53" t="s">
        <v>1646</v>
      </c>
      <c r="E161" s="53" t="s">
        <v>1647</v>
      </c>
      <c r="F161" s="53" t="s">
        <v>741</v>
      </c>
      <c r="G161" s="53" t="s">
        <v>1648</v>
      </c>
      <c r="H161" s="53">
        <v>1.0</v>
      </c>
      <c r="I161" s="53">
        <v>0.5765199161425576</v>
      </c>
      <c r="J161" s="53">
        <v>3.0</v>
      </c>
      <c r="K161" s="53" t="s">
        <v>1649</v>
      </c>
      <c r="L161" s="53" t="s">
        <v>53</v>
      </c>
    </row>
    <row r="162" ht="15.75" customHeight="1">
      <c r="A162" s="53" t="s">
        <v>138</v>
      </c>
      <c r="B162" s="53" t="s">
        <v>156</v>
      </c>
      <c r="C162" s="53" t="s">
        <v>149</v>
      </c>
      <c r="D162" s="53" t="s">
        <v>1646</v>
      </c>
      <c r="E162" s="53" t="s">
        <v>1650</v>
      </c>
      <c r="F162" s="53" t="s">
        <v>741</v>
      </c>
      <c r="G162" s="53" t="s">
        <v>1651</v>
      </c>
      <c r="H162" s="53">
        <v>1.0</v>
      </c>
      <c r="I162" s="53">
        <v>0.5809128630705395</v>
      </c>
      <c r="J162" s="53">
        <v>2.0</v>
      </c>
      <c r="K162" s="53" t="s">
        <v>1649</v>
      </c>
      <c r="L162" s="53" t="s">
        <v>53</v>
      </c>
    </row>
    <row r="163" ht="15.75" customHeight="1">
      <c r="A163" s="53" t="s">
        <v>138</v>
      </c>
      <c r="B163" s="53" t="s">
        <v>156</v>
      </c>
      <c r="C163" s="53" t="s">
        <v>149</v>
      </c>
      <c r="D163" s="53" t="s">
        <v>1646</v>
      </c>
      <c r="E163" s="53" t="s">
        <v>1652</v>
      </c>
      <c r="F163" s="53" t="s">
        <v>741</v>
      </c>
      <c r="G163" s="53" t="s">
        <v>1653</v>
      </c>
      <c r="H163" s="53">
        <v>1.0</v>
      </c>
      <c r="I163" s="53">
        <v>0.6325411334552102</v>
      </c>
      <c r="J163" s="53">
        <v>1.0</v>
      </c>
      <c r="K163" s="53" t="s">
        <v>1649</v>
      </c>
      <c r="L163" s="53" t="s">
        <v>53</v>
      </c>
    </row>
    <row r="164" ht="15.75" customHeight="1">
      <c r="A164" s="53" t="s">
        <v>138</v>
      </c>
      <c r="B164" s="53" t="s">
        <v>156</v>
      </c>
      <c r="C164" s="53" t="s">
        <v>149</v>
      </c>
      <c r="D164" s="53" t="s">
        <v>1653</v>
      </c>
      <c r="E164" s="53" t="s">
        <v>1654</v>
      </c>
      <c r="F164" s="53" t="s">
        <v>741</v>
      </c>
      <c r="G164" s="53" t="s">
        <v>1651</v>
      </c>
      <c r="H164" s="53">
        <v>1.0</v>
      </c>
      <c r="I164" s="53">
        <v>0.12431444241316271</v>
      </c>
      <c r="J164" s="53">
        <v>0.0</v>
      </c>
      <c r="K164" s="53" t="s">
        <v>1649</v>
      </c>
      <c r="L164" s="53" t="s">
        <v>53</v>
      </c>
    </row>
    <row r="165" ht="15.75" customHeight="1">
      <c r="A165" s="53" t="s">
        <v>138</v>
      </c>
      <c r="B165" s="53" t="s">
        <v>156</v>
      </c>
      <c r="C165" s="53" t="s">
        <v>149</v>
      </c>
      <c r="D165" s="53" t="s">
        <v>1653</v>
      </c>
      <c r="E165" s="53" t="s">
        <v>1655</v>
      </c>
      <c r="F165" s="53" t="s">
        <v>741</v>
      </c>
      <c r="G165" s="53" t="s">
        <v>1648</v>
      </c>
      <c r="H165" s="53">
        <v>1.0</v>
      </c>
      <c r="I165" s="53">
        <v>0.13345521023765997</v>
      </c>
      <c r="J165" s="53">
        <v>1.0</v>
      </c>
      <c r="K165" s="53" t="s">
        <v>1649</v>
      </c>
      <c r="L165" s="53" t="s">
        <v>53</v>
      </c>
    </row>
    <row r="166" ht="15.75" customHeight="1">
      <c r="A166" s="53" t="s">
        <v>138</v>
      </c>
      <c r="B166" s="53" t="s">
        <v>156</v>
      </c>
      <c r="C166" s="53" t="s">
        <v>149</v>
      </c>
      <c r="D166" s="53" t="s">
        <v>1651</v>
      </c>
      <c r="E166" s="53" t="s">
        <v>1656</v>
      </c>
      <c r="F166" s="53" t="s">
        <v>741</v>
      </c>
      <c r="G166" s="53" t="s">
        <v>1648</v>
      </c>
      <c r="H166" s="53">
        <v>1.0</v>
      </c>
      <c r="I166" s="53">
        <v>0.014522821576763486</v>
      </c>
      <c r="J166" s="53">
        <v>0.0</v>
      </c>
      <c r="K166" s="53" t="s">
        <v>1649</v>
      </c>
      <c r="L166" s="53" t="s">
        <v>53</v>
      </c>
    </row>
    <row r="167" ht="15.75" customHeight="1">
      <c r="A167" s="53" t="s">
        <v>1657</v>
      </c>
      <c r="B167" s="53" t="s">
        <v>1658</v>
      </c>
      <c r="D167" s="53" t="s">
        <v>154</v>
      </c>
      <c r="E167" s="53" t="s">
        <v>1659</v>
      </c>
      <c r="F167" s="53" t="s">
        <v>145</v>
      </c>
      <c r="G167" s="53" t="s">
        <v>1660</v>
      </c>
      <c r="H167" s="53">
        <v>1.0</v>
      </c>
      <c r="I167" s="53">
        <v>0.11428571428571428</v>
      </c>
      <c r="J167" s="53">
        <v>2.0</v>
      </c>
      <c r="K167" s="53" t="s">
        <v>53</v>
      </c>
      <c r="L167" s="53" t="s">
        <v>53</v>
      </c>
    </row>
    <row r="168" ht="15.75" customHeight="1">
      <c r="A168" s="53" t="s">
        <v>1657</v>
      </c>
      <c r="B168" s="53" t="s">
        <v>1658</v>
      </c>
      <c r="D168" s="53" t="s">
        <v>154</v>
      </c>
      <c r="E168" s="53" t="s">
        <v>1661</v>
      </c>
      <c r="F168" s="53" t="s">
        <v>145</v>
      </c>
      <c r="G168" s="53" t="s">
        <v>1662</v>
      </c>
      <c r="H168" s="53">
        <v>1.0</v>
      </c>
      <c r="I168" s="53">
        <v>0.1506849315068493</v>
      </c>
      <c r="J168" s="53">
        <v>1.0</v>
      </c>
      <c r="K168" s="53" t="s">
        <v>53</v>
      </c>
      <c r="L168" s="53" t="s">
        <v>53</v>
      </c>
    </row>
    <row r="169" ht="15.75" customHeight="1">
      <c r="A169" s="53" t="s">
        <v>1657</v>
      </c>
      <c r="B169" s="53" t="s">
        <v>1658</v>
      </c>
      <c r="D169" s="53" t="s">
        <v>1662</v>
      </c>
      <c r="E169" s="53" t="s">
        <v>1663</v>
      </c>
      <c r="F169" s="53" t="s">
        <v>145</v>
      </c>
      <c r="G169" s="53" t="s">
        <v>1660</v>
      </c>
      <c r="H169" s="53">
        <v>1.0</v>
      </c>
      <c r="I169" s="53">
        <v>0.0821917808219178</v>
      </c>
      <c r="J169" s="53">
        <v>0.0</v>
      </c>
      <c r="K169" s="53" t="s">
        <v>53</v>
      </c>
      <c r="L169" s="53" t="s">
        <v>53</v>
      </c>
    </row>
    <row r="170" ht="15.75" customHeight="1">
      <c r="A170" s="53" t="s">
        <v>166</v>
      </c>
      <c r="B170" s="53" t="s">
        <v>167</v>
      </c>
      <c r="C170" s="53" t="s">
        <v>168</v>
      </c>
      <c r="D170" s="53" t="s">
        <v>175</v>
      </c>
      <c r="E170" s="53" t="s">
        <v>1664</v>
      </c>
      <c r="F170" s="53" t="s">
        <v>1665</v>
      </c>
      <c r="G170" s="53" t="s">
        <v>184</v>
      </c>
      <c r="H170" s="53">
        <v>0.3333333333333333</v>
      </c>
      <c r="I170" s="53">
        <v>0.08743169398907104</v>
      </c>
      <c r="J170" s="53">
        <v>0.0</v>
      </c>
      <c r="K170" s="53" t="s">
        <v>1666</v>
      </c>
      <c r="L170" s="53" t="s">
        <v>1667</v>
      </c>
    </row>
    <row r="171" ht="15.75" customHeight="1">
      <c r="A171" s="53" t="s">
        <v>1668</v>
      </c>
      <c r="B171" s="53" t="s">
        <v>1669</v>
      </c>
      <c r="C171" s="53" t="s">
        <v>188</v>
      </c>
      <c r="D171" s="53" t="s">
        <v>1646</v>
      </c>
      <c r="E171" s="53" t="s">
        <v>1670</v>
      </c>
      <c r="F171" s="53" t="s">
        <v>741</v>
      </c>
      <c r="G171" s="53" t="s">
        <v>1648</v>
      </c>
      <c r="H171" s="53">
        <v>1.0</v>
      </c>
      <c r="I171" s="53">
        <v>0.5693581780538303</v>
      </c>
      <c r="J171" s="53">
        <v>3.0</v>
      </c>
      <c r="K171" s="53" t="s">
        <v>53</v>
      </c>
      <c r="L171" s="53" t="s">
        <v>53</v>
      </c>
    </row>
    <row r="172" ht="15.75" customHeight="1">
      <c r="A172" s="53" t="s">
        <v>1668</v>
      </c>
      <c r="B172" s="53" t="s">
        <v>1669</v>
      </c>
      <c r="C172" s="53" t="s">
        <v>188</v>
      </c>
      <c r="D172" s="53" t="s">
        <v>1646</v>
      </c>
      <c r="E172" s="53" t="s">
        <v>1671</v>
      </c>
      <c r="F172" s="53" t="s">
        <v>741</v>
      </c>
      <c r="G172" s="53" t="s">
        <v>1651</v>
      </c>
      <c r="H172" s="53">
        <v>1.0</v>
      </c>
      <c r="I172" s="53">
        <v>0.5737704918032787</v>
      </c>
      <c r="J172" s="53">
        <v>2.0</v>
      </c>
      <c r="K172" s="53" t="s">
        <v>53</v>
      </c>
      <c r="L172" s="53" t="s">
        <v>53</v>
      </c>
    </row>
    <row r="173" ht="15.75" customHeight="1">
      <c r="A173" s="53" t="s">
        <v>1668</v>
      </c>
      <c r="B173" s="53" t="s">
        <v>1669</v>
      </c>
      <c r="C173" s="53" t="s">
        <v>188</v>
      </c>
      <c r="D173" s="53" t="s">
        <v>1646</v>
      </c>
      <c r="E173" s="53" t="s">
        <v>1672</v>
      </c>
      <c r="F173" s="53" t="s">
        <v>741</v>
      </c>
      <c r="G173" s="53" t="s">
        <v>1653</v>
      </c>
      <c r="H173" s="53">
        <v>1.0</v>
      </c>
      <c r="I173" s="53">
        <v>0.6256781193490054</v>
      </c>
      <c r="J173" s="53">
        <v>1.0</v>
      </c>
      <c r="K173" s="53" t="s">
        <v>53</v>
      </c>
      <c r="L173" s="53" t="s">
        <v>53</v>
      </c>
    </row>
    <row r="174" ht="15.75" customHeight="1">
      <c r="A174" s="53" t="s">
        <v>1668</v>
      </c>
      <c r="B174" s="53" t="s">
        <v>1669</v>
      </c>
      <c r="C174" s="53" t="s">
        <v>188</v>
      </c>
      <c r="D174" s="53" t="s">
        <v>160</v>
      </c>
      <c r="E174" s="53" t="s">
        <v>1673</v>
      </c>
      <c r="F174" s="53" t="s">
        <v>145</v>
      </c>
      <c r="G174" s="53" t="s">
        <v>154</v>
      </c>
      <c r="H174" s="53">
        <v>1.0</v>
      </c>
      <c r="I174" s="53">
        <v>0.16025641025641027</v>
      </c>
      <c r="J174" s="53">
        <v>4.0</v>
      </c>
      <c r="K174" s="53" t="s">
        <v>53</v>
      </c>
      <c r="L174" s="53" t="s">
        <v>53</v>
      </c>
    </row>
    <row r="175" ht="15.75" customHeight="1">
      <c r="A175" s="53" t="s">
        <v>1668</v>
      </c>
      <c r="B175" s="53" t="s">
        <v>1669</v>
      </c>
      <c r="C175" s="53" t="s">
        <v>188</v>
      </c>
      <c r="D175" s="53" t="s">
        <v>160</v>
      </c>
      <c r="E175" s="53" t="s">
        <v>1674</v>
      </c>
      <c r="F175" s="53" t="s">
        <v>145</v>
      </c>
      <c r="G175" s="53" t="s">
        <v>141</v>
      </c>
      <c r="H175" s="53">
        <v>1.0</v>
      </c>
      <c r="I175" s="53">
        <v>0.39090909090909093</v>
      </c>
      <c r="J175" s="53">
        <v>6.0</v>
      </c>
      <c r="K175" s="53" t="s">
        <v>53</v>
      </c>
      <c r="L175" s="53" t="s">
        <v>53</v>
      </c>
    </row>
    <row r="176" ht="15.75" customHeight="1">
      <c r="A176" s="53" t="s">
        <v>1668</v>
      </c>
      <c r="B176" s="53" t="s">
        <v>1669</v>
      </c>
      <c r="C176" s="53" t="s">
        <v>188</v>
      </c>
      <c r="D176" s="53" t="s">
        <v>1653</v>
      </c>
      <c r="E176" s="53" t="s">
        <v>1675</v>
      </c>
      <c r="F176" s="53" t="s">
        <v>741</v>
      </c>
      <c r="G176" s="53" t="s">
        <v>1651</v>
      </c>
      <c r="H176" s="53">
        <v>1.0</v>
      </c>
      <c r="I176" s="53">
        <v>0.12296564195298372</v>
      </c>
      <c r="J176" s="53">
        <v>0.0</v>
      </c>
      <c r="K176" s="53" t="s">
        <v>53</v>
      </c>
      <c r="L176" s="53" t="s">
        <v>53</v>
      </c>
    </row>
    <row r="177" ht="15.75" customHeight="1">
      <c r="A177" s="53" t="s">
        <v>1668</v>
      </c>
      <c r="B177" s="53" t="s">
        <v>1669</v>
      </c>
      <c r="C177" s="53" t="s">
        <v>188</v>
      </c>
      <c r="D177" s="53" t="s">
        <v>1653</v>
      </c>
      <c r="E177" s="53" t="s">
        <v>1676</v>
      </c>
      <c r="F177" s="53" t="s">
        <v>741</v>
      </c>
      <c r="G177" s="53" t="s">
        <v>1648</v>
      </c>
      <c r="H177" s="53">
        <v>1.0</v>
      </c>
      <c r="I177" s="53">
        <v>0.13200723327305605</v>
      </c>
      <c r="J177" s="53">
        <v>1.0</v>
      </c>
      <c r="K177" s="53" t="s">
        <v>53</v>
      </c>
      <c r="L177" s="53" t="s">
        <v>53</v>
      </c>
    </row>
    <row r="178" ht="15.75" customHeight="1">
      <c r="A178" s="53" t="s">
        <v>1668</v>
      </c>
      <c r="B178" s="53" t="s">
        <v>1669</v>
      </c>
      <c r="C178" s="53" t="s">
        <v>188</v>
      </c>
      <c r="D178" s="53" t="s">
        <v>1651</v>
      </c>
      <c r="E178" s="53" t="s">
        <v>1677</v>
      </c>
      <c r="F178" s="53" t="s">
        <v>741</v>
      </c>
      <c r="G178" s="53" t="s">
        <v>1648</v>
      </c>
      <c r="H178" s="53">
        <v>1.0</v>
      </c>
      <c r="I178" s="53">
        <v>0.014344262295081968</v>
      </c>
      <c r="J178" s="53">
        <v>0.0</v>
      </c>
      <c r="K178" s="53" t="s">
        <v>53</v>
      </c>
      <c r="L178" s="53" t="s">
        <v>53</v>
      </c>
    </row>
    <row r="179" ht="15.75" customHeight="1">
      <c r="A179" s="53" t="s">
        <v>1668</v>
      </c>
      <c r="B179" s="53" t="s">
        <v>1669</v>
      </c>
      <c r="C179" s="53" t="s">
        <v>188</v>
      </c>
      <c r="D179" s="53" t="s">
        <v>154</v>
      </c>
      <c r="E179" s="53" t="s">
        <v>1678</v>
      </c>
      <c r="F179" s="53" t="s">
        <v>145</v>
      </c>
      <c r="G179" s="53" t="s">
        <v>141</v>
      </c>
      <c r="H179" s="53">
        <v>1.0</v>
      </c>
      <c r="I179" s="53">
        <v>0.4090909090909091</v>
      </c>
      <c r="J179" s="53">
        <v>1.0</v>
      </c>
      <c r="K179" s="53" t="s">
        <v>53</v>
      </c>
      <c r="L179" s="53" t="s">
        <v>53</v>
      </c>
    </row>
    <row r="180" ht="15.75" customHeight="1">
      <c r="A180" s="53" t="s">
        <v>197</v>
      </c>
      <c r="B180" s="53" t="s">
        <v>1679</v>
      </c>
      <c r="C180" s="53" t="s">
        <v>1680</v>
      </c>
      <c r="D180" s="53" t="s">
        <v>1681</v>
      </c>
      <c r="E180" s="53" t="s">
        <v>1682</v>
      </c>
      <c r="F180" s="53" t="s">
        <v>1683</v>
      </c>
      <c r="G180" s="53" t="s">
        <v>1684</v>
      </c>
      <c r="H180" s="53">
        <v>1.0</v>
      </c>
      <c r="I180" s="53">
        <v>0.004329004329004329</v>
      </c>
      <c r="J180" s="53">
        <v>0.0</v>
      </c>
      <c r="K180" s="53" t="s">
        <v>1685</v>
      </c>
      <c r="L180" s="53" t="s">
        <v>53</v>
      </c>
    </row>
    <row r="181" ht="15.75" customHeight="1">
      <c r="A181" s="53" t="s">
        <v>1686</v>
      </c>
      <c r="B181" s="53" t="s">
        <v>1687</v>
      </c>
      <c r="D181" s="53" t="s">
        <v>1646</v>
      </c>
      <c r="E181" s="53" t="s">
        <v>1670</v>
      </c>
      <c r="F181" s="53" t="s">
        <v>741</v>
      </c>
      <c r="G181" s="53" t="s">
        <v>1648</v>
      </c>
      <c r="H181" s="53">
        <v>1.0</v>
      </c>
      <c r="I181" s="53">
        <v>0.5693581780538303</v>
      </c>
      <c r="J181" s="53">
        <v>3.0</v>
      </c>
      <c r="K181" s="53" t="s">
        <v>53</v>
      </c>
      <c r="L181" s="53" t="s">
        <v>53</v>
      </c>
    </row>
    <row r="182" ht="15.75" customHeight="1">
      <c r="A182" s="53" t="s">
        <v>1686</v>
      </c>
      <c r="B182" s="53" t="s">
        <v>1687</v>
      </c>
      <c r="D182" s="53" t="s">
        <v>1646</v>
      </c>
      <c r="E182" s="53" t="s">
        <v>1671</v>
      </c>
      <c r="F182" s="53" t="s">
        <v>741</v>
      </c>
      <c r="G182" s="53" t="s">
        <v>1651</v>
      </c>
      <c r="H182" s="53">
        <v>1.0</v>
      </c>
      <c r="I182" s="53">
        <v>0.5737704918032787</v>
      </c>
      <c r="J182" s="53">
        <v>2.0</v>
      </c>
      <c r="K182" s="53" t="s">
        <v>53</v>
      </c>
      <c r="L182" s="53" t="s">
        <v>53</v>
      </c>
    </row>
    <row r="183" ht="15.75" customHeight="1">
      <c r="A183" s="53" t="s">
        <v>1686</v>
      </c>
      <c r="B183" s="53" t="s">
        <v>1687</v>
      </c>
      <c r="D183" s="53" t="s">
        <v>1646</v>
      </c>
      <c r="E183" s="53" t="s">
        <v>1672</v>
      </c>
      <c r="F183" s="53" t="s">
        <v>741</v>
      </c>
      <c r="G183" s="53" t="s">
        <v>1653</v>
      </c>
      <c r="H183" s="53">
        <v>1.0</v>
      </c>
      <c r="I183" s="53">
        <v>0.6256781193490054</v>
      </c>
      <c r="J183" s="53">
        <v>1.0</v>
      </c>
      <c r="K183" s="53" t="s">
        <v>53</v>
      </c>
      <c r="L183" s="53" t="s">
        <v>53</v>
      </c>
    </row>
    <row r="184" ht="15.75" customHeight="1">
      <c r="A184" s="53" t="s">
        <v>1686</v>
      </c>
      <c r="B184" s="53" t="s">
        <v>1687</v>
      </c>
      <c r="D184" s="53" t="s">
        <v>160</v>
      </c>
      <c r="E184" s="53" t="s">
        <v>1673</v>
      </c>
      <c r="F184" s="53" t="s">
        <v>145</v>
      </c>
      <c r="G184" s="53" t="s">
        <v>154</v>
      </c>
      <c r="H184" s="53">
        <v>1.0</v>
      </c>
      <c r="I184" s="53">
        <v>0.16025641025641027</v>
      </c>
      <c r="J184" s="53">
        <v>4.0</v>
      </c>
      <c r="K184" s="53" t="s">
        <v>53</v>
      </c>
      <c r="L184" s="53" t="s">
        <v>53</v>
      </c>
    </row>
    <row r="185" ht="15.75" customHeight="1">
      <c r="A185" s="53" t="s">
        <v>1686</v>
      </c>
      <c r="B185" s="53" t="s">
        <v>1687</v>
      </c>
      <c r="D185" s="53" t="s">
        <v>160</v>
      </c>
      <c r="E185" s="53" t="s">
        <v>1674</v>
      </c>
      <c r="F185" s="53" t="s">
        <v>145</v>
      </c>
      <c r="G185" s="53" t="s">
        <v>141</v>
      </c>
      <c r="H185" s="53">
        <v>1.0</v>
      </c>
      <c r="I185" s="53">
        <v>0.39090909090909093</v>
      </c>
      <c r="J185" s="53">
        <v>6.0</v>
      </c>
      <c r="K185" s="53" t="s">
        <v>53</v>
      </c>
      <c r="L185" s="53" t="s">
        <v>53</v>
      </c>
    </row>
    <row r="186" ht="15.75" customHeight="1">
      <c r="A186" s="53" t="s">
        <v>1686</v>
      </c>
      <c r="B186" s="53" t="s">
        <v>1687</v>
      </c>
      <c r="D186" s="53" t="s">
        <v>1653</v>
      </c>
      <c r="E186" s="53" t="s">
        <v>1675</v>
      </c>
      <c r="F186" s="53" t="s">
        <v>741</v>
      </c>
      <c r="G186" s="53" t="s">
        <v>1651</v>
      </c>
      <c r="H186" s="53">
        <v>1.0</v>
      </c>
      <c r="I186" s="53">
        <v>0.12296564195298372</v>
      </c>
      <c r="J186" s="53">
        <v>0.0</v>
      </c>
      <c r="K186" s="53" t="s">
        <v>53</v>
      </c>
      <c r="L186" s="53" t="s">
        <v>53</v>
      </c>
    </row>
    <row r="187" ht="15.75" customHeight="1">
      <c r="A187" s="53" t="s">
        <v>1686</v>
      </c>
      <c r="B187" s="53" t="s">
        <v>1687</v>
      </c>
      <c r="D187" s="53" t="s">
        <v>1653</v>
      </c>
      <c r="E187" s="53" t="s">
        <v>1676</v>
      </c>
      <c r="F187" s="53" t="s">
        <v>741</v>
      </c>
      <c r="G187" s="53" t="s">
        <v>1648</v>
      </c>
      <c r="H187" s="53">
        <v>1.0</v>
      </c>
      <c r="I187" s="53">
        <v>0.13200723327305605</v>
      </c>
      <c r="J187" s="53">
        <v>1.0</v>
      </c>
      <c r="K187" s="53" t="s">
        <v>53</v>
      </c>
      <c r="L187" s="53" t="s">
        <v>53</v>
      </c>
    </row>
    <row r="188" ht="15.75" customHeight="1">
      <c r="A188" s="53" t="s">
        <v>1686</v>
      </c>
      <c r="B188" s="53" t="s">
        <v>1687</v>
      </c>
      <c r="D188" s="53" t="s">
        <v>1651</v>
      </c>
      <c r="E188" s="53" t="s">
        <v>1677</v>
      </c>
      <c r="F188" s="53" t="s">
        <v>741</v>
      </c>
      <c r="G188" s="53" t="s">
        <v>1648</v>
      </c>
      <c r="H188" s="53">
        <v>1.0</v>
      </c>
      <c r="I188" s="53">
        <v>0.014344262295081968</v>
      </c>
      <c r="J188" s="53">
        <v>0.0</v>
      </c>
      <c r="K188" s="53" t="s">
        <v>53</v>
      </c>
      <c r="L188" s="53" t="s">
        <v>53</v>
      </c>
    </row>
    <row r="189" ht="15.75" customHeight="1">
      <c r="A189" s="53" t="s">
        <v>1686</v>
      </c>
      <c r="B189" s="53" t="s">
        <v>1687</v>
      </c>
      <c r="D189" s="53" t="s">
        <v>154</v>
      </c>
      <c r="E189" s="53" t="s">
        <v>1678</v>
      </c>
      <c r="F189" s="53" t="s">
        <v>145</v>
      </c>
      <c r="G189" s="53" t="s">
        <v>141</v>
      </c>
      <c r="H189" s="53">
        <v>1.0</v>
      </c>
      <c r="I189" s="53">
        <v>0.4090909090909091</v>
      </c>
      <c r="J189" s="53">
        <v>1.0</v>
      </c>
      <c r="K189" s="53" t="s">
        <v>53</v>
      </c>
      <c r="L189" s="53" t="s">
        <v>53</v>
      </c>
    </row>
    <row r="190" ht="15.75" customHeight="1">
      <c r="A190" s="53" t="s">
        <v>1688</v>
      </c>
      <c r="B190" s="53" t="s">
        <v>1687</v>
      </c>
      <c r="D190" s="53" t="s">
        <v>1689</v>
      </c>
      <c r="E190" s="53" t="s">
        <v>1690</v>
      </c>
      <c r="F190" s="53" t="s">
        <v>1691</v>
      </c>
      <c r="G190" s="53" t="s">
        <v>1692</v>
      </c>
      <c r="H190" s="53">
        <v>1.0</v>
      </c>
      <c r="I190" s="53">
        <v>0.526813880126183</v>
      </c>
      <c r="J190" s="53">
        <v>1.0</v>
      </c>
      <c r="K190" s="53" t="s">
        <v>53</v>
      </c>
      <c r="L190" s="53" t="s">
        <v>1693</v>
      </c>
    </row>
    <row r="191" ht="15.75" customHeight="1">
      <c r="A191" s="53" t="s">
        <v>1688</v>
      </c>
      <c r="B191" s="53" t="s">
        <v>1687</v>
      </c>
      <c r="D191" s="53" t="s">
        <v>1694</v>
      </c>
      <c r="E191" s="53" t="s">
        <v>1695</v>
      </c>
      <c r="F191" s="53" t="s">
        <v>1696</v>
      </c>
      <c r="G191" s="53" t="s">
        <v>1697</v>
      </c>
      <c r="H191" s="53">
        <v>1.0</v>
      </c>
      <c r="I191" s="53">
        <v>0.0625</v>
      </c>
      <c r="J191" s="53">
        <v>0.0</v>
      </c>
      <c r="K191" s="53" t="s">
        <v>53</v>
      </c>
      <c r="L191" s="53" t="s">
        <v>53</v>
      </c>
    </row>
    <row r="192" ht="15.75" customHeight="1">
      <c r="A192" s="53" t="s">
        <v>1698</v>
      </c>
      <c r="B192" s="53" t="s">
        <v>1687</v>
      </c>
      <c r="D192" s="53" t="s">
        <v>1507</v>
      </c>
      <c r="E192" s="53" t="s">
        <v>1699</v>
      </c>
      <c r="F192" s="53" t="s">
        <v>1700</v>
      </c>
      <c r="G192" s="53" t="s">
        <v>1504</v>
      </c>
      <c r="H192" s="53">
        <v>1.0</v>
      </c>
      <c r="I192" s="53">
        <v>0.1553398058252427</v>
      </c>
      <c r="J192" s="53">
        <v>0.0</v>
      </c>
      <c r="K192" s="53" t="s">
        <v>53</v>
      </c>
      <c r="L192" s="53" t="s">
        <v>53</v>
      </c>
    </row>
    <row r="193" ht="15.75" customHeight="1">
      <c r="A193" s="53" t="s">
        <v>1701</v>
      </c>
      <c r="B193" s="53" t="s">
        <v>1687</v>
      </c>
      <c r="D193" s="53" t="s">
        <v>1533</v>
      </c>
      <c r="E193" s="53" t="s">
        <v>1702</v>
      </c>
      <c r="F193" s="53" t="s">
        <v>1703</v>
      </c>
      <c r="G193" s="53" t="s">
        <v>1536</v>
      </c>
      <c r="H193" s="53">
        <v>0.75</v>
      </c>
      <c r="I193" s="53">
        <v>0.06752411575562701</v>
      </c>
      <c r="J193" s="53">
        <v>1.0</v>
      </c>
      <c r="K193" s="53" t="s">
        <v>53</v>
      </c>
      <c r="L193" s="53" t="s">
        <v>1704</v>
      </c>
    </row>
    <row r="194" ht="15.75" customHeight="1">
      <c r="A194" s="53" t="s">
        <v>1701</v>
      </c>
      <c r="B194" s="53" t="s">
        <v>1687</v>
      </c>
      <c r="D194" s="53" t="s">
        <v>1533</v>
      </c>
      <c r="E194" s="53" t="s">
        <v>1705</v>
      </c>
      <c r="F194" s="53" t="s">
        <v>1706</v>
      </c>
      <c r="G194" s="53" t="s">
        <v>1540</v>
      </c>
      <c r="H194" s="53">
        <v>0.75</v>
      </c>
      <c r="I194" s="53">
        <v>0.07142857142857142</v>
      </c>
      <c r="J194" s="53">
        <v>0.0</v>
      </c>
      <c r="K194" s="53" t="s">
        <v>53</v>
      </c>
      <c r="L194" s="53" t="s">
        <v>1707</v>
      </c>
    </row>
    <row r="195" ht="15.75" customHeight="1">
      <c r="A195" s="53" t="s">
        <v>1701</v>
      </c>
      <c r="B195" s="53" t="s">
        <v>1687</v>
      </c>
      <c r="D195" s="53" t="s">
        <v>1533</v>
      </c>
      <c r="E195" s="53" t="s">
        <v>1708</v>
      </c>
      <c r="F195" s="53" t="s">
        <v>1709</v>
      </c>
      <c r="G195" s="53" t="s">
        <v>1544</v>
      </c>
      <c r="H195" s="53">
        <v>0.75</v>
      </c>
      <c r="I195" s="53">
        <v>0.12861736334405144</v>
      </c>
      <c r="J195" s="53">
        <v>2.0</v>
      </c>
      <c r="K195" s="53" t="s">
        <v>53</v>
      </c>
      <c r="L195" s="53" t="s">
        <v>1710</v>
      </c>
    </row>
    <row r="196" ht="15.75" customHeight="1">
      <c r="A196" s="53" t="s">
        <v>1701</v>
      </c>
      <c r="B196" s="53" t="s">
        <v>1687</v>
      </c>
      <c r="D196" s="53" t="s">
        <v>1540</v>
      </c>
      <c r="E196" s="53" t="s">
        <v>1711</v>
      </c>
      <c r="F196" s="53" t="s">
        <v>1712</v>
      </c>
      <c r="G196" s="53" t="s">
        <v>1544</v>
      </c>
      <c r="H196" s="53">
        <v>0.75</v>
      </c>
      <c r="I196" s="53">
        <v>0.06752411575562701</v>
      </c>
      <c r="J196" s="53">
        <v>1.0</v>
      </c>
      <c r="K196" s="53" t="s">
        <v>53</v>
      </c>
      <c r="L196" s="53" t="s">
        <v>1713</v>
      </c>
    </row>
    <row r="197" ht="15.75" customHeight="1">
      <c r="A197" s="53" t="s">
        <v>1701</v>
      </c>
      <c r="B197" s="53" t="s">
        <v>1687</v>
      </c>
      <c r="D197" s="53" t="s">
        <v>1540</v>
      </c>
      <c r="E197" s="53" t="s">
        <v>1714</v>
      </c>
      <c r="F197" s="53" t="s">
        <v>1715</v>
      </c>
      <c r="G197" s="53" t="s">
        <v>1536</v>
      </c>
      <c r="H197" s="53">
        <v>0.75</v>
      </c>
      <c r="I197" s="53">
        <v>0.13504823151125403</v>
      </c>
      <c r="J197" s="53">
        <v>0.0</v>
      </c>
      <c r="K197" s="53" t="s">
        <v>53</v>
      </c>
      <c r="L197" s="53" t="s">
        <v>1716</v>
      </c>
    </row>
    <row r="198" ht="15.75" customHeight="1">
      <c r="A198" s="53" t="s">
        <v>1701</v>
      </c>
      <c r="B198" s="53" t="s">
        <v>1687</v>
      </c>
      <c r="D198" s="53" t="s">
        <v>1536</v>
      </c>
      <c r="E198" s="53" t="s">
        <v>1717</v>
      </c>
      <c r="F198" s="53" t="s">
        <v>1718</v>
      </c>
      <c r="G198" s="53" t="s">
        <v>1544</v>
      </c>
      <c r="H198" s="53">
        <v>0.75</v>
      </c>
      <c r="I198" s="53">
        <v>0.0707395498392283</v>
      </c>
      <c r="J198" s="53">
        <v>0.0</v>
      </c>
      <c r="K198" s="53" t="s">
        <v>53</v>
      </c>
      <c r="L198" s="53" t="s">
        <v>1719</v>
      </c>
    </row>
    <row r="199" ht="15.75" customHeight="1">
      <c r="A199" s="53" t="s">
        <v>1701</v>
      </c>
      <c r="B199" s="53" t="s">
        <v>1687</v>
      </c>
      <c r="D199" s="53" t="s">
        <v>1555</v>
      </c>
      <c r="E199" s="53" t="s">
        <v>1720</v>
      </c>
      <c r="F199" s="53" t="s">
        <v>1721</v>
      </c>
      <c r="G199" s="53" t="s">
        <v>1558</v>
      </c>
      <c r="H199" s="53">
        <v>0.7142857142857143</v>
      </c>
      <c r="I199" s="53">
        <v>0.056140350877192984</v>
      </c>
      <c r="J199" s="53">
        <v>0.0</v>
      </c>
      <c r="K199" s="53" t="s">
        <v>53</v>
      </c>
      <c r="L199" s="53" t="s">
        <v>1722</v>
      </c>
    </row>
    <row r="200" ht="15.75" customHeight="1">
      <c r="A200" s="53" t="s">
        <v>1701</v>
      </c>
      <c r="B200" s="53" t="s">
        <v>1687</v>
      </c>
      <c r="D200" s="53" t="s">
        <v>1555</v>
      </c>
      <c r="E200" s="53" t="s">
        <v>1723</v>
      </c>
      <c r="F200" s="53" t="s">
        <v>1724</v>
      </c>
      <c r="G200" s="53" t="s">
        <v>1562</v>
      </c>
      <c r="H200" s="53">
        <v>0.7142857142857143</v>
      </c>
      <c r="I200" s="53">
        <v>0.11214953271028037</v>
      </c>
      <c r="J200" s="53">
        <v>1.0</v>
      </c>
      <c r="K200" s="53" t="s">
        <v>53</v>
      </c>
      <c r="L200" s="53" t="s">
        <v>1725</v>
      </c>
    </row>
    <row r="201" ht="15.75" customHeight="1">
      <c r="A201" s="53" t="s">
        <v>1701</v>
      </c>
      <c r="B201" s="53" t="s">
        <v>1687</v>
      </c>
      <c r="D201" s="53" t="s">
        <v>1558</v>
      </c>
      <c r="E201" s="53" t="s">
        <v>1726</v>
      </c>
      <c r="F201" s="53" t="s">
        <v>1727</v>
      </c>
      <c r="G201" s="53" t="s">
        <v>1565</v>
      </c>
      <c r="H201" s="53">
        <v>0.6666666666666666</v>
      </c>
      <c r="I201" s="53">
        <v>0.09235668789808917</v>
      </c>
      <c r="J201" s="53">
        <v>1.0</v>
      </c>
      <c r="K201" s="53" t="s">
        <v>53</v>
      </c>
      <c r="L201" s="53" t="s">
        <v>1728</v>
      </c>
    </row>
    <row r="202" ht="15.75" customHeight="1">
      <c r="A202" s="53" t="s">
        <v>1701</v>
      </c>
      <c r="B202" s="53" t="s">
        <v>1687</v>
      </c>
      <c r="D202" s="53" t="s">
        <v>1558</v>
      </c>
      <c r="E202" s="53" t="s">
        <v>1729</v>
      </c>
      <c r="F202" s="53" t="s">
        <v>1730</v>
      </c>
      <c r="G202" s="53" t="s">
        <v>1562</v>
      </c>
      <c r="H202" s="53">
        <v>0.7142857142857143</v>
      </c>
      <c r="I202" s="53">
        <v>0.1588785046728972</v>
      </c>
      <c r="J202" s="53">
        <v>0.0</v>
      </c>
      <c r="K202" s="53" t="s">
        <v>53</v>
      </c>
      <c r="L202" s="53" t="s">
        <v>1731</v>
      </c>
    </row>
    <row r="203" ht="15.75" customHeight="1">
      <c r="A203" s="53" t="s">
        <v>1701</v>
      </c>
      <c r="B203" s="53" t="s">
        <v>1687</v>
      </c>
      <c r="D203" s="53" t="s">
        <v>1562</v>
      </c>
      <c r="E203" s="53" t="s">
        <v>1732</v>
      </c>
      <c r="F203" s="53" t="s">
        <v>1733</v>
      </c>
      <c r="G203" s="53" t="s">
        <v>1565</v>
      </c>
      <c r="H203" s="53">
        <v>0.5</v>
      </c>
      <c r="I203" s="53">
        <v>0.09345794392523364</v>
      </c>
      <c r="J203" s="53">
        <v>0.0</v>
      </c>
      <c r="K203" s="53" t="s">
        <v>53</v>
      </c>
      <c r="L203" s="53" t="s">
        <v>1734</v>
      </c>
    </row>
    <row r="204" ht="15.75" customHeight="1">
      <c r="A204" s="53" t="s">
        <v>1735</v>
      </c>
      <c r="B204" s="53" t="s">
        <v>1687</v>
      </c>
      <c r="D204" s="53" t="s">
        <v>1736</v>
      </c>
      <c r="E204" s="53" t="s">
        <v>1737</v>
      </c>
      <c r="F204" s="53" t="s">
        <v>1738</v>
      </c>
      <c r="G204" s="53" t="s">
        <v>1739</v>
      </c>
      <c r="H204" s="53">
        <v>1.0</v>
      </c>
      <c r="I204" s="53">
        <v>0.02127659574468085</v>
      </c>
      <c r="J204" s="53">
        <v>0.0</v>
      </c>
      <c r="K204" s="53" t="s">
        <v>53</v>
      </c>
      <c r="L204" s="53" t="s">
        <v>53</v>
      </c>
    </row>
    <row r="205" ht="15.75" customHeight="1">
      <c r="A205" s="53" t="s">
        <v>1735</v>
      </c>
      <c r="B205" s="53" t="s">
        <v>1687</v>
      </c>
      <c r="D205" s="53" t="s">
        <v>1736</v>
      </c>
      <c r="E205" s="53" t="s">
        <v>1740</v>
      </c>
      <c r="F205" s="53" t="s">
        <v>1738</v>
      </c>
      <c r="G205" s="53" t="s">
        <v>539</v>
      </c>
      <c r="H205" s="53">
        <v>1.0</v>
      </c>
      <c r="I205" s="53">
        <v>0.4188034188034188</v>
      </c>
      <c r="J205" s="53">
        <v>1.0</v>
      </c>
      <c r="K205" s="53" t="s">
        <v>53</v>
      </c>
      <c r="L205" s="53" t="s">
        <v>53</v>
      </c>
    </row>
    <row r="206" ht="15.75" customHeight="1">
      <c r="A206" s="53" t="s">
        <v>1735</v>
      </c>
      <c r="B206" s="53" t="s">
        <v>1687</v>
      </c>
      <c r="D206" s="53" t="s">
        <v>1736</v>
      </c>
      <c r="E206" s="53" t="s">
        <v>1741</v>
      </c>
      <c r="F206" s="53" t="s">
        <v>1738</v>
      </c>
      <c r="G206" s="53" t="s">
        <v>1742</v>
      </c>
      <c r="H206" s="53">
        <v>1.0</v>
      </c>
      <c r="I206" s="53">
        <v>0.6282051282051282</v>
      </c>
      <c r="J206" s="53">
        <v>5.0</v>
      </c>
      <c r="K206" s="53" t="s">
        <v>53</v>
      </c>
      <c r="L206" s="53" t="s">
        <v>53</v>
      </c>
    </row>
    <row r="207" ht="15.75" customHeight="1">
      <c r="A207" s="53" t="s">
        <v>1735</v>
      </c>
      <c r="B207" s="53" t="s">
        <v>1687</v>
      </c>
      <c r="D207" s="53" t="s">
        <v>1739</v>
      </c>
      <c r="E207" s="53" t="s">
        <v>1743</v>
      </c>
      <c r="F207" s="53" t="s">
        <v>1738</v>
      </c>
      <c r="G207" s="53" t="s">
        <v>539</v>
      </c>
      <c r="H207" s="53">
        <v>1.0</v>
      </c>
      <c r="I207" s="53">
        <v>0.42127659574468085</v>
      </c>
      <c r="J207" s="53">
        <v>0.0</v>
      </c>
      <c r="K207" s="53" t="s">
        <v>53</v>
      </c>
      <c r="L207" s="53" t="s">
        <v>53</v>
      </c>
    </row>
    <row r="208" ht="15.75" customHeight="1">
      <c r="A208" s="53" t="s">
        <v>1735</v>
      </c>
      <c r="B208" s="53" t="s">
        <v>1687</v>
      </c>
      <c r="D208" s="53" t="s">
        <v>1739</v>
      </c>
      <c r="E208" s="53" t="s">
        <v>1744</v>
      </c>
      <c r="F208" s="53" t="s">
        <v>1738</v>
      </c>
      <c r="G208" s="53" t="s">
        <v>1742</v>
      </c>
      <c r="H208" s="53">
        <v>1.0</v>
      </c>
      <c r="I208" s="53">
        <v>0.625531914893617</v>
      </c>
      <c r="J208" s="53">
        <v>4.0</v>
      </c>
      <c r="K208" s="53" t="s">
        <v>53</v>
      </c>
      <c r="L208" s="53" t="s">
        <v>53</v>
      </c>
    </row>
    <row r="209" ht="15.75" customHeight="1">
      <c r="A209" s="53" t="s">
        <v>1735</v>
      </c>
      <c r="B209" s="53" t="s">
        <v>1687</v>
      </c>
      <c r="D209" s="53" t="s">
        <v>539</v>
      </c>
      <c r="E209" s="53" t="s">
        <v>1745</v>
      </c>
      <c r="F209" s="53" t="s">
        <v>1738</v>
      </c>
      <c r="G209" s="53" t="s">
        <v>1742</v>
      </c>
      <c r="H209" s="53">
        <v>1.0</v>
      </c>
      <c r="I209" s="53">
        <v>0.6376146788990825</v>
      </c>
      <c r="J209" s="53">
        <v>3.0</v>
      </c>
      <c r="K209" s="53" t="s">
        <v>53</v>
      </c>
      <c r="L209" s="53" t="s">
        <v>53</v>
      </c>
    </row>
    <row r="210" ht="15.75" customHeight="1">
      <c r="A210" s="53" t="s">
        <v>1735</v>
      </c>
      <c r="B210" s="53" t="s">
        <v>1687</v>
      </c>
      <c r="D210" s="53" t="s">
        <v>1022</v>
      </c>
      <c r="E210" s="53" t="s">
        <v>1746</v>
      </c>
      <c r="F210" s="53" t="s">
        <v>1747</v>
      </c>
      <c r="G210" s="53" t="s">
        <v>169</v>
      </c>
      <c r="H210" s="53">
        <v>0.3333333333333333</v>
      </c>
      <c r="I210" s="53">
        <v>0.04736842105263158</v>
      </c>
      <c r="J210" s="53">
        <v>0.0</v>
      </c>
      <c r="K210" s="53" t="s">
        <v>53</v>
      </c>
      <c r="L210" s="53" t="s">
        <v>1748</v>
      </c>
    </row>
    <row r="211" ht="15.75" customHeight="1">
      <c r="A211" s="53" t="s">
        <v>1735</v>
      </c>
      <c r="B211" s="53" t="s">
        <v>1687</v>
      </c>
      <c r="D211" s="53" t="s">
        <v>1749</v>
      </c>
      <c r="E211" s="53" t="s">
        <v>1750</v>
      </c>
      <c r="F211" s="53" t="s">
        <v>1751</v>
      </c>
      <c r="G211" s="53" t="s">
        <v>1752</v>
      </c>
      <c r="H211" s="53">
        <v>0.5</v>
      </c>
      <c r="I211" s="53">
        <v>0.1</v>
      </c>
      <c r="J211" s="53">
        <v>1.0</v>
      </c>
      <c r="K211" s="53" t="s">
        <v>53</v>
      </c>
      <c r="L211" s="53" t="s">
        <v>1748</v>
      </c>
    </row>
    <row r="212" ht="15.75" customHeight="1">
      <c r="A212" s="53" t="s">
        <v>1753</v>
      </c>
      <c r="B212" s="53" t="s">
        <v>1687</v>
      </c>
      <c r="D212" s="53" t="s">
        <v>154</v>
      </c>
      <c r="E212" s="53" t="s">
        <v>1754</v>
      </c>
      <c r="F212" s="53" t="s">
        <v>145</v>
      </c>
      <c r="G212" s="53" t="s">
        <v>1660</v>
      </c>
      <c r="H212" s="53">
        <v>1.0</v>
      </c>
      <c r="I212" s="53">
        <v>0.1095890410958904</v>
      </c>
      <c r="J212" s="53">
        <v>2.0</v>
      </c>
      <c r="K212" s="53" t="s">
        <v>53</v>
      </c>
      <c r="L212" s="53" t="s">
        <v>53</v>
      </c>
    </row>
    <row r="213" ht="15.75" customHeight="1">
      <c r="A213" s="53" t="s">
        <v>1753</v>
      </c>
      <c r="B213" s="53" t="s">
        <v>1687</v>
      </c>
      <c r="D213" s="53" t="s">
        <v>154</v>
      </c>
      <c r="E213" s="53" t="s">
        <v>1755</v>
      </c>
      <c r="F213" s="53" t="s">
        <v>145</v>
      </c>
      <c r="G213" s="53" t="s">
        <v>1662</v>
      </c>
      <c r="H213" s="53">
        <v>1.0</v>
      </c>
      <c r="I213" s="53">
        <v>0.14473684210526316</v>
      </c>
      <c r="J213" s="53">
        <v>1.0</v>
      </c>
      <c r="K213" s="53" t="s">
        <v>53</v>
      </c>
      <c r="L213" s="53" t="s">
        <v>53</v>
      </c>
    </row>
    <row r="214" ht="15.75" customHeight="1">
      <c r="A214" s="53" t="s">
        <v>1753</v>
      </c>
      <c r="B214" s="53" t="s">
        <v>1687</v>
      </c>
      <c r="D214" s="53" t="s">
        <v>1662</v>
      </c>
      <c r="E214" s="53" t="s">
        <v>1756</v>
      </c>
      <c r="F214" s="53" t="s">
        <v>145</v>
      </c>
      <c r="G214" s="53" t="s">
        <v>1660</v>
      </c>
      <c r="H214" s="53">
        <v>1.0</v>
      </c>
      <c r="I214" s="53">
        <v>0.07894736842105263</v>
      </c>
      <c r="J214" s="53">
        <v>0.0</v>
      </c>
      <c r="K214" s="53" t="s">
        <v>53</v>
      </c>
      <c r="L214" s="53" t="s">
        <v>53</v>
      </c>
    </row>
    <row r="215" ht="15.75" customHeight="1">
      <c r="A215" s="53" t="s">
        <v>1757</v>
      </c>
      <c r="B215" s="53" t="s">
        <v>1687</v>
      </c>
      <c r="D215" s="53" t="s">
        <v>1758</v>
      </c>
      <c r="E215" s="53" t="s">
        <v>1759</v>
      </c>
      <c r="F215" s="53" t="s">
        <v>1760</v>
      </c>
      <c r="G215" s="53" t="s">
        <v>1739</v>
      </c>
      <c r="H215" s="53">
        <v>0.8</v>
      </c>
      <c r="I215" s="53">
        <v>0.6490939044481054</v>
      </c>
      <c r="J215" s="53">
        <v>2.0</v>
      </c>
      <c r="K215" s="53" t="s">
        <v>53</v>
      </c>
      <c r="L215" s="53" t="s">
        <v>1761</v>
      </c>
    </row>
    <row r="216" ht="15.75" customHeight="1">
      <c r="A216" s="53" t="s">
        <v>1757</v>
      </c>
      <c r="B216" s="53" t="s">
        <v>1687</v>
      </c>
      <c r="D216" s="53" t="s">
        <v>1758</v>
      </c>
      <c r="E216" s="53" t="s">
        <v>1762</v>
      </c>
      <c r="F216" s="53" t="s">
        <v>1760</v>
      </c>
      <c r="G216" s="53" t="s">
        <v>232</v>
      </c>
      <c r="H216" s="53">
        <v>0.8</v>
      </c>
      <c r="I216" s="53">
        <v>0.6507413509060955</v>
      </c>
      <c r="J216" s="53">
        <v>1.0</v>
      </c>
      <c r="K216" s="53" t="s">
        <v>53</v>
      </c>
      <c r="L216" s="53" t="s">
        <v>1761</v>
      </c>
    </row>
    <row r="217" ht="15.75" customHeight="1">
      <c r="A217" s="53" t="s">
        <v>1757</v>
      </c>
      <c r="B217" s="53" t="s">
        <v>1687</v>
      </c>
      <c r="D217" s="53" t="s">
        <v>1758</v>
      </c>
      <c r="E217" s="53" t="s">
        <v>1763</v>
      </c>
      <c r="F217" s="53" t="s">
        <v>1760</v>
      </c>
      <c r="G217" s="53" t="s">
        <v>1736</v>
      </c>
      <c r="H217" s="53">
        <v>0.8</v>
      </c>
      <c r="I217" s="53">
        <v>0.6507413509060955</v>
      </c>
      <c r="J217" s="53">
        <v>0.0</v>
      </c>
      <c r="K217" s="53" t="s">
        <v>53</v>
      </c>
      <c r="L217" s="53" t="s">
        <v>1761</v>
      </c>
    </row>
    <row r="218" ht="15.75" customHeight="1">
      <c r="A218" s="53" t="s">
        <v>1757</v>
      </c>
      <c r="B218" s="53" t="s">
        <v>1687</v>
      </c>
      <c r="D218" s="53" t="s">
        <v>1758</v>
      </c>
      <c r="E218" s="53" t="s">
        <v>1764</v>
      </c>
      <c r="F218" s="53" t="s">
        <v>1760</v>
      </c>
      <c r="G218" s="53" t="s">
        <v>539</v>
      </c>
      <c r="H218" s="53">
        <v>0.8</v>
      </c>
      <c r="I218" s="53">
        <v>0.6803953871499177</v>
      </c>
      <c r="J218" s="53">
        <v>3.0</v>
      </c>
      <c r="K218" s="53" t="s">
        <v>53</v>
      </c>
      <c r="L218" s="53" t="s">
        <v>1761</v>
      </c>
    </row>
    <row r="219" ht="15.75" customHeight="1">
      <c r="A219" s="53" t="s">
        <v>1757</v>
      </c>
      <c r="B219" s="53" t="s">
        <v>1687</v>
      </c>
      <c r="D219" s="53" t="s">
        <v>1758</v>
      </c>
      <c r="E219" s="53" t="s">
        <v>1765</v>
      </c>
      <c r="F219" s="53" t="s">
        <v>1760</v>
      </c>
      <c r="G219" s="53" t="s">
        <v>1742</v>
      </c>
      <c r="H219" s="53">
        <v>0.8</v>
      </c>
      <c r="I219" s="53">
        <v>0.6869851729818781</v>
      </c>
      <c r="J219" s="53">
        <v>12.0</v>
      </c>
      <c r="K219" s="53" t="s">
        <v>53</v>
      </c>
      <c r="L219" s="53" t="s">
        <v>1761</v>
      </c>
    </row>
    <row r="220" ht="15.75" customHeight="1">
      <c r="A220" s="53" t="s">
        <v>1757</v>
      </c>
      <c r="B220" s="53" t="s">
        <v>1687</v>
      </c>
      <c r="D220" s="53" t="s">
        <v>1736</v>
      </c>
      <c r="E220" s="53" t="s">
        <v>1766</v>
      </c>
      <c r="F220" s="53" t="s">
        <v>1767</v>
      </c>
      <c r="G220" s="53" t="s">
        <v>1739</v>
      </c>
      <c r="H220" s="53">
        <v>1.0</v>
      </c>
      <c r="I220" s="53">
        <v>0.01818181818181818</v>
      </c>
      <c r="J220" s="53">
        <v>1.0</v>
      </c>
      <c r="K220" s="53" t="s">
        <v>53</v>
      </c>
      <c r="L220" s="53" t="s">
        <v>53</v>
      </c>
    </row>
    <row r="221" ht="15.75" customHeight="1">
      <c r="A221" s="53" t="s">
        <v>1757</v>
      </c>
      <c r="B221" s="53" t="s">
        <v>1687</v>
      </c>
      <c r="D221" s="53" t="s">
        <v>1736</v>
      </c>
      <c r="E221" s="53" t="s">
        <v>1768</v>
      </c>
      <c r="F221" s="53" t="s">
        <v>1767</v>
      </c>
      <c r="G221" s="53" t="s">
        <v>232</v>
      </c>
      <c r="H221" s="53">
        <v>1.0</v>
      </c>
      <c r="I221" s="53">
        <v>0.043010752688172046</v>
      </c>
      <c r="J221" s="53">
        <v>0.0</v>
      </c>
      <c r="K221" s="53" t="s">
        <v>53</v>
      </c>
      <c r="L221" s="53" t="s">
        <v>53</v>
      </c>
    </row>
    <row r="222" ht="15.75" customHeight="1">
      <c r="A222" s="53" t="s">
        <v>1757</v>
      </c>
      <c r="B222" s="53" t="s">
        <v>1687</v>
      </c>
      <c r="D222" s="53" t="s">
        <v>1736</v>
      </c>
      <c r="E222" s="53" t="s">
        <v>1769</v>
      </c>
      <c r="F222" s="53" t="s">
        <v>1767</v>
      </c>
      <c r="G222" s="53" t="s">
        <v>539</v>
      </c>
      <c r="H222" s="53">
        <v>1.0</v>
      </c>
      <c r="I222" s="53">
        <v>0.35766423357664234</v>
      </c>
      <c r="J222" s="53">
        <v>2.0</v>
      </c>
      <c r="K222" s="53" t="s">
        <v>53</v>
      </c>
      <c r="L222" s="53" t="s">
        <v>53</v>
      </c>
    </row>
    <row r="223" ht="15.75" customHeight="1">
      <c r="A223" s="53" t="s">
        <v>1757</v>
      </c>
      <c r="B223" s="53" t="s">
        <v>1687</v>
      </c>
      <c r="D223" s="53" t="s">
        <v>1736</v>
      </c>
      <c r="E223" s="53" t="s">
        <v>1770</v>
      </c>
      <c r="F223" s="53" t="s">
        <v>1767</v>
      </c>
      <c r="G223" s="53" t="s">
        <v>1742</v>
      </c>
      <c r="H223" s="53">
        <v>1.0</v>
      </c>
      <c r="I223" s="53">
        <v>0.4858156028368794</v>
      </c>
      <c r="J223" s="53">
        <v>11.0</v>
      </c>
      <c r="K223" s="53" t="s">
        <v>53</v>
      </c>
      <c r="L223" s="53" t="s">
        <v>53</v>
      </c>
    </row>
    <row r="224" ht="15.75" customHeight="1">
      <c r="A224" s="53" t="s">
        <v>1757</v>
      </c>
      <c r="B224" s="53" t="s">
        <v>1687</v>
      </c>
      <c r="D224" s="53" t="s">
        <v>232</v>
      </c>
      <c r="E224" s="53" t="s">
        <v>1771</v>
      </c>
      <c r="F224" s="53" t="s">
        <v>1767</v>
      </c>
      <c r="G224" s="53" t="s">
        <v>1739</v>
      </c>
      <c r="H224" s="53">
        <v>1.0</v>
      </c>
      <c r="I224" s="53">
        <v>0.043010752688172046</v>
      </c>
      <c r="J224" s="53">
        <v>0.0</v>
      </c>
      <c r="K224" s="53" t="s">
        <v>53</v>
      </c>
      <c r="L224" s="53" t="s">
        <v>53</v>
      </c>
    </row>
    <row r="225" ht="15.75" customHeight="1">
      <c r="A225" s="53" t="s">
        <v>1757</v>
      </c>
      <c r="B225" s="53" t="s">
        <v>1687</v>
      </c>
      <c r="D225" s="53" t="s">
        <v>232</v>
      </c>
      <c r="E225" s="53" t="s">
        <v>1772</v>
      </c>
      <c r="F225" s="53" t="s">
        <v>1767</v>
      </c>
      <c r="G225" s="53" t="s">
        <v>539</v>
      </c>
      <c r="H225" s="53">
        <v>1.0</v>
      </c>
      <c r="I225" s="53">
        <v>0.3655913978494624</v>
      </c>
      <c r="J225" s="53">
        <v>1.0</v>
      </c>
      <c r="K225" s="53" t="s">
        <v>53</v>
      </c>
      <c r="L225" s="53" t="s">
        <v>53</v>
      </c>
    </row>
    <row r="226" ht="15.75" customHeight="1">
      <c r="A226" s="53" t="s">
        <v>1757</v>
      </c>
      <c r="B226" s="53" t="s">
        <v>1687</v>
      </c>
      <c r="D226" s="53" t="s">
        <v>232</v>
      </c>
      <c r="E226" s="53" t="s">
        <v>1773</v>
      </c>
      <c r="F226" s="53" t="s">
        <v>1767</v>
      </c>
      <c r="G226" s="53" t="s">
        <v>1742</v>
      </c>
      <c r="H226" s="53">
        <v>1.0</v>
      </c>
      <c r="I226" s="53">
        <v>0.49645390070921985</v>
      </c>
      <c r="J226" s="53">
        <v>10.0</v>
      </c>
      <c r="K226" s="53" t="s">
        <v>53</v>
      </c>
      <c r="L226" s="53" t="s">
        <v>53</v>
      </c>
    </row>
    <row r="227" ht="15.75" customHeight="1">
      <c r="A227" s="53" t="s">
        <v>1757</v>
      </c>
      <c r="B227" s="53" t="s">
        <v>1687</v>
      </c>
      <c r="D227" s="53" t="s">
        <v>1739</v>
      </c>
      <c r="E227" s="53" t="s">
        <v>1774</v>
      </c>
      <c r="F227" s="53" t="s">
        <v>1767</v>
      </c>
      <c r="G227" s="53" t="s">
        <v>539</v>
      </c>
      <c r="H227" s="53">
        <v>1.0</v>
      </c>
      <c r="I227" s="53">
        <v>0.36</v>
      </c>
      <c r="J227" s="53">
        <v>0.0</v>
      </c>
      <c r="K227" s="53" t="s">
        <v>53</v>
      </c>
      <c r="L227" s="53" t="s">
        <v>53</v>
      </c>
    </row>
    <row r="228" ht="15.75" customHeight="1">
      <c r="A228" s="53" t="s">
        <v>1757</v>
      </c>
      <c r="B228" s="53" t="s">
        <v>1687</v>
      </c>
      <c r="D228" s="53" t="s">
        <v>1739</v>
      </c>
      <c r="E228" s="53" t="s">
        <v>1775</v>
      </c>
      <c r="F228" s="53" t="s">
        <v>1767</v>
      </c>
      <c r="G228" s="53" t="s">
        <v>1742</v>
      </c>
      <c r="H228" s="53">
        <v>1.0</v>
      </c>
      <c r="I228" s="53">
        <v>0.4858156028368794</v>
      </c>
      <c r="J228" s="53">
        <v>9.0</v>
      </c>
      <c r="K228" s="53" t="s">
        <v>53</v>
      </c>
      <c r="L228" s="53" t="s">
        <v>53</v>
      </c>
    </row>
    <row r="229" ht="15.75" customHeight="1">
      <c r="A229" s="53" t="s">
        <v>1757</v>
      </c>
      <c r="B229" s="53" t="s">
        <v>1687</v>
      </c>
      <c r="D229" s="53" t="s">
        <v>539</v>
      </c>
      <c r="E229" s="53" t="s">
        <v>1776</v>
      </c>
      <c r="F229" s="53" t="s">
        <v>1767</v>
      </c>
      <c r="G229" s="53" t="s">
        <v>1742</v>
      </c>
      <c r="H229" s="53">
        <v>1.0</v>
      </c>
      <c r="I229" s="53">
        <v>0.524822695035461</v>
      </c>
      <c r="J229" s="53">
        <v>8.0</v>
      </c>
      <c r="K229" s="53" t="s">
        <v>53</v>
      </c>
      <c r="L229" s="53" t="s">
        <v>53</v>
      </c>
    </row>
    <row r="230" ht="15.75" customHeight="1">
      <c r="A230" s="53" t="s">
        <v>1757</v>
      </c>
      <c r="B230" s="53" t="s">
        <v>1687</v>
      </c>
      <c r="D230" s="53" t="s">
        <v>242</v>
      </c>
      <c r="E230" s="53" t="s">
        <v>1777</v>
      </c>
      <c r="F230" s="53" t="s">
        <v>1778</v>
      </c>
      <c r="G230" s="53" t="s">
        <v>178</v>
      </c>
      <c r="H230" s="53">
        <v>1.0</v>
      </c>
      <c r="I230" s="53">
        <v>0.36824324324324326</v>
      </c>
      <c r="J230" s="53">
        <v>7.0</v>
      </c>
      <c r="K230" s="53" t="s">
        <v>53</v>
      </c>
      <c r="L230" s="53" t="s">
        <v>53</v>
      </c>
    </row>
    <row r="231" ht="15.75" customHeight="1">
      <c r="A231" s="53" t="s">
        <v>1757</v>
      </c>
      <c r="B231" s="53" t="s">
        <v>1687</v>
      </c>
      <c r="D231" s="53" t="s">
        <v>1022</v>
      </c>
      <c r="E231" s="53" t="s">
        <v>1779</v>
      </c>
      <c r="F231" s="53" t="s">
        <v>1780</v>
      </c>
      <c r="G231" s="53" t="s">
        <v>169</v>
      </c>
      <c r="H231" s="53">
        <v>0.3333333333333333</v>
      </c>
      <c r="I231" s="53">
        <v>0.020202020202020204</v>
      </c>
      <c r="J231" s="53">
        <v>0.0</v>
      </c>
      <c r="K231" s="53" t="s">
        <v>53</v>
      </c>
      <c r="L231" s="53" t="s">
        <v>1781</v>
      </c>
    </row>
    <row r="232" ht="15.75" customHeight="1">
      <c r="A232" s="53" t="s">
        <v>1757</v>
      </c>
      <c r="B232" s="53" t="s">
        <v>1687</v>
      </c>
      <c r="D232" s="53" t="s">
        <v>1749</v>
      </c>
      <c r="E232" s="53" t="s">
        <v>1782</v>
      </c>
      <c r="F232" s="53" t="s">
        <v>1783</v>
      </c>
      <c r="G232" s="53" t="s">
        <v>1752</v>
      </c>
      <c r="H232" s="53">
        <v>0.7142857142857143</v>
      </c>
      <c r="I232" s="53">
        <v>0.04074702886247878</v>
      </c>
      <c r="J232" s="53">
        <v>1.0</v>
      </c>
      <c r="K232" s="53" t="s">
        <v>53</v>
      </c>
      <c r="L232" s="53" t="s">
        <v>1781</v>
      </c>
    </row>
    <row r="233" ht="15.75" customHeight="1">
      <c r="A233" s="53" t="s">
        <v>1784</v>
      </c>
      <c r="B233" s="53" t="s">
        <v>1687</v>
      </c>
      <c r="D233" s="53" t="s">
        <v>566</v>
      </c>
      <c r="E233" s="53" t="s">
        <v>1785</v>
      </c>
      <c r="F233" s="53" t="s">
        <v>1786</v>
      </c>
      <c r="G233" s="53" t="s">
        <v>242</v>
      </c>
      <c r="H233" s="53">
        <v>1.0</v>
      </c>
      <c r="I233" s="53">
        <v>0.2948717948717949</v>
      </c>
      <c r="J233" s="53">
        <v>0.0</v>
      </c>
      <c r="K233" s="53" t="s">
        <v>53</v>
      </c>
      <c r="L233" s="53" t="s">
        <v>53</v>
      </c>
    </row>
    <row r="234" ht="15.75" customHeight="1">
      <c r="A234" s="53" t="s">
        <v>1787</v>
      </c>
      <c r="B234" s="53" t="s">
        <v>1687</v>
      </c>
      <c r="D234" s="53" t="s">
        <v>366</v>
      </c>
      <c r="E234" s="53" t="s">
        <v>1788</v>
      </c>
      <c r="F234" s="53" t="s">
        <v>1789</v>
      </c>
      <c r="G234" s="53" t="s">
        <v>375</v>
      </c>
      <c r="H234" s="53">
        <v>0.25</v>
      </c>
      <c r="I234" s="53">
        <v>0.0778688524590164</v>
      </c>
      <c r="J234" s="53">
        <v>0.0</v>
      </c>
      <c r="K234" s="53" t="s">
        <v>53</v>
      </c>
      <c r="L234" s="53" t="s">
        <v>1790</v>
      </c>
    </row>
    <row r="235" ht="15.75" customHeight="1">
      <c r="A235" s="53" t="s">
        <v>1787</v>
      </c>
      <c r="B235" s="53" t="s">
        <v>1687</v>
      </c>
      <c r="D235" s="53" t="s">
        <v>1791</v>
      </c>
      <c r="E235" s="53" t="s">
        <v>1792</v>
      </c>
      <c r="F235" s="53" t="s">
        <v>1793</v>
      </c>
      <c r="G235" s="53" t="s">
        <v>385</v>
      </c>
      <c r="H235" s="53">
        <v>0.5</v>
      </c>
      <c r="I235" s="53">
        <v>0.07643312101910828</v>
      </c>
      <c r="J235" s="53">
        <v>2.0</v>
      </c>
      <c r="K235" s="53" t="s">
        <v>53</v>
      </c>
      <c r="L235" s="53" t="s">
        <v>1794</v>
      </c>
    </row>
    <row r="236" ht="15.75" customHeight="1">
      <c r="A236" s="53" t="s">
        <v>1787</v>
      </c>
      <c r="B236" s="53" t="s">
        <v>1687</v>
      </c>
      <c r="D236" s="53" t="s">
        <v>1795</v>
      </c>
      <c r="E236" s="53" t="s">
        <v>1796</v>
      </c>
      <c r="F236" s="53" t="s">
        <v>1797</v>
      </c>
      <c r="G236" s="53" t="s">
        <v>1798</v>
      </c>
      <c r="H236" s="53">
        <v>0.5</v>
      </c>
      <c r="I236" s="53">
        <v>0.05325443786982249</v>
      </c>
      <c r="J236" s="53">
        <v>0.0</v>
      </c>
      <c r="K236" s="53" t="s">
        <v>53</v>
      </c>
      <c r="L236" s="53" t="s">
        <v>1799</v>
      </c>
    </row>
    <row r="237" ht="15.75" customHeight="1">
      <c r="A237" s="53" t="s">
        <v>1800</v>
      </c>
      <c r="B237" s="53" t="s">
        <v>1687</v>
      </c>
      <c r="D237" s="53" t="s">
        <v>1238</v>
      </c>
      <c r="E237" s="53" t="s">
        <v>1801</v>
      </c>
      <c r="F237" s="53" t="s">
        <v>1802</v>
      </c>
      <c r="G237" s="53" t="s">
        <v>1241</v>
      </c>
      <c r="H237" s="53">
        <v>0.6</v>
      </c>
      <c r="I237" s="53">
        <v>0.050955414012738856</v>
      </c>
      <c r="J237" s="53">
        <v>0.0</v>
      </c>
      <c r="K237" s="53" t="s">
        <v>53</v>
      </c>
      <c r="L237" s="53" t="s">
        <v>1803</v>
      </c>
    </row>
    <row r="238" ht="15.75" customHeight="1">
      <c r="A238" s="53" t="s">
        <v>1800</v>
      </c>
      <c r="B238" s="53" t="s">
        <v>1687</v>
      </c>
      <c r="D238" s="53" t="s">
        <v>1238</v>
      </c>
      <c r="E238" s="53" t="s">
        <v>1804</v>
      </c>
      <c r="F238" s="53" t="s">
        <v>1805</v>
      </c>
      <c r="G238" s="53" t="s">
        <v>1245</v>
      </c>
      <c r="H238" s="53">
        <v>0.6</v>
      </c>
      <c r="I238" s="53">
        <v>0.050955414012738856</v>
      </c>
      <c r="J238" s="53">
        <v>4.0</v>
      </c>
      <c r="K238" s="53" t="s">
        <v>53</v>
      </c>
      <c r="L238" s="53" t="s">
        <v>1806</v>
      </c>
    </row>
    <row r="239" ht="15.75" customHeight="1">
      <c r="A239" s="53" t="s">
        <v>1800</v>
      </c>
      <c r="B239" s="53" t="s">
        <v>1687</v>
      </c>
      <c r="D239" s="53" t="s">
        <v>1238</v>
      </c>
      <c r="E239" s="53" t="s">
        <v>1807</v>
      </c>
      <c r="F239" s="53" t="s">
        <v>1808</v>
      </c>
      <c r="G239" s="53" t="s">
        <v>1249</v>
      </c>
      <c r="H239" s="53">
        <v>0.6</v>
      </c>
      <c r="I239" s="53">
        <v>0.05732484076433121</v>
      </c>
      <c r="J239" s="53">
        <v>2.0</v>
      </c>
      <c r="K239" s="53" t="s">
        <v>53</v>
      </c>
      <c r="L239" s="53" t="s">
        <v>1809</v>
      </c>
    </row>
    <row r="240" ht="15.75" customHeight="1">
      <c r="A240" s="53" t="s">
        <v>1800</v>
      </c>
      <c r="B240" s="53" t="s">
        <v>1687</v>
      </c>
      <c r="D240" s="53" t="s">
        <v>1238</v>
      </c>
      <c r="E240" s="53" t="s">
        <v>1810</v>
      </c>
      <c r="F240" s="53" t="s">
        <v>1811</v>
      </c>
      <c r="G240" s="53" t="s">
        <v>1253</v>
      </c>
      <c r="H240" s="53">
        <v>0.6</v>
      </c>
      <c r="I240" s="53">
        <v>0.05732484076433121</v>
      </c>
      <c r="J240" s="53">
        <v>1.0</v>
      </c>
      <c r="K240" s="53" t="s">
        <v>53</v>
      </c>
      <c r="L240" s="53" t="s">
        <v>1812</v>
      </c>
    </row>
    <row r="241" ht="15.75" customHeight="1">
      <c r="A241" s="53" t="s">
        <v>1800</v>
      </c>
      <c r="B241" s="53" t="s">
        <v>1687</v>
      </c>
      <c r="D241" s="53" t="s">
        <v>1238</v>
      </c>
      <c r="E241" s="53" t="s">
        <v>1813</v>
      </c>
      <c r="F241" s="53" t="s">
        <v>1814</v>
      </c>
      <c r="G241" s="53" t="s">
        <v>1257</v>
      </c>
      <c r="H241" s="53">
        <v>0.6</v>
      </c>
      <c r="I241" s="53">
        <v>0.05732484076433121</v>
      </c>
      <c r="J241" s="53">
        <v>3.0</v>
      </c>
      <c r="K241" s="53" t="s">
        <v>53</v>
      </c>
      <c r="L241" s="53" t="s">
        <v>1815</v>
      </c>
    </row>
    <row r="242" ht="15.75" customHeight="1">
      <c r="A242" s="53" t="s">
        <v>1800</v>
      </c>
      <c r="B242" s="53" t="s">
        <v>1687</v>
      </c>
      <c r="D242" s="53" t="s">
        <v>1241</v>
      </c>
      <c r="E242" s="53" t="s">
        <v>1816</v>
      </c>
      <c r="F242" s="53" t="s">
        <v>1817</v>
      </c>
      <c r="G242" s="53" t="s">
        <v>1249</v>
      </c>
      <c r="H242" s="53">
        <v>0.6</v>
      </c>
      <c r="I242" s="53">
        <v>0.03870967741935484</v>
      </c>
      <c r="J242" s="53">
        <v>1.0</v>
      </c>
      <c r="K242" s="53" t="s">
        <v>53</v>
      </c>
      <c r="L242" s="53" t="s">
        <v>1818</v>
      </c>
    </row>
    <row r="243" ht="15.75" customHeight="1">
      <c r="A243" s="53" t="s">
        <v>1800</v>
      </c>
      <c r="B243" s="53" t="s">
        <v>1687</v>
      </c>
      <c r="D243" s="53" t="s">
        <v>1241</v>
      </c>
      <c r="E243" s="53" t="s">
        <v>1819</v>
      </c>
      <c r="F243" s="53" t="s">
        <v>1820</v>
      </c>
      <c r="G243" s="53" t="s">
        <v>1253</v>
      </c>
      <c r="H243" s="53">
        <v>0.6</v>
      </c>
      <c r="I243" s="53">
        <v>0.03870967741935484</v>
      </c>
      <c r="J243" s="53">
        <v>0.0</v>
      </c>
      <c r="K243" s="53" t="s">
        <v>53</v>
      </c>
      <c r="L243" s="53" t="s">
        <v>1821</v>
      </c>
    </row>
    <row r="244" ht="15.75" customHeight="1">
      <c r="A244" s="53" t="s">
        <v>1800</v>
      </c>
      <c r="B244" s="53" t="s">
        <v>1687</v>
      </c>
      <c r="D244" s="53" t="s">
        <v>1241</v>
      </c>
      <c r="E244" s="53" t="s">
        <v>1822</v>
      </c>
      <c r="F244" s="53" t="s">
        <v>1823</v>
      </c>
      <c r="G244" s="53" t="s">
        <v>1257</v>
      </c>
      <c r="H244" s="53">
        <v>0.6</v>
      </c>
      <c r="I244" s="53">
        <v>0.03870967741935484</v>
      </c>
      <c r="J244" s="53">
        <v>2.0</v>
      </c>
      <c r="K244" s="53" t="s">
        <v>53</v>
      </c>
      <c r="L244" s="53" t="s">
        <v>1824</v>
      </c>
    </row>
    <row r="245" ht="15.75" customHeight="1">
      <c r="A245" s="53" t="s">
        <v>1800</v>
      </c>
      <c r="B245" s="53" t="s">
        <v>1687</v>
      </c>
      <c r="D245" s="53" t="s">
        <v>1241</v>
      </c>
      <c r="E245" s="53" t="s">
        <v>1825</v>
      </c>
      <c r="F245" s="53" t="s">
        <v>1826</v>
      </c>
      <c r="G245" s="53" t="s">
        <v>1245</v>
      </c>
      <c r="H245" s="53">
        <v>0.6</v>
      </c>
      <c r="I245" s="53">
        <v>0.03870967741935484</v>
      </c>
      <c r="J245" s="53">
        <v>3.0</v>
      </c>
      <c r="K245" s="53" t="s">
        <v>53</v>
      </c>
      <c r="L245" s="53" t="s">
        <v>1827</v>
      </c>
    </row>
    <row r="246" ht="15.75" customHeight="1">
      <c r="A246" s="53" t="s">
        <v>1800</v>
      </c>
      <c r="B246" s="53" t="s">
        <v>1687</v>
      </c>
      <c r="D246" s="53" t="s">
        <v>1253</v>
      </c>
      <c r="E246" s="53" t="s">
        <v>1828</v>
      </c>
      <c r="F246" s="53" t="s">
        <v>1829</v>
      </c>
      <c r="G246" s="53" t="s">
        <v>1249</v>
      </c>
      <c r="H246" s="53">
        <v>0.6</v>
      </c>
      <c r="I246" s="53">
        <v>0.012903225806451613</v>
      </c>
      <c r="J246" s="53">
        <v>0.0</v>
      </c>
      <c r="K246" s="53" t="s">
        <v>53</v>
      </c>
      <c r="L246" s="53" t="s">
        <v>1830</v>
      </c>
    </row>
    <row r="247" ht="15.75" customHeight="1">
      <c r="A247" s="53" t="s">
        <v>1800</v>
      </c>
      <c r="B247" s="53" t="s">
        <v>1687</v>
      </c>
      <c r="D247" s="53" t="s">
        <v>1253</v>
      </c>
      <c r="E247" s="53" t="s">
        <v>1831</v>
      </c>
      <c r="F247" s="53" t="s">
        <v>1832</v>
      </c>
      <c r="G247" s="53" t="s">
        <v>1257</v>
      </c>
      <c r="H247" s="53">
        <v>0.6</v>
      </c>
      <c r="I247" s="53">
        <v>0.012903225806451613</v>
      </c>
      <c r="J247" s="53">
        <v>1.0</v>
      </c>
      <c r="K247" s="53" t="s">
        <v>53</v>
      </c>
      <c r="L247" s="53" t="s">
        <v>1833</v>
      </c>
    </row>
    <row r="248" ht="15.75" customHeight="1">
      <c r="A248" s="53" t="s">
        <v>1800</v>
      </c>
      <c r="B248" s="53" t="s">
        <v>1687</v>
      </c>
      <c r="D248" s="53" t="s">
        <v>1253</v>
      </c>
      <c r="E248" s="53" t="s">
        <v>1834</v>
      </c>
      <c r="F248" s="53" t="s">
        <v>1835</v>
      </c>
      <c r="G248" s="53" t="s">
        <v>1245</v>
      </c>
      <c r="H248" s="53">
        <v>0.6</v>
      </c>
      <c r="I248" s="53">
        <v>0.013071895424836602</v>
      </c>
      <c r="J248" s="53">
        <v>2.0</v>
      </c>
      <c r="K248" s="53" t="s">
        <v>53</v>
      </c>
      <c r="L248" s="53" t="s">
        <v>1836</v>
      </c>
    </row>
    <row r="249" ht="15.75" customHeight="1">
      <c r="A249" s="53" t="s">
        <v>1800</v>
      </c>
      <c r="B249" s="53" t="s">
        <v>1687</v>
      </c>
      <c r="D249" s="53" t="s">
        <v>1249</v>
      </c>
      <c r="E249" s="53" t="s">
        <v>1837</v>
      </c>
      <c r="F249" s="53" t="s">
        <v>1838</v>
      </c>
      <c r="G249" s="53" t="s">
        <v>1257</v>
      </c>
      <c r="H249" s="53">
        <v>0.6</v>
      </c>
      <c r="I249" s="53">
        <v>0.0064516129032258064</v>
      </c>
      <c r="J249" s="53">
        <v>0.0</v>
      </c>
      <c r="K249" s="53" t="s">
        <v>53</v>
      </c>
      <c r="L249" s="53" t="s">
        <v>1839</v>
      </c>
    </row>
    <row r="250" ht="15.75" customHeight="1">
      <c r="A250" s="53" t="s">
        <v>1800</v>
      </c>
      <c r="B250" s="53" t="s">
        <v>1687</v>
      </c>
      <c r="D250" s="53" t="s">
        <v>1249</v>
      </c>
      <c r="E250" s="53" t="s">
        <v>1840</v>
      </c>
      <c r="F250" s="53" t="s">
        <v>1841</v>
      </c>
      <c r="G250" s="53" t="s">
        <v>1245</v>
      </c>
      <c r="H250" s="53">
        <v>0.6</v>
      </c>
      <c r="I250" s="53">
        <v>0.025806451612903226</v>
      </c>
      <c r="J250" s="53">
        <v>1.0</v>
      </c>
      <c r="K250" s="53" t="s">
        <v>53</v>
      </c>
      <c r="L250" s="53" t="s">
        <v>1842</v>
      </c>
    </row>
    <row r="251" ht="15.75" customHeight="1">
      <c r="A251" s="53" t="s">
        <v>1800</v>
      </c>
      <c r="B251" s="53" t="s">
        <v>1687</v>
      </c>
      <c r="D251" s="53" t="s">
        <v>1257</v>
      </c>
      <c r="E251" s="53" t="s">
        <v>1843</v>
      </c>
      <c r="F251" s="53" t="s">
        <v>1844</v>
      </c>
      <c r="G251" s="53" t="s">
        <v>1245</v>
      </c>
      <c r="H251" s="53">
        <v>0.6</v>
      </c>
      <c r="I251" s="53">
        <v>0.025806451612903226</v>
      </c>
      <c r="J251" s="53">
        <v>0.0</v>
      </c>
      <c r="K251" s="53" t="s">
        <v>53</v>
      </c>
      <c r="L251" s="53" t="s">
        <v>1845</v>
      </c>
    </row>
    <row r="252" ht="15.75" customHeight="1">
      <c r="A252" s="53" t="s">
        <v>1800</v>
      </c>
      <c r="B252" s="53" t="s">
        <v>1687</v>
      </c>
      <c r="D252" s="53" t="s">
        <v>1293</v>
      </c>
      <c r="E252" s="53" t="s">
        <v>1846</v>
      </c>
      <c r="F252" s="53" t="s">
        <v>1847</v>
      </c>
      <c r="G252" s="53" t="s">
        <v>1296</v>
      </c>
      <c r="H252" s="53">
        <v>0.5</v>
      </c>
      <c r="I252" s="53">
        <v>0.05405405405405406</v>
      </c>
      <c r="J252" s="53">
        <v>0.0</v>
      </c>
      <c r="K252" s="53" t="s">
        <v>53</v>
      </c>
      <c r="L252" s="53" t="s">
        <v>1848</v>
      </c>
    </row>
    <row r="253" ht="15.75" customHeight="1">
      <c r="A253" s="53" t="s">
        <v>1800</v>
      </c>
      <c r="B253" s="53" t="s">
        <v>1687</v>
      </c>
      <c r="D253" s="53" t="s">
        <v>1293</v>
      </c>
      <c r="E253" s="53" t="s">
        <v>1849</v>
      </c>
      <c r="F253" s="53" t="s">
        <v>1850</v>
      </c>
      <c r="G253" s="53" t="s">
        <v>1300</v>
      </c>
      <c r="H253" s="53">
        <v>0.5</v>
      </c>
      <c r="I253" s="53">
        <v>0.05405405405405406</v>
      </c>
      <c r="J253" s="53">
        <v>4.0</v>
      </c>
      <c r="K253" s="53" t="s">
        <v>53</v>
      </c>
      <c r="L253" s="53" t="s">
        <v>1851</v>
      </c>
    </row>
    <row r="254" ht="15.75" customHeight="1">
      <c r="A254" s="53" t="s">
        <v>1800</v>
      </c>
      <c r="B254" s="53" t="s">
        <v>1687</v>
      </c>
      <c r="D254" s="53" t="s">
        <v>1293</v>
      </c>
      <c r="E254" s="53" t="s">
        <v>1852</v>
      </c>
      <c r="F254" s="53" t="s">
        <v>1853</v>
      </c>
      <c r="G254" s="53" t="s">
        <v>1304</v>
      </c>
      <c r="H254" s="53">
        <v>0.5</v>
      </c>
      <c r="I254" s="53">
        <v>0.060810810810810814</v>
      </c>
      <c r="J254" s="53">
        <v>2.0</v>
      </c>
      <c r="K254" s="53" t="s">
        <v>53</v>
      </c>
      <c r="L254" s="53" t="s">
        <v>1854</v>
      </c>
    </row>
    <row r="255" ht="15.75" customHeight="1">
      <c r="A255" s="53" t="s">
        <v>1800</v>
      </c>
      <c r="B255" s="53" t="s">
        <v>1687</v>
      </c>
      <c r="D255" s="53" t="s">
        <v>1293</v>
      </c>
      <c r="E255" s="53" t="s">
        <v>1855</v>
      </c>
      <c r="F255" s="53" t="s">
        <v>1856</v>
      </c>
      <c r="G255" s="53" t="s">
        <v>1308</v>
      </c>
      <c r="H255" s="53">
        <v>0.5</v>
      </c>
      <c r="I255" s="53">
        <v>0.060810810810810814</v>
      </c>
      <c r="J255" s="53">
        <v>1.0</v>
      </c>
      <c r="K255" s="53" t="s">
        <v>53</v>
      </c>
      <c r="L255" s="53" t="s">
        <v>1857</v>
      </c>
    </row>
    <row r="256" ht="15.75" customHeight="1">
      <c r="A256" s="53" t="s">
        <v>1800</v>
      </c>
      <c r="B256" s="53" t="s">
        <v>1687</v>
      </c>
      <c r="D256" s="53" t="s">
        <v>1293</v>
      </c>
      <c r="E256" s="53" t="s">
        <v>1858</v>
      </c>
      <c r="F256" s="53" t="s">
        <v>1859</v>
      </c>
      <c r="G256" s="53" t="s">
        <v>1312</v>
      </c>
      <c r="H256" s="53">
        <v>0.5</v>
      </c>
      <c r="I256" s="53">
        <v>0.060810810810810814</v>
      </c>
      <c r="J256" s="53">
        <v>3.0</v>
      </c>
      <c r="K256" s="53" t="s">
        <v>53</v>
      </c>
      <c r="L256" s="53" t="s">
        <v>1860</v>
      </c>
    </row>
    <row r="257" ht="15.75" customHeight="1">
      <c r="A257" s="53" t="s">
        <v>1800</v>
      </c>
      <c r="B257" s="53" t="s">
        <v>1687</v>
      </c>
      <c r="D257" s="53" t="s">
        <v>1296</v>
      </c>
      <c r="E257" s="53" t="s">
        <v>1861</v>
      </c>
      <c r="F257" s="53" t="s">
        <v>1862</v>
      </c>
      <c r="G257" s="53" t="s">
        <v>1304</v>
      </c>
      <c r="H257" s="53">
        <v>0.5</v>
      </c>
      <c r="I257" s="53">
        <v>0.0410958904109589</v>
      </c>
      <c r="J257" s="53">
        <v>1.0</v>
      </c>
      <c r="K257" s="53" t="s">
        <v>53</v>
      </c>
      <c r="L257" s="53" t="s">
        <v>1863</v>
      </c>
    </row>
    <row r="258" ht="15.75" customHeight="1">
      <c r="A258" s="53" t="s">
        <v>1800</v>
      </c>
      <c r="B258" s="53" t="s">
        <v>1687</v>
      </c>
      <c r="D258" s="53" t="s">
        <v>1296</v>
      </c>
      <c r="E258" s="53" t="s">
        <v>1864</v>
      </c>
      <c r="F258" s="53" t="s">
        <v>1865</v>
      </c>
      <c r="G258" s="53" t="s">
        <v>1300</v>
      </c>
      <c r="H258" s="53">
        <v>0.5</v>
      </c>
      <c r="I258" s="53">
        <v>0.0410958904109589</v>
      </c>
      <c r="J258" s="53">
        <v>3.0</v>
      </c>
      <c r="K258" s="53" t="s">
        <v>53</v>
      </c>
      <c r="L258" s="53" t="s">
        <v>1866</v>
      </c>
    </row>
    <row r="259" ht="15.75" customHeight="1">
      <c r="A259" s="53" t="s">
        <v>1800</v>
      </c>
      <c r="B259" s="53" t="s">
        <v>1687</v>
      </c>
      <c r="D259" s="53" t="s">
        <v>1296</v>
      </c>
      <c r="E259" s="53" t="s">
        <v>1867</v>
      </c>
      <c r="F259" s="53" t="s">
        <v>1868</v>
      </c>
      <c r="G259" s="53" t="s">
        <v>1308</v>
      </c>
      <c r="H259" s="53">
        <v>0.5</v>
      </c>
      <c r="I259" s="53">
        <v>0.0410958904109589</v>
      </c>
      <c r="J259" s="53">
        <v>0.0</v>
      </c>
      <c r="K259" s="53" t="s">
        <v>53</v>
      </c>
      <c r="L259" s="53" t="s">
        <v>1869</v>
      </c>
    </row>
    <row r="260" ht="15.75" customHeight="1">
      <c r="A260" s="53" t="s">
        <v>1800</v>
      </c>
      <c r="B260" s="53" t="s">
        <v>1687</v>
      </c>
      <c r="D260" s="53" t="s">
        <v>1296</v>
      </c>
      <c r="E260" s="53" t="s">
        <v>1870</v>
      </c>
      <c r="F260" s="53" t="s">
        <v>1871</v>
      </c>
      <c r="G260" s="53" t="s">
        <v>1312</v>
      </c>
      <c r="H260" s="53">
        <v>0.5</v>
      </c>
      <c r="I260" s="53">
        <v>0.0410958904109589</v>
      </c>
      <c r="J260" s="53">
        <v>2.0</v>
      </c>
      <c r="K260" s="53" t="s">
        <v>53</v>
      </c>
      <c r="L260" s="53" t="s">
        <v>1872</v>
      </c>
    </row>
    <row r="261" ht="15.75" customHeight="1">
      <c r="A261" s="53" t="s">
        <v>1800</v>
      </c>
      <c r="B261" s="53" t="s">
        <v>1687</v>
      </c>
      <c r="D261" s="53" t="s">
        <v>1308</v>
      </c>
      <c r="E261" s="53" t="s">
        <v>1873</v>
      </c>
      <c r="F261" s="53" t="s">
        <v>1874</v>
      </c>
      <c r="G261" s="53" t="s">
        <v>1304</v>
      </c>
      <c r="H261" s="53">
        <v>0.5</v>
      </c>
      <c r="I261" s="53">
        <v>0.0136986301369863</v>
      </c>
      <c r="J261" s="53">
        <v>0.0</v>
      </c>
      <c r="K261" s="53" t="s">
        <v>53</v>
      </c>
      <c r="L261" s="53" t="s">
        <v>1875</v>
      </c>
    </row>
    <row r="262" ht="15.75" customHeight="1">
      <c r="A262" s="53" t="s">
        <v>1800</v>
      </c>
      <c r="B262" s="53" t="s">
        <v>1687</v>
      </c>
      <c r="D262" s="53" t="s">
        <v>1308</v>
      </c>
      <c r="E262" s="53" t="s">
        <v>1876</v>
      </c>
      <c r="F262" s="53" t="s">
        <v>1877</v>
      </c>
      <c r="G262" s="53" t="s">
        <v>1312</v>
      </c>
      <c r="H262" s="53">
        <v>0.5</v>
      </c>
      <c r="I262" s="53">
        <v>0.0136986301369863</v>
      </c>
      <c r="J262" s="53">
        <v>1.0</v>
      </c>
      <c r="K262" s="53" t="s">
        <v>53</v>
      </c>
      <c r="L262" s="53" t="s">
        <v>1878</v>
      </c>
    </row>
    <row r="263" ht="15.75" customHeight="1">
      <c r="A263" s="53" t="s">
        <v>1800</v>
      </c>
      <c r="B263" s="53" t="s">
        <v>1687</v>
      </c>
      <c r="D263" s="53" t="s">
        <v>1308</v>
      </c>
      <c r="E263" s="53" t="s">
        <v>1879</v>
      </c>
      <c r="F263" s="53" t="s">
        <v>1880</v>
      </c>
      <c r="G263" s="53" t="s">
        <v>1300</v>
      </c>
      <c r="H263" s="53">
        <v>0.5</v>
      </c>
      <c r="I263" s="53">
        <v>0.013888888888888888</v>
      </c>
      <c r="J263" s="53">
        <v>2.0</v>
      </c>
      <c r="K263" s="53" t="s">
        <v>53</v>
      </c>
      <c r="L263" s="53" t="s">
        <v>1881</v>
      </c>
    </row>
    <row r="264" ht="15.75" customHeight="1">
      <c r="A264" s="53" t="s">
        <v>1800</v>
      </c>
      <c r="B264" s="53" t="s">
        <v>1687</v>
      </c>
      <c r="D264" s="53" t="s">
        <v>1304</v>
      </c>
      <c r="E264" s="53" t="s">
        <v>1882</v>
      </c>
      <c r="F264" s="53" t="s">
        <v>1883</v>
      </c>
      <c r="G264" s="53" t="s">
        <v>1312</v>
      </c>
      <c r="H264" s="53">
        <v>0.5</v>
      </c>
      <c r="I264" s="53">
        <v>0.00684931506849315</v>
      </c>
      <c r="J264" s="53">
        <v>0.0</v>
      </c>
      <c r="K264" s="53" t="s">
        <v>53</v>
      </c>
      <c r="L264" s="53" t="s">
        <v>1884</v>
      </c>
    </row>
    <row r="265" ht="15.75" customHeight="1">
      <c r="A265" s="53" t="s">
        <v>1800</v>
      </c>
      <c r="B265" s="53" t="s">
        <v>1687</v>
      </c>
      <c r="D265" s="53" t="s">
        <v>1304</v>
      </c>
      <c r="E265" s="53" t="s">
        <v>1885</v>
      </c>
      <c r="F265" s="53" t="s">
        <v>1886</v>
      </c>
      <c r="G265" s="53" t="s">
        <v>1300</v>
      </c>
      <c r="H265" s="53">
        <v>0.5</v>
      </c>
      <c r="I265" s="53">
        <v>0.0273972602739726</v>
      </c>
      <c r="J265" s="53">
        <v>1.0</v>
      </c>
      <c r="K265" s="53" t="s">
        <v>53</v>
      </c>
      <c r="L265" s="53" t="s">
        <v>1887</v>
      </c>
    </row>
    <row r="266" ht="15.75" customHeight="1">
      <c r="A266" s="53" t="s">
        <v>1800</v>
      </c>
      <c r="B266" s="53" t="s">
        <v>1687</v>
      </c>
      <c r="D266" s="53" t="s">
        <v>1312</v>
      </c>
      <c r="E266" s="53" t="s">
        <v>1888</v>
      </c>
      <c r="F266" s="53" t="s">
        <v>1889</v>
      </c>
      <c r="G266" s="53" t="s">
        <v>1300</v>
      </c>
      <c r="H266" s="53">
        <v>0.5</v>
      </c>
      <c r="I266" s="53">
        <v>0.0273972602739726</v>
      </c>
      <c r="J266" s="53">
        <v>0.0</v>
      </c>
      <c r="K266" s="53" t="s">
        <v>53</v>
      </c>
      <c r="L266" s="53" t="s">
        <v>1890</v>
      </c>
    </row>
    <row r="267" ht="15.75" customHeight="1">
      <c r="A267" s="53" t="s">
        <v>1891</v>
      </c>
      <c r="B267" s="53" t="s">
        <v>1687</v>
      </c>
      <c r="D267" s="53" t="s">
        <v>1368</v>
      </c>
      <c r="E267" s="53" t="s">
        <v>1892</v>
      </c>
      <c r="F267" s="53" t="s">
        <v>1893</v>
      </c>
      <c r="G267" s="53" t="s">
        <v>1130</v>
      </c>
      <c r="H267" s="53">
        <v>1.0</v>
      </c>
      <c r="I267" s="53">
        <v>0.11688311688311688</v>
      </c>
      <c r="J267" s="53">
        <v>0.0</v>
      </c>
      <c r="K267" s="53" t="s">
        <v>53</v>
      </c>
      <c r="L267" s="53" t="s">
        <v>53</v>
      </c>
    </row>
    <row r="268" ht="15.75" customHeight="1">
      <c r="A268" s="53" t="s">
        <v>1891</v>
      </c>
      <c r="B268" s="53" t="s">
        <v>1687</v>
      </c>
      <c r="D268" s="53" t="s">
        <v>1368</v>
      </c>
      <c r="E268" s="53" t="s">
        <v>1894</v>
      </c>
      <c r="F268" s="53" t="s">
        <v>1893</v>
      </c>
      <c r="G268" s="53" t="s">
        <v>1371</v>
      </c>
      <c r="H268" s="53">
        <v>1.0</v>
      </c>
      <c r="I268" s="53">
        <v>0.21637426900584794</v>
      </c>
      <c r="J268" s="53">
        <v>1.0</v>
      </c>
      <c r="K268" s="53" t="s">
        <v>53</v>
      </c>
      <c r="L268" s="53" t="s">
        <v>53</v>
      </c>
    </row>
    <row r="269" ht="15.75" customHeight="1">
      <c r="A269" s="53" t="s">
        <v>1891</v>
      </c>
      <c r="B269" s="53" t="s">
        <v>1687</v>
      </c>
      <c r="D269" s="53" t="s">
        <v>1130</v>
      </c>
      <c r="E269" s="53" t="s">
        <v>1895</v>
      </c>
      <c r="F269" s="53" t="s">
        <v>1893</v>
      </c>
      <c r="G269" s="53" t="s">
        <v>1371</v>
      </c>
      <c r="H269" s="53">
        <v>1.0</v>
      </c>
      <c r="I269" s="53">
        <v>0.1111111111111111</v>
      </c>
      <c r="J269" s="53">
        <v>0.0</v>
      </c>
      <c r="K269" s="53" t="s">
        <v>53</v>
      </c>
      <c r="L269" s="53" t="s">
        <v>53</v>
      </c>
    </row>
    <row r="270" ht="15.75" customHeight="1">
      <c r="A270" s="53" t="s">
        <v>1896</v>
      </c>
      <c r="B270" s="53" t="s">
        <v>1687</v>
      </c>
      <c r="D270" s="53" t="s">
        <v>1181</v>
      </c>
      <c r="E270" s="53" t="s">
        <v>1897</v>
      </c>
      <c r="F270" s="53" t="s">
        <v>1898</v>
      </c>
      <c r="G270" s="53" t="s">
        <v>1184</v>
      </c>
      <c r="H270" s="53">
        <v>1.0</v>
      </c>
      <c r="I270" s="53">
        <v>0.023972602739726026</v>
      </c>
      <c r="J270" s="53">
        <v>0.0</v>
      </c>
      <c r="K270" s="53" t="s">
        <v>53</v>
      </c>
      <c r="L270" s="53" t="s">
        <v>53</v>
      </c>
    </row>
    <row r="271" ht="15.75" customHeight="1">
      <c r="A271" s="53" t="s">
        <v>1896</v>
      </c>
      <c r="B271" s="53" t="s">
        <v>1687</v>
      </c>
      <c r="D271" s="53" t="s">
        <v>1181</v>
      </c>
      <c r="E271" s="53" t="s">
        <v>1899</v>
      </c>
      <c r="F271" s="53" t="s">
        <v>1898</v>
      </c>
      <c r="G271" s="53" t="s">
        <v>1187</v>
      </c>
      <c r="H271" s="53">
        <v>1.0</v>
      </c>
      <c r="I271" s="53">
        <v>0.0625</v>
      </c>
      <c r="J271" s="53">
        <v>1.0</v>
      </c>
      <c r="K271" s="53" t="s">
        <v>53</v>
      </c>
      <c r="L271" s="53" t="s">
        <v>53</v>
      </c>
    </row>
    <row r="272" ht="15.75" customHeight="1">
      <c r="A272" s="53" t="s">
        <v>1896</v>
      </c>
      <c r="B272" s="53" t="s">
        <v>1687</v>
      </c>
      <c r="D272" s="53" t="s">
        <v>1181</v>
      </c>
      <c r="E272" s="53" t="s">
        <v>1900</v>
      </c>
      <c r="F272" s="53" t="s">
        <v>1898</v>
      </c>
      <c r="G272" s="53" t="s">
        <v>1189</v>
      </c>
      <c r="H272" s="53">
        <v>1.0</v>
      </c>
      <c r="I272" s="53">
        <v>0.1467065868263473</v>
      </c>
      <c r="J272" s="53">
        <v>2.0</v>
      </c>
      <c r="K272" s="53" t="s">
        <v>53</v>
      </c>
      <c r="L272" s="53" t="s">
        <v>53</v>
      </c>
    </row>
    <row r="273" ht="15.75" customHeight="1">
      <c r="A273" s="53" t="s">
        <v>1896</v>
      </c>
      <c r="B273" s="53" t="s">
        <v>1687</v>
      </c>
      <c r="D273" s="53" t="s">
        <v>1184</v>
      </c>
      <c r="E273" s="53" t="s">
        <v>1901</v>
      </c>
      <c r="F273" s="53" t="s">
        <v>1898</v>
      </c>
      <c r="G273" s="53" t="s">
        <v>1187</v>
      </c>
      <c r="H273" s="53">
        <v>1.0</v>
      </c>
      <c r="I273" s="53">
        <v>0.0625</v>
      </c>
      <c r="J273" s="53">
        <v>0.0</v>
      </c>
      <c r="K273" s="53" t="s">
        <v>53</v>
      </c>
      <c r="L273" s="53" t="s">
        <v>53</v>
      </c>
    </row>
    <row r="274" ht="15.75" customHeight="1">
      <c r="A274" s="53" t="s">
        <v>1896</v>
      </c>
      <c r="B274" s="53" t="s">
        <v>1687</v>
      </c>
      <c r="D274" s="53" t="s">
        <v>1184</v>
      </c>
      <c r="E274" s="53" t="s">
        <v>1902</v>
      </c>
      <c r="F274" s="53" t="s">
        <v>1898</v>
      </c>
      <c r="G274" s="53" t="s">
        <v>1189</v>
      </c>
      <c r="H274" s="53">
        <v>1.0</v>
      </c>
      <c r="I274" s="53">
        <v>0.1467065868263473</v>
      </c>
      <c r="J274" s="53">
        <v>1.0</v>
      </c>
      <c r="K274" s="53" t="s">
        <v>53</v>
      </c>
      <c r="L274" s="53" t="s">
        <v>53</v>
      </c>
    </row>
    <row r="275" ht="15.75" customHeight="1">
      <c r="A275" s="53" t="s">
        <v>1896</v>
      </c>
      <c r="B275" s="53" t="s">
        <v>1687</v>
      </c>
      <c r="D275" s="53" t="s">
        <v>1187</v>
      </c>
      <c r="E275" s="53" t="s">
        <v>1903</v>
      </c>
      <c r="F275" s="53" t="s">
        <v>1898</v>
      </c>
      <c r="G275" s="53" t="s">
        <v>1189</v>
      </c>
      <c r="H275" s="53">
        <v>1.0</v>
      </c>
      <c r="I275" s="53">
        <v>0.11077844311377245</v>
      </c>
      <c r="J275" s="53">
        <v>0.0</v>
      </c>
      <c r="K275" s="53" t="s">
        <v>53</v>
      </c>
      <c r="L275" s="53" t="s">
        <v>53</v>
      </c>
    </row>
    <row r="276" ht="15.75" customHeight="1">
      <c r="A276" s="53" t="s">
        <v>1896</v>
      </c>
      <c r="B276" s="53" t="s">
        <v>1687</v>
      </c>
      <c r="D276" s="53" t="s">
        <v>75</v>
      </c>
      <c r="E276" s="53" t="s">
        <v>1904</v>
      </c>
      <c r="F276" s="53" t="s">
        <v>73</v>
      </c>
      <c r="G276" s="53" t="s">
        <v>114</v>
      </c>
      <c r="H276" s="53">
        <v>1.0</v>
      </c>
      <c r="I276" s="53">
        <v>0.6698113207547169</v>
      </c>
      <c r="J276" s="53">
        <v>28.0</v>
      </c>
      <c r="K276" s="53" t="s">
        <v>53</v>
      </c>
      <c r="L276" s="53" t="s">
        <v>53</v>
      </c>
    </row>
    <row r="277" ht="15.75" customHeight="1">
      <c r="A277" s="53" t="s">
        <v>1896</v>
      </c>
      <c r="B277" s="53" t="s">
        <v>1687</v>
      </c>
      <c r="D277" s="53" t="s">
        <v>75</v>
      </c>
      <c r="E277" s="53" t="s">
        <v>1905</v>
      </c>
      <c r="F277" s="53" t="s">
        <v>73</v>
      </c>
      <c r="G277" s="53" t="s">
        <v>69</v>
      </c>
      <c r="H277" s="53">
        <v>1.0</v>
      </c>
      <c r="I277" s="53">
        <v>0.6728971962616822</v>
      </c>
      <c r="J277" s="53">
        <v>27.0</v>
      </c>
      <c r="K277" s="53" t="s">
        <v>53</v>
      </c>
      <c r="L277" s="53" t="s">
        <v>53</v>
      </c>
    </row>
    <row r="278" ht="15.75" customHeight="1">
      <c r="A278" s="53" t="s">
        <v>1896</v>
      </c>
      <c r="B278" s="53" t="s">
        <v>1687</v>
      </c>
      <c r="D278" s="53" t="s">
        <v>1397</v>
      </c>
      <c r="E278" s="53" t="s">
        <v>1906</v>
      </c>
      <c r="F278" s="53" t="s">
        <v>1907</v>
      </c>
      <c r="G278" s="53" t="s">
        <v>1400</v>
      </c>
      <c r="H278" s="53">
        <v>0.8</v>
      </c>
      <c r="I278" s="53">
        <v>0.3248638838475499</v>
      </c>
      <c r="J278" s="53">
        <v>0.0</v>
      </c>
      <c r="K278" s="53" t="s">
        <v>53</v>
      </c>
      <c r="L278" s="53" t="s">
        <v>1402</v>
      </c>
    </row>
    <row r="279" ht="15.75" customHeight="1">
      <c r="A279" s="53" t="s">
        <v>1896</v>
      </c>
      <c r="B279" s="53" t="s">
        <v>1687</v>
      </c>
      <c r="D279" s="53" t="s">
        <v>1908</v>
      </c>
      <c r="E279" s="53" t="s">
        <v>1909</v>
      </c>
      <c r="F279" s="53" t="s">
        <v>1910</v>
      </c>
      <c r="G279" s="53" t="s">
        <v>1911</v>
      </c>
      <c r="H279" s="53">
        <v>1.0</v>
      </c>
      <c r="I279" s="53">
        <v>0.25</v>
      </c>
      <c r="J279" s="53">
        <v>9.0</v>
      </c>
      <c r="K279" s="53" t="s">
        <v>53</v>
      </c>
      <c r="L279" s="53" t="s">
        <v>53</v>
      </c>
    </row>
    <row r="280" ht="15.75" customHeight="1">
      <c r="A280" s="53" t="s">
        <v>1896</v>
      </c>
      <c r="B280" s="53" t="s">
        <v>1687</v>
      </c>
      <c r="D280" s="53" t="s">
        <v>1908</v>
      </c>
      <c r="E280" s="53" t="s">
        <v>1912</v>
      </c>
      <c r="F280" s="53" t="s">
        <v>1913</v>
      </c>
      <c r="G280" s="53" t="s">
        <v>1914</v>
      </c>
      <c r="H280" s="53">
        <v>1.0</v>
      </c>
      <c r="I280" s="53">
        <v>0.31718061674008813</v>
      </c>
      <c r="J280" s="53">
        <v>0.0</v>
      </c>
      <c r="K280" s="53" t="s">
        <v>53</v>
      </c>
      <c r="L280" s="53" t="s">
        <v>1527</v>
      </c>
    </row>
    <row r="281" ht="15.75" customHeight="1">
      <c r="A281" s="53" t="s">
        <v>1896</v>
      </c>
      <c r="B281" s="53" t="s">
        <v>1687</v>
      </c>
      <c r="D281" s="53" t="s">
        <v>1908</v>
      </c>
      <c r="E281" s="53" t="s">
        <v>1915</v>
      </c>
      <c r="F281" s="53" t="s">
        <v>1916</v>
      </c>
      <c r="G281" s="53" t="s">
        <v>1917</v>
      </c>
      <c r="H281" s="53">
        <v>1.0</v>
      </c>
      <c r="I281" s="53">
        <v>0.6947368421052632</v>
      </c>
      <c r="J281" s="53">
        <v>2.0</v>
      </c>
      <c r="K281" s="53" t="s">
        <v>53</v>
      </c>
      <c r="L281" s="53" t="s">
        <v>1527</v>
      </c>
    </row>
    <row r="282" ht="15.75" customHeight="1">
      <c r="A282" s="53" t="s">
        <v>1896</v>
      </c>
      <c r="B282" s="53" t="s">
        <v>1687</v>
      </c>
      <c r="D282" s="53" t="s">
        <v>1908</v>
      </c>
      <c r="E282" s="53" t="s">
        <v>1918</v>
      </c>
      <c r="F282" s="53" t="s">
        <v>1916</v>
      </c>
      <c r="G282" s="53" t="s">
        <v>1919</v>
      </c>
      <c r="H282" s="53">
        <v>1.0</v>
      </c>
      <c r="I282" s="53">
        <v>0.7072649572649573</v>
      </c>
      <c r="J282" s="53">
        <v>1.0</v>
      </c>
      <c r="K282" s="53" t="s">
        <v>53</v>
      </c>
      <c r="L282" s="53" t="s">
        <v>1527</v>
      </c>
    </row>
    <row r="283" ht="15.75" customHeight="1">
      <c r="A283" s="53" t="s">
        <v>1896</v>
      </c>
      <c r="B283" s="53" t="s">
        <v>1687</v>
      </c>
      <c r="D283" s="53" t="s">
        <v>1908</v>
      </c>
      <c r="E283" s="53" t="s">
        <v>1920</v>
      </c>
      <c r="F283" s="53" t="s">
        <v>1921</v>
      </c>
      <c r="G283" s="53" t="s">
        <v>1922</v>
      </c>
      <c r="H283" s="53">
        <v>1.0</v>
      </c>
      <c r="I283" s="53">
        <v>0.7361111111111112</v>
      </c>
      <c r="J283" s="53">
        <v>12.0</v>
      </c>
      <c r="K283" s="53" t="s">
        <v>53</v>
      </c>
      <c r="L283" s="53" t="s">
        <v>1527</v>
      </c>
    </row>
    <row r="284" ht="15.75" customHeight="1">
      <c r="A284" s="53" t="s">
        <v>1896</v>
      </c>
      <c r="B284" s="53" t="s">
        <v>1687</v>
      </c>
      <c r="D284" s="53" t="s">
        <v>1914</v>
      </c>
      <c r="E284" s="53" t="s">
        <v>1923</v>
      </c>
      <c r="F284" s="53" t="s">
        <v>1924</v>
      </c>
      <c r="G284" s="53" t="s">
        <v>1911</v>
      </c>
      <c r="H284" s="53">
        <v>1.0</v>
      </c>
      <c r="I284" s="53">
        <v>0.4845814977973568</v>
      </c>
      <c r="J284" s="53">
        <v>8.0</v>
      </c>
      <c r="K284" s="53" t="s">
        <v>53</v>
      </c>
      <c r="L284" s="53" t="s">
        <v>1527</v>
      </c>
    </row>
    <row r="285" ht="15.75" customHeight="1">
      <c r="A285" s="53" t="s">
        <v>1896</v>
      </c>
      <c r="B285" s="53" t="s">
        <v>1687</v>
      </c>
      <c r="D285" s="53" t="s">
        <v>1914</v>
      </c>
      <c r="E285" s="53" t="s">
        <v>1925</v>
      </c>
      <c r="F285" s="53" t="s">
        <v>1926</v>
      </c>
      <c r="G285" s="53" t="s">
        <v>1917</v>
      </c>
      <c r="H285" s="53">
        <v>1.0</v>
      </c>
      <c r="I285" s="53">
        <v>0.5642105263157895</v>
      </c>
      <c r="J285" s="53">
        <v>1.0</v>
      </c>
      <c r="K285" s="53" t="s">
        <v>53</v>
      </c>
      <c r="L285" s="53" t="s">
        <v>53</v>
      </c>
    </row>
    <row r="286" ht="15.75" customHeight="1">
      <c r="A286" s="53" t="s">
        <v>1896</v>
      </c>
      <c r="B286" s="53" t="s">
        <v>1687</v>
      </c>
      <c r="D286" s="53" t="s">
        <v>1914</v>
      </c>
      <c r="E286" s="53" t="s">
        <v>1927</v>
      </c>
      <c r="F286" s="53" t="s">
        <v>1926</v>
      </c>
      <c r="G286" s="53" t="s">
        <v>1919</v>
      </c>
      <c r="H286" s="53">
        <v>1.0</v>
      </c>
      <c r="I286" s="53">
        <v>0.5747863247863247</v>
      </c>
      <c r="J286" s="53">
        <v>0.0</v>
      </c>
      <c r="K286" s="53" t="s">
        <v>53</v>
      </c>
      <c r="L286" s="53" t="s">
        <v>53</v>
      </c>
    </row>
    <row r="287" ht="15.75" customHeight="1">
      <c r="A287" s="53" t="s">
        <v>1896</v>
      </c>
      <c r="B287" s="53" t="s">
        <v>1687</v>
      </c>
      <c r="D287" s="53" t="s">
        <v>1914</v>
      </c>
      <c r="E287" s="53" t="s">
        <v>1928</v>
      </c>
      <c r="F287" s="53" t="s">
        <v>1929</v>
      </c>
      <c r="G287" s="53" t="s">
        <v>1922</v>
      </c>
      <c r="H287" s="53">
        <v>1.0</v>
      </c>
      <c r="I287" s="53">
        <v>0.5992063492063492</v>
      </c>
      <c r="J287" s="53">
        <v>11.0</v>
      </c>
      <c r="K287" s="53" t="s">
        <v>53</v>
      </c>
      <c r="L287" s="53" t="s">
        <v>53</v>
      </c>
    </row>
    <row r="288" ht="15.75" customHeight="1">
      <c r="A288" s="53" t="s">
        <v>1896</v>
      </c>
      <c r="B288" s="53" t="s">
        <v>1687</v>
      </c>
      <c r="D288" s="53" t="s">
        <v>1919</v>
      </c>
      <c r="E288" s="53" t="s">
        <v>1930</v>
      </c>
      <c r="F288" s="53" t="s">
        <v>1931</v>
      </c>
      <c r="G288" s="53" t="s">
        <v>1917</v>
      </c>
      <c r="H288" s="53">
        <v>1.0</v>
      </c>
      <c r="I288" s="53">
        <v>0.014736842105263158</v>
      </c>
      <c r="J288" s="53">
        <v>0.0</v>
      </c>
      <c r="K288" s="53" t="s">
        <v>53</v>
      </c>
      <c r="L288" s="53" t="s">
        <v>53</v>
      </c>
    </row>
    <row r="289" ht="15.75" customHeight="1">
      <c r="A289" s="53" t="s">
        <v>1896</v>
      </c>
      <c r="B289" s="53" t="s">
        <v>1687</v>
      </c>
      <c r="D289" s="53" t="s">
        <v>1919</v>
      </c>
      <c r="E289" s="53" t="s">
        <v>1932</v>
      </c>
      <c r="F289" s="53" t="s">
        <v>1933</v>
      </c>
      <c r="G289" s="53" t="s">
        <v>1922</v>
      </c>
      <c r="H289" s="53">
        <v>1.0</v>
      </c>
      <c r="I289" s="53">
        <v>0.32142857142857145</v>
      </c>
      <c r="J289" s="53">
        <v>10.0</v>
      </c>
      <c r="K289" s="53" t="s">
        <v>53</v>
      </c>
      <c r="L289" s="53" t="s">
        <v>53</v>
      </c>
    </row>
    <row r="290" ht="15.75" customHeight="1">
      <c r="A290" s="53" t="s">
        <v>1896</v>
      </c>
      <c r="B290" s="53" t="s">
        <v>1687</v>
      </c>
      <c r="D290" s="53" t="s">
        <v>1919</v>
      </c>
      <c r="E290" s="53" t="s">
        <v>1934</v>
      </c>
      <c r="F290" s="53" t="s">
        <v>1935</v>
      </c>
      <c r="G290" s="53" t="s">
        <v>1911</v>
      </c>
      <c r="H290" s="53">
        <v>1.0</v>
      </c>
      <c r="I290" s="53">
        <v>0.7457264957264957</v>
      </c>
      <c r="J290" s="53">
        <v>7.0</v>
      </c>
      <c r="K290" s="53" t="s">
        <v>53</v>
      </c>
      <c r="L290" s="53" t="s">
        <v>1527</v>
      </c>
    </row>
    <row r="291" ht="15.75" customHeight="1">
      <c r="A291" s="53" t="s">
        <v>1896</v>
      </c>
      <c r="B291" s="53" t="s">
        <v>1687</v>
      </c>
      <c r="D291" s="53" t="s">
        <v>1917</v>
      </c>
      <c r="E291" s="53" t="s">
        <v>1936</v>
      </c>
      <c r="F291" s="53" t="s">
        <v>1933</v>
      </c>
      <c r="G291" s="53" t="s">
        <v>1922</v>
      </c>
      <c r="H291" s="53">
        <v>1.0</v>
      </c>
      <c r="I291" s="53">
        <v>0.3353174603174603</v>
      </c>
      <c r="J291" s="53">
        <v>9.0</v>
      </c>
      <c r="K291" s="53" t="s">
        <v>53</v>
      </c>
      <c r="L291" s="53" t="s">
        <v>53</v>
      </c>
    </row>
    <row r="292" ht="15.75" customHeight="1">
      <c r="A292" s="53" t="s">
        <v>1896</v>
      </c>
      <c r="B292" s="53" t="s">
        <v>1687</v>
      </c>
      <c r="D292" s="53" t="s">
        <v>1917</v>
      </c>
      <c r="E292" s="53" t="s">
        <v>1937</v>
      </c>
      <c r="F292" s="53" t="s">
        <v>1935</v>
      </c>
      <c r="G292" s="53" t="s">
        <v>1911</v>
      </c>
      <c r="H292" s="53">
        <v>1.0</v>
      </c>
      <c r="I292" s="53">
        <v>0.7494736842105263</v>
      </c>
      <c r="J292" s="53">
        <v>6.0</v>
      </c>
      <c r="K292" s="53" t="s">
        <v>53</v>
      </c>
      <c r="L292" s="53" t="s">
        <v>1527</v>
      </c>
    </row>
    <row r="293" ht="15.75" customHeight="1">
      <c r="A293" s="53" t="s">
        <v>1896</v>
      </c>
      <c r="B293" s="53" t="s">
        <v>1687</v>
      </c>
      <c r="D293" s="53" t="s">
        <v>1911</v>
      </c>
      <c r="E293" s="53" t="s">
        <v>1938</v>
      </c>
      <c r="F293" s="53" t="s">
        <v>1921</v>
      </c>
      <c r="G293" s="53" t="s">
        <v>1922</v>
      </c>
      <c r="H293" s="53">
        <v>1.0</v>
      </c>
      <c r="I293" s="53">
        <v>0.7400793650793651</v>
      </c>
      <c r="J293" s="53">
        <v>2.0</v>
      </c>
      <c r="K293" s="53" t="s">
        <v>53</v>
      </c>
      <c r="L293" s="53" t="s">
        <v>1527</v>
      </c>
    </row>
    <row r="294" ht="15.75" customHeight="1">
      <c r="A294" s="53" t="s">
        <v>1896</v>
      </c>
      <c r="B294" s="53" t="s">
        <v>1687</v>
      </c>
      <c r="D294" s="53" t="s">
        <v>1939</v>
      </c>
      <c r="E294" s="53" t="s">
        <v>1940</v>
      </c>
      <c r="F294" s="53" t="s">
        <v>1941</v>
      </c>
      <c r="G294" s="53" t="s">
        <v>1942</v>
      </c>
      <c r="H294" s="53">
        <v>1.0</v>
      </c>
      <c r="I294" s="53">
        <v>0.9697556254536657</v>
      </c>
      <c r="J294" s="53">
        <v>8.0</v>
      </c>
      <c r="K294" s="53" t="s">
        <v>53</v>
      </c>
      <c r="L294" s="53" t="s">
        <v>53</v>
      </c>
    </row>
    <row r="295" ht="15.75" customHeight="1">
      <c r="A295" s="53" t="s">
        <v>1896</v>
      </c>
      <c r="B295" s="53" t="s">
        <v>1687</v>
      </c>
      <c r="D295" s="53" t="s">
        <v>69</v>
      </c>
      <c r="E295" s="53" t="s">
        <v>1943</v>
      </c>
      <c r="F295" s="53" t="s">
        <v>73</v>
      </c>
      <c r="G295" s="53" t="s">
        <v>114</v>
      </c>
      <c r="H295" s="53">
        <v>1.0</v>
      </c>
      <c r="I295" s="53">
        <v>0.06542056074766354</v>
      </c>
      <c r="J295" s="53">
        <v>0.0</v>
      </c>
      <c r="K295" s="53" t="s">
        <v>53</v>
      </c>
      <c r="L295" s="53" t="s">
        <v>53</v>
      </c>
    </row>
    <row r="296" ht="15.75" customHeight="1">
      <c r="A296" s="53" t="s">
        <v>1896</v>
      </c>
      <c r="B296" s="53" t="s">
        <v>1687</v>
      </c>
      <c r="D296" s="53" t="s">
        <v>1942</v>
      </c>
      <c r="E296" s="53" t="s">
        <v>1944</v>
      </c>
      <c r="F296" s="53" t="s">
        <v>1945</v>
      </c>
      <c r="G296" s="53" t="s">
        <v>1946</v>
      </c>
      <c r="H296" s="53">
        <v>0.2</v>
      </c>
      <c r="I296" s="53">
        <v>0.09926677946982515</v>
      </c>
      <c r="J296" s="53">
        <v>0.0</v>
      </c>
      <c r="K296" s="53" t="s">
        <v>53</v>
      </c>
      <c r="L296" s="53" t="s">
        <v>1947</v>
      </c>
    </row>
    <row r="297" ht="15.75" customHeight="1">
      <c r="A297" s="53" t="s">
        <v>1896</v>
      </c>
      <c r="B297" s="53" t="s">
        <v>1687</v>
      </c>
      <c r="D297" s="53" t="s">
        <v>1946</v>
      </c>
      <c r="E297" s="53" t="s">
        <v>1948</v>
      </c>
      <c r="F297" s="53" t="s">
        <v>1949</v>
      </c>
      <c r="G297" s="53" t="s">
        <v>1950</v>
      </c>
      <c r="H297" s="53">
        <v>1.0</v>
      </c>
      <c r="I297" s="53">
        <v>0.3670614777213762</v>
      </c>
      <c r="J297" s="53">
        <v>1.0</v>
      </c>
      <c r="K297" s="53" t="s">
        <v>53</v>
      </c>
      <c r="L297" s="53" t="s">
        <v>53</v>
      </c>
    </row>
    <row r="298" ht="15.75" customHeight="1">
      <c r="A298" s="53" t="s">
        <v>1896</v>
      </c>
      <c r="B298" s="53" t="s">
        <v>1687</v>
      </c>
      <c r="D298" s="53" t="s">
        <v>1951</v>
      </c>
      <c r="E298" s="53" t="s">
        <v>1952</v>
      </c>
      <c r="F298" s="53" t="s">
        <v>1953</v>
      </c>
      <c r="G298" s="53" t="s">
        <v>1950</v>
      </c>
      <c r="H298" s="53">
        <v>0.3333333333333333</v>
      </c>
      <c r="I298" s="53">
        <v>0.06792058516196448</v>
      </c>
      <c r="J298" s="53">
        <v>0.0</v>
      </c>
      <c r="K298" s="53" t="s">
        <v>53</v>
      </c>
      <c r="L298" s="53" t="s">
        <v>1954</v>
      </c>
    </row>
    <row r="299" ht="15.75" customHeight="1">
      <c r="A299" s="53" t="s">
        <v>1955</v>
      </c>
      <c r="B299" s="53" t="s">
        <v>1687</v>
      </c>
      <c r="D299" s="53" t="s">
        <v>1518</v>
      </c>
      <c r="E299" s="53" t="s">
        <v>1956</v>
      </c>
      <c r="F299" s="53" t="s">
        <v>1957</v>
      </c>
      <c r="G299" s="53" t="s">
        <v>1521</v>
      </c>
      <c r="H299" s="53">
        <v>0.75</v>
      </c>
      <c r="I299" s="53">
        <v>0.13709677419354838</v>
      </c>
      <c r="J299" s="53">
        <v>1.0</v>
      </c>
      <c r="K299" s="53" t="s">
        <v>53</v>
      </c>
      <c r="L299" s="53" t="s">
        <v>1958</v>
      </c>
    </row>
    <row r="300" ht="15.75" customHeight="1">
      <c r="A300" s="53" t="s">
        <v>1955</v>
      </c>
      <c r="B300" s="53" t="s">
        <v>1687</v>
      </c>
      <c r="D300" s="53" t="s">
        <v>1518</v>
      </c>
      <c r="E300" s="53" t="s">
        <v>1959</v>
      </c>
      <c r="F300" s="53" t="s">
        <v>1960</v>
      </c>
      <c r="G300" s="53" t="s">
        <v>1526</v>
      </c>
      <c r="H300" s="53">
        <v>0.8571428571428571</v>
      </c>
      <c r="I300" s="53">
        <v>0.33064516129032256</v>
      </c>
      <c r="J300" s="53">
        <v>0.0</v>
      </c>
      <c r="K300" s="53" t="s">
        <v>53</v>
      </c>
      <c r="L300" s="53" t="s">
        <v>1527</v>
      </c>
    </row>
    <row r="301" ht="15.75" customHeight="1">
      <c r="A301" s="53" t="s">
        <v>1955</v>
      </c>
      <c r="B301" s="53" t="s">
        <v>1687</v>
      </c>
      <c r="D301" s="53" t="s">
        <v>1961</v>
      </c>
      <c r="E301" s="53" t="s">
        <v>1962</v>
      </c>
      <c r="F301" s="53" t="s">
        <v>1963</v>
      </c>
      <c r="G301" s="53" t="s">
        <v>598</v>
      </c>
      <c r="H301" s="53">
        <v>1.0</v>
      </c>
      <c r="I301" s="53">
        <v>0.14492753623188406</v>
      </c>
      <c r="J301" s="53">
        <v>2.0</v>
      </c>
      <c r="K301" s="53" t="s">
        <v>53</v>
      </c>
      <c r="L301" s="53" t="s">
        <v>53</v>
      </c>
    </row>
    <row r="302" ht="15.75" customHeight="1">
      <c r="A302" s="53" t="s">
        <v>1955</v>
      </c>
      <c r="B302" s="53" t="s">
        <v>1687</v>
      </c>
      <c r="D302" s="53" t="s">
        <v>1961</v>
      </c>
      <c r="E302" s="53" t="s">
        <v>1964</v>
      </c>
      <c r="F302" s="53" t="s">
        <v>1963</v>
      </c>
      <c r="G302" s="53" t="s">
        <v>1965</v>
      </c>
      <c r="H302" s="53">
        <v>1.0</v>
      </c>
      <c r="I302" s="53">
        <v>0.15217391304347827</v>
      </c>
      <c r="J302" s="53">
        <v>6.0</v>
      </c>
      <c r="K302" s="53" t="s">
        <v>53</v>
      </c>
      <c r="L302" s="53" t="s">
        <v>53</v>
      </c>
    </row>
    <row r="303" ht="15.75" customHeight="1">
      <c r="A303" s="53" t="s">
        <v>1955</v>
      </c>
      <c r="B303" s="53" t="s">
        <v>1687</v>
      </c>
      <c r="D303" s="53" t="s">
        <v>1961</v>
      </c>
      <c r="E303" s="53" t="s">
        <v>1966</v>
      </c>
      <c r="F303" s="53" t="s">
        <v>1963</v>
      </c>
      <c r="G303" s="53" t="s">
        <v>589</v>
      </c>
      <c r="H303" s="53">
        <v>1.0</v>
      </c>
      <c r="I303" s="53">
        <v>0.18115942028985507</v>
      </c>
      <c r="J303" s="53">
        <v>0.0</v>
      </c>
      <c r="K303" s="53" t="s">
        <v>53</v>
      </c>
      <c r="L303" s="53" t="s">
        <v>53</v>
      </c>
    </row>
    <row r="304" ht="15.75" customHeight="1">
      <c r="A304" s="53" t="s">
        <v>1955</v>
      </c>
      <c r="B304" s="53" t="s">
        <v>1687</v>
      </c>
      <c r="D304" s="53" t="s">
        <v>1961</v>
      </c>
      <c r="E304" s="53" t="s">
        <v>1967</v>
      </c>
      <c r="F304" s="53" t="s">
        <v>1963</v>
      </c>
      <c r="G304" s="53" t="s">
        <v>1968</v>
      </c>
      <c r="H304" s="53">
        <v>1.0</v>
      </c>
      <c r="I304" s="53">
        <v>0.18115942028985507</v>
      </c>
      <c r="J304" s="53">
        <v>1.0</v>
      </c>
      <c r="K304" s="53" t="s">
        <v>53</v>
      </c>
      <c r="L304" s="53" t="s">
        <v>53</v>
      </c>
    </row>
    <row r="305" ht="15.75" customHeight="1">
      <c r="A305" s="53" t="s">
        <v>1955</v>
      </c>
      <c r="B305" s="53" t="s">
        <v>1687</v>
      </c>
      <c r="D305" s="53" t="s">
        <v>589</v>
      </c>
      <c r="E305" s="53" t="s">
        <v>1969</v>
      </c>
      <c r="F305" s="53" t="s">
        <v>1963</v>
      </c>
      <c r="G305" s="53" t="s">
        <v>1968</v>
      </c>
      <c r="H305" s="53">
        <v>1.0</v>
      </c>
      <c r="I305" s="53">
        <v>0.008130081300813009</v>
      </c>
      <c r="J305" s="53">
        <v>0.0</v>
      </c>
      <c r="K305" s="53" t="s">
        <v>53</v>
      </c>
      <c r="L305" s="53" t="s">
        <v>53</v>
      </c>
    </row>
    <row r="306" ht="15.75" customHeight="1">
      <c r="A306" s="53" t="s">
        <v>1955</v>
      </c>
      <c r="B306" s="53" t="s">
        <v>1687</v>
      </c>
      <c r="D306" s="53" t="s">
        <v>589</v>
      </c>
      <c r="E306" s="53" t="s">
        <v>1970</v>
      </c>
      <c r="F306" s="53" t="s">
        <v>1963</v>
      </c>
      <c r="G306" s="53" t="s">
        <v>1965</v>
      </c>
      <c r="H306" s="53">
        <v>1.0</v>
      </c>
      <c r="I306" s="53">
        <v>0.0873015873015873</v>
      </c>
      <c r="J306" s="53">
        <v>5.0</v>
      </c>
      <c r="K306" s="53" t="s">
        <v>53</v>
      </c>
      <c r="L306" s="53" t="s">
        <v>53</v>
      </c>
    </row>
    <row r="307" ht="15.75" customHeight="1">
      <c r="A307" s="53" t="s">
        <v>1955</v>
      </c>
      <c r="B307" s="53" t="s">
        <v>1687</v>
      </c>
      <c r="D307" s="53" t="s">
        <v>589</v>
      </c>
      <c r="E307" s="53" t="s">
        <v>1971</v>
      </c>
      <c r="F307" s="53" t="s">
        <v>1963</v>
      </c>
      <c r="G307" s="53" t="s">
        <v>598</v>
      </c>
      <c r="H307" s="53">
        <v>1.0</v>
      </c>
      <c r="I307" s="53">
        <v>0.21897810218978103</v>
      </c>
      <c r="J307" s="53">
        <v>1.0</v>
      </c>
      <c r="K307" s="53" t="s">
        <v>53</v>
      </c>
      <c r="L307" s="53" t="s">
        <v>53</v>
      </c>
    </row>
    <row r="308" ht="15.75" customHeight="1">
      <c r="A308" s="53" t="s">
        <v>1955</v>
      </c>
      <c r="B308" s="53" t="s">
        <v>1687</v>
      </c>
      <c r="D308" s="53" t="s">
        <v>1968</v>
      </c>
      <c r="E308" s="53" t="s">
        <v>1972</v>
      </c>
      <c r="F308" s="53" t="s">
        <v>1963</v>
      </c>
      <c r="G308" s="53" t="s">
        <v>1965</v>
      </c>
      <c r="H308" s="53">
        <v>1.0</v>
      </c>
      <c r="I308" s="53">
        <v>0.0873015873015873</v>
      </c>
      <c r="J308" s="53">
        <v>4.0</v>
      </c>
      <c r="K308" s="53" t="s">
        <v>53</v>
      </c>
      <c r="L308" s="53" t="s">
        <v>53</v>
      </c>
    </row>
    <row r="309" ht="15.75" customHeight="1">
      <c r="A309" s="53" t="s">
        <v>1955</v>
      </c>
      <c r="B309" s="53" t="s">
        <v>1687</v>
      </c>
      <c r="D309" s="53" t="s">
        <v>1968</v>
      </c>
      <c r="E309" s="53" t="s">
        <v>1973</v>
      </c>
      <c r="F309" s="53" t="s">
        <v>1963</v>
      </c>
      <c r="G309" s="53" t="s">
        <v>598</v>
      </c>
      <c r="H309" s="53">
        <v>1.0</v>
      </c>
      <c r="I309" s="53">
        <v>0.21897810218978103</v>
      </c>
      <c r="J309" s="53">
        <v>0.0</v>
      </c>
      <c r="K309" s="53" t="s">
        <v>53</v>
      </c>
      <c r="L309" s="53" t="s">
        <v>53</v>
      </c>
    </row>
    <row r="310" ht="15.75" customHeight="1">
      <c r="A310" s="53" t="s">
        <v>1955</v>
      </c>
      <c r="B310" s="53" t="s">
        <v>1687</v>
      </c>
      <c r="D310" s="53" t="s">
        <v>598</v>
      </c>
      <c r="E310" s="53" t="s">
        <v>1974</v>
      </c>
      <c r="F310" s="53" t="s">
        <v>1975</v>
      </c>
      <c r="G310" s="53" t="s">
        <v>1976</v>
      </c>
      <c r="H310" s="53">
        <v>0.3333333333333333</v>
      </c>
      <c r="I310" s="53">
        <v>0.043795620437956206</v>
      </c>
      <c r="J310" s="53">
        <v>5.0</v>
      </c>
      <c r="K310" s="53" t="s">
        <v>53</v>
      </c>
      <c r="L310" s="53" t="s">
        <v>1958</v>
      </c>
    </row>
    <row r="311" ht="15.75" customHeight="1">
      <c r="A311" s="53" t="s">
        <v>1955</v>
      </c>
      <c r="B311" s="53" t="s">
        <v>1687</v>
      </c>
      <c r="D311" s="53" t="s">
        <v>598</v>
      </c>
      <c r="E311" s="53" t="s">
        <v>1977</v>
      </c>
      <c r="F311" s="53" t="s">
        <v>1963</v>
      </c>
      <c r="G311" s="53" t="s">
        <v>1965</v>
      </c>
      <c r="H311" s="53">
        <v>1.0</v>
      </c>
      <c r="I311" s="53">
        <v>0.24087591240875914</v>
      </c>
      <c r="J311" s="53">
        <v>3.0</v>
      </c>
      <c r="K311" s="53" t="s">
        <v>53</v>
      </c>
      <c r="L311" s="53" t="s">
        <v>53</v>
      </c>
    </row>
    <row r="312" ht="15.75" customHeight="1">
      <c r="A312" s="53" t="s">
        <v>1955</v>
      </c>
      <c r="B312" s="53" t="s">
        <v>1687</v>
      </c>
      <c r="D312" s="53" t="s">
        <v>1508</v>
      </c>
      <c r="E312" s="53" t="s">
        <v>1978</v>
      </c>
      <c r="F312" s="53" t="s">
        <v>1510</v>
      </c>
      <c r="G312" s="53" t="s">
        <v>1511</v>
      </c>
      <c r="H312" s="53">
        <v>1.0</v>
      </c>
      <c r="I312" s="53">
        <v>0.1</v>
      </c>
      <c r="J312" s="53">
        <v>0.0</v>
      </c>
      <c r="K312" s="53" t="s">
        <v>53</v>
      </c>
      <c r="L312" s="53" t="s">
        <v>53</v>
      </c>
    </row>
    <row r="313" ht="15.75" customHeight="1">
      <c r="A313" s="53" t="s">
        <v>1955</v>
      </c>
      <c r="B313" s="53" t="s">
        <v>1687</v>
      </c>
      <c r="D313" s="53" t="s">
        <v>1508</v>
      </c>
      <c r="E313" s="53" t="s">
        <v>1979</v>
      </c>
      <c r="F313" s="53" t="s">
        <v>1510</v>
      </c>
      <c r="G313" s="53" t="s">
        <v>1514</v>
      </c>
      <c r="H313" s="53">
        <v>1.0</v>
      </c>
      <c r="I313" s="53">
        <v>0.175</v>
      </c>
      <c r="J313" s="53">
        <v>1.0</v>
      </c>
      <c r="K313" s="53" t="s">
        <v>53</v>
      </c>
      <c r="L313" s="53" t="s">
        <v>53</v>
      </c>
    </row>
    <row r="314" ht="15.75" customHeight="1">
      <c r="A314" s="53" t="s">
        <v>1955</v>
      </c>
      <c r="B314" s="53" t="s">
        <v>1687</v>
      </c>
      <c r="D314" s="53" t="s">
        <v>1511</v>
      </c>
      <c r="E314" s="53" t="s">
        <v>1980</v>
      </c>
      <c r="F314" s="53" t="s">
        <v>1510</v>
      </c>
      <c r="G314" s="53" t="s">
        <v>1514</v>
      </c>
      <c r="H314" s="53">
        <v>1.0</v>
      </c>
      <c r="I314" s="53">
        <v>0.09166666666666666</v>
      </c>
      <c r="J314" s="53">
        <v>0.0</v>
      </c>
      <c r="K314" s="53" t="s">
        <v>53</v>
      </c>
      <c r="L314" s="53" t="s">
        <v>53</v>
      </c>
    </row>
    <row r="315" ht="15.75" customHeight="1">
      <c r="A315" s="53" t="s">
        <v>1955</v>
      </c>
      <c r="B315" s="53" t="s">
        <v>1687</v>
      </c>
      <c r="D315" s="53" t="s">
        <v>1981</v>
      </c>
      <c r="E315" s="53" t="s">
        <v>1982</v>
      </c>
      <c r="F315" s="53" t="s">
        <v>1983</v>
      </c>
      <c r="G315" s="53" t="s">
        <v>566</v>
      </c>
      <c r="H315" s="53">
        <v>0.3333333333333333</v>
      </c>
      <c r="I315" s="53">
        <v>0.09454545454545454</v>
      </c>
      <c r="J315" s="53">
        <v>2.0</v>
      </c>
      <c r="K315" s="53" t="s">
        <v>53</v>
      </c>
      <c r="L315" s="53" t="s">
        <v>1984</v>
      </c>
    </row>
    <row r="316" ht="15.75" customHeight="1">
      <c r="A316" s="53" t="s">
        <v>1955</v>
      </c>
      <c r="B316" s="53" t="s">
        <v>1687</v>
      </c>
      <c r="D316" s="53" t="s">
        <v>1205</v>
      </c>
      <c r="E316" s="53" t="s">
        <v>1985</v>
      </c>
      <c r="F316" s="53" t="s">
        <v>1986</v>
      </c>
      <c r="G316" s="53" t="s">
        <v>1208</v>
      </c>
      <c r="H316" s="53">
        <v>1.0</v>
      </c>
      <c r="I316" s="53">
        <v>0.039473684210526314</v>
      </c>
      <c r="J316" s="53">
        <v>0.0</v>
      </c>
      <c r="K316" s="53" t="s">
        <v>53</v>
      </c>
      <c r="L316" s="53" t="s">
        <v>53</v>
      </c>
    </row>
    <row r="317" ht="15.75" customHeight="1">
      <c r="A317" s="53" t="s">
        <v>1987</v>
      </c>
      <c r="B317" s="53" t="s">
        <v>1687</v>
      </c>
      <c r="D317" s="53" t="s">
        <v>1614</v>
      </c>
      <c r="E317" s="53" t="s">
        <v>1988</v>
      </c>
      <c r="F317" s="53" t="s">
        <v>1989</v>
      </c>
      <c r="G317" s="53" t="s">
        <v>1617</v>
      </c>
      <c r="H317" s="53">
        <v>1.0</v>
      </c>
      <c r="I317" s="53">
        <v>0.4954545454545455</v>
      </c>
      <c r="J317" s="53">
        <v>1.0</v>
      </c>
      <c r="K317" s="53" t="s">
        <v>53</v>
      </c>
      <c r="L317" s="53" t="s">
        <v>53</v>
      </c>
    </row>
    <row r="318" ht="15.75" customHeight="1">
      <c r="A318" s="53" t="s">
        <v>1987</v>
      </c>
      <c r="B318" s="53" t="s">
        <v>1687</v>
      </c>
      <c r="D318" s="53" t="s">
        <v>1614</v>
      </c>
      <c r="E318" s="53" t="s">
        <v>1990</v>
      </c>
      <c r="F318" s="53" t="s">
        <v>1991</v>
      </c>
      <c r="G318" s="53" t="s">
        <v>1620</v>
      </c>
      <c r="H318" s="53">
        <v>1.0</v>
      </c>
      <c r="I318" s="53">
        <v>0.5981132075471698</v>
      </c>
      <c r="J318" s="53">
        <v>0.0</v>
      </c>
      <c r="K318" s="53" t="s">
        <v>53</v>
      </c>
      <c r="L318" s="53" t="s">
        <v>53</v>
      </c>
    </row>
    <row r="319" ht="15.75" customHeight="1">
      <c r="A319" s="53" t="s">
        <v>1987</v>
      </c>
      <c r="B319" s="53" t="s">
        <v>1687</v>
      </c>
      <c r="D319" s="53" t="s">
        <v>1620</v>
      </c>
      <c r="E319" s="53" t="s">
        <v>1992</v>
      </c>
      <c r="F319" s="53" t="s">
        <v>1993</v>
      </c>
      <c r="G319" s="53" t="s">
        <v>1617</v>
      </c>
      <c r="H319" s="53">
        <v>1.0</v>
      </c>
      <c r="I319" s="53">
        <v>0.7886792452830189</v>
      </c>
      <c r="J319" s="53">
        <v>0.0</v>
      </c>
      <c r="K319" s="53" t="s">
        <v>53</v>
      </c>
      <c r="L319" s="53" t="s">
        <v>53</v>
      </c>
    </row>
    <row r="320" ht="15.75" customHeight="1">
      <c r="A320" s="53" t="s">
        <v>1994</v>
      </c>
      <c r="B320" s="53" t="s">
        <v>1687</v>
      </c>
      <c r="D320" s="53" t="s">
        <v>1496</v>
      </c>
      <c r="E320" s="53" t="s">
        <v>1995</v>
      </c>
      <c r="F320" s="53" t="s">
        <v>1996</v>
      </c>
      <c r="G320" s="53" t="s">
        <v>1499</v>
      </c>
      <c r="H320" s="53">
        <v>0.5</v>
      </c>
      <c r="I320" s="53">
        <v>0.06689965052421368</v>
      </c>
      <c r="J320" s="53">
        <v>0.0</v>
      </c>
      <c r="K320" s="53" t="s">
        <v>53</v>
      </c>
      <c r="L320" s="53" t="s">
        <v>1501</v>
      </c>
    </row>
    <row r="321" ht="15.75" customHeight="1">
      <c r="A321" s="53" t="s">
        <v>1994</v>
      </c>
      <c r="B321" s="53" t="s">
        <v>1687</v>
      </c>
      <c r="D321" s="53" t="s">
        <v>90</v>
      </c>
      <c r="E321" s="53" t="s">
        <v>1997</v>
      </c>
      <c r="F321" s="53" t="s">
        <v>1998</v>
      </c>
      <c r="G321" s="53" t="s">
        <v>84</v>
      </c>
      <c r="H321" s="53">
        <v>1.0</v>
      </c>
      <c r="I321" s="53">
        <v>0.11339137645107794</v>
      </c>
      <c r="J321" s="53">
        <v>5.0</v>
      </c>
      <c r="K321" s="53" t="s">
        <v>53</v>
      </c>
      <c r="L321" s="53" t="s">
        <v>53</v>
      </c>
    </row>
    <row r="322" ht="15.75" customHeight="1">
      <c r="A322" s="53" t="s">
        <v>1994</v>
      </c>
      <c r="B322" s="53" t="s">
        <v>1687</v>
      </c>
      <c r="D322" s="53" t="s">
        <v>1999</v>
      </c>
      <c r="E322" s="53" t="s">
        <v>2000</v>
      </c>
      <c r="F322" s="53" t="s">
        <v>2001</v>
      </c>
      <c r="G322" s="53" t="s">
        <v>2002</v>
      </c>
      <c r="H322" s="53">
        <v>0.3333333333333333</v>
      </c>
      <c r="I322" s="53">
        <v>0.02414833980163864</v>
      </c>
      <c r="J322" s="53">
        <v>0.0</v>
      </c>
      <c r="K322" s="53" t="s">
        <v>53</v>
      </c>
      <c r="L322" s="53" t="s">
        <v>2003</v>
      </c>
    </row>
    <row r="323" ht="15.75" customHeight="1">
      <c r="A323" s="53" t="s">
        <v>1994</v>
      </c>
      <c r="B323" s="53" t="s">
        <v>1687</v>
      </c>
      <c r="D323" s="53" t="s">
        <v>2004</v>
      </c>
      <c r="E323" s="53" t="s">
        <v>2005</v>
      </c>
      <c r="F323" s="53" t="s">
        <v>2006</v>
      </c>
      <c r="G323" s="53" t="s">
        <v>2007</v>
      </c>
      <c r="H323" s="53">
        <v>1.0</v>
      </c>
      <c r="I323" s="53">
        <v>0.6180555555555556</v>
      </c>
      <c r="J323" s="53">
        <v>0.0</v>
      </c>
      <c r="K323" s="53" t="s">
        <v>53</v>
      </c>
      <c r="L323" s="53" t="s">
        <v>53</v>
      </c>
    </row>
    <row r="324" ht="15.75" customHeight="1">
      <c r="A324" s="53" t="s">
        <v>2008</v>
      </c>
      <c r="B324" s="53" t="s">
        <v>1687</v>
      </c>
      <c r="D324" s="53" t="s">
        <v>200</v>
      </c>
      <c r="E324" s="53" t="s">
        <v>2009</v>
      </c>
      <c r="F324" s="53" t="s">
        <v>2010</v>
      </c>
      <c r="G324" s="53" t="s">
        <v>206</v>
      </c>
      <c r="H324" s="53">
        <v>1.0</v>
      </c>
      <c r="I324" s="53">
        <v>0.19254658385093168</v>
      </c>
      <c r="J324" s="53">
        <v>3.0</v>
      </c>
      <c r="K324" s="53" t="s">
        <v>53</v>
      </c>
      <c r="L324" s="53" t="s">
        <v>53</v>
      </c>
    </row>
    <row r="325" ht="15.75" customHeight="1">
      <c r="A325" s="53" t="s">
        <v>2008</v>
      </c>
      <c r="B325" s="53" t="s">
        <v>1687</v>
      </c>
      <c r="D325" s="53" t="s">
        <v>1681</v>
      </c>
      <c r="E325" s="53" t="s">
        <v>1682</v>
      </c>
      <c r="F325" s="53" t="s">
        <v>2011</v>
      </c>
      <c r="G325" s="53" t="s">
        <v>1684</v>
      </c>
      <c r="H325" s="53">
        <v>1.0</v>
      </c>
      <c r="I325" s="53">
        <v>0.004329004329004329</v>
      </c>
      <c r="J325" s="53">
        <v>0.0</v>
      </c>
      <c r="K325" s="53" t="s">
        <v>53</v>
      </c>
      <c r="L325" s="53" t="s">
        <v>53</v>
      </c>
    </row>
    <row r="326" ht="15.75" customHeight="1">
      <c r="A326" s="53" t="s">
        <v>2012</v>
      </c>
      <c r="B326" s="53" t="s">
        <v>1687</v>
      </c>
      <c r="D326" s="53" t="s">
        <v>2013</v>
      </c>
      <c r="E326" s="53" t="s">
        <v>2014</v>
      </c>
      <c r="F326" s="53" t="s">
        <v>2015</v>
      </c>
      <c r="G326" s="53" t="s">
        <v>2016</v>
      </c>
      <c r="H326" s="53">
        <v>1.0</v>
      </c>
      <c r="I326" s="53">
        <v>0.19727891156462585</v>
      </c>
      <c r="J326" s="53">
        <v>0.0</v>
      </c>
      <c r="K326" s="53" t="s">
        <v>53</v>
      </c>
      <c r="L326" s="53" t="s">
        <v>53</v>
      </c>
    </row>
    <row r="327" ht="15.75" customHeight="1">
      <c r="A327" s="53" t="s">
        <v>2012</v>
      </c>
      <c r="B327" s="53" t="s">
        <v>1687</v>
      </c>
      <c r="D327" s="53" t="s">
        <v>2017</v>
      </c>
      <c r="E327" s="53" t="s">
        <v>2018</v>
      </c>
      <c r="F327" s="53" t="s">
        <v>2019</v>
      </c>
      <c r="G327" s="53" t="s">
        <v>2020</v>
      </c>
      <c r="H327" s="53">
        <v>1.0</v>
      </c>
      <c r="I327" s="53">
        <v>0.13793103448275862</v>
      </c>
      <c r="J327" s="53">
        <v>10.0</v>
      </c>
      <c r="K327" s="53" t="s">
        <v>53</v>
      </c>
      <c r="L327" s="53" t="s">
        <v>53</v>
      </c>
    </row>
    <row r="328" ht="15.75" customHeight="1">
      <c r="A328" s="53" t="s">
        <v>2012</v>
      </c>
      <c r="B328" s="53" t="s">
        <v>1687</v>
      </c>
      <c r="D328" s="53" t="s">
        <v>2017</v>
      </c>
      <c r="E328" s="53" t="s">
        <v>2021</v>
      </c>
      <c r="F328" s="53" t="s">
        <v>2019</v>
      </c>
      <c r="G328" s="53" t="s">
        <v>2022</v>
      </c>
      <c r="H328" s="53">
        <v>1.0</v>
      </c>
      <c r="I328" s="53">
        <v>0.18253968253968253</v>
      </c>
      <c r="J328" s="53">
        <v>1.0</v>
      </c>
      <c r="K328" s="53" t="s">
        <v>53</v>
      </c>
      <c r="L328" s="53" t="s">
        <v>53</v>
      </c>
    </row>
    <row r="329" ht="15.75" customHeight="1">
      <c r="A329" s="53" t="s">
        <v>2012</v>
      </c>
      <c r="B329" s="53" t="s">
        <v>1687</v>
      </c>
      <c r="D329" s="53" t="s">
        <v>2017</v>
      </c>
      <c r="E329" s="53" t="s">
        <v>2023</v>
      </c>
      <c r="F329" s="53" t="s">
        <v>2019</v>
      </c>
      <c r="G329" s="53" t="s">
        <v>2024</v>
      </c>
      <c r="H329" s="53">
        <v>1.0</v>
      </c>
      <c r="I329" s="53">
        <v>0.192</v>
      </c>
      <c r="J329" s="53">
        <v>6.0</v>
      </c>
      <c r="K329" s="53" t="s">
        <v>53</v>
      </c>
      <c r="L329" s="53" t="s">
        <v>53</v>
      </c>
    </row>
    <row r="330" ht="15.75" customHeight="1">
      <c r="A330" s="53" t="s">
        <v>2012</v>
      </c>
      <c r="B330" s="53" t="s">
        <v>1687</v>
      </c>
      <c r="D330" s="53" t="s">
        <v>2017</v>
      </c>
      <c r="E330" s="53" t="s">
        <v>2025</v>
      </c>
      <c r="F330" s="53" t="s">
        <v>2019</v>
      </c>
      <c r="G330" s="53" t="s">
        <v>2026</v>
      </c>
      <c r="H330" s="53">
        <v>1.0</v>
      </c>
      <c r="I330" s="53">
        <v>0.1951219512195122</v>
      </c>
      <c r="J330" s="53">
        <v>8.0</v>
      </c>
      <c r="K330" s="53" t="s">
        <v>53</v>
      </c>
      <c r="L330" s="53" t="s">
        <v>53</v>
      </c>
    </row>
    <row r="331" ht="15.75" customHeight="1">
      <c r="A331" s="53" t="s">
        <v>2012</v>
      </c>
      <c r="B331" s="53" t="s">
        <v>1687</v>
      </c>
      <c r="D331" s="53" t="s">
        <v>2017</v>
      </c>
      <c r="E331" s="53" t="s">
        <v>2027</v>
      </c>
      <c r="F331" s="53" t="s">
        <v>2019</v>
      </c>
      <c r="G331" s="53" t="s">
        <v>2028</v>
      </c>
      <c r="H331" s="53">
        <v>1.0</v>
      </c>
      <c r="I331" s="53">
        <v>0.30344827586206896</v>
      </c>
      <c r="J331" s="53">
        <v>7.0</v>
      </c>
      <c r="K331" s="53" t="s">
        <v>53</v>
      </c>
      <c r="L331" s="53" t="s">
        <v>53</v>
      </c>
    </row>
    <row r="332" ht="15.75" customHeight="1">
      <c r="A332" s="53" t="s">
        <v>2012</v>
      </c>
      <c r="B332" s="53" t="s">
        <v>1687</v>
      </c>
      <c r="D332" s="53" t="s">
        <v>2017</v>
      </c>
      <c r="E332" s="53" t="s">
        <v>2029</v>
      </c>
      <c r="F332" s="53" t="s">
        <v>2019</v>
      </c>
      <c r="G332" s="53" t="s">
        <v>2030</v>
      </c>
      <c r="H332" s="53">
        <v>1.0</v>
      </c>
      <c r="I332" s="53">
        <v>0.3103448275862069</v>
      </c>
      <c r="J332" s="53">
        <v>11.0</v>
      </c>
      <c r="K332" s="53" t="s">
        <v>53</v>
      </c>
      <c r="L332" s="53" t="s">
        <v>53</v>
      </c>
    </row>
    <row r="333" ht="15.75" customHeight="1">
      <c r="A333" s="53" t="s">
        <v>2012</v>
      </c>
      <c r="B333" s="53" t="s">
        <v>1687</v>
      </c>
      <c r="D333" s="53" t="s">
        <v>2017</v>
      </c>
      <c r="E333" s="53" t="s">
        <v>2031</v>
      </c>
      <c r="F333" s="53" t="s">
        <v>2019</v>
      </c>
      <c r="G333" s="53" t="s">
        <v>2032</v>
      </c>
      <c r="H333" s="53">
        <v>1.0</v>
      </c>
      <c r="I333" s="53">
        <v>0.375</v>
      </c>
      <c r="J333" s="53">
        <v>0.0</v>
      </c>
      <c r="K333" s="53" t="s">
        <v>53</v>
      </c>
      <c r="L333" s="53" t="s">
        <v>53</v>
      </c>
    </row>
    <row r="334" ht="15.75" customHeight="1">
      <c r="A334" s="53" t="s">
        <v>2012</v>
      </c>
      <c r="B334" s="53" t="s">
        <v>1687</v>
      </c>
      <c r="D334" s="53" t="s">
        <v>2017</v>
      </c>
      <c r="E334" s="53" t="s">
        <v>2033</v>
      </c>
      <c r="F334" s="53" t="s">
        <v>2019</v>
      </c>
      <c r="G334" s="53" t="s">
        <v>2034</v>
      </c>
      <c r="H334" s="53">
        <v>1.0</v>
      </c>
      <c r="I334" s="53">
        <v>0.375</v>
      </c>
      <c r="J334" s="53">
        <v>9.0</v>
      </c>
      <c r="K334" s="53" t="s">
        <v>53</v>
      </c>
      <c r="L334" s="53" t="s">
        <v>53</v>
      </c>
    </row>
    <row r="335" ht="15.75" customHeight="1">
      <c r="A335" s="53" t="s">
        <v>2012</v>
      </c>
      <c r="B335" s="53" t="s">
        <v>1687</v>
      </c>
      <c r="D335" s="53" t="s">
        <v>2017</v>
      </c>
      <c r="E335" s="53" t="s">
        <v>2035</v>
      </c>
      <c r="F335" s="53" t="s">
        <v>2019</v>
      </c>
      <c r="G335" s="53" t="s">
        <v>2036</v>
      </c>
      <c r="H335" s="53">
        <v>1.0</v>
      </c>
      <c r="I335" s="53">
        <v>0.44751381215469616</v>
      </c>
      <c r="J335" s="53">
        <v>4.0</v>
      </c>
      <c r="K335" s="53" t="s">
        <v>53</v>
      </c>
      <c r="L335" s="53" t="s">
        <v>53</v>
      </c>
    </row>
    <row r="336" ht="15.75" customHeight="1">
      <c r="A336" s="53" t="s">
        <v>2012</v>
      </c>
      <c r="B336" s="53" t="s">
        <v>1687</v>
      </c>
      <c r="D336" s="53" t="s">
        <v>2017</v>
      </c>
      <c r="E336" s="53" t="s">
        <v>2037</v>
      </c>
      <c r="F336" s="53" t="s">
        <v>2019</v>
      </c>
      <c r="G336" s="53" t="s">
        <v>2038</v>
      </c>
      <c r="H336" s="53">
        <v>1.0</v>
      </c>
      <c r="I336" s="53">
        <v>0.5049019607843137</v>
      </c>
      <c r="J336" s="53">
        <v>5.0</v>
      </c>
      <c r="K336" s="53" t="s">
        <v>53</v>
      </c>
      <c r="L336" s="53" t="s">
        <v>53</v>
      </c>
    </row>
    <row r="337" ht="15.75" customHeight="1">
      <c r="A337" s="53" t="s">
        <v>2012</v>
      </c>
      <c r="B337" s="53" t="s">
        <v>1687</v>
      </c>
      <c r="D337" s="53" t="s">
        <v>2017</v>
      </c>
      <c r="E337" s="53" t="s">
        <v>2039</v>
      </c>
      <c r="F337" s="53" t="s">
        <v>2019</v>
      </c>
      <c r="G337" s="53" t="s">
        <v>2040</v>
      </c>
      <c r="H337" s="53">
        <v>1.0</v>
      </c>
      <c r="I337" s="53">
        <v>0.6833855799373041</v>
      </c>
      <c r="J337" s="53">
        <v>2.0</v>
      </c>
      <c r="K337" s="53" t="s">
        <v>53</v>
      </c>
      <c r="L337" s="53" t="s">
        <v>53</v>
      </c>
    </row>
    <row r="338" ht="15.75" customHeight="1">
      <c r="A338" s="53" t="s">
        <v>2012</v>
      </c>
      <c r="B338" s="53" t="s">
        <v>1687</v>
      </c>
      <c r="D338" s="53" t="s">
        <v>2017</v>
      </c>
      <c r="E338" s="53" t="s">
        <v>2041</v>
      </c>
      <c r="F338" s="53" t="s">
        <v>2019</v>
      </c>
      <c r="G338" s="53" t="s">
        <v>2042</v>
      </c>
      <c r="H338" s="53">
        <v>1.0</v>
      </c>
      <c r="I338" s="53">
        <v>0.7461928934010152</v>
      </c>
      <c r="J338" s="53">
        <v>3.0</v>
      </c>
      <c r="K338" s="53" t="s">
        <v>53</v>
      </c>
      <c r="L338" s="53" t="s">
        <v>53</v>
      </c>
    </row>
    <row r="339" ht="15.75" customHeight="1">
      <c r="A339" s="53" t="s">
        <v>2012</v>
      </c>
      <c r="B339" s="53" t="s">
        <v>1687</v>
      </c>
      <c r="D339" s="53" t="s">
        <v>2032</v>
      </c>
      <c r="E339" s="53" t="s">
        <v>2043</v>
      </c>
      <c r="F339" s="53" t="s">
        <v>2019</v>
      </c>
      <c r="G339" s="53" t="s">
        <v>2034</v>
      </c>
      <c r="H339" s="53">
        <v>1.0</v>
      </c>
      <c r="I339" s="53">
        <v>0.03125</v>
      </c>
      <c r="J339" s="53">
        <v>8.0</v>
      </c>
      <c r="K339" s="53" t="s">
        <v>53</v>
      </c>
      <c r="L339" s="53" t="s">
        <v>53</v>
      </c>
    </row>
    <row r="340" ht="15.75" customHeight="1">
      <c r="A340" s="53" t="s">
        <v>2012</v>
      </c>
      <c r="B340" s="53" t="s">
        <v>1687</v>
      </c>
      <c r="D340" s="53" t="s">
        <v>2032</v>
      </c>
      <c r="E340" s="53" t="s">
        <v>2044</v>
      </c>
      <c r="F340" s="53" t="s">
        <v>2019</v>
      </c>
      <c r="G340" s="53" t="s">
        <v>2028</v>
      </c>
      <c r="H340" s="53">
        <v>1.0</v>
      </c>
      <c r="I340" s="53">
        <v>0.11875</v>
      </c>
      <c r="J340" s="53">
        <v>6.0</v>
      </c>
      <c r="K340" s="53" t="s">
        <v>53</v>
      </c>
      <c r="L340" s="53" t="s">
        <v>53</v>
      </c>
    </row>
    <row r="341" ht="15.75" customHeight="1">
      <c r="A341" s="53" t="s">
        <v>2012</v>
      </c>
      <c r="B341" s="53" t="s">
        <v>1687</v>
      </c>
      <c r="D341" s="53" t="s">
        <v>2032</v>
      </c>
      <c r="E341" s="53" t="s">
        <v>2045</v>
      </c>
      <c r="F341" s="53" t="s">
        <v>2019</v>
      </c>
      <c r="G341" s="53" t="s">
        <v>2030</v>
      </c>
      <c r="H341" s="53">
        <v>1.0</v>
      </c>
      <c r="I341" s="53">
        <v>0.125</v>
      </c>
      <c r="J341" s="53">
        <v>10.0</v>
      </c>
      <c r="K341" s="53" t="s">
        <v>53</v>
      </c>
      <c r="L341" s="53" t="s">
        <v>53</v>
      </c>
    </row>
    <row r="342" ht="15.75" customHeight="1">
      <c r="A342" s="53" t="s">
        <v>2012</v>
      </c>
      <c r="B342" s="53" t="s">
        <v>1687</v>
      </c>
      <c r="D342" s="53" t="s">
        <v>2032</v>
      </c>
      <c r="E342" s="53" t="s">
        <v>2046</v>
      </c>
      <c r="F342" s="53" t="s">
        <v>2019</v>
      </c>
      <c r="G342" s="53" t="s">
        <v>2036</v>
      </c>
      <c r="H342" s="53">
        <v>1.0</v>
      </c>
      <c r="I342" s="53">
        <v>0.13812154696132597</v>
      </c>
      <c r="J342" s="53">
        <v>3.0</v>
      </c>
      <c r="K342" s="53" t="s">
        <v>53</v>
      </c>
      <c r="L342" s="53" t="s">
        <v>53</v>
      </c>
    </row>
    <row r="343" ht="15.75" customHeight="1">
      <c r="A343" s="53" t="s">
        <v>2012</v>
      </c>
      <c r="B343" s="53" t="s">
        <v>1687</v>
      </c>
      <c r="D343" s="53" t="s">
        <v>2032</v>
      </c>
      <c r="E343" s="53" t="s">
        <v>2047</v>
      </c>
      <c r="F343" s="53" t="s">
        <v>2019</v>
      </c>
      <c r="G343" s="53" t="s">
        <v>2038</v>
      </c>
      <c r="H343" s="53">
        <v>1.0</v>
      </c>
      <c r="I343" s="53">
        <v>0.24509803921568626</v>
      </c>
      <c r="J343" s="53">
        <v>4.0</v>
      </c>
      <c r="K343" s="53" t="s">
        <v>53</v>
      </c>
      <c r="L343" s="53" t="s">
        <v>53</v>
      </c>
    </row>
    <row r="344" ht="15.75" customHeight="1">
      <c r="A344" s="53" t="s">
        <v>2012</v>
      </c>
      <c r="B344" s="53" t="s">
        <v>1687</v>
      </c>
      <c r="D344" s="53" t="s">
        <v>2032</v>
      </c>
      <c r="E344" s="53" t="s">
        <v>2048</v>
      </c>
      <c r="F344" s="53" t="s">
        <v>2019</v>
      </c>
      <c r="G344" s="53" t="s">
        <v>2024</v>
      </c>
      <c r="H344" s="53">
        <v>1.0</v>
      </c>
      <c r="I344" s="53">
        <v>0.25</v>
      </c>
      <c r="J344" s="53">
        <v>5.0</v>
      </c>
      <c r="K344" s="53" t="s">
        <v>53</v>
      </c>
      <c r="L344" s="53" t="s">
        <v>53</v>
      </c>
    </row>
    <row r="345" ht="15.75" customHeight="1">
      <c r="A345" s="53" t="s">
        <v>2012</v>
      </c>
      <c r="B345" s="53" t="s">
        <v>1687</v>
      </c>
      <c r="D345" s="53" t="s">
        <v>2032</v>
      </c>
      <c r="E345" s="53" t="s">
        <v>2049</v>
      </c>
      <c r="F345" s="53" t="s">
        <v>2019</v>
      </c>
      <c r="G345" s="53" t="s">
        <v>2026</v>
      </c>
      <c r="H345" s="53">
        <v>1.0</v>
      </c>
      <c r="I345" s="53">
        <v>0.25</v>
      </c>
      <c r="J345" s="53">
        <v>7.0</v>
      </c>
      <c r="K345" s="53" t="s">
        <v>53</v>
      </c>
      <c r="L345" s="53" t="s">
        <v>53</v>
      </c>
    </row>
    <row r="346" ht="15.75" customHeight="1">
      <c r="A346" s="53" t="s">
        <v>2012</v>
      </c>
      <c r="B346" s="53" t="s">
        <v>1687</v>
      </c>
      <c r="D346" s="53" t="s">
        <v>2032</v>
      </c>
      <c r="E346" s="53" t="s">
        <v>2050</v>
      </c>
      <c r="F346" s="53" t="s">
        <v>2019</v>
      </c>
      <c r="G346" s="53" t="s">
        <v>2022</v>
      </c>
      <c r="H346" s="53">
        <v>1.0</v>
      </c>
      <c r="I346" s="53">
        <v>0.25625</v>
      </c>
      <c r="J346" s="53">
        <v>0.0</v>
      </c>
      <c r="K346" s="53" t="s">
        <v>53</v>
      </c>
      <c r="L346" s="53" t="s">
        <v>53</v>
      </c>
    </row>
    <row r="347" ht="15.75" customHeight="1">
      <c r="A347" s="53" t="s">
        <v>2012</v>
      </c>
      <c r="B347" s="53" t="s">
        <v>1687</v>
      </c>
      <c r="D347" s="53" t="s">
        <v>2032</v>
      </c>
      <c r="E347" s="53" t="s">
        <v>2051</v>
      </c>
      <c r="F347" s="53" t="s">
        <v>2019</v>
      </c>
      <c r="G347" s="53" t="s">
        <v>2020</v>
      </c>
      <c r="H347" s="53">
        <v>1.0</v>
      </c>
      <c r="I347" s="53">
        <v>0.30625</v>
      </c>
      <c r="J347" s="53">
        <v>9.0</v>
      </c>
      <c r="K347" s="53" t="s">
        <v>53</v>
      </c>
      <c r="L347" s="53" t="s">
        <v>53</v>
      </c>
    </row>
    <row r="348" ht="15.75" customHeight="1">
      <c r="A348" s="53" t="s">
        <v>2012</v>
      </c>
      <c r="B348" s="53" t="s">
        <v>1687</v>
      </c>
      <c r="D348" s="53" t="s">
        <v>2032</v>
      </c>
      <c r="E348" s="53" t="s">
        <v>2052</v>
      </c>
      <c r="F348" s="53" t="s">
        <v>2019</v>
      </c>
      <c r="G348" s="53" t="s">
        <v>2040</v>
      </c>
      <c r="H348" s="53">
        <v>1.0</v>
      </c>
      <c r="I348" s="53">
        <v>0.5172413793103449</v>
      </c>
      <c r="J348" s="53">
        <v>1.0</v>
      </c>
      <c r="K348" s="53" t="s">
        <v>53</v>
      </c>
      <c r="L348" s="53" t="s">
        <v>53</v>
      </c>
    </row>
    <row r="349" ht="15.75" customHeight="1">
      <c r="A349" s="53" t="s">
        <v>2012</v>
      </c>
      <c r="B349" s="53" t="s">
        <v>1687</v>
      </c>
      <c r="D349" s="53" t="s">
        <v>2032</v>
      </c>
      <c r="E349" s="53" t="s">
        <v>2053</v>
      </c>
      <c r="F349" s="53" t="s">
        <v>2019</v>
      </c>
      <c r="G349" s="53" t="s">
        <v>2042</v>
      </c>
      <c r="H349" s="53">
        <v>1.0</v>
      </c>
      <c r="I349" s="53">
        <v>0.6091370558375635</v>
      </c>
      <c r="J349" s="53">
        <v>2.0</v>
      </c>
      <c r="K349" s="53" t="s">
        <v>53</v>
      </c>
      <c r="L349" s="53" t="s">
        <v>53</v>
      </c>
    </row>
    <row r="350" ht="15.75" customHeight="1">
      <c r="A350" s="53" t="s">
        <v>2012</v>
      </c>
      <c r="B350" s="53" t="s">
        <v>1687</v>
      </c>
      <c r="D350" s="53" t="s">
        <v>2022</v>
      </c>
      <c r="E350" s="53" t="s">
        <v>2054</v>
      </c>
      <c r="F350" s="53" t="s">
        <v>2019</v>
      </c>
      <c r="G350" s="53" t="s">
        <v>2024</v>
      </c>
      <c r="H350" s="53">
        <v>1.0</v>
      </c>
      <c r="I350" s="53">
        <v>0.047619047619047616</v>
      </c>
      <c r="J350" s="53">
        <v>4.0</v>
      </c>
      <c r="K350" s="53" t="s">
        <v>53</v>
      </c>
      <c r="L350" s="53" t="s">
        <v>53</v>
      </c>
    </row>
    <row r="351" ht="15.75" customHeight="1">
      <c r="A351" s="53" t="s">
        <v>2012</v>
      </c>
      <c r="B351" s="53" t="s">
        <v>1687</v>
      </c>
      <c r="D351" s="53" t="s">
        <v>2022</v>
      </c>
      <c r="E351" s="53" t="s">
        <v>2055</v>
      </c>
      <c r="F351" s="53" t="s">
        <v>2019</v>
      </c>
      <c r="G351" s="53" t="s">
        <v>2026</v>
      </c>
      <c r="H351" s="53">
        <v>1.0</v>
      </c>
      <c r="I351" s="53">
        <v>0.047619047619047616</v>
      </c>
      <c r="J351" s="53">
        <v>6.0</v>
      </c>
      <c r="K351" s="53" t="s">
        <v>53</v>
      </c>
      <c r="L351" s="53" t="s">
        <v>53</v>
      </c>
    </row>
    <row r="352" ht="15.75" customHeight="1">
      <c r="A352" s="53" t="s">
        <v>2012</v>
      </c>
      <c r="B352" s="53" t="s">
        <v>1687</v>
      </c>
      <c r="D352" s="53" t="s">
        <v>2022</v>
      </c>
      <c r="E352" s="53" t="s">
        <v>2056</v>
      </c>
      <c r="F352" s="53" t="s">
        <v>2019</v>
      </c>
      <c r="G352" s="53" t="s">
        <v>2020</v>
      </c>
      <c r="H352" s="53">
        <v>1.0</v>
      </c>
      <c r="I352" s="53">
        <v>0.11904761904761904</v>
      </c>
      <c r="J352" s="53">
        <v>8.0</v>
      </c>
      <c r="K352" s="53" t="s">
        <v>53</v>
      </c>
      <c r="L352" s="53" t="s">
        <v>53</v>
      </c>
    </row>
    <row r="353" ht="15.75" customHeight="1">
      <c r="A353" s="53" t="s">
        <v>2012</v>
      </c>
      <c r="B353" s="53" t="s">
        <v>1687</v>
      </c>
      <c r="D353" s="53" t="s">
        <v>2022</v>
      </c>
      <c r="E353" s="53" t="s">
        <v>2057</v>
      </c>
      <c r="F353" s="53" t="s">
        <v>2019</v>
      </c>
      <c r="G353" s="53" t="s">
        <v>2028</v>
      </c>
      <c r="H353" s="53">
        <v>1.0</v>
      </c>
      <c r="I353" s="53">
        <v>0.16551724137931034</v>
      </c>
      <c r="J353" s="53">
        <v>5.0</v>
      </c>
      <c r="K353" s="53" t="s">
        <v>53</v>
      </c>
      <c r="L353" s="53" t="s">
        <v>53</v>
      </c>
    </row>
    <row r="354" ht="15.75" customHeight="1">
      <c r="A354" s="53" t="s">
        <v>2012</v>
      </c>
      <c r="B354" s="53" t="s">
        <v>1687</v>
      </c>
      <c r="D354" s="53" t="s">
        <v>2022</v>
      </c>
      <c r="E354" s="53" t="s">
        <v>2058</v>
      </c>
      <c r="F354" s="53" t="s">
        <v>2019</v>
      </c>
      <c r="G354" s="53" t="s">
        <v>2030</v>
      </c>
      <c r="H354" s="53">
        <v>1.0</v>
      </c>
      <c r="I354" s="53">
        <v>0.1793103448275862</v>
      </c>
      <c r="J354" s="53">
        <v>9.0</v>
      </c>
      <c r="K354" s="53" t="s">
        <v>53</v>
      </c>
      <c r="L354" s="53" t="s">
        <v>53</v>
      </c>
    </row>
    <row r="355" ht="15.75" customHeight="1">
      <c r="A355" s="53" t="s">
        <v>2012</v>
      </c>
      <c r="B355" s="53" t="s">
        <v>1687</v>
      </c>
      <c r="D355" s="53" t="s">
        <v>2022</v>
      </c>
      <c r="E355" s="53" t="s">
        <v>2059</v>
      </c>
      <c r="F355" s="53" t="s">
        <v>2019</v>
      </c>
      <c r="G355" s="53" t="s">
        <v>2034</v>
      </c>
      <c r="H355" s="53">
        <v>1.0</v>
      </c>
      <c r="I355" s="53">
        <v>0.25625</v>
      </c>
      <c r="J355" s="53">
        <v>7.0</v>
      </c>
      <c r="K355" s="53" t="s">
        <v>53</v>
      </c>
      <c r="L355" s="53" t="s">
        <v>53</v>
      </c>
    </row>
    <row r="356" ht="15.75" customHeight="1">
      <c r="A356" s="53" t="s">
        <v>2012</v>
      </c>
      <c r="B356" s="53" t="s">
        <v>1687</v>
      </c>
      <c r="D356" s="53" t="s">
        <v>2022</v>
      </c>
      <c r="E356" s="53" t="s">
        <v>2060</v>
      </c>
      <c r="F356" s="53" t="s">
        <v>2019</v>
      </c>
      <c r="G356" s="53" t="s">
        <v>2036</v>
      </c>
      <c r="H356" s="53">
        <v>1.0</v>
      </c>
      <c r="I356" s="53">
        <v>0.3314917127071823</v>
      </c>
      <c r="J356" s="53">
        <v>2.0</v>
      </c>
      <c r="K356" s="53" t="s">
        <v>53</v>
      </c>
      <c r="L356" s="53" t="s">
        <v>53</v>
      </c>
    </row>
    <row r="357" ht="15.75" customHeight="1">
      <c r="A357" s="53" t="s">
        <v>2012</v>
      </c>
      <c r="B357" s="53" t="s">
        <v>1687</v>
      </c>
      <c r="D357" s="53" t="s">
        <v>2022</v>
      </c>
      <c r="E357" s="53" t="s">
        <v>2061</v>
      </c>
      <c r="F357" s="53" t="s">
        <v>2019</v>
      </c>
      <c r="G357" s="53" t="s">
        <v>2038</v>
      </c>
      <c r="H357" s="53">
        <v>1.0</v>
      </c>
      <c r="I357" s="53">
        <v>0.4166666666666667</v>
      </c>
      <c r="J357" s="53">
        <v>3.0</v>
      </c>
      <c r="K357" s="53" t="s">
        <v>53</v>
      </c>
      <c r="L357" s="53" t="s">
        <v>53</v>
      </c>
    </row>
    <row r="358" ht="15.75" customHeight="1">
      <c r="A358" s="53" t="s">
        <v>2012</v>
      </c>
      <c r="B358" s="53" t="s">
        <v>1687</v>
      </c>
      <c r="D358" s="53" t="s">
        <v>2022</v>
      </c>
      <c r="E358" s="53" t="s">
        <v>2062</v>
      </c>
      <c r="F358" s="53" t="s">
        <v>2019</v>
      </c>
      <c r="G358" s="53" t="s">
        <v>2040</v>
      </c>
      <c r="H358" s="53">
        <v>1.0</v>
      </c>
      <c r="I358" s="53">
        <v>0.6269592476489029</v>
      </c>
      <c r="J358" s="53">
        <v>0.0</v>
      </c>
      <c r="K358" s="53" t="s">
        <v>53</v>
      </c>
      <c r="L358" s="53" t="s">
        <v>53</v>
      </c>
    </row>
    <row r="359" ht="15.75" customHeight="1">
      <c r="A359" s="53" t="s">
        <v>2012</v>
      </c>
      <c r="B359" s="53" t="s">
        <v>1687</v>
      </c>
      <c r="D359" s="53" t="s">
        <v>2022</v>
      </c>
      <c r="E359" s="53" t="s">
        <v>2063</v>
      </c>
      <c r="F359" s="53" t="s">
        <v>2019</v>
      </c>
      <c r="G359" s="53" t="s">
        <v>2042</v>
      </c>
      <c r="H359" s="53">
        <v>1.0</v>
      </c>
      <c r="I359" s="53">
        <v>0.700507614213198</v>
      </c>
      <c r="J359" s="53">
        <v>1.0</v>
      </c>
      <c r="K359" s="53" t="s">
        <v>53</v>
      </c>
      <c r="L359" s="53" t="s">
        <v>53</v>
      </c>
    </row>
    <row r="360" ht="15.75" customHeight="1">
      <c r="A360" s="53" t="s">
        <v>2012</v>
      </c>
      <c r="B360" s="53" t="s">
        <v>1687</v>
      </c>
      <c r="D360" s="53" t="s">
        <v>2040</v>
      </c>
      <c r="E360" s="53" t="s">
        <v>2064</v>
      </c>
      <c r="F360" s="53" t="s">
        <v>2019</v>
      </c>
      <c r="G360" s="53" t="s">
        <v>2042</v>
      </c>
      <c r="H360" s="53">
        <v>1.0</v>
      </c>
      <c r="I360" s="53">
        <v>0.20050761421319796</v>
      </c>
      <c r="J360" s="53">
        <v>0.0</v>
      </c>
      <c r="K360" s="53" t="s">
        <v>53</v>
      </c>
      <c r="L360" s="53" t="s">
        <v>53</v>
      </c>
    </row>
    <row r="361" ht="15.75" customHeight="1">
      <c r="A361" s="53" t="s">
        <v>2012</v>
      </c>
      <c r="B361" s="53" t="s">
        <v>1687</v>
      </c>
      <c r="D361" s="53" t="s">
        <v>2040</v>
      </c>
      <c r="E361" s="53" t="s">
        <v>2065</v>
      </c>
      <c r="F361" s="53" t="s">
        <v>2019</v>
      </c>
      <c r="G361" s="53" t="s">
        <v>2038</v>
      </c>
      <c r="H361" s="53">
        <v>1.0</v>
      </c>
      <c r="I361" s="53">
        <v>0.36363636363636365</v>
      </c>
      <c r="J361" s="53">
        <v>2.0</v>
      </c>
      <c r="K361" s="53" t="s">
        <v>53</v>
      </c>
      <c r="L361" s="53" t="s">
        <v>53</v>
      </c>
    </row>
    <row r="362" ht="15.75" customHeight="1">
      <c r="A362" s="53" t="s">
        <v>2012</v>
      </c>
      <c r="B362" s="53" t="s">
        <v>1687</v>
      </c>
      <c r="D362" s="53" t="s">
        <v>2040</v>
      </c>
      <c r="E362" s="53" t="s">
        <v>2066</v>
      </c>
      <c r="F362" s="53" t="s">
        <v>2019</v>
      </c>
      <c r="G362" s="53" t="s">
        <v>2036</v>
      </c>
      <c r="H362" s="53">
        <v>1.0</v>
      </c>
      <c r="I362" s="53">
        <v>0.45768025078369906</v>
      </c>
      <c r="J362" s="53">
        <v>1.0</v>
      </c>
      <c r="K362" s="53" t="s">
        <v>53</v>
      </c>
      <c r="L362" s="53" t="s">
        <v>53</v>
      </c>
    </row>
    <row r="363" ht="15.75" customHeight="1">
      <c r="A363" s="53" t="s">
        <v>2012</v>
      </c>
      <c r="B363" s="53" t="s">
        <v>1687</v>
      </c>
      <c r="D363" s="53" t="s">
        <v>2040</v>
      </c>
      <c r="E363" s="53" t="s">
        <v>2067</v>
      </c>
      <c r="F363" s="53" t="s">
        <v>2019</v>
      </c>
      <c r="G363" s="53" t="s">
        <v>2034</v>
      </c>
      <c r="H363" s="53">
        <v>1.0</v>
      </c>
      <c r="I363" s="53">
        <v>0.5172413793103449</v>
      </c>
      <c r="J363" s="53">
        <v>6.0</v>
      </c>
      <c r="K363" s="53" t="s">
        <v>53</v>
      </c>
      <c r="L363" s="53" t="s">
        <v>53</v>
      </c>
    </row>
    <row r="364" ht="15.75" customHeight="1">
      <c r="A364" s="53" t="s">
        <v>2012</v>
      </c>
      <c r="B364" s="53" t="s">
        <v>1687</v>
      </c>
      <c r="D364" s="53" t="s">
        <v>2040</v>
      </c>
      <c r="E364" s="53" t="s">
        <v>2068</v>
      </c>
      <c r="F364" s="53" t="s">
        <v>2019</v>
      </c>
      <c r="G364" s="53" t="s">
        <v>2030</v>
      </c>
      <c r="H364" s="53">
        <v>1.0</v>
      </c>
      <c r="I364" s="53">
        <v>0.5611285266457681</v>
      </c>
      <c r="J364" s="53">
        <v>8.0</v>
      </c>
      <c r="K364" s="53" t="s">
        <v>53</v>
      </c>
      <c r="L364" s="53" t="s">
        <v>53</v>
      </c>
    </row>
    <row r="365" ht="15.75" customHeight="1">
      <c r="A365" s="53" t="s">
        <v>2012</v>
      </c>
      <c r="B365" s="53" t="s">
        <v>1687</v>
      </c>
      <c r="D365" s="53" t="s">
        <v>2040</v>
      </c>
      <c r="E365" s="53" t="s">
        <v>2069</v>
      </c>
      <c r="F365" s="53" t="s">
        <v>2019</v>
      </c>
      <c r="G365" s="53" t="s">
        <v>2028</v>
      </c>
      <c r="H365" s="53">
        <v>1.0</v>
      </c>
      <c r="I365" s="53">
        <v>0.5642633228840125</v>
      </c>
      <c r="J365" s="53">
        <v>4.0</v>
      </c>
      <c r="K365" s="53" t="s">
        <v>53</v>
      </c>
      <c r="L365" s="53" t="s">
        <v>53</v>
      </c>
    </row>
    <row r="366" ht="15.75" customHeight="1">
      <c r="A366" s="53" t="s">
        <v>2012</v>
      </c>
      <c r="B366" s="53" t="s">
        <v>1687</v>
      </c>
      <c r="D366" s="53" t="s">
        <v>2040</v>
      </c>
      <c r="E366" s="53" t="s">
        <v>2070</v>
      </c>
      <c r="F366" s="53" t="s">
        <v>2019</v>
      </c>
      <c r="G366" s="53" t="s">
        <v>2026</v>
      </c>
      <c r="H366" s="53">
        <v>1.0</v>
      </c>
      <c r="I366" s="53">
        <v>0.6175548589341693</v>
      </c>
      <c r="J366" s="53">
        <v>5.0</v>
      </c>
      <c r="K366" s="53" t="s">
        <v>53</v>
      </c>
      <c r="L366" s="53" t="s">
        <v>53</v>
      </c>
    </row>
    <row r="367" ht="15.75" customHeight="1">
      <c r="A367" s="53" t="s">
        <v>2012</v>
      </c>
      <c r="B367" s="53" t="s">
        <v>1687</v>
      </c>
      <c r="D367" s="53" t="s">
        <v>2040</v>
      </c>
      <c r="E367" s="53" t="s">
        <v>2071</v>
      </c>
      <c r="F367" s="53" t="s">
        <v>2019</v>
      </c>
      <c r="G367" s="53" t="s">
        <v>2024</v>
      </c>
      <c r="H367" s="53">
        <v>1.0</v>
      </c>
      <c r="I367" s="53">
        <v>0.6206896551724138</v>
      </c>
      <c r="J367" s="53">
        <v>3.0</v>
      </c>
      <c r="K367" s="53" t="s">
        <v>53</v>
      </c>
      <c r="L367" s="53" t="s">
        <v>53</v>
      </c>
    </row>
    <row r="368" ht="15.75" customHeight="1">
      <c r="A368" s="53" t="s">
        <v>2012</v>
      </c>
      <c r="B368" s="53" t="s">
        <v>1687</v>
      </c>
      <c r="D368" s="53" t="s">
        <v>2040</v>
      </c>
      <c r="E368" s="53" t="s">
        <v>2072</v>
      </c>
      <c r="F368" s="53" t="s">
        <v>2019</v>
      </c>
      <c r="G368" s="53" t="s">
        <v>2020</v>
      </c>
      <c r="H368" s="53">
        <v>1.0</v>
      </c>
      <c r="I368" s="53">
        <v>0.6614420062695925</v>
      </c>
      <c r="J368" s="53">
        <v>7.0</v>
      </c>
      <c r="K368" s="53" t="s">
        <v>53</v>
      </c>
      <c r="L368" s="53" t="s">
        <v>53</v>
      </c>
    </row>
    <row r="369" ht="15.75" customHeight="1">
      <c r="A369" s="53" t="s">
        <v>2012</v>
      </c>
      <c r="B369" s="53" t="s">
        <v>1687</v>
      </c>
      <c r="D369" s="53" t="s">
        <v>2042</v>
      </c>
      <c r="E369" s="53" t="s">
        <v>2073</v>
      </c>
      <c r="F369" s="53" t="s">
        <v>2019</v>
      </c>
      <c r="G369" s="53" t="s">
        <v>2038</v>
      </c>
      <c r="H369" s="53">
        <v>1.0</v>
      </c>
      <c r="I369" s="53">
        <v>0.49238578680203043</v>
      </c>
      <c r="J369" s="53">
        <v>1.0</v>
      </c>
      <c r="K369" s="53" t="s">
        <v>53</v>
      </c>
      <c r="L369" s="53" t="s">
        <v>53</v>
      </c>
    </row>
    <row r="370" ht="15.75" customHeight="1">
      <c r="A370" s="53" t="s">
        <v>2012</v>
      </c>
      <c r="B370" s="53" t="s">
        <v>1687</v>
      </c>
      <c r="D370" s="53" t="s">
        <v>2042</v>
      </c>
      <c r="E370" s="53" t="s">
        <v>2074</v>
      </c>
      <c r="F370" s="53" t="s">
        <v>2019</v>
      </c>
      <c r="G370" s="53" t="s">
        <v>2036</v>
      </c>
      <c r="H370" s="53">
        <v>1.0</v>
      </c>
      <c r="I370" s="53">
        <v>0.5583756345177665</v>
      </c>
      <c r="J370" s="53">
        <v>0.0</v>
      </c>
      <c r="K370" s="53" t="s">
        <v>53</v>
      </c>
      <c r="L370" s="53" t="s">
        <v>53</v>
      </c>
    </row>
    <row r="371" ht="15.75" customHeight="1">
      <c r="A371" s="53" t="s">
        <v>2012</v>
      </c>
      <c r="B371" s="53" t="s">
        <v>1687</v>
      </c>
      <c r="D371" s="53" t="s">
        <v>2042</v>
      </c>
      <c r="E371" s="53" t="s">
        <v>2075</v>
      </c>
      <c r="F371" s="53" t="s">
        <v>2019</v>
      </c>
      <c r="G371" s="53" t="s">
        <v>2034</v>
      </c>
      <c r="H371" s="53">
        <v>1.0</v>
      </c>
      <c r="I371" s="53">
        <v>0.6065989847715736</v>
      </c>
      <c r="J371" s="53">
        <v>5.0</v>
      </c>
      <c r="K371" s="53" t="s">
        <v>53</v>
      </c>
      <c r="L371" s="53" t="s">
        <v>53</v>
      </c>
    </row>
    <row r="372" ht="15.75" customHeight="1">
      <c r="A372" s="53" t="s">
        <v>2012</v>
      </c>
      <c r="B372" s="53" t="s">
        <v>1687</v>
      </c>
      <c r="D372" s="53" t="s">
        <v>2042</v>
      </c>
      <c r="E372" s="53" t="s">
        <v>2076</v>
      </c>
      <c r="F372" s="53" t="s">
        <v>2019</v>
      </c>
      <c r="G372" s="53" t="s">
        <v>2030</v>
      </c>
      <c r="H372" s="53">
        <v>1.0</v>
      </c>
      <c r="I372" s="53">
        <v>0.6446700507614214</v>
      </c>
      <c r="J372" s="53">
        <v>7.0</v>
      </c>
      <c r="K372" s="53" t="s">
        <v>53</v>
      </c>
      <c r="L372" s="53" t="s">
        <v>53</v>
      </c>
    </row>
    <row r="373" ht="15.75" customHeight="1">
      <c r="A373" s="53" t="s">
        <v>2012</v>
      </c>
      <c r="B373" s="53" t="s">
        <v>1687</v>
      </c>
      <c r="D373" s="53" t="s">
        <v>2042</v>
      </c>
      <c r="E373" s="53" t="s">
        <v>2077</v>
      </c>
      <c r="F373" s="53" t="s">
        <v>2019</v>
      </c>
      <c r="G373" s="53" t="s">
        <v>2028</v>
      </c>
      <c r="H373" s="53">
        <v>1.0</v>
      </c>
      <c r="I373" s="53">
        <v>0.6472081218274112</v>
      </c>
      <c r="J373" s="53">
        <v>3.0</v>
      </c>
      <c r="K373" s="53" t="s">
        <v>53</v>
      </c>
      <c r="L373" s="53" t="s">
        <v>53</v>
      </c>
    </row>
    <row r="374" ht="15.75" customHeight="1">
      <c r="A374" s="53" t="s">
        <v>2012</v>
      </c>
      <c r="B374" s="53" t="s">
        <v>1687</v>
      </c>
      <c r="D374" s="53" t="s">
        <v>2042</v>
      </c>
      <c r="E374" s="53" t="s">
        <v>2078</v>
      </c>
      <c r="F374" s="53" t="s">
        <v>2019</v>
      </c>
      <c r="G374" s="53" t="s">
        <v>2026</v>
      </c>
      <c r="H374" s="53">
        <v>1.0</v>
      </c>
      <c r="I374" s="53">
        <v>0.6954314720812182</v>
      </c>
      <c r="J374" s="53">
        <v>4.0</v>
      </c>
      <c r="K374" s="53" t="s">
        <v>53</v>
      </c>
      <c r="L374" s="53" t="s">
        <v>53</v>
      </c>
    </row>
    <row r="375" ht="15.75" customHeight="1">
      <c r="A375" s="53" t="s">
        <v>2012</v>
      </c>
      <c r="B375" s="53" t="s">
        <v>1687</v>
      </c>
      <c r="D375" s="53" t="s">
        <v>2042</v>
      </c>
      <c r="E375" s="53" t="s">
        <v>2079</v>
      </c>
      <c r="F375" s="53" t="s">
        <v>2019</v>
      </c>
      <c r="G375" s="53" t="s">
        <v>2024</v>
      </c>
      <c r="H375" s="53">
        <v>1.0</v>
      </c>
      <c r="I375" s="53">
        <v>0.6979695431472082</v>
      </c>
      <c r="J375" s="53">
        <v>2.0</v>
      </c>
      <c r="K375" s="53" t="s">
        <v>53</v>
      </c>
      <c r="L375" s="53" t="s">
        <v>53</v>
      </c>
    </row>
    <row r="376" ht="15.75" customHeight="1">
      <c r="A376" s="53" t="s">
        <v>2012</v>
      </c>
      <c r="B376" s="53" t="s">
        <v>1687</v>
      </c>
      <c r="D376" s="53" t="s">
        <v>2042</v>
      </c>
      <c r="E376" s="53" t="s">
        <v>2080</v>
      </c>
      <c r="F376" s="53" t="s">
        <v>2019</v>
      </c>
      <c r="G376" s="53" t="s">
        <v>2020</v>
      </c>
      <c r="H376" s="53">
        <v>1.0</v>
      </c>
      <c r="I376" s="53">
        <v>0.7233502538071066</v>
      </c>
      <c r="J376" s="53">
        <v>6.0</v>
      </c>
      <c r="K376" s="53" t="s">
        <v>53</v>
      </c>
      <c r="L376" s="53" t="s">
        <v>53</v>
      </c>
    </row>
    <row r="377" ht="15.75" customHeight="1">
      <c r="A377" s="53" t="s">
        <v>2012</v>
      </c>
      <c r="B377" s="53" t="s">
        <v>1687</v>
      </c>
      <c r="D377" s="53" t="s">
        <v>2036</v>
      </c>
      <c r="E377" s="53" t="s">
        <v>2081</v>
      </c>
      <c r="F377" s="53" t="s">
        <v>2019</v>
      </c>
      <c r="G377" s="53" t="s">
        <v>2034</v>
      </c>
      <c r="H377" s="53">
        <v>1.0</v>
      </c>
      <c r="I377" s="53">
        <v>0.143646408839779</v>
      </c>
      <c r="J377" s="53">
        <v>4.0</v>
      </c>
      <c r="K377" s="53" t="s">
        <v>53</v>
      </c>
      <c r="L377" s="53" t="s">
        <v>53</v>
      </c>
    </row>
    <row r="378" ht="15.75" customHeight="1">
      <c r="A378" s="53" t="s">
        <v>2012</v>
      </c>
      <c r="B378" s="53" t="s">
        <v>1687</v>
      </c>
      <c r="D378" s="53" t="s">
        <v>2036</v>
      </c>
      <c r="E378" s="53" t="s">
        <v>2082</v>
      </c>
      <c r="F378" s="53" t="s">
        <v>2019</v>
      </c>
      <c r="G378" s="53" t="s">
        <v>2038</v>
      </c>
      <c r="H378" s="53">
        <v>1.0</v>
      </c>
      <c r="I378" s="53">
        <v>0.15196078431372548</v>
      </c>
      <c r="J378" s="53">
        <v>0.0</v>
      </c>
      <c r="K378" s="53" t="s">
        <v>53</v>
      </c>
      <c r="L378" s="53" t="s">
        <v>53</v>
      </c>
    </row>
    <row r="379" ht="15.75" customHeight="1">
      <c r="A379" s="53" t="s">
        <v>2012</v>
      </c>
      <c r="B379" s="53" t="s">
        <v>1687</v>
      </c>
      <c r="D379" s="53" t="s">
        <v>2036</v>
      </c>
      <c r="E379" s="53" t="s">
        <v>2083</v>
      </c>
      <c r="F379" s="53" t="s">
        <v>2019</v>
      </c>
      <c r="G379" s="53" t="s">
        <v>2030</v>
      </c>
      <c r="H379" s="53">
        <v>1.0</v>
      </c>
      <c r="I379" s="53">
        <v>0.2265193370165746</v>
      </c>
      <c r="J379" s="53">
        <v>6.0</v>
      </c>
      <c r="K379" s="53" t="s">
        <v>53</v>
      </c>
      <c r="L379" s="53" t="s">
        <v>53</v>
      </c>
    </row>
    <row r="380" ht="15.75" customHeight="1">
      <c r="A380" s="53" t="s">
        <v>2012</v>
      </c>
      <c r="B380" s="53" t="s">
        <v>1687</v>
      </c>
      <c r="D380" s="53" t="s">
        <v>2036</v>
      </c>
      <c r="E380" s="53" t="s">
        <v>2084</v>
      </c>
      <c r="F380" s="53" t="s">
        <v>2019</v>
      </c>
      <c r="G380" s="53" t="s">
        <v>2028</v>
      </c>
      <c r="H380" s="53">
        <v>1.0</v>
      </c>
      <c r="I380" s="53">
        <v>0.2265193370165746</v>
      </c>
      <c r="J380" s="53">
        <v>2.0</v>
      </c>
      <c r="K380" s="53" t="s">
        <v>53</v>
      </c>
      <c r="L380" s="53" t="s">
        <v>53</v>
      </c>
    </row>
    <row r="381" ht="15.75" customHeight="1">
      <c r="A381" s="53" t="s">
        <v>2012</v>
      </c>
      <c r="B381" s="53" t="s">
        <v>1687</v>
      </c>
      <c r="D381" s="53" t="s">
        <v>2036</v>
      </c>
      <c r="E381" s="53" t="s">
        <v>2085</v>
      </c>
      <c r="F381" s="53" t="s">
        <v>2019</v>
      </c>
      <c r="G381" s="53" t="s">
        <v>2024</v>
      </c>
      <c r="H381" s="53">
        <v>1.0</v>
      </c>
      <c r="I381" s="53">
        <v>0.3370165745856354</v>
      </c>
      <c r="J381" s="53">
        <v>1.0</v>
      </c>
      <c r="K381" s="53" t="s">
        <v>53</v>
      </c>
      <c r="L381" s="53" t="s">
        <v>53</v>
      </c>
    </row>
    <row r="382" ht="15.75" customHeight="1">
      <c r="A382" s="53" t="s">
        <v>2012</v>
      </c>
      <c r="B382" s="53" t="s">
        <v>1687</v>
      </c>
      <c r="D382" s="53" t="s">
        <v>2036</v>
      </c>
      <c r="E382" s="53" t="s">
        <v>2086</v>
      </c>
      <c r="F382" s="53" t="s">
        <v>2019</v>
      </c>
      <c r="G382" s="53" t="s">
        <v>2026</v>
      </c>
      <c r="H382" s="53">
        <v>1.0</v>
      </c>
      <c r="I382" s="53">
        <v>0.3370165745856354</v>
      </c>
      <c r="J382" s="53">
        <v>3.0</v>
      </c>
      <c r="K382" s="53" t="s">
        <v>53</v>
      </c>
      <c r="L382" s="53" t="s">
        <v>53</v>
      </c>
    </row>
    <row r="383" ht="15.75" customHeight="1">
      <c r="A383" s="53" t="s">
        <v>2012</v>
      </c>
      <c r="B383" s="53" t="s">
        <v>1687</v>
      </c>
      <c r="D383" s="53" t="s">
        <v>2036</v>
      </c>
      <c r="E383" s="53" t="s">
        <v>2087</v>
      </c>
      <c r="F383" s="53" t="s">
        <v>2019</v>
      </c>
      <c r="G383" s="53" t="s">
        <v>2020</v>
      </c>
      <c r="H383" s="53">
        <v>1.0</v>
      </c>
      <c r="I383" s="53">
        <v>0.3701657458563536</v>
      </c>
      <c r="J383" s="53">
        <v>5.0</v>
      </c>
      <c r="K383" s="53" t="s">
        <v>53</v>
      </c>
      <c r="L383" s="53" t="s">
        <v>53</v>
      </c>
    </row>
    <row r="384" ht="15.75" customHeight="1">
      <c r="A384" s="53" t="s">
        <v>2012</v>
      </c>
      <c r="B384" s="53" t="s">
        <v>1687</v>
      </c>
      <c r="D384" s="53" t="s">
        <v>2038</v>
      </c>
      <c r="E384" s="53" t="s">
        <v>2088</v>
      </c>
      <c r="F384" s="53" t="s">
        <v>2019</v>
      </c>
      <c r="G384" s="53" t="s">
        <v>2034</v>
      </c>
      <c r="H384" s="53">
        <v>1.0</v>
      </c>
      <c r="I384" s="53">
        <v>0.24509803921568626</v>
      </c>
      <c r="J384" s="53">
        <v>3.0</v>
      </c>
      <c r="K384" s="53" t="s">
        <v>53</v>
      </c>
      <c r="L384" s="53" t="s">
        <v>53</v>
      </c>
    </row>
    <row r="385" ht="15.75" customHeight="1">
      <c r="A385" s="53" t="s">
        <v>2012</v>
      </c>
      <c r="B385" s="53" t="s">
        <v>1687</v>
      </c>
      <c r="D385" s="53" t="s">
        <v>2038</v>
      </c>
      <c r="E385" s="53" t="s">
        <v>2089</v>
      </c>
      <c r="F385" s="53" t="s">
        <v>2019</v>
      </c>
      <c r="G385" s="53" t="s">
        <v>2030</v>
      </c>
      <c r="H385" s="53">
        <v>1.0</v>
      </c>
      <c r="I385" s="53">
        <v>0.3137254901960784</v>
      </c>
      <c r="J385" s="53">
        <v>5.0</v>
      </c>
      <c r="K385" s="53" t="s">
        <v>53</v>
      </c>
      <c r="L385" s="53" t="s">
        <v>53</v>
      </c>
    </row>
    <row r="386" ht="15.75" customHeight="1">
      <c r="A386" s="53" t="s">
        <v>2012</v>
      </c>
      <c r="B386" s="53" t="s">
        <v>1687</v>
      </c>
      <c r="D386" s="53" t="s">
        <v>2038</v>
      </c>
      <c r="E386" s="53" t="s">
        <v>2090</v>
      </c>
      <c r="F386" s="53" t="s">
        <v>2019</v>
      </c>
      <c r="G386" s="53" t="s">
        <v>2028</v>
      </c>
      <c r="H386" s="53">
        <v>1.0</v>
      </c>
      <c r="I386" s="53">
        <v>0.31862745098039214</v>
      </c>
      <c r="J386" s="53">
        <v>1.0</v>
      </c>
      <c r="K386" s="53" t="s">
        <v>53</v>
      </c>
      <c r="L386" s="53" t="s">
        <v>53</v>
      </c>
    </row>
    <row r="387" ht="15.75" customHeight="1">
      <c r="A387" s="53" t="s">
        <v>2012</v>
      </c>
      <c r="B387" s="53" t="s">
        <v>1687</v>
      </c>
      <c r="D387" s="53" t="s">
        <v>2038</v>
      </c>
      <c r="E387" s="53" t="s">
        <v>2091</v>
      </c>
      <c r="F387" s="53" t="s">
        <v>2019</v>
      </c>
      <c r="G387" s="53" t="s">
        <v>2026</v>
      </c>
      <c r="H387" s="53">
        <v>1.0</v>
      </c>
      <c r="I387" s="53">
        <v>0.4019607843137255</v>
      </c>
      <c r="J387" s="53">
        <v>2.0</v>
      </c>
      <c r="K387" s="53" t="s">
        <v>53</v>
      </c>
      <c r="L387" s="53" t="s">
        <v>53</v>
      </c>
    </row>
    <row r="388" ht="15.75" customHeight="1">
      <c r="A388" s="53" t="s">
        <v>2012</v>
      </c>
      <c r="B388" s="53" t="s">
        <v>1687</v>
      </c>
      <c r="D388" s="53" t="s">
        <v>2038</v>
      </c>
      <c r="E388" s="53" t="s">
        <v>2092</v>
      </c>
      <c r="F388" s="53" t="s">
        <v>2019</v>
      </c>
      <c r="G388" s="53" t="s">
        <v>2024</v>
      </c>
      <c r="H388" s="53">
        <v>1.0</v>
      </c>
      <c r="I388" s="53">
        <v>0.4068627450980392</v>
      </c>
      <c r="J388" s="53">
        <v>0.0</v>
      </c>
      <c r="K388" s="53" t="s">
        <v>53</v>
      </c>
      <c r="L388" s="53" t="s">
        <v>53</v>
      </c>
    </row>
    <row r="389" ht="15.75" customHeight="1">
      <c r="A389" s="53" t="s">
        <v>2012</v>
      </c>
      <c r="B389" s="53" t="s">
        <v>1687</v>
      </c>
      <c r="D389" s="53" t="s">
        <v>2038</v>
      </c>
      <c r="E389" s="53" t="s">
        <v>2093</v>
      </c>
      <c r="F389" s="53" t="s">
        <v>2019</v>
      </c>
      <c r="G389" s="53" t="s">
        <v>2020</v>
      </c>
      <c r="H389" s="53">
        <v>1.0</v>
      </c>
      <c r="I389" s="53">
        <v>0.47058823529411764</v>
      </c>
      <c r="J389" s="53">
        <v>4.0</v>
      </c>
      <c r="K389" s="53" t="s">
        <v>53</v>
      </c>
      <c r="L389" s="53" t="s">
        <v>53</v>
      </c>
    </row>
    <row r="390" ht="15.75" customHeight="1">
      <c r="A390" s="53" t="s">
        <v>2012</v>
      </c>
      <c r="B390" s="53" t="s">
        <v>1687</v>
      </c>
      <c r="D390" s="53" t="s">
        <v>2024</v>
      </c>
      <c r="E390" s="53" t="s">
        <v>2094</v>
      </c>
      <c r="F390" s="53" t="s">
        <v>2019</v>
      </c>
      <c r="G390" s="53" t="s">
        <v>2026</v>
      </c>
      <c r="H390" s="53">
        <v>1.0</v>
      </c>
      <c r="I390" s="53">
        <v>0.032</v>
      </c>
      <c r="J390" s="53">
        <v>1.0</v>
      </c>
      <c r="K390" s="53" t="s">
        <v>53</v>
      </c>
      <c r="L390" s="53" t="s">
        <v>53</v>
      </c>
    </row>
    <row r="391" ht="15.75" customHeight="1">
      <c r="A391" s="53" t="s">
        <v>2012</v>
      </c>
      <c r="B391" s="53" t="s">
        <v>1687</v>
      </c>
      <c r="D391" s="53" t="s">
        <v>2024</v>
      </c>
      <c r="E391" s="53" t="s">
        <v>2095</v>
      </c>
      <c r="F391" s="53" t="s">
        <v>2019</v>
      </c>
      <c r="G391" s="53" t="s">
        <v>2020</v>
      </c>
      <c r="H391" s="53">
        <v>1.0</v>
      </c>
      <c r="I391" s="53">
        <v>0.12</v>
      </c>
      <c r="J391" s="53">
        <v>3.0</v>
      </c>
      <c r="K391" s="53" t="s">
        <v>53</v>
      </c>
      <c r="L391" s="53" t="s">
        <v>53</v>
      </c>
    </row>
    <row r="392" ht="15.75" customHeight="1">
      <c r="A392" s="53" t="s">
        <v>2012</v>
      </c>
      <c r="B392" s="53" t="s">
        <v>1687</v>
      </c>
      <c r="D392" s="53" t="s">
        <v>2024</v>
      </c>
      <c r="E392" s="53" t="s">
        <v>2096</v>
      </c>
      <c r="F392" s="53" t="s">
        <v>2019</v>
      </c>
      <c r="G392" s="53" t="s">
        <v>2030</v>
      </c>
      <c r="H392" s="53">
        <v>1.0</v>
      </c>
      <c r="I392" s="53">
        <v>0.16551724137931034</v>
      </c>
      <c r="J392" s="53">
        <v>4.0</v>
      </c>
      <c r="K392" s="53" t="s">
        <v>53</v>
      </c>
      <c r="L392" s="53" t="s">
        <v>53</v>
      </c>
    </row>
    <row r="393" ht="15.75" customHeight="1">
      <c r="A393" s="53" t="s">
        <v>2012</v>
      </c>
      <c r="B393" s="53" t="s">
        <v>1687</v>
      </c>
      <c r="D393" s="53" t="s">
        <v>2024</v>
      </c>
      <c r="E393" s="53" t="s">
        <v>2097</v>
      </c>
      <c r="F393" s="53" t="s">
        <v>2019</v>
      </c>
      <c r="G393" s="53" t="s">
        <v>2028</v>
      </c>
      <c r="H393" s="53">
        <v>1.0</v>
      </c>
      <c r="I393" s="53">
        <v>0.16551724137931034</v>
      </c>
      <c r="J393" s="53">
        <v>0.0</v>
      </c>
      <c r="K393" s="53" t="s">
        <v>53</v>
      </c>
      <c r="L393" s="53" t="s">
        <v>53</v>
      </c>
    </row>
    <row r="394" ht="15.75" customHeight="1">
      <c r="A394" s="53" t="s">
        <v>2012</v>
      </c>
      <c r="B394" s="53" t="s">
        <v>1687</v>
      </c>
      <c r="D394" s="53" t="s">
        <v>2024</v>
      </c>
      <c r="E394" s="53" t="s">
        <v>2098</v>
      </c>
      <c r="F394" s="53" t="s">
        <v>2019</v>
      </c>
      <c r="G394" s="53" t="s">
        <v>2034</v>
      </c>
      <c r="H394" s="53">
        <v>1.0</v>
      </c>
      <c r="I394" s="53">
        <v>0.25</v>
      </c>
      <c r="J394" s="53">
        <v>2.0</v>
      </c>
      <c r="K394" s="53" t="s">
        <v>53</v>
      </c>
      <c r="L394" s="53" t="s">
        <v>53</v>
      </c>
    </row>
    <row r="395" ht="15.75" customHeight="1">
      <c r="A395" s="53" t="s">
        <v>2012</v>
      </c>
      <c r="B395" s="53" t="s">
        <v>1687</v>
      </c>
      <c r="D395" s="53" t="s">
        <v>2028</v>
      </c>
      <c r="E395" s="53" t="s">
        <v>2099</v>
      </c>
      <c r="F395" s="53" t="s">
        <v>2019</v>
      </c>
      <c r="G395" s="53" t="s">
        <v>2030</v>
      </c>
      <c r="H395" s="53">
        <v>1.0</v>
      </c>
      <c r="I395" s="53">
        <v>0.034482758620689655</v>
      </c>
      <c r="J395" s="53">
        <v>3.0</v>
      </c>
      <c r="K395" s="53" t="s">
        <v>53</v>
      </c>
      <c r="L395" s="53" t="s">
        <v>53</v>
      </c>
    </row>
    <row r="396" ht="15.75" customHeight="1">
      <c r="A396" s="53" t="s">
        <v>2012</v>
      </c>
      <c r="B396" s="53" t="s">
        <v>1687</v>
      </c>
      <c r="D396" s="53" t="s">
        <v>2028</v>
      </c>
      <c r="E396" s="53" t="s">
        <v>2100</v>
      </c>
      <c r="F396" s="53" t="s">
        <v>2019</v>
      </c>
      <c r="G396" s="53" t="s">
        <v>2034</v>
      </c>
      <c r="H396" s="53">
        <v>1.0</v>
      </c>
      <c r="I396" s="53">
        <v>0.125</v>
      </c>
      <c r="J396" s="53">
        <v>1.0</v>
      </c>
      <c r="K396" s="53" t="s">
        <v>53</v>
      </c>
      <c r="L396" s="53" t="s">
        <v>53</v>
      </c>
    </row>
    <row r="397" ht="15.75" customHeight="1">
      <c r="A397" s="53" t="s">
        <v>2012</v>
      </c>
      <c r="B397" s="53" t="s">
        <v>1687</v>
      </c>
      <c r="D397" s="53" t="s">
        <v>2028</v>
      </c>
      <c r="E397" s="53" t="s">
        <v>2101</v>
      </c>
      <c r="F397" s="53" t="s">
        <v>2019</v>
      </c>
      <c r="G397" s="53" t="s">
        <v>2026</v>
      </c>
      <c r="H397" s="53">
        <v>1.0</v>
      </c>
      <c r="I397" s="53">
        <v>0.1724137931034483</v>
      </c>
      <c r="J397" s="53">
        <v>0.0</v>
      </c>
      <c r="K397" s="53" t="s">
        <v>53</v>
      </c>
      <c r="L397" s="53" t="s">
        <v>53</v>
      </c>
    </row>
    <row r="398" ht="15.75" customHeight="1">
      <c r="A398" s="53" t="s">
        <v>2012</v>
      </c>
      <c r="B398" s="53" t="s">
        <v>1687</v>
      </c>
      <c r="D398" s="53" t="s">
        <v>2028</v>
      </c>
      <c r="E398" s="53" t="s">
        <v>2102</v>
      </c>
      <c r="F398" s="53" t="s">
        <v>2019</v>
      </c>
      <c r="G398" s="53" t="s">
        <v>2020</v>
      </c>
      <c r="H398" s="53">
        <v>1.0</v>
      </c>
      <c r="I398" s="53">
        <v>0.2482758620689655</v>
      </c>
      <c r="J398" s="53">
        <v>2.0</v>
      </c>
      <c r="K398" s="53" t="s">
        <v>53</v>
      </c>
      <c r="L398" s="53" t="s">
        <v>53</v>
      </c>
    </row>
    <row r="399" ht="15.75" customHeight="1">
      <c r="A399" s="53" t="s">
        <v>2012</v>
      </c>
      <c r="B399" s="53" t="s">
        <v>1687</v>
      </c>
      <c r="D399" s="53" t="s">
        <v>2026</v>
      </c>
      <c r="E399" s="53" t="s">
        <v>2103</v>
      </c>
      <c r="F399" s="53" t="s">
        <v>2019</v>
      </c>
      <c r="G399" s="53" t="s">
        <v>2020</v>
      </c>
      <c r="H399" s="53">
        <v>1.0</v>
      </c>
      <c r="I399" s="53">
        <v>0.13008130081300814</v>
      </c>
      <c r="J399" s="53">
        <v>1.0</v>
      </c>
      <c r="K399" s="53" t="s">
        <v>53</v>
      </c>
      <c r="L399" s="53" t="s">
        <v>53</v>
      </c>
    </row>
    <row r="400" ht="15.75" customHeight="1">
      <c r="A400" s="53" t="s">
        <v>2012</v>
      </c>
      <c r="B400" s="53" t="s">
        <v>1687</v>
      </c>
      <c r="D400" s="53" t="s">
        <v>2026</v>
      </c>
      <c r="E400" s="53" t="s">
        <v>2104</v>
      </c>
      <c r="F400" s="53" t="s">
        <v>2019</v>
      </c>
      <c r="G400" s="53" t="s">
        <v>2030</v>
      </c>
      <c r="H400" s="53">
        <v>1.0</v>
      </c>
      <c r="I400" s="53">
        <v>0.16551724137931034</v>
      </c>
      <c r="J400" s="53">
        <v>2.0</v>
      </c>
      <c r="K400" s="53" t="s">
        <v>53</v>
      </c>
      <c r="L400" s="53" t="s">
        <v>53</v>
      </c>
    </row>
    <row r="401" ht="15.75" customHeight="1">
      <c r="A401" s="53" t="s">
        <v>2012</v>
      </c>
      <c r="B401" s="53" t="s">
        <v>1687</v>
      </c>
      <c r="D401" s="53" t="s">
        <v>2026</v>
      </c>
      <c r="E401" s="53" t="s">
        <v>2105</v>
      </c>
      <c r="F401" s="53" t="s">
        <v>2019</v>
      </c>
      <c r="G401" s="53" t="s">
        <v>2034</v>
      </c>
      <c r="H401" s="53">
        <v>1.0</v>
      </c>
      <c r="I401" s="53">
        <v>0.24375</v>
      </c>
      <c r="J401" s="53">
        <v>0.0</v>
      </c>
      <c r="K401" s="53" t="s">
        <v>53</v>
      </c>
      <c r="L401" s="53" t="s">
        <v>53</v>
      </c>
    </row>
    <row r="402" ht="15.75" customHeight="1">
      <c r="A402" s="53" t="s">
        <v>2012</v>
      </c>
      <c r="B402" s="53" t="s">
        <v>1687</v>
      </c>
      <c r="D402" s="53" t="s">
        <v>2034</v>
      </c>
      <c r="E402" s="53" t="s">
        <v>2106</v>
      </c>
      <c r="F402" s="53" t="s">
        <v>2019</v>
      </c>
      <c r="G402" s="53" t="s">
        <v>2030</v>
      </c>
      <c r="H402" s="53">
        <v>1.0</v>
      </c>
      <c r="I402" s="53">
        <v>0.1125</v>
      </c>
      <c r="J402" s="53">
        <v>1.0</v>
      </c>
      <c r="K402" s="53" t="s">
        <v>53</v>
      </c>
      <c r="L402" s="53" t="s">
        <v>53</v>
      </c>
    </row>
    <row r="403" ht="15.75" customHeight="1">
      <c r="A403" s="53" t="s">
        <v>2012</v>
      </c>
      <c r="B403" s="53" t="s">
        <v>1687</v>
      </c>
      <c r="D403" s="53" t="s">
        <v>2034</v>
      </c>
      <c r="E403" s="53" t="s">
        <v>2107</v>
      </c>
      <c r="F403" s="53" t="s">
        <v>2019</v>
      </c>
      <c r="G403" s="53" t="s">
        <v>2020</v>
      </c>
      <c r="H403" s="53">
        <v>1.0</v>
      </c>
      <c r="I403" s="53">
        <v>0.31875</v>
      </c>
      <c r="J403" s="53">
        <v>0.0</v>
      </c>
      <c r="K403" s="53" t="s">
        <v>53</v>
      </c>
      <c r="L403" s="53" t="s">
        <v>53</v>
      </c>
    </row>
    <row r="404" ht="15.75" customHeight="1">
      <c r="A404" s="53" t="s">
        <v>2012</v>
      </c>
      <c r="B404" s="53" t="s">
        <v>1687</v>
      </c>
      <c r="D404" s="53" t="s">
        <v>2020</v>
      </c>
      <c r="E404" s="53" t="s">
        <v>2108</v>
      </c>
      <c r="F404" s="53" t="s">
        <v>2019</v>
      </c>
      <c r="G404" s="53" t="s">
        <v>2030</v>
      </c>
      <c r="H404" s="53">
        <v>1.0</v>
      </c>
      <c r="I404" s="53">
        <v>0.2482758620689655</v>
      </c>
      <c r="J404" s="53">
        <v>0.0</v>
      </c>
      <c r="K404" s="53" t="s">
        <v>53</v>
      </c>
      <c r="L404" s="53" t="s">
        <v>53</v>
      </c>
    </row>
    <row r="405" ht="15.75" customHeight="1">
      <c r="A405" s="53" t="s">
        <v>2012</v>
      </c>
      <c r="B405" s="53" t="s">
        <v>1687</v>
      </c>
      <c r="D405" s="53" t="s">
        <v>2109</v>
      </c>
      <c r="E405" s="53" t="s">
        <v>2110</v>
      </c>
      <c r="F405" s="53" t="s">
        <v>2111</v>
      </c>
      <c r="G405" s="53" t="s">
        <v>2112</v>
      </c>
      <c r="H405" s="53">
        <v>1.0</v>
      </c>
      <c r="I405" s="53">
        <v>0.5996884735202492</v>
      </c>
      <c r="J405" s="53">
        <v>4.0</v>
      </c>
      <c r="K405" s="53" t="s">
        <v>53</v>
      </c>
      <c r="L405" s="53" t="s">
        <v>53</v>
      </c>
    </row>
    <row r="406" ht="15.75" customHeight="1">
      <c r="A406" s="53" t="s">
        <v>2012</v>
      </c>
      <c r="B406" s="53" t="s">
        <v>1687</v>
      </c>
      <c r="D406" s="53" t="s">
        <v>2109</v>
      </c>
      <c r="E406" s="53" t="s">
        <v>2113</v>
      </c>
      <c r="F406" s="53" t="s">
        <v>2114</v>
      </c>
      <c r="G406" s="53" t="s">
        <v>2115</v>
      </c>
      <c r="H406" s="53">
        <v>1.0</v>
      </c>
      <c r="I406" s="53">
        <v>0.6822429906542056</v>
      </c>
      <c r="J406" s="53">
        <v>5.0</v>
      </c>
      <c r="K406" s="53" t="s">
        <v>53</v>
      </c>
      <c r="L406" s="53" t="s">
        <v>53</v>
      </c>
    </row>
    <row r="407" ht="15.75" customHeight="1">
      <c r="A407" s="53" t="s">
        <v>2012</v>
      </c>
      <c r="B407" s="53" t="s">
        <v>1687</v>
      </c>
      <c r="D407" s="53" t="s">
        <v>2109</v>
      </c>
      <c r="E407" s="53" t="s">
        <v>2116</v>
      </c>
      <c r="F407" s="53" t="s">
        <v>2114</v>
      </c>
      <c r="G407" s="53" t="s">
        <v>2117</v>
      </c>
      <c r="H407" s="53">
        <v>1.0</v>
      </c>
      <c r="I407" s="53">
        <v>0.6853582554517134</v>
      </c>
      <c r="J407" s="53">
        <v>1.0</v>
      </c>
      <c r="K407" s="53" t="s">
        <v>53</v>
      </c>
      <c r="L407" s="53" t="s">
        <v>53</v>
      </c>
    </row>
    <row r="408" ht="15.75" customHeight="1">
      <c r="A408" s="53" t="s">
        <v>2012</v>
      </c>
      <c r="B408" s="53" t="s">
        <v>1687</v>
      </c>
      <c r="D408" s="53" t="s">
        <v>2109</v>
      </c>
      <c r="E408" s="53" t="s">
        <v>2118</v>
      </c>
      <c r="F408" s="53" t="s">
        <v>2114</v>
      </c>
      <c r="G408" s="53" t="s">
        <v>2119</v>
      </c>
      <c r="H408" s="53">
        <v>1.0</v>
      </c>
      <c r="I408" s="53">
        <v>0.6869158878504673</v>
      </c>
      <c r="J408" s="53">
        <v>0.0</v>
      </c>
      <c r="K408" s="53" t="s">
        <v>53</v>
      </c>
      <c r="L408" s="53" t="s">
        <v>53</v>
      </c>
    </row>
    <row r="409" ht="15.75" customHeight="1">
      <c r="A409" s="53" t="s">
        <v>2012</v>
      </c>
      <c r="B409" s="53" t="s">
        <v>1687</v>
      </c>
      <c r="D409" s="53" t="s">
        <v>2109</v>
      </c>
      <c r="E409" s="53" t="s">
        <v>2120</v>
      </c>
      <c r="F409" s="53" t="s">
        <v>2114</v>
      </c>
      <c r="G409" s="53" t="s">
        <v>2121</v>
      </c>
      <c r="H409" s="53">
        <v>1.0</v>
      </c>
      <c r="I409" s="53">
        <v>0.6915887850467289</v>
      </c>
      <c r="J409" s="53">
        <v>9.0</v>
      </c>
      <c r="K409" s="53" t="s">
        <v>53</v>
      </c>
      <c r="L409" s="53" t="s">
        <v>53</v>
      </c>
    </row>
    <row r="410" ht="15.75" customHeight="1">
      <c r="A410" s="53" t="s">
        <v>2012</v>
      </c>
      <c r="B410" s="53" t="s">
        <v>1687</v>
      </c>
      <c r="D410" s="53" t="s">
        <v>2109</v>
      </c>
      <c r="E410" s="53" t="s">
        <v>2122</v>
      </c>
      <c r="F410" s="53" t="s">
        <v>2123</v>
      </c>
      <c r="G410" s="53" t="s">
        <v>2124</v>
      </c>
      <c r="H410" s="53">
        <v>1.0</v>
      </c>
      <c r="I410" s="53">
        <v>0.7663551401869159</v>
      </c>
      <c r="J410" s="53">
        <v>6.0</v>
      </c>
      <c r="K410" s="53" t="s">
        <v>53</v>
      </c>
      <c r="L410" s="53" t="s">
        <v>53</v>
      </c>
    </row>
    <row r="411" ht="15.75" customHeight="1">
      <c r="A411" s="53" t="s">
        <v>2012</v>
      </c>
      <c r="B411" s="53" t="s">
        <v>1687</v>
      </c>
      <c r="D411" s="53" t="s">
        <v>2109</v>
      </c>
      <c r="E411" s="53" t="s">
        <v>2125</v>
      </c>
      <c r="F411" s="53" t="s">
        <v>2123</v>
      </c>
      <c r="G411" s="53" t="s">
        <v>2126</v>
      </c>
      <c r="H411" s="53">
        <v>1.0</v>
      </c>
      <c r="I411" s="53">
        <v>0.7710280373831776</v>
      </c>
      <c r="J411" s="53">
        <v>7.0</v>
      </c>
      <c r="K411" s="53" t="s">
        <v>53</v>
      </c>
      <c r="L411" s="53" t="s">
        <v>53</v>
      </c>
    </row>
    <row r="412" ht="15.75" customHeight="1">
      <c r="A412" s="53" t="s">
        <v>2012</v>
      </c>
      <c r="B412" s="53" t="s">
        <v>1687</v>
      </c>
      <c r="D412" s="53" t="s">
        <v>2109</v>
      </c>
      <c r="E412" s="53" t="s">
        <v>2127</v>
      </c>
      <c r="F412" s="53" t="s">
        <v>2123</v>
      </c>
      <c r="G412" s="53" t="s">
        <v>2128</v>
      </c>
      <c r="H412" s="53">
        <v>1.0</v>
      </c>
      <c r="I412" s="53">
        <v>0.7834890965732088</v>
      </c>
      <c r="J412" s="53">
        <v>10.0</v>
      </c>
      <c r="K412" s="53" t="s">
        <v>53</v>
      </c>
      <c r="L412" s="53" t="s">
        <v>53</v>
      </c>
    </row>
    <row r="413" ht="15.75" customHeight="1">
      <c r="A413" s="53" t="s">
        <v>2012</v>
      </c>
      <c r="B413" s="53" t="s">
        <v>1687</v>
      </c>
      <c r="D413" s="53" t="s">
        <v>2109</v>
      </c>
      <c r="E413" s="53" t="s">
        <v>2129</v>
      </c>
      <c r="F413" s="53" t="s">
        <v>2123</v>
      </c>
      <c r="G413" s="53" t="s">
        <v>2130</v>
      </c>
      <c r="H413" s="53">
        <v>1.0</v>
      </c>
      <c r="I413" s="53">
        <v>0.7850467289719626</v>
      </c>
      <c r="J413" s="53">
        <v>11.0</v>
      </c>
      <c r="K413" s="53" t="s">
        <v>53</v>
      </c>
      <c r="L413" s="53" t="s">
        <v>53</v>
      </c>
    </row>
    <row r="414" ht="15.75" customHeight="1">
      <c r="A414" s="53" t="s">
        <v>2012</v>
      </c>
      <c r="B414" s="53" t="s">
        <v>1687</v>
      </c>
      <c r="D414" s="53" t="s">
        <v>2109</v>
      </c>
      <c r="E414" s="53" t="s">
        <v>2131</v>
      </c>
      <c r="F414" s="53" t="s">
        <v>2132</v>
      </c>
      <c r="G414" s="53" t="s">
        <v>2133</v>
      </c>
      <c r="H414" s="53">
        <v>1.0</v>
      </c>
      <c r="I414" s="53">
        <v>0.8598130841121495</v>
      </c>
      <c r="J414" s="53">
        <v>12.0</v>
      </c>
      <c r="K414" s="53" t="s">
        <v>53</v>
      </c>
      <c r="L414" s="53" t="s">
        <v>2134</v>
      </c>
    </row>
    <row r="415" ht="15.75" customHeight="1">
      <c r="A415" s="53" t="s">
        <v>2012</v>
      </c>
      <c r="B415" s="53" t="s">
        <v>1687</v>
      </c>
      <c r="D415" s="53" t="s">
        <v>2109</v>
      </c>
      <c r="E415" s="53" t="s">
        <v>2135</v>
      </c>
      <c r="F415" s="53" t="s">
        <v>2132</v>
      </c>
      <c r="G415" s="53" t="s">
        <v>2136</v>
      </c>
      <c r="H415" s="53">
        <v>1.0</v>
      </c>
      <c r="I415" s="53">
        <v>0.8629283489096573</v>
      </c>
      <c r="J415" s="53">
        <v>3.0</v>
      </c>
      <c r="K415" s="53" t="s">
        <v>53</v>
      </c>
      <c r="L415" s="53" t="s">
        <v>2134</v>
      </c>
    </row>
    <row r="416" ht="15.75" customHeight="1">
      <c r="A416" s="53" t="s">
        <v>2012</v>
      </c>
      <c r="B416" s="53" t="s">
        <v>1687</v>
      </c>
      <c r="D416" s="53" t="s">
        <v>2109</v>
      </c>
      <c r="E416" s="53" t="s">
        <v>2137</v>
      </c>
      <c r="F416" s="53" t="s">
        <v>2132</v>
      </c>
      <c r="G416" s="53" t="s">
        <v>52</v>
      </c>
      <c r="H416" s="53">
        <v>1.0</v>
      </c>
      <c r="I416" s="53">
        <v>0.8691588785046729</v>
      </c>
      <c r="J416" s="53">
        <v>2.0</v>
      </c>
      <c r="K416" s="53" t="s">
        <v>53</v>
      </c>
      <c r="L416" s="53" t="s">
        <v>2134</v>
      </c>
    </row>
    <row r="417" ht="15.75" customHeight="1">
      <c r="A417" s="53" t="s">
        <v>2012</v>
      </c>
      <c r="B417" s="53" t="s">
        <v>1687</v>
      </c>
      <c r="D417" s="53" t="s">
        <v>2109</v>
      </c>
      <c r="E417" s="53" t="s">
        <v>2138</v>
      </c>
      <c r="F417" s="53" t="s">
        <v>2132</v>
      </c>
      <c r="G417" s="53" t="s">
        <v>46</v>
      </c>
      <c r="H417" s="53">
        <v>1.0</v>
      </c>
      <c r="I417" s="53">
        <v>0.8707165109034268</v>
      </c>
      <c r="J417" s="53">
        <v>8.0</v>
      </c>
      <c r="K417" s="53" t="s">
        <v>53</v>
      </c>
      <c r="L417" s="53" t="s">
        <v>2134</v>
      </c>
    </row>
    <row r="418" ht="15.75" customHeight="1">
      <c r="A418" s="53" t="s">
        <v>2012</v>
      </c>
      <c r="B418" s="53" t="s">
        <v>1687</v>
      </c>
      <c r="D418" s="53" t="s">
        <v>2119</v>
      </c>
      <c r="E418" s="53" t="s">
        <v>2139</v>
      </c>
      <c r="F418" s="53" t="s">
        <v>2140</v>
      </c>
      <c r="G418" s="53" t="s">
        <v>2121</v>
      </c>
      <c r="H418" s="53">
        <v>1.0</v>
      </c>
      <c r="I418" s="53">
        <v>0.06666666666666667</v>
      </c>
      <c r="J418" s="53">
        <v>8.0</v>
      </c>
      <c r="K418" s="53" t="s">
        <v>53</v>
      </c>
      <c r="L418" s="53" t="s">
        <v>53</v>
      </c>
    </row>
    <row r="419" ht="15.75" customHeight="1">
      <c r="A419" s="53" t="s">
        <v>2012</v>
      </c>
      <c r="B419" s="53" t="s">
        <v>1687</v>
      </c>
      <c r="D419" s="53" t="s">
        <v>2119</v>
      </c>
      <c r="E419" s="53" t="s">
        <v>2141</v>
      </c>
      <c r="F419" s="53" t="s">
        <v>2140</v>
      </c>
      <c r="G419" s="53" t="s">
        <v>2117</v>
      </c>
      <c r="H419" s="53">
        <v>1.0</v>
      </c>
      <c r="I419" s="53">
        <v>0.08837209302325581</v>
      </c>
      <c r="J419" s="53">
        <v>0.0</v>
      </c>
      <c r="K419" s="53" t="s">
        <v>53</v>
      </c>
      <c r="L419" s="53" t="s">
        <v>53</v>
      </c>
    </row>
    <row r="420" ht="15.75" customHeight="1">
      <c r="A420" s="53" t="s">
        <v>2012</v>
      </c>
      <c r="B420" s="53" t="s">
        <v>1687</v>
      </c>
      <c r="D420" s="53" t="s">
        <v>2119</v>
      </c>
      <c r="E420" s="53" t="s">
        <v>2142</v>
      </c>
      <c r="F420" s="53" t="s">
        <v>2140</v>
      </c>
      <c r="G420" s="53" t="s">
        <v>2115</v>
      </c>
      <c r="H420" s="53">
        <v>1.0</v>
      </c>
      <c r="I420" s="53">
        <v>0.11363636363636363</v>
      </c>
      <c r="J420" s="53">
        <v>4.0</v>
      </c>
      <c r="K420" s="53" t="s">
        <v>53</v>
      </c>
      <c r="L420" s="53" t="s">
        <v>53</v>
      </c>
    </row>
    <row r="421" ht="15.75" customHeight="1">
      <c r="A421" s="53" t="s">
        <v>2012</v>
      </c>
      <c r="B421" s="53" t="s">
        <v>1687</v>
      </c>
      <c r="D421" s="53" t="s">
        <v>2119</v>
      </c>
      <c r="E421" s="53" t="s">
        <v>2143</v>
      </c>
      <c r="F421" s="53" t="s">
        <v>2144</v>
      </c>
      <c r="G421" s="53" t="s">
        <v>2112</v>
      </c>
      <c r="H421" s="53">
        <v>1.0</v>
      </c>
      <c r="I421" s="53">
        <v>0.26591760299625467</v>
      </c>
      <c r="J421" s="53">
        <v>3.0</v>
      </c>
      <c r="K421" s="53" t="s">
        <v>53</v>
      </c>
      <c r="L421" s="53" t="s">
        <v>53</v>
      </c>
    </row>
    <row r="422" ht="15.75" customHeight="1">
      <c r="A422" s="53" t="s">
        <v>2012</v>
      </c>
      <c r="B422" s="53" t="s">
        <v>1687</v>
      </c>
      <c r="D422" s="53" t="s">
        <v>2119</v>
      </c>
      <c r="E422" s="53" t="s">
        <v>2145</v>
      </c>
      <c r="F422" s="53" t="s">
        <v>2146</v>
      </c>
      <c r="G422" s="53" t="s">
        <v>2126</v>
      </c>
      <c r="H422" s="53">
        <v>1.0</v>
      </c>
      <c r="I422" s="53">
        <v>0.30434782608695654</v>
      </c>
      <c r="J422" s="53">
        <v>6.0</v>
      </c>
      <c r="K422" s="53" t="s">
        <v>53</v>
      </c>
      <c r="L422" s="53" t="s">
        <v>53</v>
      </c>
    </row>
    <row r="423" ht="15.75" customHeight="1">
      <c r="A423" s="53" t="s">
        <v>2012</v>
      </c>
      <c r="B423" s="53" t="s">
        <v>1687</v>
      </c>
      <c r="D423" s="53" t="s">
        <v>2119</v>
      </c>
      <c r="E423" s="53" t="s">
        <v>2147</v>
      </c>
      <c r="F423" s="53" t="s">
        <v>2146</v>
      </c>
      <c r="G423" s="53" t="s">
        <v>2124</v>
      </c>
      <c r="H423" s="53">
        <v>1.0</v>
      </c>
      <c r="I423" s="53">
        <v>0.30434782608695654</v>
      </c>
      <c r="J423" s="53">
        <v>5.0</v>
      </c>
      <c r="K423" s="53" t="s">
        <v>53</v>
      </c>
      <c r="L423" s="53" t="s">
        <v>53</v>
      </c>
    </row>
    <row r="424" ht="15.75" customHeight="1">
      <c r="A424" s="53" t="s">
        <v>2012</v>
      </c>
      <c r="B424" s="53" t="s">
        <v>1687</v>
      </c>
      <c r="D424" s="53" t="s">
        <v>2119</v>
      </c>
      <c r="E424" s="53" t="s">
        <v>2148</v>
      </c>
      <c r="F424" s="53" t="s">
        <v>2146</v>
      </c>
      <c r="G424" s="53" t="s">
        <v>2128</v>
      </c>
      <c r="H424" s="53">
        <v>1.0</v>
      </c>
      <c r="I424" s="53">
        <v>0.32367149758454106</v>
      </c>
      <c r="J424" s="53">
        <v>9.0</v>
      </c>
      <c r="K424" s="53" t="s">
        <v>53</v>
      </c>
      <c r="L424" s="53" t="s">
        <v>53</v>
      </c>
    </row>
    <row r="425" ht="15.75" customHeight="1">
      <c r="A425" s="53" t="s">
        <v>2012</v>
      </c>
      <c r="B425" s="53" t="s">
        <v>1687</v>
      </c>
      <c r="D425" s="53" t="s">
        <v>2119</v>
      </c>
      <c r="E425" s="53" t="s">
        <v>2149</v>
      </c>
      <c r="F425" s="53" t="s">
        <v>2146</v>
      </c>
      <c r="G425" s="53" t="s">
        <v>2130</v>
      </c>
      <c r="H425" s="53">
        <v>1.0</v>
      </c>
      <c r="I425" s="53">
        <v>0.3333333333333333</v>
      </c>
      <c r="J425" s="53">
        <v>10.0</v>
      </c>
      <c r="K425" s="53" t="s">
        <v>53</v>
      </c>
      <c r="L425" s="53" t="s">
        <v>53</v>
      </c>
    </row>
    <row r="426" ht="15.75" customHeight="1">
      <c r="A426" s="53" t="s">
        <v>2012</v>
      </c>
      <c r="B426" s="53" t="s">
        <v>1687</v>
      </c>
      <c r="D426" s="53" t="s">
        <v>2119</v>
      </c>
      <c r="E426" s="53" t="s">
        <v>2150</v>
      </c>
      <c r="F426" s="53" t="s">
        <v>2151</v>
      </c>
      <c r="G426" s="53" t="s">
        <v>2136</v>
      </c>
      <c r="H426" s="53">
        <v>1.0</v>
      </c>
      <c r="I426" s="53">
        <v>0.5652173913043478</v>
      </c>
      <c r="J426" s="53">
        <v>2.0</v>
      </c>
      <c r="K426" s="53" t="s">
        <v>53</v>
      </c>
      <c r="L426" s="53" t="s">
        <v>2134</v>
      </c>
    </row>
    <row r="427" ht="15.75" customHeight="1">
      <c r="A427" s="53" t="s">
        <v>2012</v>
      </c>
      <c r="B427" s="53" t="s">
        <v>1687</v>
      </c>
      <c r="D427" s="53" t="s">
        <v>2119</v>
      </c>
      <c r="E427" s="53" t="s">
        <v>2152</v>
      </c>
      <c r="F427" s="53" t="s">
        <v>2151</v>
      </c>
      <c r="G427" s="53" t="s">
        <v>2133</v>
      </c>
      <c r="H427" s="53">
        <v>1.0</v>
      </c>
      <c r="I427" s="53">
        <v>0.5700483091787439</v>
      </c>
      <c r="J427" s="53">
        <v>11.0</v>
      </c>
      <c r="K427" s="53" t="s">
        <v>53</v>
      </c>
      <c r="L427" s="53" t="s">
        <v>2134</v>
      </c>
    </row>
    <row r="428" ht="15.75" customHeight="1">
      <c r="A428" s="53" t="s">
        <v>2012</v>
      </c>
      <c r="B428" s="53" t="s">
        <v>1687</v>
      </c>
      <c r="D428" s="53" t="s">
        <v>2119</v>
      </c>
      <c r="E428" s="53" t="s">
        <v>2153</v>
      </c>
      <c r="F428" s="53" t="s">
        <v>2151</v>
      </c>
      <c r="G428" s="53" t="s">
        <v>52</v>
      </c>
      <c r="H428" s="53">
        <v>1.0</v>
      </c>
      <c r="I428" s="53">
        <v>0.5942028985507246</v>
      </c>
      <c r="J428" s="53">
        <v>1.0</v>
      </c>
      <c r="K428" s="53" t="s">
        <v>53</v>
      </c>
      <c r="L428" s="53" t="s">
        <v>2134</v>
      </c>
    </row>
    <row r="429" ht="15.75" customHeight="1">
      <c r="A429" s="53" t="s">
        <v>2012</v>
      </c>
      <c r="B429" s="53" t="s">
        <v>1687</v>
      </c>
      <c r="D429" s="53" t="s">
        <v>2119</v>
      </c>
      <c r="E429" s="53" t="s">
        <v>2154</v>
      </c>
      <c r="F429" s="53" t="s">
        <v>2151</v>
      </c>
      <c r="G429" s="53" t="s">
        <v>46</v>
      </c>
      <c r="H429" s="53">
        <v>1.0</v>
      </c>
      <c r="I429" s="53">
        <v>0.5990338164251208</v>
      </c>
      <c r="J429" s="53">
        <v>7.0</v>
      </c>
      <c r="K429" s="53" t="s">
        <v>53</v>
      </c>
      <c r="L429" s="53" t="s">
        <v>2134</v>
      </c>
    </row>
    <row r="430" ht="15.75" customHeight="1">
      <c r="A430" s="53" t="s">
        <v>2012</v>
      </c>
      <c r="B430" s="53" t="s">
        <v>1687</v>
      </c>
      <c r="D430" s="53" t="s">
        <v>2117</v>
      </c>
      <c r="E430" s="53" t="s">
        <v>2155</v>
      </c>
      <c r="F430" s="53" t="s">
        <v>2140</v>
      </c>
      <c r="G430" s="53" t="s">
        <v>2115</v>
      </c>
      <c r="H430" s="53">
        <v>1.0</v>
      </c>
      <c r="I430" s="53">
        <v>0.07272727272727272</v>
      </c>
      <c r="J430" s="53">
        <v>3.0</v>
      </c>
      <c r="K430" s="53" t="s">
        <v>53</v>
      </c>
      <c r="L430" s="53" t="s">
        <v>53</v>
      </c>
    </row>
    <row r="431" ht="15.75" customHeight="1">
      <c r="A431" s="53" t="s">
        <v>2012</v>
      </c>
      <c r="B431" s="53" t="s">
        <v>1687</v>
      </c>
      <c r="D431" s="53" t="s">
        <v>2117</v>
      </c>
      <c r="E431" s="53" t="s">
        <v>2156</v>
      </c>
      <c r="F431" s="53" t="s">
        <v>2140</v>
      </c>
      <c r="G431" s="53" t="s">
        <v>2121</v>
      </c>
      <c r="H431" s="53">
        <v>1.0</v>
      </c>
      <c r="I431" s="53">
        <v>0.08837209302325581</v>
      </c>
      <c r="J431" s="53">
        <v>7.0</v>
      </c>
      <c r="K431" s="53" t="s">
        <v>53</v>
      </c>
      <c r="L431" s="53" t="s">
        <v>53</v>
      </c>
    </row>
    <row r="432" ht="15.75" customHeight="1">
      <c r="A432" s="53" t="s">
        <v>2012</v>
      </c>
      <c r="B432" s="53" t="s">
        <v>1687</v>
      </c>
      <c r="D432" s="53" t="s">
        <v>2117</v>
      </c>
      <c r="E432" s="53" t="s">
        <v>2157</v>
      </c>
      <c r="F432" s="53" t="s">
        <v>2144</v>
      </c>
      <c r="G432" s="53" t="s">
        <v>2112</v>
      </c>
      <c r="H432" s="53">
        <v>1.0</v>
      </c>
      <c r="I432" s="53">
        <v>0.250936329588015</v>
      </c>
      <c r="J432" s="53">
        <v>2.0</v>
      </c>
      <c r="K432" s="53" t="s">
        <v>53</v>
      </c>
      <c r="L432" s="53" t="s">
        <v>53</v>
      </c>
    </row>
    <row r="433" ht="15.75" customHeight="1">
      <c r="A433" s="53" t="s">
        <v>2012</v>
      </c>
      <c r="B433" s="53" t="s">
        <v>1687</v>
      </c>
      <c r="D433" s="53" t="s">
        <v>2117</v>
      </c>
      <c r="E433" s="53" t="s">
        <v>2158</v>
      </c>
      <c r="F433" s="53" t="s">
        <v>2146</v>
      </c>
      <c r="G433" s="53" t="s">
        <v>2126</v>
      </c>
      <c r="H433" s="53">
        <v>1.0</v>
      </c>
      <c r="I433" s="53">
        <v>0.3023255813953488</v>
      </c>
      <c r="J433" s="53">
        <v>5.0</v>
      </c>
      <c r="K433" s="53" t="s">
        <v>53</v>
      </c>
      <c r="L433" s="53" t="s">
        <v>53</v>
      </c>
    </row>
    <row r="434" ht="15.75" customHeight="1">
      <c r="A434" s="53" t="s">
        <v>2012</v>
      </c>
      <c r="B434" s="53" t="s">
        <v>1687</v>
      </c>
      <c r="D434" s="53" t="s">
        <v>2117</v>
      </c>
      <c r="E434" s="53" t="s">
        <v>2159</v>
      </c>
      <c r="F434" s="53" t="s">
        <v>2146</v>
      </c>
      <c r="G434" s="53" t="s">
        <v>2124</v>
      </c>
      <c r="H434" s="53">
        <v>1.0</v>
      </c>
      <c r="I434" s="53">
        <v>0.3023255813953488</v>
      </c>
      <c r="J434" s="53">
        <v>4.0</v>
      </c>
      <c r="K434" s="53" t="s">
        <v>53</v>
      </c>
      <c r="L434" s="53" t="s">
        <v>53</v>
      </c>
    </row>
    <row r="435" ht="15.75" customHeight="1">
      <c r="A435" s="53" t="s">
        <v>2012</v>
      </c>
      <c r="B435" s="53" t="s">
        <v>1687</v>
      </c>
      <c r="D435" s="53" t="s">
        <v>2117</v>
      </c>
      <c r="E435" s="53" t="s">
        <v>2160</v>
      </c>
      <c r="F435" s="53" t="s">
        <v>2146</v>
      </c>
      <c r="G435" s="53" t="s">
        <v>2128</v>
      </c>
      <c r="H435" s="53">
        <v>1.0</v>
      </c>
      <c r="I435" s="53">
        <v>0.3488372093023256</v>
      </c>
      <c r="J435" s="53">
        <v>8.0</v>
      </c>
      <c r="K435" s="53" t="s">
        <v>53</v>
      </c>
      <c r="L435" s="53" t="s">
        <v>53</v>
      </c>
    </row>
    <row r="436" ht="15.75" customHeight="1">
      <c r="A436" s="53" t="s">
        <v>2012</v>
      </c>
      <c r="B436" s="53" t="s">
        <v>1687</v>
      </c>
      <c r="D436" s="53" t="s">
        <v>2117</v>
      </c>
      <c r="E436" s="53" t="s">
        <v>2161</v>
      </c>
      <c r="F436" s="53" t="s">
        <v>2146</v>
      </c>
      <c r="G436" s="53" t="s">
        <v>2130</v>
      </c>
      <c r="H436" s="53">
        <v>1.0</v>
      </c>
      <c r="I436" s="53">
        <v>0.35348837209302325</v>
      </c>
      <c r="J436" s="53">
        <v>9.0</v>
      </c>
      <c r="K436" s="53" t="s">
        <v>53</v>
      </c>
      <c r="L436" s="53" t="s">
        <v>53</v>
      </c>
    </row>
    <row r="437" ht="15.75" customHeight="1">
      <c r="A437" s="53" t="s">
        <v>2012</v>
      </c>
      <c r="B437" s="53" t="s">
        <v>1687</v>
      </c>
      <c r="D437" s="53" t="s">
        <v>2117</v>
      </c>
      <c r="E437" s="53" t="s">
        <v>2162</v>
      </c>
      <c r="F437" s="53" t="s">
        <v>2151</v>
      </c>
      <c r="G437" s="53" t="s">
        <v>2133</v>
      </c>
      <c r="H437" s="53">
        <v>1.0</v>
      </c>
      <c r="I437" s="53">
        <v>0.586046511627907</v>
      </c>
      <c r="J437" s="53">
        <v>10.0</v>
      </c>
      <c r="K437" s="53" t="s">
        <v>53</v>
      </c>
      <c r="L437" s="53" t="s">
        <v>2134</v>
      </c>
    </row>
    <row r="438" ht="15.75" customHeight="1">
      <c r="A438" s="53" t="s">
        <v>2012</v>
      </c>
      <c r="B438" s="53" t="s">
        <v>1687</v>
      </c>
      <c r="D438" s="53" t="s">
        <v>2117</v>
      </c>
      <c r="E438" s="53" t="s">
        <v>2163</v>
      </c>
      <c r="F438" s="53" t="s">
        <v>2151</v>
      </c>
      <c r="G438" s="53" t="s">
        <v>2136</v>
      </c>
      <c r="H438" s="53">
        <v>1.0</v>
      </c>
      <c r="I438" s="53">
        <v>0.5906976744186047</v>
      </c>
      <c r="J438" s="53">
        <v>1.0</v>
      </c>
      <c r="K438" s="53" t="s">
        <v>53</v>
      </c>
      <c r="L438" s="53" t="s">
        <v>2134</v>
      </c>
    </row>
    <row r="439" ht="15.75" customHeight="1">
      <c r="A439" s="53" t="s">
        <v>2012</v>
      </c>
      <c r="B439" s="53" t="s">
        <v>1687</v>
      </c>
      <c r="D439" s="53" t="s">
        <v>2117</v>
      </c>
      <c r="E439" s="53" t="s">
        <v>2164</v>
      </c>
      <c r="F439" s="53" t="s">
        <v>2151</v>
      </c>
      <c r="G439" s="53" t="s">
        <v>46</v>
      </c>
      <c r="H439" s="53">
        <v>1.0</v>
      </c>
      <c r="I439" s="53">
        <v>0.6093023255813953</v>
      </c>
      <c r="J439" s="53">
        <v>6.0</v>
      </c>
      <c r="K439" s="53" t="s">
        <v>53</v>
      </c>
      <c r="L439" s="53" t="s">
        <v>2134</v>
      </c>
    </row>
    <row r="440" ht="15.75" customHeight="1">
      <c r="A440" s="53" t="s">
        <v>2012</v>
      </c>
      <c r="B440" s="53" t="s">
        <v>1687</v>
      </c>
      <c r="D440" s="53" t="s">
        <v>2117</v>
      </c>
      <c r="E440" s="53" t="s">
        <v>2165</v>
      </c>
      <c r="F440" s="53" t="s">
        <v>2151</v>
      </c>
      <c r="G440" s="53" t="s">
        <v>52</v>
      </c>
      <c r="H440" s="53">
        <v>1.0</v>
      </c>
      <c r="I440" s="53">
        <v>0.6139534883720931</v>
      </c>
      <c r="J440" s="53">
        <v>0.0</v>
      </c>
      <c r="K440" s="53" t="s">
        <v>53</v>
      </c>
      <c r="L440" s="53" t="s">
        <v>2134</v>
      </c>
    </row>
    <row r="441" ht="15.75" customHeight="1">
      <c r="A441" s="53" t="s">
        <v>2012</v>
      </c>
      <c r="B441" s="53" t="s">
        <v>1687</v>
      </c>
      <c r="D441" s="53" t="s">
        <v>52</v>
      </c>
      <c r="E441" s="53" t="s">
        <v>2166</v>
      </c>
      <c r="F441" s="53" t="s">
        <v>2167</v>
      </c>
      <c r="G441" s="53" t="s">
        <v>46</v>
      </c>
      <c r="H441" s="53">
        <v>1.0</v>
      </c>
      <c r="I441" s="53">
        <v>0.056818181818181816</v>
      </c>
      <c r="J441" s="53">
        <v>5.0</v>
      </c>
      <c r="K441" s="53" t="s">
        <v>53</v>
      </c>
      <c r="L441" s="53" t="s">
        <v>53</v>
      </c>
    </row>
    <row r="442" ht="15.75" customHeight="1">
      <c r="A442" s="53" t="s">
        <v>2012</v>
      </c>
      <c r="B442" s="53" t="s">
        <v>1687</v>
      </c>
      <c r="D442" s="53" t="s">
        <v>52</v>
      </c>
      <c r="E442" s="53" t="s">
        <v>2168</v>
      </c>
      <c r="F442" s="53" t="s">
        <v>2167</v>
      </c>
      <c r="G442" s="53" t="s">
        <v>2136</v>
      </c>
      <c r="H442" s="53">
        <v>1.0</v>
      </c>
      <c r="I442" s="53">
        <v>0.10526315789473684</v>
      </c>
      <c r="J442" s="53">
        <v>0.0</v>
      </c>
      <c r="K442" s="53" t="s">
        <v>53</v>
      </c>
      <c r="L442" s="53" t="s">
        <v>53</v>
      </c>
    </row>
    <row r="443" ht="15.75" customHeight="1">
      <c r="A443" s="53" t="s">
        <v>2012</v>
      </c>
      <c r="B443" s="53" t="s">
        <v>1687</v>
      </c>
      <c r="D443" s="53" t="s">
        <v>52</v>
      </c>
      <c r="E443" s="53" t="s">
        <v>2169</v>
      </c>
      <c r="F443" s="53" t="s">
        <v>2167</v>
      </c>
      <c r="G443" s="53" t="s">
        <v>2133</v>
      </c>
      <c r="H443" s="53">
        <v>1.0</v>
      </c>
      <c r="I443" s="53">
        <v>0.12631578947368421</v>
      </c>
      <c r="J443" s="53">
        <v>9.0</v>
      </c>
      <c r="K443" s="53" t="s">
        <v>53</v>
      </c>
      <c r="L443" s="53" t="s">
        <v>53</v>
      </c>
    </row>
    <row r="444" ht="15.75" customHeight="1">
      <c r="A444" s="53" t="s">
        <v>2012</v>
      </c>
      <c r="B444" s="53" t="s">
        <v>1687</v>
      </c>
      <c r="D444" s="53" t="s">
        <v>52</v>
      </c>
      <c r="E444" s="53" t="s">
        <v>2170</v>
      </c>
      <c r="F444" s="53" t="s">
        <v>2171</v>
      </c>
      <c r="G444" s="53" t="s">
        <v>2130</v>
      </c>
      <c r="H444" s="53">
        <v>1.0</v>
      </c>
      <c r="I444" s="53">
        <v>0.41134751773049644</v>
      </c>
      <c r="J444" s="53">
        <v>8.0</v>
      </c>
      <c r="K444" s="53" t="s">
        <v>53</v>
      </c>
      <c r="L444" s="53" t="s">
        <v>2134</v>
      </c>
    </row>
    <row r="445" ht="15.75" customHeight="1">
      <c r="A445" s="53" t="s">
        <v>2012</v>
      </c>
      <c r="B445" s="53" t="s">
        <v>1687</v>
      </c>
      <c r="D445" s="53" t="s">
        <v>52</v>
      </c>
      <c r="E445" s="53" t="s">
        <v>2172</v>
      </c>
      <c r="F445" s="53" t="s">
        <v>2171</v>
      </c>
      <c r="G445" s="53" t="s">
        <v>2128</v>
      </c>
      <c r="H445" s="53">
        <v>1.0</v>
      </c>
      <c r="I445" s="53">
        <v>0.44666666666666666</v>
      </c>
      <c r="J445" s="53">
        <v>7.0</v>
      </c>
      <c r="K445" s="53" t="s">
        <v>53</v>
      </c>
      <c r="L445" s="53" t="s">
        <v>2134</v>
      </c>
    </row>
    <row r="446" ht="15.75" customHeight="1">
      <c r="A446" s="53" t="s">
        <v>2012</v>
      </c>
      <c r="B446" s="53" t="s">
        <v>1687</v>
      </c>
      <c r="D446" s="53" t="s">
        <v>52</v>
      </c>
      <c r="E446" s="53" t="s">
        <v>2173</v>
      </c>
      <c r="F446" s="53" t="s">
        <v>2171</v>
      </c>
      <c r="G446" s="53" t="s">
        <v>2126</v>
      </c>
      <c r="H446" s="53">
        <v>1.0</v>
      </c>
      <c r="I446" s="53">
        <v>0.4645161290322581</v>
      </c>
      <c r="J446" s="53">
        <v>4.0</v>
      </c>
      <c r="K446" s="53" t="s">
        <v>53</v>
      </c>
      <c r="L446" s="53" t="s">
        <v>2134</v>
      </c>
    </row>
    <row r="447" ht="15.75" customHeight="1">
      <c r="A447" s="53" t="s">
        <v>2012</v>
      </c>
      <c r="B447" s="53" t="s">
        <v>1687</v>
      </c>
      <c r="D447" s="53" t="s">
        <v>52</v>
      </c>
      <c r="E447" s="53" t="s">
        <v>2174</v>
      </c>
      <c r="F447" s="53" t="s">
        <v>2171</v>
      </c>
      <c r="G447" s="53" t="s">
        <v>2124</v>
      </c>
      <c r="H447" s="53">
        <v>1.0</v>
      </c>
      <c r="I447" s="53">
        <v>0.48125</v>
      </c>
      <c r="J447" s="53">
        <v>3.0</v>
      </c>
      <c r="K447" s="53" t="s">
        <v>53</v>
      </c>
      <c r="L447" s="53" t="s">
        <v>2134</v>
      </c>
    </row>
    <row r="448" ht="15.75" customHeight="1">
      <c r="A448" s="53" t="s">
        <v>2012</v>
      </c>
      <c r="B448" s="53" t="s">
        <v>1687</v>
      </c>
      <c r="D448" s="53" t="s">
        <v>52</v>
      </c>
      <c r="E448" s="53" t="s">
        <v>2175</v>
      </c>
      <c r="F448" s="53" t="s">
        <v>2176</v>
      </c>
      <c r="G448" s="53" t="s">
        <v>2121</v>
      </c>
      <c r="H448" s="53">
        <v>1.0</v>
      </c>
      <c r="I448" s="53">
        <v>0.6047619047619047</v>
      </c>
      <c r="J448" s="53">
        <v>6.0</v>
      </c>
      <c r="K448" s="53" t="s">
        <v>53</v>
      </c>
      <c r="L448" s="53" t="s">
        <v>2134</v>
      </c>
    </row>
    <row r="449" ht="15.75" customHeight="1">
      <c r="A449" s="53" t="s">
        <v>2012</v>
      </c>
      <c r="B449" s="53" t="s">
        <v>1687</v>
      </c>
      <c r="D449" s="53" t="s">
        <v>52</v>
      </c>
      <c r="E449" s="53" t="s">
        <v>2177</v>
      </c>
      <c r="F449" s="53" t="s">
        <v>2176</v>
      </c>
      <c r="G449" s="53" t="s">
        <v>2115</v>
      </c>
      <c r="H449" s="53">
        <v>1.0</v>
      </c>
      <c r="I449" s="53">
        <v>0.6227272727272727</v>
      </c>
      <c r="J449" s="53">
        <v>2.0</v>
      </c>
      <c r="K449" s="53" t="s">
        <v>53</v>
      </c>
      <c r="L449" s="53" t="s">
        <v>2134</v>
      </c>
    </row>
    <row r="450" ht="15.75" customHeight="1">
      <c r="A450" s="53" t="s">
        <v>2012</v>
      </c>
      <c r="B450" s="53" t="s">
        <v>1687</v>
      </c>
      <c r="D450" s="53" t="s">
        <v>52</v>
      </c>
      <c r="E450" s="53" t="s">
        <v>2178</v>
      </c>
      <c r="F450" s="53" t="s">
        <v>2179</v>
      </c>
      <c r="G450" s="53" t="s">
        <v>2112</v>
      </c>
      <c r="H450" s="53">
        <v>1.0</v>
      </c>
      <c r="I450" s="53">
        <v>0.6891385767790262</v>
      </c>
      <c r="J450" s="53">
        <v>1.0</v>
      </c>
      <c r="K450" s="53" t="s">
        <v>53</v>
      </c>
      <c r="L450" s="53" t="s">
        <v>2134</v>
      </c>
    </row>
    <row r="451" ht="15.75" customHeight="1">
      <c r="A451" s="53" t="s">
        <v>2012</v>
      </c>
      <c r="B451" s="53" t="s">
        <v>1687</v>
      </c>
      <c r="D451" s="53" t="s">
        <v>2136</v>
      </c>
      <c r="E451" s="53" t="s">
        <v>2180</v>
      </c>
      <c r="F451" s="53" t="s">
        <v>2167</v>
      </c>
      <c r="G451" s="53" t="s">
        <v>46</v>
      </c>
      <c r="H451" s="53">
        <v>1.0</v>
      </c>
      <c r="I451" s="53">
        <v>0.12631578947368421</v>
      </c>
      <c r="J451" s="53">
        <v>4.0</v>
      </c>
      <c r="K451" s="53" t="s">
        <v>53</v>
      </c>
      <c r="L451" s="53" t="s">
        <v>53</v>
      </c>
    </row>
    <row r="452" ht="15.75" customHeight="1">
      <c r="A452" s="53" t="s">
        <v>2012</v>
      </c>
      <c r="B452" s="53" t="s">
        <v>1687</v>
      </c>
      <c r="D452" s="53" t="s">
        <v>2136</v>
      </c>
      <c r="E452" s="53" t="s">
        <v>2181</v>
      </c>
      <c r="F452" s="53" t="s">
        <v>2167</v>
      </c>
      <c r="G452" s="53" t="s">
        <v>2133</v>
      </c>
      <c r="H452" s="53">
        <v>1.0</v>
      </c>
      <c r="I452" s="53">
        <v>0.12631578947368421</v>
      </c>
      <c r="J452" s="53">
        <v>8.0</v>
      </c>
      <c r="K452" s="53" t="s">
        <v>53</v>
      </c>
      <c r="L452" s="53" t="s">
        <v>53</v>
      </c>
    </row>
    <row r="453" ht="15.75" customHeight="1">
      <c r="A453" s="53" t="s">
        <v>2012</v>
      </c>
      <c r="B453" s="53" t="s">
        <v>1687</v>
      </c>
      <c r="D453" s="53" t="s">
        <v>2136</v>
      </c>
      <c r="E453" s="53" t="s">
        <v>2182</v>
      </c>
      <c r="F453" s="53" t="s">
        <v>2171</v>
      </c>
      <c r="G453" s="53" t="s">
        <v>2130</v>
      </c>
      <c r="H453" s="53">
        <v>1.0</v>
      </c>
      <c r="I453" s="53">
        <v>0.3900709219858156</v>
      </c>
      <c r="J453" s="53">
        <v>7.0</v>
      </c>
      <c r="K453" s="53" t="s">
        <v>53</v>
      </c>
      <c r="L453" s="53" t="s">
        <v>2134</v>
      </c>
    </row>
    <row r="454" ht="15.75" customHeight="1">
      <c r="A454" s="53" t="s">
        <v>2012</v>
      </c>
      <c r="B454" s="53" t="s">
        <v>1687</v>
      </c>
      <c r="D454" s="53" t="s">
        <v>2136</v>
      </c>
      <c r="E454" s="53" t="s">
        <v>2183</v>
      </c>
      <c r="F454" s="53" t="s">
        <v>2171</v>
      </c>
      <c r="G454" s="53" t="s">
        <v>2128</v>
      </c>
      <c r="H454" s="53">
        <v>1.0</v>
      </c>
      <c r="I454" s="53">
        <v>0.42</v>
      </c>
      <c r="J454" s="53">
        <v>6.0</v>
      </c>
      <c r="K454" s="53" t="s">
        <v>53</v>
      </c>
      <c r="L454" s="53" t="s">
        <v>2134</v>
      </c>
    </row>
    <row r="455" ht="15.75" customHeight="1">
      <c r="A455" s="53" t="s">
        <v>2012</v>
      </c>
      <c r="B455" s="53" t="s">
        <v>1687</v>
      </c>
      <c r="D455" s="53" t="s">
        <v>2136</v>
      </c>
      <c r="E455" s="53" t="s">
        <v>2184</v>
      </c>
      <c r="F455" s="53" t="s">
        <v>2171</v>
      </c>
      <c r="G455" s="53" t="s">
        <v>2126</v>
      </c>
      <c r="H455" s="53">
        <v>1.0</v>
      </c>
      <c r="I455" s="53">
        <v>0.43870967741935485</v>
      </c>
      <c r="J455" s="53">
        <v>3.0</v>
      </c>
      <c r="K455" s="53" t="s">
        <v>53</v>
      </c>
      <c r="L455" s="53" t="s">
        <v>2134</v>
      </c>
    </row>
    <row r="456" ht="15.75" customHeight="1">
      <c r="A456" s="53" t="s">
        <v>2012</v>
      </c>
      <c r="B456" s="53" t="s">
        <v>1687</v>
      </c>
      <c r="D456" s="53" t="s">
        <v>2136</v>
      </c>
      <c r="E456" s="53" t="s">
        <v>2185</v>
      </c>
      <c r="F456" s="53" t="s">
        <v>2171</v>
      </c>
      <c r="G456" s="53" t="s">
        <v>2124</v>
      </c>
      <c r="H456" s="53">
        <v>1.0</v>
      </c>
      <c r="I456" s="53">
        <v>0.45625</v>
      </c>
      <c r="J456" s="53">
        <v>2.0</v>
      </c>
      <c r="K456" s="53" t="s">
        <v>53</v>
      </c>
      <c r="L456" s="53" t="s">
        <v>2134</v>
      </c>
    </row>
    <row r="457" ht="15.75" customHeight="1">
      <c r="A457" s="53" t="s">
        <v>2012</v>
      </c>
      <c r="B457" s="53" t="s">
        <v>1687</v>
      </c>
      <c r="D457" s="53" t="s">
        <v>2136</v>
      </c>
      <c r="E457" s="53" t="s">
        <v>2186</v>
      </c>
      <c r="F457" s="53" t="s">
        <v>2176</v>
      </c>
      <c r="G457" s="53" t="s">
        <v>2121</v>
      </c>
      <c r="H457" s="53">
        <v>1.0</v>
      </c>
      <c r="I457" s="53">
        <v>0.580952380952381</v>
      </c>
      <c r="J457" s="53">
        <v>5.0</v>
      </c>
      <c r="K457" s="53" t="s">
        <v>53</v>
      </c>
      <c r="L457" s="53" t="s">
        <v>2134</v>
      </c>
    </row>
    <row r="458" ht="15.75" customHeight="1">
      <c r="A458" s="53" t="s">
        <v>2012</v>
      </c>
      <c r="B458" s="53" t="s">
        <v>1687</v>
      </c>
      <c r="D458" s="53" t="s">
        <v>2136</v>
      </c>
      <c r="E458" s="53" t="s">
        <v>2187</v>
      </c>
      <c r="F458" s="53" t="s">
        <v>2176</v>
      </c>
      <c r="G458" s="53" t="s">
        <v>2115</v>
      </c>
      <c r="H458" s="53">
        <v>1.0</v>
      </c>
      <c r="I458" s="53">
        <v>0.6</v>
      </c>
      <c r="J458" s="53">
        <v>1.0</v>
      </c>
      <c r="K458" s="53" t="s">
        <v>53</v>
      </c>
      <c r="L458" s="53" t="s">
        <v>2134</v>
      </c>
    </row>
    <row r="459" ht="15.75" customHeight="1">
      <c r="A459" s="53" t="s">
        <v>2012</v>
      </c>
      <c r="B459" s="53" t="s">
        <v>1687</v>
      </c>
      <c r="D459" s="53" t="s">
        <v>2136</v>
      </c>
      <c r="E459" s="53" t="s">
        <v>2188</v>
      </c>
      <c r="F459" s="53" t="s">
        <v>2179</v>
      </c>
      <c r="G459" s="53" t="s">
        <v>2112</v>
      </c>
      <c r="H459" s="53">
        <v>1.0</v>
      </c>
      <c r="I459" s="53">
        <v>0.6704119850187266</v>
      </c>
      <c r="J459" s="53">
        <v>0.0</v>
      </c>
      <c r="K459" s="53" t="s">
        <v>53</v>
      </c>
      <c r="L459" s="53" t="s">
        <v>2134</v>
      </c>
    </row>
    <row r="460" ht="15.75" customHeight="1">
      <c r="A460" s="53" t="s">
        <v>2012</v>
      </c>
      <c r="B460" s="53" t="s">
        <v>1687</v>
      </c>
      <c r="D460" s="53" t="s">
        <v>2112</v>
      </c>
      <c r="E460" s="53" t="s">
        <v>2189</v>
      </c>
      <c r="F460" s="53" t="s">
        <v>2190</v>
      </c>
      <c r="G460" s="53" t="s">
        <v>2115</v>
      </c>
      <c r="H460" s="53">
        <v>1.0</v>
      </c>
      <c r="I460" s="53">
        <v>0.24719101123595505</v>
      </c>
      <c r="J460" s="53">
        <v>0.0</v>
      </c>
      <c r="K460" s="53" t="s">
        <v>53</v>
      </c>
      <c r="L460" s="53" t="s">
        <v>53</v>
      </c>
    </row>
    <row r="461" ht="15.75" customHeight="1">
      <c r="A461" s="53" t="s">
        <v>2012</v>
      </c>
      <c r="B461" s="53" t="s">
        <v>1687</v>
      </c>
      <c r="D461" s="53" t="s">
        <v>2112</v>
      </c>
      <c r="E461" s="53" t="s">
        <v>2191</v>
      </c>
      <c r="F461" s="53" t="s">
        <v>2190</v>
      </c>
      <c r="G461" s="53" t="s">
        <v>2121</v>
      </c>
      <c r="H461" s="53">
        <v>1.0</v>
      </c>
      <c r="I461" s="53">
        <v>0.2546816479400749</v>
      </c>
      <c r="J461" s="53">
        <v>4.0</v>
      </c>
      <c r="K461" s="53" t="s">
        <v>53</v>
      </c>
      <c r="L461" s="53" t="s">
        <v>53</v>
      </c>
    </row>
    <row r="462" ht="15.75" customHeight="1">
      <c r="A462" s="53" t="s">
        <v>2012</v>
      </c>
      <c r="B462" s="53" t="s">
        <v>1687</v>
      </c>
      <c r="D462" s="53" t="s">
        <v>2112</v>
      </c>
      <c r="E462" s="53" t="s">
        <v>2192</v>
      </c>
      <c r="F462" s="53" t="s">
        <v>2193</v>
      </c>
      <c r="G462" s="53" t="s">
        <v>2124</v>
      </c>
      <c r="H462" s="53">
        <v>1.0</v>
      </c>
      <c r="I462" s="53">
        <v>0.449438202247191</v>
      </c>
      <c r="J462" s="53">
        <v>1.0</v>
      </c>
      <c r="K462" s="53" t="s">
        <v>53</v>
      </c>
      <c r="L462" s="53" t="s">
        <v>53</v>
      </c>
    </row>
    <row r="463" ht="15.75" customHeight="1">
      <c r="A463" s="53" t="s">
        <v>2012</v>
      </c>
      <c r="B463" s="53" t="s">
        <v>1687</v>
      </c>
      <c r="D463" s="53" t="s">
        <v>2112</v>
      </c>
      <c r="E463" s="53" t="s">
        <v>2194</v>
      </c>
      <c r="F463" s="53" t="s">
        <v>2193</v>
      </c>
      <c r="G463" s="53" t="s">
        <v>2126</v>
      </c>
      <c r="H463" s="53">
        <v>1.0</v>
      </c>
      <c r="I463" s="53">
        <v>0.45318352059925093</v>
      </c>
      <c r="J463" s="53">
        <v>2.0</v>
      </c>
      <c r="K463" s="53" t="s">
        <v>53</v>
      </c>
      <c r="L463" s="53" t="s">
        <v>53</v>
      </c>
    </row>
    <row r="464" ht="15.75" customHeight="1">
      <c r="A464" s="53" t="s">
        <v>2012</v>
      </c>
      <c r="B464" s="53" t="s">
        <v>1687</v>
      </c>
      <c r="D464" s="53" t="s">
        <v>2112</v>
      </c>
      <c r="E464" s="53" t="s">
        <v>2195</v>
      </c>
      <c r="F464" s="53" t="s">
        <v>2193</v>
      </c>
      <c r="G464" s="53" t="s">
        <v>2128</v>
      </c>
      <c r="H464" s="53">
        <v>1.0</v>
      </c>
      <c r="I464" s="53">
        <v>0.46441947565543074</v>
      </c>
      <c r="J464" s="53">
        <v>5.0</v>
      </c>
      <c r="K464" s="53" t="s">
        <v>53</v>
      </c>
      <c r="L464" s="53" t="s">
        <v>53</v>
      </c>
    </row>
    <row r="465" ht="15.75" customHeight="1">
      <c r="A465" s="53" t="s">
        <v>2012</v>
      </c>
      <c r="B465" s="53" t="s">
        <v>1687</v>
      </c>
      <c r="D465" s="53" t="s">
        <v>2112</v>
      </c>
      <c r="E465" s="53" t="s">
        <v>2196</v>
      </c>
      <c r="F465" s="53" t="s">
        <v>2193</v>
      </c>
      <c r="G465" s="53" t="s">
        <v>2130</v>
      </c>
      <c r="H465" s="53">
        <v>1.0</v>
      </c>
      <c r="I465" s="53">
        <v>0.47191011235955055</v>
      </c>
      <c r="J465" s="53">
        <v>6.0</v>
      </c>
      <c r="K465" s="53" t="s">
        <v>53</v>
      </c>
      <c r="L465" s="53" t="s">
        <v>53</v>
      </c>
    </row>
    <row r="466" ht="15.75" customHeight="1">
      <c r="A466" s="53" t="s">
        <v>2012</v>
      </c>
      <c r="B466" s="53" t="s">
        <v>1687</v>
      </c>
      <c r="D466" s="53" t="s">
        <v>2112</v>
      </c>
      <c r="E466" s="53" t="s">
        <v>2197</v>
      </c>
      <c r="F466" s="53" t="s">
        <v>2198</v>
      </c>
      <c r="G466" s="53" t="s">
        <v>2133</v>
      </c>
      <c r="H466" s="53">
        <v>1.0</v>
      </c>
      <c r="I466" s="53">
        <v>0.6629213483146067</v>
      </c>
      <c r="J466" s="53">
        <v>7.0</v>
      </c>
      <c r="K466" s="53" t="s">
        <v>53</v>
      </c>
      <c r="L466" s="53" t="s">
        <v>2134</v>
      </c>
    </row>
    <row r="467" ht="15.75" customHeight="1">
      <c r="A467" s="53" t="s">
        <v>2012</v>
      </c>
      <c r="B467" s="53" t="s">
        <v>1687</v>
      </c>
      <c r="D467" s="53" t="s">
        <v>2112</v>
      </c>
      <c r="E467" s="53" t="s">
        <v>2199</v>
      </c>
      <c r="F467" s="53" t="s">
        <v>2198</v>
      </c>
      <c r="G467" s="53" t="s">
        <v>46</v>
      </c>
      <c r="H467" s="53">
        <v>1.0</v>
      </c>
      <c r="I467" s="53">
        <v>0.6853932584269663</v>
      </c>
      <c r="J467" s="53">
        <v>3.0</v>
      </c>
      <c r="K467" s="53" t="s">
        <v>53</v>
      </c>
      <c r="L467" s="53" t="s">
        <v>2134</v>
      </c>
    </row>
    <row r="468" ht="15.75" customHeight="1">
      <c r="A468" s="53" t="s">
        <v>2012</v>
      </c>
      <c r="B468" s="53" t="s">
        <v>1687</v>
      </c>
      <c r="D468" s="53" t="s">
        <v>2115</v>
      </c>
      <c r="E468" s="53" t="s">
        <v>2200</v>
      </c>
      <c r="F468" s="53" t="s">
        <v>2140</v>
      </c>
      <c r="G468" s="53" t="s">
        <v>2121</v>
      </c>
      <c r="H468" s="53">
        <v>1.0</v>
      </c>
      <c r="I468" s="53">
        <v>0.10909090909090909</v>
      </c>
      <c r="J468" s="53">
        <v>3.0</v>
      </c>
      <c r="K468" s="53" t="s">
        <v>53</v>
      </c>
      <c r="L468" s="53" t="s">
        <v>53</v>
      </c>
    </row>
    <row r="469" ht="15.75" customHeight="1">
      <c r="A469" s="53" t="s">
        <v>2012</v>
      </c>
      <c r="B469" s="53" t="s">
        <v>1687</v>
      </c>
      <c r="D469" s="53" t="s">
        <v>2115</v>
      </c>
      <c r="E469" s="53" t="s">
        <v>2201</v>
      </c>
      <c r="F469" s="53" t="s">
        <v>2146</v>
      </c>
      <c r="G469" s="53" t="s">
        <v>2126</v>
      </c>
      <c r="H469" s="53">
        <v>1.0</v>
      </c>
      <c r="I469" s="53">
        <v>0.3409090909090909</v>
      </c>
      <c r="J469" s="53">
        <v>1.0</v>
      </c>
      <c r="K469" s="53" t="s">
        <v>53</v>
      </c>
      <c r="L469" s="53" t="s">
        <v>53</v>
      </c>
    </row>
    <row r="470" ht="15.75" customHeight="1">
      <c r="A470" s="53" t="s">
        <v>2012</v>
      </c>
      <c r="B470" s="53" t="s">
        <v>1687</v>
      </c>
      <c r="D470" s="53" t="s">
        <v>2115</v>
      </c>
      <c r="E470" s="53" t="s">
        <v>2202</v>
      </c>
      <c r="F470" s="53" t="s">
        <v>2146</v>
      </c>
      <c r="G470" s="53" t="s">
        <v>2124</v>
      </c>
      <c r="H470" s="53">
        <v>1.0</v>
      </c>
      <c r="I470" s="53">
        <v>0.3409090909090909</v>
      </c>
      <c r="J470" s="53">
        <v>0.0</v>
      </c>
      <c r="K470" s="53" t="s">
        <v>53</v>
      </c>
      <c r="L470" s="53" t="s">
        <v>53</v>
      </c>
    </row>
    <row r="471" ht="15.75" customHeight="1">
      <c r="A471" s="53" t="s">
        <v>2012</v>
      </c>
      <c r="B471" s="53" t="s">
        <v>1687</v>
      </c>
      <c r="D471" s="53" t="s">
        <v>2115</v>
      </c>
      <c r="E471" s="53" t="s">
        <v>2203</v>
      </c>
      <c r="F471" s="53" t="s">
        <v>2146</v>
      </c>
      <c r="G471" s="53" t="s">
        <v>2128</v>
      </c>
      <c r="H471" s="53">
        <v>1.0</v>
      </c>
      <c r="I471" s="53">
        <v>0.35909090909090907</v>
      </c>
      <c r="J471" s="53">
        <v>4.0</v>
      </c>
      <c r="K471" s="53" t="s">
        <v>53</v>
      </c>
      <c r="L471" s="53" t="s">
        <v>53</v>
      </c>
    </row>
    <row r="472" ht="15.75" customHeight="1">
      <c r="A472" s="53" t="s">
        <v>2012</v>
      </c>
      <c r="B472" s="53" t="s">
        <v>1687</v>
      </c>
      <c r="D472" s="53" t="s">
        <v>2115</v>
      </c>
      <c r="E472" s="53" t="s">
        <v>2204</v>
      </c>
      <c r="F472" s="53" t="s">
        <v>2146</v>
      </c>
      <c r="G472" s="53" t="s">
        <v>2130</v>
      </c>
      <c r="H472" s="53">
        <v>1.0</v>
      </c>
      <c r="I472" s="53">
        <v>0.36818181818181817</v>
      </c>
      <c r="J472" s="53">
        <v>5.0</v>
      </c>
      <c r="K472" s="53" t="s">
        <v>53</v>
      </c>
      <c r="L472" s="53" t="s">
        <v>53</v>
      </c>
    </row>
    <row r="473" ht="15.75" customHeight="1">
      <c r="A473" s="53" t="s">
        <v>2012</v>
      </c>
      <c r="B473" s="53" t="s">
        <v>1687</v>
      </c>
      <c r="D473" s="53" t="s">
        <v>2115</v>
      </c>
      <c r="E473" s="53" t="s">
        <v>2205</v>
      </c>
      <c r="F473" s="53" t="s">
        <v>2151</v>
      </c>
      <c r="G473" s="53" t="s">
        <v>2133</v>
      </c>
      <c r="H473" s="53">
        <v>1.0</v>
      </c>
      <c r="I473" s="53">
        <v>0.5954545454545455</v>
      </c>
      <c r="J473" s="53">
        <v>6.0</v>
      </c>
      <c r="K473" s="53" t="s">
        <v>53</v>
      </c>
      <c r="L473" s="53" t="s">
        <v>2134</v>
      </c>
    </row>
    <row r="474" ht="15.75" customHeight="1">
      <c r="A474" s="53" t="s">
        <v>2012</v>
      </c>
      <c r="B474" s="53" t="s">
        <v>1687</v>
      </c>
      <c r="D474" s="53" t="s">
        <v>2115</v>
      </c>
      <c r="E474" s="53" t="s">
        <v>2206</v>
      </c>
      <c r="F474" s="53" t="s">
        <v>2151</v>
      </c>
      <c r="G474" s="53" t="s">
        <v>46</v>
      </c>
      <c r="H474" s="53">
        <v>1.0</v>
      </c>
      <c r="I474" s="53">
        <v>0.6136363636363636</v>
      </c>
      <c r="J474" s="53">
        <v>2.0</v>
      </c>
      <c r="K474" s="53" t="s">
        <v>53</v>
      </c>
      <c r="L474" s="53" t="s">
        <v>2134</v>
      </c>
    </row>
    <row r="475" ht="15.75" customHeight="1">
      <c r="A475" s="53" t="s">
        <v>2012</v>
      </c>
      <c r="B475" s="53" t="s">
        <v>1687</v>
      </c>
      <c r="D475" s="53" t="s">
        <v>2124</v>
      </c>
      <c r="E475" s="53" t="s">
        <v>2207</v>
      </c>
      <c r="F475" s="53" t="s">
        <v>2208</v>
      </c>
      <c r="G475" s="53" t="s">
        <v>2126</v>
      </c>
      <c r="H475" s="53">
        <v>1.0</v>
      </c>
      <c r="I475" s="53">
        <v>0.04375</v>
      </c>
      <c r="J475" s="53">
        <v>0.0</v>
      </c>
      <c r="K475" s="53" t="s">
        <v>53</v>
      </c>
      <c r="L475" s="53" t="s">
        <v>53</v>
      </c>
    </row>
    <row r="476" ht="15.75" customHeight="1">
      <c r="A476" s="53" t="s">
        <v>2012</v>
      </c>
      <c r="B476" s="53" t="s">
        <v>1687</v>
      </c>
      <c r="D476" s="53" t="s">
        <v>2124</v>
      </c>
      <c r="E476" s="53" t="s">
        <v>2209</v>
      </c>
      <c r="F476" s="53" t="s">
        <v>2208</v>
      </c>
      <c r="G476" s="53" t="s">
        <v>2128</v>
      </c>
      <c r="H476" s="53">
        <v>1.0</v>
      </c>
      <c r="I476" s="53">
        <v>0.125</v>
      </c>
      <c r="J476" s="53">
        <v>3.0</v>
      </c>
      <c r="K476" s="53" t="s">
        <v>53</v>
      </c>
      <c r="L476" s="53" t="s">
        <v>53</v>
      </c>
    </row>
    <row r="477" ht="15.75" customHeight="1">
      <c r="A477" s="53" t="s">
        <v>2012</v>
      </c>
      <c r="B477" s="53" t="s">
        <v>1687</v>
      </c>
      <c r="D477" s="53" t="s">
        <v>2124</v>
      </c>
      <c r="E477" s="53" t="s">
        <v>2210</v>
      </c>
      <c r="F477" s="53" t="s">
        <v>2208</v>
      </c>
      <c r="G477" s="53" t="s">
        <v>2130</v>
      </c>
      <c r="H477" s="53">
        <v>1.0</v>
      </c>
      <c r="I477" s="53">
        <v>0.13125</v>
      </c>
      <c r="J477" s="53">
        <v>4.0</v>
      </c>
      <c r="K477" s="53" t="s">
        <v>53</v>
      </c>
      <c r="L477" s="53" t="s">
        <v>53</v>
      </c>
    </row>
    <row r="478" ht="15.75" customHeight="1">
      <c r="A478" s="53" t="s">
        <v>2012</v>
      </c>
      <c r="B478" s="53" t="s">
        <v>1687</v>
      </c>
      <c r="D478" s="53" t="s">
        <v>2124</v>
      </c>
      <c r="E478" s="53" t="s">
        <v>2211</v>
      </c>
      <c r="F478" s="53" t="s">
        <v>2212</v>
      </c>
      <c r="G478" s="53" t="s">
        <v>2121</v>
      </c>
      <c r="H478" s="53">
        <v>1.0</v>
      </c>
      <c r="I478" s="53">
        <v>0.319047619047619</v>
      </c>
      <c r="J478" s="53">
        <v>2.0</v>
      </c>
      <c r="K478" s="53" t="s">
        <v>53</v>
      </c>
      <c r="L478" s="53" t="s">
        <v>53</v>
      </c>
    </row>
    <row r="479" ht="15.75" customHeight="1">
      <c r="A479" s="53" t="s">
        <v>2012</v>
      </c>
      <c r="B479" s="53" t="s">
        <v>1687</v>
      </c>
      <c r="D479" s="53" t="s">
        <v>2124</v>
      </c>
      <c r="E479" s="53" t="s">
        <v>2213</v>
      </c>
      <c r="F479" s="53" t="s">
        <v>2214</v>
      </c>
      <c r="G479" s="53" t="s">
        <v>2133</v>
      </c>
      <c r="H479" s="53">
        <v>1.0</v>
      </c>
      <c r="I479" s="53">
        <v>0.45</v>
      </c>
      <c r="J479" s="53">
        <v>5.0</v>
      </c>
      <c r="K479" s="53" t="s">
        <v>53</v>
      </c>
      <c r="L479" s="53" t="s">
        <v>2134</v>
      </c>
    </row>
    <row r="480" ht="15.75" customHeight="1">
      <c r="A480" s="53" t="s">
        <v>2012</v>
      </c>
      <c r="B480" s="53" t="s">
        <v>1687</v>
      </c>
      <c r="D480" s="53" t="s">
        <v>2124</v>
      </c>
      <c r="E480" s="53" t="s">
        <v>2215</v>
      </c>
      <c r="F480" s="53" t="s">
        <v>2214</v>
      </c>
      <c r="G480" s="53" t="s">
        <v>46</v>
      </c>
      <c r="H480" s="53">
        <v>1.0</v>
      </c>
      <c r="I480" s="53">
        <v>0.475</v>
      </c>
      <c r="J480" s="53">
        <v>1.0</v>
      </c>
      <c r="K480" s="53" t="s">
        <v>53</v>
      </c>
      <c r="L480" s="53" t="s">
        <v>2134</v>
      </c>
    </row>
    <row r="481" ht="15.75" customHeight="1">
      <c r="A481" s="53" t="s">
        <v>2012</v>
      </c>
      <c r="B481" s="53" t="s">
        <v>1687</v>
      </c>
      <c r="D481" s="53" t="s">
        <v>2126</v>
      </c>
      <c r="E481" s="53" t="s">
        <v>2216</v>
      </c>
      <c r="F481" s="53" t="s">
        <v>2208</v>
      </c>
      <c r="G481" s="53" t="s">
        <v>2128</v>
      </c>
      <c r="H481" s="53">
        <v>1.0</v>
      </c>
      <c r="I481" s="53">
        <v>0.1032258064516129</v>
      </c>
      <c r="J481" s="53">
        <v>2.0</v>
      </c>
      <c r="K481" s="53" t="s">
        <v>53</v>
      </c>
      <c r="L481" s="53" t="s">
        <v>53</v>
      </c>
    </row>
    <row r="482" ht="15.75" customHeight="1">
      <c r="A482" s="53" t="s">
        <v>2012</v>
      </c>
      <c r="B482" s="53" t="s">
        <v>1687</v>
      </c>
      <c r="D482" s="53" t="s">
        <v>2126</v>
      </c>
      <c r="E482" s="53" t="s">
        <v>2217</v>
      </c>
      <c r="F482" s="53" t="s">
        <v>2208</v>
      </c>
      <c r="G482" s="53" t="s">
        <v>2130</v>
      </c>
      <c r="H482" s="53">
        <v>1.0</v>
      </c>
      <c r="I482" s="53">
        <v>0.10967741935483871</v>
      </c>
      <c r="J482" s="53">
        <v>3.0</v>
      </c>
      <c r="K482" s="53" t="s">
        <v>53</v>
      </c>
      <c r="L482" s="53" t="s">
        <v>53</v>
      </c>
    </row>
    <row r="483" ht="15.75" customHeight="1">
      <c r="A483" s="53" t="s">
        <v>2012</v>
      </c>
      <c r="B483" s="53" t="s">
        <v>1687</v>
      </c>
      <c r="D483" s="53" t="s">
        <v>2126</v>
      </c>
      <c r="E483" s="53" t="s">
        <v>2218</v>
      </c>
      <c r="F483" s="53" t="s">
        <v>2212</v>
      </c>
      <c r="G483" s="53" t="s">
        <v>2121</v>
      </c>
      <c r="H483" s="53">
        <v>1.0</v>
      </c>
      <c r="I483" s="53">
        <v>0.319047619047619</v>
      </c>
      <c r="J483" s="53">
        <v>1.0</v>
      </c>
      <c r="K483" s="53" t="s">
        <v>53</v>
      </c>
      <c r="L483" s="53" t="s">
        <v>53</v>
      </c>
    </row>
    <row r="484" ht="15.75" customHeight="1">
      <c r="A484" s="53" t="s">
        <v>2012</v>
      </c>
      <c r="B484" s="53" t="s">
        <v>1687</v>
      </c>
      <c r="D484" s="53" t="s">
        <v>2126</v>
      </c>
      <c r="E484" s="53" t="s">
        <v>2219</v>
      </c>
      <c r="F484" s="53" t="s">
        <v>2214</v>
      </c>
      <c r="G484" s="53" t="s">
        <v>2133</v>
      </c>
      <c r="H484" s="53">
        <v>1.0</v>
      </c>
      <c r="I484" s="53">
        <v>0.432258064516129</v>
      </c>
      <c r="J484" s="53">
        <v>4.0</v>
      </c>
      <c r="K484" s="53" t="s">
        <v>53</v>
      </c>
      <c r="L484" s="53" t="s">
        <v>2134</v>
      </c>
    </row>
    <row r="485" ht="15.75" customHeight="1">
      <c r="A485" s="53" t="s">
        <v>2012</v>
      </c>
      <c r="B485" s="53" t="s">
        <v>1687</v>
      </c>
      <c r="D485" s="53" t="s">
        <v>2126</v>
      </c>
      <c r="E485" s="53" t="s">
        <v>2220</v>
      </c>
      <c r="F485" s="53" t="s">
        <v>2214</v>
      </c>
      <c r="G485" s="53" t="s">
        <v>46</v>
      </c>
      <c r="H485" s="53">
        <v>1.0</v>
      </c>
      <c r="I485" s="53">
        <v>0.45806451612903226</v>
      </c>
      <c r="J485" s="53">
        <v>0.0</v>
      </c>
      <c r="K485" s="53" t="s">
        <v>53</v>
      </c>
      <c r="L485" s="53" t="s">
        <v>2134</v>
      </c>
    </row>
    <row r="486" ht="15.75" customHeight="1">
      <c r="A486" s="53" t="s">
        <v>2012</v>
      </c>
      <c r="B486" s="53" t="s">
        <v>1687</v>
      </c>
      <c r="D486" s="53" t="s">
        <v>46</v>
      </c>
      <c r="E486" s="53" t="s">
        <v>2221</v>
      </c>
      <c r="F486" s="53" t="s">
        <v>2167</v>
      </c>
      <c r="G486" s="53" t="s">
        <v>2133</v>
      </c>
      <c r="H486" s="53">
        <v>1.0</v>
      </c>
      <c r="I486" s="53">
        <v>0.12631578947368421</v>
      </c>
      <c r="J486" s="53">
        <v>3.0</v>
      </c>
      <c r="K486" s="53" t="s">
        <v>53</v>
      </c>
      <c r="L486" s="53" t="s">
        <v>53</v>
      </c>
    </row>
    <row r="487" ht="15.75" customHeight="1">
      <c r="A487" s="53" t="s">
        <v>2012</v>
      </c>
      <c r="B487" s="53" t="s">
        <v>1687</v>
      </c>
      <c r="D487" s="53" t="s">
        <v>46</v>
      </c>
      <c r="E487" s="53" t="s">
        <v>2222</v>
      </c>
      <c r="F487" s="53" t="s">
        <v>2171</v>
      </c>
      <c r="G487" s="53" t="s">
        <v>2130</v>
      </c>
      <c r="H487" s="53">
        <v>1.0</v>
      </c>
      <c r="I487" s="53">
        <v>0.41843971631205673</v>
      </c>
      <c r="J487" s="53">
        <v>2.0</v>
      </c>
      <c r="K487" s="53" t="s">
        <v>53</v>
      </c>
      <c r="L487" s="53" t="s">
        <v>2134</v>
      </c>
    </row>
    <row r="488" ht="15.75" customHeight="1">
      <c r="A488" s="53" t="s">
        <v>2012</v>
      </c>
      <c r="B488" s="53" t="s">
        <v>1687</v>
      </c>
      <c r="D488" s="53" t="s">
        <v>46</v>
      </c>
      <c r="E488" s="53" t="s">
        <v>2223</v>
      </c>
      <c r="F488" s="53" t="s">
        <v>2171</v>
      </c>
      <c r="G488" s="53" t="s">
        <v>2128</v>
      </c>
      <c r="H488" s="53">
        <v>1.0</v>
      </c>
      <c r="I488" s="53">
        <v>0.44</v>
      </c>
      <c r="J488" s="53">
        <v>1.0</v>
      </c>
      <c r="K488" s="53" t="s">
        <v>53</v>
      </c>
      <c r="L488" s="53" t="s">
        <v>2134</v>
      </c>
    </row>
    <row r="489" ht="15.75" customHeight="1">
      <c r="A489" s="53" t="s">
        <v>2012</v>
      </c>
      <c r="B489" s="53" t="s">
        <v>1687</v>
      </c>
      <c r="D489" s="53" t="s">
        <v>46</v>
      </c>
      <c r="E489" s="53" t="s">
        <v>2224</v>
      </c>
      <c r="F489" s="53" t="s">
        <v>2176</v>
      </c>
      <c r="G489" s="53" t="s">
        <v>2121</v>
      </c>
      <c r="H489" s="53">
        <v>1.0</v>
      </c>
      <c r="I489" s="53">
        <v>0.5952380952380952</v>
      </c>
      <c r="J489" s="53">
        <v>0.0</v>
      </c>
      <c r="K489" s="53" t="s">
        <v>53</v>
      </c>
      <c r="L489" s="53" t="s">
        <v>2134</v>
      </c>
    </row>
    <row r="490" ht="15.75" customHeight="1">
      <c r="A490" s="53" t="s">
        <v>2012</v>
      </c>
      <c r="B490" s="53" t="s">
        <v>1687</v>
      </c>
      <c r="D490" s="53" t="s">
        <v>2121</v>
      </c>
      <c r="E490" s="53" t="s">
        <v>2225</v>
      </c>
      <c r="F490" s="53" t="s">
        <v>2146</v>
      </c>
      <c r="G490" s="53" t="s">
        <v>2128</v>
      </c>
      <c r="H490" s="53">
        <v>1.0</v>
      </c>
      <c r="I490" s="53">
        <v>0.29523809523809524</v>
      </c>
      <c r="J490" s="53">
        <v>0.0</v>
      </c>
      <c r="K490" s="53" t="s">
        <v>53</v>
      </c>
      <c r="L490" s="53" t="s">
        <v>53</v>
      </c>
    </row>
    <row r="491" ht="15.75" customHeight="1">
      <c r="A491" s="53" t="s">
        <v>2012</v>
      </c>
      <c r="B491" s="53" t="s">
        <v>1687</v>
      </c>
      <c r="D491" s="53" t="s">
        <v>2121</v>
      </c>
      <c r="E491" s="53" t="s">
        <v>2226</v>
      </c>
      <c r="F491" s="53" t="s">
        <v>2146</v>
      </c>
      <c r="G491" s="53" t="s">
        <v>2130</v>
      </c>
      <c r="H491" s="53">
        <v>1.0</v>
      </c>
      <c r="I491" s="53">
        <v>0.3380952380952381</v>
      </c>
      <c r="J491" s="53">
        <v>1.0</v>
      </c>
      <c r="K491" s="53" t="s">
        <v>53</v>
      </c>
      <c r="L491" s="53" t="s">
        <v>53</v>
      </c>
    </row>
    <row r="492" ht="15.75" customHeight="1">
      <c r="A492" s="53" t="s">
        <v>2012</v>
      </c>
      <c r="B492" s="53" t="s">
        <v>1687</v>
      </c>
      <c r="D492" s="53" t="s">
        <v>2121</v>
      </c>
      <c r="E492" s="53" t="s">
        <v>2227</v>
      </c>
      <c r="F492" s="53" t="s">
        <v>2151</v>
      </c>
      <c r="G492" s="53" t="s">
        <v>2133</v>
      </c>
      <c r="H492" s="53">
        <v>1.0</v>
      </c>
      <c r="I492" s="53">
        <v>0.5761904761904761</v>
      </c>
      <c r="J492" s="53">
        <v>2.0</v>
      </c>
      <c r="K492" s="53" t="s">
        <v>53</v>
      </c>
      <c r="L492" s="53" t="s">
        <v>2134</v>
      </c>
    </row>
    <row r="493" ht="15.75" customHeight="1">
      <c r="A493" s="53" t="s">
        <v>2012</v>
      </c>
      <c r="B493" s="53" t="s">
        <v>1687</v>
      </c>
      <c r="D493" s="53" t="s">
        <v>2128</v>
      </c>
      <c r="E493" s="53" t="s">
        <v>2228</v>
      </c>
      <c r="F493" s="53" t="s">
        <v>2208</v>
      </c>
      <c r="G493" s="53" t="s">
        <v>2130</v>
      </c>
      <c r="H493" s="53">
        <v>1.0</v>
      </c>
      <c r="I493" s="53">
        <v>0.07333333333333333</v>
      </c>
      <c r="J493" s="53">
        <v>0.0</v>
      </c>
      <c r="K493" s="53" t="s">
        <v>53</v>
      </c>
      <c r="L493" s="53" t="s">
        <v>53</v>
      </c>
    </row>
    <row r="494" ht="15.75" customHeight="1">
      <c r="A494" s="53" t="s">
        <v>2012</v>
      </c>
      <c r="B494" s="53" t="s">
        <v>1687</v>
      </c>
      <c r="D494" s="53" t="s">
        <v>2128</v>
      </c>
      <c r="E494" s="53" t="s">
        <v>2229</v>
      </c>
      <c r="F494" s="53" t="s">
        <v>2214</v>
      </c>
      <c r="G494" s="53" t="s">
        <v>2133</v>
      </c>
      <c r="H494" s="53">
        <v>1.0</v>
      </c>
      <c r="I494" s="53">
        <v>0.42</v>
      </c>
      <c r="J494" s="53">
        <v>1.0</v>
      </c>
      <c r="K494" s="53" t="s">
        <v>53</v>
      </c>
      <c r="L494" s="53" t="s">
        <v>2134</v>
      </c>
    </row>
    <row r="495" ht="15.75" customHeight="1">
      <c r="A495" s="53" t="s">
        <v>2012</v>
      </c>
      <c r="B495" s="53" t="s">
        <v>1687</v>
      </c>
      <c r="D495" s="53" t="s">
        <v>2130</v>
      </c>
      <c r="E495" s="53" t="s">
        <v>2230</v>
      </c>
      <c r="F495" s="53" t="s">
        <v>2214</v>
      </c>
      <c r="G495" s="53" t="s">
        <v>2133</v>
      </c>
      <c r="H495" s="53">
        <v>1.0</v>
      </c>
      <c r="I495" s="53">
        <v>0.3829787234042553</v>
      </c>
      <c r="J495" s="53">
        <v>0.0</v>
      </c>
      <c r="K495" s="53" t="s">
        <v>53</v>
      </c>
      <c r="L495" s="53" t="s">
        <v>2134</v>
      </c>
    </row>
    <row r="496" ht="15.75" customHeight="1">
      <c r="A496" s="53" t="s">
        <v>2231</v>
      </c>
      <c r="B496" s="53" t="s">
        <v>1687</v>
      </c>
      <c r="D496" s="53" t="s">
        <v>1592</v>
      </c>
      <c r="E496" s="53" t="s">
        <v>2232</v>
      </c>
      <c r="F496" s="53" t="s">
        <v>1594</v>
      </c>
      <c r="G496" s="53" t="s">
        <v>1595</v>
      </c>
      <c r="H496" s="53">
        <v>1.0</v>
      </c>
      <c r="I496" s="53">
        <v>0.045454545454545456</v>
      </c>
      <c r="J496" s="53">
        <v>0.0</v>
      </c>
      <c r="K496" s="53" t="s">
        <v>53</v>
      </c>
      <c r="L496" s="53" t="s">
        <v>53</v>
      </c>
    </row>
    <row r="497" ht="15.75" customHeight="1">
      <c r="A497" s="53" t="s">
        <v>2231</v>
      </c>
      <c r="B497" s="53" t="s">
        <v>1687</v>
      </c>
      <c r="D497" s="53" t="s">
        <v>1596</v>
      </c>
      <c r="E497" s="53" t="s">
        <v>2233</v>
      </c>
      <c r="F497" s="53" t="s">
        <v>2234</v>
      </c>
      <c r="G497" s="53" t="s">
        <v>1599</v>
      </c>
      <c r="H497" s="53">
        <v>0.6</v>
      </c>
      <c r="I497" s="53">
        <v>0.05</v>
      </c>
      <c r="J497" s="53">
        <v>0.0</v>
      </c>
      <c r="K497" s="53" t="s">
        <v>53</v>
      </c>
      <c r="L497" s="53" t="s">
        <v>1199</v>
      </c>
    </row>
    <row r="498" ht="15.75" customHeight="1">
      <c r="A498" s="53" t="s">
        <v>2231</v>
      </c>
      <c r="B498" s="53" t="s">
        <v>1687</v>
      </c>
      <c r="D498" s="53" t="s">
        <v>1224</v>
      </c>
      <c r="E498" s="53" t="s">
        <v>2235</v>
      </c>
      <c r="F498" s="53" t="s">
        <v>2236</v>
      </c>
      <c r="G498" s="53" t="s">
        <v>1227</v>
      </c>
      <c r="H498" s="53">
        <v>1.0</v>
      </c>
      <c r="I498" s="53">
        <v>0.2677165354330709</v>
      </c>
      <c r="J498" s="53">
        <v>0.0</v>
      </c>
      <c r="K498" s="53" t="s">
        <v>53</v>
      </c>
      <c r="L498" s="53" t="s">
        <v>53</v>
      </c>
    </row>
    <row r="499" ht="15.75" customHeight="1">
      <c r="A499" s="53" t="s">
        <v>2231</v>
      </c>
      <c r="B499" s="53" t="s">
        <v>1687</v>
      </c>
      <c r="D499" s="53" t="s">
        <v>1224</v>
      </c>
      <c r="E499" s="53" t="s">
        <v>2237</v>
      </c>
      <c r="F499" s="53" t="s">
        <v>2238</v>
      </c>
      <c r="G499" s="53" t="s">
        <v>1230</v>
      </c>
      <c r="H499" s="53">
        <v>1.0</v>
      </c>
      <c r="I499" s="53">
        <v>0.500768049155146</v>
      </c>
      <c r="J499" s="53">
        <v>1.0</v>
      </c>
      <c r="K499" s="53" t="s">
        <v>53</v>
      </c>
      <c r="L499" s="53" t="s">
        <v>53</v>
      </c>
    </row>
    <row r="500" ht="15.75" customHeight="1">
      <c r="A500" s="53" t="s">
        <v>2231</v>
      </c>
      <c r="B500" s="53" t="s">
        <v>1687</v>
      </c>
      <c r="D500" s="53" t="s">
        <v>1227</v>
      </c>
      <c r="E500" s="53" t="s">
        <v>2239</v>
      </c>
      <c r="F500" s="53" t="s">
        <v>2238</v>
      </c>
      <c r="G500" s="53" t="s">
        <v>1230</v>
      </c>
      <c r="H500" s="53">
        <v>1.0</v>
      </c>
      <c r="I500" s="53">
        <v>0.47619047619047616</v>
      </c>
      <c r="J500" s="53">
        <v>0.0</v>
      </c>
      <c r="K500" s="53" t="s">
        <v>53</v>
      </c>
      <c r="L500" s="53" t="s">
        <v>53</v>
      </c>
    </row>
    <row r="501" ht="15.75" customHeight="1">
      <c r="A501" s="53" t="s">
        <v>2240</v>
      </c>
      <c r="B501" s="53" t="s">
        <v>1687</v>
      </c>
      <c r="D501" s="53" t="s">
        <v>1578</v>
      </c>
      <c r="E501" s="53" t="s">
        <v>2241</v>
      </c>
      <c r="F501" s="53" t="s">
        <v>1580</v>
      </c>
      <c r="G501" s="53" t="s">
        <v>1581</v>
      </c>
      <c r="H501" s="53">
        <v>1.0</v>
      </c>
      <c r="I501" s="53">
        <v>0.04477611940298507</v>
      </c>
      <c r="J501" s="53">
        <v>0.0</v>
      </c>
      <c r="K501" s="53" t="s">
        <v>53</v>
      </c>
      <c r="L501" s="53" t="s">
        <v>53</v>
      </c>
    </row>
    <row r="502" ht="15.75" customHeight="1">
      <c r="A502" s="53" t="s">
        <v>2240</v>
      </c>
      <c r="B502" s="53" t="s">
        <v>1687</v>
      </c>
      <c r="D502" s="53" t="s">
        <v>1232</v>
      </c>
      <c r="E502" s="53" t="s">
        <v>2242</v>
      </c>
      <c r="F502" s="53" t="s">
        <v>2243</v>
      </c>
      <c r="G502" s="53" t="s">
        <v>1235</v>
      </c>
      <c r="H502" s="53">
        <v>1.0</v>
      </c>
      <c r="I502" s="53">
        <v>0.5897887323943662</v>
      </c>
      <c r="J502" s="53">
        <v>0.0</v>
      </c>
      <c r="K502" s="53" t="s">
        <v>53</v>
      </c>
      <c r="L502" s="53" t="s">
        <v>53</v>
      </c>
    </row>
    <row r="503" ht="15.75" customHeight="1">
      <c r="A503" s="53" t="s">
        <v>2244</v>
      </c>
      <c r="B503" s="53" t="s">
        <v>1687</v>
      </c>
      <c r="D503" s="53" t="s">
        <v>128</v>
      </c>
      <c r="E503" s="53" t="s">
        <v>2245</v>
      </c>
      <c r="F503" s="53" t="s">
        <v>2246</v>
      </c>
      <c r="G503" s="53" t="s">
        <v>2247</v>
      </c>
      <c r="H503" s="53">
        <v>1.0</v>
      </c>
      <c r="I503" s="53">
        <v>0.0502283105022831</v>
      </c>
      <c r="J503" s="53">
        <v>0.0</v>
      </c>
      <c r="K503" s="53" t="s">
        <v>53</v>
      </c>
      <c r="L503" s="53" t="s">
        <v>53</v>
      </c>
    </row>
    <row r="504" ht="15.75" customHeight="1">
      <c r="A504" s="53" t="s">
        <v>2244</v>
      </c>
      <c r="B504" s="53" t="s">
        <v>1687</v>
      </c>
      <c r="D504" s="53" t="s">
        <v>128</v>
      </c>
      <c r="E504" s="53" t="s">
        <v>2248</v>
      </c>
      <c r="F504" s="53" t="s">
        <v>2246</v>
      </c>
      <c r="G504" s="53" t="s">
        <v>134</v>
      </c>
      <c r="H504" s="53">
        <v>1.0</v>
      </c>
      <c r="I504" s="53">
        <v>0.06912442396313365</v>
      </c>
      <c r="J504" s="53">
        <v>1.0</v>
      </c>
      <c r="K504" s="53" t="s">
        <v>53</v>
      </c>
      <c r="L504" s="53" t="s">
        <v>53</v>
      </c>
    </row>
    <row r="505" ht="15.75" customHeight="1">
      <c r="A505" s="53" t="s">
        <v>2244</v>
      </c>
      <c r="B505" s="53" t="s">
        <v>1687</v>
      </c>
      <c r="D505" s="53" t="s">
        <v>2247</v>
      </c>
      <c r="E505" s="53" t="s">
        <v>2249</v>
      </c>
      <c r="F505" s="53" t="s">
        <v>2246</v>
      </c>
      <c r="G505" s="53" t="s">
        <v>134</v>
      </c>
      <c r="H505" s="53">
        <v>1.0</v>
      </c>
      <c r="I505" s="53">
        <v>0.1141552511415525</v>
      </c>
      <c r="J505" s="53">
        <v>0.0</v>
      </c>
      <c r="K505" s="53" t="s">
        <v>53</v>
      </c>
      <c r="L505" s="53" t="s">
        <v>53</v>
      </c>
    </row>
    <row r="506" ht="15.75" customHeight="1">
      <c r="A506" s="53" t="s">
        <v>2244</v>
      </c>
      <c r="B506" s="53" t="s">
        <v>1687</v>
      </c>
      <c r="D506" s="53" t="s">
        <v>1606</v>
      </c>
      <c r="E506" s="53" t="s">
        <v>2250</v>
      </c>
      <c r="F506" s="53" t="s">
        <v>2251</v>
      </c>
      <c r="G506" s="53" t="s">
        <v>1609</v>
      </c>
      <c r="H506" s="53">
        <v>1.0</v>
      </c>
      <c r="I506" s="53">
        <v>0.0321285140562249</v>
      </c>
      <c r="J506" s="53">
        <v>1.0</v>
      </c>
      <c r="K506" s="53" t="s">
        <v>53</v>
      </c>
      <c r="L506" s="53" t="s">
        <v>53</v>
      </c>
    </row>
    <row r="507" ht="15.75" customHeight="1">
      <c r="A507" s="53" t="s">
        <v>2244</v>
      </c>
      <c r="B507" s="53" t="s">
        <v>1687</v>
      </c>
      <c r="D507" s="53" t="s">
        <v>1606</v>
      </c>
      <c r="E507" s="53" t="s">
        <v>2252</v>
      </c>
      <c r="F507" s="53" t="s">
        <v>2251</v>
      </c>
      <c r="G507" s="53" t="s">
        <v>1611</v>
      </c>
      <c r="H507" s="53">
        <v>1.0</v>
      </c>
      <c r="I507" s="53">
        <v>0.0321285140562249</v>
      </c>
      <c r="J507" s="53">
        <v>0.0</v>
      </c>
      <c r="K507" s="53" t="s">
        <v>53</v>
      </c>
      <c r="L507" s="53" t="s">
        <v>53</v>
      </c>
    </row>
    <row r="508" ht="15.75" customHeight="1">
      <c r="A508" s="53" t="s">
        <v>2244</v>
      </c>
      <c r="B508" s="53" t="s">
        <v>1687</v>
      </c>
      <c r="D508" s="53" t="s">
        <v>1611</v>
      </c>
      <c r="E508" s="53" t="s">
        <v>2253</v>
      </c>
      <c r="F508" s="53" t="s">
        <v>2251</v>
      </c>
      <c r="G508" s="53" t="s">
        <v>1609</v>
      </c>
      <c r="H508" s="53">
        <v>1.0</v>
      </c>
      <c r="I508" s="53">
        <v>0.04417670682730924</v>
      </c>
      <c r="J508" s="53">
        <v>0.0</v>
      </c>
      <c r="K508" s="53" t="s">
        <v>53</v>
      </c>
      <c r="L508" s="53" t="s">
        <v>53</v>
      </c>
    </row>
    <row r="509" ht="15.75" customHeight="1">
      <c r="A509" s="53" t="s">
        <v>2254</v>
      </c>
      <c r="B509" s="53" t="s">
        <v>1687</v>
      </c>
      <c r="D509" s="53" t="s">
        <v>1213</v>
      </c>
      <c r="E509" s="53" t="s">
        <v>2255</v>
      </c>
      <c r="F509" s="53" t="s">
        <v>2256</v>
      </c>
      <c r="G509" s="53" t="s">
        <v>1216</v>
      </c>
      <c r="H509" s="53">
        <v>1.0</v>
      </c>
      <c r="I509" s="53">
        <v>0.30597014925373134</v>
      </c>
      <c r="J509" s="53">
        <v>1.0</v>
      </c>
      <c r="K509" s="53" t="s">
        <v>53</v>
      </c>
      <c r="L509" s="53" t="s">
        <v>53</v>
      </c>
    </row>
    <row r="510" ht="15.75" customHeight="1">
      <c r="A510" s="53" t="s">
        <v>2257</v>
      </c>
      <c r="B510" s="53" t="s">
        <v>1687</v>
      </c>
      <c r="D510" s="53" t="s">
        <v>1345</v>
      </c>
      <c r="E510" s="53" t="s">
        <v>2258</v>
      </c>
      <c r="F510" s="53" t="s">
        <v>73</v>
      </c>
      <c r="G510" s="53" t="s">
        <v>1347</v>
      </c>
      <c r="H510" s="53">
        <v>1.0</v>
      </c>
      <c r="I510" s="53">
        <v>0.18181818181818182</v>
      </c>
      <c r="J510" s="53">
        <v>4.0</v>
      </c>
      <c r="K510" s="53" t="s">
        <v>53</v>
      </c>
      <c r="L510" s="53" t="s">
        <v>53</v>
      </c>
    </row>
    <row r="511" ht="15.75" customHeight="1">
      <c r="A511" s="53" t="s">
        <v>2257</v>
      </c>
      <c r="B511" s="53" t="s">
        <v>1687</v>
      </c>
      <c r="D511" s="53" t="s">
        <v>1345</v>
      </c>
      <c r="E511" s="53" t="s">
        <v>2259</v>
      </c>
      <c r="F511" s="53" t="s">
        <v>73</v>
      </c>
      <c r="G511" s="53" t="s">
        <v>1349</v>
      </c>
      <c r="H511" s="53">
        <v>1.0</v>
      </c>
      <c r="I511" s="53">
        <v>0.18181818181818182</v>
      </c>
      <c r="J511" s="53">
        <v>0.0</v>
      </c>
      <c r="K511" s="53" t="s">
        <v>53</v>
      </c>
      <c r="L511" s="53" t="s">
        <v>53</v>
      </c>
    </row>
    <row r="512" ht="15.75" customHeight="1">
      <c r="A512" s="53" t="s">
        <v>2257</v>
      </c>
      <c r="B512" s="53" t="s">
        <v>1687</v>
      </c>
      <c r="D512" s="53" t="s">
        <v>1345</v>
      </c>
      <c r="E512" s="53" t="s">
        <v>2260</v>
      </c>
      <c r="F512" s="53" t="s">
        <v>73</v>
      </c>
      <c r="G512" s="53" t="s">
        <v>1351</v>
      </c>
      <c r="H512" s="53">
        <v>1.0</v>
      </c>
      <c r="I512" s="53">
        <v>0.20454545454545456</v>
      </c>
      <c r="J512" s="53">
        <v>1.0</v>
      </c>
      <c r="K512" s="53" t="s">
        <v>53</v>
      </c>
      <c r="L512" s="53" t="s">
        <v>53</v>
      </c>
    </row>
    <row r="513" ht="15.75" customHeight="1">
      <c r="A513" s="53" t="s">
        <v>2257</v>
      </c>
      <c r="B513" s="53" t="s">
        <v>1687</v>
      </c>
      <c r="D513" s="53" t="s">
        <v>1345</v>
      </c>
      <c r="E513" s="53" t="s">
        <v>2261</v>
      </c>
      <c r="F513" s="53" t="s">
        <v>73</v>
      </c>
      <c r="G513" s="53" t="s">
        <v>1353</v>
      </c>
      <c r="H513" s="53">
        <v>1.0</v>
      </c>
      <c r="I513" s="53">
        <v>0.20454545454545456</v>
      </c>
      <c r="J513" s="53">
        <v>2.0</v>
      </c>
      <c r="K513" s="53" t="s">
        <v>53</v>
      </c>
      <c r="L513" s="53" t="s">
        <v>53</v>
      </c>
    </row>
    <row r="514" ht="15.75" customHeight="1">
      <c r="A514" s="53" t="s">
        <v>2257</v>
      </c>
      <c r="B514" s="53" t="s">
        <v>1687</v>
      </c>
      <c r="D514" s="53" t="s">
        <v>1345</v>
      </c>
      <c r="E514" s="53" t="s">
        <v>2262</v>
      </c>
      <c r="F514" s="53" t="s">
        <v>73</v>
      </c>
      <c r="G514" s="53" t="s">
        <v>1355</v>
      </c>
      <c r="H514" s="53">
        <v>1.0</v>
      </c>
      <c r="I514" s="53">
        <v>0.20454545454545456</v>
      </c>
      <c r="J514" s="53">
        <v>3.0</v>
      </c>
      <c r="K514" s="53" t="s">
        <v>53</v>
      </c>
      <c r="L514" s="53" t="s">
        <v>53</v>
      </c>
    </row>
    <row r="515" ht="15.75" customHeight="1">
      <c r="A515" s="53" t="s">
        <v>2257</v>
      </c>
      <c r="B515" s="53" t="s">
        <v>1687</v>
      </c>
      <c r="D515" s="53" t="s">
        <v>1349</v>
      </c>
      <c r="E515" s="53" t="s">
        <v>2263</v>
      </c>
      <c r="F515" s="53" t="s">
        <v>73</v>
      </c>
      <c r="G515" s="53" t="s">
        <v>1351</v>
      </c>
      <c r="H515" s="53">
        <v>1.0</v>
      </c>
      <c r="I515" s="53">
        <v>0.15476190476190477</v>
      </c>
      <c r="J515" s="53">
        <v>0.0</v>
      </c>
      <c r="K515" s="53" t="s">
        <v>53</v>
      </c>
      <c r="L515" s="53" t="s">
        <v>53</v>
      </c>
    </row>
    <row r="516" ht="15.75" customHeight="1">
      <c r="A516" s="53" t="s">
        <v>2257</v>
      </c>
      <c r="B516" s="53" t="s">
        <v>1687</v>
      </c>
      <c r="D516" s="53" t="s">
        <v>1349</v>
      </c>
      <c r="E516" s="53" t="s">
        <v>2264</v>
      </c>
      <c r="F516" s="53" t="s">
        <v>73</v>
      </c>
      <c r="G516" s="53" t="s">
        <v>1353</v>
      </c>
      <c r="H516" s="53">
        <v>1.0</v>
      </c>
      <c r="I516" s="53">
        <v>0.15476190476190477</v>
      </c>
      <c r="J516" s="53">
        <v>1.0</v>
      </c>
      <c r="K516" s="53" t="s">
        <v>53</v>
      </c>
      <c r="L516" s="53" t="s">
        <v>53</v>
      </c>
    </row>
    <row r="517" ht="15.75" customHeight="1">
      <c r="A517" s="53" t="s">
        <v>2257</v>
      </c>
      <c r="B517" s="53" t="s">
        <v>1687</v>
      </c>
      <c r="D517" s="53" t="s">
        <v>1349</v>
      </c>
      <c r="E517" s="53" t="s">
        <v>2265</v>
      </c>
      <c r="F517" s="53" t="s">
        <v>73</v>
      </c>
      <c r="G517" s="53" t="s">
        <v>1347</v>
      </c>
      <c r="H517" s="53">
        <v>1.0</v>
      </c>
      <c r="I517" s="53">
        <v>0.15476190476190477</v>
      </c>
      <c r="J517" s="53">
        <v>3.0</v>
      </c>
      <c r="K517" s="53" t="s">
        <v>53</v>
      </c>
      <c r="L517" s="53" t="s">
        <v>53</v>
      </c>
    </row>
    <row r="518" ht="15.75" customHeight="1">
      <c r="A518" s="53" t="s">
        <v>2257</v>
      </c>
      <c r="B518" s="53" t="s">
        <v>1687</v>
      </c>
      <c r="D518" s="53" t="s">
        <v>1349</v>
      </c>
      <c r="E518" s="53" t="s">
        <v>2266</v>
      </c>
      <c r="F518" s="53" t="s">
        <v>73</v>
      </c>
      <c r="G518" s="53" t="s">
        <v>1355</v>
      </c>
      <c r="H518" s="53">
        <v>1.0</v>
      </c>
      <c r="I518" s="53">
        <v>0.15476190476190477</v>
      </c>
      <c r="J518" s="53">
        <v>2.0</v>
      </c>
      <c r="K518" s="53" t="s">
        <v>53</v>
      </c>
      <c r="L518" s="53" t="s">
        <v>53</v>
      </c>
    </row>
    <row r="519" ht="15.75" customHeight="1">
      <c r="A519" s="53" t="s">
        <v>2257</v>
      </c>
      <c r="B519" s="53" t="s">
        <v>1687</v>
      </c>
      <c r="D519" s="53" t="s">
        <v>1351</v>
      </c>
      <c r="E519" s="53" t="s">
        <v>2267</v>
      </c>
      <c r="F519" s="53" t="s">
        <v>73</v>
      </c>
      <c r="G519" s="53" t="s">
        <v>1353</v>
      </c>
      <c r="H519" s="53">
        <v>1.0</v>
      </c>
      <c r="I519" s="53">
        <v>0.047619047619047616</v>
      </c>
      <c r="J519" s="53">
        <v>0.0</v>
      </c>
      <c r="K519" s="53" t="s">
        <v>53</v>
      </c>
      <c r="L519" s="53" t="s">
        <v>53</v>
      </c>
    </row>
    <row r="520" ht="15.75" customHeight="1">
      <c r="A520" s="53" t="s">
        <v>2257</v>
      </c>
      <c r="B520" s="53" t="s">
        <v>1687</v>
      </c>
      <c r="D520" s="53" t="s">
        <v>1351</v>
      </c>
      <c r="E520" s="53" t="s">
        <v>2268</v>
      </c>
      <c r="F520" s="53" t="s">
        <v>73</v>
      </c>
      <c r="G520" s="53" t="s">
        <v>1355</v>
      </c>
      <c r="H520" s="53">
        <v>1.0</v>
      </c>
      <c r="I520" s="53">
        <v>0.047619047619047616</v>
      </c>
      <c r="J520" s="53">
        <v>1.0</v>
      </c>
      <c r="K520" s="53" t="s">
        <v>53</v>
      </c>
      <c r="L520" s="53" t="s">
        <v>53</v>
      </c>
    </row>
    <row r="521" ht="15.75" customHeight="1">
      <c r="A521" s="53" t="s">
        <v>2257</v>
      </c>
      <c r="B521" s="53" t="s">
        <v>1687</v>
      </c>
      <c r="D521" s="53" t="s">
        <v>1351</v>
      </c>
      <c r="E521" s="53" t="s">
        <v>2269</v>
      </c>
      <c r="F521" s="53" t="s">
        <v>73</v>
      </c>
      <c r="G521" s="53" t="s">
        <v>1347</v>
      </c>
      <c r="H521" s="53">
        <v>1.0</v>
      </c>
      <c r="I521" s="53">
        <v>0.05</v>
      </c>
      <c r="J521" s="53">
        <v>2.0</v>
      </c>
      <c r="K521" s="53" t="s">
        <v>53</v>
      </c>
      <c r="L521" s="53" t="s">
        <v>53</v>
      </c>
    </row>
    <row r="522" ht="15.75" customHeight="1">
      <c r="A522" s="53" t="s">
        <v>2257</v>
      </c>
      <c r="B522" s="53" t="s">
        <v>1687</v>
      </c>
      <c r="D522" s="53" t="s">
        <v>1353</v>
      </c>
      <c r="E522" s="53" t="s">
        <v>2270</v>
      </c>
      <c r="F522" s="53" t="s">
        <v>73</v>
      </c>
      <c r="G522" s="53" t="s">
        <v>1355</v>
      </c>
      <c r="H522" s="53">
        <v>1.0</v>
      </c>
      <c r="I522" s="53">
        <v>0.023809523809523808</v>
      </c>
      <c r="J522" s="53">
        <v>0.0</v>
      </c>
      <c r="K522" s="53" t="s">
        <v>53</v>
      </c>
      <c r="L522" s="53" t="s">
        <v>53</v>
      </c>
    </row>
    <row r="523" ht="15.75" customHeight="1">
      <c r="A523" s="53" t="s">
        <v>2257</v>
      </c>
      <c r="B523" s="53" t="s">
        <v>1687</v>
      </c>
      <c r="D523" s="53" t="s">
        <v>1353</v>
      </c>
      <c r="E523" s="53" t="s">
        <v>2271</v>
      </c>
      <c r="F523" s="53" t="s">
        <v>73</v>
      </c>
      <c r="G523" s="53" t="s">
        <v>1347</v>
      </c>
      <c r="H523" s="53">
        <v>1.0</v>
      </c>
      <c r="I523" s="53">
        <v>0.09523809523809523</v>
      </c>
      <c r="J523" s="53">
        <v>1.0</v>
      </c>
      <c r="K523" s="53" t="s">
        <v>53</v>
      </c>
      <c r="L523" s="53" t="s">
        <v>53</v>
      </c>
    </row>
    <row r="524" ht="15.75" customHeight="1">
      <c r="A524" s="53" t="s">
        <v>2257</v>
      </c>
      <c r="B524" s="53" t="s">
        <v>1687</v>
      </c>
      <c r="D524" s="53" t="s">
        <v>1355</v>
      </c>
      <c r="E524" s="53" t="s">
        <v>2272</v>
      </c>
      <c r="F524" s="53" t="s">
        <v>73</v>
      </c>
      <c r="G524" s="53" t="s">
        <v>1347</v>
      </c>
      <c r="H524" s="53">
        <v>1.0</v>
      </c>
      <c r="I524" s="53">
        <v>0.09523809523809523</v>
      </c>
      <c r="J524" s="53">
        <v>0.0</v>
      </c>
      <c r="K524" s="53" t="s">
        <v>53</v>
      </c>
      <c r="L524" s="53" t="s">
        <v>53</v>
      </c>
    </row>
    <row r="525" ht="15.75" customHeight="1">
      <c r="A525" s="53" t="s">
        <v>2273</v>
      </c>
      <c r="B525" s="53" t="s">
        <v>1687</v>
      </c>
      <c r="D525" s="53" t="s">
        <v>1585</v>
      </c>
      <c r="E525" s="53" t="s">
        <v>2274</v>
      </c>
      <c r="F525" s="53" t="s">
        <v>1587</v>
      </c>
      <c r="G525" s="53" t="s">
        <v>1588</v>
      </c>
      <c r="H525" s="53">
        <v>1.0</v>
      </c>
      <c r="I525" s="53">
        <v>0.04477611940298507</v>
      </c>
      <c r="J525" s="53">
        <v>0.0</v>
      </c>
      <c r="K525" s="53" t="s">
        <v>53</v>
      </c>
      <c r="L525" s="53" t="s">
        <v>53</v>
      </c>
    </row>
    <row r="526" ht="15.75" customHeight="1">
      <c r="A526" s="53" t="s">
        <v>2273</v>
      </c>
      <c r="B526" s="53" t="s">
        <v>1687</v>
      </c>
      <c r="D526" s="53" t="s">
        <v>2275</v>
      </c>
      <c r="E526" s="53" t="s">
        <v>2276</v>
      </c>
      <c r="F526" s="53" t="s">
        <v>2277</v>
      </c>
      <c r="G526" s="53" t="s">
        <v>2278</v>
      </c>
      <c r="H526" s="53">
        <v>0.6</v>
      </c>
      <c r="I526" s="53">
        <v>0.09349593495934959</v>
      </c>
      <c r="J526" s="53">
        <v>0.0</v>
      </c>
      <c r="K526" s="53" t="s">
        <v>53</v>
      </c>
      <c r="L526" s="53" t="s">
        <v>1199</v>
      </c>
    </row>
    <row r="527" ht="15.75" customHeight="1">
      <c r="A527" s="53" t="s">
        <v>2273</v>
      </c>
      <c r="B527" s="53" t="s">
        <v>1687</v>
      </c>
      <c r="D527" s="53" t="s">
        <v>1232</v>
      </c>
      <c r="E527" s="53" t="s">
        <v>2279</v>
      </c>
      <c r="F527" s="53" t="s">
        <v>2280</v>
      </c>
      <c r="G527" s="53" t="s">
        <v>1235</v>
      </c>
      <c r="H527" s="53">
        <v>1.0</v>
      </c>
      <c r="I527" s="53">
        <v>0.5897887323943662</v>
      </c>
      <c r="J527" s="53">
        <v>0.0</v>
      </c>
      <c r="K527" s="53" t="s">
        <v>53</v>
      </c>
      <c r="L527" s="53" t="s">
        <v>53</v>
      </c>
    </row>
    <row r="528" ht="15.75" customHeight="1">
      <c r="A528" s="53" t="s">
        <v>2281</v>
      </c>
      <c r="B528" s="53" t="s">
        <v>1687</v>
      </c>
      <c r="D528" s="53" t="s">
        <v>189</v>
      </c>
      <c r="E528" s="53" t="s">
        <v>2282</v>
      </c>
      <c r="F528" s="53" t="s">
        <v>193</v>
      </c>
      <c r="G528" s="53" t="s">
        <v>727</v>
      </c>
      <c r="H528" s="53">
        <v>1.0</v>
      </c>
      <c r="I528" s="53">
        <v>0.045454545454545456</v>
      </c>
      <c r="J528" s="53">
        <v>0.0</v>
      </c>
      <c r="K528" s="53" t="s">
        <v>53</v>
      </c>
      <c r="L528" s="53" t="s">
        <v>53</v>
      </c>
    </row>
    <row r="529" ht="15.75" customHeight="1">
      <c r="A529" s="53" t="s">
        <v>2281</v>
      </c>
      <c r="B529" s="53" t="s">
        <v>1687</v>
      </c>
      <c r="D529" s="53" t="s">
        <v>189</v>
      </c>
      <c r="E529" s="53" t="s">
        <v>191</v>
      </c>
      <c r="F529" s="53" t="s">
        <v>193</v>
      </c>
      <c r="G529" s="53" t="s">
        <v>195</v>
      </c>
      <c r="H529" s="53">
        <v>1.0</v>
      </c>
      <c r="I529" s="53">
        <v>0.1568627450980392</v>
      </c>
      <c r="J529" s="53">
        <v>1.0</v>
      </c>
      <c r="K529" s="53" t="s">
        <v>53</v>
      </c>
      <c r="L529" s="53" t="s">
        <v>53</v>
      </c>
    </row>
    <row r="530" ht="15.75" customHeight="1">
      <c r="A530" s="53" t="s">
        <v>2281</v>
      </c>
      <c r="B530" s="53" t="s">
        <v>1687</v>
      </c>
      <c r="D530" s="53" t="s">
        <v>727</v>
      </c>
      <c r="E530" s="53" t="s">
        <v>2283</v>
      </c>
      <c r="F530" s="53" t="s">
        <v>193</v>
      </c>
      <c r="G530" s="53" t="s">
        <v>195</v>
      </c>
      <c r="H530" s="53">
        <v>1.0</v>
      </c>
      <c r="I530" s="53">
        <v>0.1568627450980392</v>
      </c>
      <c r="J530" s="53">
        <v>0.0</v>
      </c>
      <c r="K530" s="53" t="s">
        <v>53</v>
      </c>
      <c r="L530" s="53" t="s">
        <v>53</v>
      </c>
    </row>
    <row r="531" ht="15.75" customHeight="1">
      <c r="A531" s="53" t="s">
        <v>2281</v>
      </c>
      <c r="B531" s="53" t="s">
        <v>1687</v>
      </c>
      <c r="D531" s="53" t="s">
        <v>2284</v>
      </c>
      <c r="E531" s="53" t="s">
        <v>2285</v>
      </c>
      <c r="F531" s="53" t="s">
        <v>145</v>
      </c>
      <c r="G531" s="53" t="s">
        <v>2286</v>
      </c>
      <c r="H531" s="53">
        <v>1.0</v>
      </c>
      <c r="I531" s="53">
        <v>0.03875968992248062</v>
      </c>
      <c r="J531" s="53">
        <v>0.0</v>
      </c>
      <c r="K531" s="53" t="s">
        <v>53</v>
      </c>
      <c r="L531" s="53" t="s">
        <v>53</v>
      </c>
    </row>
    <row r="532" ht="15.75" customHeight="1">
      <c r="A532" s="53" t="s">
        <v>2281</v>
      </c>
      <c r="B532" s="53" t="s">
        <v>1687</v>
      </c>
      <c r="D532" s="53" t="s">
        <v>2284</v>
      </c>
      <c r="E532" s="53" t="s">
        <v>2287</v>
      </c>
      <c r="F532" s="53" t="s">
        <v>145</v>
      </c>
      <c r="G532" s="53" t="s">
        <v>1626</v>
      </c>
      <c r="H532" s="53">
        <v>1.0</v>
      </c>
      <c r="I532" s="53">
        <v>0.748062015503876</v>
      </c>
      <c r="J532" s="53">
        <v>1.0</v>
      </c>
      <c r="K532" s="53" t="s">
        <v>53</v>
      </c>
      <c r="L532" s="53" t="s">
        <v>53</v>
      </c>
    </row>
    <row r="533" ht="15.75" customHeight="1">
      <c r="A533" s="53" t="s">
        <v>2281</v>
      </c>
      <c r="B533" s="53" t="s">
        <v>1687</v>
      </c>
      <c r="D533" s="53" t="s">
        <v>2286</v>
      </c>
      <c r="E533" s="53" t="s">
        <v>2288</v>
      </c>
      <c r="F533" s="53" t="s">
        <v>145</v>
      </c>
      <c r="G533" s="53" t="s">
        <v>1626</v>
      </c>
      <c r="H533" s="53">
        <v>1.0</v>
      </c>
      <c r="I533" s="53">
        <v>0.7385229540918163</v>
      </c>
      <c r="J533" s="53">
        <v>0.0</v>
      </c>
      <c r="K533" s="53" t="s">
        <v>53</v>
      </c>
      <c r="L533" s="53" t="s">
        <v>53</v>
      </c>
    </row>
    <row r="534" ht="15.75" customHeight="1">
      <c r="A534" s="53" t="s">
        <v>2281</v>
      </c>
      <c r="B534" s="53" t="s">
        <v>1687</v>
      </c>
      <c r="D534" s="53" t="s">
        <v>737</v>
      </c>
      <c r="E534" s="53" t="s">
        <v>2289</v>
      </c>
      <c r="F534" s="53" t="s">
        <v>741</v>
      </c>
      <c r="G534" s="53" t="s">
        <v>1632</v>
      </c>
      <c r="H534" s="53">
        <v>1.0</v>
      </c>
      <c r="I534" s="53">
        <v>0.049079754601226995</v>
      </c>
      <c r="J534" s="53">
        <v>0.0</v>
      </c>
      <c r="K534" s="53" t="s">
        <v>53</v>
      </c>
      <c r="L534" s="53" t="s">
        <v>53</v>
      </c>
    </row>
    <row r="535" ht="15.75" customHeight="1">
      <c r="A535" s="53" t="s">
        <v>2290</v>
      </c>
      <c r="B535" s="53" t="s">
        <v>1687</v>
      </c>
      <c r="D535" s="53" t="s">
        <v>2291</v>
      </c>
      <c r="E535" s="53" t="s">
        <v>2292</v>
      </c>
      <c r="F535" s="53" t="s">
        <v>741</v>
      </c>
      <c r="G535" s="53" t="s">
        <v>2293</v>
      </c>
      <c r="H535" s="53">
        <v>1.0</v>
      </c>
      <c r="I535" s="53">
        <v>0.5290322580645161</v>
      </c>
      <c r="J535" s="53">
        <v>7.0</v>
      </c>
      <c r="K535" s="53" t="s">
        <v>53</v>
      </c>
      <c r="L535" s="53" t="s">
        <v>53</v>
      </c>
    </row>
    <row r="536" ht="15.75" customHeight="1">
      <c r="A536" s="53" t="s">
        <v>2290</v>
      </c>
      <c r="B536" s="53" t="s">
        <v>1687</v>
      </c>
      <c r="D536" s="53" t="s">
        <v>2291</v>
      </c>
      <c r="E536" s="53" t="s">
        <v>2294</v>
      </c>
      <c r="F536" s="53" t="s">
        <v>741</v>
      </c>
      <c r="G536" s="53" t="s">
        <v>2295</v>
      </c>
      <c r="H536" s="53">
        <v>1.0</v>
      </c>
      <c r="I536" s="53">
        <v>0.5870967741935483</v>
      </c>
      <c r="J536" s="53">
        <v>13.0</v>
      </c>
      <c r="K536" s="53" t="s">
        <v>53</v>
      </c>
      <c r="L536" s="53" t="s">
        <v>53</v>
      </c>
    </row>
    <row r="537" ht="15.75" customHeight="1">
      <c r="A537" s="53" t="s">
        <v>2290</v>
      </c>
      <c r="B537" s="53" t="s">
        <v>1687</v>
      </c>
      <c r="D537" s="53" t="s">
        <v>2291</v>
      </c>
      <c r="E537" s="53" t="s">
        <v>2296</v>
      </c>
      <c r="F537" s="53" t="s">
        <v>741</v>
      </c>
      <c r="G537" s="53" t="s">
        <v>2297</v>
      </c>
      <c r="H537" s="53">
        <v>1.0</v>
      </c>
      <c r="I537" s="53">
        <v>0.5903225806451613</v>
      </c>
      <c r="J537" s="53">
        <v>6.0</v>
      </c>
      <c r="K537" s="53" t="s">
        <v>53</v>
      </c>
      <c r="L537" s="53" t="s">
        <v>53</v>
      </c>
    </row>
    <row r="538" ht="15.75" customHeight="1">
      <c r="A538" s="53" t="s">
        <v>2290</v>
      </c>
      <c r="B538" s="53" t="s">
        <v>1687</v>
      </c>
      <c r="D538" s="53" t="s">
        <v>2298</v>
      </c>
      <c r="E538" s="53" t="s">
        <v>2299</v>
      </c>
      <c r="F538" s="53" t="s">
        <v>2300</v>
      </c>
      <c r="G538" s="53" t="s">
        <v>2301</v>
      </c>
      <c r="H538" s="53">
        <v>1.0</v>
      </c>
      <c r="I538" s="53">
        <v>0.12380952380952381</v>
      </c>
      <c r="J538" s="53">
        <v>8.0</v>
      </c>
      <c r="K538" s="53" t="s">
        <v>53</v>
      </c>
      <c r="L538" s="53" t="s">
        <v>53</v>
      </c>
    </row>
    <row r="539" ht="15.75" customHeight="1">
      <c r="A539" s="53" t="s">
        <v>2290</v>
      </c>
      <c r="B539" s="53" t="s">
        <v>1687</v>
      </c>
      <c r="D539" s="53" t="s">
        <v>2298</v>
      </c>
      <c r="E539" s="53" t="s">
        <v>2302</v>
      </c>
      <c r="F539" s="53" t="s">
        <v>2300</v>
      </c>
      <c r="G539" s="53" t="s">
        <v>2303</v>
      </c>
      <c r="H539" s="53">
        <v>1.0</v>
      </c>
      <c r="I539" s="53">
        <v>0.168141592920354</v>
      </c>
      <c r="J539" s="53">
        <v>7.0</v>
      </c>
      <c r="K539" s="53" t="s">
        <v>53</v>
      </c>
      <c r="L539" s="53" t="s">
        <v>53</v>
      </c>
    </row>
    <row r="540" ht="15.75" customHeight="1">
      <c r="A540" s="53" t="s">
        <v>2290</v>
      </c>
      <c r="B540" s="53" t="s">
        <v>1687</v>
      </c>
      <c r="D540" s="53" t="s">
        <v>2298</v>
      </c>
      <c r="E540" s="53" t="s">
        <v>2304</v>
      </c>
      <c r="F540" s="53" t="s">
        <v>2305</v>
      </c>
      <c r="G540" s="53" t="s">
        <v>2306</v>
      </c>
      <c r="H540" s="53">
        <v>1.0</v>
      </c>
      <c r="I540" s="53">
        <v>0.41818181818181815</v>
      </c>
      <c r="J540" s="53">
        <v>9.0</v>
      </c>
      <c r="K540" s="53" t="s">
        <v>53</v>
      </c>
      <c r="L540" s="53" t="s">
        <v>2307</v>
      </c>
    </row>
    <row r="541" ht="15.75" customHeight="1">
      <c r="A541" s="53" t="s">
        <v>2290</v>
      </c>
      <c r="B541" s="53" t="s">
        <v>1687</v>
      </c>
      <c r="D541" s="53" t="s">
        <v>2298</v>
      </c>
      <c r="E541" s="53" t="s">
        <v>2308</v>
      </c>
      <c r="F541" s="53" t="s">
        <v>2305</v>
      </c>
      <c r="G541" s="53" t="s">
        <v>2309</v>
      </c>
      <c r="H541" s="53">
        <v>1.0</v>
      </c>
      <c r="I541" s="53">
        <v>0.42857142857142855</v>
      </c>
      <c r="J541" s="53">
        <v>11.0</v>
      </c>
      <c r="K541" s="53" t="s">
        <v>53</v>
      </c>
      <c r="L541" s="53" t="s">
        <v>2307</v>
      </c>
    </row>
    <row r="542" ht="15.75" customHeight="1">
      <c r="A542" s="53" t="s">
        <v>2290</v>
      </c>
      <c r="B542" s="53" t="s">
        <v>1687</v>
      </c>
      <c r="D542" s="53" t="s">
        <v>2298</v>
      </c>
      <c r="E542" s="53" t="s">
        <v>2310</v>
      </c>
      <c r="F542" s="53" t="s">
        <v>2311</v>
      </c>
      <c r="G542" s="53" t="s">
        <v>689</v>
      </c>
      <c r="H542" s="53">
        <v>1.0</v>
      </c>
      <c r="I542" s="53">
        <v>0.7889344262295082</v>
      </c>
      <c r="J542" s="53">
        <v>3.0</v>
      </c>
      <c r="K542" s="53" t="s">
        <v>53</v>
      </c>
      <c r="L542" s="53" t="s">
        <v>2307</v>
      </c>
    </row>
    <row r="543" ht="15.75" customHeight="1">
      <c r="A543" s="53" t="s">
        <v>2290</v>
      </c>
      <c r="B543" s="53" t="s">
        <v>1687</v>
      </c>
      <c r="D543" s="53" t="s">
        <v>2298</v>
      </c>
      <c r="E543" s="53" t="s">
        <v>2312</v>
      </c>
      <c r="F543" s="53" t="s">
        <v>2313</v>
      </c>
      <c r="G543" s="53" t="s">
        <v>2314</v>
      </c>
      <c r="H543" s="53">
        <v>1.0</v>
      </c>
      <c r="I543" s="53">
        <v>0.8134057971014492</v>
      </c>
      <c r="J543" s="53">
        <v>4.0</v>
      </c>
      <c r="K543" s="53" t="s">
        <v>53</v>
      </c>
      <c r="L543" s="53" t="s">
        <v>2307</v>
      </c>
    </row>
    <row r="544" ht="15.75" customHeight="1">
      <c r="A544" s="53" t="s">
        <v>2290</v>
      </c>
      <c r="B544" s="53" t="s">
        <v>1687</v>
      </c>
      <c r="D544" s="53" t="s">
        <v>2298</v>
      </c>
      <c r="E544" s="53" t="s">
        <v>2315</v>
      </c>
      <c r="F544" s="53" t="s">
        <v>2316</v>
      </c>
      <c r="G544" s="53" t="s">
        <v>2317</v>
      </c>
      <c r="H544" s="53">
        <v>1.0</v>
      </c>
      <c r="I544" s="53">
        <v>0.8344155844155844</v>
      </c>
      <c r="J544" s="53">
        <v>13.0</v>
      </c>
      <c r="K544" s="53" t="s">
        <v>53</v>
      </c>
      <c r="L544" s="53" t="s">
        <v>2307</v>
      </c>
    </row>
    <row r="545" ht="15.75" customHeight="1">
      <c r="A545" s="53" t="s">
        <v>2290</v>
      </c>
      <c r="B545" s="53" t="s">
        <v>1687</v>
      </c>
      <c r="D545" s="53" t="s">
        <v>2298</v>
      </c>
      <c r="E545" s="53" t="s">
        <v>2318</v>
      </c>
      <c r="F545" s="53" t="s">
        <v>2319</v>
      </c>
      <c r="G545" s="53" t="s">
        <v>2320</v>
      </c>
      <c r="H545" s="53">
        <v>1.0</v>
      </c>
      <c r="I545" s="53">
        <v>0.8483063328424153</v>
      </c>
      <c r="J545" s="53">
        <v>1.0</v>
      </c>
      <c r="K545" s="53" t="s">
        <v>53</v>
      </c>
      <c r="L545" s="53" t="s">
        <v>2307</v>
      </c>
    </row>
    <row r="546" ht="15.75" customHeight="1">
      <c r="A546" s="53" t="s">
        <v>2290</v>
      </c>
      <c r="B546" s="53" t="s">
        <v>1687</v>
      </c>
      <c r="D546" s="53" t="s">
        <v>2298</v>
      </c>
      <c r="E546" s="53" t="s">
        <v>2321</v>
      </c>
      <c r="F546" s="53" t="s">
        <v>2322</v>
      </c>
      <c r="G546" s="53" t="s">
        <v>2323</v>
      </c>
      <c r="H546" s="53">
        <v>1.0</v>
      </c>
      <c r="I546" s="53">
        <v>0.9031954887218046</v>
      </c>
      <c r="J546" s="53">
        <v>2.0</v>
      </c>
      <c r="K546" s="53" t="s">
        <v>53</v>
      </c>
      <c r="L546" s="53" t="s">
        <v>2307</v>
      </c>
    </row>
    <row r="547" ht="15.75" customHeight="1">
      <c r="A547" s="53" t="s">
        <v>2290</v>
      </c>
      <c r="B547" s="53" t="s">
        <v>1687</v>
      </c>
      <c r="D547" s="53" t="s">
        <v>2320</v>
      </c>
      <c r="E547" s="53" t="s">
        <v>2324</v>
      </c>
      <c r="F547" s="53" t="s">
        <v>2325</v>
      </c>
      <c r="G547" s="53" t="s">
        <v>2317</v>
      </c>
      <c r="H547" s="53">
        <v>1.0</v>
      </c>
      <c r="I547" s="53">
        <v>0.10309278350515463</v>
      </c>
      <c r="J547" s="53">
        <v>11.0</v>
      </c>
      <c r="K547" s="53" t="s">
        <v>53</v>
      </c>
      <c r="L547" s="53" t="s">
        <v>53</v>
      </c>
    </row>
    <row r="548" ht="15.75" customHeight="1">
      <c r="A548" s="53" t="s">
        <v>2290</v>
      </c>
      <c r="B548" s="53" t="s">
        <v>1687</v>
      </c>
      <c r="D548" s="53" t="s">
        <v>2320</v>
      </c>
      <c r="E548" s="53" t="s">
        <v>2326</v>
      </c>
      <c r="F548" s="53" t="s">
        <v>2327</v>
      </c>
      <c r="G548" s="53" t="s">
        <v>2314</v>
      </c>
      <c r="H548" s="53">
        <v>1.0</v>
      </c>
      <c r="I548" s="53">
        <v>0.19145802650957292</v>
      </c>
      <c r="J548" s="53">
        <v>2.0</v>
      </c>
      <c r="K548" s="53" t="s">
        <v>53</v>
      </c>
      <c r="L548" s="53" t="s">
        <v>53</v>
      </c>
    </row>
    <row r="549" ht="15.75" customHeight="1">
      <c r="A549" s="53" t="s">
        <v>2290</v>
      </c>
      <c r="B549" s="53" t="s">
        <v>1687</v>
      </c>
      <c r="D549" s="53" t="s">
        <v>2320</v>
      </c>
      <c r="E549" s="53" t="s">
        <v>2328</v>
      </c>
      <c r="F549" s="53" t="s">
        <v>2329</v>
      </c>
      <c r="G549" s="53" t="s">
        <v>689</v>
      </c>
      <c r="H549" s="53">
        <v>1.0</v>
      </c>
      <c r="I549" s="53">
        <v>0.28424153166421207</v>
      </c>
      <c r="J549" s="53">
        <v>1.0</v>
      </c>
      <c r="K549" s="53" t="s">
        <v>53</v>
      </c>
      <c r="L549" s="53" t="s">
        <v>53</v>
      </c>
    </row>
    <row r="550" ht="15.75" customHeight="1">
      <c r="A550" s="53" t="s">
        <v>2290</v>
      </c>
      <c r="B550" s="53" t="s">
        <v>1687</v>
      </c>
      <c r="D550" s="53" t="s">
        <v>2320</v>
      </c>
      <c r="E550" s="53" t="s">
        <v>2330</v>
      </c>
      <c r="F550" s="53" t="s">
        <v>2331</v>
      </c>
      <c r="G550" s="53" t="s">
        <v>2323</v>
      </c>
      <c r="H550" s="53">
        <v>1.0</v>
      </c>
      <c r="I550" s="53">
        <v>0.36278195488721804</v>
      </c>
      <c r="J550" s="53">
        <v>0.0</v>
      </c>
      <c r="K550" s="53" t="s">
        <v>53</v>
      </c>
      <c r="L550" s="53" t="s">
        <v>53</v>
      </c>
    </row>
    <row r="551" ht="15.75" customHeight="1">
      <c r="A551" s="53" t="s">
        <v>2290</v>
      </c>
      <c r="B551" s="53" t="s">
        <v>1687</v>
      </c>
      <c r="D551" s="53" t="s">
        <v>2320</v>
      </c>
      <c r="E551" s="53" t="s">
        <v>2332</v>
      </c>
      <c r="F551" s="53" t="s">
        <v>2333</v>
      </c>
      <c r="G551" s="53" t="s">
        <v>2309</v>
      </c>
      <c r="H551" s="53">
        <v>1.0</v>
      </c>
      <c r="I551" s="53">
        <v>0.7584683357879234</v>
      </c>
      <c r="J551" s="53">
        <v>9.0</v>
      </c>
      <c r="K551" s="53" t="s">
        <v>53</v>
      </c>
      <c r="L551" s="53" t="s">
        <v>53</v>
      </c>
    </row>
    <row r="552" ht="15.75" customHeight="1">
      <c r="A552" s="53" t="s">
        <v>2290</v>
      </c>
      <c r="B552" s="53" t="s">
        <v>1687</v>
      </c>
      <c r="D552" s="53" t="s">
        <v>2320</v>
      </c>
      <c r="E552" s="53" t="s">
        <v>2334</v>
      </c>
      <c r="F552" s="53" t="s">
        <v>2333</v>
      </c>
      <c r="G552" s="53" t="s">
        <v>2306</v>
      </c>
      <c r="H552" s="53">
        <v>1.0</v>
      </c>
      <c r="I552" s="53">
        <v>0.7643593519882179</v>
      </c>
      <c r="J552" s="53">
        <v>7.0</v>
      </c>
      <c r="K552" s="53" t="s">
        <v>53</v>
      </c>
      <c r="L552" s="53" t="s">
        <v>53</v>
      </c>
    </row>
    <row r="553" ht="15.75" customHeight="1">
      <c r="A553" s="53" t="s">
        <v>2290</v>
      </c>
      <c r="B553" s="53" t="s">
        <v>1687</v>
      </c>
      <c r="D553" s="53" t="s">
        <v>2320</v>
      </c>
      <c r="E553" s="53" t="s">
        <v>2335</v>
      </c>
      <c r="F553" s="53" t="s">
        <v>2336</v>
      </c>
      <c r="G553" s="53" t="s">
        <v>2303</v>
      </c>
      <c r="H553" s="53">
        <v>1.0</v>
      </c>
      <c r="I553" s="53">
        <v>0.8424153166421208</v>
      </c>
      <c r="J553" s="53">
        <v>5.0</v>
      </c>
      <c r="K553" s="53" t="s">
        <v>53</v>
      </c>
      <c r="L553" s="53" t="s">
        <v>2307</v>
      </c>
    </row>
    <row r="554" ht="15.75" customHeight="1">
      <c r="A554" s="53" t="s">
        <v>2290</v>
      </c>
      <c r="B554" s="53" t="s">
        <v>1687</v>
      </c>
      <c r="D554" s="53" t="s">
        <v>2320</v>
      </c>
      <c r="E554" s="53" t="s">
        <v>2337</v>
      </c>
      <c r="F554" s="53" t="s">
        <v>2336</v>
      </c>
      <c r="G554" s="53" t="s">
        <v>2301</v>
      </c>
      <c r="H554" s="53">
        <v>1.0</v>
      </c>
      <c r="I554" s="53">
        <v>0.8586156111929307</v>
      </c>
      <c r="J554" s="53">
        <v>6.0</v>
      </c>
      <c r="K554" s="53" t="s">
        <v>53</v>
      </c>
      <c r="L554" s="53" t="s">
        <v>2307</v>
      </c>
    </row>
    <row r="555" ht="15.75" customHeight="1">
      <c r="A555" s="53" t="s">
        <v>2290</v>
      </c>
      <c r="B555" s="53" t="s">
        <v>1687</v>
      </c>
      <c r="D555" s="53" t="s">
        <v>2323</v>
      </c>
      <c r="E555" s="53" t="s">
        <v>2338</v>
      </c>
      <c r="F555" s="53" t="s">
        <v>2339</v>
      </c>
      <c r="G555" s="53" t="s">
        <v>2317</v>
      </c>
      <c r="H555" s="53">
        <v>1.0</v>
      </c>
      <c r="I555" s="53">
        <v>0.424812030075188</v>
      </c>
      <c r="J555" s="53">
        <v>10.0</v>
      </c>
      <c r="K555" s="53" t="s">
        <v>53</v>
      </c>
      <c r="L555" s="53" t="s">
        <v>53</v>
      </c>
    </row>
    <row r="556" ht="15.75" customHeight="1">
      <c r="A556" s="53" t="s">
        <v>2290</v>
      </c>
      <c r="B556" s="53" t="s">
        <v>1687</v>
      </c>
      <c r="D556" s="53" t="s">
        <v>2323</v>
      </c>
      <c r="E556" s="53" t="s">
        <v>2340</v>
      </c>
      <c r="F556" s="53" t="s">
        <v>2341</v>
      </c>
      <c r="G556" s="53" t="s">
        <v>2314</v>
      </c>
      <c r="H556" s="53">
        <v>1.0</v>
      </c>
      <c r="I556" s="53">
        <v>0.48214285714285715</v>
      </c>
      <c r="J556" s="53">
        <v>1.0</v>
      </c>
      <c r="K556" s="53" t="s">
        <v>53</v>
      </c>
      <c r="L556" s="53" t="s">
        <v>53</v>
      </c>
    </row>
    <row r="557" ht="15.75" customHeight="1">
      <c r="A557" s="53" t="s">
        <v>2290</v>
      </c>
      <c r="B557" s="53" t="s">
        <v>1687</v>
      </c>
      <c r="D557" s="53" t="s">
        <v>2323</v>
      </c>
      <c r="E557" s="53" t="s">
        <v>2342</v>
      </c>
      <c r="F557" s="53" t="s">
        <v>2343</v>
      </c>
      <c r="G557" s="53" t="s">
        <v>689</v>
      </c>
      <c r="H557" s="53">
        <v>1.0</v>
      </c>
      <c r="I557" s="53">
        <v>0.5422932330827067</v>
      </c>
      <c r="J557" s="53">
        <v>0.0</v>
      </c>
      <c r="K557" s="53" t="s">
        <v>53</v>
      </c>
      <c r="L557" s="53" t="s">
        <v>53</v>
      </c>
    </row>
    <row r="558" ht="15.75" customHeight="1">
      <c r="A558" s="53" t="s">
        <v>2290</v>
      </c>
      <c r="B558" s="53" t="s">
        <v>1687</v>
      </c>
      <c r="D558" s="53" t="s">
        <v>2323</v>
      </c>
      <c r="E558" s="53" t="s">
        <v>2344</v>
      </c>
      <c r="F558" s="53" t="s">
        <v>2345</v>
      </c>
      <c r="G558" s="53" t="s">
        <v>2309</v>
      </c>
      <c r="H558" s="53">
        <v>1.0</v>
      </c>
      <c r="I558" s="53">
        <v>0.8458646616541353</v>
      </c>
      <c r="J558" s="53">
        <v>8.0</v>
      </c>
      <c r="K558" s="53" t="s">
        <v>53</v>
      </c>
      <c r="L558" s="53" t="s">
        <v>53</v>
      </c>
    </row>
    <row r="559" ht="15.75" customHeight="1">
      <c r="A559" s="53" t="s">
        <v>2290</v>
      </c>
      <c r="B559" s="53" t="s">
        <v>1687</v>
      </c>
      <c r="D559" s="53" t="s">
        <v>2323</v>
      </c>
      <c r="E559" s="53" t="s">
        <v>2346</v>
      </c>
      <c r="F559" s="53" t="s">
        <v>2345</v>
      </c>
      <c r="G559" s="53" t="s">
        <v>2306</v>
      </c>
      <c r="H559" s="53">
        <v>1.0</v>
      </c>
      <c r="I559" s="53">
        <v>0.849624060150376</v>
      </c>
      <c r="J559" s="53">
        <v>6.0</v>
      </c>
      <c r="K559" s="53" t="s">
        <v>53</v>
      </c>
      <c r="L559" s="53" t="s">
        <v>53</v>
      </c>
    </row>
    <row r="560" ht="15.75" customHeight="1">
      <c r="A560" s="53" t="s">
        <v>2290</v>
      </c>
      <c r="B560" s="53" t="s">
        <v>1687</v>
      </c>
      <c r="D560" s="53" t="s">
        <v>2323</v>
      </c>
      <c r="E560" s="53" t="s">
        <v>2347</v>
      </c>
      <c r="F560" s="53" t="s">
        <v>2348</v>
      </c>
      <c r="G560" s="53" t="s">
        <v>2303</v>
      </c>
      <c r="H560" s="53">
        <v>1.0</v>
      </c>
      <c r="I560" s="53">
        <v>0.8994360902255639</v>
      </c>
      <c r="J560" s="53">
        <v>4.0</v>
      </c>
      <c r="K560" s="53" t="s">
        <v>53</v>
      </c>
      <c r="L560" s="53" t="s">
        <v>2307</v>
      </c>
    </row>
    <row r="561" ht="15.75" customHeight="1">
      <c r="A561" s="53" t="s">
        <v>2290</v>
      </c>
      <c r="B561" s="53" t="s">
        <v>1687</v>
      </c>
      <c r="D561" s="53" t="s">
        <v>2323</v>
      </c>
      <c r="E561" s="53" t="s">
        <v>2349</v>
      </c>
      <c r="F561" s="53" t="s">
        <v>2348</v>
      </c>
      <c r="G561" s="53" t="s">
        <v>2301</v>
      </c>
      <c r="H561" s="53">
        <v>1.0</v>
      </c>
      <c r="I561" s="53">
        <v>0.9097744360902256</v>
      </c>
      <c r="J561" s="53">
        <v>5.0</v>
      </c>
      <c r="K561" s="53" t="s">
        <v>53</v>
      </c>
      <c r="L561" s="53" t="s">
        <v>2307</v>
      </c>
    </row>
    <row r="562" ht="15.75" customHeight="1">
      <c r="A562" s="53" t="s">
        <v>2290</v>
      </c>
      <c r="B562" s="53" t="s">
        <v>1687</v>
      </c>
      <c r="D562" s="53" t="s">
        <v>689</v>
      </c>
      <c r="E562" s="53" t="s">
        <v>2350</v>
      </c>
      <c r="F562" s="53" t="s">
        <v>2351</v>
      </c>
      <c r="G562" s="53" t="s">
        <v>2314</v>
      </c>
      <c r="H562" s="53">
        <v>1.0</v>
      </c>
      <c r="I562" s="53">
        <v>0.11775362318840579</v>
      </c>
      <c r="J562" s="53">
        <v>0.0</v>
      </c>
      <c r="K562" s="53" t="s">
        <v>53</v>
      </c>
      <c r="L562" s="53" t="s">
        <v>53</v>
      </c>
    </row>
    <row r="563" ht="15.75" customHeight="1">
      <c r="A563" s="53" t="s">
        <v>2290</v>
      </c>
      <c r="B563" s="53" t="s">
        <v>1687</v>
      </c>
      <c r="D563" s="53" t="s">
        <v>689</v>
      </c>
      <c r="E563" s="53" t="s">
        <v>2352</v>
      </c>
      <c r="F563" s="53" t="s">
        <v>2353</v>
      </c>
      <c r="G563" s="53" t="s">
        <v>2317</v>
      </c>
      <c r="H563" s="53">
        <v>1.0</v>
      </c>
      <c r="I563" s="53">
        <v>0.2159090909090909</v>
      </c>
      <c r="J563" s="53">
        <v>9.0</v>
      </c>
      <c r="K563" s="53" t="s">
        <v>53</v>
      </c>
      <c r="L563" s="53" t="s">
        <v>53</v>
      </c>
    </row>
    <row r="564" ht="15.75" customHeight="1">
      <c r="A564" s="53" t="s">
        <v>2290</v>
      </c>
      <c r="B564" s="53" t="s">
        <v>1687</v>
      </c>
      <c r="D564" s="53" t="s">
        <v>689</v>
      </c>
      <c r="E564" s="53" t="s">
        <v>2354</v>
      </c>
      <c r="F564" s="53" t="s">
        <v>2355</v>
      </c>
      <c r="G564" s="53" t="s">
        <v>2309</v>
      </c>
      <c r="H564" s="53">
        <v>1.0</v>
      </c>
      <c r="I564" s="53">
        <v>0.6639344262295082</v>
      </c>
      <c r="J564" s="53">
        <v>7.0</v>
      </c>
      <c r="K564" s="53" t="s">
        <v>53</v>
      </c>
      <c r="L564" s="53" t="s">
        <v>53</v>
      </c>
    </row>
    <row r="565" ht="15.75" customHeight="1">
      <c r="A565" s="53" t="s">
        <v>2290</v>
      </c>
      <c r="B565" s="53" t="s">
        <v>1687</v>
      </c>
      <c r="D565" s="53" t="s">
        <v>689</v>
      </c>
      <c r="E565" s="53" t="s">
        <v>2356</v>
      </c>
      <c r="F565" s="53" t="s">
        <v>2355</v>
      </c>
      <c r="G565" s="53" t="s">
        <v>2306</v>
      </c>
      <c r="H565" s="53">
        <v>1.0</v>
      </c>
      <c r="I565" s="53">
        <v>0.6721311475409836</v>
      </c>
      <c r="J565" s="53">
        <v>5.0</v>
      </c>
      <c r="K565" s="53" t="s">
        <v>53</v>
      </c>
      <c r="L565" s="53" t="s">
        <v>53</v>
      </c>
    </row>
    <row r="566" ht="15.75" customHeight="1">
      <c r="A566" s="53" t="s">
        <v>2290</v>
      </c>
      <c r="B566" s="53" t="s">
        <v>1687</v>
      </c>
      <c r="D566" s="53" t="s">
        <v>689</v>
      </c>
      <c r="E566" s="53" t="s">
        <v>2357</v>
      </c>
      <c r="F566" s="53" t="s">
        <v>2358</v>
      </c>
      <c r="G566" s="53" t="s">
        <v>2303</v>
      </c>
      <c r="H566" s="53">
        <v>1.0</v>
      </c>
      <c r="I566" s="53">
        <v>0.7807377049180327</v>
      </c>
      <c r="J566" s="53">
        <v>3.0</v>
      </c>
      <c r="K566" s="53" t="s">
        <v>53</v>
      </c>
      <c r="L566" s="53" t="s">
        <v>2307</v>
      </c>
    </row>
    <row r="567" ht="15.75" customHeight="1">
      <c r="A567" s="53" t="s">
        <v>2290</v>
      </c>
      <c r="B567" s="53" t="s">
        <v>1687</v>
      </c>
      <c r="D567" s="53" t="s">
        <v>689</v>
      </c>
      <c r="E567" s="53" t="s">
        <v>2359</v>
      </c>
      <c r="F567" s="53" t="s">
        <v>2358</v>
      </c>
      <c r="G567" s="53" t="s">
        <v>2301</v>
      </c>
      <c r="H567" s="53">
        <v>1.0</v>
      </c>
      <c r="I567" s="53">
        <v>0.8032786885245902</v>
      </c>
      <c r="J567" s="53">
        <v>4.0</v>
      </c>
      <c r="K567" s="53" t="s">
        <v>53</v>
      </c>
      <c r="L567" s="53" t="s">
        <v>2307</v>
      </c>
    </row>
    <row r="568" ht="15.75" customHeight="1">
      <c r="A568" s="53" t="s">
        <v>2290</v>
      </c>
      <c r="B568" s="53" t="s">
        <v>1687</v>
      </c>
      <c r="D568" s="53" t="s">
        <v>2314</v>
      </c>
      <c r="E568" s="53" t="s">
        <v>2360</v>
      </c>
      <c r="F568" s="53" t="s">
        <v>2361</v>
      </c>
      <c r="G568" s="53" t="s">
        <v>2317</v>
      </c>
      <c r="H568" s="53">
        <v>1.0</v>
      </c>
      <c r="I568" s="53">
        <v>0.11525974025974026</v>
      </c>
      <c r="J568" s="53">
        <v>8.0</v>
      </c>
      <c r="K568" s="53" t="s">
        <v>53</v>
      </c>
      <c r="L568" s="53" t="s">
        <v>53</v>
      </c>
    </row>
    <row r="569" ht="15.75" customHeight="1">
      <c r="A569" s="53" t="s">
        <v>2290</v>
      </c>
      <c r="B569" s="53" t="s">
        <v>1687</v>
      </c>
      <c r="D569" s="53" t="s">
        <v>2314</v>
      </c>
      <c r="E569" s="53" t="s">
        <v>2362</v>
      </c>
      <c r="F569" s="53" t="s">
        <v>2363</v>
      </c>
      <c r="G569" s="53" t="s">
        <v>2309</v>
      </c>
      <c r="H569" s="53">
        <v>1.0</v>
      </c>
      <c r="I569" s="53">
        <v>0.7028985507246377</v>
      </c>
      <c r="J569" s="53">
        <v>6.0</v>
      </c>
      <c r="K569" s="53" t="s">
        <v>53</v>
      </c>
      <c r="L569" s="53" t="s">
        <v>53</v>
      </c>
    </row>
    <row r="570" ht="15.75" customHeight="1">
      <c r="A570" s="53" t="s">
        <v>2290</v>
      </c>
      <c r="B570" s="53" t="s">
        <v>1687</v>
      </c>
      <c r="D570" s="53" t="s">
        <v>2314</v>
      </c>
      <c r="E570" s="53" t="s">
        <v>2364</v>
      </c>
      <c r="F570" s="53" t="s">
        <v>2363</v>
      </c>
      <c r="G570" s="53" t="s">
        <v>2306</v>
      </c>
      <c r="H570" s="53">
        <v>1.0</v>
      </c>
      <c r="I570" s="53">
        <v>0.7101449275362319</v>
      </c>
      <c r="J570" s="53">
        <v>4.0</v>
      </c>
      <c r="K570" s="53" t="s">
        <v>53</v>
      </c>
      <c r="L570" s="53" t="s">
        <v>53</v>
      </c>
    </row>
    <row r="571" ht="15.75" customHeight="1">
      <c r="A571" s="53" t="s">
        <v>2290</v>
      </c>
      <c r="B571" s="53" t="s">
        <v>1687</v>
      </c>
      <c r="D571" s="53" t="s">
        <v>2314</v>
      </c>
      <c r="E571" s="53" t="s">
        <v>2365</v>
      </c>
      <c r="F571" s="53" t="s">
        <v>2366</v>
      </c>
      <c r="G571" s="53" t="s">
        <v>2303</v>
      </c>
      <c r="H571" s="53">
        <v>1.0</v>
      </c>
      <c r="I571" s="53">
        <v>0.8061594202898551</v>
      </c>
      <c r="J571" s="53">
        <v>2.0</v>
      </c>
      <c r="K571" s="53" t="s">
        <v>53</v>
      </c>
      <c r="L571" s="53" t="s">
        <v>2307</v>
      </c>
    </row>
    <row r="572" ht="15.75" customHeight="1">
      <c r="A572" s="53" t="s">
        <v>2290</v>
      </c>
      <c r="B572" s="53" t="s">
        <v>1687</v>
      </c>
      <c r="D572" s="53" t="s">
        <v>2314</v>
      </c>
      <c r="E572" s="53" t="s">
        <v>2367</v>
      </c>
      <c r="F572" s="53" t="s">
        <v>2366</v>
      </c>
      <c r="G572" s="53" t="s">
        <v>2301</v>
      </c>
      <c r="H572" s="53">
        <v>1.0</v>
      </c>
      <c r="I572" s="53">
        <v>0.8260869565217391</v>
      </c>
      <c r="J572" s="53">
        <v>3.0</v>
      </c>
      <c r="K572" s="53" t="s">
        <v>53</v>
      </c>
      <c r="L572" s="53" t="s">
        <v>2307</v>
      </c>
    </row>
    <row r="573" ht="15.75" customHeight="1">
      <c r="A573" s="53" t="s">
        <v>2290</v>
      </c>
      <c r="B573" s="53" t="s">
        <v>1687</v>
      </c>
      <c r="D573" s="53" t="s">
        <v>2297</v>
      </c>
      <c r="E573" s="53" t="s">
        <v>2368</v>
      </c>
      <c r="F573" s="53" t="s">
        <v>741</v>
      </c>
      <c r="G573" s="53" t="s">
        <v>2293</v>
      </c>
      <c r="H573" s="53">
        <v>1.0</v>
      </c>
      <c r="I573" s="53">
        <v>0.12777777777777777</v>
      </c>
      <c r="J573" s="53">
        <v>0.0</v>
      </c>
      <c r="K573" s="53" t="s">
        <v>53</v>
      </c>
      <c r="L573" s="53" t="s">
        <v>53</v>
      </c>
    </row>
    <row r="574" ht="15.75" customHeight="1">
      <c r="A574" s="53" t="s">
        <v>2290</v>
      </c>
      <c r="B574" s="53" t="s">
        <v>1687</v>
      </c>
      <c r="D574" s="53" t="s">
        <v>2297</v>
      </c>
      <c r="E574" s="53" t="s">
        <v>2369</v>
      </c>
      <c r="F574" s="53" t="s">
        <v>741</v>
      </c>
      <c r="G574" s="53" t="s">
        <v>2295</v>
      </c>
      <c r="H574" s="53">
        <v>1.0</v>
      </c>
      <c r="I574" s="53">
        <v>0.1834319526627219</v>
      </c>
      <c r="J574" s="53">
        <v>6.0</v>
      </c>
      <c r="K574" s="53" t="s">
        <v>53</v>
      </c>
      <c r="L574" s="53" t="s">
        <v>53</v>
      </c>
    </row>
    <row r="575" ht="15.75" customHeight="1">
      <c r="A575" s="53" t="s">
        <v>2290</v>
      </c>
      <c r="B575" s="53" t="s">
        <v>1687</v>
      </c>
      <c r="D575" s="53" t="s">
        <v>2293</v>
      </c>
      <c r="E575" s="53" t="s">
        <v>2370</v>
      </c>
      <c r="F575" s="53" t="s">
        <v>741</v>
      </c>
      <c r="G575" s="53" t="s">
        <v>2295</v>
      </c>
      <c r="H575" s="53">
        <v>1.0</v>
      </c>
      <c r="I575" s="53">
        <v>0.23333333333333334</v>
      </c>
      <c r="J575" s="53">
        <v>5.0</v>
      </c>
      <c r="K575" s="53" t="s">
        <v>53</v>
      </c>
      <c r="L575" s="53" t="s">
        <v>53</v>
      </c>
    </row>
    <row r="576" ht="15.75" customHeight="1">
      <c r="A576" s="53" t="s">
        <v>2290</v>
      </c>
      <c r="B576" s="53" t="s">
        <v>1687</v>
      </c>
      <c r="D576" s="53" t="s">
        <v>2303</v>
      </c>
      <c r="E576" s="53" t="s">
        <v>2371</v>
      </c>
      <c r="F576" s="53" t="s">
        <v>2300</v>
      </c>
      <c r="G576" s="53" t="s">
        <v>2301</v>
      </c>
      <c r="H576" s="53">
        <v>1.0</v>
      </c>
      <c r="I576" s="53">
        <v>0.17699115044247787</v>
      </c>
      <c r="J576" s="53">
        <v>0.0</v>
      </c>
      <c r="K576" s="53" t="s">
        <v>53</v>
      </c>
      <c r="L576" s="53" t="s">
        <v>53</v>
      </c>
    </row>
    <row r="577" ht="15.75" customHeight="1">
      <c r="A577" s="53" t="s">
        <v>2290</v>
      </c>
      <c r="B577" s="53" t="s">
        <v>1687</v>
      </c>
      <c r="D577" s="53" t="s">
        <v>2303</v>
      </c>
      <c r="E577" s="53" t="s">
        <v>2372</v>
      </c>
      <c r="F577" s="53" t="s">
        <v>2305</v>
      </c>
      <c r="G577" s="53" t="s">
        <v>2306</v>
      </c>
      <c r="H577" s="53">
        <v>1.0</v>
      </c>
      <c r="I577" s="53">
        <v>0.40606060606060607</v>
      </c>
      <c r="J577" s="53">
        <v>1.0</v>
      </c>
      <c r="K577" s="53" t="s">
        <v>53</v>
      </c>
      <c r="L577" s="53" t="s">
        <v>2307</v>
      </c>
    </row>
    <row r="578" ht="15.75" customHeight="1">
      <c r="A578" s="53" t="s">
        <v>2290</v>
      </c>
      <c r="B578" s="53" t="s">
        <v>1687</v>
      </c>
      <c r="D578" s="53" t="s">
        <v>2303</v>
      </c>
      <c r="E578" s="53" t="s">
        <v>2373</v>
      </c>
      <c r="F578" s="53" t="s">
        <v>2305</v>
      </c>
      <c r="G578" s="53" t="s">
        <v>2309</v>
      </c>
      <c r="H578" s="53">
        <v>1.0</v>
      </c>
      <c r="I578" s="53">
        <v>0.4166666666666667</v>
      </c>
      <c r="J578" s="53">
        <v>3.0</v>
      </c>
      <c r="K578" s="53" t="s">
        <v>53</v>
      </c>
      <c r="L578" s="53" t="s">
        <v>2307</v>
      </c>
    </row>
    <row r="579" ht="15.75" customHeight="1">
      <c r="A579" s="53" t="s">
        <v>2290</v>
      </c>
      <c r="B579" s="53" t="s">
        <v>1687</v>
      </c>
      <c r="D579" s="53" t="s">
        <v>2303</v>
      </c>
      <c r="E579" s="53" t="s">
        <v>2374</v>
      </c>
      <c r="F579" s="53" t="s">
        <v>2316</v>
      </c>
      <c r="G579" s="53" t="s">
        <v>2317</v>
      </c>
      <c r="H579" s="53">
        <v>1.0</v>
      </c>
      <c r="I579" s="53">
        <v>0.8262987012987013</v>
      </c>
      <c r="J579" s="53">
        <v>5.0</v>
      </c>
      <c r="K579" s="53" t="s">
        <v>53</v>
      </c>
      <c r="L579" s="53" t="s">
        <v>2307</v>
      </c>
    </row>
    <row r="580" ht="15.75" customHeight="1">
      <c r="A580" s="53" t="s">
        <v>2290</v>
      </c>
      <c r="B580" s="53" t="s">
        <v>1687</v>
      </c>
      <c r="D580" s="53" t="s">
        <v>2301</v>
      </c>
      <c r="E580" s="53" t="s">
        <v>2375</v>
      </c>
      <c r="F580" s="53" t="s">
        <v>2305</v>
      </c>
      <c r="G580" s="53" t="s">
        <v>2306</v>
      </c>
      <c r="H580" s="53">
        <v>1.0</v>
      </c>
      <c r="I580" s="53">
        <v>0.3939393939393939</v>
      </c>
      <c r="J580" s="53">
        <v>0.0</v>
      </c>
      <c r="K580" s="53" t="s">
        <v>53</v>
      </c>
      <c r="L580" s="53" t="s">
        <v>2307</v>
      </c>
    </row>
    <row r="581" ht="15.75" customHeight="1">
      <c r="A581" s="53" t="s">
        <v>2290</v>
      </c>
      <c r="B581" s="53" t="s">
        <v>1687</v>
      </c>
      <c r="D581" s="53" t="s">
        <v>2301</v>
      </c>
      <c r="E581" s="53" t="s">
        <v>2376</v>
      </c>
      <c r="F581" s="53" t="s">
        <v>2305</v>
      </c>
      <c r="G581" s="53" t="s">
        <v>2309</v>
      </c>
      <c r="H581" s="53">
        <v>1.0</v>
      </c>
      <c r="I581" s="53">
        <v>0.43452380952380953</v>
      </c>
      <c r="J581" s="53">
        <v>2.0</v>
      </c>
      <c r="K581" s="53" t="s">
        <v>53</v>
      </c>
      <c r="L581" s="53" t="s">
        <v>2307</v>
      </c>
    </row>
    <row r="582" ht="15.75" customHeight="1">
      <c r="A582" s="53" t="s">
        <v>2290</v>
      </c>
      <c r="B582" s="53" t="s">
        <v>1687</v>
      </c>
      <c r="D582" s="53" t="s">
        <v>2301</v>
      </c>
      <c r="E582" s="53" t="s">
        <v>2377</v>
      </c>
      <c r="F582" s="53" t="s">
        <v>2316</v>
      </c>
      <c r="G582" s="53" t="s">
        <v>2317</v>
      </c>
      <c r="H582" s="53">
        <v>1.0</v>
      </c>
      <c r="I582" s="53">
        <v>0.8441558441558441</v>
      </c>
      <c r="J582" s="53">
        <v>4.0</v>
      </c>
      <c r="K582" s="53" t="s">
        <v>53</v>
      </c>
      <c r="L582" s="53" t="s">
        <v>2307</v>
      </c>
    </row>
    <row r="583" ht="15.75" customHeight="1">
      <c r="A583" s="53" t="s">
        <v>2290</v>
      </c>
      <c r="B583" s="53" t="s">
        <v>1687</v>
      </c>
      <c r="D583" s="53" t="s">
        <v>2306</v>
      </c>
      <c r="E583" s="53" t="s">
        <v>2378</v>
      </c>
      <c r="F583" s="53" t="s">
        <v>2379</v>
      </c>
      <c r="G583" s="53" t="s">
        <v>2309</v>
      </c>
      <c r="H583" s="53">
        <v>1.0</v>
      </c>
      <c r="I583" s="53">
        <v>0.05952380952380952</v>
      </c>
      <c r="J583" s="53">
        <v>1.0</v>
      </c>
      <c r="K583" s="53" t="s">
        <v>53</v>
      </c>
      <c r="L583" s="53" t="s">
        <v>53</v>
      </c>
    </row>
    <row r="584" ht="15.75" customHeight="1">
      <c r="A584" s="53" t="s">
        <v>2290</v>
      </c>
      <c r="B584" s="53" t="s">
        <v>1687</v>
      </c>
      <c r="D584" s="53" t="s">
        <v>2306</v>
      </c>
      <c r="E584" s="53" t="s">
        <v>2380</v>
      </c>
      <c r="F584" s="53" t="s">
        <v>2381</v>
      </c>
      <c r="G584" s="53" t="s">
        <v>2317</v>
      </c>
      <c r="H584" s="53">
        <v>1.0</v>
      </c>
      <c r="I584" s="53">
        <v>0.7402597402597403</v>
      </c>
      <c r="J584" s="53">
        <v>3.0</v>
      </c>
      <c r="K584" s="53" t="s">
        <v>53</v>
      </c>
      <c r="L584" s="53" t="s">
        <v>53</v>
      </c>
    </row>
    <row r="585" ht="15.75" customHeight="1">
      <c r="A585" s="53" t="s">
        <v>2290</v>
      </c>
      <c r="B585" s="53" t="s">
        <v>1687</v>
      </c>
      <c r="D585" s="53" t="s">
        <v>2309</v>
      </c>
      <c r="E585" s="53" t="s">
        <v>2382</v>
      </c>
      <c r="F585" s="53" t="s">
        <v>2381</v>
      </c>
      <c r="G585" s="53" t="s">
        <v>2317</v>
      </c>
      <c r="H585" s="53">
        <v>1.0</v>
      </c>
      <c r="I585" s="53">
        <v>0.7288961038961039</v>
      </c>
      <c r="J585" s="53">
        <v>1.0</v>
      </c>
      <c r="K585" s="53" t="s">
        <v>53</v>
      </c>
      <c r="L585" s="53" t="s">
        <v>53</v>
      </c>
    </row>
    <row r="586" ht="15.75" customHeight="1">
      <c r="A586" s="53" t="s">
        <v>2290</v>
      </c>
      <c r="B586" s="53" t="s">
        <v>1687</v>
      </c>
      <c r="D586" s="53" t="s">
        <v>1213</v>
      </c>
      <c r="E586" s="53" t="s">
        <v>2383</v>
      </c>
      <c r="F586" s="53" t="s">
        <v>2384</v>
      </c>
      <c r="G586" s="53" t="s">
        <v>1216</v>
      </c>
      <c r="H586" s="53">
        <v>1.0</v>
      </c>
      <c r="I586" s="53">
        <v>0.2677165354330709</v>
      </c>
      <c r="J586" s="53">
        <v>1.0</v>
      </c>
      <c r="K586" s="53" t="s">
        <v>53</v>
      </c>
      <c r="L586" s="53" t="s">
        <v>53</v>
      </c>
    </row>
    <row r="587" ht="15.75" customHeight="1">
      <c r="A587" s="53" t="s">
        <v>2290</v>
      </c>
      <c r="B587" s="53" t="s">
        <v>1687</v>
      </c>
      <c r="D587" s="53" t="s">
        <v>2385</v>
      </c>
      <c r="E587" s="53" t="s">
        <v>2386</v>
      </c>
      <c r="F587" s="53" t="s">
        <v>2387</v>
      </c>
      <c r="G587" s="53" t="s">
        <v>2388</v>
      </c>
      <c r="H587" s="53">
        <v>1.0</v>
      </c>
      <c r="I587" s="53">
        <v>0.025714285714285714</v>
      </c>
      <c r="J587" s="53">
        <v>0.0</v>
      </c>
      <c r="K587" s="53" t="s">
        <v>53</v>
      </c>
      <c r="L587" s="53" t="s">
        <v>53</v>
      </c>
    </row>
    <row r="588" ht="15.75" customHeight="1">
      <c r="A588" s="53" t="s">
        <v>2389</v>
      </c>
      <c r="B588" s="53" t="s">
        <v>1687</v>
      </c>
      <c r="D588" s="53" t="s">
        <v>1736</v>
      </c>
      <c r="E588" s="53" t="s">
        <v>2390</v>
      </c>
      <c r="F588" s="53" t="s">
        <v>2391</v>
      </c>
      <c r="G588" s="53" t="s">
        <v>1739</v>
      </c>
      <c r="H588" s="53">
        <v>1.0</v>
      </c>
      <c r="I588" s="53">
        <v>0.018796992481203006</v>
      </c>
      <c r="J588" s="53">
        <v>1.0</v>
      </c>
      <c r="K588" s="53" t="s">
        <v>53</v>
      </c>
      <c r="L588" s="53" t="s">
        <v>53</v>
      </c>
    </row>
    <row r="589" ht="15.75" customHeight="1">
      <c r="A589" s="53" t="s">
        <v>2389</v>
      </c>
      <c r="B589" s="53" t="s">
        <v>1687</v>
      </c>
      <c r="D589" s="53" t="s">
        <v>1736</v>
      </c>
      <c r="E589" s="53" t="s">
        <v>2392</v>
      </c>
      <c r="F589" s="53" t="s">
        <v>2391</v>
      </c>
      <c r="G589" s="53" t="s">
        <v>232</v>
      </c>
      <c r="H589" s="53">
        <v>1.0</v>
      </c>
      <c r="I589" s="53">
        <v>0.044444444444444446</v>
      </c>
      <c r="J589" s="53">
        <v>0.0</v>
      </c>
      <c r="K589" s="53" t="s">
        <v>53</v>
      </c>
      <c r="L589" s="53" t="s">
        <v>53</v>
      </c>
    </row>
    <row r="590" ht="15.75" customHeight="1">
      <c r="A590" s="53" t="s">
        <v>2389</v>
      </c>
      <c r="B590" s="53" t="s">
        <v>1687</v>
      </c>
      <c r="D590" s="53" t="s">
        <v>1736</v>
      </c>
      <c r="E590" s="53" t="s">
        <v>2393</v>
      </c>
      <c r="F590" s="53" t="s">
        <v>2391</v>
      </c>
      <c r="G590" s="53" t="s">
        <v>539</v>
      </c>
      <c r="H590" s="53">
        <v>1.0</v>
      </c>
      <c r="I590" s="53">
        <v>0.36981132075471695</v>
      </c>
      <c r="J590" s="53">
        <v>2.0</v>
      </c>
      <c r="K590" s="53" t="s">
        <v>53</v>
      </c>
      <c r="L590" s="53" t="s">
        <v>53</v>
      </c>
    </row>
    <row r="591" ht="15.75" customHeight="1">
      <c r="A591" s="53" t="s">
        <v>2389</v>
      </c>
      <c r="B591" s="53" t="s">
        <v>1687</v>
      </c>
      <c r="D591" s="53" t="s">
        <v>1736</v>
      </c>
      <c r="E591" s="53" t="s">
        <v>2394</v>
      </c>
      <c r="F591" s="53" t="s">
        <v>2391</v>
      </c>
      <c r="G591" s="53" t="s">
        <v>1742</v>
      </c>
      <c r="H591" s="53">
        <v>1.0</v>
      </c>
      <c r="I591" s="53">
        <v>0.5054945054945055</v>
      </c>
      <c r="J591" s="53">
        <v>10.0</v>
      </c>
      <c r="K591" s="53" t="s">
        <v>53</v>
      </c>
      <c r="L591" s="53" t="s">
        <v>53</v>
      </c>
    </row>
    <row r="592" ht="15.75" customHeight="1">
      <c r="A592" s="53" t="s">
        <v>2389</v>
      </c>
      <c r="B592" s="53" t="s">
        <v>1687</v>
      </c>
      <c r="D592" s="53" t="s">
        <v>232</v>
      </c>
      <c r="E592" s="53" t="s">
        <v>2395</v>
      </c>
      <c r="F592" s="53" t="s">
        <v>2391</v>
      </c>
      <c r="G592" s="53" t="s">
        <v>1739</v>
      </c>
      <c r="H592" s="53">
        <v>1.0</v>
      </c>
      <c r="I592" s="53">
        <v>0.044444444444444446</v>
      </c>
      <c r="J592" s="53">
        <v>0.0</v>
      </c>
      <c r="K592" s="53" t="s">
        <v>53</v>
      </c>
      <c r="L592" s="53" t="s">
        <v>53</v>
      </c>
    </row>
    <row r="593" ht="15.75" customHeight="1">
      <c r="A593" s="53" t="s">
        <v>2389</v>
      </c>
      <c r="B593" s="53" t="s">
        <v>1687</v>
      </c>
      <c r="D593" s="53" t="s">
        <v>232</v>
      </c>
      <c r="E593" s="53" t="s">
        <v>2396</v>
      </c>
      <c r="F593" s="53" t="s">
        <v>2391</v>
      </c>
      <c r="G593" s="53" t="s">
        <v>539</v>
      </c>
      <c r="H593" s="53">
        <v>1.0</v>
      </c>
      <c r="I593" s="53">
        <v>0.37777777777777777</v>
      </c>
      <c r="J593" s="53">
        <v>1.0</v>
      </c>
      <c r="K593" s="53" t="s">
        <v>53</v>
      </c>
      <c r="L593" s="53" t="s">
        <v>53</v>
      </c>
    </row>
    <row r="594" ht="15.75" customHeight="1">
      <c r="A594" s="53" t="s">
        <v>2389</v>
      </c>
      <c r="B594" s="53" t="s">
        <v>1687</v>
      </c>
      <c r="D594" s="53" t="s">
        <v>232</v>
      </c>
      <c r="E594" s="53" t="s">
        <v>2397</v>
      </c>
      <c r="F594" s="53" t="s">
        <v>2391</v>
      </c>
      <c r="G594" s="53" t="s">
        <v>1742</v>
      </c>
      <c r="H594" s="53">
        <v>1.0</v>
      </c>
      <c r="I594" s="53">
        <v>0.5128205128205128</v>
      </c>
      <c r="J594" s="53">
        <v>9.0</v>
      </c>
      <c r="K594" s="53" t="s">
        <v>53</v>
      </c>
      <c r="L594" s="53" t="s">
        <v>53</v>
      </c>
    </row>
    <row r="595" ht="15.75" customHeight="1">
      <c r="A595" s="53" t="s">
        <v>2389</v>
      </c>
      <c r="B595" s="53" t="s">
        <v>1687</v>
      </c>
      <c r="D595" s="53" t="s">
        <v>1739</v>
      </c>
      <c r="E595" s="53" t="s">
        <v>2398</v>
      </c>
      <c r="F595" s="53" t="s">
        <v>2391</v>
      </c>
      <c r="G595" s="53" t="s">
        <v>539</v>
      </c>
      <c r="H595" s="53">
        <v>1.0</v>
      </c>
      <c r="I595" s="53">
        <v>0.37218045112781956</v>
      </c>
      <c r="J595" s="53">
        <v>0.0</v>
      </c>
      <c r="K595" s="53" t="s">
        <v>53</v>
      </c>
      <c r="L595" s="53" t="s">
        <v>53</v>
      </c>
    </row>
    <row r="596" ht="15.75" customHeight="1">
      <c r="A596" s="53" t="s">
        <v>2389</v>
      </c>
      <c r="B596" s="53" t="s">
        <v>1687</v>
      </c>
      <c r="D596" s="53" t="s">
        <v>1739</v>
      </c>
      <c r="E596" s="53" t="s">
        <v>2399</v>
      </c>
      <c r="F596" s="53" t="s">
        <v>2391</v>
      </c>
      <c r="G596" s="53" t="s">
        <v>1742</v>
      </c>
      <c r="H596" s="53">
        <v>1.0</v>
      </c>
      <c r="I596" s="53">
        <v>0.5054945054945055</v>
      </c>
      <c r="J596" s="53">
        <v>8.0</v>
      </c>
      <c r="K596" s="53" t="s">
        <v>53</v>
      </c>
      <c r="L596" s="53" t="s">
        <v>53</v>
      </c>
    </row>
    <row r="597" ht="15.75" customHeight="1">
      <c r="A597" s="53" t="s">
        <v>2389</v>
      </c>
      <c r="B597" s="53" t="s">
        <v>1687</v>
      </c>
      <c r="D597" s="53" t="s">
        <v>539</v>
      </c>
      <c r="E597" s="53" t="s">
        <v>2400</v>
      </c>
      <c r="F597" s="53" t="s">
        <v>2391</v>
      </c>
      <c r="G597" s="53" t="s">
        <v>1742</v>
      </c>
      <c r="H597" s="53">
        <v>1.0</v>
      </c>
      <c r="I597" s="53">
        <v>0.5421245421245421</v>
      </c>
      <c r="J597" s="53">
        <v>7.0</v>
      </c>
      <c r="K597" s="53" t="s">
        <v>53</v>
      </c>
      <c r="L597" s="53" t="s">
        <v>53</v>
      </c>
    </row>
    <row r="598" ht="15.75" customHeight="1">
      <c r="A598" s="53" t="s">
        <v>2389</v>
      </c>
      <c r="B598" s="53" t="s">
        <v>1687</v>
      </c>
      <c r="D598" s="53" t="s">
        <v>2401</v>
      </c>
      <c r="E598" s="53" t="s">
        <v>2402</v>
      </c>
      <c r="F598" s="53" t="s">
        <v>2403</v>
      </c>
      <c r="G598" s="53" t="s">
        <v>169</v>
      </c>
      <c r="H598" s="53">
        <v>1.0</v>
      </c>
      <c r="I598" s="53">
        <v>0.5272727272727272</v>
      </c>
      <c r="J598" s="53">
        <v>4.0</v>
      </c>
      <c r="K598" s="53" t="s">
        <v>53</v>
      </c>
      <c r="L598" s="53" t="s">
        <v>53</v>
      </c>
    </row>
    <row r="599" ht="15.75" customHeight="1">
      <c r="A599" s="53" t="s">
        <v>2389</v>
      </c>
      <c r="B599" s="53" t="s">
        <v>1687</v>
      </c>
      <c r="D599" s="53" t="s">
        <v>2401</v>
      </c>
      <c r="E599" s="53" t="s">
        <v>2404</v>
      </c>
      <c r="F599" s="53" t="s">
        <v>2403</v>
      </c>
      <c r="G599" s="53" t="s">
        <v>175</v>
      </c>
      <c r="H599" s="53">
        <v>1.0</v>
      </c>
      <c r="I599" s="53">
        <v>0.7212121212121212</v>
      </c>
      <c r="J599" s="53">
        <v>9.0</v>
      </c>
      <c r="K599" s="53" t="s">
        <v>53</v>
      </c>
      <c r="L599" s="53" t="s">
        <v>53</v>
      </c>
    </row>
    <row r="600" ht="15.75" customHeight="1">
      <c r="A600" s="53" t="s">
        <v>2389</v>
      </c>
      <c r="B600" s="53" t="s">
        <v>1687</v>
      </c>
      <c r="D600" s="53" t="s">
        <v>242</v>
      </c>
      <c r="E600" s="53" t="s">
        <v>2405</v>
      </c>
      <c r="F600" s="53" t="s">
        <v>2406</v>
      </c>
      <c r="G600" s="53" t="s">
        <v>1022</v>
      </c>
      <c r="H600" s="53">
        <v>1.0</v>
      </c>
      <c r="I600" s="53">
        <v>0.22727272727272727</v>
      </c>
      <c r="J600" s="53">
        <v>2.0</v>
      </c>
      <c r="K600" s="53" t="s">
        <v>53</v>
      </c>
      <c r="L600" s="53" t="s">
        <v>53</v>
      </c>
    </row>
    <row r="601" ht="15.75" customHeight="1">
      <c r="A601" s="53" t="s">
        <v>2389</v>
      </c>
      <c r="B601" s="53" t="s">
        <v>1687</v>
      </c>
      <c r="D601" s="53" t="s">
        <v>242</v>
      </c>
      <c r="E601" s="53" t="s">
        <v>2407</v>
      </c>
      <c r="F601" s="53" t="s">
        <v>2408</v>
      </c>
      <c r="G601" s="53" t="s">
        <v>178</v>
      </c>
      <c r="H601" s="53">
        <v>1.0</v>
      </c>
      <c r="I601" s="53">
        <v>0.3776223776223776</v>
      </c>
      <c r="J601" s="53">
        <v>7.0</v>
      </c>
      <c r="K601" s="53" t="s">
        <v>53</v>
      </c>
      <c r="L601" s="53" t="s">
        <v>53</v>
      </c>
    </row>
    <row r="602" ht="15.75" customHeight="1">
      <c r="A602" s="53" t="s">
        <v>2389</v>
      </c>
      <c r="B602" s="53" t="s">
        <v>1687</v>
      </c>
      <c r="D602" s="53" t="s">
        <v>242</v>
      </c>
      <c r="E602" s="53" t="s">
        <v>2409</v>
      </c>
      <c r="F602" s="53" t="s">
        <v>2406</v>
      </c>
      <c r="G602" s="53" t="s">
        <v>184</v>
      </c>
      <c r="H602" s="53">
        <v>1.0</v>
      </c>
      <c r="I602" s="53">
        <v>0.6746411483253588</v>
      </c>
      <c r="J602" s="53">
        <v>9.0</v>
      </c>
      <c r="K602" s="53" t="s">
        <v>53</v>
      </c>
      <c r="L602" s="53" t="s">
        <v>53</v>
      </c>
    </row>
    <row r="603" ht="15.75" customHeight="1">
      <c r="A603" s="53" t="s">
        <v>2389</v>
      </c>
      <c r="B603" s="53" t="s">
        <v>1687</v>
      </c>
      <c r="D603" s="53" t="s">
        <v>1022</v>
      </c>
      <c r="E603" s="53" t="s">
        <v>2410</v>
      </c>
      <c r="F603" s="53" t="s">
        <v>2411</v>
      </c>
      <c r="G603" s="53" t="s">
        <v>169</v>
      </c>
      <c r="H603" s="53">
        <v>0.3333333333333333</v>
      </c>
      <c r="I603" s="53">
        <v>0.01818181818181818</v>
      </c>
      <c r="J603" s="53">
        <v>0.0</v>
      </c>
      <c r="K603" s="53" t="s">
        <v>53</v>
      </c>
      <c r="L603" s="53" t="s">
        <v>2412</v>
      </c>
    </row>
    <row r="604" ht="15.75" customHeight="1">
      <c r="A604" s="53" t="s">
        <v>2389</v>
      </c>
      <c r="B604" s="53" t="s">
        <v>1687</v>
      </c>
      <c r="D604" s="53" t="s">
        <v>1022</v>
      </c>
      <c r="E604" s="53" t="s">
        <v>2413</v>
      </c>
      <c r="F604" s="53" t="s">
        <v>2408</v>
      </c>
      <c r="G604" s="53" t="s">
        <v>178</v>
      </c>
      <c r="H604" s="53">
        <v>1.0</v>
      </c>
      <c r="I604" s="53">
        <v>0.45104895104895104</v>
      </c>
      <c r="J604" s="53">
        <v>4.0</v>
      </c>
      <c r="K604" s="53" t="s">
        <v>53</v>
      </c>
      <c r="L604" s="53" t="s">
        <v>53</v>
      </c>
    </row>
    <row r="605" ht="15.75" customHeight="1">
      <c r="A605" s="53" t="s">
        <v>2389</v>
      </c>
      <c r="B605" s="53" t="s">
        <v>1687</v>
      </c>
      <c r="D605" s="53" t="s">
        <v>1022</v>
      </c>
      <c r="E605" s="53" t="s">
        <v>2414</v>
      </c>
      <c r="F605" s="53" t="s">
        <v>2406</v>
      </c>
      <c r="G605" s="53" t="s">
        <v>184</v>
      </c>
      <c r="H605" s="53">
        <v>1.0</v>
      </c>
      <c r="I605" s="53">
        <v>0.6681818181818182</v>
      </c>
      <c r="J605" s="53">
        <v>6.0</v>
      </c>
      <c r="K605" s="53" t="s">
        <v>53</v>
      </c>
      <c r="L605" s="53" t="s">
        <v>53</v>
      </c>
    </row>
    <row r="606" ht="15.75" customHeight="1">
      <c r="A606" s="53" t="s">
        <v>2389</v>
      </c>
      <c r="B606" s="53" t="s">
        <v>1687</v>
      </c>
      <c r="D606" s="53" t="s">
        <v>169</v>
      </c>
      <c r="E606" s="53" t="s">
        <v>171</v>
      </c>
      <c r="F606" s="53" t="s">
        <v>2415</v>
      </c>
      <c r="G606" s="53" t="s">
        <v>175</v>
      </c>
      <c r="H606" s="53">
        <v>1.0</v>
      </c>
      <c r="I606" s="53">
        <v>0.6681818181818182</v>
      </c>
      <c r="J606" s="53">
        <v>4.0</v>
      </c>
      <c r="K606" s="53" t="s">
        <v>53</v>
      </c>
      <c r="L606" s="53" t="s">
        <v>53</v>
      </c>
    </row>
    <row r="607" ht="15.75" customHeight="1">
      <c r="A607" s="53" t="s">
        <v>2389</v>
      </c>
      <c r="B607" s="53" t="s">
        <v>1687</v>
      </c>
      <c r="D607" s="53" t="s">
        <v>1749</v>
      </c>
      <c r="E607" s="53" t="s">
        <v>2416</v>
      </c>
      <c r="F607" s="53" t="s">
        <v>2417</v>
      </c>
      <c r="G607" s="53" t="s">
        <v>1752</v>
      </c>
      <c r="H607" s="53">
        <v>0.6666666666666666</v>
      </c>
      <c r="I607" s="53">
        <v>0.04152249134948097</v>
      </c>
      <c r="J607" s="53">
        <v>1.0</v>
      </c>
      <c r="K607" s="53" t="s">
        <v>53</v>
      </c>
      <c r="L607" s="53" t="s">
        <v>2412</v>
      </c>
    </row>
    <row r="608" ht="15.75" customHeight="1">
      <c r="A608" s="53" t="s">
        <v>2389</v>
      </c>
      <c r="B608" s="53" t="s">
        <v>1687</v>
      </c>
      <c r="D608" s="53" t="s">
        <v>178</v>
      </c>
      <c r="E608" s="53" t="s">
        <v>180</v>
      </c>
      <c r="F608" s="53" t="s">
        <v>2418</v>
      </c>
      <c r="G608" s="53" t="s">
        <v>184</v>
      </c>
      <c r="H608" s="53">
        <v>1.0</v>
      </c>
      <c r="I608" s="53">
        <v>0.6363636363636364</v>
      </c>
      <c r="J608" s="53">
        <v>1.0</v>
      </c>
      <c r="K608" s="53" t="s">
        <v>53</v>
      </c>
      <c r="L608" s="53" t="s">
        <v>53</v>
      </c>
    </row>
    <row r="609" ht="15.75" customHeight="1">
      <c r="A609" s="53" t="s">
        <v>2389</v>
      </c>
      <c r="B609" s="53" t="s">
        <v>1687</v>
      </c>
      <c r="D609" s="53" t="s">
        <v>175</v>
      </c>
      <c r="E609" s="53" t="s">
        <v>1664</v>
      </c>
      <c r="F609" s="53" t="s">
        <v>2419</v>
      </c>
      <c r="G609" s="53" t="s">
        <v>184</v>
      </c>
      <c r="H609" s="53">
        <v>0.3333333333333333</v>
      </c>
      <c r="I609" s="53">
        <v>0.08743169398907104</v>
      </c>
      <c r="J609" s="53">
        <v>0.0</v>
      </c>
      <c r="K609" s="53" t="s">
        <v>53</v>
      </c>
      <c r="L609" s="53" t="s">
        <v>2412</v>
      </c>
    </row>
    <row r="610" ht="15.75" customHeight="1">
      <c r="A610" s="53" t="s">
        <v>2420</v>
      </c>
      <c r="B610" s="53" t="s">
        <v>1687</v>
      </c>
      <c r="D610" s="53" t="s">
        <v>1736</v>
      </c>
      <c r="E610" s="53" t="s">
        <v>2421</v>
      </c>
      <c r="F610" s="53" t="s">
        <v>2422</v>
      </c>
      <c r="G610" s="53" t="s">
        <v>539</v>
      </c>
      <c r="H610" s="53">
        <v>1.0</v>
      </c>
      <c r="I610" s="53">
        <v>0.4188034188034188</v>
      </c>
      <c r="J610" s="53">
        <v>0.0</v>
      </c>
      <c r="K610" s="53" t="s">
        <v>53</v>
      </c>
      <c r="L610" s="53" t="s">
        <v>53</v>
      </c>
    </row>
    <row r="611" ht="15.75" customHeight="1">
      <c r="A611" s="53" t="s">
        <v>2420</v>
      </c>
      <c r="B611" s="53" t="s">
        <v>1687</v>
      </c>
      <c r="D611" s="53" t="s">
        <v>1736</v>
      </c>
      <c r="E611" s="53" t="s">
        <v>2423</v>
      </c>
      <c r="F611" s="53" t="s">
        <v>2422</v>
      </c>
      <c r="G611" s="53" t="s">
        <v>1742</v>
      </c>
      <c r="H611" s="53">
        <v>1.0</v>
      </c>
      <c r="I611" s="53">
        <v>0.6282051282051282</v>
      </c>
      <c r="J611" s="53">
        <v>4.0</v>
      </c>
      <c r="K611" s="53" t="s">
        <v>53</v>
      </c>
      <c r="L611" s="53" t="s">
        <v>53</v>
      </c>
    </row>
    <row r="612" ht="15.75" customHeight="1">
      <c r="A612" s="53" t="s">
        <v>2420</v>
      </c>
      <c r="B612" s="53" t="s">
        <v>1687</v>
      </c>
      <c r="D612" s="53" t="s">
        <v>539</v>
      </c>
      <c r="E612" s="53" t="s">
        <v>2424</v>
      </c>
      <c r="F612" s="53" t="s">
        <v>2422</v>
      </c>
      <c r="G612" s="53" t="s">
        <v>1742</v>
      </c>
      <c r="H612" s="53">
        <v>1.0</v>
      </c>
      <c r="I612" s="53">
        <v>0.6376146788990825</v>
      </c>
      <c r="J612" s="53">
        <v>3.0</v>
      </c>
      <c r="K612" s="53" t="s">
        <v>53</v>
      </c>
      <c r="L612" s="53" t="s">
        <v>53</v>
      </c>
    </row>
    <row r="613" ht="15.75" customHeight="1">
      <c r="A613" s="53" t="s">
        <v>2420</v>
      </c>
      <c r="B613" s="53" t="s">
        <v>1687</v>
      </c>
      <c r="D613" s="53" t="s">
        <v>1022</v>
      </c>
      <c r="E613" s="53" t="s">
        <v>2425</v>
      </c>
      <c r="F613" s="53" t="s">
        <v>2426</v>
      </c>
      <c r="G613" s="53" t="s">
        <v>169</v>
      </c>
      <c r="H613" s="53">
        <v>0.3333333333333333</v>
      </c>
      <c r="I613" s="53">
        <v>0.04736842105263158</v>
      </c>
      <c r="J613" s="53">
        <v>0.0</v>
      </c>
      <c r="K613" s="53" t="s">
        <v>53</v>
      </c>
      <c r="L613" s="53" t="s">
        <v>2427</v>
      </c>
    </row>
    <row r="614" ht="15.75" customHeight="1">
      <c r="A614" s="53" t="s">
        <v>2420</v>
      </c>
      <c r="B614" s="53" t="s">
        <v>1687</v>
      </c>
      <c r="D614" s="53" t="s">
        <v>1749</v>
      </c>
      <c r="E614" s="53" t="s">
        <v>2428</v>
      </c>
      <c r="F614" s="53" t="s">
        <v>2429</v>
      </c>
      <c r="G614" s="53" t="s">
        <v>1752</v>
      </c>
      <c r="H614" s="53">
        <v>0.5</v>
      </c>
      <c r="I614" s="53">
        <v>0.1</v>
      </c>
      <c r="J614" s="53">
        <v>1.0</v>
      </c>
      <c r="K614" s="53" t="s">
        <v>53</v>
      </c>
      <c r="L614" s="53" t="s">
        <v>2427</v>
      </c>
    </row>
    <row r="615" ht="15.75" customHeight="1">
      <c r="A615" s="53" t="s">
        <v>2430</v>
      </c>
      <c r="B615" s="53" t="s">
        <v>1687</v>
      </c>
      <c r="D615" s="53" t="s">
        <v>1573</v>
      </c>
      <c r="E615" s="53" t="s">
        <v>2431</v>
      </c>
      <c r="F615" s="53" t="s">
        <v>1575</v>
      </c>
      <c r="G615" s="53" t="s">
        <v>1576</v>
      </c>
      <c r="H615" s="53">
        <v>1.0</v>
      </c>
      <c r="I615" s="53">
        <v>0.045454545454545456</v>
      </c>
      <c r="J615" s="53">
        <v>0.0</v>
      </c>
      <c r="K615" s="53" t="s">
        <v>53</v>
      </c>
      <c r="L615" s="53" t="s">
        <v>53</v>
      </c>
    </row>
    <row r="616" ht="15.75" customHeight="1">
      <c r="A616" s="53" t="s">
        <v>2430</v>
      </c>
      <c r="B616" s="53" t="s">
        <v>1687</v>
      </c>
      <c r="D616" s="53" t="s">
        <v>1198</v>
      </c>
      <c r="E616" s="53" t="s">
        <v>2432</v>
      </c>
      <c r="F616" s="53" t="s">
        <v>2433</v>
      </c>
      <c r="G616" s="53" t="s">
        <v>1195</v>
      </c>
      <c r="H616" s="53">
        <v>0.6</v>
      </c>
      <c r="I616" s="53">
        <v>0.050793650793650794</v>
      </c>
      <c r="J616" s="53">
        <v>0.0</v>
      </c>
      <c r="K616" s="53" t="s">
        <v>53</v>
      </c>
      <c r="L616" s="53" t="s">
        <v>1199</v>
      </c>
    </row>
    <row r="617" ht="15.75" customHeight="1">
      <c r="A617" s="53" t="s">
        <v>2430</v>
      </c>
      <c r="B617" s="53" t="s">
        <v>1687</v>
      </c>
      <c r="D617" s="53" t="s">
        <v>1224</v>
      </c>
      <c r="E617" s="53" t="s">
        <v>2434</v>
      </c>
      <c r="F617" s="53" t="s">
        <v>2435</v>
      </c>
      <c r="G617" s="53" t="s">
        <v>1227</v>
      </c>
      <c r="H617" s="53">
        <v>1.0</v>
      </c>
      <c r="I617" s="53">
        <v>0.2786885245901639</v>
      </c>
      <c r="J617" s="53">
        <v>0.0</v>
      </c>
      <c r="K617" s="53" t="s">
        <v>53</v>
      </c>
      <c r="L617" s="53" t="s">
        <v>53</v>
      </c>
    </row>
    <row r="618" ht="15.75" customHeight="1">
      <c r="A618" s="53" t="s">
        <v>2430</v>
      </c>
      <c r="B618" s="53" t="s">
        <v>1687</v>
      </c>
      <c r="D618" s="53" t="s">
        <v>1224</v>
      </c>
      <c r="E618" s="53" t="s">
        <v>2436</v>
      </c>
      <c r="F618" s="53" t="s">
        <v>2437</v>
      </c>
      <c r="G618" s="53" t="s">
        <v>1230</v>
      </c>
      <c r="H618" s="53">
        <v>1.0</v>
      </c>
      <c r="I618" s="53">
        <v>0.5125786163522013</v>
      </c>
      <c r="J618" s="53">
        <v>1.0</v>
      </c>
      <c r="K618" s="53" t="s">
        <v>53</v>
      </c>
      <c r="L618" s="53" t="s">
        <v>53</v>
      </c>
    </row>
    <row r="619" ht="15.75" customHeight="1">
      <c r="A619" s="53" t="s">
        <v>2430</v>
      </c>
      <c r="B619" s="53" t="s">
        <v>1687</v>
      </c>
      <c r="D619" s="53" t="s">
        <v>1227</v>
      </c>
      <c r="E619" s="53" t="s">
        <v>2438</v>
      </c>
      <c r="F619" s="53" t="s">
        <v>2437</v>
      </c>
      <c r="G619" s="53" t="s">
        <v>1230</v>
      </c>
      <c r="H619" s="53">
        <v>1.0</v>
      </c>
      <c r="I619" s="53">
        <v>0.48742138364779874</v>
      </c>
      <c r="J619" s="53">
        <v>0.0</v>
      </c>
      <c r="K619" s="53" t="s">
        <v>53</v>
      </c>
      <c r="L619" s="53" t="s">
        <v>53</v>
      </c>
    </row>
    <row r="620" ht="15.75" customHeight="1">
      <c r="A620" s="53" t="s">
        <v>2439</v>
      </c>
      <c r="B620" s="53" t="s">
        <v>1687</v>
      </c>
      <c r="D620" s="53" t="s">
        <v>1368</v>
      </c>
      <c r="E620" s="53" t="s">
        <v>2440</v>
      </c>
      <c r="F620" s="53" t="s">
        <v>2441</v>
      </c>
      <c r="G620" s="53" t="s">
        <v>1130</v>
      </c>
      <c r="H620" s="53">
        <v>1.0</v>
      </c>
      <c r="I620" s="53">
        <v>0.11688311688311688</v>
      </c>
      <c r="J620" s="53">
        <v>0.0</v>
      </c>
      <c r="K620" s="53" t="s">
        <v>53</v>
      </c>
      <c r="L620" s="53" t="s">
        <v>53</v>
      </c>
    </row>
    <row r="621" ht="15.75" customHeight="1">
      <c r="A621" s="53" t="s">
        <v>2439</v>
      </c>
      <c r="B621" s="53" t="s">
        <v>1687</v>
      </c>
      <c r="D621" s="53" t="s">
        <v>1368</v>
      </c>
      <c r="E621" s="53" t="s">
        <v>2442</v>
      </c>
      <c r="F621" s="53" t="s">
        <v>2441</v>
      </c>
      <c r="G621" s="53" t="s">
        <v>1371</v>
      </c>
      <c r="H621" s="53">
        <v>1.0</v>
      </c>
      <c r="I621" s="53">
        <v>0.21637426900584794</v>
      </c>
      <c r="J621" s="53">
        <v>1.0</v>
      </c>
      <c r="K621" s="53" t="s">
        <v>53</v>
      </c>
      <c r="L621" s="53" t="s">
        <v>53</v>
      </c>
    </row>
    <row r="622" ht="15.75" customHeight="1">
      <c r="A622" s="53" t="s">
        <v>2439</v>
      </c>
      <c r="B622" s="53" t="s">
        <v>1687</v>
      </c>
      <c r="D622" s="53" t="s">
        <v>1130</v>
      </c>
      <c r="E622" s="53" t="s">
        <v>2443</v>
      </c>
      <c r="F622" s="53" t="s">
        <v>2441</v>
      </c>
      <c r="G622" s="53" t="s">
        <v>1371</v>
      </c>
      <c r="H622" s="53">
        <v>1.0</v>
      </c>
      <c r="I622" s="53">
        <v>0.1111111111111111</v>
      </c>
      <c r="J622" s="53">
        <v>0.0</v>
      </c>
      <c r="K622" s="53" t="s">
        <v>53</v>
      </c>
      <c r="L622" s="53" t="s">
        <v>53</v>
      </c>
    </row>
    <row r="623" ht="15.75" customHeight="1">
      <c r="A623" s="53" t="s">
        <v>2444</v>
      </c>
      <c r="B623" s="53" t="s">
        <v>2445</v>
      </c>
      <c r="C623" s="53" t="s">
        <v>1687</v>
      </c>
      <c r="D623" s="53" t="s">
        <v>1689</v>
      </c>
      <c r="E623" s="53" t="s">
        <v>1690</v>
      </c>
      <c r="F623" s="53" t="s">
        <v>1691</v>
      </c>
      <c r="G623" s="53" t="s">
        <v>1692</v>
      </c>
      <c r="H623" s="53">
        <v>1.0</v>
      </c>
      <c r="I623" s="53">
        <v>0.526813880126183</v>
      </c>
      <c r="J623" s="53">
        <v>1.0</v>
      </c>
      <c r="K623" s="53" t="s">
        <v>53</v>
      </c>
      <c r="L623" s="53" t="s">
        <v>1693</v>
      </c>
    </row>
    <row r="624" ht="15.75" customHeight="1">
      <c r="A624" s="53" t="s">
        <v>2444</v>
      </c>
      <c r="B624" s="53" t="s">
        <v>2445</v>
      </c>
      <c r="C624" s="53" t="s">
        <v>1687</v>
      </c>
      <c r="D624" s="53" t="s">
        <v>1694</v>
      </c>
      <c r="E624" s="53" t="s">
        <v>1695</v>
      </c>
      <c r="F624" s="53" t="s">
        <v>2446</v>
      </c>
      <c r="G624" s="53" t="s">
        <v>1697</v>
      </c>
      <c r="H624" s="53">
        <v>1.0</v>
      </c>
      <c r="I624" s="53">
        <v>0.0625</v>
      </c>
      <c r="J624" s="53">
        <v>0.0</v>
      </c>
      <c r="K624" s="53" t="s">
        <v>53</v>
      </c>
      <c r="L624" s="53" t="s">
        <v>53</v>
      </c>
    </row>
    <row r="625" ht="15.75" customHeight="1">
      <c r="A625" s="53" t="s">
        <v>125</v>
      </c>
      <c r="B625" s="53" t="s">
        <v>2445</v>
      </c>
      <c r="C625" s="53" t="s">
        <v>1687</v>
      </c>
      <c r="D625" s="53" t="s">
        <v>128</v>
      </c>
      <c r="E625" s="53" t="s">
        <v>2245</v>
      </c>
      <c r="F625" s="53" t="s">
        <v>132</v>
      </c>
      <c r="G625" s="53" t="s">
        <v>2247</v>
      </c>
      <c r="H625" s="53">
        <v>1.0</v>
      </c>
      <c r="I625" s="53">
        <v>0.0502283105022831</v>
      </c>
      <c r="J625" s="53">
        <v>0.0</v>
      </c>
      <c r="K625" s="53" t="s">
        <v>53</v>
      </c>
      <c r="L625" s="53" t="s">
        <v>53</v>
      </c>
    </row>
    <row r="626" ht="15.75" customHeight="1">
      <c r="A626" s="53" t="s">
        <v>125</v>
      </c>
      <c r="B626" s="53" t="s">
        <v>2445</v>
      </c>
      <c r="C626" s="53" t="s">
        <v>1687</v>
      </c>
      <c r="D626" s="53" t="s">
        <v>128</v>
      </c>
      <c r="E626" s="53" t="s">
        <v>2248</v>
      </c>
      <c r="F626" s="53" t="s">
        <v>132</v>
      </c>
      <c r="G626" s="53" t="s">
        <v>134</v>
      </c>
      <c r="H626" s="53">
        <v>1.0</v>
      </c>
      <c r="I626" s="53">
        <v>0.06912442396313365</v>
      </c>
      <c r="J626" s="53">
        <v>1.0</v>
      </c>
      <c r="K626" s="53" t="s">
        <v>53</v>
      </c>
      <c r="L626" s="53" t="s">
        <v>53</v>
      </c>
    </row>
    <row r="627" ht="15.75" customHeight="1">
      <c r="A627" s="53" t="s">
        <v>125</v>
      </c>
      <c r="B627" s="53" t="s">
        <v>2445</v>
      </c>
      <c r="C627" s="53" t="s">
        <v>1687</v>
      </c>
      <c r="D627" s="53" t="s">
        <v>2247</v>
      </c>
      <c r="E627" s="53" t="s">
        <v>2249</v>
      </c>
      <c r="F627" s="53" t="s">
        <v>132</v>
      </c>
      <c r="G627" s="53" t="s">
        <v>134</v>
      </c>
      <c r="H627" s="53">
        <v>1.0</v>
      </c>
      <c r="I627" s="53">
        <v>0.1141552511415525</v>
      </c>
      <c r="J627" s="53">
        <v>0.0</v>
      </c>
      <c r="K627" s="53" t="s">
        <v>53</v>
      </c>
      <c r="L627" s="53" t="s">
        <v>53</v>
      </c>
    </row>
    <row r="628" ht="15.75" customHeight="1">
      <c r="A628" s="53" t="s">
        <v>125</v>
      </c>
      <c r="B628" s="53" t="s">
        <v>2445</v>
      </c>
      <c r="C628" s="53" t="s">
        <v>1687</v>
      </c>
      <c r="D628" s="53" t="s">
        <v>1606</v>
      </c>
      <c r="E628" s="53" t="s">
        <v>2250</v>
      </c>
      <c r="F628" s="53" t="s">
        <v>2447</v>
      </c>
      <c r="G628" s="53" t="s">
        <v>1609</v>
      </c>
      <c r="H628" s="53">
        <v>1.0</v>
      </c>
      <c r="I628" s="53">
        <v>0.0321285140562249</v>
      </c>
      <c r="J628" s="53">
        <v>1.0</v>
      </c>
      <c r="K628" s="53" t="s">
        <v>53</v>
      </c>
      <c r="L628" s="53" t="s">
        <v>53</v>
      </c>
    </row>
    <row r="629" ht="15.75" customHeight="1">
      <c r="A629" s="53" t="s">
        <v>125</v>
      </c>
      <c r="B629" s="53" t="s">
        <v>2445</v>
      </c>
      <c r="C629" s="53" t="s">
        <v>1687</v>
      </c>
      <c r="D629" s="53" t="s">
        <v>1606</v>
      </c>
      <c r="E629" s="53" t="s">
        <v>2252</v>
      </c>
      <c r="F629" s="53" t="s">
        <v>2447</v>
      </c>
      <c r="G629" s="53" t="s">
        <v>1611</v>
      </c>
      <c r="H629" s="53">
        <v>1.0</v>
      </c>
      <c r="I629" s="53">
        <v>0.0321285140562249</v>
      </c>
      <c r="J629" s="53">
        <v>0.0</v>
      </c>
      <c r="K629" s="53" t="s">
        <v>53</v>
      </c>
      <c r="L629" s="53" t="s">
        <v>53</v>
      </c>
    </row>
    <row r="630" ht="15.75" customHeight="1">
      <c r="A630" s="53" t="s">
        <v>125</v>
      </c>
      <c r="B630" s="53" t="s">
        <v>2445</v>
      </c>
      <c r="C630" s="53" t="s">
        <v>1687</v>
      </c>
      <c r="D630" s="53" t="s">
        <v>1611</v>
      </c>
      <c r="E630" s="53" t="s">
        <v>2253</v>
      </c>
      <c r="F630" s="53" t="s">
        <v>2447</v>
      </c>
      <c r="G630" s="53" t="s">
        <v>1609</v>
      </c>
      <c r="H630" s="53">
        <v>1.0</v>
      </c>
      <c r="I630" s="53">
        <v>0.04417670682730924</v>
      </c>
      <c r="J630" s="53">
        <v>0.0</v>
      </c>
      <c r="K630" s="53" t="s">
        <v>53</v>
      </c>
      <c r="L630" s="53" t="s">
        <v>53</v>
      </c>
    </row>
    <row r="631" ht="15.75" customHeight="1">
      <c r="A631" s="53" t="s">
        <v>2448</v>
      </c>
      <c r="B631" s="53" t="s">
        <v>2445</v>
      </c>
      <c r="C631" s="53" t="s">
        <v>1687</v>
      </c>
      <c r="D631" s="53" t="s">
        <v>1736</v>
      </c>
      <c r="E631" s="53" t="s">
        <v>2421</v>
      </c>
      <c r="F631" s="53" t="s">
        <v>2449</v>
      </c>
      <c r="G631" s="53" t="s">
        <v>539</v>
      </c>
      <c r="H631" s="53">
        <v>1.0</v>
      </c>
      <c r="I631" s="53">
        <v>0.4188034188034188</v>
      </c>
      <c r="J631" s="53">
        <v>0.0</v>
      </c>
      <c r="K631" s="53" t="s">
        <v>53</v>
      </c>
      <c r="L631" s="53" t="s">
        <v>53</v>
      </c>
    </row>
    <row r="632" ht="15.75" customHeight="1">
      <c r="A632" s="53" t="s">
        <v>2448</v>
      </c>
      <c r="B632" s="53" t="s">
        <v>2445</v>
      </c>
      <c r="C632" s="53" t="s">
        <v>1687</v>
      </c>
      <c r="D632" s="53" t="s">
        <v>1736</v>
      </c>
      <c r="E632" s="53" t="s">
        <v>2423</v>
      </c>
      <c r="F632" s="53" t="s">
        <v>2449</v>
      </c>
      <c r="G632" s="53" t="s">
        <v>1742</v>
      </c>
      <c r="H632" s="53">
        <v>1.0</v>
      </c>
      <c r="I632" s="53">
        <v>0.6282051282051282</v>
      </c>
      <c r="J632" s="53">
        <v>4.0</v>
      </c>
      <c r="K632" s="53" t="s">
        <v>53</v>
      </c>
      <c r="L632" s="53" t="s">
        <v>53</v>
      </c>
    </row>
    <row r="633" ht="15.75" customHeight="1">
      <c r="A633" s="53" t="s">
        <v>2448</v>
      </c>
      <c r="B633" s="53" t="s">
        <v>2445</v>
      </c>
      <c r="C633" s="53" t="s">
        <v>1687</v>
      </c>
      <c r="D633" s="53" t="s">
        <v>539</v>
      </c>
      <c r="E633" s="53" t="s">
        <v>2424</v>
      </c>
      <c r="F633" s="53" t="s">
        <v>2449</v>
      </c>
      <c r="G633" s="53" t="s">
        <v>1742</v>
      </c>
      <c r="H633" s="53">
        <v>1.0</v>
      </c>
      <c r="I633" s="53">
        <v>0.6376146788990825</v>
      </c>
      <c r="J633" s="53">
        <v>3.0</v>
      </c>
      <c r="K633" s="53" t="s">
        <v>53</v>
      </c>
      <c r="L633" s="53" t="s">
        <v>53</v>
      </c>
    </row>
    <row r="634" ht="15.75" customHeight="1">
      <c r="A634" s="53" t="s">
        <v>2448</v>
      </c>
      <c r="B634" s="53" t="s">
        <v>2445</v>
      </c>
      <c r="C634" s="53" t="s">
        <v>1687</v>
      </c>
      <c r="D634" s="53" t="s">
        <v>1022</v>
      </c>
      <c r="E634" s="53" t="s">
        <v>2425</v>
      </c>
      <c r="F634" s="53" t="s">
        <v>2450</v>
      </c>
      <c r="G634" s="53" t="s">
        <v>169</v>
      </c>
      <c r="H634" s="53">
        <v>0.3333333333333333</v>
      </c>
      <c r="I634" s="53">
        <v>0.04736842105263158</v>
      </c>
      <c r="J634" s="53">
        <v>0.0</v>
      </c>
      <c r="K634" s="53" t="s">
        <v>53</v>
      </c>
      <c r="L634" s="53" t="s">
        <v>2451</v>
      </c>
    </row>
    <row r="635" ht="15.75" customHeight="1">
      <c r="A635" s="53" t="s">
        <v>2448</v>
      </c>
      <c r="B635" s="53" t="s">
        <v>2445</v>
      </c>
      <c r="C635" s="53" t="s">
        <v>1687</v>
      </c>
      <c r="D635" s="53" t="s">
        <v>1749</v>
      </c>
      <c r="E635" s="53" t="s">
        <v>2428</v>
      </c>
      <c r="F635" s="53" t="s">
        <v>2452</v>
      </c>
      <c r="G635" s="53" t="s">
        <v>1752</v>
      </c>
      <c r="H635" s="53">
        <v>0.5</v>
      </c>
      <c r="I635" s="53">
        <v>0.1</v>
      </c>
      <c r="J635" s="53">
        <v>1.0</v>
      </c>
      <c r="K635" s="53" t="s">
        <v>53</v>
      </c>
      <c r="L635" s="53" t="s">
        <v>2451</v>
      </c>
    </row>
    <row r="636" ht="15.75" customHeight="1">
      <c r="A636" s="53" t="s">
        <v>2453</v>
      </c>
      <c r="B636" s="53" t="s">
        <v>2445</v>
      </c>
      <c r="C636" s="53" t="s">
        <v>1687</v>
      </c>
      <c r="D636" s="53" t="s">
        <v>1736</v>
      </c>
      <c r="E636" s="53" t="s">
        <v>1737</v>
      </c>
      <c r="F636" s="53" t="s">
        <v>2454</v>
      </c>
      <c r="G636" s="53" t="s">
        <v>1739</v>
      </c>
      <c r="H636" s="53">
        <v>1.0</v>
      </c>
      <c r="I636" s="53">
        <v>0.02127659574468085</v>
      </c>
      <c r="J636" s="53">
        <v>0.0</v>
      </c>
      <c r="K636" s="53" t="s">
        <v>53</v>
      </c>
      <c r="L636" s="53" t="s">
        <v>53</v>
      </c>
    </row>
    <row r="637" ht="15.75" customHeight="1">
      <c r="A637" s="53" t="s">
        <v>2453</v>
      </c>
      <c r="B637" s="53" t="s">
        <v>2445</v>
      </c>
      <c r="C637" s="53" t="s">
        <v>1687</v>
      </c>
      <c r="D637" s="53" t="s">
        <v>1736</v>
      </c>
      <c r="E637" s="53" t="s">
        <v>1740</v>
      </c>
      <c r="F637" s="53" t="s">
        <v>2454</v>
      </c>
      <c r="G637" s="53" t="s">
        <v>539</v>
      </c>
      <c r="H637" s="53">
        <v>1.0</v>
      </c>
      <c r="I637" s="53">
        <v>0.4188034188034188</v>
      </c>
      <c r="J637" s="53">
        <v>1.0</v>
      </c>
      <c r="K637" s="53" t="s">
        <v>53</v>
      </c>
      <c r="L637" s="53" t="s">
        <v>53</v>
      </c>
    </row>
    <row r="638" ht="15.75" customHeight="1">
      <c r="A638" s="53" t="s">
        <v>2453</v>
      </c>
      <c r="B638" s="53" t="s">
        <v>2445</v>
      </c>
      <c r="C638" s="53" t="s">
        <v>1687</v>
      </c>
      <c r="D638" s="53" t="s">
        <v>1736</v>
      </c>
      <c r="E638" s="53" t="s">
        <v>1741</v>
      </c>
      <c r="F638" s="53" t="s">
        <v>2454</v>
      </c>
      <c r="G638" s="53" t="s">
        <v>1742</v>
      </c>
      <c r="H638" s="53">
        <v>1.0</v>
      </c>
      <c r="I638" s="53">
        <v>0.6282051282051282</v>
      </c>
      <c r="J638" s="53">
        <v>5.0</v>
      </c>
      <c r="K638" s="53" t="s">
        <v>53</v>
      </c>
      <c r="L638" s="53" t="s">
        <v>53</v>
      </c>
    </row>
    <row r="639" ht="15.75" customHeight="1">
      <c r="A639" s="53" t="s">
        <v>2453</v>
      </c>
      <c r="B639" s="53" t="s">
        <v>2445</v>
      </c>
      <c r="C639" s="53" t="s">
        <v>1687</v>
      </c>
      <c r="D639" s="53" t="s">
        <v>1739</v>
      </c>
      <c r="E639" s="53" t="s">
        <v>1743</v>
      </c>
      <c r="F639" s="53" t="s">
        <v>2454</v>
      </c>
      <c r="G639" s="53" t="s">
        <v>539</v>
      </c>
      <c r="H639" s="53">
        <v>1.0</v>
      </c>
      <c r="I639" s="53">
        <v>0.42127659574468085</v>
      </c>
      <c r="J639" s="53">
        <v>0.0</v>
      </c>
      <c r="K639" s="53" t="s">
        <v>53</v>
      </c>
      <c r="L639" s="53" t="s">
        <v>53</v>
      </c>
    </row>
    <row r="640" ht="15.75" customHeight="1">
      <c r="A640" s="53" t="s">
        <v>2453</v>
      </c>
      <c r="B640" s="53" t="s">
        <v>2445</v>
      </c>
      <c r="C640" s="53" t="s">
        <v>1687</v>
      </c>
      <c r="D640" s="53" t="s">
        <v>1739</v>
      </c>
      <c r="E640" s="53" t="s">
        <v>1744</v>
      </c>
      <c r="F640" s="53" t="s">
        <v>2454</v>
      </c>
      <c r="G640" s="53" t="s">
        <v>1742</v>
      </c>
      <c r="H640" s="53">
        <v>1.0</v>
      </c>
      <c r="I640" s="53">
        <v>0.625531914893617</v>
      </c>
      <c r="J640" s="53">
        <v>4.0</v>
      </c>
      <c r="K640" s="53" t="s">
        <v>53</v>
      </c>
      <c r="L640" s="53" t="s">
        <v>53</v>
      </c>
    </row>
    <row r="641" ht="15.75" customHeight="1">
      <c r="A641" s="53" t="s">
        <v>2453</v>
      </c>
      <c r="B641" s="53" t="s">
        <v>2445</v>
      </c>
      <c r="C641" s="53" t="s">
        <v>1687</v>
      </c>
      <c r="D641" s="53" t="s">
        <v>539</v>
      </c>
      <c r="E641" s="53" t="s">
        <v>1745</v>
      </c>
      <c r="F641" s="53" t="s">
        <v>2454</v>
      </c>
      <c r="G641" s="53" t="s">
        <v>1742</v>
      </c>
      <c r="H641" s="53">
        <v>1.0</v>
      </c>
      <c r="I641" s="53">
        <v>0.6376146788990825</v>
      </c>
      <c r="J641" s="53">
        <v>3.0</v>
      </c>
      <c r="K641" s="53" t="s">
        <v>53</v>
      </c>
      <c r="L641" s="53" t="s">
        <v>53</v>
      </c>
    </row>
    <row r="642" ht="15.75" customHeight="1">
      <c r="A642" s="53" t="s">
        <v>2453</v>
      </c>
      <c r="B642" s="53" t="s">
        <v>2445</v>
      </c>
      <c r="C642" s="53" t="s">
        <v>1687</v>
      </c>
      <c r="D642" s="53" t="s">
        <v>1022</v>
      </c>
      <c r="E642" s="53" t="s">
        <v>1746</v>
      </c>
      <c r="F642" s="53" t="s">
        <v>2455</v>
      </c>
      <c r="G642" s="53" t="s">
        <v>169</v>
      </c>
      <c r="H642" s="53">
        <v>0.3333333333333333</v>
      </c>
      <c r="I642" s="53">
        <v>0.04736842105263158</v>
      </c>
      <c r="J642" s="53">
        <v>0.0</v>
      </c>
      <c r="K642" s="53" t="s">
        <v>53</v>
      </c>
      <c r="L642" s="53" t="s">
        <v>2456</v>
      </c>
    </row>
    <row r="643" ht="15.75" customHeight="1">
      <c r="A643" s="53" t="s">
        <v>2453</v>
      </c>
      <c r="B643" s="53" t="s">
        <v>2445</v>
      </c>
      <c r="C643" s="53" t="s">
        <v>1687</v>
      </c>
      <c r="D643" s="53" t="s">
        <v>1749</v>
      </c>
      <c r="E643" s="53" t="s">
        <v>1750</v>
      </c>
      <c r="F643" s="53" t="s">
        <v>2457</v>
      </c>
      <c r="G643" s="53" t="s">
        <v>1752</v>
      </c>
      <c r="H643" s="53">
        <v>0.5</v>
      </c>
      <c r="I643" s="53">
        <v>0.1</v>
      </c>
      <c r="J643" s="53">
        <v>1.0</v>
      </c>
      <c r="K643" s="53" t="s">
        <v>53</v>
      </c>
      <c r="L643" s="53" t="s">
        <v>2456</v>
      </c>
    </row>
    <row r="644" ht="15.75" customHeight="1">
      <c r="A644" s="53" t="s">
        <v>43</v>
      </c>
      <c r="B644" s="53" t="s">
        <v>2445</v>
      </c>
      <c r="C644" s="53" t="s">
        <v>1687</v>
      </c>
      <c r="D644" s="53" t="s">
        <v>2013</v>
      </c>
      <c r="E644" s="53" t="s">
        <v>2014</v>
      </c>
      <c r="F644" s="53" t="s">
        <v>2015</v>
      </c>
      <c r="G644" s="53" t="s">
        <v>2016</v>
      </c>
      <c r="H644" s="53">
        <v>1.0</v>
      </c>
      <c r="I644" s="53">
        <v>0.19727891156462585</v>
      </c>
      <c r="J644" s="53">
        <v>0.0</v>
      </c>
      <c r="K644" s="53" t="s">
        <v>53</v>
      </c>
      <c r="L644" s="53" t="s">
        <v>53</v>
      </c>
    </row>
    <row r="645" ht="15.75" customHeight="1">
      <c r="A645" s="53" t="s">
        <v>43</v>
      </c>
      <c r="B645" s="53" t="s">
        <v>2445</v>
      </c>
      <c r="C645" s="53" t="s">
        <v>1687</v>
      </c>
      <c r="D645" s="53" t="s">
        <v>2017</v>
      </c>
      <c r="E645" s="53" t="s">
        <v>2018</v>
      </c>
      <c r="F645" s="53" t="s">
        <v>2019</v>
      </c>
      <c r="G645" s="53" t="s">
        <v>2020</v>
      </c>
      <c r="H645" s="53">
        <v>1.0</v>
      </c>
      <c r="I645" s="53">
        <v>0.13793103448275862</v>
      </c>
      <c r="J645" s="53">
        <v>10.0</v>
      </c>
      <c r="K645" s="53" t="s">
        <v>53</v>
      </c>
      <c r="L645" s="53" t="s">
        <v>53</v>
      </c>
    </row>
    <row r="646" ht="15.75" customHeight="1">
      <c r="A646" s="53" t="s">
        <v>43</v>
      </c>
      <c r="B646" s="53" t="s">
        <v>2445</v>
      </c>
      <c r="C646" s="53" t="s">
        <v>1687</v>
      </c>
      <c r="D646" s="53" t="s">
        <v>2017</v>
      </c>
      <c r="E646" s="53" t="s">
        <v>2021</v>
      </c>
      <c r="F646" s="53" t="s">
        <v>2019</v>
      </c>
      <c r="G646" s="53" t="s">
        <v>2022</v>
      </c>
      <c r="H646" s="53">
        <v>1.0</v>
      </c>
      <c r="I646" s="53">
        <v>0.18253968253968253</v>
      </c>
      <c r="J646" s="53">
        <v>1.0</v>
      </c>
      <c r="K646" s="53" t="s">
        <v>53</v>
      </c>
      <c r="L646" s="53" t="s">
        <v>53</v>
      </c>
    </row>
    <row r="647" ht="15.75" customHeight="1">
      <c r="A647" s="53" t="s">
        <v>43</v>
      </c>
      <c r="B647" s="53" t="s">
        <v>2445</v>
      </c>
      <c r="C647" s="53" t="s">
        <v>1687</v>
      </c>
      <c r="D647" s="53" t="s">
        <v>2017</v>
      </c>
      <c r="E647" s="53" t="s">
        <v>2023</v>
      </c>
      <c r="F647" s="53" t="s">
        <v>2019</v>
      </c>
      <c r="G647" s="53" t="s">
        <v>2024</v>
      </c>
      <c r="H647" s="53">
        <v>1.0</v>
      </c>
      <c r="I647" s="53">
        <v>0.192</v>
      </c>
      <c r="J647" s="53">
        <v>6.0</v>
      </c>
      <c r="K647" s="53" t="s">
        <v>53</v>
      </c>
      <c r="L647" s="53" t="s">
        <v>53</v>
      </c>
    </row>
    <row r="648" ht="15.75" customHeight="1">
      <c r="A648" s="53" t="s">
        <v>43</v>
      </c>
      <c r="B648" s="53" t="s">
        <v>2445</v>
      </c>
      <c r="C648" s="53" t="s">
        <v>1687</v>
      </c>
      <c r="D648" s="53" t="s">
        <v>2017</v>
      </c>
      <c r="E648" s="53" t="s">
        <v>2025</v>
      </c>
      <c r="F648" s="53" t="s">
        <v>2019</v>
      </c>
      <c r="G648" s="53" t="s">
        <v>2026</v>
      </c>
      <c r="H648" s="53">
        <v>1.0</v>
      </c>
      <c r="I648" s="53">
        <v>0.1951219512195122</v>
      </c>
      <c r="J648" s="53">
        <v>8.0</v>
      </c>
      <c r="K648" s="53" t="s">
        <v>53</v>
      </c>
      <c r="L648" s="53" t="s">
        <v>53</v>
      </c>
    </row>
    <row r="649" ht="15.75" customHeight="1">
      <c r="A649" s="53" t="s">
        <v>43</v>
      </c>
      <c r="B649" s="53" t="s">
        <v>2445</v>
      </c>
      <c r="C649" s="53" t="s">
        <v>1687</v>
      </c>
      <c r="D649" s="53" t="s">
        <v>2017</v>
      </c>
      <c r="E649" s="53" t="s">
        <v>2027</v>
      </c>
      <c r="F649" s="53" t="s">
        <v>2019</v>
      </c>
      <c r="G649" s="53" t="s">
        <v>2028</v>
      </c>
      <c r="H649" s="53">
        <v>1.0</v>
      </c>
      <c r="I649" s="53">
        <v>0.30344827586206896</v>
      </c>
      <c r="J649" s="53">
        <v>7.0</v>
      </c>
      <c r="K649" s="53" t="s">
        <v>53</v>
      </c>
      <c r="L649" s="53" t="s">
        <v>53</v>
      </c>
    </row>
    <row r="650" ht="15.75" customHeight="1">
      <c r="A650" s="53" t="s">
        <v>43</v>
      </c>
      <c r="B650" s="53" t="s">
        <v>2445</v>
      </c>
      <c r="C650" s="53" t="s">
        <v>1687</v>
      </c>
      <c r="D650" s="53" t="s">
        <v>2017</v>
      </c>
      <c r="E650" s="53" t="s">
        <v>2029</v>
      </c>
      <c r="F650" s="53" t="s">
        <v>2019</v>
      </c>
      <c r="G650" s="53" t="s">
        <v>2030</v>
      </c>
      <c r="H650" s="53">
        <v>1.0</v>
      </c>
      <c r="I650" s="53">
        <v>0.3103448275862069</v>
      </c>
      <c r="J650" s="53">
        <v>11.0</v>
      </c>
      <c r="K650" s="53" t="s">
        <v>53</v>
      </c>
      <c r="L650" s="53" t="s">
        <v>53</v>
      </c>
    </row>
    <row r="651" ht="15.75" customHeight="1">
      <c r="A651" s="53" t="s">
        <v>43</v>
      </c>
      <c r="B651" s="53" t="s">
        <v>2445</v>
      </c>
      <c r="C651" s="53" t="s">
        <v>1687</v>
      </c>
      <c r="D651" s="53" t="s">
        <v>2017</v>
      </c>
      <c r="E651" s="53" t="s">
        <v>2031</v>
      </c>
      <c r="F651" s="53" t="s">
        <v>2019</v>
      </c>
      <c r="G651" s="53" t="s">
        <v>2032</v>
      </c>
      <c r="H651" s="53">
        <v>1.0</v>
      </c>
      <c r="I651" s="53">
        <v>0.375</v>
      </c>
      <c r="J651" s="53">
        <v>0.0</v>
      </c>
      <c r="K651" s="53" t="s">
        <v>53</v>
      </c>
      <c r="L651" s="53" t="s">
        <v>53</v>
      </c>
    </row>
    <row r="652" ht="15.75" customHeight="1">
      <c r="A652" s="53" t="s">
        <v>43</v>
      </c>
      <c r="B652" s="53" t="s">
        <v>2445</v>
      </c>
      <c r="C652" s="53" t="s">
        <v>1687</v>
      </c>
      <c r="D652" s="53" t="s">
        <v>2017</v>
      </c>
      <c r="E652" s="53" t="s">
        <v>2033</v>
      </c>
      <c r="F652" s="53" t="s">
        <v>2019</v>
      </c>
      <c r="G652" s="53" t="s">
        <v>2034</v>
      </c>
      <c r="H652" s="53">
        <v>1.0</v>
      </c>
      <c r="I652" s="53">
        <v>0.375</v>
      </c>
      <c r="J652" s="53">
        <v>9.0</v>
      </c>
      <c r="K652" s="53" t="s">
        <v>53</v>
      </c>
      <c r="L652" s="53" t="s">
        <v>53</v>
      </c>
    </row>
    <row r="653" ht="15.75" customHeight="1">
      <c r="A653" s="53" t="s">
        <v>43</v>
      </c>
      <c r="B653" s="53" t="s">
        <v>2445</v>
      </c>
      <c r="C653" s="53" t="s">
        <v>1687</v>
      </c>
      <c r="D653" s="53" t="s">
        <v>2017</v>
      </c>
      <c r="E653" s="53" t="s">
        <v>2035</v>
      </c>
      <c r="F653" s="53" t="s">
        <v>2019</v>
      </c>
      <c r="G653" s="53" t="s">
        <v>2036</v>
      </c>
      <c r="H653" s="53">
        <v>1.0</v>
      </c>
      <c r="I653" s="53">
        <v>0.44751381215469616</v>
      </c>
      <c r="J653" s="53">
        <v>4.0</v>
      </c>
      <c r="K653" s="53" t="s">
        <v>53</v>
      </c>
      <c r="L653" s="53" t="s">
        <v>53</v>
      </c>
    </row>
    <row r="654" ht="15.75" customHeight="1">
      <c r="A654" s="53" t="s">
        <v>43</v>
      </c>
      <c r="B654" s="53" t="s">
        <v>2445</v>
      </c>
      <c r="C654" s="53" t="s">
        <v>1687</v>
      </c>
      <c r="D654" s="53" t="s">
        <v>2017</v>
      </c>
      <c r="E654" s="53" t="s">
        <v>2037</v>
      </c>
      <c r="F654" s="53" t="s">
        <v>2019</v>
      </c>
      <c r="G654" s="53" t="s">
        <v>2038</v>
      </c>
      <c r="H654" s="53">
        <v>1.0</v>
      </c>
      <c r="I654" s="53">
        <v>0.5049019607843137</v>
      </c>
      <c r="J654" s="53">
        <v>5.0</v>
      </c>
      <c r="K654" s="53" t="s">
        <v>53</v>
      </c>
      <c r="L654" s="53" t="s">
        <v>53</v>
      </c>
    </row>
    <row r="655" ht="15.75" customHeight="1">
      <c r="A655" s="53" t="s">
        <v>43</v>
      </c>
      <c r="B655" s="53" t="s">
        <v>2445</v>
      </c>
      <c r="C655" s="53" t="s">
        <v>1687</v>
      </c>
      <c r="D655" s="53" t="s">
        <v>2017</v>
      </c>
      <c r="E655" s="53" t="s">
        <v>2039</v>
      </c>
      <c r="F655" s="53" t="s">
        <v>2019</v>
      </c>
      <c r="G655" s="53" t="s">
        <v>2040</v>
      </c>
      <c r="H655" s="53">
        <v>1.0</v>
      </c>
      <c r="I655" s="53">
        <v>0.6833855799373041</v>
      </c>
      <c r="J655" s="53">
        <v>2.0</v>
      </c>
      <c r="K655" s="53" t="s">
        <v>53</v>
      </c>
      <c r="L655" s="53" t="s">
        <v>53</v>
      </c>
    </row>
    <row r="656" ht="15.75" customHeight="1">
      <c r="A656" s="53" t="s">
        <v>43</v>
      </c>
      <c r="B656" s="53" t="s">
        <v>2445</v>
      </c>
      <c r="C656" s="53" t="s">
        <v>1687</v>
      </c>
      <c r="D656" s="53" t="s">
        <v>2017</v>
      </c>
      <c r="E656" s="53" t="s">
        <v>2041</v>
      </c>
      <c r="F656" s="53" t="s">
        <v>2019</v>
      </c>
      <c r="G656" s="53" t="s">
        <v>2042</v>
      </c>
      <c r="H656" s="53">
        <v>1.0</v>
      </c>
      <c r="I656" s="53">
        <v>0.7461928934010152</v>
      </c>
      <c r="J656" s="53">
        <v>3.0</v>
      </c>
      <c r="K656" s="53" t="s">
        <v>53</v>
      </c>
      <c r="L656" s="53" t="s">
        <v>53</v>
      </c>
    </row>
    <row r="657" ht="15.75" customHeight="1">
      <c r="A657" s="53" t="s">
        <v>43</v>
      </c>
      <c r="B657" s="53" t="s">
        <v>2445</v>
      </c>
      <c r="C657" s="53" t="s">
        <v>1687</v>
      </c>
      <c r="D657" s="53" t="s">
        <v>2032</v>
      </c>
      <c r="E657" s="53" t="s">
        <v>2043</v>
      </c>
      <c r="F657" s="53" t="s">
        <v>2019</v>
      </c>
      <c r="G657" s="53" t="s">
        <v>2034</v>
      </c>
      <c r="H657" s="53">
        <v>1.0</v>
      </c>
      <c r="I657" s="53">
        <v>0.03125</v>
      </c>
      <c r="J657" s="53">
        <v>8.0</v>
      </c>
      <c r="K657" s="53" t="s">
        <v>53</v>
      </c>
      <c r="L657" s="53" t="s">
        <v>53</v>
      </c>
    </row>
    <row r="658" ht="15.75" customHeight="1">
      <c r="A658" s="53" t="s">
        <v>43</v>
      </c>
      <c r="B658" s="53" t="s">
        <v>2445</v>
      </c>
      <c r="C658" s="53" t="s">
        <v>1687</v>
      </c>
      <c r="D658" s="53" t="s">
        <v>2032</v>
      </c>
      <c r="E658" s="53" t="s">
        <v>2044</v>
      </c>
      <c r="F658" s="53" t="s">
        <v>2019</v>
      </c>
      <c r="G658" s="53" t="s">
        <v>2028</v>
      </c>
      <c r="H658" s="53">
        <v>1.0</v>
      </c>
      <c r="I658" s="53">
        <v>0.11875</v>
      </c>
      <c r="J658" s="53">
        <v>6.0</v>
      </c>
      <c r="K658" s="53" t="s">
        <v>53</v>
      </c>
      <c r="L658" s="53" t="s">
        <v>53</v>
      </c>
    </row>
    <row r="659" ht="15.75" customHeight="1">
      <c r="A659" s="53" t="s">
        <v>43</v>
      </c>
      <c r="B659" s="53" t="s">
        <v>2445</v>
      </c>
      <c r="C659" s="53" t="s">
        <v>1687</v>
      </c>
      <c r="D659" s="53" t="s">
        <v>2032</v>
      </c>
      <c r="E659" s="53" t="s">
        <v>2045</v>
      </c>
      <c r="F659" s="53" t="s">
        <v>2019</v>
      </c>
      <c r="G659" s="53" t="s">
        <v>2030</v>
      </c>
      <c r="H659" s="53">
        <v>1.0</v>
      </c>
      <c r="I659" s="53">
        <v>0.125</v>
      </c>
      <c r="J659" s="53">
        <v>10.0</v>
      </c>
      <c r="K659" s="53" t="s">
        <v>53</v>
      </c>
      <c r="L659" s="53" t="s">
        <v>53</v>
      </c>
    </row>
    <row r="660" ht="15.75" customHeight="1">
      <c r="A660" s="53" t="s">
        <v>43</v>
      </c>
      <c r="B660" s="53" t="s">
        <v>2445</v>
      </c>
      <c r="C660" s="53" t="s">
        <v>1687</v>
      </c>
      <c r="D660" s="53" t="s">
        <v>2032</v>
      </c>
      <c r="E660" s="53" t="s">
        <v>2046</v>
      </c>
      <c r="F660" s="53" t="s">
        <v>2019</v>
      </c>
      <c r="G660" s="53" t="s">
        <v>2036</v>
      </c>
      <c r="H660" s="53">
        <v>1.0</v>
      </c>
      <c r="I660" s="53">
        <v>0.13812154696132597</v>
      </c>
      <c r="J660" s="53">
        <v>3.0</v>
      </c>
      <c r="K660" s="53" t="s">
        <v>53</v>
      </c>
      <c r="L660" s="53" t="s">
        <v>53</v>
      </c>
    </row>
    <row r="661" ht="15.75" customHeight="1">
      <c r="A661" s="53" t="s">
        <v>43</v>
      </c>
      <c r="B661" s="53" t="s">
        <v>2445</v>
      </c>
      <c r="C661" s="53" t="s">
        <v>1687</v>
      </c>
      <c r="D661" s="53" t="s">
        <v>2032</v>
      </c>
      <c r="E661" s="53" t="s">
        <v>2047</v>
      </c>
      <c r="F661" s="53" t="s">
        <v>2019</v>
      </c>
      <c r="G661" s="53" t="s">
        <v>2038</v>
      </c>
      <c r="H661" s="53">
        <v>1.0</v>
      </c>
      <c r="I661" s="53">
        <v>0.24509803921568626</v>
      </c>
      <c r="J661" s="53">
        <v>4.0</v>
      </c>
      <c r="K661" s="53" t="s">
        <v>53</v>
      </c>
      <c r="L661" s="53" t="s">
        <v>53</v>
      </c>
    </row>
    <row r="662" ht="15.75" customHeight="1">
      <c r="A662" s="53" t="s">
        <v>43</v>
      </c>
      <c r="B662" s="53" t="s">
        <v>2445</v>
      </c>
      <c r="C662" s="53" t="s">
        <v>1687</v>
      </c>
      <c r="D662" s="53" t="s">
        <v>2032</v>
      </c>
      <c r="E662" s="53" t="s">
        <v>2048</v>
      </c>
      <c r="F662" s="53" t="s">
        <v>2019</v>
      </c>
      <c r="G662" s="53" t="s">
        <v>2024</v>
      </c>
      <c r="H662" s="53">
        <v>1.0</v>
      </c>
      <c r="I662" s="53">
        <v>0.25</v>
      </c>
      <c r="J662" s="53">
        <v>5.0</v>
      </c>
      <c r="K662" s="53" t="s">
        <v>53</v>
      </c>
      <c r="L662" s="53" t="s">
        <v>53</v>
      </c>
    </row>
    <row r="663" ht="15.75" customHeight="1">
      <c r="A663" s="53" t="s">
        <v>43</v>
      </c>
      <c r="B663" s="53" t="s">
        <v>2445</v>
      </c>
      <c r="C663" s="53" t="s">
        <v>1687</v>
      </c>
      <c r="D663" s="53" t="s">
        <v>2032</v>
      </c>
      <c r="E663" s="53" t="s">
        <v>2049</v>
      </c>
      <c r="F663" s="53" t="s">
        <v>2019</v>
      </c>
      <c r="G663" s="53" t="s">
        <v>2026</v>
      </c>
      <c r="H663" s="53">
        <v>1.0</v>
      </c>
      <c r="I663" s="53">
        <v>0.25</v>
      </c>
      <c r="J663" s="53">
        <v>7.0</v>
      </c>
      <c r="K663" s="53" t="s">
        <v>53</v>
      </c>
      <c r="L663" s="53" t="s">
        <v>53</v>
      </c>
    </row>
    <row r="664" ht="15.75" customHeight="1">
      <c r="A664" s="53" t="s">
        <v>43</v>
      </c>
      <c r="B664" s="53" t="s">
        <v>2445</v>
      </c>
      <c r="C664" s="53" t="s">
        <v>1687</v>
      </c>
      <c r="D664" s="53" t="s">
        <v>2032</v>
      </c>
      <c r="E664" s="53" t="s">
        <v>2050</v>
      </c>
      <c r="F664" s="53" t="s">
        <v>2019</v>
      </c>
      <c r="G664" s="53" t="s">
        <v>2022</v>
      </c>
      <c r="H664" s="53">
        <v>1.0</v>
      </c>
      <c r="I664" s="53">
        <v>0.25625</v>
      </c>
      <c r="J664" s="53">
        <v>0.0</v>
      </c>
      <c r="K664" s="53" t="s">
        <v>53</v>
      </c>
      <c r="L664" s="53" t="s">
        <v>53</v>
      </c>
    </row>
    <row r="665" ht="15.75" customHeight="1">
      <c r="A665" s="53" t="s">
        <v>43</v>
      </c>
      <c r="B665" s="53" t="s">
        <v>2445</v>
      </c>
      <c r="C665" s="53" t="s">
        <v>1687</v>
      </c>
      <c r="D665" s="53" t="s">
        <v>2032</v>
      </c>
      <c r="E665" s="53" t="s">
        <v>2051</v>
      </c>
      <c r="F665" s="53" t="s">
        <v>2019</v>
      </c>
      <c r="G665" s="53" t="s">
        <v>2020</v>
      </c>
      <c r="H665" s="53">
        <v>1.0</v>
      </c>
      <c r="I665" s="53">
        <v>0.30625</v>
      </c>
      <c r="J665" s="53">
        <v>9.0</v>
      </c>
      <c r="K665" s="53" t="s">
        <v>53</v>
      </c>
      <c r="L665" s="53" t="s">
        <v>53</v>
      </c>
    </row>
    <row r="666" ht="15.75" customHeight="1">
      <c r="A666" s="53" t="s">
        <v>43</v>
      </c>
      <c r="B666" s="53" t="s">
        <v>2445</v>
      </c>
      <c r="C666" s="53" t="s">
        <v>1687</v>
      </c>
      <c r="D666" s="53" t="s">
        <v>2032</v>
      </c>
      <c r="E666" s="53" t="s">
        <v>2052</v>
      </c>
      <c r="F666" s="53" t="s">
        <v>2019</v>
      </c>
      <c r="G666" s="53" t="s">
        <v>2040</v>
      </c>
      <c r="H666" s="53">
        <v>1.0</v>
      </c>
      <c r="I666" s="53">
        <v>0.5172413793103449</v>
      </c>
      <c r="J666" s="53">
        <v>1.0</v>
      </c>
      <c r="K666" s="53" t="s">
        <v>53</v>
      </c>
      <c r="L666" s="53" t="s">
        <v>53</v>
      </c>
    </row>
    <row r="667" ht="15.75" customHeight="1">
      <c r="A667" s="53" t="s">
        <v>43</v>
      </c>
      <c r="B667" s="53" t="s">
        <v>2445</v>
      </c>
      <c r="C667" s="53" t="s">
        <v>1687</v>
      </c>
      <c r="D667" s="53" t="s">
        <v>2032</v>
      </c>
      <c r="E667" s="53" t="s">
        <v>2053</v>
      </c>
      <c r="F667" s="53" t="s">
        <v>2019</v>
      </c>
      <c r="G667" s="53" t="s">
        <v>2042</v>
      </c>
      <c r="H667" s="53">
        <v>1.0</v>
      </c>
      <c r="I667" s="53">
        <v>0.6091370558375635</v>
      </c>
      <c r="J667" s="53">
        <v>2.0</v>
      </c>
      <c r="K667" s="53" t="s">
        <v>53</v>
      </c>
      <c r="L667" s="53" t="s">
        <v>53</v>
      </c>
    </row>
    <row r="668" ht="15.75" customHeight="1">
      <c r="A668" s="53" t="s">
        <v>43</v>
      </c>
      <c r="B668" s="53" t="s">
        <v>2445</v>
      </c>
      <c r="C668" s="53" t="s">
        <v>1687</v>
      </c>
      <c r="D668" s="53" t="s">
        <v>2022</v>
      </c>
      <c r="E668" s="53" t="s">
        <v>2054</v>
      </c>
      <c r="F668" s="53" t="s">
        <v>2019</v>
      </c>
      <c r="G668" s="53" t="s">
        <v>2024</v>
      </c>
      <c r="H668" s="53">
        <v>1.0</v>
      </c>
      <c r="I668" s="53">
        <v>0.047619047619047616</v>
      </c>
      <c r="J668" s="53">
        <v>4.0</v>
      </c>
      <c r="K668" s="53" t="s">
        <v>53</v>
      </c>
      <c r="L668" s="53" t="s">
        <v>53</v>
      </c>
    </row>
    <row r="669" ht="15.75" customHeight="1">
      <c r="A669" s="53" t="s">
        <v>43</v>
      </c>
      <c r="B669" s="53" t="s">
        <v>2445</v>
      </c>
      <c r="C669" s="53" t="s">
        <v>1687</v>
      </c>
      <c r="D669" s="53" t="s">
        <v>2022</v>
      </c>
      <c r="E669" s="53" t="s">
        <v>2055</v>
      </c>
      <c r="F669" s="53" t="s">
        <v>2019</v>
      </c>
      <c r="G669" s="53" t="s">
        <v>2026</v>
      </c>
      <c r="H669" s="53">
        <v>1.0</v>
      </c>
      <c r="I669" s="53">
        <v>0.047619047619047616</v>
      </c>
      <c r="J669" s="53">
        <v>6.0</v>
      </c>
      <c r="K669" s="53" t="s">
        <v>53</v>
      </c>
      <c r="L669" s="53" t="s">
        <v>53</v>
      </c>
    </row>
    <row r="670" ht="15.75" customHeight="1">
      <c r="A670" s="53" t="s">
        <v>43</v>
      </c>
      <c r="B670" s="53" t="s">
        <v>2445</v>
      </c>
      <c r="C670" s="53" t="s">
        <v>1687</v>
      </c>
      <c r="D670" s="53" t="s">
        <v>2022</v>
      </c>
      <c r="E670" s="53" t="s">
        <v>2056</v>
      </c>
      <c r="F670" s="53" t="s">
        <v>2019</v>
      </c>
      <c r="G670" s="53" t="s">
        <v>2020</v>
      </c>
      <c r="H670" s="53">
        <v>1.0</v>
      </c>
      <c r="I670" s="53">
        <v>0.11904761904761904</v>
      </c>
      <c r="J670" s="53">
        <v>8.0</v>
      </c>
      <c r="K670" s="53" t="s">
        <v>53</v>
      </c>
      <c r="L670" s="53" t="s">
        <v>53</v>
      </c>
    </row>
    <row r="671" ht="15.75" customHeight="1">
      <c r="A671" s="53" t="s">
        <v>43</v>
      </c>
      <c r="B671" s="53" t="s">
        <v>2445</v>
      </c>
      <c r="C671" s="53" t="s">
        <v>1687</v>
      </c>
      <c r="D671" s="53" t="s">
        <v>2022</v>
      </c>
      <c r="E671" s="53" t="s">
        <v>2057</v>
      </c>
      <c r="F671" s="53" t="s">
        <v>2019</v>
      </c>
      <c r="G671" s="53" t="s">
        <v>2028</v>
      </c>
      <c r="H671" s="53">
        <v>1.0</v>
      </c>
      <c r="I671" s="53">
        <v>0.16551724137931034</v>
      </c>
      <c r="J671" s="53">
        <v>5.0</v>
      </c>
      <c r="K671" s="53" t="s">
        <v>53</v>
      </c>
      <c r="L671" s="53" t="s">
        <v>53</v>
      </c>
    </row>
    <row r="672" ht="15.75" customHeight="1">
      <c r="A672" s="53" t="s">
        <v>43</v>
      </c>
      <c r="B672" s="53" t="s">
        <v>2445</v>
      </c>
      <c r="C672" s="53" t="s">
        <v>1687</v>
      </c>
      <c r="D672" s="53" t="s">
        <v>2022</v>
      </c>
      <c r="E672" s="53" t="s">
        <v>2058</v>
      </c>
      <c r="F672" s="53" t="s">
        <v>2019</v>
      </c>
      <c r="G672" s="53" t="s">
        <v>2030</v>
      </c>
      <c r="H672" s="53">
        <v>1.0</v>
      </c>
      <c r="I672" s="53">
        <v>0.1793103448275862</v>
      </c>
      <c r="J672" s="53">
        <v>9.0</v>
      </c>
      <c r="K672" s="53" t="s">
        <v>53</v>
      </c>
      <c r="L672" s="53" t="s">
        <v>53</v>
      </c>
    </row>
    <row r="673" ht="15.75" customHeight="1">
      <c r="A673" s="53" t="s">
        <v>43</v>
      </c>
      <c r="B673" s="53" t="s">
        <v>2445</v>
      </c>
      <c r="C673" s="53" t="s">
        <v>1687</v>
      </c>
      <c r="D673" s="53" t="s">
        <v>2022</v>
      </c>
      <c r="E673" s="53" t="s">
        <v>2059</v>
      </c>
      <c r="F673" s="53" t="s">
        <v>2019</v>
      </c>
      <c r="G673" s="53" t="s">
        <v>2034</v>
      </c>
      <c r="H673" s="53">
        <v>1.0</v>
      </c>
      <c r="I673" s="53">
        <v>0.25625</v>
      </c>
      <c r="J673" s="53">
        <v>7.0</v>
      </c>
      <c r="K673" s="53" t="s">
        <v>53</v>
      </c>
      <c r="L673" s="53" t="s">
        <v>53</v>
      </c>
    </row>
    <row r="674" ht="15.75" customHeight="1">
      <c r="A674" s="53" t="s">
        <v>43</v>
      </c>
      <c r="B674" s="53" t="s">
        <v>2445</v>
      </c>
      <c r="C674" s="53" t="s">
        <v>1687</v>
      </c>
      <c r="D674" s="53" t="s">
        <v>2022</v>
      </c>
      <c r="E674" s="53" t="s">
        <v>2060</v>
      </c>
      <c r="F674" s="53" t="s">
        <v>2019</v>
      </c>
      <c r="G674" s="53" t="s">
        <v>2036</v>
      </c>
      <c r="H674" s="53">
        <v>1.0</v>
      </c>
      <c r="I674" s="53">
        <v>0.3314917127071823</v>
      </c>
      <c r="J674" s="53">
        <v>2.0</v>
      </c>
      <c r="K674" s="53" t="s">
        <v>53</v>
      </c>
      <c r="L674" s="53" t="s">
        <v>53</v>
      </c>
    </row>
    <row r="675" ht="15.75" customHeight="1">
      <c r="A675" s="53" t="s">
        <v>43</v>
      </c>
      <c r="B675" s="53" t="s">
        <v>2445</v>
      </c>
      <c r="C675" s="53" t="s">
        <v>1687</v>
      </c>
      <c r="D675" s="53" t="s">
        <v>2022</v>
      </c>
      <c r="E675" s="53" t="s">
        <v>2061</v>
      </c>
      <c r="F675" s="53" t="s">
        <v>2019</v>
      </c>
      <c r="G675" s="53" t="s">
        <v>2038</v>
      </c>
      <c r="H675" s="53">
        <v>1.0</v>
      </c>
      <c r="I675" s="53">
        <v>0.4166666666666667</v>
      </c>
      <c r="J675" s="53">
        <v>3.0</v>
      </c>
      <c r="K675" s="53" t="s">
        <v>53</v>
      </c>
      <c r="L675" s="53" t="s">
        <v>53</v>
      </c>
    </row>
    <row r="676" ht="15.75" customHeight="1">
      <c r="A676" s="53" t="s">
        <v>43</v>
      </c>
      <c r="B676" s="53" t="s">
        <v>2445</v>
      </c>
      <c r="C676" s="53" t="s">
        <v>1687</v>
      </c>
      <c r="D676" s="53" t="s">
        <v>2022</v>
      </c>
      <c r="E676" s="53" t="s">
        <v>2062</v>
      </c>
      <c r="F676" s="53" t="s">
        <v>2019</v>
      </c>
      <c r="G676" s="53" t="s">
        <v>2040</v>
      </c>
      <c r="H676" s="53">
        <v>1.0</v>
      </c>
      <c r="I676" s="53">
        <v>0.6269592476489029</v>
      </c>
      <c r="J676" s="53">
        <v>0.0</v>
      </c>
      <c r="K676" s="53" t="s">
        <v>53</v>
      </c>
      <c r="L676" s="53" t="s">
        <v>53</v>
      </c>
    </row>
    <row r="677" ht="15.75" customHeight="1">
      <c r="A677" s="53" t="s">
        <v>43</v>
      </c>
      <c r="B677" s="53" t="s">
        <v>2445</v>
      </c>
      <c r="C677" s="53" t="s">
        <v>1687</v>
      </c>
      <c r="D677" s="53" t="s">
        <v>2022</v>
      </c>
      <c r="E677" s="53" t="s">
        <v>2063</v>
      </c>
      <c r="F677" s="53" t="s">
        <v>2019</v>
      </c>
      <c r="G677" s="53" t="s">
        <v>2042</v>
      </c>
      <c r="H677" s="53">
        <v>1.0</v>
      </c>
      <c r="I677" s="53">
        <v>0.700507614213198</v>
      </c>
      <c r="J677" s="53">
        <v>1.0</v>
      </c>
      <c r="K677" s="53" t="s">
        <v>53</v>
      </c>
      <c r="L677" s="53" t="s">
        <v>53</v>
      </c>
    </row>
    <row r="678" ht="15.75" customHeight="1">
      <c r="A678" s="53" t="s">
        <v>43</v>
      </c>
      <c r="B678" s="53" t="s">
        <v>2445</v>
      </c>
      <c r="C678" s="53" t="s">
        <v>1687</v>
      </c>
      <c r="D678" s="53" t="s">
        <v>2040</v>
      </c>
      <c r="E678" s="53" t="s">
        <v>2064</v>
      </c>
      <c r="F678" s="53" t="s">
        <v>2019</v>
      </c>
      <c r="G678" s="53" t="s">
        <v>2042</v>
      </c>
      <c r="H678" s="53">
        <v>1.0</v>
      </c>
      <c r="I678" s="53">
        <v>0.20050761421319796</v>
      </c>
      <c r="J678" s="53">
        <v>0.0</v>
      </c>
      <c r="K678" s="53" t="s">
        <v>53</v>
      </c>
      <c r="L678" s="53" t="s">
        <v>53</v>
      </c>
    </row>
    <row r="679" ht="15.75" customHeight="1">
      <c r="A679" s="53" t="s">
        <v>43</v>
      </c>
      <c r="B679" s="53" t="s">
        <v>2445</v>
      </c>
      <c r="C679" s="53" t="s">
        <v>1687</v>
      </c>
      <c r="D679" s="53" t="s">
        <v>2040</v>
      </c>
      <c r="E679" s="53" t="s">
        <v>2065</v>
      </c>
      <c r="F679" s="53" t="s">
        <v>2019</v>
      </c>
      <c r="G679" s="53" t="s">
        <v>2038</v>
      </c>
      <c r="H679" s="53">
        <v>1.0</v>
      </c>
      <c r="I679" s="53">
        <v>0.36363636363636365</v>
      </c>
      <c r="J679" s="53">
        <v>2.0</v>
      </c>
      <c r="K679" s="53" t="s">
        <v>53</v>
      </c>
      <c r="L679" s="53" t="s">
        <v>53</v>
      </c>
    </row>
    <row r="680" ht="15.75" customHeight="1">
      <c r="A680" s="53" t="s">
        <v>43</v>
      </c>
      <c r="B680" s="53" t="s">
        <v>2445</v>
      </c>
      <c r="C680" s="53" t="s">
        <v>1687</v>
      </c>
      <c r="D680" s="53" t="s">
        <v>2040</v>
      </c>
      <c r="E680" s="53" t="s">
        <v>2066</v>
      </c>
      <c r="F680" s="53" t="s">
        <v>2019</v>
      </c>
      <c r="G680" s="53" t="s">
        <v>2036</v>
      </c>
      <c r="H680" s="53">
        <v>1.0</v>
      </c>
      <c r="I680" s="53">
        <v>0.45768025078369906</v>
      </c>
      <c r="J680" s="53">
        <v>1.0</v>
      </c>
      <c r="K680" s="53" t="s">
        <v>53</v>
      </c>
      <c r="L680" s="53" t="s">
        <v>53</v>
      </c>
    </row>
    <row r="681" ht="15.75" customHeight="1">
      <c r="A681" s="53" t="s">
        <v>43</v>
      </c>
      <c r="B681" s="53" t="s">
        <v>2445</v>
      </c>
      <c r="C681" s="53" t="s">
        <v>1687</v>
      </c>
      <c r="D681" s="53" t="s">
        <v>2040</v>
      </c>
      <c r="E681" s="53" t="s">
        <v>2067</v>
      </c>
      <c r="F681" s="53" t="s">
        <v>2019</v>
      </c>
      <c r="G681" s="53" t="s">
        <v>2034</v>
      </c>
      <c r="H681" s="53">
        <v>1.0</v>
      </c>
      <c r="I681" s="53">
        <v>0.5172413793103449</v>
      </c>
      <c r="J681" s="53">
        <v>6.0</v>
      </c>
      <c r="K681" s="53" t="s">
        <v>53</v>
      </c>
      <c r="L681" s="53" t="s">
        <v>53</v>
      </c>
    </row>
    <row r="682" ht="15.75" customHeight="1">
      <c r="A682" s="53" t="s">
        <v>43</v>
      </c>
      <c r="B682" s="53" t="s">
        <v>2445</v>
      </c>
      <c r="C682" s="53" t="s">
        <v>1687</v>
      </c>
      <c r="D682" s="53" t="s">
        <v>2040</v>
      </c>
      <c r="E682" s="53" t="s">
        <v>2068</v>
      </c>
      <c r="F682" s="53" t="s">
        <v>2019</v>
      </c>
      <c r="G682" s="53" t="s">
        <v>2030</v>
      </c>
      <c r="H682" s="53">
        <v>1.0</v>
      </c>
      <c r="I682" s="53">
        <v>0.5611285266457681</v>
      </c>
      <c r="J682" s="53">
        <v>8.0</v>
      </c>
      <c r="K682" s="53" t="s">
        <v>53</v>
      </c>
      <c r="L682" s="53" t="s">
        <v>53</v>
      </c>
    </row>
    <row r="683" ht="15.75" customHeight="1">
      <c r="A683" s="53" t="s">
        <v>43</v>
      </c>
      <c r="B683" s="53" t="s">
        <v>2445</v>
      </c>
      <c r="C683" s="53" t="s">
        <v>1687</v>
      </c>
      <c r="D683" s="53" t="s">
        <v>2040</v>
      </c>
      <c r="E683" s="53" t="s">
        <v>2069</v>
      </c>
      <c r="F683" s="53" t="s">
        <v>2019</v>
      </c>
      <c r="G683" s="53" t="s">
        <v>2028</v>
      </c>
      <c r="H683" s="53">
        <v>1.0</v>
      </c>
      <c r="I683" s="53">
        <v>0.5642633228840125</v>
      </c>
      <c r="J683" s="53">
        <v>4.0</v>
      </c>
      <c r="K683" s="53" t="s">
        <v>53</v>
      </c>
      <c r="L683" s="53" t="s">
        <v>53</v>
      </c>
    </row>
    <row r="684" ht="15.75" customHeight="1">
      <c r="A684" s="53" t="s">
        <v>43</v>
      </c>
      <c r="B684" s="53" t="s">
        <v>2445</v>
      </c>
      <c r="C684" s="53" t="s">
        <v>1687</v>
      </c>
      <c r="D684" s="53" t="s">
        <v>2040</v>
      </c>
      <c r="E684" s="53" t="s">
        <v>2070</v>
      </c>
      <c r="F684" s="53" t="s">
        <v>2019</v>
      </c>
      <c r="G684" s="53" t="s">
        <v>2026</v>
      </c>
      <c r="H684" s="53">
        <v>1.0</v>
      </c>
      <c r="I684" s="53">
        <v>0.6175548589341693</v>
      </c>
      <c r="J684" s="53">
        <v>5.0</v>
      </c>
      <c r="K684" s="53" t="s">
        <v>53</v>
      </c>
      <c r="L684" s="53" t="s">
        <v>53</v>
      </c>
    </row>
    <row r="685" ht="15.75" customHeight="1">
      <c r="A685" s="53" t="s">
        <v>43</v>
      </c>
      <c r="B685" s="53" t="s">
        <v>2445</v>
      </c>
      <c r="C685" s="53" t="s">
        <v>1687</v>
      </c>
      <c r="D685" s="53" t="s">
        <v>2040</v>
      </c>
      <c r="E685" s="53" t="s">
        <v>2071</v>
      </c>
      <c r="F685" s="53" t="s">
        <v>2019</v>
      </c>
      <c r="G685" s="53" t="s">
        <v>2024</v>
      </c>
      <c r="H685" s="53">
        <v>1.0</v>
      </c>
      <c r="I685" s="53">
        <v>0.6206896551724138</v>
      </c>
      <c r="J685" s="53">
        <v>3.0</v>
      </c>
      <c r="K685" s="53" t="s">
        <v>53</v>
      </c>
      <c r="L685" s="53" t="s">
        <v>53</v>
      </c>
    </row>
    <row r="686" ht="15.75" customHeight="1">
      <c r="A686" s="53" t="s">
        <v>43</v>
      </c>
      <c r="B686" s="53" t="s">
        <v>2445</v>
      </c>
      <c r="C686" s="53" t="s">
        <v>1687</v>
      </c>
      <c r="D686" s="53" t="s">
        <v>2040</v>
      </c>
      <c r="E686" s="53" t="s">
        <v>2072</v>
      </c>
      <c r="F686" s="53" t="s">
        <v>2019</v>
      </c>
      <c r="G686" s="53" t="s">
        <v>2020</v>
      </c>
      <c r="H686" s="53">
        <v>1.0</v>
      </c>
      <c r="I686" s="53">
        <v>0.6614420062695925</v>
      </c>
      <c r="J686" s="53">
        <v>7.0</v>
      </c>
      <c r="K686" s="53" t="s">
        <v>53</v>
      </c>
      <c r="L686" s="53" t="s">
        <v>53</v>
      </c>
    </row>
    <row r="687" ht="15.75" customHeight="1">
      <c r="A687" s="53" t="s">
        <v>43</v>
      </c>
      <c r="B687" s="53" t="s">
        <v>2445</v>
      </c>
      <c r="C687" s="53" t="s">
        <v>1687</v>
      </c>
      <c r="D687" s="53" t="s">
        <v>2042</v>
      </c>
      <c r="E687" s="53" t="s">
        <v>2073</v>
      </c>
      <c r="F687" s="53" t="s">
        <v>2019</v>
      </c>
      <c r="G687" s="53" t="s">
        <v>2038</v>
      </c>
      <c r="H687" s="53">
        <v>1.0</v>
      </c>
      <c r="I687" s="53">
        <v>0.49238578680203043</v>
      </c>
      <c r="J687" s="53">
        <v>1.0</v>
      </c>
      <c r="K687" s="53" t="s">
        <v>53</v>
      </c>
      <c r="L687" s="53" t="s">
        <v>53</v>
      </c>
    </row>
    <row r="688" ht="15.75" customHeight="1">
      <c r="A688" s="53" t="s">
        <v>43</v>
      </c>
      <c r="B688" s="53" t="s">
        <v>2445</v>
      </c>
      <c r="C688" s="53" t="s">
        <v>1687</v>
      </c>
      <c r="D688" s="53" t="s">
        <v>2042</v>
      </c>
      <c r="E688" s="53" t="s">
        <v>2074</v>
      </c>
      <c r="F688" s="53" t="s">
        <v>2019</v>
      </c>
      <c r="G688" s="53" t="s">
        <v>2036</v>
      </c>
      <c r="H688" s="53">
        <v>1.0</v>
      </c>
      <c r="I688" s="53">
        <v>0.5583756345177665</v>
      </c>
      <c r="J688" s="53">
        <v>0.0</v>
      </c>
      <c r="K688" s="53" t="s">
        <v>53</v>
      </c>
      <c r="L688" s="53" t="s">
        <v>53</v>
      </c>
    </row>
    <row r="689" ht="15.75" customHeight="1">
      <c r="A689" s="53" t="s">
        <v>43</v>
      </c>
      <c r="B689" s="53" t="s">
        <v>2445</v>
      </c>
      <c r="C689" s="53" t="s">
        <v>1687</v>
      </c>
      <c r="D689" s="53" t="s">
        <v>2042</v>
      </c>
      <c r="E689" s="53" t="s">
        <v>2075</v>
      </c>
      <c r="F689" s="53" t="s">
        <v>2019</v>
      </c>
      <c r="G689" s="53" t="s">
        <v>2034</v>
      </c>
      <c r="H689" s="53">
        <v>1.0</v>
      </c>
      <c r="I689" s="53">
        <v>0.6065989847715736</v>
      </c>
      <c r="J689" s="53">
        <v>5.0</v>
      </c>
      <c r="K689" s="53" t="s">
        <v>53</v>
      </c>
      <c r="L689" s="53" t="s">
        <v>53</v>
      </c>
    </row>
    <row r="690" ht="15.75" customHeight="1">
      <c r="A690" s="53" t="s">
        <v>43</v>
      </c>
      <c r="B690" s="53" t="s">
        <v>2445</v>
      </c>
      <c r="C690" s="53" t="s">
        <v>1687</v>
      </c>
      <c r="D690" s="53" t="s">
        <v>2042</v>
      </c>
      <c r="E690" s="53" t="s">
        <v>2076</v>
      </c>
      <c r="F690" s="53" t="s">
        <v>2019</v>
      </c>
      <c r="G690" s="53" t="s">
        <v>2030</v>
      </c>
      <c r="H690" s="53">
        <v>1.0</v>
      </c>
      <c r="I690" s="53">
        <v>0.6446700507614214</v>
      </c>
      <c r="J690" s="53">
        <v>7.0</v>
      </c>
      <c r="K690" s="53" t="s">
        <v>53</v>
      </c>
      <c r="L690" s="53" t="s">
        <v>53</v>
      </c>
    </row>
    <row r="691" ht="15.75" customHeight="1">
      <c r="A691" s="53" t="s">
        <v>43</v>
      </c>
      <c r="B691" s="53" t="s">
        <v>2445</v>
      </c>
      <c r="C691" s="53" t="s">
        <v>1687</v>
      </c>
      <c r="D691" s="53" t="s">
        <v>2042</v>
      </c>
      <c r="E691" s="53" t="s">
        <v>2077</v>
      </c>
      <c r="F691" s="53" t="s">
        <v>2019</v>
      </c>
      <c r="G691" s="53" t="s">
        <v>2028</v>
      </c>
      <c r="H691" s="53">
        <v>1.0</v>
      </c>
      <c r="I691" s="53">
        <v>0.6472081218274112</v>
      </c>
      <c r="J691" s="53">
        <v>3.0</v>
      </c>
      <c r="K691" s="53" t="s">
        <v>53</v>
      </c>
      <c r="L691" s="53" t="s">
        <v>53</v>
      </c>
    </row>
    <row r="692" ht="15.75" customHeight="1">
      <c r="A692" s="53" t="s">
        <v>43</v>
      </c>
      <c r="B692" s="53" t="s">
        <v>2445</v>
      </c>
      <c r="C692" s="53" t="s">
        <v>1687</v>
      </c>
      <c r="D692" s="53" t="s">
        <v>2042</v>
      </c>
      <c r="E692" s="53" t="s">
        <v>2078</v>
      </c>
      <c r="F692" s="53" t="s">
        <v>2019</v>
      </c>
      <c r="G692" s="53" t="s">
        <v>2026</v>
      </c>
      <c r="H692" s="53">
        <v>1.0</v>
      </c>
      <c r="I692" s="53">
        <v>0.6954314720812182</v>
      </c>
      <c r="J692" s="53">
        <v>4.0</v>
      </c>
      <c r="K692" s="53" t="s">
        <v>53</v>
      </c>
      <c r="L692" s="53" t="s">
        <v>53</v>
      </c>
    </row>
    <row r="693" ht="15.75" customHeight="1">
      <c r="A693" s="53" t="s">
        <v>43</v>
      </c>
      <c r="B693" s="53" t="s">
        <v>2445</v>
      </c>
      <c r="C693" s="53" t="s">
        <v>1687</v>
      </c>
      <c r="D693" s="53" t="s">
        <v>2042</v>
      </c>
      <c r="E693" s="53" t="s">
        <v>2079</v>
      </c>
      <c r="F693" s="53" t="s">
        <v>2019</v>
      </c>
      <c r="G693" s="53" t="s">
        <v>2024</v>
      </c>
      <c r="H693" s="53">
        <v>1.0</v>
      </c>
      <c r="I693" s="53">
        <v>0.6979695431472082</v>
      </c>
      <c r="J693" s="53">
        <v>2.0</v>
      </c>
      <c r="K693" s="53" t="s">
        <v>53</v>
      </c>
      <c r="L693" s="53" t="s">
        <v>53</v>
      </c>
    </row>
    <row r="694" ht="15.75" customHeight="1">
      <c r="A694" s="53" t="s">
        <v>43</v>
      </c>
      <c r="B694" s="53" t="s">
        <v>2445</v>
      </c>
      <c r="C694" s="53" t="s">
        <v>1687</v>
      </c>
      <c r="D694" s="53" t="s">
        <v>2042</v>
      </c>
      <c r="E694" s="53" t="s">
        <v>2080</v>
      </c>
      <c r="F694" s="53" t="s">
        <v>2019</v>
      </c>
      <c r="G694" s="53" t="s">
        <v>2020</v>
      </c>
      <c r="H694" s="53">
        <v>1.0</v>
      </c>
      <c r="I694" s="53">
        <v>0.7233502538071066</v>
      </c>
      <c r="J694" s="53">
        <v>6.0</v>
      </c>
      <c r="K694" s="53" t="s">
        <v>53</v>
      </c>
      <c r="L694" s="53" t="s">
        <v>53</v>
      </c>
    </row>
    <row r="695" ht="15.75" customHeight="1">
      <c r="A695" s="53" t="s">
        <v>43</v>
      </c>
      <c r="B695" s="53" t="s">
        <v>2445</v>
      </c>
      <c r="C695" s="53" t="s">
        <v>1687</v>
      </c>
      <c r="D695" s="53" t="s">
        <v>2036</v>
      </c>
      <c r="E695" s="53" t="s">
        <v>2081</v>
      </c>
      <c r="F695" s="53" t="s">
        <v>2019</v>
      </c>
      <c r="G695" s="53" t="s">
        <v>2034</v>
      </c>
      <c r="H695" s="53">
        <v>1.0</v>
      </c>
      <c r="I695" s="53">
        <v>0.143646408839779</v>
      </c>
      <c r="J695" s="53">
        <v>4.0</v>
      </c>
      <c r="K695" s="53" t="s">
        <v>53</v>
      </c>
      <c r="L695" s="53" t="s">
        <v>53</v>
      </c>
    </row>
    <row r="696" ht="15.75" customHeight="1">
      <c r="A696" s="53" t="s">
        <v>43</v>
      </c>
      <c r="B696" s="53" t="s">
        <v>2445</v>
      </c>
      <c r="C696" s="53" t="s">
        <v>1687</v>
      </c>
      <c r="D696" s="53" t="s">
        <v>2036</v>
      </c>
      <c r="E696" s="53" t="s">
        <v>2082</v>
      </c>
      <c r="F696" s="53" t="s">
        <v>2019</v>
      </c>
      <c r="G696" s="53" t="s">
        <v>2038</v>
      </c>
      <c r="H696" s="53">
        <v>1.0</v>
      </c>
      <c r="I696" s="53">
        <v>0.15196078431372548</v>
      </c>
      <c r="J696" s="53">
        <v>0.0</v>
      </c>
      <c r="K696" s="53" t="s">
        <v>53</v>
      </c>
      <c r="L696" s="53" t="s">
        <v>53</v>
      </c>
    </row>
    <row r="697" ht="15.75" customHeight="1">
      <c r="A697" s="53" t="s">
        <v>43</v>
      </c>
      <c r="B697" s="53" t="s">
        <v>2445</v>
      </c>
      <c r="C697" s="53" t="s">
        <v>1687</v>
      </c>
      <c r="D697" s="53" t="s">
        <v>2036</v>
      </c>
      <c r="E697" s="53" t="s">
        <v>2083</v>
      </c>
      <c r="F697" s="53" t="s">
        <v>2019</v>
      </c>
      <c r="G697" s="53" t="s">
        <v>2030</v>
      </c>
      <c r="H697" s="53">
        <v>1.0</v>
      </c>
      <c r="I697" s="53">
        <v>0.2265193370165746</v>
      </c>
      <c r="J697" s="53">
        <v>6.0</v>
      </c>
      <c r="K697" s="53" t="s">
        <v>53</v>
      </c>
      <c r="L697" s="53" t="s">
        <v>53</v>
      </c>
    </row>
    <row r="698" ht="15.75" customHeight="1">
      <c r="A698" s="53" t="s">
        <v>43</v>
      </c>
      <c r="B698" s="53" t="s">
        <v>2445</v>
      </c>
      <c r="C698" s="53" t="s">
        <v>1687</v>
      </c>
      <c r="D698" s="53" t="s">
        <v>2036</v>
      </c>
      <c r="E698" s="53" t="s">
        <v>2084</v>
      </c>
      <c r="F698" s="53" t="s">
        <v>2019</v>
      </c>
      <c r="G698" s="53" t="s">
        <v>2028</v>
      </c>
      <c r="H698" s="53">
        <v>1.0</v>
      </c>
      <c r="I698" s="53">
        <v>0.2265193370165746</v>
      </c>
      <c r="J698" s="53">
        <v>2.0</v>
      </c>
      <c r="K698" s="53" t="s">
        <v>53</v>
      </c>
      <c r="L698" s="53" t="s">
        <v>53</v>
      </c>
    </row>
    <row r="699" ht="15.75" customHeight="1">
      <c r="A699" s="53" t="s">
        <v>43</v>
      </c>
      <c r="B699" s="53" t="s">
        <v>2445</v>
      </c>
      <c r="C699" s="53" t="s">
        <v>1687</v>
      </c>
      <c r="D699" s="53" t="s">
        <v>2036</v>
      </c>
      <c r="E699" s="53" t="s">
        <v>2085</v>
      </c>
      <c r="F699" s="53" t="s">
        <v>2019</v>
      </c>
      <c r="G699" s="53" t="s">
        <v>2024</v>
      </c>
      <c r="H699" s="53">
        <v>1.0</v>
      </c>
      <c r="I699" s="53">
        <v>0.3370165745856354</v>
      </c>
      <c r="J699" s="53">
        <v>1.0</v>
      </c>
      <c r="K699" s="53" t="s">
        <v>53</v>
      </c>
      <c r="L699" s="53" t="s">
        <v>53</v>
      </c>
    </row>
    <row r="700" ht="15.75" customHeight="1">
      <c r="A700" s="53" t="s">
        <v>43</v>
      </c>
      <c r="B700" s="53" t="s">
        <v>2445</v>
      </c>
      <c r="C700" s="53" t="s">
        <v>1687</v>
      </c>
      <c r="D700" s="53" t="s">
        <v>2036</v>
      </c>
      <c r="E700" s="53" t="s">
        <v>2086</v>
      </c>
      <c r="F700" s="53" t="s">
        <v>2019</v>
      </c>
      <c r="G700" s="53" t="s">
        <v>2026</v>
      </c>
      <c r="H700" s="53">
        <v>1.0</v>
      </c>
      <c r="I700" s="53">
        <v>0.3370165745856354</v>
      </c>
      <c r="J700" s="53">
        <v>3.0</v>
      </c>
      <c r="K700" s="53" t="s">
        <v>53</v>
      </c>
      <c r="L700" s="53" t="s">
        <v>53</v>
      </c>
    </row>
    <row r="701" ht="15.75" customHeight="1">
      <c r="A701" s="53" t="s">
        <v>43</v>
      </c>
      <c r="B701" s="53" t="s">
        <v>2445</v>
      </c>
      <c r="C701" s="53" t="s">
        <v>1687</v>
      </c>
      <c r="D701" s="53" t="s">
        <v>2036</v>
      </c>
      <c r="E701" s="53" t="s">
        <v>2087</v>
      </c>
      <c r="F701" s="53" t="s">
        <v>2019</v>
      </c>
      <c r="G701" s="53" t="s">
        <v>2020</v>
      </c>
      <c r="H701" s="53">
        <v>1.0</v>
      </c>
      <c r="I701" s="53">
        <v>0.3701657458563536</v>
      </c>
      <c r="J701" s="53">
        <v>5.0</v>
      </c>
      <c r="K701" s="53" t="s">
        <v>53</v>
      </c>
      <c r="L701" s="53" t="s">
        <v>53</v>
      </c>
    </row>
    <row r="702" ht="15.75" customHeight="1">
      <c r="A702" s="53" t="s">
        <v>43</v>
      </c>
      <c r="B702" s="53" t="s">
        <v>2445</v>
      </c>
      <c r="C702" s="53" t="s">
        <v>1687</v>
      </c>
      <c r="D702" s="53" t="s">
        <v>2038</v>
      </c>
      <c r="E702" s="53" t="s">
        <v>2088</v>
      </c>
      <c r="F702" s="53" t="s">
        <v>2019</v>
      </c>
      <c r="G702" s="53" t="s">
        <v>2034</v>
      </c>
      <c r="H702" s="53">
        <v>1.0</v>
      </c>
      <c r="I702" s="53">
        <v>0.24509803921568626</v>
      </c>
      <c r="J702" s="53">
        <v>3.0</v>
      </c>
      <c r="K702" s="53" t="s">
        <v>53</v>
      </c>
      <c r="L702" s="53" t="s">
        <v>53</v>
      </c>
    </row>
    <row r="703" ht="15.75" customHeight="1">
      <c r="A703" s="53" t="s">
        <v>43</v>
      </c>
      <c r="B703" s="53" t="s">
        <v>2445</v>
      </c>
      <c r="C703" s="53" t="s">
        <v>1687</v>
      </c>
      <c r="D703" s="53" t="s">
        <v>2038</v>
      </c>
      <c r="E703" s="53" t="s">
        <v>2089</v>
      </c>
      <c r="F703" s="53" t="s">
        <v>2019</v>
      </c>
      <c r="G703" s="53" t="s">
        <v>2030</v>
      </c>
      <c r="H703" s="53">
        <v>1.0</v>
      </c>
      <c r="I703" s="53">
        <v>0.3137254901960784</v>
      </c>
      <c r="J703" s="53">
        <v>5.0</v>
      </c>
      <c r="K703" s="53" t="s">
        <v>53</v>
      </c>
      <c r="L703" s="53" t="s">
        <v>53</v>
      </c>
    </row>
    <row r="704" ht="15.75" customHeight="1">
      <c r="A704" s="53" t="s">
        <v>43</v>
      </c>
      <c r="B704" s="53" t="s">
        <v>2445</v>
      </c>
      <c r="C704" s="53" t="s">
        <v>1687</v>
      </c>
      <c r="D704" s="53" t="s">
        <v>2038</v>
      </c>
      <c r="E704" s="53" t="s">
        <v>2090</v>
      </c>
      <c r="F704" s="53" t="s">
        <v>2019</v>
      </c>
      <c r="G704" s="53" t="s">
        <v>2028</v>
      </c>
      <c r="H704" s="53">
        <v>1.0</v>
      </c>
      <c r="I704" s="53">
        <v>0.31862745098039214</v>
      </c>
      <c r="J704" s="53">
        <v>1.0</v>
      </c>
      <c r="K704" s="53" t="s">
        <v>53</v>
      </c>
      <c r="L704" s="53" t="s">
        <v>53</v>
      </c>
    </row>
    <row r="705" ht="15.75" customHeight="1">
      <c r="A705" s="53" t="s">
        <v>43</v>
      </c>
      <c r="B705" s="53" t="s">
        <v>2445</v>
      </c>
      <c r="C705" s="53" t="s">
        <v>1687</v>
      </c>
      <c r="D705" s="53" t="s">
        <v>2038</v>
      </c>
      <c r="E705" s="53" t="s">
        <v>2091</v>
      </c>
      <c r="F705" s="53" t="s">
        <v>2019</v>
      </c>
      <c r="G705" s="53" t="s">
        <v>2026</v>
      </c>
      <c r="H705" s="53">
        <v>1.0</v>
      </c>
      <c r="I705" s="53">
        <v>0.4019607843137255</v>
      </c>
      <c r="J705" s="53">
        <v>2.0</v>
      </c>
      <c r="K705" s="53" t="s">
        <v>53</v>
      </c>
      <c r="L705" s="53" t="s">
        <v>53</v>
      </c>
    </row>
    <row r="706" ht="15.75" customHeight="1">
      <c r="A706" s="53" t="s">
        <v>43</v>
      </c>
      <c r="B706" s="53" t="s">
        <v>2445</v>
      </c>
      <c r="C706" s="53" t="s">
        <v>1687</v>
      </c>
      <c r="D706" s="53" t="s">
        <v>2038</v>
      </c>
      <c r="E706" s="53" t="s">
        <v>2092</v>
      </c>
      <c r="F706" s="53" t="s">
        <v>2019</v>
      </c>
      <c r="G706" s="53" t="s">
        <v>2024</v>
      </c>
      <c r="H706" s="53">
        <v>1.0</v>
      </c>
      <c r="I706" s="53">
        <v>0.4068627450980392</v>
      </c>
      <c r="J706" s="53">
        <v>0.0</v>
      </c>
      <c r="K706" s="53" t="s">
        <v>53</v>
      </c>
      <c r="L706" s="53" t="s">
        <v>53</v>
      </c>
    </row>
    <row r="707" ht="15.75" customHeight="1">
      <c r="A707" s="53" t="s">
        <v>43</v>
      </c>
      <c r="B707" s="53" t="s">
        <v>2445</v>
      </c>
      <c r="C707" s="53" t="s">
        <v>1687</v>
      </c>
      <c r="D707" s="53" t="s">
        <v>2038</v>
      </c>
      <c r="E707" s="53" t="s">
        <v>2093</v>
      </c>
      <c r="F707" s="53" t="s">
        <v>2019</v>
      </c>
      <c r="G707" s="53" t="s">
        <v>2020</v>
      </c>
      <c r="H707" s="53">
        <v>1.0</v>
      </c>
      <c r="I707" s="53">
        <v>0.47058823529411764</v>
      </c>
      <c r="J707" s="53">
        <v>4.0</v>
      </c>
      <c r="K707" s="53" t="s">
        <v>53</v>
      </c>
      <c r="L707" s="53" t="s">
        <v>53</v>
      </c>
    </row>
    <row r="708" ht="15.75" customHeight="1">
      <c r="A708" s="53" t="s">
        <v>43</v>
      </c>
      <c r="B708" s="53" t="s">
        <v>2445</v>
      </c>
      <c r="C708" s="53" t="s">
        <v>1687</v>
      </c>
      <c r="D708" s="53" t="s">
        <v>2024</v>
      </c>
      <c r="E708" s="53" t="s">
        <v>2094</v>
      </c>
      <c r="F708" s="53" t="s">
        <v>2019</v>
      </c>
      <c r="G708" s="53" t="s">
        <v>2026</v>
      </c>
      <c r="H708" s="53">
        <v>1.0</v>
      </c>
      <c r="I708" s="53">
        <v>0.032</v>
      </c>
      <c r="J708" s="53">
        <v>1.0</v>
      </c>
      <c r="K708" s="53" t="s">
        <v>53</v>
      </c>
      <c r="L708" s="53" t="s">
        <v>53</v>
      </c>
    </row>
    <row r="709" ht="15.75" customHeight="1">
      <c r="A709" s="53" t="s">
        <v>43</v>
      </c>
      <c r="B709" s="53" t="s">
        <v>2445</v>
      </c>
      <c r="C709" s="53" t="s">
        <v>1687</v>
      </c>
      <c r="D709" s="53" t="s">
        <v>2024</v>
      </c>
      <c r="E709" s="53" t="s">
        <v>2095</v>
      </c>
      <c r="F709" s="53" t="s">
        <v>2019</v>
      </c>
      <c r="G709" s="53" t="s">
        <v>2020</v>
      </c>
      <c r="H709" s="53">
        <v>1.0</v>
      </c>
      <c r="I709" s="53">
        <v>0.12</v>
      </c>
      <c r="J709" s="53">
        <v>3.0</v>
      </c>
      <c r="K709" s="53" t="s">
        <v>53</v>
      </c>
      <c r="L709" s="53" t="s">
        <v>53</v>
      </c>
    </row>
    <row r="710" ht="15.75" customHeight="1">
      <c r="A710" s="53" t="s">
        <v>43</v>
      </c>
      <c r="B710" s="53" t="s">
        <v>2445</v>
      </c>
      <c r="C710" s="53" t="s">
        <v>1687</v>
      </c>
      <c r="D710" s="53" t="s">
        <v>2024</v>
      </c>
      <c r="E710" s="53" t="s">
        <v>2096</v>
      </c>
      <c r="F710" s="53" t="s">
        <v>2019</v>
      </c>
      <c r="G710" s="53" t="s">
        <v>2030</v>
      </c>
      <c r="H710" s="53">
        <v>1.0</v>
      </c>
      <c r="I710" s="53">
        <v>0.16551724137931034</v>
      </c>
      <c r="J710" s="53">
        <v>4.0</v>
      </c>
      <c r="K710" s="53" t="s">
        <v>53</v>
      </c>
      <c r="L710" s="53" t="s">
        <v>53</v>
      </c>
    </row>
    <row r="711" ht="15.75" customHeight="1">
      <c r="A711" s="53" t="s">
        <v>43</v>
      </c>
      <c r="B711" s="53" t="s">
        <v>2445</v>
      </c>
      <c r="C711" s="53" t="s">
        <v>1687</v>
      </c>
      <c r="D711" s="53" t="s">
        <v>2024</v>
      </c>
      <c r="E711" s="53" t="s">
        <v>2097</v>
      </c>
      <c r="F711" s="53" t="s">
        <v>2019</v>
      </c>
      <c r="G711" s="53" t="s">
        <v>2028</v>
      </c>
      <c r="H711" s="53">
        <v>1.0</v>
      </c>
      <c r="I711" s="53">
        <v>0.16551724137931034</v>
      </c>
      <c r="J711" s="53">
        <v>0.0</v>
      </c>
      <c r="K711" s="53" t="s">
        <v>53</v>
      </c>
      <c r="L711" s="53" t="s">
        <v>53</v>
      </c>
    </row>
    <row r="712" ht="15.75" customHeight="1">
      <c r="A712" s="53" t="s">
        <v>43</v>
      </c>
      <c r="B712" s="53" t="s">
        <v>2445</v>
      </c>
      <c r="C712" s="53" t="s">
        <v>1687</v>
      </c>
      <c r="D712" s="53" t="s">
        <v>2024</v>
      </c>
      <c r="E712" s="53" t="s">
        <v>2098</v>
      </c>
      <c r="F712" s="53" t="s">
        <v>2019</v>
      </c>
      <c r="G712" s="53" t="s">
        <v>2034</v>
      </c>
      <c r="H712" s="53">
        <v>1.0</v>
      </c>
      <c r="I712" s="53">
        <v>0.25</v>
      </c>
      <c r="J712" s="53">
        <v>2.0</v>
      </c>
      <c r="K712" s="53" t="s">
        <v>53</v>
      </c>
      <c r="L712" s="53" t="s">
        <v>53</v>
      </c>
    </row>
    <row r="713" ht="15.75" customHeight="1">
      <c r="A713" s="53" t="s">
        <v>43</v>
      </c>
      <c r="B713" s="53" t="s">
        <v>2445</v>
      </c>
      <c r="C713" s="53" t="s">
        <v>1687</v>
      </c>
      <c r="D713" s="53" t="s">
        <v>2028</v>
      </c>
      <c r="E713" s="53" t="s">
        <v>2099</v>
      </c>
      <c r="F713" s="53" t="s">
        <v>2019</v>
      </c>
      <c r="G713" s="53" t="s">
        <v>2030</v>
      </c>
      <c r="H713" s="53">
        <v>1.0</v>
      </c>
      <c r="I713" s="53">
        <v>0.034482758620689655</v>
      </c>
      <c r="J713" s="53">
        <v>3.0</v>
      </c>
      <c r="K713" s="53" t="s">
        <v>53</v>
      </c>
      <c r="L713" s="53" t="s">
        <v>53</v>
      </c>
    </row>
    <row r="714" ht="15.75" customHeight="1">
      <c r="A714" s="53" t="s">
        <v>43</v>
      </c>
      <c r="B714" s="53" t="s">
        <v>2445</v>
      </c>
      <c r="C714" s="53" t="s">
        <v>1687</v>
      </c>
      <c r="D714" s="53" t="s">
        <v>2028</v>
      </c>
      <c r="E714" s="53" t="s">
        <v>2100</v>
      </c>
      <c r="F714" s="53" t="s">
        <v>2019</v>
      </c>
      <c r="G714" s="53" t="s">
        <v>2034</v>
      </c>
      <c r="H714" s="53">
        <v>1.0</v>
      </c>
      <c r="I714" s="53">
        <v>0.125</v>
      </c>
      <c r="J714" s="53">
        <v>1.0</v>
      </c>
      <c r="K714" s="53" t="s">
        <v>53</v>
      </c>
      <c r="L714" s="53" t="s">
        <v>53</v>
      </c>
    </row>
    <row r="715" ht="15.75" customHeight="1">
      <c r="A715" s="53" t="s">
        <v>43</v>
      </c>
      <c r="B715" s="53" t="s">
        <v>2445</v>
      </c>
      <c r="C715" s="53" t="s">
        <v>1687</v>
      </c>
      <c r="D715" s="53" t="s">
        <v>2028</v>
      </c>
      <c r="E715" s="53" t="s">
        <v>2101</v>
      </c>
      <c r="F715" s="53" t="s">
        <v>2019</v>
      </c>
      <c r="G715" s="53" t="s">
        <v>2026</v>
      </c>
      <c r="H715" s="53">
        <v>1.0</v>
      </c>
      <c r="I715" s="53">
        <v>0.1724137931034483</v>
      </c>
      <c r="J715" s="53">
        <v>0.0</v>
      </c>
      <c r="K715" s="53" t="s">
        <v>53</v>
      </c>
      <c r="L715" s="53" t="s">
        <v>53</v>
      </c>
    </row>
    <row r="716" ht="15.75" customHeight="1">
      <c r="A716" s="53" t="s">
        <v>43</v>
      </c>
      <c r="B716" s="53" t="s">
        <v>2445</v>
      </c>
      <c r="C716" s="53" t="s">
        <v>1687</v>
      </c>
      <c r="D716" s="53" t="s">
        <v>2028</v>
      </c>
      <c r="E716" s="53" t="s">
        <v>2102</v>
      </c>
      <c r="F716" s="53" t="s">
        <v>2019</v>
      </c>
      <c r="G716" s="53" t="s">
        <v>2020</v>
      </c>
      <c r="H716" s="53">
        <v>1.0</v>
      </c>
      <c r="I716" s="53">
        <v>0.2482758620689655</v>
      </c>
      <c r="J716" s="53">
        <v>2.0</v>
      </c>
      <c r="K716" s="53" t="s">
        <v>53</v>
      </c>
      <c r="L716" s="53" t="s">
        <v>53</v>
      </c>
    </row>
    <row r="717" ht="15.75" customHeight="1">
      <c r="A717" s="53" t="s">
        <v>43</v>
      </c>
      <c r="B717" s="53" t="s">
        <v>2445</v>
      </c>
      <c r="C717" s="53" t="s">
        <v>1687</v>
      </c>
      <c r="D717" s="53" t="s">
        <v>2026</v>
      </c>
      <c r="E717" s="53" t="s">
        <v>2103</v>
      </c>
      <c r="F717" s="53" t="s">
        <v>2019</v>
      </c>
      <c r="G717" s="53" t="s">
        <v>2020</v>
      </c>
      <c r="H717" s="53">
        <v>1.0</v>
      </c>
      <c r="I717" s="53">
        <v>0.13008130081300814</v>
      </c>
      <c r="J717" s="53">
        <v>1.0</v>
      </c>
      <c r="K717" s="53" t="s">
        <v>53</v>
      </c>
      <c r="L717" s="53" t="s">
        <v>53</v>
      </c>
    </row>
    <row r="718" ht="15.75" customHeight="1">
      <c r="A718" s="53" t="s">
        <v>43</v>
      </c>
      <c r="B718" s="53" t="s">
        <v>2445</v>
      </c>
      <c r="C718" s="53" t="s">
        <v>1687</v>
      </c>
      <c r="D718" s="53" t="s">
        <v>2026</v>
      </c>
      <c r="E718" s="53" t="s">
        <v>2104</v>
      </c>
      <c r="F718" s="53" t="s">
        <v>2019</v>
      </c>
      <c r="G718" s="53" t="s">
        <v>2030</v>
      </c>
      <c r="H718" s="53">
        <v>1.0</v>
      </c>
      <c r="I718" s="53">
        <v>0.16551724137931034</v>
      </c>
      <c r="J718" s="53">
        <v>2.0</v>
      </c>
      <c r="K718" s="53" t="s">
        <v>53</v>
      </c>
      <c r="L718" s="53" t="s">
        <v>53</v>
      </c>
    </row>
    <row r="719" ht="15.75" customHeight="1">
      <c r="A719" s="53" t="s">
        <v>43</v>
      </c>
      <c r="B719" s="53" t="s">
        <v>2445</v>
      </c>
      <c r="C719" s="53" t="s">
        <v>1687</v>
      </c>
      <c r="D719" s="53" t="s">
        <v>2026</v>
      </c>
      <c r="E719" s="53" t="s">
        <v>2105</v>
      </c>
      <c r="F719" s="53" t="s">
        <v>2019</v>
      </c>
      <c r="G719" s="53" t="s">
        <v>2034</v>
      </c>
      <c r="H719" s="53">
        <v>1.0</v>
      </c>
      <c r="I719" s="53">
        <v>0.24375</v>
      </c>
      <c r="J719" s="53">
        <v>0.0</v>
      </c>
      <c r="K719" s="53" t="s">
        <v>53</v>
      </c>
      <c r="L719" s="53" t="s">
        <v>53</v>
      </c>
    </row>
    <row r="720" ht="15.75" customHeight="1">
      <c r="A720" s="53" t="s">
        <v>43</v>
      </c>
      <c r="B720" s="53" t="s">
        <v>2445</v>
      </c>
      <c r="C720" s="53" t="s">
        <v>1687</v>
      </c>
      <c r="D720" s="53" t="s">
        <v>2034</v>
      </c>
      <c r="E720" s="53" t="s">
        <v>2106</v>
      </c>
      <c r="F720" s="53" t="s">
        <v>2019</v>
      </c>
      <c r="G720" s="53" t="s">
        <v>2030</v>
      </c>
      <c r="H720" s="53">
        <v>1.0</v>
      </c>
      <c r="I720" s="53">
        <v>0.1125</v>
      </c>
      <c r="J720" s="53">
        <v>1.0</v>
      </c>
      <c r="K720" s="53" t="s">
        <v>53</v>
      </c>
      <c r="L720" s="53" t="s">
        <v>53</v>
      </c>
    </row>
    <row r="721" ht="15.75" customHeight="1">
      <c r="A721" s="53" t="s">
        <v>43</v>
      </c>
      <c r="B721" s="53" t="s">
        <v>2445</v>
      </c>
      <c r="C721" s="53" t="s">
        <v>1687</v>
      </c>
      <c r="D721" s="53" t="s">
        <v>2034</v>
      </c>
      <c r="E721" s="53" t="s">
        <v>2107</v>
      </c>
      <c r="F721" s="53" t="s">
        <v>2019</v>
      </c>
      <c r="G721" s="53" t="s">
        <v>2020</v>
      </c>
      <c r="H721" s="53">
        <v>1.0</v>
      </c>
      <c r="I721" s="53">
        <v>0.31875</v>
      </c>
      <c r="J721" s="53">
        <v>0.0</v>
      </c>
      <c r="K721" s="53" t="s">
        <v>53</v>
      </c>
      <c r="L721" s="53" t="s">
        <v>53</v>
      </c>
    </row>
    <row r="722" ht="15.75" customHeight="1">
      <c r="A722" s="53" t="s">
        <v>43</v>
      </c>
      <c r="B722" s="53" t="s">
        <v>2445</v>
      </c>
      <c r="C722" s="53" t="s">
        <v>1687</v>
      </c>
      <c r="D722" s="53" t="s">
        <v>2020</v>
      </c>
      <c r="E722" s="53" t="s">
        <v>2108</v>
      </c>
      <c r="F722" s="53" t="s">
        <v>2019</v>
      </c>
      <c r="G722" s="53" t="s">
        <v>2030</v>
      </c>
      <c r="H722" s="53">
        <v>1.0</v>
      </c>
      <c r="I722" s="53">
        <v>0.2482758620689655</v>
      </c>
      <c r="J722" s="53">
        <v>0.0</v>
      </c>
      <c r="K722" s="53" t="s">
        <v>53</v>
      </c>
      <c r="L722" s="53" t="s">
        <v>53</v>
      </c>
    </row>
    <row r="723" ht="15.75" customHeight="1">
      <c r="A723" s="53" t="s">
        <v>43</v>
      </c>
      <c r="B723" s="53" t="s">
        <v>2445</v>
      </c>
      <c r="C723" s="53" t="s">
        <v>1687</v>
      </c>
      <c r="D723" s="53" t="s">
        <v>2109</v>
      </c>
      <c r="E723" s="53" t="s">
        <v>2110</v>
      </c>
      <c r="F723" s="53" t="s">
        <v>2458</v>
      </c>
      <c r="G723" s="53" t="s">
        <v>2112</v>
      </c>
      <c r="H723" s="53">
        <v>1.0</v>
      </c>
      <c r="I723" s="53">
        <v>0.5996884735202492</v>
      </c>
      <c r="J723" s="53">
        <v>4.0</v>
      </c>
      <c r="K723" s="53" t="s">
        <v>53</v>
      </c>
      <c r="L723" s="53" t="s">
        <v>53</v>
      </c>
    </row>
    <row r="724" ht="15.75" customHeight="1">
      <c r="A724" s="53" t="s">
        <v>43</v>
      </c>
      <c r="B724" s="53" t="s">
        <v>2445</v>
      </c>
      <c r="C724" s="53" t="s">
        <v>1687</v>
      </c>
      <c r="D724" s="53" t="s">
        <v>2109</v>
      </c>
      <c r="E724" s="53" t="s">
        <v>2113</v>
      </c>
      <c r="F724" s="53" t="s">
        <v>2459</v>
      </c>
      <c r="G724" s="53" t="s">
        <v>2115</v>
      </c>
      <c r="H724" s="53">
        <v>1.0</v>
      </c>
      <c r="I724" s="53">
        <v>0.6822429906542056</v>
      </c>
      <c r="J724" s="53">
        <v>5.0</v>
      </c>
      <c r="K724" s="53" t="s">
        <v>53</v>
      </c>
      <c r="L724" s="53" t="s">
        <v>53</v>
      </c>
    </row>
    <row r="725" ht="15.75" customHeight="1">
      <c r="A725" s="53" t="s">
        <v>43</v>
      </c>
      <c r="B725" s="53" t="s">
        <v>2445</v>
      </c>
      <c r="C725" s="53" t="s">
        <v>1687</v>
      </c>
      <c r="D725" s="53" t="s">
        <v>2109</v>
      </c>
      <c r="E725" s="53" t="s">
        <v>2116</v>
      </c>
      <c r="F725" s="53" t="s">
        <v>2459</v>
      </c>
      <c r="G725" s="53" t="s">
        <v>2117</v>
      </c>
      <c r="H725" s="53">
        <v>1.0</v>
      </c>
      <c r="I725" s="53">
        <v>0.6853582554517134</v>
      </c>
      <c r="J725" s="53">
        <v>1.0</v>
      </c>
      <c r="K725" s="53" t="s">
        <v>53</v>
      </c>
      <c r="L725" s="53" t="s">
        <v>53</v>
      </c>
    </row>
    <row r="726" ht="15.75" customHeight="1">
      <c r="A726" s="53" t="s">
        <v>43</v>
      </c>
      <c r="B726" s="53" t="s">
        <v>2445</v>
      </c>
      <c r="C726" s="53" t="s">
        <v>1687</v>
      </c>
      <c r="D726" s="53" t="s">
        <v>2109</v>
      </c>
      <c r="E726" s="53" t="s">
        <v>2118</v>
      </c>
      <c r="F726" s="53" t="s">
        <v>2459</v>
      </c>
      <c r="G726" s="53" t="s">
        <v>2119</v>
      </c>
      <c r="H726" s="53">
        <v>1.0</v>
      </c>
      <c r="I726" s="53">
        <v>0.6869158878504673</v>
      </c>
      <c r="J726" s="53">
        <v>0.0</v>
      </c>
      <c r="K726" s="53" t="s">
        <v>53</v>
      </c>
      <c r="L726" s="53" t="s">
        <v>53</v>
      </c>
    </row>
    <row r="727" ht="15.75" customHeight="1">
      <c r="A727" s="53" t="s">
        <v>43</v>
      </c>
      <c r="B727" s="53" t="s">
        <v>2445</v>
      </c>
      <c r="C727" s="53" t="s">
        <v>1687</v>
      </c>
      <c r="D727" s="53" t="s">
        <v>2109</v>
      </c>
      <c r="E727" s="53" t="s">
        <v>2120</v>
      </c>
      <c r="F727" s="53" t="s">
        <v>2459</v>
      </c>
      <c r="G727" s="53" t="s">
        <v>2121</v>
      </c>
      <c r="H727" s="53">
        <v>1.0</v>
      </c>
      <c r="I727" s="53">
        <v>0.6915887850467289</v>
      </c>
      <c r="J727" s="53">
        <v>9.0</v>
      </c>
      <c r="K727" s="53" t="s">
        <v>53</v>
      </c>
      <c r="L727" s="53" t="s">
        <v>53</v>
      </c>
    </row>
    <row r="728" ht="15.75" customHeight="1">
      <c r="A728" s="53" t="s">
        <v>43</v>
      </c>
      <c r="B728" s="53" t="s">
        <v>2445</v>
      </c>
      <c r="C728" s="53" t="s">
        <v>1687</v>
      </c>
      <c r="D728" s="53" t="s">
        <v>2109</v>
      </c>
      <c r="E728" s="53" t="s">
        <v>2122</v>
      </c>
      <c r="F728" s="53" t="s">
        <v>2460</v>
      </c>
      <c r="G728" s="53" t="s">
        <v>2124</v>
      </c>
      <c r="H728" s="53">
        <v>1.0</v>
      </c>
      <c r="I728" s="53">
        <v>0.7663551401869159</v>
      </c>
      <c r="J728" s="53">
        <v>6.0</v>
      </c>
      <c r="K728" s="53" t="s">
        <v>53</v>
      </c>
      <c r="L728" s="53" t="s">
        <v>53</v>
      </c>
    </row>
    <row r="729" ht="15.75" customHeight="1">
      <c r="A729" s="53" t="s">
        <v>43</v>
      </c>
      <c r="B729" s="53" t="s">
        <v>2445</v>
      </c>
      <c r="C729" s="53" t="s">
        <v>1687</v>
      </c>
      <c r="D729" s="53" t="s">
        <v>2109</v>
      </c>
      <c r="E729" s="53" t="s">
        <v>2125</v>
      </c>
      <c r="F729" s="53" t="s">
        <v>2460</v>
      </c>
      <c r="G729" s="53" t="s">
        <v>2126</v>
      </c>
      <c r="H729" s="53">
        <v>1.0</v>
      </c>
      <c r="I729" s="53">
        <v>0.7710280373831776</v>
      </c>
      <c r="J729" s="53">
        <v>7.0</v>
      </c>
      <c r="K729" s="53" t="s">
        <v>53</v>
      </c>
      <c r="L729" s="53" t="s">
        <v>53</v>
      </c>
    </row>
    <row r="730" ht="15.75" customHeight="1">
      <c r="A730" s="53" t="s">
        <v>43</v>
      </c>
      <c r="B730" s="53" t="s">
        <v>2445</v>
      </c>
      <c r="C730" s="53" t="s">
        <v>1687</v>
      </c>
      <c r="D730" s="53" t="s">
        <v>2109</v>
      </c>
      <c r="E730" s="53" t="s">
        <v>2127</v>
      </c>
      <c r="F730" s="53" t="s">
        <v>2460</v>
      </c>
      <c r="G730" s="53" t="s">
        <v>2128</v>
      </c>
      <c r="H730" s="53">
        <v>1.0</v>
      </c>
      <c r="I730" s="53">
        <v>0.7834890965732088</v>
      </c>
      <c r="J730" s="53">
        <v>10.0</v>
      </c>
      <c r="K730" s="53" t="s">
        <v>53</v>
      </c>
      <c r="L730" s="53" t="s">
        <v>53</v>
      </c>
    </row>
    <row r="731" ht="15.75" customHeight="1">
      <c r="A731" s="53" t="s">
        <v>43</v>
      </c>
      <c r="B731" s="53" t="s">
        <v>2445</v>
      </c>
      <c r="C731" s="53" t="s">
        <v>1687</v>
      </c>
      <c r="D731" s="53" t="s">
        <v>2109</v>
      </c>
      <c r="E731" s="53" t="s">
        <v>2129</v>
      </c>
      <c r="F731" s="53" t="s">
        <v>2460</v>
      </c>
      <c r="G731" s="53" t="s">
        <v>2130</v>
      </c>
      <c r="H731" s="53">
        <v>1.0</v>
      </c>
      <c r="I731" s="53">
        <v>0.7850467289719626</v>
      </c>
      <c r="J731" s="53">
        <v>11.0</v>
      </c>
      <c r="K731" s="53" t="s">
        <v>53</v>
      </c>
      <c r="L731" s="53" t="s">
        <v>53</v>
      </c>
    </row>
    <row r="732" ht="15.75" customHeight="1">
      <c r="A732" s="53" t="s">
        <v>43</v>
      </c>
      <c r="B732" s="53" t="s">
        <v>2445</v>
      </c>
      <c r="C732" s="53" t="s">
        <v>1687</v>
      </c>
      <c r="D732" s="53" t="s">
        <v>2109</v>
      </c>
      <c r="E732" s="53" t="s">
        <v>2131</v>
      </c>
      <c r="F732" s="53" t="s">
        <v>2461</v>
      </c>
      <c r="G732" s="53" t="s">
        <v>2133</v>
      </c>
      <c r="H732" s="53">
        <v>1.0</v>
      </c>
      <c r="I732" s="53">
        <v>0.8598130841121495</v>
      </c>
      <c r="J732" s="53">
        <v>12.0</v>
      </c>
      <c r="K732" s="53" t="s">
        <v>53</v>
      </c>
      <c r="L732" s="53" t="s">
        <v>2134</v>
      </c>
    </row>
    <row r="733" ht="15.75" customHeight="1">
      <c r="A733" s="53" t="s">
        <v>43</v>
      </c>
      <c r="B733" s="53" t="s">
        <v>2445</v>
      </c>
      <c r="C733" s="53" t="s">
        <v>1687</v>
      </c>
      <c r="D733" s="53" t="s">
        <v>2109</v>
      </c>
      <c r="E733" s="53" t="s">
        <v>2135</v>
      </c>
      <c r="F733" s="53" t="s">
        <v>2461</v>
      </c>
      <c r="G733" s="53" t="s">
        <v>2136</v>
      </c>
      <c r="H733" s="53">
        <v>1.0</v>
      </c>
      <c r="I733" s="53">
        <v>0.8629283489096573</v>
      </c>
      <c r="J733" s="53">
        <v>3.0</v>
      </c>
      <c r="K733" s="53" t="s">
        <v>53</v>
      </c>
      <c r="L733" s="53" t="s">
        <v>2134</v>
      </c>
    </row>
    <row r="734" ht="15.75" customHeight="1">
      <c r="A734" s="53" t="s">
        <v>43</v>
      </c>
      <c r="B734" s="53" t="s">
        <v>2445</v>
      </c>
      <c r="C734" s="53" t="s">
        <v>1687</v>
      </c>
      <c r="D734" s="53" t="s">
        <v>2109</v>
      </c>
      <c r="E734" s="53" t="s">
        <v>2137</v>
      </c>
      <c r="F734" s="53" t="s">
        <v>2461</v>
      </c>
      <c r="G734" s="53" t="s">
        <v>52</v>
      </c>
      <c r="H734" s="53">
        <v>1.0</v>
      </c>
      <c r="I734" s="53">
        <v>0.8691588785046729</v>
      </c>
      <c r="J734" s="53">
        <v>2.0</v>
      </c>
      <c r="K734" s="53" t="s">
        <v>53</v>
      </c>
      <c r="L734" s="53" t="s">
        <v>2134</v>
      </c>
    </row>
    <row r="735" ht="15.75" customHeight="1">
      <c r="A735" s="53" t="s">
        <v>43</v>
      </c>
      <c r="B735" s="53" t="s">
        <v>2445</v>
      </c>
      <c r="C735" s="53" t="s">
        <v>1687</v>
      </c>
      <c r="D735" s="53" t="s">
        <v>2109</v>
      </c>
      <c r="E735" s="53" t="s">
        <v>2138</v>
      </c>
      <c r="F735" s="53" t="s">
        <v>2461</v>
      </c>
      <c r="G735" s="53" t="s">
        <v>46</v>
      </c>
      <c r="H735" s="53">
        <v>1.0</v>
      </c>
      <c r="I735" s="53">
        <v>0.8707165109034268</v>
      </c>
      <c r="J735" s="53">
        <v>8.0</v>
      </c>
      <c r="K735" s="53" t="s">
        <v>53</v>
      </c>
      <c r="L735" s="53" t="s">
        <v>2134</v>
      </c>
    </row>
    <row r="736" ht="15.75" customHeight="1">
      <c r="A736" s="53" t="s">
        <v>43</v>
      </c>
      <c r="B736" s="53" t="s">
        <v>2445</v>
      </c>
      <c r="C736" s="53" t="s">
        <v>1687</v>
      </c>
      <c r="D736" s="53" t="s">
        <v>2119</v>
      </c>
      <c r="E736" s="53" t="s">
        <v>2139</v>
      </c>
      <c r="F736" s="53" t="s">
        <v>2462</v>
      </c>
      <c r="G736" s="53" t="s">
        <v>2121</v>
      </c>
      <c r="H736" s="53">
        <v>1.0</v>
      </c>
      <c r="I736" s="53">
        <v>0.06666666666666667</v>
      </c>
      <c r="J736" s="53">
        <v>8.0</v>
      </c>
      <c r="K736" s="53" t="s">
        <v>53</v>
      </c>
      <c r="L736" s="53" t="s">
        <v>53</v>
      </c>
    </row>
    <row r="737" ht="15.75" customHeight="1">
      <c r="A737" s="53" t="s">
        <v>43</v>
      </c>
      <c r="B737" s="53" t="s">
        <v>2445</v>
      </c>
      <c r="C737" s="53" t="s">
        <v>1687</v>
      </c>
      <c r="D737" s="53" t="s">
        <v>2119</v>
      </c>
      <c r="E737" s="53" t="s">
        <v>2141</v>
      </c>
      <c r="F737" s="53" t="s">
        <v>2462</v>
      </c>
      <c r="G737" s="53" t="s">
        <v>2117</v>
      </c>
      <c r="H737" s="53">
        <v>1.0</v>
      </c>
      <c r="I737" s="53">
        <v>0.08837209302325581</v>
      </c>
      <c r="J737" s="53">
        <v>0.0</v>
      </c>
      <c r="K737" s="53" t="s">
        <v>53</v>
      </c>
      <c r="L737" s="53" t="s">
        <v>53</v>
      </c>
    </row>
    <row r="738" ht="15.75" customHeight="1">
      <c r="A738" s="53" t="s">
        <v>43</v>
      </c>
      <c r="B738" s="53" t="s">
        <v>2445</v>
      </c>
      <c r="C738" s="53" t="s">
        <v>1687</v>
      </c>
      <c r="D738" s="53" t="s">
        <v>2119</v>
      </c>
      <c r="E738" s="53" t="s">
        <v>2142</v>
      </c>
      <c r="F738" s="53" t="s">
        <v>2462</v>
      </c>
      <c r="G738" s="53" t="s">
        <v>2115</v>
      </c>
      <c r="H738" s="53">
        <v>1.0</v>
      </c>
      <c r="I738" s="53">
        <v>0.11363636363636363</v>
      </c>
      <c r="J738" s="53">
        <v>4.0</v>
      </c>
      <c r="K738" s="53" t="s">
        <v>53</v>
      </c>
      <c r="L738" s="53" t="s">
        <v>53</v>
      </c>
    </row>
    <row r="739" ht="15.75" customHeight="1">
      <c r="A739" s="53" t="s">
        <v>43</v>
      </c>
      <c r="B739" s="53" t="s">
        <v>2445</v>
      </c>
      <c r="C739" s="53" t="s">
        <v>1687</v>
      </c>
      <c r="D739" s="53" t="s">
        <v>2119</v>
      </c>
      <c r="E739" s="53" t="s">
        <v>2143</v>
      </c>
      <c r="F739" s="53" t="s">
        <v>2463</v>
      </c>
      <c r="G739" s="53" t="s">
        <v>2112</v>
      </c>
      <c r="H739" s="53">
        <v>1.0</v>
      </c>
      <c r="I739" s="53">
        <v>0.26591760299625467</v>
      </c>
      <c r="J739" s="53">
        <v>3.0</v>
      </c>
      <c r="K739" s="53" t="s">
        <v>53</v>
      </c>
      <c r="L739" s="53" t="s">
        <v>53</v>
      </c>
    </row>
    <row r="740" ht="15.75" customHeight="1">
      <c r="A740" s="53" t="s">
        <v>43</v>
      </c>
      <c r="B740" s="53" t="s">
        <v>2445</v>
      </c>
      <c r="C740" s="53" t="s">
        <v>1687</v>
      </c>
      <c r="D740" s="53" t="s">
        <v>2119</v>
      </c>
      <c r="E740" s="53" t="s">
        <v>2145</v>
      </c>
      <c r="F740" s="53" t="s">
        <v>2464</v>
      </c>
      <c r="G740" s="53" t="s">
        <v>2126</v>
      </c>
      <c r="H740" s="53">
        <v>1.0</v>
      </c>
      <c r="I740" s="53">
        <v>0.30434782608695654</v>
      </c>
      <c r="J740" s="53">
        <v>6.0</v>
      </c>
      <c r="K740" s="53" t="s">
        <v>53</v>
      </c>
      <c r="L740" s="53" t="s">
        <v>53</v>
      </c>
    </row>
    <row r="741" ht="15.75" customHeight="1">
      <c r="A741" s="53" t="s">
        <v>43</v>
      </c>
      <c r="B741" s="53" t="s">
        <v>2445</v>
      </c>
      <c r="C741" s="53" t="s">
        <v>1687</v>
      </c>
      <c r="D741" s="53" t="s">
        <v>2119</v>
      </c>
      <c r="E741" s="53" t="s">
        <v>2147</v>
      </c>
      <c r="F741" s="53" t="s">
        <v>2464</v>
      </c>
      <c r="G741" s="53" t="s">
        <v>2124</v>
      </c>
      <c r="H741" s="53">
        <v>1.0</v>
      </c>
      <c r="I741" s="53">
        <v>0.30434782608695654</v>
      </c>
      <c r="J741" s="53">
        <v>5.0</v>
      </c>
      <c r="K741" s="53" t="s">
        <v>53</v>
      </c>
      <c r="L741" s="53" t="s">
        <v>53</v>
      </c>
    </row>
    <row r="742" ht="15.75" customHeight="1">
      <c r="A742" s="53" t="s">
        <v>43</v>
      </c>
      <c r="B742" s="53" t="s">
        <v>2445</v>
      </c>
      <c r="C742" s="53" t="s">
        <v>1687</v>
      </c>
      <c r="D742" s="53" t="s">
        <v>2119</v>
      </c>
      <c r="E742" s="53" t="s">
        <v>2148</v>
      </c>
      <c r="F742" s="53" t="s">
        <v>2464</v>
      </c>
      <c r="G742" s="53" t="s">
        <v>2128</v>
      </c>
      <c r="H742" s="53">
        <v>1.0</v>
      </c>
      <c r="I742" s="53">
        <v>0.32367149758454106</v>
      </c>
      <c r="J742" s="53">
        <v>9.0</v>
      </c>
      <c r="K742" s="53" t="s">
        <v>53</v>
      </c>
      <c r="L742" s="53" t="s">
        <v>53</v>
      </c>
    </row>
    <row r="743" ht="15.75" customHeight="1">
      <c r="A743" s="53" t="s">
        <v>43</v>
      </c>
      <c r="B743" s="53" t="s">
        <v>2445</v>
      </c>
      <c r="C743" s="53" t="s">
        <v>1687</v>
      </c>
      <c r="D743" s="53" t="s">
        <v>2119</v>
      </c>
      <c r="E743" s="53" t="s">
        <v>2149</v>
      </c>
      <c r="F743" s="53" t="s">
        <v>2464</v>
      </c>
      <c r="G743" s="53" t="s">
        <v>2130</v>
      </c>
      <c r="H743" s="53">
        <v>1.0</v>
      </c>
      <c r="I743" s="53">
        <v>0.3333333333333333</v>
      </c>
      <c r="J743" s="53">
        <v>10.0</v>
      </c>
      <c r="K743" s="53" t="s">
        <v>53</v>
      </c>
      <c r="L743" s="53" t="s">
        <v>53</v>
      </c>
    </row>
    <row r="744" ht="15.75" customHeight="1">
      <c r="A744" s="53" t="s">
        <v>43</v>
      </c>
      <c r="B744" s="53" t="s">
        <v>2445</v>
      </c>
      <c r="C744" s="53" t="s">
        <v>1687</v>
      </c>
      <c r="D744" s="53" t="s">
        <v>2119</v>
      </c>
      <c r="E744" s="53" t="s">
        <v>2150</v>
      </c>
      <c r="F744" s="53" t="s">
        <v>2465</v>
      </c>
      <c r="G744" s="53" t="s">
        <v>2136</v>
      </c>
      <c r="H744" s="53">
        <v>1.0</v>
      </c>
      <c r="I744" s="53">
        <v>0.5652173913043478</v>
      </c>
      <c r="J744" s="53">
        <v>2.0</v>
      </c>
      <c r="K744" s="53" t="s">
        <v>53</v>
      </c>
      <c r="L744" s="53" t="s">
        <v>2134</v>
      </c>
    </row>
    <row r="745" ht="15.75" customHeight="1">
      <c r="A745" s="53" t="s">
        <v>43</v>
      </c>
      <c r="B745" s="53" t="s">
        <v>2445</v>
      </c>
      <c r="C745" s="53" t="s">
        <v>1687</v>
      </c>
      <c r="D745" s="53" t="s">
        <v>2119</v>
      </c>
      <c r="E745" s="53" t="s">
        <v>2152</v>
      </c>
      <c r="F745" s="53" t="s">
        <v>2465</v>
      </c>
      <c r="G745" s="53" t="s">
        <v>2133</v>
      </c>
      <c r="H745" s="53">
        <v>1.0</v>
      </c>
      <c r="I745" s="53">
        <v>0.5700483091787439</v>
      </c>
      <c r="J745" s="53">
        <v>11.0</v>
      </c>
      <c r="K745" s="53" t="s">
        <v>53</v>
      </c>
      <c r="L745" s="53" t="s">
        <v>2134</v>
      </c>
    </row>
    <row r="746" ht="15.75" customHeight="1">
      <c r="A746" s="53" t="s">
        <v>43</v>
      </c>
      <c r="B746" s="53" t="s">
        <v>2445</v>
      </c>
      <c r="C746" s="53" t="s">
        <v>1687</v>
      </c>
      <c r="D746" s="53" t="s">
        <v>2119</v>
      </c>
      <c r="E746" s="53" t="s">
        <v>2153</v>
      </c>
      <c r="F746" s="53" t="s">
        <v>2465</v>
      </c>
      <c r="G746" s="53" t="s">
        <v>52</v>
      </c>
      <c r="H746" s="53">
        <v>1.0</v>
      </c>
      <c r="I746" s="53">
        <v>0.5942028985507246</v>
      </c>
      <c r="J746" s="53">
        <v>1.0</v>
      </c>
      <c r="K746" s="53" t="s">
        <v>53</v>
      </c>
      <c r="L746" s="53" t="s">
        <v>2134</v>
      </c>
    </row>
    <row r="747" ht="15.75" customHeight="1">
      <c r="A747" s="53" t="s">
        <v>43</v>
      </c>
      <c r="B747" s="53" t="s">
        <v>2445</v>
      </c>
      <c r="C747" s="53" t="s">
        <v>1687</v>
      </c>
      <c r="D747" s="53" t="s">
        <v>2119</v>
      </c>
      <c r="E747" s="53" t="s">
        <v>2154</v>
      </c>
      <c r="F747" s="53" t="s">
        <v>2465</v>
      </c>
      <c r="G747" s="53" t="s">
        <v>46</v>
      </c>
      <c r="H747" s="53">
        <v>1.0</v>
      </c>
      <c r="I747" s="53">
        <v>0.5990338164251208</v>
      </c>
      <c r="J747" s="53">
        <v>7.0</v>
      </c>
      <c r="K747" s="53" t="s">
        <v>53</v>
      </c>
      <c r="L747" s="53" t="s">
        <v>2134</v>
      </c>
    </row>
    <row r="748" ht="15.75" customHeight="1">
      <c r="A748" s="53" t="s">
        <v>43</v>
      </c>
      <c r="B748" s="53" t="s">
        <v>2445</v>
      </c>
      <c r="C748" s="53" t="s">
        <v>1687</v>
      </c>
      <c r="D748" s="53" t="s">
        <v>2117</v>
      </c>
      <c r="E748" s="53" t="s">
        <v>2155</v>
      </c>
      <c r="F748" s="53" t="s">
        <v>2462</v>
      </c>
      <c r="G748" s="53" t="s">
        <v>2115</v>
      </c>
      <c r="H748" s="53">
        <v>1.0</v>
      </c>
      <c r="I748" s="53">
        <v>0.07272727272727272</v>
      </c>
      <c r="J748" s="53">
        <v>3.0</v>
      </c>
      <c r="K748" s="53" t="s">
        <v>53</v>
      </c>
      <c r="L748" s="53" t="s">
        <v>53</v>
      </c>
    </row>
    <row r="749" ht="15.75" customHeight="1">
      <c r="A749" s="53" t="s">
        <v>43</v>
      </c>
      <c r="B749" s="53" t="s">
        <v>2445</v>
      </c>
      <c r="C749" s="53" t="s">
        <v>1687</v>
      </c>
      <c r="D749" s="53" t="s">
        <v>2117</v>
      </c>
      <c r="E749" s="53" t="s">
        <v>2156</v>
      </c>
      <c r="F749" s="53" t="s">
        <v>2462</v>
      </c>
      <c r="G749" s="53" t="s">
        <v>2121</v>
      </c>
      <c r="H749" s="53">
        <v>1.0</v>
      </c>
      <c r="I749" s="53">
        <v>0.08837209302325581</v>
      </c>
      <c r="J749" s="53">
        <v>7.0</v>
      </c>
      <c r="K749" s="53" t="s">
        <v>53</v>
      </c>
      <c r="L749" s="53" t="s">
        <v>53</v>
      </c>
    </row>
    <row r="750" ht="15.75" customHeight="1">
      <c r="A750" s="53" t="s">
        <v>43</v>
      </c>
      <c r="B750" s="53" t="s">
        <v>2445</v>
      </c>
      <c r="C750" s="53" t="s">
        <v>1687</v>
      </c>
      <c r="D750" s="53" t="s">
        <v>2117</v>
      </c>
      <c r="E750" s="53" t="s">
        <v>2157</v>
      </c>
      <c r="F750" s="53" t="s">
        <v>2463</v>
      </c>
      <c r="G750" s="53" t="s">
        <v>2112</v>
      </c>
      <c r="H750" s="53">
        <v>1.0</v>
      </c>
      <c r="I750" s="53">
        <v>0.250936329588015</v>
      </c>
      <c r="J750" s="53">
        <v>2.0</v>
      </c>
      <c r="K750" s="53" t="s">
        <v>53</v>
      </c>
      <c r="L750" s="53" t="s">
        <v>53</v>
      </c>
    </row>
    <row r="751" ht="15.75" customHeight="1">
      <c r="A751" s="53" t="s">
        <v>43</v>
      </c>
      <c r="B751" s="53" t="s">
        <v>2445</v>
      </c>
      <c r="C751" s="53" t="s">
        <v>1687</v>
      </c>
      <c r="D751" s="53" t="s">
        <v>2117</v>
      </c>
      <c r="E751" s="53" t="s">
        <v>2158</v>
      </c>
      <c r="F751" s="53" t="s">
        <v>2464</v>
      </c>
      <c r="G751" s="53" t="s">
        <v>2126</v>
      </c>
      <c r="H751" s="53">
        <v>1.0</v>
      </c>
      <c r="I751" s="53">
        <v>0.3023255813953488</v>
      </c>
      <c r="J751" s="53">
        <v>5.0</v>
      </c>
      <c r="K751" s="53" t="s">
        <v>53</v>
      </c>
      <c r="L751" s="53" t="s">
        <v>53</v>
      </c>
    </row>
    <row r="752" ht="15.75" customHeight="1">
      <c r="A752" s="53" t="s">
        <v>43</v>
      </c>
      <c r="B752" s="53" t="s">
        <v>2445</v>
      </c>
      <c r="C752" s="53" t="s">
        <v>1687</v>
      </c>
      <c r="D752" s="53" t="s">
        <v>2117</v>
      </c>
      <c r="E752" s="53" t="s">
        <v>2159</v>
      </c>
      <c r="F752" s="53" t="s">
        <v>2464</v>
      </c>
      <c r="G752" s="53" t="s">
        <v>2124</v>
      </c>
      <c r="H752" s="53">
        <v>1.0</v>
      </c>
      <c r="I752" s="53">
        <v>0.3023255813953488</v>
      </c>
      <c r="J752" s="53">
        <v>4.0</v>
      </c>
      <c r="K752" s="53" t="s">
        <v>53</v>
      </c>
      <c r="L752" s="53" t="s">
        <v>53</v>
      </c>
    </row>
    <row r="753" ht="15.75" customHeight="1">
      <c r="A753" s="53" t="s">
        <v>43</v>
      </c>
      <c r="B753" s="53" t="s">
        <v>2445</v>
      </c>
      <c r="C753" s="53" t="s">
        <v>1687</v>
      </c>
      <c r="D753" s="53" t="s">
        <v>2117</v>
      </c>
      <c r="E753" s="53" t="s">
        <v>2160</v>
      </c>
      <c r="F753" s="53" t="s">
        <v>2464</v>
      </c>
      <c r="G753" s="53" t="s">
        <v>2128</v>
      </c>
      <c r="H753" s="53">
        <v>1.0</v>
      </c>
      <c r="I753" s="53">
        <v>0.3488372093023256</v>
      </c>
      <c r="J753" s="53">
        <v>8.0</v>
      </c>
      <c r="K753" s="53" t="s">
        <v>53</v>
      </c>
      <c r="L753" s="53" t="s">
        <v>53</v>
      </c>
    </row>
    <row r="754" ht="15.75" customHeight="1">
      <c r="A754" s="53" t="s">
        <v>43</v>
      </c>
      <c r="B754" s="53" t="s">
        <v>2445</v>
      </c>
      <c r="C754" s="53" t="s">
        <v>1687</v>
      </c>
      <c r="D754" s="53" t="s">
        <v>2117</v>
      </c>
      <c r="E754" s="53" t="s">
        <v>2161</v>
      </c>
      <c r="F754" s="53" t="s">
        <v>2464</v>
      </c>
      <c r="G754" s="53" t="s">
        <v>2130</v>
      </c>
      <c r="H754" s="53">
        <v>1.0</v>
      </c>
      <c r="I754" s="53">
        <v>0.35348837209302325</v>
      </c>
      <c r="J754" s="53">
        <v>9.0</v>
      </c>
      <c r="K754" s="53" t="s">
        <v>53</v>
      </c>
      <c r="L754" s="53" t="s">
        <v>53</v>
      </c>
    </row>
    <row r="755" ht="15.75" customHeight="1">
      <c r="A755" s="53" t="s">
        <v>43</v>
      </c>
      <c r="B755" s="53" t="s">
        <v>2445</v>
      </c>
      <c r="C755" s="53" t="s">
        <v>1687</v>
      </c>
      <c r="D755" s="53" t="s">
        <v>2117</v>
      </c>
      <c r="E755" s="53" t="s">
        <v>2162</v>
      </c>
      <c r="F755" s="53" t="s">
        <v>2465</v>
      </c>
      <c r="G755" s="53" t="s">
        <v>2133</v>
      </c>
      <c r="H755" s="53">
        <v>1.0</v>
      </c>
      <c r="I755" s="53">
        <v>0.586046511627907</v>
      </c>
      <c r="J755" s="53">
        <v>10.0</v>
      </c>
      <c r="K755" s="53" t="s">
        <v>53</v>
      </c>
      <c r="L755" s="53" t="s">
        <v>2134</v>
      </c>
    </row>
    <row r="756" ht="15.75" customHeight="1">
      <c r="A756" s="53" t="s">
        <v>43</v>
      </c>
      <c r="B756" s="53" t="s">
        <v>2445</v>
      </c>
      <c r="C756" s="53" t="s">
        <v>1687</v>
      </c>
      <c r="D756" s="53" t="s">
        <v>2117</v>
      </c>
      <c r="E756" s="53" t="s">
        <v>2163</v>
      </c>
      <c r="F756" s="53" t="s">
        <v>2465</v>
      </c>
      <c r="G756" s="53" t="s">
        <v>2136</v>
      </c>
      <c r="H756" s="53">
        <v>1.0</v>
      </c>
      <c r="I756" s="53">
        <v>0.5906976744186047</v>
      </c>
      <c r="J756" s="53">
        <v>1.0</v>
      </c>
      <c r="K756" s="53" t="s">
        <v>53</v>
      </c>
      <c r="L756" s="53" t="s">
        <v>2134</v>
      </c>
    </row>
    <row r="757" ht="15.75" customHeight="1">
      <c r="A757" s="53" t="s">
        <v>43</v>
      </c>
      <c r="B757" s="53" t="s">
        <v>2445</v>
      </c>
      <c r="C757" s="53" t="s">
        <v>1687</v>
      </c>
      <c r="D757" s="53" t="s">
        <v>2117</v>
      </c>
      <c r="E757" s="53" t="s">
        <v>2164</v>
      </c>
      <c r="F757" s="53" t="s">
        <v>2465</v>
      </c>
      <c r="G757" s="53" t="s">
        <v>46</v>
      </c>
      <c r="H757" s="53">
        <v>1.0</v>
      </c>
      <c r="I757" s="53">
        <v>0.6093023255813953</v>
      </c>
      <c r="J757" s="53">
        <v>6.0</v>
      </c>
      <c r="K757" s="53" t="s">
        <v>53</v>
      </c>
      <c r="L757" s="53" t="s">
        <v>2134</v>
      </c>
    </row>
    <row r="758" ht="15.75" customHeight="1">
      <c r="A758" s="53" t="s">
        <v>43</v>
      </c>
      <c r="B758" s="53" t="s">
        <v>2445</v>
      </c>
      <c r="C758" s="53" t="s">
        <v>1687</v>
      </c>
      <c r="D758" s="53" t="s">
        <v>2117</v>
      </c>
      <c r="E758" s="53" t="s">
        <v>2165</v>
      </c>
      <c r="F758" s="53" t="s">
        <v>2465</v>
      </c>
      <c r="G758" s="53" t="s">
        <v>52</v>
      </c>
      <c r="H758" s="53">
        <v>1.0</v>
      </c>
      <c r="I758" s="53">
        <v>0.6139534883720931</v>
      </c>
      <c r="J758" s="53">
        <v>0.0</v>
      </c>
      <c r="K758" s="53" t="s">
        <v>53</v>
      </c>
      <c r="L758" s="53" t="s">
        <v>2134</v>
      </c>
    </row>
    <row r="759" ht="15.75" customHeight="1">
      <c r="A759" s="53" t="s">
        <v>43</v>
      </c>
      <c r="B759" s="53" t="s">
        <v>2445</v>
      </c>
      <c r="C759" s="53" t="s">
        <v>1687</v>
      </c>
      <c r="D759" s="53" t="s">
        <v>52</v>
      </c>
      <c r="E759" s="53" t="s">
        <v>2166</v>
      </c>
      <c r="F759" s="53" t="s">
        <v>50</v>
      </c>
      <c r="G759" s="53" t="s">
        <v>46</v>
      </c>
      <c r="H759" s="53">
        <v>1.0</v>
      </c>
      <c r="I759" s="53">
        <v>0.056818181818181816</v>
      </c>
      <c r="J759" s="53">
        <v>5.0</v>
      </c>
      <c r="K759" s="53" t="s">
        <v>53</v>
      </c>
      <c r="L759" s="53" t="s">
        <v>53</v>
      </c>
    </row>
    <row r="760" ht="15.75" customHeight="1">
      <c r="A760" s="53" t="s">
        <v>43</v>
      </c>
      <c r="B760" s="53" t="s">
        <v>2445</v>
      </c>
      <c r="C760" s="53" t="s">
        <v>1687</v>
      </c>
      <c r="D760" s="53" t="s">
        <v>52</v>
      </c>
      <c r="E760" s="53" t="s">
        <v>2168</v>
      </c>
      <c r="F760" s="53" t="s">
        <v>50</v>
      </c>
      <c r="G760" s="53" t="s">
        <v>2136</v>
      </c>
      <c r="H760" s="53">
        <v>1.0</v>
      </c>
      <c r="I760" s="53">
        <v>0.10526315789473684</v>
      </c>
      <c r="J760" s="53">
        <v>0.0</v>
      </c>
      <c r="K760" s="53" t="s">
        <v>53</v>
      </c>
      <c r="L760" s="53" t="s">
        <v>53</v>
      </c>
    </row>
    <row r="761" ht="15.75" customHeight="1">
      <c r="A761" s="53" t="s">
        <v>43</v>
      </c>
      <c r="B761" s="53" t="s">
        <v>2445</v>
      </c>
      <c r="C761" s="53" t="s">
        <v>1687</v>
      </c>
      <c r="D761" s="53" t="s">
        <v>52</v>
      </c>
      <c r="E761" s="53" t="s">
        <v>2169</v>
      </c>
      <c r="F761" s="53" t="s">
        <v>50</v>
      </c>
      <c r="G761" s="53" t="s">
        <v>2133</v>
      </c>
      <c r="H761" s="53">
        <v>1.0</v>
      </c>
      <c r="I761" s="53">
        <v>0.12631578947368421</v>
      </c>
      <c r="J761" s="53">
        <v>9.0</v>
      </c>
      <c r="K761" s="53" t="s">
        <v>53</v>
      </c>
      <c r="L761" s="53" t="s">
        <v>53</v>
      </c>
    </row>
    <row r="762" ht="15.75" customHeight="1">
      <c r="A762" s="53" t="s">
        <v>43</v>
      </c>
      <c r="B762" s="53" t="s">
        <v>2445</v>
      </c>
      <c r="C762" s="53" t="s">
        <v>1687</v>
      </c>
      <c r="D762" s="53" t="s">
        <v>52</v>
      </c>
      <c r="E762" s="53" t="s">
        <v>2170</v>
      </c>
      <c r="F762" s="53" t="s">
        <v>2466</v>
      </c>
      <c r="G762" s="53" t="s">
        <v>2130</v>
      </c>
      <c r="H762" s="53">
        <v>1.0</v>
      </c>
      <c r="I762" s="53">
        <v>0.41134751773049644</v>
      </c>
      <c r="J762" s="53">
        <v>8.0</v>
      </c>
      <c r="K762" s="53" t="s">
        <v>53</v>
      </c>
      <c r="L762" s="53" t="s">
        <v>2134</v>
      </c>
    </row>
    <row r="763" ht="15.75" customHeight="1">
      <c r="A763" s="53" t="s">
        <v>43</v>
      </c>
      <c r="B763" s="53" t="s">
        <v>2445</v>
      </c>
      <c r="C763" s="53" t="s">
        <v>1687</v>
      </c>
      <c r="D763" s="53" t="s">
        <v>52</v>
      </c>
      <c r="E763" s="53" t="s">
        <v>2172</v>
      </c>
      <c r="F763" s="53" t="s">
        <v>2466</v>
      </c>
      <c r="G763" s="53" t="s">
        <v>2128</v>
      </c>
      <c r="H763" s="53">
        <v>1.0</v>
      </c>
      <c r="I763" s="53">
        <v>0.44666666666666666</v>
      </c>
      <c r="J763" s="53">
        <v>7.0</v>
      </c>
      <c r="K763" s="53" t="s">
        <v>53</v>
      </c>
      <c r="L763" s="53" t="s">
        <v>2134</v>
      </c>
    </row>
    <row r="764" ht="15.75" customHeight="1">
      <c r="A764" s="53" t="s">
        <v>43</v>
      </c>
      <c r="B764" s="53" t="s">
        <v>2445</v>
      </c>
      <c r="C764" s="53" t="s">
        <v>1687</v>
      </c>
      <c r="D764" s="53" t="s">
        <v>52</v>
      </c>
      <c r="E764" s="53" t="s">
        <v>2173</v>
      </c>
      <c r="F764" s="53" t="s">
        <v>2466</v>
      </c>
      <c r="G764" s="53" t="s">
        <v>2126</v>
      </c>
      <c r="H764" s="53">
        <v>1.0</v>
      </c>
      <c r="I764" s="53">
        <v>0.4645161290322581</v>
      </c>
      <c r="J764" s="53">
        <v>4.0</v>
      </c>
      <c r="K764" s="53" t="s">
        <v>53</v>
      </c>
      <c r="L764" s="53" t="s">
        <v>2134</v>
      </c>
    </row>
    <row r="765" ht="15.75" customHeight="1">
      <c r="A765" s="53" t="s">
        <v>43</v>
      </c>
      <c r="B765" s="53" t="s">
        <v>2445</v>
      </c>
      <c r="C765" s="53" t="s">
        <v>1687</v>
      </c>
      <c r="D765" s="53" t="s">
        <v>52</v>
      </c>
      <c r="E765" s="53" t="s">
        <v>2174</v>
      </c>
      <c r="F765" s="53" t="s">
        <v>2466</v>
      </c>
      <c r="G765" s="53" t="s">
        <v>2124</v>
      </c>
      <c r="H765" s="53">
        <v>1.0</v>
      </c>
      <c r="I765" s="53">
        <v>0.48125</v>
      </c>
      <c r="J765" s="53">
        <v>3.0</v>
      </c>
      <c r="K765" s="53" t="s">
        <v>53</v>
      </c>
      <c r="L765" s="53" t="s">
        <v>2134</v>
      </c>
    </row>
    <row r="766" ht="15.75" customHeight="1">
      <c r="A766" s="53" t="s">
        <v>43</v>
      </c>
      <c r="B766" s="53" t="s">
        <v>2445</v>
      </c>
      <c r="C766" s="53" t="s">
        <v>1687</v>
      </c>
      <c r="D766" s="53" t="s">
        <v>52</v>
      </c>
      <c r="E766" s="53" t="s">
        <v>2175</v>
      </c>
      <c r="F766" s="53" t="s">
        <v>2467</v>
      </c>
      <c r="G766" s="53" t="s">
        <v>2121</v>
      </c>
      <c r="H766" s="53">
        <v>1.0</v>
      </c>
      <c r="I766" s="53">
        <v>0.6047619047619047</v>
      </c>
      <c r="J766" s="53">
        <v>6.0</v>
      </c>
      <c r="K766" s="53" t="s">
        <v>53</v>
      </c>
      <c r="L766" s="53" t="s">
        <v>2134</v>
      </c>
    </row>
    <row r="767" ht="15.75" customHeight="1">
      <c r="A767" s="53" t="s">
        <v>43</v>
      </c>
      <c r="B767" s="53" t="s">
        <v>2445</v>
      </c>
      <c r="C767" s="53" t="s">
        <v>1687</v>
      </c>
      <c r="D767" s="53" t="s">
        <v>52</v>
      </c>
      <c r="E767" s="53" t="s">
        <v>2177</v>
      </c>
      <c r="F767" s="53" t="s">
        <v>2467</v>
      </c>
      <c r="G767" s="53" t="s">
        <v>2115</v>
      </c>
      <c r="H767" s="53">
        <v>1.0</v>
      </c>
      <c r="I767" s="53">
        <v>0.6227272727272727</v>
      </c>
      <c r="J767" s="53">
        <v>2.0</v>
      </c>
      <c r="K767" s="53" t="s">
        <v>53</v>
      </c>
      <c r="L767" s="53" t="s">
        <v>2134</v>
      </c>
    </row>
    <row r="768" ht="15.75" customHeight="1">
      <c r="A768" s="53" t="s">
        <v>43</v>
      </c>
      <c r="B768" s="53" t="s">
        <v>2445</v>
      </c>
      <c r="C768" s="53" t="s">
        <v>1687</v>
      </c>
      <c r="D768" s="53" t="s">
        <v>52</v>
      </c>
      <c r="E768" s="53" t="s">
        <v>2178</v>
      </c>
      <c r="F768" s="53" t="s">
        <v>2468</v>
      </c>
      <c r="G768" s="53" t="s">
        <v>2112</v>
      </c>
      <c r="H768" s="53">
        <v>1.0</v>
      </c>
      <c r="I768" s="53">
        <v>0.6891385767790262</v>
      </c>
      <c r="J768" s="53">
        <v>1.0</v>
      </c>
      <c r="K768" s="53" t="s">
        <v>53</v>
      </c>
      <c r="L768" s="53" t="s">
        <v>2134</v>
      </c>
    </row>
    <row r="769" ht="15.75" customHeight="1">
      <c r="A769" s="53" t="s">
        <v>43</v>
      </c>
      <c r="B769" s="53" t="s">
        <v>2445</v>
      </c>
      <c r="C769" s="53" t="s">
        <v>1687</v>
      </c>
      <c r="D769" s="53" t="s">
        <v>2136</v>
      </c>
      <c r="E769" s="53" t="s">
        <v>2180</v>
      </c>
      <c r="F769" s="53" t="s">
        <v>50</v>
      </c>
      <c r="G769" s="53" t="s">
        <v>46</v>
      </c>
      <c r="H769" s="53">
        <v>1.0</v>
      </c>
      <c r="I769" s="53">
        <v>0.12631578947368421</v>
      </c>
      <c r="J769" s="53">
        <v>4.0</v>
      </c>
      <c r="K769" s="53" t="s">
        <v>53</v>
      </c>
      <c r="L769" s="53" t="s">
        <v>53</v>
      </c>
    </row>
    <row r="770" ht="15.75" customHeight="1">
      <c r="A770" s="53" t="s">
        <v>43</v>
      </c>
      <c r="B770" s="53" t="s">
        <v>2445</v>
      </c>
      <c r="C770" s="53" t="s">
        <v>1687</v>
      </c>
      <c r="D770" s="53" t="s">
        <v>2136</v>
      </c>
      <c r="E770" s="53" t="s">
        <v>2181</v>
      </c>
      <c r="F770" s="53" t="s">
        <v>50</v>
      </c>
      <c r="G770" s="53" t="s">
        <v>2133</v>
      </c>
      <c r="H770" s="53">
        <v>1.0</v>
      </c>
      <c r="I770" s="53">
        <v>0.12631578947368421</v>
      </c>
      <c r="J770" s="53">
        <v>8.0</v>
      </c>
      <c r="K770" s="53" t="s">
        <v>53</v>
      </c>
      <c r="L770" s="53" t="s">
        <v>53</v>
      </c>
    </row>
    <row r="771" ht="15.75" customHeight="1">
      <c r="A771" s="53" t="s">
        <v>43</v>
      </c>
      <c r="B771" s="53" t="s">
        <v>2445</v>
      </c>
      <c r="C771" s="53" t="s">
        <v>1687</v>
      </c>
      <c r="D771" s="53" t="s">
        <v>2136</v>
      </c>
      <c r="E771" s="53" t="s">
        <v>2182</v>
      </c>
      <c r="F771" s="53" t="s">
        <v>2466</v>
      </c>
      <c r="G771" s="53" t="s">
        <v>2130</v>
      </c>
      <c r="H771" s="53">
        <v>1.0</v>
      </c>
      <c r="I771" s="53">
        <v>0.3900709219858156</v>
      </c>
      <c r="J771" s="53">
        <v>7.0</v>
      </c>
      <c r="K771" s="53" t="s">
        <v>53</v>
      </c>
      <c r="L771" s="53" t="s">
        <v>2134</v>
      </c>
    </row>
    <row r="772" ht="15.75" customHeight="1">
      <c r="A772" s="53" t="s">
        <v>43</v>
      </c>
      <c r="B772" s="53" t="s">
        <v>2445</v>
      </c>
      <c r="C772" s="53" t="s">
        <v>1687</v>
      </c>
      <c r="D772" s="53" t="s">
        <v>2136</v>
      </c>
      <c r="E772" s="53" t="s">
        <v>2183</v>
      </c>
      <c r="F772" s="53" t="s">
        <v>2466</v>
      </c>
      <c r="G772" s="53" t="s">
        <v>2128</v>
      </c>
      <c r="H772" s="53">
        <v>1.0</v>
      </c>
      <c r="I772" s="53">
        <v>0.42</v>
      </c>
      <c r="J772" s="53">
        <v>6.0</v>
      </c>
      <c r="K772" s="53" t="s">
        <v>53</v>
      </c>
      <c r="L772" s="53" t="s">
        <v>2134</v>
      </c>
    </row>
    <row r="773" ht="15.75" customHeight="1">
      <c r="A773" s="53" t="s">
        <v>43</v>
      </c>
      <c r="B773" s="53" t="s">
        <v>2445</v>
      </c>
      <c r="C773" s="53" t="s">
        <v>1687</v>
      </c>
      <c r="D773" s="53" t="s">
        <v>2136</v>
      </c>
      <c r="E773" s="53" t="s">
        <v>2184</v>
      </c>
      <c r="F773" s="53" t="s">
        <v>2466</v>
      </c>
      <c r="G773" s="53" t="s">
        <v>2126</v>
      </c>
      <c r="H773" s="53">
        <v>1.0</v>
      </c>
      <c r="I773" s="53">
        <v>0.43870967741935485</v>
      </c>
      <c r="J773" s="53">
        <v>3.0</v>
      </c>
      <c r="K773" s="53" t="s">
        <v>53</v>
      </c>
      <c r="L773" s="53" t="s">
        <v>2134</v>
      </c>
    </row>
    <row r="774" ht="15.75" customHeight="1">
      <c r="A774" s="53" t="s">
        <v>43</v>
      </c>
      <c r="B774" s="53" t="s">
        <v>2445</v>
      </c>
      <c r="C774" s="53" t="s">
        <v>1687</v>
      </c>
      <c r="D774" s="53" t="s">
        <v>2136</v>
      </c>
      <c r="E774" s="53" t="s">
        <v>2185</v>
      </c>
      <c r="F774" s="53" t="s">
        <v>2466</v>
      </c>
      <c r="G774" s="53" t="s">
        <v>2124</v>
      </c>
      <c r="H774" s="53">
        <v>1.0</v>
      </c>
      <c r="I774" s="53">
        <v>0.45625</v>
      </c>
      <c r="J774" s="53">
        <v>2.0</v>
      </c>
      <c r="K774" s="53" t="s">
        <v>53</v>
      </c>
      <c r="L774" s="53" t="s">
        <v>2134</v>
      </c>
    </row>
    <row r="775" ht="15.75" customHeight="1">
      <c r="A775" s="53" t="s">
        <v>43</v>
      </c>
      <c r="B775" s="53" t="s">
        <v>2445</v>
      </c>
      <c r="C775" s="53" t="s">
        <v>1687</v>
      </c>
      <c r="D775" s="53" t="s">
        <v>2136</v>
      </c>
      <c r="E775" s="53" t="s">
        <v>2186</v>
      </c>
      <c r="F775" s="53" t="s">
        <v>2467</v>
      </c>
      <c r="G775" s="53" t="s">
        <v>2121</v>
      </c>
      <c r="H775" s="53">
        <v>1.0</v>
      </c>
      <c r="I775" s="53">
        <v>0.580952380952381</v>
      </c>
      <c r="J775" s="53">
        <v>5.0</v>
      </c>
      <c r="K775" s="53" t="s">
        <v>53</v>
      </c>
      <c r="L775" s="53" t="s">
        <v>2134</v>
      </c>
    </row>
    <row r="776" ht="15.75" customHeight="1">
      <c r="A776" s="53" t="s">
        <v>43</v>
      </c>
      <c r="B776" s="53" t="s">
        <v>2445</v>
      </c>
      <c r="C776" s="53" t="s">
        <v>1687</v>
      </c>
      <c r="D776" s="53" t="s">
        <v>2136</v>
      </c>
      <c r="E776" s="53" t="s">
        <v>2187</v>
      </c>
      <c r="F776" s="53" t="s">
        <v>2467</v>
      </c>
      <c r="G776" s="53" t="s">
        <v>2115</v>
      </c>
      <c r="H776" s="53">
        <v>1.0</v>
      </c>
      <c r="I776" s="53">
        <v>0.6</v>
      </c>
      <c r="J776" s="53">
        <v>1.0</v>
      </c>
      <c r="K776" s="53" t="s">
        <v>53</v>
      </c>
      <c r="L776" s="53" t="s">
        <v>2134</v>
      </c>
    </row>
    <row r="777" ht="15.75" customHeight="1">
      <c r="A777" s="53" t="s">
        <v>43</v>
      </c>
      <c r="B777" s="53" t="s">
        <v>2445</v>
      </c>
      <c r="C777" s="53" t="s">
        <v>1687</v>
      </c>
      <c r="D777" s="53" t="s">
        <v>2136</v>
      </c>
      <c r="E777" s="53" t="s">
        <v>2188</v>
      </c>
      <c r="F777" s="53" t="s">
        <v>2468</v>
      </c>
      <c r="G777" s="53" t="s">
        <v>2112</v>
      </c>
      <c r="H777" s="53">
        <v>1.0</v>
      </c>
      <c r="I777" s="53">
        <v>0.6704119850187266</v>
      </c>
      <c r="J777" s="53">
        <v>0.0</v>
      </c>
      <c r="K777" s="53" t="s">
        <v>53</v>
      </c>
      <c r="L777" s="53" t="s">
        <v>2134</v>
      </c>
    </row>
    <row r="778" ht="15.75" customHeight="1">
      <c r="A778" s="53" t="s">
        <v>43</v>
      </c>
      <c r="B778" s="53" t="s">
        <v>2445</v>
      </c>
      <c r="C778" s="53" t="s">
        <v>1687</v>
      </c>
      <c r="D778" s="53" t="s">
        <v>2112</v>
      </c>
      <c r="E778" s="53" t="s">
        <v>2189</v>
      </c>
      <c r="F778" s="53" t="s">
        <v>2469</v>
      </c>
      <c r="G778" s="53" t="s">
        <v>2115</v>
      </c>
      <c r="H778" s="53">
        <v>1.0</v>
      </c>
      <c r="I778" s="53">
        <v>0.24719101123595505</v>
      </c>
      <c r="J778" s="53">
        <v>0.0</v>
      </c>
      <c r="K778" s="53" t="s">
        <v>53</v>
      </c>
      <c r="L778" s="53" t="s">
        <v>53</v>
      </c>
    </row>
    <row r="779" ht="15.75" customHeight="1">
      <c r="A779" s="53" t="s">
        <v>43</v>
      </c>
      <c r="B779" s="53" t="s">
        <v>2445</v>
      </c>
      <c r="C779" s="53" t="s">
        <v>1687</v>
      </c>
      <c r="D779" s="53" t="s">
        <v>2112</v>
      </c>
      <c r="E779" s="53" t="s">
        <v>2191</v>
      </c>
      <c r="F779" s="53" t="s">
        <v>2469</v>
      </c>
      <c r="G779" s="53" t="s">
        <v>2121</v>
      </c>
      <c r="H779" s="53">
        <v>1.0</v>
      </c>
      <c r="I779" s="53">
        <v>0.2546816479400749</v>
      </c>
      <c r="J779" s="53">
        <v>4.0</v>
      </c>
      <c r="K779" s="53" t="s">
        <v>53</v>
      </c>
      <c r="L779" s="53" t="s">
        <v>53</v>
      </c>
    </row>
    <row r="780" ht="15.75" customHeight="1">
      <c r="A780" s="53" t="s">
        <v>43</v>
      </c>
      <c r="B780" s="53" t="s">
        <v>2445</v>
      </c>
      <c r="C780" s="53" t="s">
        <v>1687</v>
      </c>
      <c r="D780" s="53" t="s">
        <v>2112</v>
      </c>
      <c r="E780" s="53" t="s">
        <v>2192</v>
      </c>
      <c r="F780" s="53" t="s">
        <v>2470</v>
      </c>
      <c r="G780" s="53" t="s">
        <v>2124</v>
      </c>
      <c r="H780" s="53">
        <v>1.0</v>
      </c>
      <c r="I780" s="53">
        <v>0.449438202247191</v>
      </c>
      <c r="J780" s="53">
        <v>1.0</v>
      </c>
      <c r="K780" s="53" t="s">
        <v>53</v>
      </c>
      <c r="L780" s="53" t="s">
        <v>53</v>
      </c>
    </row>
    <row r="781" ht="15.75" customHeight="1">
      <c r="A781" s="53" t="s">
        <v>43</v>
      </c>
      <c r="B781" s="53" t="s">
        <v>2445</v>
      </c>
      <c r="C781" s="53" t="s">
        <v>1687</v>
      </c>
      <c r="D781" s="53" t="s">
        <v>2112</v>
      </c>
      <c r="E781" s="53" t="s">
        <v>2194</v>
      </c>
      <c r="F781" s="53" t="s">
        <v>2470</v>
      </c>
      <c r="G781" s="53" t="s">
        <v>2126</v>
      </c>
      <c r="H781" s="53">
        <v>1.0</v>
      </c>
      <c r="I781" s="53">
        <v>0.45318352059925093</v>
      </c>
      <c r="J781" s="53">
        <v>2.0</v>
      </c>
      <c r="K781" s="53" t="s">
        <v>53</v>
      </c>
      <c r="L781" s="53" t="s">
        <v>53</v>
      </c>
    </row>
    <row r="782" ht="15.75" customHeight="1">
      <c r="A782" s="53" t="s">
        <v>43</v>
      </c>
      <c r="B782" s="53" t="s">
        <v>2445</v>
      </c>
      <c r="C782" s="53" t="s">
        <v>1687</v>
      </c>
      <c r="D782" s="53" t="s">
        <v>2112</v>
      </c>
      <c r="E782" s="53" t="s">
        <v>2195</v>
      </c>
      <c r="F782" s="53" t="s">
        <v>2470</v>
      </c>
      <c r="G782" s="53" t="s">
        <v>2128</v>
      </c>
      <c r="H782" s="53">
        <v>1.0</v>
      </c>
      <c r="I782" s="53">
        <v>0.46441947565543074</v>
      </c>
      <c r="J782" s="53">
        <v>5.0</v>
      </c>
      <c r="K782" s="53" t="s">
        <v>53</v>
      </c>
      <c r="L782" s="53" t="s">
        <v>53</v>
      </c>
    </row>
    <row r="783" ht="15.75" customHeight="1">
      <c r="A783" s="53" t="s">
        <v>43</v>
      </c>
      <c r="B783" s="53" t="s">
        <v>2445</v>
      </c>
      <c r="C783" s="53" t="s">
        <v>1687</v>
      </c>
      <c r="D783" s="53" t="s">
        <v>2112</v>
      </c>
      <c r="E783" s="53" t="s">
        <v>2196</v>
      </c>
      <c r="F783" s="53" t="s">
        <v>2470</v>
      </c>
      <c r="G783" s="53" t="s">
        <v>2130</v>
      </c>
      <c r="H783" s="53">
        <v>1.0</v>
      </c>
      <c r="I783" s="53">
        <v>0.47191011235955055</v>
      </c>
      <c r="J783" s="53">
        <v>6.0</v>
      </c>
      <c r="K783" s="53" t="s">
        <v>53</v>
      </c>
      <c r="L783" s="53" t="s">
        <v>53</v>
      </c>
    </row>
    <row r="784" ht="15.75" customHeight="1">
      <c r="A784" s="53" t="s">
        <v>43</v>
      </c>
      <c r="B784" s="53" t="s">
        <v>2445</v>
      </c>
      <c r="C784" s="53" t="s">
        <v>1687</v>
      </c>
      <c r="D784" s="53" t="s">
        <v>2112</v>
      </c>
      <c r="E784" s="53" t="s">
        <v>2197</v>
      </c>
      <c r="F784" s="53" t="s">
        <v>2471</v>
      </c>
      <c r="G784" s="53" t="s">
        <v>2133</v>
      </c>
      <c r="H784" s="53">
        <v>1.0</v>
      </c>
      <c r="I784" s="53">
        <v>0.6629213483146067</v>
      </c>
      <c r="J784" s="53">
        <v>7.0</v>
      </c>
      <c r="K784" s="53" t="s">
        <v>53</v>
      </c>
      <c r="L784" s="53" t="s">
        <v>2134</v>
      </c>
    </row>
    <row r="785" ht="15.75" customHeight="1">
      <c r="A785" s="53" t="s">
        <v>43</v>
      </c>
      <c r="B785" s="53" t="s">
        <v>2445</v>
      </c>
      <c r="C785" s="53" t="s">
        <v>1687</v>
      </c>
      <c r="D785" s="53" t="s">
        <v>2112</v>
      </c>
      <c r="E785" s="53" t="s">
        <v>2199</v>
      </c>
      <c r="F785" s="53" t="s">
        <v>2471</v>
      </c>
      <c r="G785" s="53" t="s">
        <v>46</v>
      </c>
      <c r="H785" s="53">
        <v>1.0</v>
      </c>
      <c r="I785" s="53">
        <v>0.6853932584269663</v>
      </c>
      <c r="J785" s="53">
        <v>3.0</v>
      </c>
      <c r="K785" s="53" t="s">
        <v>53</v>
      </c>
      <c r="L785" s="53" t="s">
        <v>2134</v>
      </c>
    </row>
    <row r="786" ht="15.75" customHeight="1">
      <c r="A786" s="53" t="s">
        <v>43</v>
      </c>
      <c r="B786" s="53" t="s">
        <v>2445</v>
      </c>
      <c r="C786" s="53" t="s">
        <v>1687</v>
      </c>
      <c r="D786" s="53" t="s">
        <v>2115</v>
      </c>
      <c r="E786" s="53" t="s">
        <v>2200</v>
      </c>
      <c r="F786" s="53" t="s">
        <v>2462</v>
      </c>
      <c r="G786" s="53" t="s">
        <v>2121</v>
      </c>
      <c r="H786" s="53">
        <v>1.0</v>
      </c>
      <c r="I786" s="53">
        <v>0.10909090909090909</v>
      </c>
      <c r="J786" s="53">
        <v>3.0</v>
      </c>
      <c r="K786" s="53" t="s">
        <v>53</v>
      </c>
      <c r="L786" s="53" t="s">
        <v>53</v>
      </c>
    </row>
    <row r="787" ht="15.75" customHeight="1">
      <c r="A787" s="53" t="s">
        <v>43</v>
      </c>
      <c r="B787" s="53" t="s">
        <v>2445</v>
      </c>
      <c r="C787" s="53" t="s">
        <v>1687</v>
      </c>
      <c r="D787" s="53" t="s">
        <v>2115</v>
      </c>
      <c r="E787" s="53" t="s">
        <v>2201</v>
      </c>
      <c r="F787" s="53" t="s">
        <v>2464</v>
      </c>
      <c r="G787" s="53" t="s">
        <v>2126</v>
      </c>
      <c r="H787" s="53">
        <v>1.0</v>
      </c>
      <c r="I787" s="53">
        <v>0.3409090909090909</v>
      </c>
      <c r="J787" s="53">
        <v>1.0</v>
      </c>
      <c r="K787" s="53" t="s">
        <v>53</v>
      </c>
      <c r="L787" s="53" t="s">
        <v>53</v>
      </c>
    </row>
    <row r="788" ht="15.75" customHeight="1">
      <c r="A788" s="53" t="s">
        <v>43</v>
      </c>
      <c r="B788" s="53" t="s">
        <v>2445</v>
      </c>
      <c r="C788" s="53" t="s">
        <v>1687</v>
      </c>
      <c r="D788" s="53" t="s">
        <v>2115</v>
      </c>
      <c r="E788" s="53" t="s">
        <v>2202</v>
      </c>
      <c r="F788" s="53" t="s">
        <v>2464</v>
      </c>
      <c r="G788" s="53" t="s">
        <v>2124</v>
      </c>
      <c r="H788" s="53">
        <v>1.0</v>
      </c>
      <c r="I788" s="53">
        <v>0.3409090909090909</v>
      </c>
      <c r="J788" s="53">
        <v>0.0</v>
      </c>
      <c r="K788" s="53" t="s">
        <v>53</v>
      </c>
      <c r="L788" s="53" t="s">
        <v>53</v>
      </c>
    </row>
    <row r="789" ht="15.75" customHeight="1">
      <c r="A789" s="53" t="s">
        <v>43</v>
      </c>
      <c r="B789" s="53" t="s">
        <v>2445</v>
      </c>
      <c r="C789" s="53" t="s">
        <v>1687</v>
      </c>
      <c r="D789" s="53" t="s">
        <v>2115</v>
      </c>
      <c r="E789" s="53" t="s">
        <v>2203</v>
      </c>
      <c r="F789" s="53" t="s">
        <v>2464</v>
      </c>
      <c r="G789" s="53" t="s">
        <v>2128</v>
      </c>
      <c r="H789" s="53">
        <v>1.0</v>
      </c>
      <c r="I789" s="53">
        <v>0.35909090909090907</v>
      </c>
      <c r="J789" s="53">
        <v>4.0</v>
      </c>
      <c r="K789" s="53" t="s">
        <v>53</v>
      </c>
      <c r="L789" s="53" t="s">
        <v>53</v>
      </c>
    </row>
    <row r="790" ht="15.75" customHeight="1">
      <c r="A790" s="53" t="s">
        <v>43</v>
      </c>
      <c r="B790" s="53" t="s">
        <v>2445</v>
      </c>
      <c r="C790" s="53" t="s">
        <v>1687</v>
      </c>
      <c r="D790" s="53" t="s">
        <v>2115</v>
      </c>
      <c r="E790" s="53" t="s">
        <v>2204</v>
      </c>
      <c r="F790" s="53" t="s">
        <v>2464</v>
      </c>
      <c r="G790" s="53" t="s">
        <v>2130</v>
      </c>
      <c r="H790" s="53">
        <v>1.0</v>
      </c>
      <c r="I790" s="53">
        <v>0.36818181818181817</v>
      </c>
      <c r="J790" s="53">
        <v>5.0</v>
      </c>
      <c r="K790" s="53" t="s">
        <v>53</v>
      </c>
      <c r="L790" s="53" t="s">
        <v>53</v>
      </c>
    </row>
    <row r="791" ht="15.75" customHeight="1">
      <c r="A791" s="53" t="s">
        <v>43</v>
      </c>
      <c r="B791" s="53" t="s">
        <v>2445</v>
      </c>
      <c r="C791" s="53" t="s">
        <v>1687</v>
      </c>
      <c r="D791" s="53" t="s">
        <v>2115</v>
      </c>
      <c r="E791" s="53" t="s">
        <v>2205</v>
      </c>
      <c r="F791" s="53" t="s">
        <v>2465</v>
      </c>
      <c r="G791" s="53" t="s">
        <v>2133</v>
      </c>
      <c r="H791" s="53">
        <v>1.0</v>
      </c>
      <c r="I791" s="53">
        <v>0.5954545454545455</v>
      </c>
      <c r="J791" s="53">
        <v>6.0</v>
      </c>
      <c r="K791" s="53" t="s">
        <v>53</v>
      </c>
      <c r="L791" s="53" t="s">
        <v>2134</v>
      </c>
    </row>
    <row r="792" ht="15.75" customHeight="1">
      <c r="A792" s="53" t="s">
        <v>43</v>
      </c>
      <c r="B792" s="53" t="s">
        <v>2445</v>
      </c>
      <c r="C792" s="53" t="s">
        <v>1687</v>
      </c>
      <c r="D792" s="53" t="s">
        <v>2115</v>
      </c>
      <c r="E792" s="53" t="s">
        <v>2206</v>
      </c>
      <c r="F792" s="53" t="s">
        <v>2465</v>
      </c>
      <c r="G792" s="53" t="s">
        <v>46</v>
      </c>
      <c r="H792" s="53">
        <v>1.0</v>
      </c>
      <c r="I792" s="53">
        <v>0.6136363636363636</v>
      </c>
      <c r="J792" s="53">
        <v>2.0</v>
      </c>
      <c r="K792" s="53" t="s">
        <v>53</v>
      </c>
      <c r="L792" s="53" t="s">
        <v>2134</v>
      </c>
    </row>
    <row r="793" ht="15.75" customHeight="1">
      <c r="A793" s="53" t="s">
        <v>43</v>
      </c>
      <c r="B793" s="53" t="s">
        <v>2445</v>
      </c>
      <c r="C793" s="53" t="s">
        <v>1687</v>
      </c>
      <c r="D793" s="53" t="s">
        <v>2124</v>
      </c>
      <c r="E793" s="53" t="s">
        <v>2207</v>
      </c>
      <c r="F793" s="53" t="s">
        <v>2472</v>
      </c>
      <c r="G793" s="53" t="s">
        <v>2126</v>
      </c>
      <c r="H793" s="53">
        <v>1.0</v>
      </c>
      <c r="I793" s="53">
        <v>0.04375</v>
      </c>
      <c r="J793" s="53">
        <v>0.0</v>
      </c>
      <c r="K793" s="53" t="s">
        <v>53</v>
      </c>
      <c r="L793" s="53" t="s">
        <v>53</v>
      </c>
    </row>
    <row r="794" ht="15.75" customHeight="1">
      <c r="A794" s="53" t="s">
        <v>43</v>
      </c>
      <c r="B794" s="53" t="s">
        <v>2445</v>
      </c>
      <c r="C794" s="53" t="s">
        <v>1687</v>
      </c>
      <c r="D794" s="53" t="s">
        <v>2124</v>
      </c>
      <c r="E794" s="53" t="s">
        <v>2209</v>
      </c>
      <c r="F794" s="53" t="s">
        <v>2472</v>
      </c>
      <c r="G794" s="53" t="s">
        <v>2128</v>
      </c>
      <c r="H794" s="53">
        <v>1.0</v>
      </c>
      <c r="I794" s="53">
        <v>0.125</v>
      </c>
      <c r="J794" s="53">
        <v>3.0</v>
      </c>
      <c r="K794" s="53" t="s">
        <v>53</v>
      </c>
      <c r="L794" s="53" t="s">
        <v>53</v>
      </c>
    </row>
    <row r="795" ht="15.75" customHeight="1">
      <c r="A795" s="53" t="s">
        <v>43</v>
      </c>
      <c r="B795" s="53" t="s">
        <v>2445</v>
      </c>
      <c r="C795" s="53" t="s">
        <v>1687</v>
      </c>
      <c r="D795" s="53" t="s">
        <v>2124</v>
      </c>
      <c r="E795" s="53" t="s">
        <v>2210</v>
      </c>
      <c r="F795" s="53" t="s">
        <v>2472</v>
      </c>
      <c r="G795" s="53" t="s">
        <v>2130</v>
      </c>
      <c r="H795" s="53">
        <v>1.0</v>
      </c>
      <c r="I795" s="53">
        <v>0.13125</v>
      </c>
      <c r="J795" s="53">
        <v>4.0</v>
      </c>
      <c r="K795" s="53" t="s">
        <v>53</v>
      </c>
      <c r="L795" s="53" t="s">
        <v>53</v>
      </c>
    </row>
    <row r="796" ht="15.75" customHeight="1">
      <c r="A796" s="53" t="s">
        <v>43</v>
      </c>
      <c r="B796" s="53" t="s">
        <v>2445</v>
      </c>
      <c r="C796" s="53" t="s">
        <v>1687</v>
      </c>
      <c r="D796" s="53" t="s">
        <v>2124</v>
      </c>
      <c r="E796" s="53" t="s">
        <v>2211</v>
      </c>
      <c r="F796" s="53" t="s">
        <v>2473</v>
      </c>
      <c r="G796" s="53" t="s">
        <v>2121</v>
      </c>
      <c r="H796" s="53">
        <v>1.0</v>
      </c>
      <c r="I796" s="53">
        <v>0.319047619047619</v>
      </c>
      <c r="J796" s="53">
        <v>2.0</v>
      </c>
      <c r="K796" s="53" t="s">
        <v>53</v>
      </c>
      <c r="L796" s="53" t="s">
        <v>53</v>
      </c>
    </row>
    <row r="797" ht="15.75" customHeight="1">
      <c r="A797" s="53" t="s">
        <v>43</v>
      </c>
      <c r="B797" s="53" t="s">
        <v>2445</v>
      </c>
      <c r="C797" s="53" t="s">
        <v>1687</v>
      </c>
      <c r="D797" s="53" t="s">
        <v>2124</v>
      </c>
      <c r="E797" s="53" t="s">
        <v>2213</v>
      </c>
      <c r="F797" s="53" t="s">
        <v>2474</v>
      </c>
      <c r="G797" s="53" t="s">
        <v>2133</v>
      </c>
      <c r="H797" s="53">
        <v>1.0</v>
      </c>
      <c r="I797" s="53">
        <v>0.45</v>
      </c>
      <c r="J797" s="53">
        <v>5.0</v>
      </c>
      <c r="K797" s="53" t="s">
        <v>53</v>
      </c>
      <c r="L797" s="53" t="s">
        <v>2134</v>
      </c>
    </row>
    <row r="798" ht="15.75" customHeight="1">
      <c r="A798" s="53" t="s">
        <v>43</v>
      </c>
      <c r="B798" s="53" t="s">
        <v>2445</v>
      </c>
      <c r="C798" s="53" t="s">
        <v>1687</v>
      </c>
      <c r="D798" s="53" t="s">
        <v>2124</v>
      </c>
      <c r="E798" s="53" t="s">
        <v>2215</v>
      </c>
      <c r="F798" s="53" t="s">
        <v>2474</v>
      </c>
      <c r="G798" s="53" t="s">
        <v>46</v>
      </c>
      <c r="H798" s="53">
        <v>1.0</v>
      </c>
      <c r="I798" s="53">
        <v>0.475</v>
      </c>
      <c r="J798" s="53">
        <v>1.0</v>
      </c>
      <c r="K798" s="53" t="s">
        <v>53</v>
      </c>
      <c r="L798" s="53" t="s">
        <v>2134</v>
      </c>
    </row>
    <row r="799" ht="15.75" customHeight="1">
      <c r="A799" s="53" t="s">
        <v>43</v>
      </c>
      <c r="B799" s="53" t="s">
        <v>2445</v>
      </c>
      <c r="C799" s="53" t="s">
        <v>1687</v>
      </c>
      <c r="D799" s="53" t="s">
        <v>2126</v>
      </c>
      <c r="E799" s="53" t="s">
        <v>2216</v>
      </c>
      <c r="F799" s="53" t="s">
        <v>2472</v>
      </c>
      <c r="G799" s="53" t="s">
        <v>2128</v>
      </c>
      <c r="H799" s="53">
        <v>1.0</v>
      </c>
      <c r="I799" s="53">
        <v>0.1032258064516129</v>
      </c>
      <c r="J799" s="53">
        <v>2.0</v>
      </c>
      <c r="K799" s="53" t="s">
        <v>53</v>
      </c>
      <c r="L799" s="53" t="s">
        <v>53</v>
      </c>
    </row>
    <row r="800" ht="15.75" customHeight="1">
      <c r="A800" s="53" t="s">
        <v>43</v>
      </c>
      <c r="B800" s="53" t="s">
        <v>2445</v>
      </c>
      <c r="C800" s="53" t="s">
        <v>1687</v>
      </c>
      <c r="D800" s="53" t="s">
        <v>2126</v>
      </c>
      <c r="E800" s="53" t="s">
        <v>2217</v>
      </c>
      <c r="F800" s="53" t="s">
        <v>2472</v>
      </c>
      <c r="G800" s="53" t="s">
        <v>2130</v>
      </c>
      <c r="H800" s="53">
        <v>1.0</v>
      </c>
      <c r="I800" s="53">
        <v>0.10967741935483871</v>
      </c>
      <c r="J800" s="53">
        <v>3.0</v>
      </c>
      <c r="K800" s="53" t="s">
        <v>53</v>
      </c>
      <c r="L800" s="53" t="s">
        <v>53</v>
      </c>
    </row>
    <row r="801" ht="15.75" customHeight="1">
      <c r="A801" s="53" t="s">
        <v>43</v>
      </c>
      <c r="B801" s="53" t="s">
        <v>2445</v>
      </c>
      <c r="C801" s="53" t="s">
        <v>1687</v>
      </c>
      <c r="D801" s="53" t="s">
        <v>2126</v>
      </c>
      <c r="E801" s="53" t="s">
        <v>2218</v>
      </c>
      <c r="F801" s="53" t="s">
        <v>2473</v>
      </c>
      <c r="G801" s="53" t="s">
        <v>2121</v>
      </c>
      <c r="H801" s="53">
        <v>1.0</v>
      </c>
      <c r="I801" s="53">
        <v>0.319047619047619</v>
      </c>
      <c r="J801" s="53">
        <v>1.0</v>
      </c>
      <c r="K801" s="53" t="s">
        <v>53</v>
      </c>
      <c r="L801" s="53" t="s">
        <v>53</v>
      </c>
    </row>
    <row r="802" ht="15.75" customHeight="1">
      <c r="A802" s="53" t="s">
        <v>43</v>
      </c>
      <c r="B802" s="53" t="s">
        <v>2445</v>
      </c>
      <c r="C802" s="53" t="s">
        <v>1687</v>
      </c>
      <c r="D802" s="53" t="s">
        <v>2126</v>
      </c>
      <c r="E802" s="53" t="s">
        <v>2219</v>
      </c>
      <c r="F802" s="53" t="s">
        <v>2474</v>
      </c>
      <c r="G802" s="53" t="s">
        <v>2133</v>
      </c>
      <c r="H802" s="53">
        <v>1.0</v>
      </c>
      <c r="I802" s="53">
        <v>0.432258064516129</v>
      </c>
      <c r="J802" s="53">
        <v>4.0</v>
      </c>
      <c r="K802" s="53" t="s">
        <v>53</v>
      </c>
      <c r="L802" s="53" t="s">
        <v>2134</v>
      </c>
    </row>
    <row r="803" ht="15.75" customHeight="1">
      <c r="A803" s="53" t="s">
        <v>43</v>
      </c>
      <c r="B803" s="53" t="s">
        <v>2445</v>
      </c>
      <c r="C803" s="53" t="s">
        <v>1687</v>
      </c>
      <c r="D803" s="53" t="s">
        <v>2126</v>
      </c>
      <c r="E803" s="53" t="s">
        <v>2220</v>
      </c>
      <c r="F803" s="53" t="s">
        <v>2474</v>
      </c>
      <c r="G803" s="53" t="s">
        <v>46</v>
      </c>
      <c r="H803" s="53">
        <v>1.0</v>
      </c>
      <c r="I803" s="53">
        <v>0.45806451612903226</v>
      </c>
      <c r="J803" s="53">
        <v>0.0</v>
      </c>
      <c r="K803" s="53" t="s">
        <v>53</v>
      </c>
      <c r="L803" s="53" t="s">
        <v>2134</v>
      </c>
    </row>
    <row r="804" ht="15.75" customHeight="1">
      <c r="A804" s="53" t="s">
        <v>43</v>
      </c>
      <c r="B804" s="53" t="s">
        <v>2445</v>
      </c>
      <c r="C804" s="53" t="s">
        <v>1687</v>
      </c>
      <c r="D804" s="53" t="s">
        <v>46</v>
      </c>
      <c r="E804" s="53" t="s">
        <v>2221</v>
      </c>
      <c r="F804" s="53" t="s">
        <v>50</v>
      </c>
      <c r="G804" s="53" t="s">
        <v>2133</v>
      </c>
      <c r="H804" s="53">
        <v>1.0</v>
      </c>
      <c r="I804" s="53">
        <v>0.12631578947368421</v>
      </c>
      <c r="J804" s="53">
        <v>3.0</v>
      </c>
      <c r="K804" s="53" t="s">
        <v>53</v>
      </c>
      <c r="L804" s="53" t="s">
        <v>53</v>
      </c>
    </row>
    <row r="805" ht="15.75" customHeight="1">
      <c r="A805" s="53" t="s">
        <v>43</v>
      </c>
      <c r="B805" s="53" t="s">
        <v>2445</v>
      </c>
      <c r="C805" s="53" t="s">
        <v>1687</v>
      </c>
      <c r="D805" s="53" t="s">
        <v>46</v>
      </c>
      <c r="E805" s="53" t="s">
        <v>2222</v>
      </c>
      <c r="F805" s="53" t="s">
        <v>2466</v>
      </c>
      <c r="G805" s="53" t="s">
        <v>2130</v>
      </c>
      <c r="H805" s="53">
        <v>1.0</v>
      </c>
      <c r="I805" s="53">
        <v>0.41843971631205673</v>
      </c>
      <c r="J805" s="53">
        <v>2.0</v>
      </c>
      <c r="K805" s="53" t="s">
        <v>53</v>
      </c>
      <c r="L805" s="53" t="s">
        <v>2134</v>
      </c>
    </row>
    <row r="806" ht="15.75" customHeight="1">
      <c r="A806" s="53" t="s">
        <v>43</v>
      </c>
      <c r="B806" s="53" t="s">
        <v>2445</v>
      </c>
      <c r="C806" s="53" t="s">
        <v>1687</v>
      </c>
      <c r="D806" s="53" t="s">
        <v>46</v>
      </c>
      <c r="E806" s="53" t="s">
        <v>2223</v>
      </c>
      <c r="F806" s="53" t="s">
        <v>2466</v>
      </c>
      <c r="G806" s="53" t="s">
        <v>2128</v>
      </c>
      <c r="H806" s="53">
        <v>1.0</v>
      </c>
      <c r="I806" s="53">
        <v>0.44</v>
      </c>
      <c r="J806" s="53">
        <v>1.0</v>
      </c>
      <c r="K806" s="53" t="s">
        <v>53</v>
      </c>
      <c r="L806" s="53" t="s">
        <v>2134</v>
      </c>
    </row>
    <row r="807" ht="15.75" customHeight="1">
      <c r="A807" s="53" t="s">
        <v>43</v>
      </c>
      <c r="B807" s="53" t="s">
        <v>2445</v>
      </c>
      <c r="C807" s="53" t="s">
        <v>1687</v>
      </c>
      <c r="D807" s="53" t="s">
        <v>46</v>
      </c>
      <c r="E807" s="53" t="s">
        <v>2224</v>
      </c>
      <c r="F807" s="53" t="s">
        <v>2467</v>
      </c>
      <c r="G807" s="53" t="s">
        <v>2121</v>
      </c>
      <c r="H807" s="53">
        <v>1.0</v>
      </c>
      <c r="I807" s="53">
        <v>0.5952380952380952</v>
      </c>
      <c r="J807" s="53">
        <v>0.0</v>
      </c>
      <c r="K807" s="53" t="s">
        <v>53</v>
      </c>
      <c r="L807" s="53" t="s">
        <v>2134</v>
      </c>
    </row>
    <row r="808" ht="15.75" customHeight="1">
      <c r="A808" s="53" t="s">
        <v>43</v>
      </c>
      <c r="B808" s="53" t="s">
        <v>2445</v>
      </c>
      <c r="C808" s="53" t="s">
        <v>1687</v>
      </c>
      <c r="D808" s="53" t="s">
        <v>2121</v>
      </c>
      <c r="E808" s="53" t="s">
        <v>2225</v>
      </c>
      <c r="F808" s="53" t="s">
        <v>2464</v>
      </c>
      <c r="G808" s="53" t="s">
        <v>2128</v>
      </c>
      <c r="H808" s="53">
        <v>1.0</v>
      </c>
      <c r="I808" s="53">
        <v>0.29523809523809524</v>
      </c>
      <c r="J808" s="53">
        <v>0.0</v>
      </c>
      <c r="K808" s="53" t="s">
        <v>53</v>
      </c>
      <c r="L808" s="53" t="s">
        <v>53</v>
      </c>
    </row>
    <row r="809" ht="15.75" customHeight="1">
      <c r="A809" s="53" t="s">
        <v>43</v>
      </c>
      <c r="B809" s="53" t="s">
        <v>2445</v>
      </c>
      <c r="C809" s="53" t="s">
        <v>1687</v>
      </c>
      <c r="D809" s="53" t="s">
        <v>2121</v>
      </c>
      <c r="E809" s="53" t="s">
        <v>2226</v>
      </c>
      <c r="F809" s="53" t="s">
        <v>2464</v>
      </c>
      <c r="G809" s="53" t="s">
        <v>2130</v>
      </c>
      <c r="H809" s="53">
        <v>1.0</v>
      </c>
      <c r="I809" s="53">
        <v>0.3380952380952381</v>
      </c>
      <c r="J809" s="53">
        <v>1.0</v>
      </c>
      <c r="K809" s="53" t="s">
        <v>53</v>
      </c>
      <c r="L809" s="53" t="s">
        <v>53</v>
      </c>
    </row>
    <row r="810" ht="15.75" customHeight="1">
      <c r="A810" s="53" t="s">
        <v>43</v>
      </c>
      <c r="B810" s="53" t="s">
        <v>2445</v>
      </c>
      <c r="C810" s="53" t="s">
        <v>1687</v>
      </c>
      <c r="D810" s="53" t="s">
        <v>2121</v>
      </c>
      <c r="E810" s="53" t="s">
        <v>2227</v>
      </c>
      <c r="F810" s="53" t="s">
        <v>2465</v>
      </c>
      <c r="G810" s="53" t="s">
        <v>2133</v>
      </c>
      <c r="H810" s="53">
        <v>1.0</v>
      </c>
      <c r="I810" s="53">
        <v>0.5761904761904761</v>
      </c>
      <c r="J810" s="53">
        <v>2.0</v>
      </c>
      <c r="K810" s="53" t="s">
        <v>53</v>
      </c>
      <c r="L810" s="53" t="s">
        <v>2134</v>
      </c>
    </row>
    <row r="811" ht="15.75" customHeight="1">
      <c r="A811" s="53" t="s">
        <v>43</v>
      </c>
      <c r="B811" s="53" t="s">
        <v>2445</v>
      </c>
      <c r="C811" s="53" t="s">
        <v>1687</v>
      </c>
      <c r="D811" s="53" t="s">
        <v>2128</v>
      </c>
      <c r="E811" s="53" t="s">
        <v>2228</v>
      </c>
      <c r="F811" s="53" t="s">
        <v>2472</v>
      </c>
      <c r="G811" s="53" t="s">
        <v>2130</v>
      </c>
      <c r="H811" s="53">
        <v>1.0</v>
      </c>
      <c r="I811" s="53">
        <v>0.07333333333333333</v>
      </c>
      <c r="J811" s="53">
        <v>0.0</v>
      </c>
      <c r="K811" s="53" t="s">
        <v>53</v>
      </c>
      <c r="L811" s="53" t="s">
        <v>53</v>
      </c>
    </row>
    <row r="812" ht="15.75" customHeight="1">
      <c r="A812" s="53" t="s">
        <v>43</v>
      </c>
      <c r="B812" s="53" t="s">
        <v>2445</v>
      </c>
      <c r="C812" s="53" t="s">
        <v>1687</v>
      </c>
      <c r="D812" s="53" t="s">
        <v>2128</v>
      </c>
      <c r="E812" s="53" t="s">
        <v>2229</v>
      </c>
      <c r="F812" s="53" t="s">
        <v>2474</v>
      </c>
      <c r="G812" s="53" t="s">
        <v>2133</v>
      </c>
      <c r="H812" s="53">
        <v>1.0</v>
      </c>
      <c r="I812" s="53">
        <v>0.42</v>
      </c>
      <c r="J812" s="53">
        <v>1.0</v>
      </c>
      <c r="K812" s="53" t="s">
        <v>53</v>
      </c>
      <c r="L812" s="53" t="s">
        <v>2134</v>
      </c>
    </row>
    <row r="813" ht="15.75" customHeight="1">
      <c r="A813" s="53" t="s">
        <v>43</v>
      </c>
      <c r="B813" s="53" t="s">
        <v>2445</v>
      </c>
      <c r="C813" s="53" t="s">
        <v>1687</v>
      </c>
      <c r="D813" s="53" t="s">
        <v>2130</v>
      </c>
      <c r="E813" s="53" t="s">
        <v>2230</v>
      </c>
      <c r="F813" s="53" t="s">
        <v>2474</v>
      </c>
      <c r="G813" s="53" t="s">
        <v>2133</v>
      </c>
      <c r="H813" s="53">
        <v>1.0</v>
      </c>
      <c r="I813" s="53">
        <v>0.3829787234042553</v>
      </c>
      <c r="J813" s="53">
        <v>0.0</v>
      </c>
      <c r="K813" s="53" t="s">
        <v>53</v>
      </c>
      <c r="L813" s="53" t="s">
        <v>2134</v>
      </c>
    </row>
    <row r="814" ht="15.75" customHeight="1">
      <c r="A814" s="53" t="s">
        <v>1202</v>
      </c>
      <c r="B814" s="53" t="s">
        <v>2445</v>
      </c>
      <c r="C814" s="53" t="s">
        <v>1687</v>
      </c>
      <c r="D814" s="53" t="s">
        <v>1518</v>
      </c>
      <c r="E814" s="53" t="s">
        <v>1956</v>
      </c>
      <c r="F814" s="53" t="s">
        <v>2475</v>
      </c>
      <c r="G814" s="53" t="s">
        <v>1521</v>
      </c>
      <c r="H814" s="53">
        <v>0.75</v>
      </c>
      <c r="I814" s="53">
        <v>0.13709677419354838</v>
      </c>
      <c r="J814" s="53">
        <v>1.0</v>
      </c>
      <c r="K814" s="53" t="s">
        <v>53</v>
      </c>
      <c r="L814" s="53" t="s">
        <v>1523</v>
      </c>
    </row>
    <row r="815" ht="15.75" customHeight="1">
      <c r="A815" s="53" t="s">
        <v>1202</v>
      </c>
      <c r="B815" s="53" t="s">
        <v>2445</v>
      </c>
      <c r="C815" s="53" t="s">
        <v>1687</v>
      </c>
      <c r="D815" s="53" t="s">
        <v>1518</v>
      </c>
      <c r="E815" s="53" t="s">
        <v>1959</v>
      </c>
      <c r="F815" s="53" t="s">
        <v>2476</v>
      </c>
      <c r="G815" s="53" t="s">
        <v>1526</v>
      </c>
      <c r="H815" s="53">
        <v>0.8571428571428571</v>
      </c>
      <c r="I815" s="53">
        <v>0.33064516129032256</v>
      </c>
      <c r="J815" s="53">
        <v>0.0</v>
      </c>
      <c r="K815" s="53" t="s">
        <v>53</v>
      </c>
      <c r="L815" s="53" t="s">
        <v>1527</v>
      </c>
    </row>
    <row r="816" ht="15.75" customHeight="1">
      <c r="A816" s="53" t="s">
        <v>1202</v>
      </c>
      <c r="B816" s="53" t="s">
        <v>2445</v>
      </c>
      <c r="C816" s="53" t="s">
        <v>1687</v>
      </c>
      <c r="D816" s="53" t="s">
        <v>1961</v>
      </c>
      <c r="E816" s="53" t="s">
        <v>1962</v>
      </c>
      <c r="F816" s="53" t="s">
        <v>593</v>
      </c>
      <c r="G816" s="53" t="s">
        <v>598</v>
      </c>
      <c r="H816" s="53">
        <v>1.0</v>
      </c>
      <c r="I816" s="53">
        <v>0.14492753623188406</v>
      </c>
      <c r="J816" s="53">
        <v>2.0</v>
      </c>
      <c r="K816" s="53" t="s">
        <v>53</v>
      </c>
      <c r="L816" s="53" t="s">
        <v>53</v>
      </c>
    </row>
    <row r="817" ht="15.75" customHeight="1">
      <c r="A817" s="53" t="s">
        <v>1202</v>
      </c>
      <c r="B817" s="53" t="s">
        <v>2445</v>
      </c>
      <c r="C817" s="53" t="s">
        <v>1687</v>
      </c>
      <c r="D817" s="53" t="s">
        <v>1961</v>
      </c>
      <c r="E817" s="53" t="s">
        <v>1964</v>
      </c>
      <c r="F817" s="53" t="s">
        <v>593</v>
      </c>
      <c r="G817" s="53" t="s">
        <v>1965</v>
      </c>
      <c r="H817" s="53">
        <v>1.0</v>
      </c>
      <c r="I817" s="53">
        <v>0.15217391304347827</v>
      </c>
      <c r="J817" s="53">
        <v>6.0</v>
      </c>
      <c r="K817" s="53" t="s">
        <v>53</v>
      </c>
      <c r="L817" s="53" t="s">
        <v>53</v>
      </c>
    </row>
    <row r="818" ht="15.75" customHeight="1">
      <c r="A818" s="53" t="s">
        <v>1202</v>
      </c>
      <c r="B818" s="53" t="s">
        <v>2445</v>
      </c>
      <c r="C818" s="53" t="s">
        <v>1687</v>
      </c>
      <c r="D818" s="53" t="s">
        <v>1961</v>
      </c>
      <c r="E818" s="53" t="s">
        <v>1966</v>
      </c>
      <c r="F818" s="53" t="s">
        <v>593</v>
      </c>
      <c r="G818" s="53" t="s">
        <v>589</v>
      </c>
      <c r="H818" s="53">
        <v>1.0</v>
      </c>
      <c r="I818" s="53">
        <v>0.18115942028985507</v>
      </c>
      <c r="J818" s="53">
        <v>0.0</v>
      </c>
      <c r="K818" s="53" t="s">
        <v>53</v>
      </c>
      <c r="L818" s="53" t="s">
        <v>53</v>
      </c>
    </row>
    <row r="819" ht="15.75" customHeight="1">
      <c r="A819" s="53" t="s">
        <v>1202</v>
      </c>
      <c r="B819" s="53" t="s">
        <v>2445</v>
      </c>
      <c r="C819" s="53" t="s">
        <v>1687</v>
      </c>
      <c r="D819" s="53" t="s">
        <v>1961</v>
      </c>
      <c r="E819" s="53" t="s">
        <v>1967</v>
      </c>
      <c r="F819" s="53" t="s">
        <v>593</v>
      </c>
      <c r="G819" s="53" t="s">
        <v>1968</v>
      </c>
      <c r="H819" s="53">
        <v>1.0</v>
      </c>
      <c r="I819" s="53">
        <v>0.18115942028985507</v>
      </c>
      <c r="J819" s="53">
        <v>1.0</v>
      </c>
      <c r="K819" s="53" t="s">
        <v>53</v>
      </c>
      <c r="L819" s="53" t="s">
        <v>53</v>
      </c>
    </row>
    <row r="820" ht="15.75" customHeight="1">
      <c r="A820" s="53" t="s">
        <v>1202</v>
      </c>
      <c r="B820" s="53" t="s">
        <v>2445</v>
      </c>
      <c r="C820" s="53" t="s">
        <v>1687</v>
      </c>
      <c r="D820" s="53" t="s">
        <v>589</v>
      </c>
      <c r="E820" s="53" t="s">
        <v>1969</v>
      </c>
      <c r="F820" s="53" t="s">
        <v>593</v>
      </c>
      <c r="G820" s="53" t="s">
        <v>1968</v>
      </c>
      <c r="H820" s="53">
        <v>1.0</v>
      </c>
      <c r="I820" s="53">
        <v>0.008130081300813009</v>
      </c>
      <c r="J820" s="53">
        <v>0.0</v>
      </c>
      <c r="K820" s="53" t="s">
        <v>53</v>
      </c>
      <c r="L820" s="53" t="s">
        <v>53</v>
      </c>
    </row>
    <row r="821" ht="15.75" customHeight="1">
      <c r="A821" s="53" t="s">
        <v>1202</v>
      </c>
      <c r="B821" s="53" t="s">
        <v>2445</v>
      </c>
      <c r="C821" s="53" t="s">
        <v>1687</v>
      </c>
      <c r="D821" s="53" t="s">
        <v>589</v>
      </c>
      <c r="E821" s="53" t="s">
        <v>1970</v>
      </c>
      <c r="F821" s="53" t="s">
        <v>593</v>
      </c>
      <c r="G821" s="53" t="s">
        <v>1965</v>
      </c>
      <c r="H821" s="53">
        <v>1.0</v>
      </c>
      <c r="I821" s="53">
        <v>0.0873015873015873</v>
      </c>
      <c r="J821" s="53">
        <v>5.0</v>
      </c>
      <c r="K821" s="53" t="s">
        <v>53</v>
      </c>
      <c r="L821" s="53" t="s">
        <v>53</v>
      </c>
    </row>
    <row r="822" ht="15.75" customHeight="1">
      <c r="A822" s="53" t="s">
        <v>1202</v>
      </c>
      <c r="B822" s="53" t="s">
        <v>2445</v>
      </c>
      <c r="C822" s="53" t="s">
        <v>1687</v>
      </c>
      <c r="D822" s="53" t="s">
        <v>589</v>
      </c>
      <c r="E822" s="53" t="s">
        <v>1971</v>
      </c>
      <c r="F822" s="53" t="s">
        <v>593</v>
      </c>
      <c r="G822" s="53" t="s">
        <v>598</v>
      </c>
      <c r="H822" s="53">
        <v>1.0</v>
      </c>
      <c r="I822" s="53">
        <v>0.21897810218978103</v>
      </c>
      <c r="J822" s="53">
        <v>1.0</v>
      </c>
      <c r="K822" s="53" t="s">
        <v>53</v>
      </c>
      <c r="L822" s="53" t="s">
        <v>53</v>
      </c>
    </row>
    <row r="823" ht="15.75" customHeight="1">
      <c r="A823" s="53" t="s">
        <v>1202</v>
      </c>
      <c r="B823" s="53" t="s">
        <v>2445</v>
      </c>
      <c r="C823" s="53" t="s">
        <v>1687</v>
      </c>
      <c r="D823" s="53" t="s">
        <v>1968</v>
      </c>
      <c r="E823" s="53" t="s">
        <v>1972</v>
      </c>
      <c r="F823" s="53" t="s">
        <v>593</v>
      </c>
      <c r="G823" s="53" t="s">
        <v>1965</v>
      </c>
      <c r="H823" s="53">
        <v>1.0</v>
      </c>
      <c r="I823" s="53">
        <v>0.0873015873015873</v>
      </c>
      <c r="J823" s="53">
        <v>4.0</v>
      </c>
      <c r="K823" s="53" t="s">
        <v>53</v>
      </c>
      <c r="L823" s="53" t="s">
        <v>53</v>
      </c>
    </row>
    <row r="824" ht="15.75" customHeight="1">
      <c r="A824" s="53" t="s">
        <v>1202</v>
      </c>
      <c r="B824" s="53" t="s">
        <v>2445</v>
      </c>
      <c r="C824" s="53" t="s">
        <v>1687</v>
      </c>
      <c r="D824" s="53" t="s">
        <v>1968</v>
      </c>
      <c r="E824" s="53" t="s">
        <v>1973</v>
      </c>
      <c r="F824" s="53" t="s">
        <v>593</v>
      </c>
      <c r="G824" s="53" t="s">
        <v>598</v>
      </c>
      <c r="H824" s="53">
        <v>1.0</v>
      </c>
      <c r="I824" s="53">
        <v>0.21897810218978103</v>
      </c>
      <c r="J824" s="53">
        <v>0.0</v>
      </c>
      <c r="K824" s="53" t="s">
        <v>53</v>
      </c>
      <c r="L824" s="53" t="s">
        <v>53</v>
      </c>
    </row>
    <row r="825" ht="15.75" customHeight="1">
      <c r="A825" s="53" t="s">
        <v>1202</v>
      </c>
      <c r="B825" s="53" t="s">
        <v>2445</v>
      </c>
      <c r="C825" s="53" t="s">
        <v>1687</v>
      </c>
      <c r="D825" s="53" t="s">
        <v>598</v>
      </c>
      <c r="E825" s="53" t="s">
        <v>1974</v>
      </c>
      <c r="F825" s="53" t="s">
        <v>2477</v>
      </c>
      <c r="G825" s="53" t="s">
        <v>1976</v>
      </c>
      <c r="H825" s="53">
        <v>0.3333333333333333</v>
      </c>
      <c r="I825" s="53">
        <v>0.043795620437956206</v>
      </c>
      <c r="J825" s="53">
        <v>5.0</v>
      </c>
      <c r="K825" s="53" t="s">
        <v>53</v>
      </c>
      <c r="L825" s="53" t="s">
        <v>1523</v>
      </c>
    </row>
    <row r="826" ht="15.75" customHeight="1">
      <c r="A826" s="53" t="s">
        <v>1202</v>
      </c>
      <c r="B826" s="53" t="s">
        <v>2445</v>
      </c>
      <c r="C826" s="53" t="s">
        <v>1687</v>
      </c>
      <c r="D826" s="53" t="s">
        <v>598</v>
      </c>
      <c r="E826" s="53" t="s">
        <v>1977</v>
      </c>
      <c r="F826" s="53" t="s">
        <v>593</v>
      </c>
      <c r="G826" s="53" t="s">
        <v>1965</v>
      </c>
      <c r="H826" s="53">
        <v>1.0</v>
      </c>
      <c r="I826" s="53">
        <v>0.24087591240875914</v>
      </c>
      <c r="J826" s="53">
        <v>3.0</v>
      </c>
      <c r="K826" s="53" t="s">
        <v>53</v>
      </c>
      <c r="L826" s="53" t="s">
        <v>53</v>
      </c>
    </row>
    <row r="827" ht="15.75" customHeight="1">
      <c r="A827" s="53" t="s">
        <v>1202</v>
      </c>
      <c r="B827" s="53" t="s">
        <v>2445</v>
      </c>
      <c r="C827" s="53" t="s">
        <v>1687</v>
      </c>
      <c r="D827" s="53" t="s">
        <v>1508</v>
      </c>
      <c r="E827" s="53" t="s">
        <v>1978</v>
      </c>
      <c r="F827" s="53" t="s">
        <v>1510</v>
      </c>
      <c r="G827" s="53" t="s">
        <v>1511</v>
      </c>
      <c r="H827" s="53">
        <v>1.0</v>
      </c>
      <c r="I827" s="53">
        <v>0.1</v>
      </c>
      <c r="J827" s="53">
        <v>0.0</v>
      </c>
      <c r="K827" s="53" t="s">
        <v>53</v>
      </c>
      <c r="L827" s="53" t="s">
        <v>53</v>
      </c>
    </row>
    <row r="828" ht="15.75" customHeight="1">
      <c r="A828" s="53" t="s">
        <v>1202</v>
      </c>
      <c r="B828" s="53" t="s">
        <v>2445</v>
      </c>
      <c r="C828" s="53" t="s">
        <v>1687</v>
      </c>
      <c r="D828" s="53" t="s">
        <v>1508</v>
      </c>
      <c r="E828" s="53" t="s">
        <v>1979</v>
      </c>
      <c r="F828" s="53" t="s">
        <v>1510</v>
      </c>
      <c r="G828" s="53" t="s">
        <v>1514</v>
      </c>
      <c r="H828" s="53">
        <v>1.0</v>
      </c>
      <c r="I828" s="53">
        <v>0.175</v>
      </c>
      <c r="J828" s="53">
        <v>1.0</v>
      </c>
      <c r="K828" s="53" t="s">
        <v>53</v>
      </c>
      <c r="L828" s="53" t="s">
        <v>53</v>
      </c>
    </row>
    <row r="829" ht="15.75" customHeight="1">
      <c r="A829" s="53" t="s">
        <v>1202</v>
      </c>
      <c r="B829" s="53" t="s">
        <v>2445</v>
      </c>
      <c r="C829" s="53" t="s">
        <v>1687</v>
      </c>
      <c r="D829" s="53" t="s">
        <v>1511</v>
      </c>
      <c r="E829" s="53" t="s">
        <v>1980</v>
      </c>
      <c r="F829" s="53" t="s">
        <v>1510</v>
      </c>
      <c r="G829" s="53" t="s">
        <v>1514</v>
      </c>
      <c r="H829" s="53">
        <v>1.0</v>
      </c>
      <c r="I829" s="53">
        <v>0.09166666666666666</v>
      </c>
      <c r="J829" s="53">
        <v>0.0</v>
      </c>
      <c r="K829" s="53" t="s">
        <v>53</v>
      </c>
      <c r="L829" s="53" t="s">
        <v>53</v>
      </c>
    </row>
    <row r="830" ht="15.75" customHeight="1">
      <c r="A830" s="53" t="s">
        <v>1202</v>
      </c>
      <c r="B830" s="53" t="s">
        <v>2445</v>
      </c>
      <c r="C830" s="53" t="s">
        <v>1687</v>
      </c>
      <c r="D830" s="53" t="s">
        <v>1981</v>
      </c>
      <c r="E830" s="53" t="s">
        <v>1982</v>
      </c>
      <c r="F830" s="53" t="s">
        <v>2478</v>
      </c>
      <c r="G830" s="53" t="s">
        <v>566</v>
      </c>
      <c r="H830" s="53">
        <v>0.3333333333333333</v>
      </c>
      <c r="I830" s="53">
        <v>0.09454545454545454</v>
      </c>
      <c r="J830" s="53">
        <v>2.0</v>
      </c>
      <c r="K830" s="53" t="s">
        <v>53</v>
      </c>
      <c r="L830" s="53" t="s">
        <v>2479</v>
      </c>
    </row>
    <row r="831" ht="15.75" customHeight="1">
      <c r="A831" s="53" t="s">
        <v>1202</v>
      </c>
      <c r="B831" s="53" t="s">
        <v>2445</v>
      </c>
      <c r="C831" s="53" t="s">
        <v>1687</v>
      </c>
      <c r="D831" s="53" t="s">
        <v>1205</v>
      </c>
      <c r="E831" s="53" t="s">
        <v>1985</v>
      </c>
      <c r="F831" s="53" t="s">
        <v>2480</v>
      </c>
      <c r="G831" s="53" t="s">
        <v>1208</v>
      </c>
      <c r="H831" s="53">
        <v>1.0</v>
      </c>
      <c r="I831" s="53">
        <v>0.039473684210526314</v>
      </c>
      <c r="J831" s="53">
        <v>0.0</v>
      </c>
      <c r="K831" s="53" t="s">
        <v>53</v>
      </c>
      <c r="L831" s="53" t="s">
        <v>53</v>
      </c>
    </row>
    <row r="832" ht="15.75" customHeight="1">
      <c r="A832" s="53" t="s">
        <v>166</v>
      </c>
      <c r="B832" s="53" t="s">
        <v>2445</v>
      </c>
      <c r="C832" s="53" t="s">
        <v>1687</v>
      </c>
      <c r="D832" s="53" t="s">
        <v>1736</v>
      </c>
      <c r="E832" s="53" t="s">
        <v>2390</v>
      </c>
      <c r="F832" s="53" t="s">
        <v>2481</v>
      </c>
      <c r="G832" s="53" t="s">
        <v>1739</v>
      </c>
      <c r="H832" s="53">
        <v>1.0</v>
      </c>
      <c r="I832" s="53">
        <v>0.018796992481203006</v>
      </c>
      <c r="J832" s="53">
        <v>1.0</v>
      </c>
      <c r="K832" s="53" t="s">
        <v>53</v>
      </c>
      <c r="L832" s="53" t="s">
        <v>53</v>
      </c>
    </row>
    <row r="833" ht="15.75" customHeight="1">
      <c r="A833" s="53" t="s">
        <v>166</v>
      </c>
      <c r="B833" s="53" t="s">
        <v>2445</v>
      </c>
      <c r="C833" s="53" t="s">
        <v>1687</v>
      </c>
      <c r="D833" s="53" t="s">
        <v>1736</v>
      </c>
      <c r="E833" s="53" t="s">
        <v>2392</v>
      </c>
      <c r="F833" s="53" t="s">
        <v>2481</v>
      </c>
      <c r="G833" s="53" t="s">
        <v>232</v>
      </c>
      <c r="H833" s="53">
        <v>1.0</v>
      </c>
      <c r="I833" s="53">
        <v>0.044444444444444446</v>
      </c>
      <c r="J833" s="53">
        <v>0.0</v>
      </c>
      <c r="K833" s="53" t="s">
        <v>53</v>
      </c>
      <c r="L833" s="53" t="s">
        <v>53</v>
      </c>
    </row>
    <row r="834" ht="15.75" customHeight="1">
      <c r="A834" s="53" t="s">
        <v>166</v>
      </c>
      <c r="B834" s="53" t="s">
        <v>2445</v>
      </c>
      <c r="C834" s="53" t="s">
        <v>1687</v>
      </c>
      <c r="D834" s="53" t="s">
        <v>1736</v>
      </c>
      <c r="E834" s="53" t="s">
        <v>2393</v>
      </c>
      <c r="F834" s="53" t="s">
        <v>2481</v>
      </c>
      <c r="G834" s="53" t="s">
        <v>539</v>
      </c>
      <c r="H834" s="53">
        <v>1.0</v>
      </c>
      <c r="I834" s="53">
        <v>0.36981132075471695</v>
      </c>
      <c r="J834" s="53">
        <v>2.0</v>
      </c>
      <c r="K834" s="53" t="s">
        <v>53</v>
      </c>
      <c r="L834" s="53" t="s">
        <v>53</v>
      </c>
    </row>
    <row r="835" ht="15.75" customHeight="1">
      <c r="A835" s="53" t="s">
        <v>166</v>
      </c>
      <c r="B835" s="53" t="s">
        <v>2445</v>
      </c>
      <c r="C835" s="53" t="s">
        <v>1687</v>
      </c>
      <c r="D835" s="53" t="s">
        <v>1736</v>
      </c>
      <c r="E835" s="53" t="s">
        <v>2394</v>
      </c>
      <c r="F835" s="53" t="s">
        <v>2481</v>
      </c>
      <c r="G835" s="53" t="s">
        <v>1742</v>
      </c>
      <c r="H835" s="53">
        <v>1.0</v>
      </c>
      <c r="I835" s="53">
        <v>0.5054945054945055</v>
      </c>
      <c r="J835" s="53">
        <v>10.0</v>
      </c>
      <c r="K835" s="53" t="s">
        <v>53</v>
      </c>
      <c r="L835" s="53" t="s">
        <v>53</v>
      </c>
    </row>
    <row r="836" ht="15.75" customHeight="1">
      <c r="A836" s="53" t="s">
        <v>166</v>
      </c>
      <c r="B836" s="53" t="s">
        <v>2445</v>
      </c>
      <c r="C836" s="53" t="s">
        <v>1687</v>
      </c>
      <c r="D836" s="53" t="s">
        <v>232</v>
      </c>
      <c r="E836" s="53" t="s">
        <v>2395</v>
      </c>
      <c r="F836" s="53" t="s">
        <v>2481</v>
      </c>
      <c r="G836" s="53" t="s">
        <v>1739</v>
      </c>
      <c r="H836" s="53">
        <v>1.0</v>
      </c>
      <c r="I836" s="53">
        <v>0.044444444444444446</v>
      </c>
      <c r="J836" s="53">
        <v>0.0</v>
      </c>
      <c r="K836" s="53" t="s">
        <v>53</v>
      </c>
      <c r="L836" s="53" t="s">
        <v>53</v>
      </c>
    </row>
    <row r="837" ht="15.75" customHeight="1">
      <c r="A837" s="53" t="s">
        <v>166</v>
      </c>
      <c r="B837" s="53" t="s">
        <v>2445</v>
      </c>
      <c r="C837" s="53" t="s">
        <v>1687</v>
      </c>
      <c r="D837" s="53" t="s">
        <v>232</v>
      </c>
      <c r="E837" s="53" t="s">
        <v>2396</v>
      </c>
      <c r="F837" s="53" t="s">
        <v>2481</v>
      </c>
      <c r="G837" s="53" t="s">
        <v>539</v>
      </c>
      <c r="H837" s="53">
        <v>1.0</v>
      </c>
      <c r="I837" s="53">
        <v>0.37777777777777777</v>
      </c>
      <c r="J837" s="53">
        <v>1.0</v>
      </c>
      <c r="K837" s="53" t="s">
        <v>53</v>
      </c>
      <c r="L837" s="53" t="s">
        <v>53</v>
      </c>
    </row>
    <row r="838" ht="15.75" customHeight="1">
      <c r="A838" s="53" t="s">
        <v>166</v>
      </c>
      <c r="B838" s="53" t="s">
        <v>2445</v>
      </c>
      <c r="C838" s="53" t="s">
        <v>1687</v>
      </c>
      <c r="D838" s="53" t="s">
        <v>232</v>
      </c>
      <c r="E838" s="53" t="s">
        <v>2397</v>
      </c>
      <c r="F838" s="53" t="s">
        <v>2481</v>
      </c>
      <c r="G838" s="53" t="s">
        <v>1742</v>
      </c>
      <c r="H838" s="53">
        <v>1.0</v>
      </c>
      <c r="I838" s="53">
        <v>0.5128205128205128</v>
      </c>
      <c r="J838" s="53">
        <v>9.0</v>
      </c>
      <c r="K838" s="53" t="s">
        <v>53</v>
      </c>
      <c r="L838" s="53" t="s">
        <v>53</v>
      </c>
    </row>
    <row r="839" ht="15.75" customHeight="1">
      <c r="A839" s="53" t="s">
        <v>166</v>
      </c>
      <c r="B839" s="53" t="s">
        <v>2445</v>
      </c>
      <c r="C839" s="53" t="s">
        <v>1687</v>
      </c>
      <c r="D839" s="53" t="s">
        <v>1739</v>
      </c>
      <c r="E839" s="53" t="s">
        <v>2398</v>
      </c>
      <c r="F839" s="53" t="s">
        <v>2481</v>
      </c>
      <c r="G839" s="53" t="s">
        <v>539</v>
      </c>
      <c r="H839" s="53">
        <v>1.0</v>
      </c>
      <c r="I839" s="53">
        <v>0.37218045112781956</v>
      </c>
      <c r="J839" s="53">
        <v>0.0</v>
      </c>
      <c r="K839" s="53" t="s">
        <v>53</v>
      </c>
      <c r="L839" s="53" t="s">
        <v>53</v>
      </c>
    </row>
    <row r="840" ht="15.75" customHeight="1">
      <c r="A840" s="53" t="s">
        <v>166</v>
      </c>
      <c r="B840" s="53" t="s">
        <v>2445</v>
      </c>
      <c r="C840" s="53" t="s">
        <v>1687</v>
      </c>
      <c r="D840" s="53" t="s">
        <v>1739</v>
      </c>
      <c r="E840" s="53" t="s">
        <v>2399</v>
      </c>
      <c r="F840" s="53" t="s">
        <v>2481</v>
      </c>
      <c r="G840" s="53" t="s">
        <v>1742</v>
      </c>
      <c r="H840" s="53">
        <v>1.0</v>
      </c>
      <c r="I840" s="53">
        <v>0.5054945054945055</v>
      </c>
      <c r="J840" s="53">
        <v>8.0</v>
      </c>
      <c r="K840" s="53" t="s">
        <v>53</v>
      </c>
      <c r="L840" s="53" t="s">
        <v>53</v>
      </c>
    </row>
    <row r="841" ht="15.75" customHeight="1">
      <c r="A841" s="53" t="s">
        <v>166</v>
      </c>
      <c r="B841" s="53" t="s">
        <v>2445</v>
      </c>
      <c r="C841" s="53" t="s">
        <v>1687</v>
      </c>
      <c r="D841" s="53" t="s">
        <v>539</v>
      </c>
      <c r="E841" s="53" t="s">
        <v>2400</v>
      </c>
      <c r="F841" s="53" t="s">
        <v>2481</v>
      </c>
      <c r="G841" s="53" t="s">
        <v>1742</v>
      </c>
      <c r="H841" s="53">
        <v>1.0</v>
      </c>
      <c r="I841" s="53">
        <v>0.5421245421245421</v>
      </c>
      <c r="J841" s="53">
        <v>7.0</v>
      </c>
      <c r="K841" s="53" t="s">
        <v>53</v>
      </c>
      <c r="L841" s="53" t="s">
        <v>53</v>
      </c>
    </row>
    <row r="842" ht="15.75" customHeight="1">
      <c r="A842" s="53" t="s">
        <v>166</v>
      </c>
      <c r="B842" s="53" t="s">
        <v>2445</v>
      </c>
      <c r="C842" s="53" t="s">
        <v>1687</v>
      </c>
      <c r="D842" s="53" t="s">
        <v>2401</v>
      </c>
      <c r="E842" s="53" t="s">
        <v>2402</v>
      </c>
      <c r="F842" s="53" t="s">
        <v>2482</v>
      </c>
      <c r="G842" s="53" t="s">
        <v>169</v>
      </c>
      <c r="H842" s="53">
        <v>1.0</v>
      </c>
      <c r="I842" s="53">
        <v>0.5272727272727272</v>
      </c>
      <c r="J842" s="53">
        <v>4.0</v>
      </c>
      <c r="K842" s="53" t="s">
        <v>53</v>
      </c>
      <c r="L842" s="53" t="s">
        <v>53</v>
      </c>
    </row>
    <row r="843" ht="15.75" customHeight="1">
      <c r="A843" s="53" t="s">
        <v>166</v>
      </c>
      <c r="B843" s="53" t="s">
        <v>2445</v>
      </c>
      <c r="C843" s="53" t="s">
        <v>1687</v>
      </c>
      <c r="D843" s="53" t="s">
        <v>2401</v>
      </c>
      <c r="E843" s="53" t="s">
        <v>2404</v>
      </c>
      <c r="F843" s="53" t="s">
        <v>2482</v>
      </c>
      <c r="G843" s="53" t="s">
        <v>175</v>
      </c>
      <c r="H843" s="53">
        <v>1.0</v>
      </c>
      <c r="I843" s="53">
        <v>0.7212121212121212</v>
      </c>
      <c r="J843" s="53">
        <v>9.0</v>
      </c>
      <c r="K843" s="53" t="s">
        <v>53</v>
      </c>
      <c r="L843" s="53" t="s">
        <v>53</v>
      </c>
    </row>
    <row r="844" ht="15.75" customHeight="1">
      <c r="A844" s="53" t="s">
        <v>166</v>
      </c>
      <c r="B844" s="53" t="s">
        <v>2445</v>
      </c>
      <c r="C844" s="53" t="s">
        <v>1687</v>
      </c>
      <c r="D844" s="53" t="s">
        <v>242</v>
      </c>
      <c r="E844" s="53" t="s">
        <v>2405</v>
      </c>
      <c r="F844" s="53" t="s">
        <v>1026</v>
      </c>
      <c r="G844" s="53" t="s">
        <v>1022</v>
      </c>
      <c r="H844" s="53">
        <v>1.0</v>
      </c>
      <c r="I844" s="53">
        <v>0.22727272727272727</v>
      </c>
      <c r="J844" s="53">
        <v>2.0</v>
      </c>
      <c r="K844" s="53" t="s">
        <v>53</v>
      </c>
      <c r="L844" s="53" t="s">
        <v>53</v>
      </c>
    </row>
    <row r="845" ht="15.75" customHeight="1">
      <c r="A845" s="53" t="s">
        <v>166</v>
      </c>
      <c r="B845" s="53" t="s">
        <v>2445</v>
      </c>
      <c r="C845" s="53" t="s">
        <v>1687</v>
      </c>
      <c r="D845" s="53" t="s">
        <v>242</v>
      </c>
      <c r="E845" s="53" t="s">
        <v>2407</v>
      </c>
      <c r="F845" s="53" t="s">
        <v>2483</v>
      </c>
      <c r="G845" s="53" t="s">
        <v>178</v>
      </c>
      <c r="H845" s="53">
        <v>1.0</v>
      </c>
      <c r="I845" s="53">
        <v>0.3776223776223776</v>
      </c>
      <c r="J845" s="53">
        <v>7.0</v>
      </c>
      <c r="K845" s="53" t="s">
        <v>53</v>
      </c>
      <c r="L845" s="53" t="s">
        <v>53</v>
      </c>
    </row>
    <row r="846" ht="15.75" customHeight="1">
      <c r="A846" s="53" t="s">
        <v>166</v>
      </c>
      <c r="B846" s="53" t="s">
        <v>2445</v>
      </c>
      <c r="C846" s="53" t="s">
        <v>1687</v>
      </c>
      <c r="D846" s="53" t="s">
        <v>242</v>
      </c>
      <c r="E846" s="53" t="s">
        <v>2409</v>
      </c>
      <c r="F846" s="53" t="s">
        <v>1026</v>
      </c>
      <c r="G846" s="53" t="s">
        <v>184</v>
      </c>
      <c r="H846" s="53">
        <v>1.0</v>
      </c>
      <c r="I846" s="53">
        <v>0.6746411483253588</v>
      </c>
      <c r="J846" s="53">
        <v>9.0</v>
      </c>
      <c r="K846" s="53" t="s">
        <v>53</v>
      </c>
      <c r="L846" s="53" t="s">
        <v>53</v>
      </c>
    </row>
    <row r="847" ht="15.75" customHeight="1">
      <c r="A847" s="53" t="s">
        <v>166</v>
      </c>
      <c r="B847" s="53" t="s">
        <v>2445</v>
      </c>
      <c r="C847" s="53" t="s">
        <v>1687</v>
      </c>
      <c r="D847" s="53" t="s">
        <v>1022</v>
      </c>
      <c r="E847" s="53" t="s">
        <v>2410</v>
      </c>
      <c r="F847" s="53" t="s">
        <v>2484</v>
      </c>
      <c r="G847" s="53" t="s">
        <v>169</v>
      </c>
      <c r="H847" s="53">
        <v>0.3333333333333333</v>
      </c>
      <c r="I847" s="53">
        <v>0.01818181818181818</v>
      </c>
      <c r="J847" s="53">
        <v>0.0</v>
      </c>
      <c r="K847" s="53" t="s">
        <v>53</v>
      </c>
      <c r="L847" s="53" t="s">
        <v>1667</v>
      </c>
    </row>
    <row r="848" ht="15.75" customHeight="1">
      <c r="A848" s="53" t="s">
        <v>166</v>
      </c>
      <c r="B848" s="53" t="s">
        <v>2445</v>
      </c>
      <c r="C848" s="53" t="s">
        <v>1687</v>
      </c>
      <c r="D848" s="53" t="s">
        <v>1022</v>
      </c>
      <c r="E848" s="53" t="s">
        <v>2413</v>
      </c>
      <c r="F848" s="53" t="s">
        <v>2483</v>
      </c>
      <c r="G848" s="53" t="s">
        <v>178</v>
      </c>
      <c r="H848" s="53">
        <v>1.0</v>
      </c>
      <c r="I848" s="53">
        <v>0.45104895104895104</v>
      </c>
      <c r="J848" s="53">
        <v>4.0</v>
      </c>
      <c r="K848" s="53" t="s">
        <v>53</v>
      </c>
      <c r="L848" s="53" t="s">
        <v>53</v>
      </c>
    </row>
    <row r="849" ht="15.75" customHeight="1">
      <c r="A849" s="53" t="s">
        <v>166</v>
      </c>
      <c r="B849" s="53" t="s">
        <v>2445</v>
      </c>
      <c r="C849" s="53" t="s">
        <v>1687</v>
      </c>
      <c r="D849" s="53" t="s">
        <v>1022</v>
      </c>
      <c r="E849" s="53" t="s">
        <v>2414</v>
      </c>
      <c r="F849" s="53" t="s">
        <v>1026</v>
      </c>
      <c r="G849" s="53" t="s">
        <v>184</v>
      </c>
      <c r="H849" s="53">
        <v>1.0</v>
      </c>
      <c r="I849" s="53">
        <v>0.6681818181818182</v>
      </c>
      <c r="J849" s="53">
        <v>6.0</v>
      </c>
      <c r="K849" s="53" t="s">
        <v>53</v>
      </c>
      <c r="L849" s="53" t="s">
        <v>53</v>
      </c>
    </row>
    <row r="850" ht="15.75" customHeight="1">
      <c r="A850" s="53" t="s">
        <v>166</v>
      </c>
      <c r="B850" s="53" t="s">
        <v>2445</v>
      </c>
      <c r="C850" s="53" t="s">
        <v>1687</v>
      </c>
      <c r="D850" s="53" t="s">
        <v>169</v>
      </c>
      <c r="E850" s="53" t="s">
        <v>171</v>
      </c>
      <c r="F850" s="53" t="s">
        <v>173</v>
      </c>
      <c r="G850" s="53" t="s">
        <v>175</v>
      </c>
      <c r="H850" s="53">
        <v>1.0</v>
      </c>
      <c r="I850" s="53">
        <v>0.6681818181818182</v>
      </c>
      <c r="J850" s="53">
        <v>4.0</v>
      </c>
      <c r="K850" s="53" t="s">
        <v>53</v>
      </c>
      <c r="L850" s="53" t="s">
        <v>53</v>
      </c>
    </row>
    <row r="851" ht="15.75" customHeight="1">
      <c r="A851" s="53" t="s">
        <v>166</v>
      </c>
      <c r="B851" s="53" t="s">
        <v>2445</v>
      </c>
      <c r="C851" s="53" t="s">
        <v>1687</v>
      </c>
      <c r="D851" s="53" t="s">
        <v>1749</v>
      </c>
      <c r="E851" s="53" t="s">
        <v>2416</v>
      </c>
      <c r="F851" s="53" t="s">
        <v>2485</v>
      </c>
      <c r="G851" s="53" t="s">
        <v>1752</v>
      </c>
      <c r="H851" s="53">
        <v>0.6666666666666666</v>
      </c>
      <c r="I851" s="53">
        <v>0.04152249134948097</v>
      </c>
      <c r="J851" s="53">
        <v>1.0</v>
      </c>
      <c r="K851" s="53" t="s">
        <v>53</v>
      </c>
      <c r="L851" s="53" t="s">
        <v>1667</v>
      </c>
    </row>
    <row r="852" ht="15.75" customHeight="1">
      <c r="A852" s="53" t="s">
        <v>166</v>
      </c>
      <c r="B852" s="53" t="s">
        <v>2445</v>
      </c>
      <c r="C852" s="53" t="s">
        <v>1687</v>
      </c>
      <c r="D852" s="53" t="s">
        <v>178</v>
      </c>
      <c r="E852" s="53" t="s">
        <v>180</v>
      </c>
      <c r="F852" s="53" t="s">
        <v>182</v>
      </c>
      <c r="G852" s="53" t="s">
        <v>184</v>
      </c>
      <c r="H852" s="53">
        <v>1.0</v>
      </c>
      <c r="I852" s="53">
        <v>0.6363636363636364</v>
      </c>
      <c r="J852" s="53">
        <v>1.0</v>
      </c>
      <c r="K852" s="53" t="s">
        <v>53</v>
      </c>
      <c r="L852" s="53" t="s">
        <v>53</v>
      </c>
    </row>
    <row r="853" ht="15.75" customHeight="1">
      <c r="A853" s="53" t="s">
        <v>166</v>
      </c>
      <c r="B853" s="53" t="s">
        <v>2445</v>
      </c>
      <c r="C853" s="53" t="s">
        <v>1687</v>
      </c>
      <c r="D853" s="53" t="s">
        <v>175</v>
      </c>
      <c r="E853" s="53" t="s">
        <v>1664</v>
      </c>
      <c r="F853" s="53" t="s">
        <v>1665</v>
      </c>
      <c r="G853" s="53" t="s">
        <v>184</v>
      </c>
      <c r="H853" s="53">
        <v>0.3333333333333333</v>
      </c>
      <c r="I853" s="53">
        <v>0.08743169398907104</v>
      </c>
      <c r="J853" s="53">
        <v>0.0</v>
      </c>
      <c r="K853" s="53" t="s">
        <v>53</v>
      </c>
      <c r="L853" s="53" t="s">
        <v>1667</v>
      </c>
    </row>
    <row r="854" ht="15.75" customHeight="1">
      <c r="A854" s="53" t="s">
        <v>1502</v>
      </c>
      <c r="B854" s="53" t="s">
        <v>2445</v>
      </c>
      <c r="C854" s="53" t="s">
        <v>1687</v>
      </c>
      <c r="D854" s="53" t="s">
        <v>1507</v>
      </c>
      <c r="E854" s="53" t="s">
        <v>1699</v>
      </c>
      <c r="F854" s="53" t="s">
        <v>1700</v>
      </c>
      <c r="G854" s="53" t="s">
        <v>1504</v>
      </c>
      <c r="H854" s="53">
        <v>1.0</v>
      </c>
      <c r="I854" s="53">
        <v>0.1553398058252427</v>
      </c>
      <c r="J854" s="53">
        <v>0.0</v>
      </c>
      <c r="K854" s="53" t="s">
        <v>53</v>
      </c>
      <c r="L854" s="53" t="s">
        <v>53</v>
      </c>
    </row>
    <row r="855" ht="15.75" customHeight="1">
      <c r="A855" s="53" t="s">
        <v>67</v>
      </c>
      <c r="B855" s="53" t="s">
        <v>2445</v>
      </c>
      <c r="C855" s="53" t="s">
        <v>1687</v>
      </c>
      <c r="D855" s="53" t="s">
        <v>1181</v>
      </c>
      <c r="E855" s="53" t="s">
        <v>1897</v>
      </c>
      <c r="F855" s="53" t="s">
        <v>1183</v>
      </c>
      <c r="G855" s="53" t="s">
        <v>1184</v>
      </c>
      <c r="H855" s="53">
        <v>1.0</v>
      </c>
      <c r="I855" s="53">
        <v>0.023972602739726026</v>
      </c>
      <c r="J855" s="53">
        <v>0.0</v>
      </c>
      <c r="K855" s="53" t="s">
        <v>53</v>
      </c>
      <c r="L855" s="53" t="s">
        <v>53</v>
      </c>
    </row>
    <row r="856" ht="15.75" customHeight="1">
      <c r="A856" s="53" t="s">
        <v>67</v>
      </c>
      <c r="B856" s="53" t="s">
        <v>2445</v>
      </c>
      <c r="C856" s="53" t="s">
        <v>1687</v>
      </c>
      <c r="D856" s="53" t="s">
        <v>1181</v>
      </c>
      <c r="E856" s="53" t="s">
        <v>1899</v>
      </c>
      <c r="F856" s="53" t="s">
        <v>1183</v>
      </c>
      <c r="G856" s="53" t="s">
        <v>1187</v>
      </c>
      <c r="H856" s="53">
        <v>1.0</v>
      </c>
      <c r="I856" s="53">
        <v>0.0625</v>
      </c>
      <c r="J856" s="53">
        <v>1.0</v>
      </c>
      <c r="K856" s="53" t="s">
        <v>53</v>
      </c>
      <c r="L856" s="53" t="s">
        <v>53</v>
      </c>
    </row>
    <row r="857" ht="15.75" customHeight="1">
      <c r="A857" s="53" t="s">
        <v>67</v>
      </c>
      <c r="B857" s="53" t="s">
        <v>2445</v>
      </c>
      <c r="C857" s="53" t="s">
        <v>1687</v>
      </c>
      <c r="D857" s="53" t="s">
        <v>1181</v>
      </c>
      <c r="E857" s="53" t="s">
        <v>1900</v>
      </c>
      <c r="F857" s="53" t="s">
        <v>1183</v>
      </c>
      <c r="G857" s="53" t="s">
        <v>1189</v>
      </c>
      <c r="H857" s="53">
        <v>1.0</v>
      </c>
      <c r="I857" s="53">
        <v>0.1467065868263473</v>
      </c>
      <c r="J857" s="53">
        <v>2.0</v>
      </c>
      <c r="K857" s="53" t="s">
        <v>53</v>
      </c>
      <c r="L857" s="53" t="s">
        <v>53</v>
      </c>
    </row>
    <row r="858" ht="15.75" customHeight="1">
      <c r="A858" s="53" t="s">
        <v>67</v>
      </c>
      <c r="B858" s="53" t="s">
        <v>2445</v>
      </c>
      <c r="C858" s="53" t="s">
        <v>1687</v>
      </c>
      <c r="D858" s="53" t="s">
        <v>1184</v>
      </c>
      <c r="E858" s="53" t="s">
        <v>1901</v>
      </c>
      <c r="F858" s="53" t="s">
        <v>1183</v>
      </c>
      <c r="G858" s="53" t="s">
        <v>1187</v>
      </c>
      <c r="H858" s="53">
        <v>1.0</v>
      </c>
      <c r="I858" s="53">
        <v>0.0625</v>
      </c>
      <c r="J858" s="53">
        <v>0.0</v>
      </c>
      <c r="K858" s="53" t="s">
        <v>53</v>
      </c>
      <c r="L858" s="53" t="s">
        <v>53</v>
      </c>
    </row>
    <row r="859" ht="15.75" customHeight="1">
      <c r="A859" s="53" t="s">
        <v>67</v>
      </c>
      <c r="B859" s="53" t="s">
        <v>2445</v>
      </c>
      <c r="C859" s="53" t="s">
        <v>1687</v>
      </c>
      <c r="D859" s="53" t="s">
        <v>1184</v>
      </c>
      <c r="E859" s="53" t="s">
        <v>1902</v>
      </c>
      <c r="F859" s="53" t="s">
        <v>1183</v>
      </c>
      <c r="G859" s="53" t="s">
        <v>1189</v>
      </c>
      <c r="H859" s="53">
        <v>1.0</v>
      </c>
      <c r="I859" s="53">
        <v>0.1467065868263473</v>
      </c>
      <c r="J859" s="53">
        <v>1.0</v>
      </c>
      <c r="K859" s="53" t="s">
        <v>53</v>
      </c>
      <c r="L859" s="53" t="s">
        <v>53</v>
      </c>
    </row>
    <row r="860" ht="15.75" customHeight="1">
      <c r="A860" s="53" t="s">
        <v>67</v>
      </c>
      <c r="B860" s="53" t="s">
        <v>2445</v>
      </c>
      <c r="C860" s="53" t="s">
        <v>1687</v>
      </c>
      <c r="D860" s="53" t="s">
        <v>1187</v>
      </c>
      <c r="E860" s="53" t="s">
        <v>1903</v>
      </c>
      <c r="F860" s="53" t="s">
        <v>1183</v>
      </c>
      <c r="G860" s="53" t="s">
        <v>1189</v>
      </c>
      <c r="H860" s="53">
        <v>1.0</v>
      </c>
      <c r="I860" s="53">
        <v>0.11077844311377245</v>
      </c>
      <c r="J860" s="53">
        <v>0.0</v>
      </c>
      <c r="K860" s="53" t="s">
        <v>53</v>
      </c>
      <c r="L860" s="53" t="s">
        <v>53</v>
      </c>
    </row>
    <row r="861" ht="15.75" customHeight="1">
      <c r="A861" s="53" t="s">
        <v>67</v>
      </c>
      <c r="B861" s="53" t="s">
        <v>2445</v>
      </c>
      <c r="C861" s="53" t="s">
        <v>1687</v>
      </c>
      <c r="D861" s="53" t="s">
        <v>75</v>
      </c>
      <c r="E861" s="53" t="s">
        <v>1904</v>
      </c>
      <c r="F861" s="53" t="s">
        <v>73</v>
      </c>
      <c r="G861" s="53" t="s">
        <v>114</v>
      </c>
      <c r="H861" s="53">
        <v>1.0</v>
      </c>
      <c r="I861" s="53">
        <v>0.6698113207547169</v>
      </c>
      <c r="J861" s="53">
        <v>28.0</v>
      </c>
      <c r="K861" s="53" t="s">
        <v>53</v>
      </c>
      <c r="L861" s="53" t="s">
        <v>53</v>
      </c>
    </row>
    <row r="862" ht="15.75" customHeight="1">
      <c r="A862" s="53" t="s">
        <v>67</v>
      </c>
      <c r="B862" s="53" t="s">
        <v>2445</v>
      </c>
      <c r="C862" s="53" t="s">
        <v>1687</v>
      </c>
      <c r="D862" s="53" t="s">
        <v>75</v>
      </c>
      <c r="E862" s="53" t="s">
        <v>1905</v>
      </c>
      <c r="F862" s="53" t="s">
        <v>73</v>
      </c>
      <c r="G862" s="53" t="s">
        <v>69</v>
      </c>
      <c r="H862" s="53">
        <v>1.0</v>
      </c>
      <c r="I862" s="53">
        <v>0.6728971962616822</v>
      </c>
      <c r="J862" s="53">
        <v>27.0</v>
      </c>
      <c r="K862" s="53" t="s">
        <v>53</v>
      </c>
      <c r="L862" s="53" t="s">
        <v>53</v>
      </c>
    </row>
    <row r="863" ht="15.75" customHeight="1">
      <c r="A863" s="53" t="s">
        <v>67</v>
      </c>
      <c r="B863" s="53" t="s">
        <v>2445</v>
      </c>
      <c r="C863" s="53" t="s">
        <v>1687</v>
      </c>
      <c r="D863" s="53" t="s">
        <v>1397</v>
      </c>
      <c r="E863" s="53" t="s">
        <v>1906</v>
      </c>
      <c r="F863" s="53" t="s">
        <v>1399</v>
      </c>
      <c r="G863" s="53" t="s">
        <v>1400</v>
      </c>
      <c r="H863" s="53">
        <v>0.8</v>
      </c>
      <c r="I863" s="53">
        <v>0.3248638838475499</v>
      </c>
      <c r="J863" s="53">
        <v>0.0</v>
      </c>
      <c r="K863" s="53" t="s">
        <v>53</v>
      </c>
      <c r="L863" s="53" t="s">
        <v>1402</v>
      </c>
    </row>
    <row r="864" ht="15.75" customHeight="1">
      <c r="A864" s="53" t="s">
        <v>67</v>
      </c>
      <c r="B864" s="53" t="s">
        <v>2445</v>
      </c>
      <c r="C864" s="53" t="s">
        <v>1687</v>
      </c>
      <c r="D864" s="53" t="s">
        <v>1908</v>
      </c>
      <c r="E864" s="53" t="s">
        <v>1909</v>
      </c>
      <c r="F864" s="53" t="s">
        <v>2486</v>
      </c>
      <c r="G864" s="53" t="s">
        <v>1911</v>
      </c>
      <c r="H864" s="53">
        <v>1.0</v>
      </c>
      <c r="I864" s="53">
        <v>0.25</v>
      </c>
      <c r="J864" s="53">
        <v>9.0</v>
      </c>
      <c r="K864" s="53" t="s">
        <v>53</v>
      </c>
      <c r="L864" s="53" t="s">
        <v>53</v>
      </c>
    </row>
    <row r="865" ht="15.75" customHeight="1">
      <c r="A865" s="53" t="s">
        <v>67</v>
      </c>
      <c r="B865" s="53" t="s">
        <v>2445</v>
      </c>
      <c r="C865" s="53" t="s">
        <v>1687</v>
      </c>
      <c r="D865" s="53" t="s">
        <v>1908</v>
      </c>
      <c r="E865" s="53" t="s">
        <v>1912</v>
      </c>
      <c r="F865" s="53" t="s">
        <v>2487</v>
      </c>
      <c r="G865" s="53" t="s">
        <v>1914</v>
      </c>
      <c r="H865" s="53">
        <v>1.0</v>
      </c>
      <c r="I865" s="53">
        <v>0.31718061674008813</v>
      </c>
      <c r="J865" s="53">
        <v>0.0</v>
      </c>
      <c r="K865" s="53" t="s">
        <v>53</v>
      </c>
      <c r="L865" s="53" t="s">
        <v>1527</v>
      </c>
    </row>
    <row r="866" ht="15.75" customHeight="1">
      <c r="A866" s="53" t="s">
        <v>67</v>
      </c>
      <c r="B866" s="53" t="s">
        <v>2445</v>
      </c>
      <c r="C866" s="53" t="s">
        <v>1687</v>
      </c>
      <c r="D866" s="53" t="s">
        <v>1908</v>
      </c>
      <c r="E866" s="53" t="s">
        <v>1915</v>
      </c>
      <c r="F866" s="53" t="s">
        <v>2488</v>
      </c>
      <c r="G866" s="53" t="s">
        <v>1917</v>
      </c>
      <c r="H866" s="53">
        <v>1.0</v>
      </c>
      <c r="I866" s="53">
        <v>0.6947368421052632</v>
      </c>
      <c r="J866" s="53">
        <v>2.0</v>
      </c>
      <c r="K866" s="53" t="s">
        <v>53</v>
      </c>
      <c r="L866" s="53" t="s">
        <v>1527</v>
      </c>
    </row>
    <row r="867" ht="15.75" customHeight="1">
      <c r="A867" s="53" t="s">
        <v>67</v>
      </c>
      <c r="B867" s="53" t="s">
        <v>2445</v>
      </c>
      <c r="C867" s="53" t="s">
        <v>1687</v>
      </c>
      <c r="D867" s="53" t="s">
        <v>1908</v>
      </c>
      <c r="E867" s="53" t="s">
        <v>1918</v>
      </c>
      <c r="F867" s="53" t="s">
        <v>2488</v>
      </c>
      <c r="G867" s="53" t="s">
        <v>1919</v>
      </c>
      <c r="H867" s="53">
        <v>1.0</v>
      </c>
      <c r="I867" s="53">
        <v>0.7072649572649573</v>
      </c>
      <c r="J867" s="53">
        <v>1.0</v>
      </c>
      <c r="K867" s="53" t="s">
        <v>53</v>
      </c>
      <c r="L867" s="53" t="s">
        <v>1527</v>
      </c>
    </row>
    <row r="868" ht="15.75" customHeight="1">
      <c r="A868" s="53" t="s">
        <v>67</v>
      </c>
      <c r="B868" s="53" t="s">
        <v>2445</v>
      </c>
      <c r="C868" s="53" t="s">
        <v>1687</v>
      </c>
      <c r="D868" s="53" t="s">
        <v>1908</v>
      </c>
      <c r="E868" s="53" t="s">
        <v>1920</v>
      </c>
      <c r="F868" s="53" t="s">
        <v>2489</v>
      </c>
      <c r="G868" s="53" t="s">
        <v>1922</v>
      </c>
      <c r="H868" s="53">
        <v>1.0</v>
      </c>
      <c r="I868" s="53">
        <v>0.7361111111111112</v>
      </c>
      <c r="J868" s="53">
        <v>12.0</v>
      </c>
      <c r="K868" s="53" t="s">
        <v>53</v>
      </c>
      <c r="L868" s="53" t="s">
        <v>1527</v>
      </c>
    </row>
    <row r="869" ht="15.75" customHeight="1">
      <c r="A869" s="53" t="s">
        <v>67</v>
      </c>
      <c r="B869" s="53" t="s">
        <v>2445</v>
      </c>
      <c r="C869" s="53" t="s">
        <v>1687</v>
      </c>
      <c r="D869" s="53" t="s">
        <v>1914</v>
      </c>
      <c r="E869" s="53" t="s">
        <v>1923</v>
      </c>
      <c r="F869" s="53" t="s">
        <v>2490</v>
      </c>
      <c r="G869" s="53" t="s">
        <v>1911</v>
      </c>
      <c r="H869" s="53">
        <v>1.0</v>
      </c>
      <c r="I869" s="53">
        <v>0.4845814977973568</v>
      </c>
      <c r="J869" s="53">
        <v>8.0</v>
      </c>
      <c r="K869" s="53" t="s">
        <v>53</v>
      </c>
      <c r="L869" s="53" t="s">
        <v>1527</v>
      </c>
    </row>
    <row r="870" ht="15.75" customHeight="1">
      <c r="A870" s="53" t="s">
        <v>67</v>
      </c>
      <c r="B870" s="53" t="s">
        <v>2445</v>
      </c>
      <c r="C870" s="53" t="s">
        <v>1687</v>
      </c>
      <c r="D870" s="53" t="s">
        <v>1914</v>
      </c>
      <c r="E870" s="53" t="s">
        <v>1925</v>
      </c>
      <c r="F870" s="53" t="s">
        <v>2491</v>
      </c>
      <c r="G870" s="53" t="s">
        <v>1917</v>
      </c>
      <c r="H870" s="53">
        <v>1.0</v>
      </c>
      <c r="I870" s="53">
        <v>0.5642105263157895</v>
      </c>
      <c r="J870" s="53">
        <v>1.0</v>
      </c>
      <c r="K870" s="53" t="s">
        <v>53</v>
      </c>
      <c r="L870" s="53" t="s">
        <v>53</v>
      </c>
    </row>
    <row r="871" ht="15.75" customHeight="1">
      <c r="A871" s="53" t="s">
        <v>67</v>
      </c>
      <c r="B871" s="53" t="s">
        <v>2445</v>
      </c>
      <c r="C871" s="53" t="s">
        <v>1687</v>
      </c>
      <c r="D871" s="53" t="s">
        <v>1914</v>
      </c>
      <c r="E871" s="53" t="s">
        <v>1927</v>
      </c>
      <c r="F871" s="53" t="s">
        <v>2491</v>
      </c>
      <c r="G871" s="53" t="s">
        <v>1919</v>
      </c>
      <c r="H871" s="53">
        <v>1.0</v>
      </c>
      <c r="I871" s="53">
        <v>0.5747863247863247</v>
      </c>
      <c r="J871" s="53">
        <v>0.0</v>
      </c>
      <c r="K871" s="53" t="s">
        <v>53</v>
      </c>
      <c r="L871" s="53" t="s">
        <v>53</v>
      </c>
    </row>
    <row r="872" ht="15.75" customHeight="1">
      <c r="A872" s="53" t="s">
        <v>67</v>
      </c>
      <c r="B872" s="53" t="s">
        <v>2445</v>
      </c>
      <c r="C872" s="53" t="s">
        <v>1687</v>
      </c>
      <c r="D872" s="53" t="s">
        <v>1914</v>
      </c>
      <c r="E872" s="53" t="s">
        <v>1928</v>
      </c>
      <c r="F872" s="53" t="s">
        <v>2492</v>
      </c>
      <c r="G872" s="53" t="s">
        <v>1922</v>
      </c>
      <c r="H872" s="53">
        <v>1.0</v>
      </c>
      <c r="I872" s="53">
        <v>0.5992063492063492</v>
      </c>
      <c r="J872" s="53">
        <v>11.0</v>
      </c>
      <c r="K872" s="53" t="s">
        <v>53</v>
      </c>
      <c r="L872" s="53" t="s">
        <v>53</v>
      </c>
    </row>
    <row r="873" ht="15.75" customHeight="1">
      <c r="A873" s="53" t="s">
        <v>67</v>
      </c>
      <c r="B873" s="53" t="s">
        <v>2445</v>
      </c>
      <c r="C873" s="53" t="s">
        <v>1687</v>
      </c>
      <c r="D873" s="53" t="s">
        <v>1919</v>
      </c>
      <c r="E873" s="53" t="s">
        <v>1930</v>
      </c>
      <c r="F873" s="53" t="s">
        <v>2493</v>
      </c>
      <c r="G873" s="53" t="s">
        <v>1917</v>
      </c>
      <c r="H873" s="53">
        <v>1.0</v>
      </c>
      <c r="I873" s="53">
        <v>0.014736842105263158</v>
      </c>
      <c r="J873" s="53">
        <v>0.0</v>
      </c>
      <c r="K873" s="53" t="s">
        <v>53</v>
      </c>
      <c r="L873" s="53" t="s">
        <v>53</v>
      </c>
    </row>
    <row r="874" ht="15.75" customHeight="1">
      <c r="A874" s="53" t="s">
        <v>67</v>
      </c>
      <c r="B874" s="53" t="s">
        <v>2445</v>
      </c>
      <c r="C874" s="53" t="s">
        <v>1687</v>
      </c>
      <c r="D874" s="53" t="s">
        <v>1919</v>
      </c>
      <c r="E874" s="53" t="s">
        <v>1932</v>
      </c>
      <c r="F874" s="53" t="s">
        <v>2494</v>
      </c>
      <c r="G874" s="53" t="s">
        <v>1922</v>
      </c>
      <c r="H874" s="53">
        <v>1.0</v>
      </c>
      <c r="I874" s="53">
        <v>0.32142857142857145</v>
      </c>
      <c r="J874" s="53">
        <v>10.0</v>
      </c>
      <c r="K874" s="53" t="s">
        <v>53</v>
      </c>
      <c r="L874" s="53" t="s">
        <v>53</v>
      </c>
    </row>
    <row r="875" ht="15.75" customHeight="1">
      <c r="A875" s="53" t="s">
        <v>67</v>
      </c>
      <c r="B875" s="53" t="s">
        <v>2445</v>
      </c>
      <c r="C875" s="53" t="s">
        <v>1687</v>
      </c>
      <c r="D875" s="53" t="s">
        <v>1919</v>
      </c>
      <c r="E875" s="53" t="s">
        <v>1934</v>
      </c>
      <c r="F875" s="53" t="s">
        <v>2495</v>
      </c>
      <c r="G875" s="53" t="s">
        <v>1911</v>
      </c>
      <c r="H875" s="53">
        <v>1.0</v>
      </c>
      <c r="I875" s="53">
        <v>0.7457264957264957</v>
      </c>
      <c r="J875" s="53">
        <v>7.0</v>
      </c>
      <c r="K875" s="53" t="s">
        <v>53</v>
      </c>
      <c r="L875" s="53" t="s">
        <v>1527</v>
      </c>
    </row>
    <row r="876" ht="15.75" customHeight="1">
      <c r="A876" s="53" t="s">
        <v>67</v>
      </c>
      <c r="B876" s="53" t="s">
        <v>2445</v>
      </c>
      <c r="C876" s="53" t="s">
        <v>1687</v>
      </c>
      <c r="D876" s="53" t="s">
        <v>1917</v>
      </c>
      <c r="E876" s="53" t="s">
        <v>1936</v>
      </c>
      <c r="F876" s="53" t="s">
        <v>2494</v>
      </c>
      <c r="G876" s="53" t="s">
        <v>1922</v>
      </c>
      <c r="H876" s="53">
        <v>1.0</v>
      </c>
      <c r="I876" s="53">
        <v>0.3353174603174603</v>
      </c>
      <c r="J876" s="53">
        <v>9.0</v>
      </c>
      <c r="K876" s="53" t="s">
        <v>53</v>
      </c>
      <c r="L876" s="53" t="s">
        <v>53</v>
      </c>
    </row>
    <row r="877" ht="15.75" customHeight="1">
      <c r="A877" s="53" t="s">
        <v>67</v>
      </c>
      <c r="B877" s="53" t="s">
        <v>2445</v>
      </c>
      <c r="C877" s="53" t="s">
        <v>1687</v>
      </c>
      <c r="D877" s="53" t="s">
        <v>1917</v>
      </c>
      <c r="E877" s="53" t="s">
        <v>1937</v>
      </c>
      <c r="F877" s="53" t="s">
        <v>2495</v>
      </c>
      <c r="G877" s="53" t="s">
        <v>1911</v>
      </c>
      <c r="H877" s="53">
        <v>1.0</v>
      </c>
      <c r="I877" s="53">
        <v>0.7494736842105263</v>
      </c>
      <c r="J877" s="53">
        <v>6.0</v>
      </c>
      <c r="K877" s="53" t="s">
        <v>53</v>
      </c>
      <c r="L877" s="53" t="s">
        <v>1527</v>
      </c>
    </row>
    <row r="878" ht="15.75" customHeight="1">
      <c r="A878" s="53" t="s">
        <v>67</v>
      </c>
      <c r="B878" s="53" t="s">
        <v>2445</v>
      </c>
      <c r="C878" s="53" t="s">
        <v>1687</v>
      </c>
      <c r="D878" s="53" t="s">
        <v>1911</v>
      </c>
      <c r="E878" s="53" t="s">
        <v>1938</v>
      </c>
      <c r="F878" s="53" t="s">
        <v>2489</v>
      </c>
      <c r="G878" s="53" t="s">
        <v>1922</v>
      </c>
      <c r="H878" s="53">
        <v>1.0</v>
      </c>
      <c r="I878" s="53">
        <v>0.7400793650793651</v>
      </c>
      <c r="J878" s="53">
        <v>2.0</v>
      </c>
      <c r="K878" s="53" t="s">
        <v>53</v>
      </c>
      <c r="L878" s="53" t="s">
        <v>1527</v>
      </c>
    </row>
    <row r="879" ht="15.75" customHeight="1">
      <c r="A879" s="53" t="s">
        <v>67</v>
      </c>
      <c r="B879" s="53" t="s">
        <v>2445</v>
      </c>
      <c r="C879" s="53" t="s">
        <v>1687</v>
      </c>
      <c r="D879" s="53" t="s">
        <v>1939</v>
      </c>
      <c r="E879" s="53" t="s">
        <v>1940</v>
      </c>
      <c r="F879" s="53" t="s">
        <v>2496</v>
      </c>
      <c r="G879" s="53" t="s">
        <v>1942</v>
      </c>
      <c r="H879" s="53">
        <v>1.0</v>
      </c>
      <c r="I879" s="53">
        <v>0.9697556254536657</v>
      </c>
      <c r="J879" s="53">
        <v>8.0</v>
      </c>
      <c r="K879" s="53" t="s">
        <v>53</v>
      </c>
      <c r="L879" s="53" t="s">
        <v>53</v>
      </c>
    </row>
    <row r="880" ht="15.75" customHeight="1">
      <c r="A880" s="53" t="s">
        <v>67</v>
      </c>
      <c r="B880" s="53" t="s">
        <v>2445</v>
      </c>
      <c r="C880" s="53" t="s">
        <v>1687</v>
      </c>
      <c r="D880" s="53" t="s">
        <v>69</v>
      </c>
      <c r="E880" s="53" t="s">
        <v>1943</v>
      </c>
      <c r="F880" s="53" t="s">
        <v>73</v>
      </c>
      <c r="G880" s="53" t="s">
        <v>114</v>
      </c>
      <c r="H880" s="53">
        <v>1.0</v>
      </c>
      <c r="I880" s="53">
        <v>0.06542056074766354</v>
      </c>
      <c r="J880" s="53">
        <v>0.0</v>
      </c>
      <c r="K880" s="53" t="s">
        <v>53</v>
      </c>
      <c r="L880" s="53" t="s">
        <v>53</v>
      </c>
    </row>
    <row r="881" ht="15.75" customHeight="1">
      <c r="A881" s="53" t="s">
        <v>67</v>
      </c>
      <c r="B881" s="53" t="s">
        <v>2445</v>
      </c>
      <c r="C881" s="53" t="s">
        <v>1687</v>
      </c>
      <c r="D881" s="53" t="s">
        <v>1942</v>
      </c>
      <c r="E881" s="53" t="s">
        <v>1944</v>
      </c>
      <c r="F881" s="53" t="s">
        <v>2497</v>
      </c>
      <c r="G881" s="53" t="s">
        <v>1946</v>
      </c>
      <c r="H881" s="53">
        <v>0.2</v>
      </c>
      <c r="I881" s="53">
        <v>0.09926677946982515</v>
      </c>
      <c r="J881" s="53">
        <v>0.0</v>
      </c>
      <c r="K881" s="53" t="s">
        <v>53</v>
      </c>
      <c r="L881" s="53" t="s">
        <v>2498</v>
      </c>
    </row>
    <row r="882" ht="15.75" customHeight="1">
      <c r="A882" s="53" t="s">
        <v>67</v>
      </c>
      <c r="B882" s="53" t="s">
        <v>2445</v>
      </c>
      <c r="C882" s="53" t="s">
        <v>1687</v>
      </c>
      <c r="D882" s="53" t="s">
        <v>1946</v>
      </c>
      <c r="E882" s="53" t="s">
        <v>1948</v>
      </c>
      <c r="F882" s="53" t="s">
        <v>2499</v>
      </c>
      <c r="G882" s="53" t="s">
        <v>1950</v>
      </c>
      <c r="H882" s="53">
        <v>1.0</v>
      </c>
      <c r="I882" s="53">
        <v>0.3670614777213762</v>
      </c>
      <c r="J882" s="53">
        <v>1.0</v>
      </c>
      <c r="K882" s="53" t="s">
        <v>53</v>
      </c>
      <c r="L882" s="53" t="s">
        <v>53</v>
      </c>
    </row>
    <row r="883" ht="15.75" customHeight="1">
      <c r="A883" s="53" t="s">
        <v>67</v>
      </c>
      <c r="B883" s="53" t="s">
        <v>2445</v>
      </c>
      <c r="C883" s="53" t="s">
        <v>1687</v>
      </c>
      <c r="D883" s="53" t="s">
        <v>1951</v>
      </c>
      <c r="E883" s="53" t="s">
        <v>1952</v>
      </c>
      <c r="F883" s="53" t="s">
        <v>2500</v>
      </c>
      <c r="G883" s="53" t="s">
        <v>1950</v>
      </c>
      <c r="H883" s="53">
        <v>0.3333333333333333</v>
      </c>
      <c r="I883" s="53">
        <v>0.06792058516196448</v>
      </c>
      <c r="J883" s="53">
        <v>0.0</v>
      </c>
      <c r="K883" s="53" t="s">
        <v>53</v>
      </c>
      <c r="L883" s="53" t="s">
        <v>2501</v>
      </c>
    </row>
    <row r="884" ht="15.75" customHeight="1">
      <c r="A884" s="53" t="s">
        <v>186</v>
      </c>
      <c r="B884" s="53" t="s">
        <v>2445</v>
      </c>
      <c r="C884" s="53" t="s">
        <v>1687</v>
      </c>
      <c r="D884" s="53" t="s">
        <v>189</v>
      </c>
      <c r="E884" s="53" t="s">
        <v>2282</v>
      </c>
      <c r="F884" s="53" t="s">
        <v>193</v>
      </c>
      <c r="G884" s="53" t="s">
        <v>727</v>
      </c>
      <c r="H884" s="53">
        <v>1.0</v>
      </c>
      <c r="I884" s="53">
        <v>0.045454545454545456</v>
      </c>
      <c r="J884" s="53">
        <v>0.0</v>
      </c>
      <c r="K884" s="53" t="s">
        <v>53</v>
      </c>
      <c r="L884" s="53" t="s">
        <v>53</v>
      </c>
    </row>
    <row r="885" ht="15.75" customHeight="1">
      <c r="A885" s="53" t="s">
        <v>186</v>
      </c>
      <c r="B885" s="53" t="s">
        <v>2445</v>
      </c>
      <c r="C885" s="53" t="s">
        <v>1687</v>
      </c>
      <c r="D885" s="53" t="s">
        <v>189</v>
      </c>
      <c r="E885" s="53" t="s">
        <v>191</v>
      </c>
      <c r="F885" s="53" t="s">
        <v>193</v>
      </c>
      <c r="G885" s="53" t="s">
        <v>195</v>
      </c>
      <c r="H885" s="53">
        <v>1.0</v>
      </c>
      <c r="I885" s="53">
        <v>0.1568627450980392</v>
      </c>
      <c r="J885" s="53">
        <v>1.0</v>
      </c>
      <c r="K885" s="53" t="s">
        <v>53</v>
      </c>
      <c r="L885" s="53" t="s">
        <v>53</v>
      </c>
    </row>
    <row r="886" ht="15.75" customHeight="1">
      <c r="A886" s="53" t="s">
        <v>186</v>
      </c>
      <c r="B886" s="53" t="s">
        <v>2445</v>
      </c>
      <c r="C886" s="53" t="s">
        <v>1687</v>
      </c>
      <c r="D886" s="53" t="s">
        <v>727</v>
      </c>
      <c r="E886" s="53" t="s">
        <v>2283</v>
      </c>
      <c r="F886" s="53" t="s">
        <v>193</v>
      </c>
      <c r="G886" s="53" t="s">
        <v>195</v>
      </c>
      <c r="H886" s="53">
        <v>1.0</v>
      </c>
      <c r="I886" s="53">
        <v>0.1568627450980392</v>
      </c>
      <c r="J886" s="53">
        <v>0.0</v>
      </c>
      <c r="K886" s="53" t="s">
        <v>53</v>
      </c>
      <c r="L886" s="53" t="s">
        <v>53</v>
      </c>
    </row>
    <row r="887" ht="15.75" customHeight="1">
      <c r="A887" s="53" t="s">
        <v>186</v>
      </c>
      <c r="B887" s="53" t="s">
        <v>2445</v>
      </c>
      <c r="C887" s="53" t="s">
        <v>1687</v>
      </c>
      <c r="D887" s="53" t="s">
        <v>2284</v>
      </c>
      <c r="E887" s="53" t="s">
        <v>2285</v>
      </c>
      <c r="F887" s="53" t="s">
        <v>145</v>
      </c>
      <c r="G887" s="53" t="s">
        <v>2286</v>
      </c>
      <c r="H887" s="53">
        <v>1.0</v>
      </c>
      <c r="I887" s="53">
        <v>0.03875968992248062</v>
      </c>
      <c r="J887" s="53">
        <v>0.0</v>
      </c>
      <c r="K887" s="53" t="s">
        <v>53</v>
      </c>
      <c r="L887" s="53" t="s">
        <v>53</v>
      </c>
    </row>
    <row r="888" ht="15.75" customHeight="1">
      <c r="A888" s="53" t="s">
        <v>186</v>
      </c>
      <c r="B888" s="53" t="s">
        <v>2445</v>
      </c>
      <c r="C888" s="53" t="s">
        <v>1687</v>
      </c>
      <c r="D888" s="53" t="s">
        <v>2284</v>
      </c>
      <c r="E888" s="53" t="s">
        <v>2287</v>
      </c>
      <c r="F888" s="53" t="s">
        <v>145</v>
      </c>
      <c r="G888" s="53" t="s">
        <v>1626</v>
      </c>
      <c r="H888" s="53">
        <v>1.0</v>
      </c>
      <c r="I888" s="53">
        <v>0.748062015503876</v>
      </c>
      <c r="J888" s="53">
        <v>1.0</v>
      </c>
      <c r="K888" s="53" t="s">
        <v>53</v>
      </c>
      <c r="L888" s="53" t="s">
        <v>53</v>
      </c>
    </row>
    <row r="889" ht="15.75" customHeight="1">
      <c r="A889" s="53" t="s">
        <v>186</v>
      </c>
      <c r="B889" s="53" t="s">
        <v>2445</v>
      </c>
      <c r="C889" s="53" t="s">
        <v>1687</v>
      </c>
      <c r="D889" s="53" t="s">
        <v>2286</v>
      </c>
      <c r="E889" s="53" t="s">
        <v>2288</v>
      </c>
      <c r="F889" s="53" t="s">
        <v>145</v>
      </c>
      <c r="G889" s="53" t="s">
        <v>1626</v>
      </c>
      <c r="H889" s="53">
        <v>1.0</v>
      </c>
      <c r="I889" s="53">
        <v>0.7385229540918163</v>
      </c>
      <c r="J889" s="53">
        <v>0.0</v>
      </c>
      <c r="K889" s="53" t="s">
        <v>53</v>
      </c>
      <c r="L889" s="53" t="s">
        <v>53</v>
      </c>
    </row>
    <row r="890" ht="15.75" customHeight="1">
      <c r="A890" s="53" t="s">
        <v>186</v>
      </c>
      <c r="B890" s="53" t="s">
        <v>2445</v>
      </c>
      <c r="C890" s="53" t="s">
        <v>1687</v>
      </c>
      <c r="D890" s="53" t="s">
        <v>737</v>
      </c>
      <c r="E890" s="53" t="s">
        <v>2289</v>
      </c>
      <c r="F890" s="53" t="s">
        <v>741</v>
      </c>
      <c r="G890" s="53" t="s">
        <v>1632</v>
      </c>
      <c r="H890" s="53">
        <v>1.0</v>
      </c>
      <c r="I890" s="53">
        <v>0.049079754601226995</v>
      </c>
      <c r="J890" s="53">
        <v>0.0</v>
      </c>
      <c r="K890" s="53" t="s">
        <v>53</v>
      </c>
      <c r="L890" s="53" t="s">
        <v>53</v>
      </c>
    </row>
    <row r="891" ht="15.75" customHeight="1">
      <c r="A891" s="53" t="s">
        <v>1210</v>
      </c>
      <c r="B891" s="53" t="s">
        <v>2445</v>
      </c>
      <c r="C891" s="53" t="s">
        <v>1687</v>
      </c>
      <c r="D891" s="53" t="s">
        <v>1213</v>
      </c>
      <c r="E891" s="53" t="s">
        <v>2255</v>
      </c>
      <c r="F891" s="53" t="s">
        <v>1215</v>
      </c>
      <c r="G891" s="53" t="s">
        <v>1216</v>
      </c>
      <c r="H891" s="53">
        <v>1.0</v>
      </c>
      <c r="I891" s="53">
        <v>0.30597014925373134</v>
      </c>
      <c r="J891" s="53">
        <v>1.0</v>
      </c>
      <c r="K891" s="53" t="s">
        <v>53</v>
      </c>
      <c r="L891" s="53" t="s">
        <v>53</v>
      </c>
    </row>
    <row r="892" ht="15.75" customHeight="1">
      <c r="A892" s="53" t="s">
        <v>1378</v>
      </c>
      <c r="B892" s="53" t="s">
        <v>2445</v>
      </c>
      <c r="C892" s="53" t="s">
        <v>1687</v>
      </c>
      <c r="D892" s="53" t="s">
        <v>1345</v>
      </c>
      <c r="E892" s="53" t="s">
        <v>2258</v>
      </c>
      <c r="F892" s="53" t="s">
        <v>73</v>
      </c>
      <c r="G892" s="53" t="s">
        <v>1347</v>
      </c>
      <c r="H892" s="53">
        <v>1.0</v>
      </c>
      <c r="I892" s="53">
        <v>0.18181818181818182</v>
      </c>
      <c r="J892" s="53">
        <v>4.0</v>
      </c>
      <c r="K892" s="53" t="s">
        <v>53</v>
      </c>
      <c r="L892" s="53" t="s">
        <v>53</v>
      </c>
    </row>
    <row r="893" ht="15.75" customHeight="1">
      <c r="A893" s="53" t="s">
        <v>1378</v>
      </c>
      <c r="B893" s="53" t="s">
        <v>2445</v>
      </c>
      <c r="C893" s="53" t="s">
        <v>1687</v>
      </c>
      <c r="D893" s="53" t="s">
        <v>1345</v>
      </c>
      <c r="E893" s="53" t="s">
        <v>2259</v>
      </c>
      <c r="F893" s="53" t="s">
        <v>73</v>
      </c>
      <c r="G893" s="53" t="s">
        <v>1349</v>
      </c>
      <c r="H893" s="53">
        <v>1.0</v>
      </c>
      <c r="I893" s="53">
        <v>0.18181818181818182</v>
      </c>
      <c r="J893" s="53">
        <v>0.0</v>
      </c>
      <c r="K893" s="53" t="s">
        <v>53</v>
      </c>
      <c r="L893" s="53" t="s">
        <v>53</v>
      </c>
    </row>
    <row r="894" ht="15.75" customHeight="1">
      <c r="A894" s="53" t="s">
        <v>1378</v>
      </c>
      <c r="B894" s="53" t="s">
        <v>2445</v>
      </c>
      <c r="C894" s="53" t="s">
        <v>1687</v>
      </c>
      <c r="D894" s="53" t="s">
        <v>1345</v>
      </c>
      <c r="E894" s="53" t="s">
        <v>2260</v>
      </c>
      <c r="F894" s="53" t="s">
        <v>73</v>
      </c>
      <c r="G894" s="53" t="s">
        <v>1351</v>
      </c>
      <c r="H894" s="53">
        <v>1.0</v>
      </c>
      <c r="I894" s="53">
        <v>0.20454545454545456</v>
      </c>
      <c r="J894" s="53">
        <v>1.0</v>
      </c>
      <c r="K894" s="53" t="s">
        <v>53</v>
      </c>
      <c r="L894" s="53" t="s">
        <v>53</v>
      </c>
    </row>
    <row r="895" ht="15.75" customHeight="1">
      <c r="A895" s="53" t="s">
        <v>1378</v>
      </c>
      <c r="B895" s="53" t="s">
        <v>2445</v>
      </c>
      <c r="C895" s="53" t="s">
        <v>1687</v>
      </c>
      <c r="D895" s="53" t="s">
        <v>1345</v>
      </c>
      <c r="E895" s="53" t="s">
        <v>2261</v>
      </c>
      <c r="F895" s="53" t="s">
        <v>73</v>
      </c>
      <c r="G895" s="53" t="s">
        <v>1353</v>
      </c>
      <c r="H895" s="53">
        <v>1.0</v>
      </c>
      <c r="I895" s="53">
        <v>0.20454545454545456</v>
      </c>
      <c r="J895" s="53">
        <v>2.0</v>
      </c>
      <c r="K895" s="53" t="s">
        <v>53</v>
      </c>
      <c r="L895" s="53" t="s">
        <v>53</v>
      </c>
    </row>
    <row r="896" ht="15.75" customHeight="1">
      <c r="A896" s="53" t="s">
        <v>1378</v>
      </c>
      <c r="B896" s="53" t="s">
        <v>2445</v>
      </c>
      <c r="C896" s="53" t="s">
        <v>1687</v>
      </c>
      <c r="D896" s="53" t="s">
        <v>1345</v>
      </c>
      <c r="E896" s="53" t="s">
        <v>2262</v>
      </c>
      <c r="F896" s="53" t="s">
        <v>73</v>
      </c>
      <c r="G896" s="53" t="s">
        <v>1355</v>
      </c>
      <c r="H896" s="53">
        <v>1.0</v>
      </c>
      <c r="I896" s="53">
        <v>0.20454545454545456</v>
      </c>
      <c r="J896" s="53">
        <v>3.0</v>
      </c>
      <c r="K896" s="53" t="s">
        <v>53</v>
      </c>
      <c r="L896" s="53" t="s">
        <v>53</v>
      </c>
    </row>
    <row r="897" ht="15.75" customHeight="1">
      <c r="A897" s="53" t="s">
        <v>1378</v>
      </c>
      <c r="B897" s="53" t="s">
        <v>2445</v>
      </c>
      <c r="C897" s="53" t="s">
        <v>1687</v>
      </c>
      <c r="D897" s="53" t="s">
        <v>1349</v>
      </c>
      <c r="E897" s="53" t="s">
        <v>2263</v>
      </c>
      <c r="F897" s="53" t="s">
        <v>73</v>
      </c>
      <c r="G897" s="53" t="s">
        <v>1351</v>
      </c>
      <c r="H897" s="53">
        <v>1.0</v>
      </c>
      <c r="I897" s="53">
        <v>0.15476190476190477</v>
      </c>
      <c r="J897" s="53">
        <v>0.0</v>
      </c>
      <c r="K897" s="53" t="s">
        <v>53</v>
      </c>
      <c r="L897" s="53" t="s">
        <v>53</v>
      </c>
    </row>
    <row r="898" ht="15.75" customHeight="1">
      <c r="A898" s="53" t="s">
        <v>1378</v>
      </c>
      <c r="B898" s="53" t="s">
        <v>2445</v>
      </c>
      <c r="C898" s="53" t="s">
        <v>1687</v>
      </c>
      <c r="D898" s="53" t="s">
        <v>1349</v>
      </c>
      <c r="E898" s="53" t="s">
        <v>2264</v>
      </c>
      <c r="F898" s="53" t="s">
        <v>73</v>
      </c>
      <c r="G898" s="53" t="s">
        <v>1353</v>
      </c>
      <c r="H898" s="53">
        <v>1.0</v>
      </c>
      <c r="I898" s="53">
        <v>0.15476190476190477</v>
      </c>
      <c r="J898" s="53">
        <v>1.0</v>
      </c>
      <c r="K898" s="53" t="s">
        <v>53</v>
      </c>
      <c r="L898" s="53" t="s">
        <v>53</v>
      </c>
    </row>
    <row r="899" ht="15.75" customHeight="1">
      <c r="A899" s="53" t="s">
        <v>1378</v>
      </c>
      <c r="B899" s="53" t="s">
        <v>2445</v>
      </c>
      <c r="C899" s="53" t="s">
        <v>1687</v>
      </c>
      <c r="D899" s="53" t="s">
        <v>1349</v>
      </c>
      <c r="E899" s="53" t="s">
        <v>2265</v>
      </c>
      <c r="F899" s="53" t="s">
        <v>73</v>
      </c>
      <c r="G899" s="53" t="s">
        <v>1347</v>
      </c>
      <c r="H899" s="53">
        <v>1.0</v>
      </c>
      <c r="I899" s="53">
        <v>0.15476190476190477</v>
      </c>
      <c r="J899" s="53">
        <v>3.0</v>
      </c>
      <c r="K899" s="53" t="s">
        <v>53</v>
      </c>
      <c r="L899" s="53" t="s">
        <v>53</v>
      </c>
    </row>
    <row r="900" ht="15.75" customHeight="1">
      <c r="A900" s="53" t="s">
        <v>1378</v>
      </c>
      <c r="B900" s="53" t="s">
        <v>2445</v>
      </c>
      <c r="C900" s="53" t="s">
        <v>1687</v>
      </c>
      <c r="D900" s="53" t="s">
        <v>1349</v>
      </c>
      <c r="E900" s="53" t="s">
        <v>2266</v>
      </c>
      <c r="F900" s="53" t="s">
        <v>73</v>
      </c>
      <c r="G900" s="53" t="s">
        <v>1355</v>
      </c>
      <c r="H900" s="53">
        <v>1.0</v>
      </c>
      <c r="I900" s="53">
        <v>0.15476190476190477</v>
      </c>
      <c r="J900" s="53">
        <v>2.0</v>
      </c>
      <c r="K900" s="53" t="s">
        <v>53</v>
      </c>
      <c r="L900" s="53" t="s">
        <v>53</v>
      </c>
    </row>
    <row r="901" ht="15.75" customHeight="1">
      <c r="A901" s="53" t="s">
        <v>1378</v>
      </c>
      <c r="B901" s="53" t="s">
        <v>2445</v>
      </c>
      <c r="C901" s="53" t="s">
        <v>1687</v>
      </c>
      <c r="D901" s="53" t="s">
        <v>1351</v>
      </c>
      <c r="E901" s="53" t="s">
        <v>2267</v>
      </c>
      <c r="F901" s="53" t="s">
        <v>73</v>
      </c>
      <c r="G901" s="53" t="s">
        <v>1353</v>
      </c>
      <c r="H901" s="53">
        <v>1.0</v>
      </c>
      <c r="I901" s="53">
        <v>0.047619047619047616</v>
      </c>
      <c r="J901" s="53">
        <v>0.0</v>
      </c>
      <c r="K901" s="53" t="s">
        <v>53</v>
      </c>
      <c r="L901" s="53" t="s">
        <v>53</v>
      </c>
    </row>
    <row r="902" ht="15.75" customHeight="1">
      <c r="A902" s="53" t="s">
        <v>1378</v>
      </c>
      <c r="B902" s="53" t="s">
        <v>2445</v>
      </c>
      <c r="C902" s="53" t="s">
        <v>1687</v>
      </c>
      <c r="D902" s="53" t="s">
        <v>1351</v>
      </c>
      <c r="E902" s="53" t="s">
        <v>2268</v>
      </c>
      <c r="F902" s="53" t="s">
        <v>73</v>
      </c>
      <c r="G902" s="53" t="s">
        <v>1355</v>
      </c>
      <c r="H902" s="53">
        <v>1.0</v>
      </c>
      <c r="I902" s="53">
        <v>0.047619047619047616</v>
      </c>
      <c r="J902" s="53">
        <v>1.0</v>
      </c>
      <c r="K902" s="53" t="s">
        <v>53</v>
      </c>
      <c r="L902" s="53" t="s">
        <v>53</v>
      </c>
    </row>
    <row r="903" ht="15.75" customHeight="1">
      <c r="A903" s="53" t="s">
        <v>1378</v>
      </c>
      <c r="B903" s="53" t="s">
        <v>2445</v>
      </c>
      <c r="C903" s="53" t="s">
        <v>1687</v>
      </c>
      <c r="D903" s="53" t="s">
        <v>1351</v>
      </c>
      <c r="E903" s="53" t="s">
        <v>2269</v>
      </c>
      <c r="F903" s="53" t="s">
        <v>73</v>
      </c>
      <c r="G903" s="53" t="s">
        <v>1347</v>
      </c>
      <c r="H903" s="53">
        <v>1.0</v>
      </c>
      <c r="I903" s="53">
        <v>0.05</v>
      </c>
      <c r="J903" s="53">
        <v>2.0</v>
      </c>
      <c r="K903" s="53" t="s">
        <v>53</v>
      </c>
      <c r="L903" s="53" t="s">
        <v>53</v>
      </c>
    </row>
    <row r="904" ht="15.75" customHeight="1">
      <c r="A904" s="53" t="s">
        <v>1378</v>
      </c>
      <c r="B904" s="53" t="s">
        <v>2445</v>
      </c>
      <c r="C904" s="53" t="s">
        <v>1687</v>
      </c>
      <c r="D904" s="53" t="s">
        <v>1353</v>
      </c>
      <c r="E904" s="53" t="s">
        <v>2270</v>
      </c>
      <c r="F904" s="53" t="s">
        <v>73</v>
      </c>
      <c r="G904" s="53" t="s">
        <v>1355</v>
      </c>
      <c r="H904" s="53">
        <v>1.0</v>
      </c>
      <c r="I904" s="53">
        <v>0.023809523809523808</v>
      </c>
      <c r="J904" s="53">
        <v>0.0</v>
      </c>
      <c r="K904" s="53" t="s">
        <v>53</v>
      </c>
      <c r="L904" s="53" t="s">
        <v>53</v>
      </c>
    </row>
    <row r="905" ht="15.75" customHeight="1">
      <c r="A905" s="53" t="s">
        <v>1378</v>
      </c>
      <c r="B905" s="53" t="s">
        <v>2445</v>
      </c>
      <c r="C905" s="53" t="s">
        <v>1687</v>
      </c>
      <c r="D905" s="53" t="s">
        <v>1353</v>
      </c>
      <c r="E905" s="53" t="s">
        <v>2271</v>
      </c>
      <c r="F905" s="53" t="s">
        <v>73</v>
      </c>
      <c r="G905" s="53" t="s">
        <v>1347</v>
      </c>
      <c r="H905" s="53">
        <v>1.0</v>
      </c>
      <c r="I905" s="53">
        <v>0.09523809523809523</v>
      </c>
      <c r="J905" s="53">
        <v>1.0</v>
      </c>
      <c r="K905" s="53" t="s">
        <v>53</v>
      </c>
      <c r="L905" s="53" t="s">
        <v>53</v>
      </c>
    </row>
    <row r="906" ht="15.75" customHeight="1">
      <c r="A906" s="53" t="s">
        <v>1378</v>
      </c>
      <c r="B906" s="53" t="s">
        <v>2445</v>
      </c>
      <c r="C906" s="53" t="s">
        <v>1687</v>
      </c>
      <c r="D906" s="53" t="s">
        <v>1355</v>
      </c>
      <c r="E906" s="53" t="s">
        <v>2272</v>
      </c>
      <c r="F906" s="53" t="s">
        <v>73</v>
      </c>
      <c r="G906" s="53" t="s">
        <v>1347</v>
      </c>
      <c r="H906" s="53">
        <v>1.0</v>
      </c>
      <c r="I906" s="53">
        <v>0.09523809523809523</v>
      </c>
      <c r="J906" s="53">
        <v>0.0</v>
      </c>
      <c r="K906" s="53" t="s">
        <v>53</v>
      </c>
      <c r="L906" s="53" t="s">
        <v>53</v>
      </c>
    </row>
    <row r="907" ht="15.75" customHeight="1">
      <c r="A907" s="53" t="s">
        <v>1366</v>
      </c>
      <c r="B907" s="53" t="s">
        <v>2445</v>
      </c>
      <c r="C907" s="53" t="s">
        <v>1687</v>
      </c>
      <c r="D907" s="53" t="s">
        <v>1368</v>
      </c>
      <c r="E907" s="53" t="s">
        <v>1892</v>
      </c>
      <c r="F907" s="53" t="s">
        <v>1134</v>
      </c>
      <c r="G907" s="53" t="s">
        <v>1130</v>
      </c>
      <c r="H907" s="53">
        <v>1.0</v>
      </c>
      <c r="I907" s="53">
        <v>0.11688311688311688</v>
      </c>
      <c r="J907" s="53">
        <v>0.0</v>
      </c>
      <c r="K907" s="53" t="s">
        <v>53</v>
      </c>
      <c r="L907" s="53" t="s">
        <v>53</v>
      </c>
    </row>
    <row r="908" ht="15.75" customHeight="1">
      <c r="A908" s="53" t="s">
        <v>1366</v>
      </c>
      <c r="B908" s="53" t="s">
        <v>2445</v>
      </c>
      <c r="C908" s="53" t="s">
        <v>1687</v>
      </c>
      <c r="D908" s="53" t="s">
        <v>1368</v>
      </c>
      <c r="E908" s="53" t="s">
        <v>1894</v>
      </c>
      <c r="F908" s="53" t="s">
        <v>1134</v>
      </c>
      <c r="G908" s="53" t="s">
        <v>1371</v>
      </c>
      <c r="H908" s="53">
        <v>1.0</v>
      </c>
      <c r="I908" s="53">
        <v>0.21637426900584794</v>
      </c>
      <c r="J908" s="53">
        <v>1.0</v>
      </c>
      <c r="K908" s="53" t="s">
        <v>53</v>
      </c>
      <c r="L908" s="53" t="s">
        <v>53</v>
      </c>
    </row>
    <row r="909" ht="15.75" customHeight="1">
      <c r="A909" s="53" t="s">
        <v>1366</v>
      </c>
      <c r="B909" s="53" t="s">
        <v>2445</v>
      </c>
      <c r="C909" s="53" t="s">
        <v>1687</v>
      </c>
      <c r="D909" s="53" t="s">
        <v>1130</v>
      </c>
      <c r="E909" s="53" t="s">
        <v>1895</v>
      </c>
      <c r="F909" s="53" t="s">
        <v>1134</v>
      </c>
      <c r="G909" s="53" t="s">
        <v>1371</v>
      </c>
      <c r="H909" s="53">
        <v>1.0</v>
      </c>
      <c r="I909" s="53">
        <v>0.1111111111111111</v>
      </c>
      <c r="J909" s="53">
        <v>0.0</v>
      </c>
      <c r="K909" s="53" t="s">
        <v>53</v>
      </c>
      <c r="L909" s="53" t="s">
        <v>53</v>
      </c>
    </row>
    <row r="910" ht="15.75" customHeight="1">
      <c r="A910" s="53" t="s">
        <v>95</v>
      </c>
      <c r="B910" s="53" t="s">
        <v>2445</v>
      </c>
      <c r="C910" s="53" t="s">
        <v>1687</v>
      </c>
      <c r="D910" s="53" t="s">
        <v>1238</v>
      </c>
      <c r="E910" s="53" t="s">
        <v>1801</v>
      </c>
      <c r="F910" s="53" t="s">
        <v>2502</v>
      </c>
      <c r="G910" s="53" t="s">
        <v>1241</v>
      </c>
      <c r="H910" s="53">
        <v>0.6</v>
      </c>
      <c r="I910" s="53">
        <v>0.050955414012738856</v>
      </c>
      <c r="J910" s="53">
        <v>0.0</v>
      </c>
      <c r="K910" s="53" t="s">
        <v>53</v>
      </c>
      <c r="L910" s="53" t="s">
        <v>1405</v>
      </c>
    </row>
    <row r="911" ht="15.75" customHeight="1">
      <c r="A911" s="53" t="s">
        <v>95</v>
      </c>
      <c r="B911" s="53" t="s">
        <v>2445</v>
      </c>
      <c r="C911" s="53" t="s">
        <v>1687</v>
      </c>
      <c r="D911" s="53" t="s">
        <v>1238</v>
      </c>
      <c r="E911" s="53" t="s">
        <v>1804</v>
      </c>
      <c r="F911" s="53" t="s">
        <v>2503</v>
      </c>
      <c r="G911" s="53" t="s">
        <v>1245</v>
      </c>
      <c r="H911" s="53">
        <v>0.6</v>
      </c>
      <c r="I911" s="53">
        <v>0.050955414012738856</v>
      </c>
      <c r="J911" s="53">
        <v>4.0</v>
      </c>
      <c r="K911" s="53" t="s">
        <v>53</v>
      </c>
      <c r="L911" s="53" t="s">
        <v>1408</v>
      </c>
    </row>
    <row r="912" ht="15.75" customHeight="1">
      <c r="A912" s="53" t="s">
        <v>95</v>
      </c>
      <c r="B912" s="53" t="s">
        <v>2445</v>
      </c>
      <c r="C912" s="53" t="s">
        <v>1687</v>
      </c>
      <c r="D912" s="53" t="s">
        <v>1238</v>
      </c>
      <c r="E912" s="53" t="s">
        <v>1807</v>
      </c>
      <c r="F912" s="53" t="s">
        <v>2504</v>
      </c>
      <c r="G912" s="53" t="s">
        <v>1249</v>
      </c>
      <c r="H912" s="53">
        <v>0.6</v>
      </c>
      <c r="I912" s="53">
        <v>0.05732484076433121</v>
      </c>
      <c r="J912" s="53">
        <v>2.0</v>
      </c>
      <c r="K912" s="53" t="s">
        <v>53</v>
      </c>
      <c r="L912" s="53" t="s">
        <v>1411</v>
      </c>
    </row>
    <row r="913" ht="15.75" customHeight="1">
      <c r="A913" s="53" t="s">
        <v>95</v>
      </c>
      <c r="B913" s="53" t="s">
        <v>2445</v>
      </c>
      <c r="C913" s="53" t="s">
        <v>1687</v>
      </c>
      <c r="D913" s="53" t="s">
        <v>1238</v>
      </c>
      <c r="E913" s="53" t="s">
        <v>1810</v>
      </c>
      <c r="F913" s="53" t="s">
        <v>2505</v>
      </c>
      <c r="G913" s="53" t="s">
        <v>1253</v>
      </c>
      <c r="H913" s="53">
        <v>0.6</v>
      </c>
      <c r="I913" s="53">
        <v>0.05732484076433121</v>
      </c>
      <c r="J913" s="53">
        <v>1.0</v>
      </c>
      <c r="K913" s="53" t="s">
        <v>53</v>
      </c>
      <c r="L913" s="53" t="s">
        <v>1414</v>
      </c>
    </row>
    <row r="914" ht="15.75" customHeight="1">
      <c r="A914" s="53" t="s">
        <v>95</v>
      </c>
      <c r="B914" s="53" t="s">
        <v>2445</v>
      </c>
      <c r="C914" s="53" t="s">
        <v>1687</v>
      </c>
      <c r="D914" s="53" t="s">
        <v>1238</v>
      </c>
      <c r="E914" s="53" t="s">
        <v>1813</v>
      </c>
      <c r="F914" s="53" t="s">
        <v>2506</v>
      </c>
      <c r="G914" s="53" t="s">
        <v>1257</v>
      </c>
      <c r="H914" s="53">
        <v>0.6</v>
      </c>
      <c r="I914" s="53">
        <v>0.05732484076433121</v>
      </c>
      <c r="J914" s="53">
        <v>3.0</v>
      </c>
      <c r="K914" s="53" t="s">
        <v>53</v>
      </c>
      <c r="L914" s="53" t="s">
        <v>1417</v>
      </c>
    </row>
    <row r="915" ht="15.75" customHeight="1">
      <c r="A915" s="53" t="s">
        <v>95</v>
      </c>
      <c r="B915" s="53" t="s">
        <v>2445</v>
      </c>
      <c r="C915" s="53" t="s">
        <v>1687</v>
      </c>
      <c r="D915" s="53" t="s">
        <v>1241</v>
      </c>
      <c r="E915" s="53" t="s">
        <v>1816</v>
      </c>
      <c r="F915" s="53" t="s">
        <v>2507</v>
      </c>
      <c r="G915" s="53" t="s">
        <v>1249</v>
      </c>
      <c r="H915" s="53">
        <v>0.6</v>
      </c>
      <c r="I915" s="53">
        <v>0.03870967741935484</v>
      </c>
      <c r="J915" s="53">
        <v>1.0</v>
      </c>
      <c r="K915" s="53" t="s">
        <v>53</v>
      </c>
      <c r="L915" s="53" t="s">
        <v>1420</v>
      </c>
    </row>
    <row r="916" ht="15.75" customHeight="1">
      <c r="A916" s="53" t="s">
        <v>95</v>
      </c>
      <c r="B916" s="53" t="s">
        <v>2445</v>
      </c>
      <c r="C916" s="53" t="s">
        <v>1687</v>
      </c>
      <c r="D916" s="53" t="s">
        <v>1241</v>
      </c>
      <c r="E916" s="53" t="s">
        <v>1819</v>
      </c>
      <c r="F916" s="53" t="s">
        <v>2508</v>
      </c>
      <c r="G916" s="53" t="s">
        <v>1253</v>
      </c>
      <c r="H916" s="53">
        <v>0.6</v>
      </c>
      <c r="I916" s="53">
        <v>0.03870967741935484</v>
      </c>
      <c r="J916" s="53">
        <v>0.0</v>
      </c>
      <c r="K916" s="53" t="s">
        <v>53</v>
      </c>
      <c r="L916" s="53" t="s">
        <v>1423</v>
      </c>
    </row>
    <row r="917" ht="15.75" customHeight="1">
      <c r="A917" s="53" t="s">
        <v>95</v>
      </c>
      <c r="B917" s="53" t="s">
        <v>2445</v>
      </c>
      <c r="C917" s="53" t="s">
        <v>1687</v>
      </c>
      <c r="D917" s="53" t="s">
        <v>1241</v>
      </c>
      <c r="E917" s="53" t="s">
        <v>1822</v>
      </c>
      <c r="F917" s="53" t="s">
        <v>2509</v>
      </c>
      <c r="G917" s="53" t="s">
        <v>1257</v>
      </c>
      <c r="H917" s="53">
        <v>0.6</v>
      </c>
      <c r="I917" s="53">
        <v>0.03870967741935484</v>
      </c>
      <c r="J917" s="53">
        <v>2.0</v>
      </c>
      <c r="K917" s="53" t="s">
        <v>53</v>
      </c>
      <c r="L917" s="53" t="s">
        <v>1426</v>
      </c>
    </row>
    <row r="918" ht="15.75" customHeight="1">
      <c r="A918" s="53" t="s">
        <v>95</v>
      </c>
      <c r="B918" s="53" t="s">
        <v>2445</v>
      </c>
      <c r="C918" s="53" t="s">
        <v>1687</v>
      </c>
      <c r="D918" s="53" t="s">
        <v>1241</v>
      </c>
      <c r="E918" s="53" t="s">
        <v>1825</v>
      </c>
      <c r="F918" s="53" t="s">
        <v>2510</v>
      </c>
      <c r="G918" s="53" t="s">
        <v>1245</v>
      </c>
      <c r="H918" s="53">
        <v>0.6</v>
      </c>
      <c r="I918" s="53">
        <v>0.03870967741935484</v>
      </c>
      <c r="J918" s="53">
        <v>3.0</v>
      </c>
      <c r="K918" s="53" t="s">
        <v>53</v>
      </c>
      <c r="L918" s="53" t="s">
        <v>1429</v>
      </c>
    </row>
    <row r="919" ht="15.75" customHeight="1">
      <c r="A919" s="53" t="s">
        <v>95</v>
      </c>
      <c r="B919" s="53" t="s">
        <v>2445</v>
      </c>
      <c r="C919" s="53" t="s">
        <v>1687</v>
      </c>
      <c r="D919" s="53" t="s">
        <v>1253</v>
      </c>
      <c r="E919" s="53" t="s">
        <v>1828</v>
      </c>
      <c r="F919" s="53" t="s">
        <v>2511</v>
      </c>
      <c r="G919" s="53" t="s">
        <v>1249</v>
      </c>
      <c r="H919" s="53">
        <v>0.6</v>
      </c>
      <c r="I919" s="53">
        <v>0.012903225806451613</v>
      </c>
      <c r="J919" s="53">
        <v>0.0</v>
      </c>
      <c r="K919" s="53" t="s">
        <v>53</v>
      </c>
      <c r="L919" s="53" t="s">
        <v>1432</v>
      </c>
    </row>
    <row r="920" ht="15.75" customHeight="1">
      <c r="A920" s="53" t="s">
        <v>95</v>
      </c>
      <c r="B920" s="53" t="s">
        <v>2445</v>
      </c>
      <c r="C920" s="53" t="s">
        <v>1687</v>
      </c>
      <c r="D920" s="53" t="s">
        <v>1253</v>
      </c>
      <c r="E920" s="53" t="s">
        <v>1831</v>
      </c>
      <c r="F920" s="53" t="s">
        <v>2512</v>
      </c>
      <c r="G920" s="53" t="s">
        <v>1257</v>
      </c>
      <c r="H920" s="53">
        <v>0.6</v>
      </c>
      <c r="I920" s="53">
        <v>0.012903225806451613</v>
      </c>
      <c r="J920" s="53">
        <v>1.0</v>
      </c>
      <c r="K920" s="53" t="s">
        <v>53</v>
      </c>
      <c r="L920" s="53" t="s">
        <v>1435</v>
      </c>
    </row>
    <row r="921" ht="15.75" customHeight="1">
      <c r="A921" s="53" t="s">
        <v>95</v>
      </c>
      <c r="B921" s="53" t="s">
        <v>2445</v>
      </c>
      <c r="C921" s="53" t="s">
        <v>1687</v>
      </c>
      <c r="D921" s="53" t="s">
        <v>1253</v>
      </c>
      <c r="E921" s="53" t="s">
        <v>1834</v>
      </c>
      <c r="F921" s="53" t="s">
        <v>2513</v>
      </c>
      <c r="G921" s="53" t="s">
        <v>1245</v>
      </c>
      <c r="H921" s="53">
        <v>0.6</v>
      </c>
      <c r="I921" s="53">
        <v>0.013071895424836602</v>
      </c>
      <c r="J921" s="53">
        <v>2.0</v>
      </c>
      <c r="K921" s="53" t="s">
        <v>53</v>
      </c>
      <c r="L921" s="53" t="s">
        <v>1438</v>
      </c>
    </row>
    <row r="922" ht="15.75" customHeight="1">
      <c r="A922" s="53" t="s">
        <v>95</v>
      </c>
      <c r="B922" s="53" t="s">
        <v>2445</v>
      </c>
      <c r="C922" s="53" t="s">
        <v>1687</v>
      </c>
      <c r="D922" s="53" t="s">
        <v>1249</v>
      </c>
      <c r="E922" s="53" t="s">
        <v>1837</v>
      </c>
      <c r="F922" s="53" t="s">
        <v>2514</v>
      </c>
      <c r="G922" s="53" t="s">
        <v>1257</v>
      </c>
      <c r="H922" s="53">
        <v>0.6</v>
      </c>
      <c r="I922" s="53">
        <v>0.0064516129032258064</v>
      </c>
      <c r="J922" s="53">
        <v>0.0</v>
      </c>
      <c r="K922" s="53" t="s">
        <v>53</v>
      </c>
      <c r="L922" s="53" t="s">
        <v>1441</v>
      </c>
    </row>
    <row r="923" ht="15.75" customHeight="1">
      <c r="A923" s="53" t="s">
        <v>95</v>
      </c>
      <c r="B923" s="53" t="s">
        <v>2445</v>
      </c>
      <c r="C923" s="53" t="s">
        <v>1687</v>
      </c>
      <c r="D923" s="53" t="s">
        <v>1249</v>
      </c>
      <c r="E923" s="53" t="s">
        <v>1840</v>
      </c>
      <c r="F923" s="53" t="s">
        <v>2515</v>
      </c>
      <c r="G923" s="53" t="s">
        <v>1245</v>
      </c>
      <c r="H923" s="53">
        <v>0.6</v>
      </c>
      <c r="I923" s="53">
        <v>0.025806451612903226</v>
      </c>
      <c r="J923" s="53">
        <v>1.0</v>
      </c>
      <c r="K923" s="53" t="s">
        <v>53</v>
      </c>
      <c r="L923" s="53" t="s">
        <v>1444</v>
      </c>
    </row>
    <row r="924" ht="15.75" customHeight="1">
      <c r="A924" s="53" t="s">
        <v>95</v>
      </c>
      <c r="B924" s="53" t="s">
        <v>2445</v>
      </c>
      <c r="C924" s="53" t="s">
        <v>1687</v>
      </c>
      <c r="D924" s="53" t="s">
        <v>1257</v>
      </c>
      <c r="E924" s="53" t="s">
        <v>1843</v>
      </c>
      <c r="F924" s="53" t="s">
        <v>2516</v>
      </c>
      <c r="G924" s="53" t="s">
        <v>1245</v>
      </c>
      <c r="H924" s="53">
        <v>0.6</v>
      </c>
      <c r="I924" s="53">
        <v>0.025806451612903226</v>
      </c>
      <c r="J924" s="53">
        <v>0.0</v>
      </c>
      <c r="K924" s="53" t="s">
        <v>53</v>
      </c>
      <c r="L924" s="53" t="s">
        <v>1447</v>
      </c>
    </row>
    <row r="925" ht="15.75" customHeight="1">
      <c r="A925" s="53" t="s">
        <v>95</v>
      </c>
      <c r="B925" s="53" t="s">
        <v>2445</v>
      </c>
      <c r="C925" s="53" t="s">
        <v>1687</v>
      </c>
      <c r="D925" s="53" t="s">
        <v>1293</v>
      </c>
      <c r="E925" s="53" t="s">
        <v>1846</v>
      </c>
      <c r="F925" s="53" t="s">
        <v>1452</v>
      </c>
      <c r="G925" s="53" t="s">
        <v>1296</v>
      </c>
      <c r="H925" s="53">
        <v>0.5</v>
      </c>
      <c r="I925" s="53">
        <v>0.05405405405405406</v>
      </c>
      <c r="J925" s="53">
        <v>0.0</v>
      </c>
      <c r="K925" s="53" t="s">
        <v>53</v>
      </c>
      <c r="L925" s="53" t="s">
        <v>1453</v>
      </c>
    </row>
    <row r="926" ht="15.75" customHeight="1">
      <c r="A926" s="53" t="s">
        <v>95</v>
      </c>
      <c r="B926" s="53" t="s">
        <v>2445</v>
      </c>
      <c r="C926" s="53" t="s">
        <v>1687</v>
      </c>
      <c r="D926" s="53" t="s">
        <v>1293</v>
      </c>
      <c r="E926" s="53" t="s">
        <v>1849</v>
      </c>
      <c r="F926" s="53" t="s">
        <v>1455</v>
      </c>
      <c r="G926" s="53" t="s">
        <v>1300</v>
      </c>
      <c r="H926" s="53">
        <v>0.5</v>
      </c>
      <c r="I926" s="53">
        <v>0.05405405405405406</v>
      </c>
      <c r="J926" s="53">
        <v>4.0</v>
      </c>
      <c r="K926" s="53" t="s">
        <v>53</v>
      </c>
      <c r="L926" s="53" t="s">
        <v>1456</v>
      </c>
    </row>
    <row r="927" ht="15.75" customHeight="1">
      <c r="A927" s="53" t="s">
        <v>95</v>
      </c>
      <c r="B927" s="53" t="s">
        <v>2445</v>
      </c>
      <c r="C927" s="53" t="s">
        <v>1687</v>
      </c>
      <c r="D927" s="53" t="s">
        <v>1293</v>
      </c>
      <c r="E927" s="53" t="s">
        <v>1852</v>
      </c>
      <c r="F927" s="53" t="s">
        <v>1458</v>
      </c>
      <c r="G927" s="53" t="s">
        <v>1304</v>
      </c>
      <c r="H927" s="53">
        <v>0.5</v>
      </c>
      <c r="I927" s="53">
        <v>0.060810810810810814</v>
      </c>
      <c r="J927" s="53">
        <v>2.0</v>
      </c>
      <c r="K927" s="53" t="s">
        <v>53</v>
      </c>
      <c r="L927" s="53" t="s">
        <v>1459</v>
      </c>
    </row>
    <row r="928" ht="15.75" customHeight="1">
      <c r="A928" s="53" t="s">
        <v>95</v>
      </c>
      <c r="B928" s="53" t="s">
        <v>2445</v>
      </c>
      <c r="C928" s="53" t="s">
        <v>1687</v>
      </c>
      <c r="D928" s="53" t="s">
        <v>1293</v>
      </c>
      <c r="E928" s="53" t="s">
        <v>1855</v>
      </c>
      <c r="F928" s="53" t="s">
        <v>1461</v>
      </c>
      <c r="G928" s="53" t="s">
        <v>1308</v>
      </c>
      <c r="H928" s="53">
        <v>0.5</v>
      </c>
      <c r="I928" s="53">
        <v>0.060810810810810814</v>
      </c>
      <c r="J928" s="53">
        <v>1.0</v>
      </c>
      <c r="K928" s="53" t="s">
        <v>53</v>
      </c>
      <c r="L928" s="53" t="s">
        <v>1462</v>
      </c>
    </row>
    <row r="929" ht="15.75" customHeight="1">
      <c r="A929" s="53" t="s">
        <v>95</v>
      </c>
      <c r="B929" s="53" t="s">
        <v>2445</v>
      </c>
      <c r="C929" s="53" t="s">
        <v>1687</v>
      </c>
      <c r="D929" s="53" t="s">
        <v>1293</v>
      </c>
      <c r="E929" s="53" t="s">
        <v>1858</v>
      </c>
      <c r="F929" s="53" t="s">
        <v>1464</v>
      </c>
      <c r="G929" s="53" t="s">
        <v>1312</v>
      </c>
      <c r="H929" s="53">
        <v>0.5</v>
      </c>
      <c r="I929" s="53">
        <v>0.060810810810810814</v>
      </c>
      <c r="J929" s="53">
        <v>3.0</v>
      </c>
      <c r="K929" s="53" t="s">
        <v>53</v>
      </c>
      <c r="L929" s="53" t="s">
        <v>1465</v>
      </c>
    </row>
    <row r="930" ht="15.75" customHeight="1">
      <c r="A930" s="53" t="s">
        <v>95</v>
      </c>
      <c r="B930" s="53" t="s">
        <v>2445</v>
      </c>
      <c r="C930" s="53" t="s">
        <v>1687</v>
      </c>
      <c r="D930" s="53" t="s">
        <v>1296</v>
      </c>
      <c r="E930" s="53" t="s">
        <v>1861</v>
      </c>
      <c r="F930" s="53" t="s">
        <v>1467</v>
      </c>
      <c r="G930" s="53" t="s">
        <v>1304</v>
      </c>
      <c r="H930" s="53">
        <v>0.5</v>
      </c>
      <c r="I930" s="53">
        <v>0.0410958904109589</v>
      </c>
      <c r="J930" s="53">
        <v>1.0</v>
      </c>
      <c r="K930" s="53" t="s">
        <v>53</v>
      </c>
      <c r="L930" s="53" t="s">
        <v>1468</v>
      </c>
    </row>
    <row r="931" ht="15.75" customHeight="1">
      <c r="A931" s="53" t="s">
        <v>95</v>
      </c>
      <c r="B931" s="53" t="s">
        <v>2445</v>
      </c>
      <c r="C931" s="53" t="s">
        <v>1687</v>
      </c>
      <c r="D931" s="53" t="s">
        <v>1296</v>
      </c>
      <c r="E931" s="53" t="s">
        <v>1864</v>
      </c>
      <c r="F931" s="53" t="s">
        <v>1470</v>
      </c>
      <c r="G931" s="53" t="s">
        <v>1300</v>
      </c>
      <c r="H931" s="53">
        <v>0.5</v>
      </c>
      <c r="I931" s="53">
        <v>0.0410958904109589</v>
      </c>
      <c r="J931" s="53">
        <v>3.0</v>
      </c>
      <c r="K931" s="53" t="s">
        <v>53</v>
      </c>
      <c r="L931" s="53" t="s">
        <v>1471</v>
      </c>
    </row>
    <row r="932" ht="15.75" customHeight="1">
      <c r="A932" s="53" t="s">
        <v>95</v>
      </c>
      <c r="B932" s="53" t="s">
        <v>2445</v>
      </c>
      <c r="C932" s="53" t="s">
        <v>1687</v>
      </c>
      <c r="D932" s="53" t="s">
        <v>1296</v>
      </c>
      <c r="E932" s="53" t="s">
        <v>1867</v>
      </c>
      <c r="F932" s="53" t="s">
        <v>1473</v>
      </c>
      <c r="G932" s="53" t="s">
        <v>1308</v>
      </c>
      <c r="H932" s="53">
        <v>0.5</v>
      </c>
      <c r="I932" s="53">
        <v>0.0410958904109589</v>
      </c>
      <c r="J932" s="53">
        <v>0.0</v>
      </c>
      <c r="K932" s="53" t="s">
        <v>53</v>
      </c>
      <c r="L932" s="53" t="s">
        <v>1474</v>
      </c>
    </row>
    <row r="933" ht="15.75" customHeight="1">
      <c r="A933" s="53" t="s">
        <v>95</v>
      </c>
      <c r="B933" s="53" t="s">
        <v>2445</v>
      </c>
      <c r="C933" s="53" t="s">
        <v>1687</v>
      </c>
      <c r="D933" s="53" t="s">
        <v>1296</v>
      </c>
      <c r="E933" s="53" t="s">
        <v>1870</v>
      </c>
      <c r="F933" s="53" t="s">
        <v>1476</v>
      </c>
      <c r="G933" s="53" t="s">
        <v>1312</v>
      </c>
      <c r="H933" s="53">
        <v>0.5</v>
      </c>
      <c r="I933" s="53">
        <v>0.0410958904109589</v>
      </c>
      <c r="J933" s="53">
        <v>2.0</v>
      </c>
      <c r="K933" s="53" t="s">
        <v>53</v>
      </c>
      <c r="L933" s="53" t="s">
        <v>1477</v>
      </c>
    </row>
    <row r="934" ht="15.75" customHeight="1">
      <c r="A934" s="53" t="s">
        <v>95</v>
      </c>
      <c r="B934" s="53" t="s">
        <v>2445</v>
      </c>
      <c r="C934" s="53" t="s">
        <v>1687</v>
      </c>
      <c r="D934" s="53" t="s">
        <v>1308</v>
      </c>
      <c r="E934" s="53" t="s">
        <v>1873</v>
      </c>
      <c r="F934" s="53" t="s">
        <v>1479</v>
      </c>
      <c r="G934" s="53" t="s">
        <v>1304</v>
      </c>
      <c r="H934" s="53">
        <v>0.5</v>
      </c>
      <c r="I934" s="53">
        <v>0.0136986301369863</v>
      </c>
      <c r="J934" s="53">
        <v>0.0</v>
      </c>
      <c r="K934" s="53" t="s">
        <v>53</v>
      </c>
      <c r="L934" s="53" t="s">
        <v>1480</v>
      </c>
    </row>
    <row r="935" ht="15.75" customHeight="1">
      <c r="A935" s="53" t="s">
        <v>95</v>
      </c>
      <c r="B935" s="53" t="s">
        <v>2445</v>
      </c>
      <c r="C935" s="53" t="s">
        <v>1687</v>
      </c>
      <c r="D935" s="53" t="s">
        <v>1308</v>
      </c>
      <c r="E935" s="53" t="s">
        <v>1876</v>
      </c>
      <c r="F935" s="53" t="s">
        <v>1482</v>
      </c>
      <c r="G935" s="53" t="s">
        <v>1312</v>
      </c>
      <c r="H935" s="53">
        <v>0.5</v>
      </c>
      <c r="I935" s="53">
        <v>0.0136986301369863</v>
      </c>
      <c r="J935" s="53">
        <v>1.0</v>
      </c>
      <c r="K935" s="53" t="s">
        <v>53</v>
      </c>
      <c r="L935" s="53" t="s">
        <v>1483</v>
      </c>
    </row>
    <row r="936" ht="15.75" customHeight="1">
      <c r="A936" s="53" t="s">
        <v>95</v>
      </c>
      <c r="B936" s="53" t="s">
        <v>2445</v>
      </c>
      <c r="C936" s="53" t="s">
        <v>1687</v>
      </c>
      <c r="D936" s="53" t="s">
        <v>1308</v>
      </c>
      <c r="E936" s="53" t="s">
        <v>1879</v>
      </c>
      <c r="F936" s="53" t="s">
        <v>1485</v>
      </c>
      <c r="G936" s="53" t="s">
        <v>1300</v>
      </c>
      <c r="H936" s="53">
        <v>0.5</v>
      </c>
      <c r="I936" s="53">
        <v>0.013888888888888888</v>
      </c>
      <c r="J936" s="53">
        <v>2.0</v>
      </c>
      <c r="K936" s="53" t="s">
        <v>53</v>
      </c>
      <c r="L936" s="53" t="s">
        <v>1486</v>
      </c>
    </row>
    <row r="937" ht="15.75" customHeight="1">
      <c r="A937" s="53" t="s">
        <v>95</v>
      </c>
      <c r="B937" s="53" t="s">
        <v>2445</v>
      </c>
      <c r="C937" s="53" t="s">
        <v>1687</v>
      </c>
      <c r="D937" s="53" t="s">
        <v>1304</v>
      </c>
      <c r="E937" s="53" t="s">
        <v>1882</v>
      </c>
      <c r="F937" s="53" t="s">
        <v>1488</v>
      </c>
      <c r="G937" s="53" t="s">
        <v>1312</v>
      </c>
      <c r="H937" s="53">
        <v>0.5</v>
      </c>
      <c r="I937" s="53">
        <v>0.00684931506849315</v>
      </c>
      <c r="J937" s="53">
        <v>0.0</v>
      </c>
      <c r="K937" s="53" t="s">
        <v>53</v>
      </c>
      <c r="L937" s="53" t="s">
        <v>1489</v>
      </c>
    </row>
    <row r="938" ht="15.75" customHeight="1">
      <c r="A938" s="53" t="s">
        <v>95</v>
      </c>
      <c r="B938" s="53" t="s">
        <v>2445</v>
      </c>
      <c r="C938" s="53" t="s">
        <v>1687</v>
      </c>
      <c r="D938" s="53" t="s">
        <v>1304</v>
      </c>
      <c r="E938" s="53" t="s">
        <v>1885</v>
      </c>
      <c r="F938" s="53" t="s">
        <v>1491</v>
      </c>
      <c r="G938" s="53" t="s">
        <v>1300</v>
      </c>
      <c r="H938" s="53">
        <v>0.5</v>
      </c>
      <c r="I938" s="53">
        <v>0.0273972602739726</v>
      </c>
      <c r="J938" s="53">
        <v>1.0</v>
      </c>
      <c r="K938" s="53" t="s">
        <v>53</v>
      </c>
      <c r="L938" s="53" t="s">
        <v>1492</v>
      </c>
    </row>
    <row r="939" ht="15.75" customHeight="1">
      <c r="A939" s="53" t="s">
        <v>95</v>
      </c>
      <c r="B939" s="53" t="s">
        <v>2445</v>
      </c>
      <c r="C939" s="53" t="s">
        <v>1687</v>
      </c>
      <c r="D939" s="53" t="s">
        <v>1312</v>
      </c>
      <c r="E939" s="53" t="s">
        <v>1888</v>
      </c>
      <c r="F939" s="53" t="s">
        <v>1494</v>
      </c>
      <c r="G939" s="53" t="s">
        <v>1300</v>
      </c>
      <c r="H939" s="53">
        <v>0.5</v>
      </c>
      <c r="I939" s="53">
        <v>0.0273972602739726</v>
      </c>
      <c r="J939" s="53">
        <v>0.0</v>
      </c>
      <c r="K939" s="53" t="s">
        <v>53</v>
      </c>
      <c r="L939" s="53" t="s">
        <v>1495</v>
      </c>
    </row>
    <row r="940" ht="15.75" customHeight="1">
      <c r="A940" s="53" t="s">
        <v>1200</v>
      </c>
      <c r="B940" s="53" t="s">
        <v>2445</v>
      </c>
      <c r="C940" s="53" t="s">
        <v>1687</v>
      </c>
      <c r="D940" s="53" t="s">
        <v>1578</v>
      </c>
      <c r="E940" s="53" t="s">
        <v>2241</v>
      </c>
      <c r="F940" s="53" t="s">
        <v>1580</v>
      </c>
      <c r="G940" s="53" t="s">
        <v>1581</v>
      </c>
      <c r="H940" s="53">
        <v>1.0</v>
      </c>
      <c r="I940" s="53">
        <v>0.04477611940298507</v>
      </c>
      <c r="J940" s="53">
        <v>0.0</v>
      </c>
      <c r="K940" s="53" t="s">
        <v>53</v>
      </c>
      <c r="L940" s="53" t="s">
        <v>53</v>
      </c>
    </row>
    <row r="941" ht="15.75" customHeight="1">
      <c r="A941" s="53" t="s">
        <v>1200</v>
      </c>
      <c r="B941" s="53" t="s">
        <v>2445</v>
      </c>
      <c r="C941" s="53" t="s">
        <v>1687</v>
      </c>
      <c r="D941" s="53" t="s">
        <v>1232</v>
      </c>
      <c r="E941" s="53" t="s">
        <v>2242</v>
      </c>
      <c r="F941" s="53" t="s">
        <v>2517</v>
      </c>
      <c r="G941" s="53" t="s">
        <v>1235</v>
      </c>
      <c r="H941" s="53">
        <v>1.0</v>
      </c>
      <c r="I941" s="53">
        <v>0.5897887323943662</v>
      </c>
      <c r="J941" s="53">
        <v>0.0</v>
      </c>
      <c r="K941" s="53" t="s">
        <v>53</v>
      </c>
      <c r="L941" s="53" t="s">
        <v>53</v>
      </c>
    </row>
    <row r="942" ht="15.75" customHeight="1">
      <c r="A942" s="53" t="s">
        <v>82</v>
      </c>
      <c r="B942" s="53" t="s">
        <v>2445</v>
      </c>
      <c r="C942" s="53" t="s">
        <v>1687</v>
      </c>
      <c r="D942" s="53" t="s">
        <v>1496</v>
      </c>
      <c r="E942" s="53" t="s">
        <v>1995</v>
      </c>
      <c r="F942" s="53" t="s">
        <v>1498</v>
      </c>
      <c r="G942" s="53" t="s">
        <v>1499</v>
      </c>
      <c r="H942" s="53">
        <v>0.5</v>
      </c>
      <c r="I942" s="53">
        <v>0.06689965052421368</v>
      </c>
      <c r="J942" s="53">
        <v>0.0</v>
      </c>
      <c r="K942" s="53" t="s">
        <v>53</v>
      </c>
      <c r="L942" s="53" t="s">
        <v>1501</v>
      </c>
    </row>
    <row r="943" ht="15.75" customHeight="1">
      <c r="A943" s="53" t="s">
        <v>82</v>
      </c>
      <c r="B943" s="53" t="s">
        <v>2445</v>
      </c>
      <c r="C943" s="53" t="s">
        <v>1687</v>
      </c>
      <c r="D943" s="53" t="s">
        <v>90</v>
      </c>
      <c r="E943" s="53" t="s">
        <v>1997</v>
      </c>
      <c r="F943" s="53" t="s">
        <v>2518</v>
      </c>
      <c r="G943" s="53" t="s">
        <v>84</v>
      </c>
      <c r="H943" s="53">
        <v>1.0</v>
      </c>
      <c r="I943" s="53">
        <v>0.11339137645107794</v>
      </c>
      <c r="J943" s="53">
        <v>5.0</v>
      </c>
      <c r="K943" s="53" t="s">
        <v>53</v>
      </c>
      <c r="L943" s="53" t="s">
        <v>53</v>
      </c>
    </row>
    <row r="944" ht="15.75" customHeight="1">
      <c r="A944" s="53" t="s">
        <v>82</v>
      </c>
      <c r="B944" s="53" t="s">
        <v>2445</v>
      </c>
      <c r="C944" s="53" t="s">
        <v>1687</v>
      </c>
      <c r="D944" s="53" t="s">
        <v>1999</v>
      </c>
      <c r="E944" s="53" t="s">
        <v>2000</v>
      </c>
      <c r="F944" s="53" t="s">
        <v>2519</v>
      </c>
      <c r="G944" s="53" t="s">
        <v>2002</v>
      </c>
      <c r="H944" s="53">
        <v>0.3333333333333333</v>
      </c>
      <c r="I944" s="53">
        <v>0.02414833980163864</v>
      </c>
      <c r="J944" s="53">
        <v>0.0</v>
      </c>
      <c r="K944" s="53" t="s">
        <v>53</v>
      </c>
      <c r="L944" s="53" t="s">
        <v>2520</v>
      </c>
    </row>
    <row r="945" ht="15.75" customHeight="1">
      <c r="A945" s="53" t="s">
        <v>82</v>
      </c>
      <c r="B945" s="53" t="s">
        <v>2445</v>
      </c>
      <c r="C945" s="53" t="s">
        <v>1687</v>
      </c>
      <c r="D945" s="53" t="s">
        <v>2004</v>
      </c>
      <c r="E945" s="53" t="s">
        <v>2005</v>
      </c>
      <c r="F945" s="53" t="s">
        <v>2521</v>
      </c>
      <c r="G945" s="53" t="s">
        <v>2007</v>
      </c>
      <c r="H945" s="53">
        <v>1.0</v>
      </c>
      <c r="I945" s="53">
        <v>0.6180555555555556</v>
      </c>
      <c r="J945" s="53">
        <v>0.0</v>
      </c>
      <c r="K945" s="53" t="s">
        <v>53</v>
      </c>
      <c r="L945" s="53" t="s">
        <v>53</v>
      </c>
    </row>
    <row r="946" ht="15.75" customHeight="1">
      <c r="A946" s="53" t="s">
        <v>1591</v>
      </c>
      <c r="B946" s="53" t="s">
        <v>2445</v>
      </c>
      <c r="C946" s="53" t="s">
        <v>1687</v>
      </c>
      <c r="D946" s="53" t="s">
        <v>1592</v>
      </c>
      <c r="E946" s="53" t="s">
        <v>2522</v>
      </c>
      <c r="F946" s="53" t="s">
        <v>1594</v>
      </c>
      <c r="G946" s="53" t="s">
        <v>1595</v>
      </c>
      <c r="H946" s="53">
        <v>1.0</v>
      </c>
      <c r="I946" s="53">
        <v>0.045454545454545456</v>
      </c>
      <c r="J946" s="53">
        <v>0.0</v>
      </c>
      <c r="K946" s="53" t="s">
        <v>53</v>
      </c>
      <c r="L946" s="53" t="s">
        <v>53</v>
      </c>
    </row>
    <row r="947" ht="15.75" customHeight="1">
      <c r="A947" s="53" t="s">
        <v>1591</v>
      </c>
      <c r="B947" s="53" t="s">
        <v>2445</v>
      </c>
      <c r="C947" s="53" t="s">
        <v>1687</v>
      </c>
      <c r="D947" s="53" t="s">
        <v>1596</v>
      </c>
      <c r="E947" s="53" t="s">
        <v>2233</v>
      </c>
      <c r="F947" s="53" t="s">
        <v>2523</v>
      </c>
      <c r="G947" s="53" t="s">
        <v>1599</v>
      </c>
      <c r="H947" s="53">
        <v>0.6</v>
      </c>
      <c r="I947" s="53">
        <v>0.05</v>
      </c>
      <c r="J947" s="53">
        <v>0.0</v>
      </c>
      <c r="K947" s="53" t="s">
        <v>53</v>
      </c>
      <c r="L947" s="53" t="s">
        <v>1199</v>
      </c>
    </row>
    <row r="948" ht="15.75" customHeight="1">
      <c r="A948" s="53" t="s">
        <v>1591</v>
      </c>
      <c r="B948" s="53" t="s">
        <v>2445</v>
      </c>
      <c r="C948" s="53" t="s">
        <v>1687</v>
      </c>
      <c r="D948" s="53" t="s">
        <v>1224</v>
      </c>
      <c r="E948" s="53" t="s">
        <v>2235</v>
      </c>
      <c r="F948" s="53" t="s">
        <v>1601</v>
      </c>
      <c r="G948" s="53" t="s">
        <v>1227</v>
      </c>
      <c r="H948" s="53">
        <v>1.0</v>
      </c>
      <c r="I948" s="53">
        <v>0.2677165354330709</v>
      </c>
      <c r="J948" s="53">
        <v>0.0</v>
      </c>
      <c r="K948" s="53" t="s">
        <v>53</v>
      </c>
      <c r="L948" s="53" t="s">
        <v>53</v>
      </c>
    </row>
    <row r="949" ht="15.75" customHeight="1">
      <c r="A949" s="53" t="s">
        <v>1591</v>
      </c>
      <c r="B949" s="53" t="s">
        <v>2445</v>
      </c>
      <c r="C949" s="53" t="s">
        <v>1687</v>
      </c>
      <c r="D949" s="53" t="s">
        <v>1224</v>
      </c>
      <c r="E949" s="53" t="s">
        <v>2237</v>
      </c>
      <c r="F949" s="53" t="s">
        <v>1603</v>
      </c>
      <c r="G949" s="53" t="s">
        <v>1230</v>
      </c>
      <c r="H949" s="53">
        <v>1.0</v>
      </c>
      <c r="I949" s="53">
        <v>0.500768049155146</v>
      </c>
      <c r="J949" s="53">
        <v>1.0</v>
      </c>
      <c r="K949" s="53" t="s">
        <v>53</v>
      </c>
      <c r="L949" s="53" t="s">
        <v>53</v>
      </c>
    </row>
    <row r="950" ht="15.75" customHeight="1">
      <c r="A950" s="53" t="s">
        <v>1591</v>
      </c>
      <c r="B950" s="53" t="s">
        <v>2445</v>
      </c>
      <c r="C950" s="53" t="s">
        <v>1687</v>
      </c>
      <c r="D950" s="53" t="s">
        <v>1227</v>
      </c>
      <c r="E950" s="53" t="s">
        <v>2239</v>
      </c>
      <c r="F950" s="53" t="s">
        <v>1603</v>
      </c>
      <c r="G950" s="53" t="s">
        <v>1230</v>
      </c>
      <c r="H950" s="53">
        <v>1.0</v>
      </c>
      <c r="I950" s="53">
        <v>0.47619047619047616</v>
      </c>
      <c r="J950" s="53">
        <v>0.0</v>
      </c>
      <c r="K950" s="53" t="s">
        <v>53</v>
      </c>
      <c r="L950" s="53" t="s">
        <v>53</v>
      </c>
    </row>
    <row r="951" ht="15.75" customHeight="1">
      <c r="A951" s="53" t="s">
        <v>1373</v>
      </c>
      <c r="B951" s="53" t="s">
        <v>2445</v>
      </c>
      <c r="C951" s="53" t="s">
        <v>1687</v>
      </c>
      <c r="D951" s="53" t="s">
        <v>1368</v>
      </c>
      <c r="E951" s="53" t="s">
        <v>2440</v>
      </c>
      <c r="F951" s="53" t="s">
        <v>1375</v>
      </c>
      <c r="G951" s="53" t="s">
        <v>1130</v>
      </c>
      <c r="H951" s="53">
        <v>1.0</v>
      </c>
      <c r="I951" s="53">
        <v>0.11688311688311688</v>
      </c>
      <c r="J951" s="53">
        <v>0.0</v>
      </c>
      <c r="K951" s="53" t="s">
        <v>53</v>
      </c>
      <c r="L951" s="53" t="s">
        <v>53</v>
      </c>
    </row>
    <row r="952" ht="15.75" customHeight="1">
      <c r="A952" s="53" t="s">
        <v>1373</v>
      </c>
      <c r="B952" s="53" t="s">
        <v>2445</v>
      </c>
      <c r="C952" s="53" t="s">
        <v>1687</v>
      </c>
      <c r="D952" s="53" t="s">
        <v>1368</v>
      </c>
      <c r="E952" s="53" t="s">
        <v>2442</v>
      </c>
      <c r="F952" s="53" t="s">
        <v>1375</v>
      </c>
      <c r="G952" s="53" t="s">
        <v>1371</v>
      </c>
      <c r="H952" s="53">
        <v>1.0</v>
      </c>
      <c r="I952" s="53">
        <v>0.21637426900584794</v>
      </c>
      <c r="J952" s="53">
        <v>1.0</v>
      </c>
      <c r="K952" s="53" t="s">
        <v>53</v>
      </c>
      <c r="L952" s="53" t="s">
        <v>53</v>
      </c>
    </row>
    <row r="953" ht="15.75" customHeight="1">
      <c r="A953" s="53" t="s">
        <v>1373</v>
      </c>
      <c r="B953" s="53" t="s">
        <v>2445</v>
      </c>
      <c r="C953" s="53" t="s">
        <v>1687</v>
      </c>
      <c r="D953" s="53" t="s">
        <v>1130</v>
      </c>
      <c r="E953" s="53" t="s">
        <v>2443</v>
      </c>
      <c r="F953" s="53" t="s">
        <v>1375</v>
      </c>
      <c r="G953" s="53" t="s">
        <v>1371</v>
      </c>
      <c r="H953" s="53">
        <v>1.0</v>
      </c>
      <c r="I953" s="53">
        <v>0.1111111111111111</v>
      </c>
      <c r="J953" s="53">
        <v>0.0</v>
      </c>
      <c r="K953" s="53" t="s">
        <v>53</v>
      </c>
      <c r="L953" s="53" t="s">
        <v>53</v>
      </c>
    </row>
    <row r="954" ht="15.75" customHeight="1">
      <c r="A954" s="53" t="s">
        <v>1583</v>
      </c>
      <c r="B954" s="53" t="s">
        <v>2445</v>
      </c>
      <c r="C954" s="53" t="s">
        <v>1687</v>
      </c>
      <c r="D954" s="53" t="s">
        <v>1585</v>
      </c>
      <c r="E954" s="53" t="s">
        <v>2274</v>
      </c>
      <c r="F954" s="53" t="s">
        <v>1587</v>
      </c>
      <c r="G954" s="53" t="s">
        <v>1588</v>
      </c>
      <c r="H954" s="53">
        <v>1.0</v>
      </c>
      <c r="I954" s="53">
        <v>0.04477611940298507</v>
      </c>
      <c r="J954" s="53">
        <v>0.0</v>
      </c>
      <c r="K954" s="53" t="s">
        <v>53</v>
      </c>
      <c r="L954" s="53" t="s">
        <v>53</v>
      </c>
    </row>
    <row r="955" ht="15.75" customHeight="1">
      <c r="A955" s="53" t="s">
        <v>1583</v>
      </c>
      <c r="B955" s="53" t="s">
        <v>2445</v>
      </c>
      <c r="C955" s="53" t="s">
        <v>1687</v>
      </c>
      <c r="D955" s="53" t="s">
        <v>2275</v>
      </c>
      <c r="E955" s="53" t="s">
        <v>2276</v>
      </c>
      <c r="F955" s="53" t="s">
        <v>2524</v>
      </c>
      <c r="G955" s="53" t="s">
        <v>2278</v>
      </c>
      <c r="H955" s="53">
        <v>0.6</v>
      </c>
      <c r="I955" s="53">
        <v>0.09349593495934959</v>
      </c>
      <c r="J955" s="53">
        <v>0.0</v>
      </c>
      <c r="K955" s="53" t="s">
        <v>53</v>
      </c>
      <c r="L955" s="53" t="s">
        <v>1199</v>
      </c>
    </row>
    <row r="956" ht="15.75" customHeight="1">
      <c r="A956" s="53" t="s">
        <v>1583</v>
      </c>
      <c r="B956" s="53" t="s">
        <v>2445</v>
      </c>
      <c r="C956" s="53" t="s">
        <v>1687</v>
      </c>
      <c r="D956" s="53" t="s">
        <v>1232</v>
      </c>
      <c r="E956" s="53" t="s">
        <v>2279</v>
      </c>
      <c r="F956" s="53" t="s">
        <v>1590</v>
      </c>
      <c r="G956" s="53" t="s">
        <v>1235</v>
      </c>
      <c r="H956" s="53">
        <v>1.0</v>
      </c>
      <c r="I956" s="53">
        <v>0.5897887323943662</v>
      </c>
      <c r="J956" s="53">
        <v>0.0</v>
      </c>
      <c r="K956" s="53" t="s">
        <v>53</v>
      </c>
      <c r="L956" s="53" t="s">
        <v>53</v>
      </c>
    </row>
    <row r="957" ht="15.75" customHeight="1">
      <c r="A957" s="53" t="s">
        <v>2525</v>
      </c>
      <c r="B957" s="53" t="s">
        <v>2445</v>
      </c>
      <c r="C957" s="53" t="s">
        <v>1687</v>
      </c>
      <c r="D957" s="53" t="s">
        <v>366</v>
      </c>
      <c r="E957" s="53" t="s">
        <v>1788</v>
      </c>
      <c r="F957" s="53" t="s">
        <v>2526</v>
      </c>
      <c r="G957" s="53" t="s">
        <v>375</v>
      </c>
      <c r="H957" s="53">
        <v>0.25</v>
      </c>
      <c r="I957" s="53">
        <v>0.0778688524590164</v>
      </c>
      <c r="J957" s="53">
        <v>0.0</v>
      </c>
      <c r="K957" s="53" t="s">
        <v>53</v>
      </c>
      <c r="L957" s="53" t="s">
        <v>2527</v>
      </c>
    </row>
    <row r="958" ht="15.75" customHeight="1">
      <c r="A958" s="53" t="s">
        <v>2525</v>
      </c>
      <c r="B958" s="53" t="s">
        <v>2445</v>
      </c>
      <c r="C958" s="53" t="s">
        <v>1687</v>
      </c>
      <c r="D958" s="53" t="s">
        <v>1791</v>
      </c>
      <c r="E958" s="53" t="s">
        <v>1792</v>
      </c>
      <c r="F958" s="53" t="s">
        <v>2528</v>
      </c>
      <c r="G958" s="53" t="s">
        <v>385</v>
      </c>
      <c r="H958" s="53">
        <v>0.5</v>
      </c>
      <c r="I958" s="53">
        <v>0.07643312101910828</v>
      </c>
      <c r="J958" s="53">
        <v>2.0</v>
      </c>
      <c r="K958" s="53" t="s">
        <v>53</v>
      </c>
      <c r="L958" s="53" t="s">
        <v>2529</v>
      </c>
    </row>
    <row r="959" ht="15.75" customHeight="1">
      <c r="A959" s="53" t="s">
        <v>2525</v>
      </c>
      <c r="B959" s="53" t="s">
        <v>2445</v>
      </c>
      <c r="C959" s="53" t="s">
        <v>1687</v>
      </c>
      <c r="D959" s="53" t="s">
        <v>1795</v>
      </c>
      <c r="E959" s="53" t="s">
        <v>1796</v>
      </c>
      <c r="F959" s="53" t="s">
        <v>2530</v>
      </c>
      <c r="G959" s="53" t="s">
        <v>1798</v>
      </c>
      <c r="H959" s="53">
        <v>0.5</v>
      </c>
      <c r="I959" s="53">
        <v>0.05325443786982249</v>
      </c>
      <c r="J959" s="53">
        <v>0.0</v>
      </c>
      <c r="K959" s="53" t="s">
        <v>53</v>
      </c>
      <c r="L959" s="53" t="s">
        <v>2531</v>
      </c>
    </row>
    <row r="960" ht="15.75" customHeight="1">
      <c r="A960" s="53" t="s">
        <v>1657</v>
      </c>
      <c r="B960" s="53" t="s">
        <v>2445</v>
      </c>
      <c r="C960" s="53" t="s">
        <v>1687</v>
      </c>
      <c r="D960" s="53" t="s">
        <v>154</v>
      </c>
      <c r="E960" s="53" t="s">
        <v>1754</v>
      </c>
      <c r="F960" s="53" t="s">
        <v>145</v>
      </c>
      <c r="G960" s="53" t="s">
        <v>1660</v>
      </c>
      <c r="H960" s="53">
        <v>1.0</v>
      </c>
      <c r="I960" s="53">
        <v>0.1095890410958904</v>
      </c>
      <c r="J960" s="53">
        <v>2.0</v>
      </c>
      <c r="K960" s="53" t="s">
        <v>53</v>
      </c>
      <c r="L960" s="53" t="s">
        <v>53</v>
      </c>
    </row>
    <row r="961" ht="15.75" customHeight="1">
      <c r="A961" s="53" t="s">
        <v>1657</v>
      </c>
      <c r="B961" s="53" t="s">
        <v>2445</v>
      </c>
      <c r="C961" s="53" t="s">
        <v>1687</v>
      </c>
      <c r="D961" s="53" t="s">
        <v>154</v>
      </c>
      <c r="E961" s="53" t="s">
        <v>1755</v>
      </c>
      <c r="F961" s="53" t="s">
        <v>145</v>
      </c>
      <c r="G961" s="53" t="s">
        <v>1662</v>
      </c>
      <c r="H961" s="53">
        <v>1.0</v>
      </c>
      <c r="I961" s="53">
        <v>0.14473684210526316</v>
      </c>
      <c r="J961" s="53">
        <v>1.0</v>
      </c>
      <c r="K961" s="53" t="s">
        <v>53</v>
      </c>
      <c r="L961" s="53" t="s">
        <v>53</v>
      </c>
    </row>
    <row r="962" ht="15.75" customHeight="1">
      <c r="A962" s="53" t="s">
        <v>1657</v>
      </c>
      <c r="B962" s="53" t="s">
        <v>2445</v>
      </c>
      <c r="C962" s="53" t="s">
        <v>1687</v>
      </c>
      <c r="D962" s="53" t="s">
        <v>1662</v>
      </c>
      <c r="E962" s="53" t="s">
        <v>1756</v>
      </c>
      <c r="F962" s="53" t="s">
        <v>145</v>
      </c>
      <c r="G962" s="53" t="s">
        <v>1660</v>
      </c>
      <c r="H962" s="53">
        <v>1.0</v>
      </c>
      <c r="I962" s="53">
        <v>0.07894736842105263</v>
      </c>
      <c r="J962" s="53">
        <v>0.0</v>
      </c>
      <c r="K962" s="53" t="s">
        <v>53</v>
      </c>
      <c r="L962" s="53" t="s">
        <v>53</v>
      </c>
    </row>
    <row r="963" ht="15.75" customHeight="1">
      <c r="A963" s="53" t="s">
        <v>1193</v>
      </c>
      <c r="B963" s="53" t="s">
        <v>2445</v>
      </c>
      <c r="C963" s="53" t="s">
        <v>1687</v>
      </c>
      <c r="D963" s="53" t="s">
        <v>1573</v>
      </c>
      <c r="E963" s="53" t="s">
        <v>2431</v>
      </c>
      <c r="F963" s="53" t="s">
        <v>1575</v>
      </c>
      <c r="G963" s="53" t="s">
        <v>1576</v>
      </c>
      <c r="H963" s="53">
        <v>1.0</v>
      </c>
      <c r="I963" s="53">
        <v>0.045454545454545456</v>
      </c>
      <c r="J963" s="53">
        <v>0.0</v>
      </c>
      <c r="K963" s="53" t="s">
        <v>53</v>
      </c>
      <c r="L963" s="53" t="s">
        <v>53</v>
      </c>
    </row>
    <row r="964" ht="15.75" customHeight="1">
      <c r="A964" s="53" t="s">
        <v>1193</v>
      </c>
      <c r="B964" s="53" t="s">
        <v>2445</v>
      </c>
      <c r="C964" s="53" t="s">
        <v>1687</v>
      </c>
      <c r="D964" s="53" t="s">
        <v>1198</v>
      </c>
      <c r="E964" s="53" t="s">
        <v>2432</v>
      </c>
      <c r="F964" s="53" t="s">
        <v>2532</v>
      </c>
      <c r="G964" s="53" t="s">
        <v>1195</v>
      </c>
      <c r="H964" s="53">
        <v>0.6</v>
      </c>
      <c r="I964" s="53">
        <v>0.050793650793650794</v>
      </c>
      <c r="J964" s="53">
        <v>0.0</v>
      </c>
      <c r="K964" s="53" t="s">
        <v>53</v>
      </c>
      <c r="L964" s="53" t="s">
        <v>1199</v>
      </c>
    </row>
    <row r="965" ht="15.75" customHeight="1">
      <c r="A965" s="53" t="s">
        <v>1193</v>
      </c>
      <c r="B965" s="53" t="s">
        <v>2445</v>
      </c>
      <c r="C965" s="53" t="s">
        <v>1687</v>
      </c>
      <c r="D965" s="53" t="s">
        <v>1224</v>
      </c>
      <c r="E965" s="53" t="s">
        <v>2434</v>
      </c>
      <c r="F965" s="53" t="s">
        <v>2533</v>
      </c>
      <c r="G965" s="53" t="s">
        <v>1227</v>
      </c>
      <c r="H965" s="53">
        <v>1.0</v>
      </c>
      <c r="I965" s="53">
        <v>0.2786885245901639</v>
      </c>
      <c r="J965" s="53">
        <v>0.0</v>
      </c>
      <c r="K965" s="53" t="s">
        <v>53</v>
      </c>
      <c r="L965" s="53" t="s">
        <v>53</v>
      </c>
    </row>
    <row r="966" ht="15.75" customHeight="1">
      <c r="A966" s="53" t="s">
        <v>1193</v>
      </c>
      <c r="B966" s="53" t="s">
        <v>2445</v>
      </c>
      <c r="C966" s="53" t="s">
        <v>1687</v>
      </c>
      <c r="D966" s="53" t="s">
        <v>1224</v>
      </c>
      <c r="E966" s="53" t="s">
        <v>2436</v>
      </c>
      <c r="F966" s="53" t="s">
        <v>2534</v>
      </c>
      <c r="G966" s="53" t="s">
        <v>1230</v>
      </c>
      <c r="H966" s="53">
        <v>1.0</v>
      </c>
      <c r="I966" s="53">
        <v>0.5125786163522013</v>
      </c>
      <c r="J966" s="53">
        <v>1.0</v>
      </c>
      <c r="K966" s="53" t="s">
        <v>53</v>
      </c>
      <c r="L966" s="53" t="s">
        <v>53</v>
      </c>
    </row>
    <row r="967" ht="15.75" customHeight="1">
      <c r="A967" s="53" t="s">
        <v>1193</v>
      </c>
      <c r="B967" s="53" t="s">
        <v>2445</v>
      </c>
      <c r="C967" s="53" t="s">
        <v>1687</v>
      </c>
      <c r="D967" s="53" t="s">
        <v>1227</v>
      </c>
      <c r="E967" s="53" t="s">
        <v>2438</v>
      </c>
      <c r="F967" s="53" t="s">
        <v>2534</v>
      </c>
      <c r="G967" s="53" t="s">
        <v>1230</v>
      </c>
      <c r="H967" s="53">
        <v>1.0</v>
      </c>
      <c r="I967" s="53">
        <v>0.48742138364779874</v>
      </c>
      <c r="J967" s="53">
        <v>0.0</v>
      </c>
      <c r="K967" s="53" t="s">
        <v>53</v>
      </c>
      <c r="L967" s="53" t="s">
        <v>53</v>
      </c>
    </row>
    <row r="968" ht="15.75" customHeight="1">
      <c r="A968" s="53" t="s">
        <v>1531</v>
      </c>
      <c r="B968" s="53" t="s">
        <v>2445</v>
      </c>
      <c r="C968" s="53" t="s">
        <v>1687</v>
      </c>
      <c r="D968" s="53" t="s">
        <v>1533</v>
      </c>
      <c r="E968" s="53" t="s">
        <v>2535</v>
      </c>
      <c r="F968" s="53" t="s">
        <v>2536</v>
      </c>
      <c r="G968" s="53" t="s">
        <v>1536</v>
      </c>
      <c r="H968" s="53">
        <v>0.75</v>
      </c>
      <c r="I968" s="53">
        <v>0.06752411575562701</v>
      </c>
      <c r="J968" s="53">
        <v>1.0</v>
      </c>
      <c r="K968" s="53" t="s">
        <v>53</v>
      </c>
      <c r="L968" s="53" t="s">
        <v>1537</v>
      </c>
    </row>
    <row r="969" ht="15.75" customHeight="1">
      <c r="A969" s="53" t="s">
        <v>1531</v>
      </c>
      <c r="B969" s="53" t="s">
        <v>2445</v>
      </c>
      <c r="C969" s="53" t="s">
        <v>1687</v>
      </c>
      <c r="D969" s="53" t="s">
        <v>1533</v>
      </c>
      <c r="E969" s="53" t="s">
        <v>2537</v>
      </c>
      <c r="F969" s="53" t="s">
        <v>2538</v>
      </c>
      <c r="G969" s="53" t="s">
        <v>1540</v>
      </c>
      <c r="H969" s="53">
        <v>0.75</v>
      </c>
      <c r="I969" s="53">
        <v>0.07142857142857142</v>
      </c>
      <c r="J969" s="53">
        <v>0.0</v>
      </c>
      <c r="K969" s="53" t="s">
        <v>53</v>
      </c>
      <c r="L969" s="53" t="s">
        <v>1541</v>
      </c>
    </row>
    <row r="970" ht="15.75" customHeight="1">
      <c r="A970" s="53" t="s">
        <v>1531</v>
      </c>
      <c r="B970" s="53" t="s">
        <v>2445</v>
      </c>
      <c r="C970" s="53" t="s">
        <v>1687</v>
      </c>
      <c r="D970" s="53" t="s">
        <v>1533</v>
      </c>
      <c r="E970" s="53" t="s">
        <v>2539</v>
      </c>
      <c r="F970" s="53" t="s">
        <v>2540</v>
      </c>
      <c r="G970" s="53" t="s">
        <v>1544</v>
      </c>
      <c r="H970" s="53">
        <v>0.75</v>
      </c>
      <c r="I970" s="53">
        <v>0.12861736334405144</v>
      </c>
      <c r="J970" s="53">
        <v>2.0</v>
      </c>
      <c r="K970" s="53" t="s">
        <v>53</v>
      </c>
      <c r="L970" s="53" t="s">
        <v>1545</v>
      </c>
    </row>
    <row r="971" ht="15.75" customHeight="1">
      <c r="A971" s="53" t="s">
        <v>1531</v>
      </c>
      <c r="B971" s="53" t="s">
        <v>2445</v>
      </c>
      <c r="C971" s="53" t="s">
        <v>1687</v>
      </c>
      <c r="D971" s="53" t="s">
        <v>1540</v>
      </c>
      <c r="E971" s="53" t="s">
        <v>2541</v>
      </c>
      <c r="F971" s="53" t="s">
        <v>2542</v>
      </c>
      <c r="G971" s="53" t="s">
        <v>1544</v>
      </c>
      <c r="H971" s="53">
        <v>0.75</v>
      </c>
      <c r="I971" s="53">
        <v>0.06752411575562701</v>
      </c>
      <c r="J971" s="53">
        <v>1.0</v>
      </c>
      <c r="K971" s="53" t="s">
        <v>53</v>
      </c>
      <c r="L971" s="53" t="s">
        <v>1548</v>
      </c>
    </row>
    <row r="972" ht="15.75" customHeight="1">
      <c r="A972" s="53" t="s">
        <v>1531</v>
      </c>
      <c r="B972" s="53" t="s">
        <v>2445</v>
      </c>
      <c r="C972" s="53" t="s">
        <v>1687</v>
      </c>
      <c r="D972" s="53" t="s">
        <v>1540</v>
      </c>
      <c r="E972" s="53" t="s">
        <v>2543</v>
      </c>
      <c r="F972" s="53" t="s">
        <v>2544</v>
      </c>
      <c r="G972" s="53" t="s">
        <v>1536</v>
      </c>
      <c r="H972" s="53">
        <v>0.75</v>
      </c>
      <c r="I972" s="53">
        <v>0.13504823151125403</v>
      </c>
      <c r="J972" s="53">
        <v>0.0</v>
      </c>
      <c r="K972" s="53" t="s">
        <v>53</v>
      </c>
      <c r="L972" s="53" t="s">
        <v>1551</v>
      </c>
    </row>
    <row r="973" ht="15.75" customHeight="1">
      <c r="A973" s="53" t="s">
        <v>1531</v>
      </c>
      <c r="B973" s="53" t="s">
        <v>2445</v>
      </c>
      <c r="C973" s="53" t="s">
        <v>1687</v>
      </c>
      <c r="D973" s="53" t="s">
        <v>1536</v>
      </c>
      <c r="E973" s="53" t="s">
        <v>2545</v>
      </c>
      <c r="F973" s="53" t="s">
        <v>2546</v>
      </c>
      <c r="G973" s="53" t="s">
        <v>1544</v>
      </c>
      <c r="H973" s="53">
        <v>0.75</v>
      </c>
      <c r="I973" s="53">
        <v>0.0707395498392283</v>
      </c>
      <c r="J973" s="53">
        <v>0.0</v>
      </c>
      <c r="K973" s="53" t="s">
        <v>53</v>
      </c>
      <c r="L973" s="53" t="s">
        <v>1554</v>
      </c>
    </row>
    <row r="974" ht="15.75" customHeight="1">
      <c r="A974" s="53" t="s">
        <v>1531</v>
      </c>
      <c r="B974" s="53" t="s">
        <v>2445</v>
      </c>
      <c r="C974" s="53" t="s">
        <v>1687</v>
      </c>
      <c r="D974" s="53" t="s">
        <v>1555</v>
      </c>
      <c r="E974" s="53" t="s">
        <v>1720</v>
      </c>
      <c r="F974" s="53" t="s">
        <v>2547</v>
      </c>
      <c r="G974" s="53" t="s">
        <v>1558</v>
      </c>
      <c r="H974" s="53">
        <v>0.7142857142857143</v>
      </c>
      <c r="I974" s="53">
        <v>0.056140350877192984</v>
      </c>
      <c r="J974" s="53">
        <v>0.0</v>
      </c>
      <c r="K974" s="53" t="s">
        <v>53</v>
      </c>
      <c r="L974" s="53" t="s">
        <v>1559</v>
      </c>
    </row>
    <row r="975" ht="15.75" customHeight="1">
      <c r="A975" s="53" t="s">
        <v>1531</v>
      </c>
      <c r="B975" s="53" t="s">
        <v>2445</v>
      </c>
      <c r="C975" s="53" t="s">
        <v>1687</v>
      </c>
      <c r="D975" s="53" t="s">
        <v>1555</v>
      </c>
      <c r="E975" s="53" t="s">
        <v>1723</v>
      </c>
      <c r="F975" s="53" t="s">
        <v>2548</v>
      </c>
      <c r="G975" s="53" t="s">
        <v>1562</v>
      </c>
      <c r="H975" s="53">
        <v>0.7142857142857143</v>
      </c>
      <c r="I975" s="53">
        <v>0.11214953271028037</v>
      </c>
      <c r="J975" s="53">
        <v>1.0</v>
      </c>
      <c r="K975" s="53" t="s">
        <v>53</v>
      </c>
      <c r="L975" s="53" t="s">
        <v>1563</v>
      </c>
    </row>
    <row r="976" ht="15.75" customHeight="1">
      <c r="A976" s="53" t="s">
        <v>1531</v>
      </c>
      <c r="B976" s="53" t="s">
        <v>2445</v>
      </c>
      <c r="C976" s="53" t="s">
        <v>1687</v>
      </c>
      <c r="D976" s="53" t="s">
        <v>1558</v>
      </c>
      <c r="E976" s="53" t="s">
        <v>1726</v>
      </c>
      <c r="F976" s="53" t="s">
        <v>2549</v>
      </c>
      <c r="G976" s="53" t="s">
        <v>1565</v>
      </c>
      <c r="H976" s="53">
        <v>0.6666666666666666</v>
      </c>
      <c r="I976" s="53">
        <v>0.09235668789808917</v>
      </c>
      <c r="J976" s="53">
        <v>1.0</v>
      </c>
      <c r="K976" s="53" t="s">
        <v>53</v>
      </c>
      <c r="L976" s="53" t="s">
        <v>1728</v>
      </c>
    </row>
    <row r="977" ht="15.75" customHeight="1">
      <c r="A977" s="53" t="s">
        <v>1531</v>
      </c>
      <c r="B977" s="53" t="s">
        <v>2445</v>
      </c>
      <c r="C977" s="53" t="s">
        <v>1687</v>
      </c>
      <c r="D977" s="53" t="s">
        <v>1558</v>
      </c>
      <c r="E977" s="53" t="s">
        <v>1729</v>
      </c>
      <c r="F977" s="53" t="s">
        <v>2550</v>
      </c>
      <c r="G977" s="53" t="s">
        <v>1562</v>
      </c>
      <c r="H977" s="53">
        <v>0.7142857142857143</v>
      </c>
      <c r="I977" s="53">
        <v>0.1588785046728972</v>
      </c>
      <c r="J977" s="53">
        <v>0.0</v>
      </c>
      <c r="K977" s="53" t="s">
        <v>53</v>
      </c>
      <c r="L977" s="53" t="s">
        <v>1570</v>
      </c>
    </row>
    <row r="978" ht="15.75" customHeight="1">
      <c r="A978" s="53" t="s">
        <v>1531</v>
      </c>
      <c r="B978" s="53" t="s">
        <v>2445</v>
      </c>
      <c r="C978" s="53" t="s">
        <v>1687</v>
      </c>
      <c r="D978" s="53" t="s">
        <v>1562</v>
      </c>
      <c r="E978" s="53" t="s">
        <v>1732</v>
      </c>
      <c r="F978" s="53" t="s">
        <v>2551</v>
      </c>
      <c r="G978" s="53" t="s">
        <v>1565</v>
      </c>
      <c r="H978" s="53">
        <v>0.5</v>
      </c>
      <c r="I978" s="53">
        <v>0.09345794392523364</v>
      </c>
      <c r="J978" s="53">
        <v>0.0</v>
      </c>
      <c r="K978" s="53" t="s">
        <v>53</v>
      </c>
      <c r="L978" s="53" t="s">
        <v>2552</v>
      </c>
    </row>
    <row r="979" ht="15.75" customHeight="1">
      <c r="A979" s="53" t="s">
        <v>1668</v>
      </c>
      <c r="B979" s="53" t="s">
        <v>2445</v>
      </c>
      <c r="C979" s="53" t="s">
        <v>1687</v>
      </c>
      <c r="D979" s="53" t="s">
        <v>1646</v>
      </c>
      <c r="E979" s="53" t="s">
        <v>1670</v>
      </c>
      <c r="F979" s="53" t="s">
        <v>741</v>
      </c>
      <c r="G979" s="53" t="s">
        <v>1648</v>
      </c>
      <c r="H979" s="53">
        <v>1.0</v>
      </c>
      <c r="I979" s="53">
        <v>0.5693581780538303</v>
      </c>
      <c r="J979" s="53">
        <v>3.0</v>
      </c>
      <c r="K979" s="53" t="s">
        <v>53</v>
      </c>
      <c r="L979" s="53" t="s">
        <v>53</v>
      </c>
    </row>
    <row r="980" ht="15.75" customHeight="1">
      <c r="A980" s="53" t="s">
        <v>1668</v>
      </c>
      <c r="B980" s="53" t="s">
        <v>2445</v>
      </c>
      <c r="C980" s="53" t="s">
        <v>1687</v>
      </c>
      <c r="D980" s="53" t="s">
        <v>1646</v>
      </c>
      <c r="E980" s="53" t="s">
        <v>1671</v>
      </c>
      <c r="F980" s="53" t="s">
        <v>741</v>
      </c>
      <c r="G980" s="53" t="s">
        <v>1651</v>
      </c>
      <c r="H980" s="53">
        <v>1.0</v>
      </c>
      <c r="I980" s="53">
        <v>0.5737704918032787</v>
      </c>
      <c r="J980" s="53">
        <v>2.0</v>
      </c>
      <c r="K980" s="53" t="s">
        <v>53</v>
      </c>
      <c r="L980" s="53" t="s">
        <v>53</v>
      </c>
    </row>
    <row r="981" ht="15.75" customHeight="1">
      <c r="A981" s="53" t="s">
        <v>1668</v>
      </c>
      <c r="B981" s="53" t="s">
        <v>2445</v>
      </c>
      <c r="C981" s="53" t="s">
        <v>1687</v>
      </c>
      <c r="D981" s="53" t="s">
        <v>1646</v>
      </c>
      <c r="E981" s="53" t="s">
        <v>1672</v>
      </c>
      <c r="F981" s="53" t="s">
        <v>741</v>
      </c>
      <c r="G981" s="53" t="s">
        <v>1653</v>
      </c>
      <c r="H981" s="53">
        <v>1.0</v>
      </c>
      <c r="I981" s="53">
        <v>0.6256781193490054</v>
      </c>
      <c r="J981" s="53">
        <v>1.0</v>
      </c>
      <c r="K981" s="53" t="s">
        <v>53</v>
      </c>
      <c r="L981" s="53" t="s">
        <v>53</v>
      </c>
    </row>
    <row r="982" ht="15.75" customHeight="1">
      <c r="A982" s="53" t="s">
        <v>1668</v>
      </c>
      <c r="B982" s="53" t="s">
        <v>2445</v>
      </c>
      <c r="C982" s="53" t="s">
        <v>1687</v>
      </c>
      <c r="D982" s="53" t="s">
        <v>160</v>
      </c>
      <c r="E982" s="53" t="s">
        <v>1673</v>
      </c>
      <c r="F982" s="53" t="s">
        <v>145</v>
      </c>
      <c r="G982" s="53" t="s">
        <v>154</v>
      </c>
      <c r="H982" s="53">
        <v>1.0</v>
      </c>
      <c r="I982" s="53">
        <v>0.16025641025641027</v>
      </c>
      <c r="J982" s="53">
        <v>4.0</v>
      </c>
      <c r="K982" s="53" t="s">
        <v>53</v>
      </c>
      <c r="L982" s="53" t="s">
        <v>53</v>
      </c>
    </row>
    <row r="983" ht="15.75" customHeight="1">
      <c r="A983" s="53" t="s">
        <v>1668</v>
      </c>
      <c r="B983" s="53" t="s">
        <v>2445</v>
      </c>
      <c r="C983" s="53" t="s">
        <v>1687</v>
      </c>
      <c r="D983" s="53" t="s">
        <v>160</v>
      </c>
      <c r="E983" s="53" t="s">
        <v>1674</v>
      </c>
      <c r="F983" s="53" t="s">
        <v>145</v>
      </c>
      <c r="G983" s="53" t="s">
        <v>141</v>
      </c>
      <c r="H983" s="53">
        <v>1.0</v>
      </c>
      <c r="I983" s="53">
        <v>0.39090909090909093</v>
      </c>
      <c r="J983" s="53">
        <v>6.0</v>
      </c>
      <c r="K983" s="53" t="s">
        <v>53</v>
      </c>
      <c r="L983" s="53" t="s">
        <v>53</v>
      </c>
    </row>
    <row r="984" ht="15.75" customHeight="1">
      <c r="A984" s="53" t="s">
        <v>1668</v>
      </c>
      <c r="B984" s="53" t="s">
        <v>2445</v>
      </c>
      <c r="C984" s="53" t="s">
        <v>1687</v>
      </c>
      <c r="D984" s="53" t="s">
        <v>1653</v>
      </c>
      <c r="E984" s="53" t="s">
        <v>1675</v>
      </c>
      <c r="F984" s="53" t="s">
        <v>741</v>
      </c>
      <c r="G984" s="53" t="s">
        <v>1651</v>
      </c>
      <c r="H984" s="53">
        <v>1.0</v>
      </c>
      <c r="I984" s="53">
        <v>0.12296564195298372</v>
      </c>
      <c r="J984" s="53">
        <v>0.0</v>
      </c>
      <c r="K984" s="53" t="s">
        <v>53</v>
      </c>
      <c r="L984" s="53" t="s">
        <v>53</v>
      </c>
    </row>
    <row r="985" ht="15.75" customHeight="1">
      <c r="A985" s="53" t="s">
        <v>1668</v>
      </c>
      <c r="B985" s="53" t="s">
        <v>2445</v>
      </c>
      <c r="C985" s="53" t="s">
        <v>1687</v>
      </c>
      <c r="D985" s="53" t="s">
        <v>1653</v>
      </c>
      <c r="E985" s="53" t="s">
        <v>1676</v>
      </c>
      <c r="F985" s="53" t="s">
        <v>741</v>
      </c>
      <c r="G985" s="53" t="s">
        <v>1648</v>
      </c>
      <c r="H985" s="53">
        <v>1.0</v>
      </c>
      <c r="I985" s="53">
        <v>0.13200723327305605</v>
      </c>
      <c r="J985" s="53">
        <v>1.0</v>
      </c>
      <c r="K985" s="53" t="s">
        <v>53</v>
      </c>
      <c r="L985" s="53" t="s">
        <v>53</v>
      </c>
    </row>
    <row r="986" ht="15.75" customHeight="1">
      <c r="A986" s="53" t="s">
        <v>1668</v>
      </c>
      <c r="B986" s="53" t="s">
        <v>2445</v>
      </c>
      <c r="C986" s="53" t="s">
        <v>1687</v>
      </c>
      <c r="D986" s="53" t="s">
        <v>1651</v>
      </c>
      <c r="E986" s="53" t="s">
        <v>1677</v>
      </c>
      <c r="F986" s="53" t="s">
        <v>741</v>
      </c>
      <c r="G986" s="53" t="s">
        <v>1648</v>
      </c>
      <c r="H986" s="53">
        <v>1.0</v>
      </c>
      <c r="I986" s="53">
        <v>0.014344262295081968</v>
      </c>
      <c r="J986" s="53">
        <v>0.0</v>
      </c>
      <c r="K986" s="53" t="s">
        <v>53</v>
      </c>
      <c r="L986" s="53" t="s">
        <v>53</v>
      </c>
    </row>
    <row r="987" ht="15.75" customHeight="1">
      <c r="A987" s="53" t="s">
        <v>1668</v>
      </c>
      <c r="B987" s="53" t="s">
        <v>2445</v>
      </c>
      <c r="C987" s="53" t="s">
        <v>1687</v>
      </c>
      <c r="D987" s="53" t="s">
        <v>154</v>
      </c>
      <c r="E987" s="53" t="s">
        <v>1678</v>
      </c>
      <c r="F987" s="53" t="s">
        <v>145</v>
      </c>
      <c r="G987" s="53" t="s">
        <v>141</v>
      </c>
      <c r="H987" s="53">
        <v>1.0</v>
      </c>
      <c r="I987" s="53">
        <v>0.4090909090909091</v>
      </c>
      <c r="J987" s="53">
        <v>1.0</v>
      </c>
      <c r="K987" s="53" t="s">
        <v>53</v>
      </c>
      <c r="L987" s="53" t="s">
        <v>53</v>
      </c>
    </row>
    <row r="988" ht="15.75" customHeight="1">
      <c r="A988" s="53" t="s">
        <v>1613</v>
      </c>
      <c r="B988" s="53" t="s">
        <v>2445</v>
      </c>
      <c r="C988" s="53" t="s">
        <v>1687</v>
      </c>
      <c r="D988" s="53" t="s">
        <v>1614</v>
      </c>
      <c r="E988" s="53" t="s">
        <v>1988</v>
      </c>
      <c r="F988" s="53" t="s">
        <v>1616</v>
      </c>
      <c r="G988" s="53" t="s">
        <v>1617</v>
      </c>
      <c r="H988" s="53">
        <v>1.0</v>
      </c>
      <c r="I988" s="53">
        <v>0.4954545454545455</v>
      </c>
      <c r="J988" s="53">
        <v>1.0</v>
      </c>
      <c r="K988" s="53" t="s">
        <v>53</v>
      </c>
      <c r="L988" s="53" t="s">
        <v>53</v>
      </c>
    </row>
    <row r="989" ht="15.75" customHeight="1">
      <c r="A989" s="53" t="s">
        <v>1613</v>
      </c>
      <c r="B989" s="53" t="s">
        <v>2445</v>
      </c>
      <c r="C989" s="53" t="s">
        <v>1687</v>
      </c>
      <c r="D989" s="53" t="s">
        <v>1614</v>
      </c>
      <c r="E989" s="53" t="s">
        <v>1990</v>
      </c>
      <c r="F989" s="53" t="s">
        <v>1619</v>
      </c>
      <c r="G989" s="53" t="s">
        <v>1620</v>
      </c>
      <c r="H989" s="53">
        <v>1.0</v>
      </c>
      <c r="I989" s="53">
        <v>0.5981132075471698</v>
      </c>
      <c r="J989" s="53">
        <v>0.0</v>
      </c>
      <c r="K989" s="53" t="s">
        <v>53</v>
      </c>
      <c r="L989" s="53" t="s">
        <v>53</v>
      </c>
    </row>
    <row r="990" ht="15.75" customHeight="1">
      <c r="A990" s="53" t="s">
        <v>1613</v>
      </c>
      <c r="B990" s="53" t="s">
        <v>2445</v>
      </c>
      <c r="C990" s="53" t="s">
        <v>1687</v>
      </c>
      <c r="D990" s="53" t="s">
        <v>1620</v>
      </c>
      <c r="E990" s="53" t="s">
        <v>1992</v>
      </c>
      <c r="F990" s="53" t="s">
        <v>1622</v>
      </c>
      <c r="G990" s="53" t="s">
        <v>1617</v>
      </c>
      <c r="H990" s="53">
        <v>1.0</v>
      </c>
      <c r="I990" s="53">
        <v>0.7886792452830189</v>
      </c>
      <c r="J990" s="53">
        <v>0.0</v>
      </c>
      <c r="K990" s="53" t="s">
        <v>53</v>
      </c>
      <c r="L990" s="53" t="s">
        <v>53</v>
      </c>
    </row>
    <row r="991" ht="15.75" customHeight="1">
      <c r="A991" s="53" t="s">
        <v>2553</v>
      </c>
      <c r="B991" s="53" t="s">
        <v>2445</v>
      </c>
      <c r="C991" s="53" t="s">
        <v>1687</v>
      </c>
      <c r="D991" s="53" t="s">
        <v>566</v>
      </c>
      <c r="E991" s="53" t="s">
        <v>1785</v>
      </c>
      <c r="F991" s="53" t="s">
        <v>2554</v>
      </c>
      <c r="G991" s="53" t="s">
        <v>242</v>
      </c>
      <c r="H991" s="53">
        <v>1.0</v>
      </c>
      <c r="I991" s="53">
        <v>0.2948717948717949</v>
      </c>
      <c r="J991" s="53">
        <v>0.0</v>
      </c>
      <c r="K991" s="53" t="s">
        <v>53</v>
      </c>
      <c r="L991" s="53" t="s">
        <v>53</v>
      </c>
    </row>
    <row r="992" ht="15.75" customHeight="1">
      <c r="A992" s="53" t="s">
        <v>197</v>
      </c>
      <c r="B992" s="53" t="s">
        <v>2445</v>
      </c>
      <c r="C992" s="53" t="s">
        <v>1687</v>
      </c>
      <c r="D992" s="53" t="s">
        <v>200</v>
      </c>
      <c r="E992" s="53" t="s">
        <v>2009</v>
      </c>
      <c r="F992" s="53" t="s">
        <v>2555</v>
      </c>
      <c r="G992" s="53" t="s">
        <v>206</v>
      </c>
      <c r="H992" s="53">
        <v>1.0</v>
      </c>
      <c r="I992" s="53">
        <v>0.19254658385093168</v>
      </c>
      <c r="J992" s="53">
        <v>3.0</v>
      </c>
      <c r="K992" s="53" t="s">
        <v>53</v>
      </c>
      <c r="L992" s="53" t="s">
        <v>53</v>
      </c>
    </row>
    <row r="993" ht="15.75" customHeight="1">
      <c r="A993" s="53" t="s">
        <v>197</v>
      </c>
      <c r="B993" s="53" t="s">
        <v>2445</v>
      </c>
      <c r="C993" s="53" t="s">
        <v>1687</v>
      </c>
      <c r="D993" s="53" t="s">
        <v>1681</v>
      </c>
      <c r="E993" s="53" t="s">
        <v>1682</v>
      </c>
      <c r="F993" s="53" t="s">
        <v>1683</v>
      </c>
      <c r="G993" s="53" t="s">
        <v>1684</v>
      </c>
      <c r="H993" s="53">
        <v>1.0</v>
      </c>
      <c r="I993" s="53">
        <v>0.004329004329004329</v>
      </c>
      <c r="J993" s="53">
        <v>0.0</v>
      </c>
      <c r="K993" s="53" t="s">
        <v>53</v>
      </c>
      <c r="L993" s="53" t="s">
        <v>53</v>
      </c>
    </row>
    <row r="994" ht="15.75" customHeight="1">
      <c r="A994" s="53" t="s">
        <v>2556</v>
      </c>
      <c r="B994" s="53" t="s">
        <v>2445</v>
      </c>
      <c r="C994" s="53" t="s">
        <v>1687</v>
      </c>
      <c r="D994" s="53" t="s">
        <v>1758</v>
      </c>
      <c r="E994" s="53" t="s">
        <v>1759</v>
      </c>
      <c r="F994" s="53" t="s">
        <v>2557</v>
      </c>
      <c r="G994" s="53" t="s">
        <v>1739</v>
      </c>
      <c r="H994" s="53">
        <v>0.8</v>
      </c>
      <c r="I994" s="53">
        <v>0.6490939044481054</v>
      </c>
      <c r="J994" s="53">
        <v>2.0</v>
      </c>
      <c r="K994" s="53" t="s">
        <v>53</v>
      </c>
      <c r="L994" s="53" t="s">
        <v>2558</v>
      </c>
    </row>
    <row r="995" ht="15.75" customHeight="1">
      <c r="A995" s="53" t="s">
        <v>2556</v>
      </c>
      <c r="B995" s="53" t="s">
        <v>2445</v>
      </c>
      <c r="C995" s="53" t="s">
        <v>1687</v>
      </c>
      <c r="D995" s="53" t="s">
        <v>1758</v>
      </c>
      <c r="E995" s="53" t="s">
        <v>1762</v>
      </c>
      <c r="F995" s="53" t="s">
        <v>2557</v>
      </c>
      <c r="G995" s="53" t="s">
        <v>232</v>
      </c>
      <c r="H995" s="53">
        <v>0.8</v>
      </c>
      <c r="I995" s="53">
        <v>0.6507413509060955</v>
      </c>
      <c r="J995" s="53">
        <v>1.0</v>
      </c>
      <c r="K995" s="53" t="s">
        <v>53</v>
      </c>
      <c r="L995" s="53" t="s">
        <v>2558</v>
      </c>
    </row>
    <row r="996" ht="15.75" customHeight="1">
      <c r="A996" s="53" t="s">
        <v>2556</v>
      </c>
      <c r="B996" s="53" t="s">
        <v>2445</v>
      </c>
      <c r="C996" s="53" t="s">
        <v>1687</v>
      </c>
      <c r="D996" s="53" t="s">
        <v>1758</v>
      </c>
      <c r="E996" s="53" t="s">
        <v>1763</v>
      </c>
      <c r="F996" s="53" t="s">
        <v>2557</v>
      </c>
      <c r="G996" s="53" t="s">
        <v>1736</v>
      </c>
      <c r="H996" s="53">
        <v>0.8</v>
      </c>
      <c r="I996" s="53">
        <v>0.6507413509060955</v>
      </c>
      <c r="J996" s="53">
        <v>0.0</v>
      </c>
      <c r="K996" s="53" t="s">
        <v>53</v>
      </c>
      <c r="L996" s="53" t="s">
        <v>2558</v>
      </c>
    </row>
    <row r="997" ht="15.75" customHeight="1">
      <c r="A997" s="53" t="s">
        <v>2556</v>
      </c>
      <c r="B997" s="53" t="s">
        <v>2445</v>
      </c>
      <c r="C997" s="53" t="s">
        <v>1687</v>
      </c>
      <c r="D997" s="53" t="s">
        <v>1758</v>
      </c>
      <c r="E997" s="53" t="s">
        <v>1764</v>
      </c>
      <c r="F997" s="53" t="s">
        <v>2557</v>
      </c>
      <c r="G997" s="53" t="s">
        <v>539</v>
      </c>
      <c r="H997" s="53">
        <v>0.8</v>
      </c>
      <c r="I997" s="53">
        <v>0.6803953871499177</v>
      </c>
      <c r="J997" s="53">
        <v>3.0</v>
      </c>
      <c r="K997" s="53" t="s">
        <v>53</v>
      </c>
      <c r="L997" s="53" t="s">
        <v>2558</v>
      </c>
    </row>
    <row r="998" ht="15.75" customHeight="1">
      <c r="A998" s="53" t="s">
        <v>2556</v>
      </c>
      <c r="B998" s="53" t="s">
        <v>2445</v>
      </c>
      <c r="C998" s="53" t="s">
        <v>1687</v>
      </c>
      <c r="D998" s="53" t="s">
        <v>1758</v>
      </c>
      <c r="E998" s="53" t="s">
        <v>1765</v>
      </c>
      <c r="F998" s="53" t="s">
        <v>2557</v>
      </c>
      <c r="G998" s="53" t="s">
        <v>1742</v>
      </c>
      <c r="H998" s="53">
        <v>0.8</v>
      </c>
      <c r="I998" s="53">
        <v>0.6869851729818781</v>
      </c>
      <c r="J998" s="53">
        <v>12.0</v>
      </c>
      <c r="K998" s="53" t="s">
        <v>53</v>
      </c>
      <c r="L998" s="53" t="s">
        <v>2558</v>
      </c>
    </row>
    <row r="999" ht="15.75" customHeight="1">
      <c r="A999" s="53" t="s">
        <v>2556</v>
      </c>
      <c r="B999" s="53" t="s">
        <v>2445</v>
      </c>
      <c r="C999" s="53" t="s">
        <v>1687</v>
      </c>
      <c r="D999" s="53" t="s">
        <v>1736</v>
      </c>
      <c r="E999" s="53" t="s">
        <v>1766</v>
      </c>
      <c r="F999" s="53" t="s">
        <v>2559</v>
      </c>
      <c r="G999" s="53" t="s">
        <v>1739</v>
      </c>
      <c r="H999" s="53">
        <v>1.0</v>
      </c>
      <c r="I999" s="53">
        <v>0.01818181818181818</v>
      </c>
      <c r="J999" s="53">
        <v>1.0</v>
      </c>
      <c r="K999" s="53" t="s">
        <v>53</v>
      </c>
      <c r="L999" s="53" t="s">
        <v>53</v>
      </c>
    </row>
    <row r="1000" ht="15.75" customHeight="1">
      <c r="A1000" s="53" t="s">
        <v>2556</v>
      </c>
      <c r="B1000" s="53" t="s">
        <v>2445</v>
      </c>
      <c r="C1000" s="53" t="s">
        <v>1687</v>
      </c>
      <c r="D1000" s="53" t="s">
        <v>1736</v>
      </c>
      <c r="E1000" s="53" t="s">
        <v>1768</v>
      </c>
      <c r="F1000" s="53" t="s">
        <v>2559</v>
      </c>
      <c r="G1000" s="53" t="s">
        <v>232</v>
      </c>
      <c r="H1000" s="53">
        <v>1.0</v>
      </c>
      <c r="I1000" s="53">
        <v>0.043010752688172046</v>
      </c>
      <c r="J1000" s="53">
        <v>0.0</v>
      </c>
      <c r="K1000" s="53" t="s">
        <v>53</v>
      </c>
      <c r="L1000" s="53" t="s">
        <v>53</v>
      </c>
    </row>
    <row r="1001" ht="15.75" customHeight="1">
      <c r="A1001" s="53" t="s">
        <v>2556</v>
      </c>
      <c r="B1001" s="53" t="s">
        <v>2445</v>
      </c>
      <c r="C1001" s="53" t="s">
        <v>1687</v>
      </c>
      <c r="D1001" s="53" t="s">
        <v>1736</v>
      </c>
      <c r="E1001" s="53" t="s">
        <v>1769</v>
      </c>
      <c r="F1001" s="53" t="s">
        <v>2559</v>
      </c>
      <c r="G1001" s="53" t="s">
        <v>539</v>
      </c>
      <c r="H1001" s="53">
        <v>1.0</v>
      </c>
      <c r="I1001" s="53">
        <v>0.35766423357664234</v>
      </c>
      <c r="J1001" s="53">
        <v>2.0</v>
      </c>
      <c r="K1001" s="53" t="s">
        <v>53</v>
      </c>
      <c r="L1001" s="53" t="s">
        <v>53</v>
      </c>
    </row>
    <row r="1002" ht="15.75" customHeight="1">
      <c r="A1002" s="53" t="s">
        <v>2556</v>
      </c>
      <c r="B1002" s="53" t="s">
        <v>2445</v>
      </c>
      <c r="C1002" s="53" t="s">
        <v>1687</v>
      </c>
      <c r="D1002" s="53" t="s">
        <v>1736</v>
      </c>
      <c r="E1002" s="53" t="s">
        <v>1770</v>
      </c>
      <c r="F1002" s="53" t="s">
        <v>2559</v>
      </c>
      <c r="G1002" s="53" t="s">
        <v>1742</v>
      </c>
      <c r="H1002" s="53">
        <v>1.0</v>
      </c>
      <c r="I1002" s="53">
        <v>0.4858156028368794</v>
      </c>
      <c r="J1002" s="53">
        <v>11.0</v>
      </c>
      <c r="K1002" s="53" t="s">
        <v>53</v>
      </c>
      <c r="L1002" s="53" t="s">
        <v>53</v>
      </c>
    </row>
    <row r="1003" ht="15.75" customHeight="1">
      <c r="A1003" s="53" t="s">
        <v>2556</v>
      </c>
      <c r="B1003" s="53" t="s">
        <v>2445</v>
      </c>
      <c r="C1003" s="53" t="s">
        <v>1687</v>
      </c>
      <c r="D1003" s="53" t="s">
        <v>232</v>
      </c>
      <c r="E1003" s="53" t="s">
        <v>1771</v>
      </c>
      <c r="F1003" s="53" t="s">
        <v>2559</v>
      </c>
      <c r="G1003" s="53" t="s">
        <v>1739</v>
      </c>
      <c r="H1003" s="53">
        <v>1.0</v>
      </c>
      <c r="I1003" s="53">
        <v>0.043010752688172046</v>
      </c>
      <c r="J1003" s="53">
        <v>0.0</v>
      </c>
      <c r="K1003" s="53" t="s">
        <v>53</v>
      </c>
      <c r="L1003" s="53" t="s">
        <v>53</v>
      </c>
    </row>
    <row r="1004" ht="15.75" customHeight="1">
      <c r="A1004" s="53" t="s">
        <v>2556</v>
      </c>
      <c r="B1004" s="53" t="s">
        <v>2445</v>
      </c>
      <c r="C1004" s="53" t="s">
        <v>1687</v>
      </c>
      <c r="D1004" s="53" t="s">
        <v>232</v>
      </c>
      <c r="E1004" s="53" t="s">
        <v>1772</v>
      </c>
      <c r="F1004" s="53" t="s">
        <v>2559</v>
      </c>
      <c r="G1004" s="53" t="s">
        <v>539</v>
      </c>
      <c r="H1004" s="53">
        <v>1.0</v>
      </c>
      <c r="I1004" s="53">
        <v>0.3655913978494624</v>
      </c>
      <c r="J1004" s="53">
        <v>1.0</v>
      </c>
      <c r="K1004" s="53" t="s">
        <v>53</v>
      </c>
      <c r="L1004" s="53" t="s">
        <v>53</v>
      </c>
    </row>
    <row r="1005" ht="15.75" customHeight="1">
      <c r="A1005" s="53" t="s">
        <v>2556</v>
      </c>
      <c r="B1005" s="53" t="s">
        <v>2445</v>
      </c>
      <c r="C1005" s="53" t="s">
        <v>1687</v>
      </c>
      <c r="D1005" s="53" t="s">
        <v>232</v>
      </c>
      <c r="E1005" s="53" t="s">
        <v>1773</v>
      </c>
      <c r="F1005" s="53" t="s">
        <v>2559</v>
      </c>
      <c r="G1005" s="53" t="s">
        <v>1742</v>
      </c>
      <c r="H1005" s="53">
        <v>1.0</v>
      </c>
      <c r="I1005" s="53">
        <v>0.49645390070921985</v>
      </c>
      <c r="J1005" s="53">
        <v>10.0</v>
      </c>
      <c r="K1005" s="53" t="s">
        <v>53</v>
      </c>
      <c r="L1005" s="53" t="s">
        <v>53</v>
      </c>
    </row>
    <row r="1006" ht="15.75" customHeight="1">
      <c r="A1006" s="53" t="s">
        <v>2556</v>
      </c>
      <c r="B1006" s="53" t="s">
        <v>2445</v>
      </c>
      <c r="C1006" s="53" t="s">
        <v>1687</v>
      </c>
      <c r="D1006" s="53" t="s">
        <v>1739</v>
      </c>
      <c r="E1006" s="53" t="s">
        <v>1774</v>
      </c>
      <c r="F1006" s="53" t="s">
        <v>2559</v>
      </c>
      <c r="G1006" s="53" t="s">
        <v>539</v>
      </c>
      <c r="H1006" s="53">
        <v>1.0</v>
      </c>
      <c r="I1006" s="53">
        <v>0.36</v>
      </c>
      <c r="J1006" s="53">
        <v>0.0</v>
      </c>
      <c r="K1006" s="53" t="s">
        <v>53</v>
      </c>
      <c r="L1006" s="53" t="s">
        <v>53</v>
      </c>
    </row>
    <row r="1007" ht="15.75" customHeight="1">
      <c r="A1007" s="53" t="s">
        <v>2556</v>
      </c>
      <c r="B1007" s="53" t="s">
        <v>2445</v>
      </c>
      <c r="C1007" s="53" t="s">
        <v>1687</v>
      </c>
      <c r="D1007" s="53" t="s">
        <v>1739</v>
      </c>
      <c r="E1007" s="53" t="s">
        <v>1775</v>
      </c>
      <c r="F1007" s="53" t="s">
        <v>2559</v>
      </c>
      <c r="G1007" s="53" t="s">
        <v>1742</v>
      </c>
      <c r="H1007" s="53">
        <v>1.0</v>
      </c>
      <c r="I1007" s="53">
        <v>0.4858156028368794</v>
      </c>
      <c r="J1007" s="53">
        <v>9.0</v>
      </c>
      <c r="K1007" s="53" t="s">
        <v>53</v>
      </c>
      <c r="L1007" s="53" t="s">
        <v>53</v>
      </c>
    </row>
    <row r="1008" ht="15.75" customHeight="1">
      <c r="A1008" s="53" t="s">
        <v>2556</v>
      </c>
      <c r="B1008" s="53" t="s">
        <v>2445</v>
      </c>
      <c r="C1008" s="53" t="s">
        <v>1687</v>
      </c>
      <c r="D1008" s="53" t="s">
        <v>539</v>
      </c>
      <c r="E1008" s="53" t="s">
        <v>1776</v>
      </c>
      <c r="F1008" s="53" t="s">
        <v>2559</v>
      </c>
      <c r="G1008" s="53" t="s">
        <v>1742</v>
      </c>
      <c r="H1008" s="53">
        <v>1.0</v>
      </c>
      <c r="I1008" s="53">
        <v>0.524822695035461</v>
      </c>
      <c r="J1008" s="53">
        <v>8.0</v>
      </c>
      <c r="K1008" s="53" t="s">
        <v>53</v>
      </c>
      <c r="L1008" s="53" t="s">
        <v>53</v>
      </c>
    </row>
    <row r="1009" ht="15.75" customHeight="1">
      <c r="A1009" s="53" t="s">
        <v>2556</v>
      </c>
      <c r="B1009" s="53" t="s">
        <v>2445</v>
      </c>
      <c r="C1009" s="53" t="s">
        <v>1687</v>
      </c>
      <c r="D1009" s="53" t="s">
        <v>242</v>
      </c>
      <c r="E1009" s="53" t="s">
        <v>1777</v>
      </c>
      <c r="F1009" s="53" t="s">
        <v>2560</v>
      </c>
      <c r="G1009" s="53" t="s">
        <v>178</v>
      </c>
      <c r="H1009" s="53">
        <v>1.0</v>
      </c>
      <c r="I1009" s="53">
        <v>0.36824324324324326</v>
      </c>
      <c r="J1009" s="53">
        <v>7.0</v>
      </c>
      <c r="K1009" s="53" t="s">
        <v>53</v>
      </c>
      <c r="L1009" s="53" t="s">
        <v>53</v>
      </c>
    </row>
    <row r="1010" ht="15.75" customHeight="1">
      <c r="A1010" s="53" t="s">
        <v>2556</v>
      </c>
      <c r="B1010" s="53" t="s">
        <v>2445</v>
      </c>
      <c r="C1010" s="53" t="s">
        <v>1687</v>
      </c>
      <c r="D1010" s="53" t="s">
        <v>1022</v>
      </c>
      <c r="E1010" s="53" t="s">
        <v>1779</v>
      </c>
      <c r="F1010" s="53" t="s">
        <v>2561</v>
      </c>
      <c r="G1010" s="53" t="s">
        <v>169</v>
      </c>
      <c r="H1010" s="53">
        <v>0.3333333333333333</v>
      </c>
      <c r="I1010" s="53">
        <v>0.020202020202020204</v>
      </c>
      <c r="J1010" s="53">
        <v>0.0</v>
      </c>
      <c r="K1010" s="53" t="s">
        <v>53</v>
      </c>
      <c r="L1010" s="53" t="s">
        <v>2562</v>
      </c>
    </row>
    <row r="1011" ht="15.75" customHeight="1">
      <c r="A1011" s="53" t="s">
        <v>2556</v>
      </c>
      <c r="B1011" s="53" t="s">
        <v>2445</v>
      </c>
      <c r="C1011" s="53" t="s">
        <v>1687</v>
      </c>
      <c r="D1011" s="53" t="s">
        <v>1749</v>
      </c>
      <c r="E1011" s="53" t="s">
        <v>1782</v>
      </c>
      <c r="F1011" s="53" t="s">
        <v>2563</v>
      </c>
      <c r="G1011" s="53" t="s">
        <v>1752</v>
      </c>
      <c r="H1011" s="53">
        <v>0.7142857142857143</v>
      </c>
      <c r="I1011" s="53">
        <v>0.04074702886247878</v>
      </c>
      <c r="J1011" s="53">
        <v>1.0</v>
      </c>
      <c r="K1011" s="53" t="s">
        <v>53</v>
      </c>
      <c r="L1011" s="53" t="s">
        <v>2562</v>
      </c>
    </row>
    <row r="1012" ht="15.75" customHeight="1">
      <c r="A1012" s="53" t="s">
        <v>2564</v>
      </c>
      <c r="B1012" s="53" t="s">
        <v>2445</v>
      </c>
      <c r="C1012" s="53" t="s">
        <v>1687</v>
      </c>
      <c r="D1012" s="53" t="s">
        <v>2291</v>
      </c>
      <c r="E1012" s="53" t="s">
        <v>2292</v>
      </c>
      <c r="F1012" s="53" t="s">
        <v>741</v>
      </c>
      <c r="G1012" s="53" t="s">
        <v>2293</v>
      </c>
      <c r="H1012" s="53">
        <v>1.0</v>
      </c>
      <c r="I1012" s="53">
        <v>0.5290322580645161</v>
      </c>
      <c r="J1012" s="53">
        <v>7.0</v>
      </c>
      <c r="K1012" s="53" t="s">
        <v>53</v>
      </c>
      <c r="L1012" s="53" t="s">
        <v>53</v>
      </c>
    </row>
    <row r="1013" ht="15.75" customHeight="1">
      <c r="A1013" s="53" t="s">
        <v>2564</v>
      </c>
      <c r="B1013" s="53" t="s">
        <v>2445</v>
      </c>
      <c r="C1013" s="53" t="s">
        <v>1687</v>
      </c>
      <c r="D1013" s="53" t="s">
        <v>2291</v>
      </c>
      <c r="E1013" s="53" t="s">
        <v>2294</v>
      </c>
      <c r="F1013" s="53" t="s">
        <v>741</v>
      </c>
      <c r="G1013" s="53" t="s">
        <v>2295</v>
      </c>
      <c r="H1013" s="53">
        <v>1.0</v>
      </c>
      <c r="I1013" s="53">
        <v>0.5870967741935483</v>
      </c>
      <c r="J1013" s="53">
        <v>13.0</v>
      </c>
      <c r="K1013" s="53" t="s">
        <v>53</v>
      </c>
      <c r="L1013" s="53" t="s">
        <v>53</v>
      </c>
    </row>
    <row r="1014" ht="15.75" customHeight="1">
      <c r="A1014" s="53" t="s">
        <v>2564</v>
      </c>
      <c r="B1014" s="53" t="s">
        <v>2445</v>
      </c>
      <c r="C1014" s="53" t="s">
        <v>1687</v>
      </c>
      <c r="D1014" s="53" t="s">
        <v>2291</v>
      </c>
      <c r="E1014" s="53" t="s">
        <v>2296</v>
      </c>
      <c r="F1014" s="53" t="s">
        <v>741</v>
      </c>
      <c r="G1014" s="53" t="s">
        <v>2297</v>
      </c>
      <c r="H1014" s="53">
        <v>1.0</v>
      </c>
      <c r="I1014" s="53">
        <v>0.5903225806451613</v>
      </c>
      <c r="J1014" s="53">
        <v>6.0</v>
      </c>
      <c r="K1014" s="53" t="s">
        <v>53</v>
      </c>
      <c r="L1014" s="53" t="s">
        <v>53</v>
      </c>
    </row>
    <row r="1015" ht="15.75" customHeight="1">
      <c r="A1015" s="53" t="s">
        <v>2564</v>
      </c>
      <c r="B1015" s="53" t="s">
        <v>2445</v>
      </c>
      <c r="C1015" s="53" t="s">
        <v>1687</v>
      </c>
      <c r="D1015" s="53" t="s">
        <v>2298</v>
      </c>
      <c r="E1015" s="53" t="s">
        <v>2299</v>
      </c>
      <c r="F1015" s="53" t="s">
        <v>2565</v>
      </c>
      <c r="G1015" s="53" t="s">
        <v>2301</v>
      </c>
      <c r="H1015" s="53">
        <v>1.0</v>
      </c>
      <c r="I1015" s="53">
        <v>0.12380952380952381</v>
      </c>
      <c r="J1015" s="53">
        <v>8.0</v>
      </c>
      <c r="K1015" s="53" t="s">
        <v>53</v>
      </c>
      <c r="L1015" s="53" t="s">
        <v>53</v>
      </c>
    </row>
    <row r="1016" ht="15.75" customHeight="1">
      <c r="A1016" s="53" t="s">
        <v>2564</v>
      </c>
      <c r="B1016" s="53" t="s">
        <v>2445</v>
      </c>
      <c r="C1016" s="53" t="s">
        <v>1687</v>
      </c>
      <c r="D1016" s="53" t="s">
        <v>2298</v>
      </c>
      <c r="E1016" s="53" t="s">
        <v>2302</v>
      </c>
      <c r="F1016" s="53" t="s">
        <v>2565</v>
      </c>
      <c r="G1016" s="53" t="s">
        <v>2303</v>
      </c>
      <c r="H1016" s="53">
        <v>1.0</v>
      </c>
      <c r="I1016" s="53">
        <v>0.168141592920354</v>
      </c>
      <c r="J1016" s="53">
        <v>7.0</v>
      </c>
      <c r="K1016" s="53" t="s">
        <v>53</v>
      </c>
      <c r="L1016" s="53" t="s">
        <v>53</v>
      </c>
    </row>
    <row r="1017" ht="15.75" customHeight="1">
      <c r="A1017" s="53" t="s">
        <v>2564</v>
      </c>
      <c r="B1017" s="53" t="s">
        <v>2445</v>
      </c>
      <c r="C1017" s="53" t="s">
        <v>1687</v>
      </c>
      <c r="D1017" s="53" t="s">
        <v>2298</v>
      </c>
      <c r="E1017" s="53" t="s">
        <v>2304</v>
      </c>
      <c r="F1017" s="53" t="s">
        <v>2566</v>
      </c>
      <c r="G1017" s="53" t="s">
        <v>2306</v>
      </c>
      <c r="H1017" s="53">
        <v>1.0</v>
      </c>
      <c r="I1017" s="53">
        <v>0.41818181818181815</v>
      </c>
      <c r="J1017" s="53">
        <v>9.0</v>
      </c>
      <c r="K1017" s="53" t="s">
        <v>53</v>
      </c>
      <c r="L1017" s="53" t="s">
        <v>2307</v>
      </c>
    </row>
    <row r="1018" ht="15.75" customHeight="1">
      <c r="A1018" s="53" t="s">
        <v>2564</v>
      </c>
      <c r="B1018" s="53" t="s">
        <v>2445</v>
      </c>
      <c r="C1018" s="53" t="s">
        <v>1687</v>
      </c>
      <c r="D1018" s="53" t="s">
        <v>2298</v>
      </c>
      <c r="E1018" s="53" t="s">
        <v>2308</v>
      </c>
      <c r="F1018" s="53" t="s">
        <v>2566</v>
      </c>
      <c r="G1018" s="53" t="s">
        <v>2309</v>
      </c>
      <c r="H1018" s="53">
        <v>1.0</v>
      </c>
      <c r="I1018" s="53">
        <v>0.42857142857142855</v>
      </c>
      <c r="J1018" s="53">
        <v>11.0</v>
      </c>
      <c r="K1018" s="53" t="s">
        <v>53</v>
      </c>
      <c r="L1018" s="53" t="s">
        <v>2307</v>
      </c>
    </row>
    <row r="1019" ht="15.75" customHeight="1">
      <c r="A1019" s="53" t="s">
        <v>2564</v>
      </c>
      <c r="B1019" s="53" t="s">
        <v>2445</v>
      </c>
      <c r="C1019" s="53" t="s">
        <v>1687</v>
      </c>
      <c r="D1019" s="53" t="s">
        <v>2298</v>
      </c>
      <c r="E1019" s="53" t="s">
        <v>2310</v>
      </c>
      <c r="F1019" s="53" t="s">
        <v>2567</v>
      </c>
      <c r="G1019" s="53" t="s">
        <v>689</v>
      </c>
      <c r="H1019" s="53">
        <v>1.0</v>
      </c>
      <c r="I1019" s="53">
        <v>0.7889344262295082</v>
      </c>
      <c r="J1019" s="53">
        <v>3.0</v>
      </c>
      <c r="K1019" s="53" t="s">
        <v>53</v>
      </c>
      <c r="L1019" s="53" t="s">
        <v>2307</v>
      </c>
    </row>
    <row r="1020" ht="15.75" customHeight="1">
      <c r="A1020" s="53" t="s">
        <v>2564</v>
      </c>
      <c r="B1020" s="53" t="s">
        <v>2445</v>
      </c>
      <c r="C1020" s="53" t="s">
        <v>1687</v>
      </c>
      <c r="D1020" s="53" t="s">
        <v>2298</v>
      </c>
      <c r="E1020" s="53" t="s">
        <v>2312</v>
      </c>
      <c r="F1020" s="53" t="s">
        <v>2568</v>
      </c>
      <c r="G1020" s="53" t="s">
        <v>2314</v>
      </c>
      <c r="H1020" s="53">
        <v>1.0</v>
      </c>
      <c r="I1020" s="53">
        <v>0.8134057971014492</v>
      </c>
      <c r="J1020" s="53">
        <v>4.0</v>
      </c>
      <c r="K1020" s="53" t="s">
        <v>53</v>
      </c>
      <c r="L1020" s="53" t="s">
        <v>2307</v>
      </c>
    </row>
    <row r="1021" ht="15.75" customHeight="1">
      <c r="A1021" s="53" t="s">
        <v>2564</v>
      </c>
      <c r="B1021" s="53" t="s">
        <v>2445</v>
      </c>
      <c r="C1021" s="53" t="s">
        <v>1687</v>
      </c>
      <c r="D1021" s="53" t="s">
        <v>2298</v>
      </c>
      <c r="E1021" s="53" t="s">
        <v>2315</v>
      </c>
      <c r="F1021" s="53" t="s">
        <v>2569</v>
      </c>
      <c r="G1021" s="53" t="s">
        <v>2317</v>
      </c>
      <c r="H1021" s="53">
        <v>1.0</v>
      </c>
      <c r="I1021" s="53">
        <v>0.8344155844155844</v>
      </c>
      <c r="J1021" s="53">
        <v>13.0</v>
      </c>
      <c r="K1021" s="53" t="s">
        <v>53</v>
      </c>
      <c r="L1021" s="53" t="s">
        <v>2307</v>
      </c>
    </row>
    <row r="1022" ht="15.75" customHeight="1">
      <c r="A1022" s="53" t="s">
        <v>2564</v>
      </c>
      <c r="B1022" s="53" t="s">
        <v>2445</v>
      </c>
      <c r="C1022" s="53" t="s">
        <v>1687</v>
      </c>
      <c r="D1022" s="53" t="s">
        <v>2298</v>
      </c>
      <c r="E1022" s="53" t="s">
        <v>2318</v>
      </c>
      <c r="F1022" s="53" t="s">
        <v>2570</v>
      </c>
      <c r="G1022" s="53" t="s">
        <v>2320</v>
      </c>
      <c r="H1022" s="53">
        <v>1.0</v>
      </c>
      <c r="I1022" s="53">
        <v>0.8483063328424153</v>
      </c>
      <c r="J1022" s="53">
        <v>1.0</v>
      </c>
      <c r="K1022" s="53" t="s">
        <v>53</v>
      </c>
      <c r="L1022" s="53" t="s">
        <v>2307</v>
      </c>
    </row>
    <row r="1023" ht="15.75" customHeight="1">
      <c r="A1023" s="53" t="s">
        <v>2564</v>
      </c>
      <c r="B1023" s="53" t="s">
        <v>2445</v>
      </c>
      <c r="C1023" s="53" t="s">
        <v>1687</v>
      </c>
      <c r="D1023" s="53" t="s">
        <v>2298</v>
      </c>
      <c r="E1023" s="53" t="s">
        <v>2321</v>
      </c>
      <c r="F1023" s="53" t="s">
        <v>2571</v>
      </c>
      <c r="G1023" s="53" t="s">
        <v>2323</v>
      </c>
      <c r="H1023" s="53">
        <v>1.0</v>
      </c>
      <c r="I1023" s="53">
        <v>0.9031954887218046</v>
      </c>
      <c r="J1023" s="53">
        <v>2.0</v>
      </c>
      <c r="K1023" s="53" t="s">
        <v>53</v>
      </c>
      <c r="L1023" s="53" t="s">
        <v>2307</v>
      </c>
    </row>
    <row r="1024" ht="15.75" customHeight="1">
      <c r="A1024" s="53" t="s">
        <v>2564</v>
      </c>
      <c r="B1024" s="53" t="s">
        <v>2445</v>
      </c>
      <c r="C1024" s="53" t="s">
        <v>1687</v>
      </c>
      <c r="D1024" s="53" t="s">
        <v>2320</v>
      </c>
      <c r="E1024" s="53" t="s">
        <v>2324</v>
      </c>
      <c r="F1024" s="53" t="s">
        <v>2572</v>
      </c>
      <c r="G1024" s="53" t="s">
        <v>2317</v>
      </c>
      <c r="H1024" s="53">
        <v>1.0</v>
      </c>
      <c r="I1024" s="53">
        <v>0.10309278350515463</v>
      </c>
      <c r="J1024" s="53">
        <v>11.0</v>
      </c>
      <c r="K1024" s="53" t="s">
        <v>53</v>
      </c>
      <c r="L1024" s="53" t="s">
        <v>53</v>
      </c>
    </row>
    <row r="1025" ht="15.75" customHeight="1">
      <c r="A1025" s="53" t="s">
        <v>2564</v>
      </c>
      <c r="B1025" s="53" t="s">
        <v>2445</v>
      </c>
      <c r="C1025" s="53" t="s">
        <v>1687</v>
      </c>
      <c r="D1025" s="53" t="s">
        <v>2320</v>
      </c>
      <c r="E1025" s="53" t="s">
        <v>2326</v>
      </c>
      <c r="F1025" s="53" t="s">
        <v>2573</v>
      </c>
      <c r="G1025" s="53" t="s">
        <v>2314</v>
      </c>
      <c r="H1025" s="53">
        <v>1.0</v>
      </c>
      <c r="I1025" s="53">
        <v>0.19145802650957292</v>
      </c>
      <c r="J1025" s="53">
        <v>2.0</v>
      </c>
      <c r="K1025" s="53" t="s">
        <v>53</v>
      </c>
      <c r="L1025" s="53" t="s">
        <v>53</v>
      </c>
    </row>
    <row r="1026" ht="15.75" customHeight="1">
      <c r="A1026" s="53" t="s">
        <v>2564</v>
      </c>
      <c r="B1026" s="53" t="s">
        <v>2445</v>
      </c>
      <c r="C1026" s="53" t="s">
        <v>1687</v>
      </c>
      <c r="D1026" s="53" t="s">
        <v>2320</v>
      </c>
      <c r="E1026" s="53" t="s">
        <v>2328</v>
      </c>
      <c r="F1026" s="53" t="s">
        <v>2574</v>
      </c>
      <c r="G1026" s="53" t="s">
        <v>689</v>
      </c>
      <c r="H1026" s="53">
        <v>1.0</v>
      </c>
      <c r="I1026" s="53">
        <v>0.28424153166421207</v>
      </c>
      <c r="J1026" s="53">
        <v>1.0</v>
      </c>
      <c r="K1026" s="53" t="s">
        <v>53</v>
      </c>
      <c r="L1026" s="53" t="s">
        <v>53</v>
      </c>
    </row>
    <row r="1027" ht="15.75" customHeight="1">
      <c r="A1027" s="53" t="s">
        <v>2564</v>
      </c>
      <c r="B1027" s="53" t="s">
        <v>2445</v>
      </c>
      <c r="C1027" s="53" t="s">
        <v>1687</v>
      </c>
      <c r="D1027" s="53" t="s">
        <v>2320</v>
      </c>
      <c r="E1027" s="53" t="s">
        <v>2330</v>
      </c>
      <c r="F1027" s="53" t="s">
        <v>2575</v>
      </c>
      <c r="G1027" s="53" t="s">
        <v>2323</v>
      </c>
      <c r="H1027" s="53">
        <v>1.0</v>
      </c>
      <c r="I1027" s="53">
        <v>0.36278195488721804</v>
      </c>
      <c r="J1027" s="53">
        <v>0.0</v>
      </c>
      <c r="K1027" s="53" t="s">
        <v>53</v>
      </c>
      <c r="L1027" s="53" t="s">
        <v>53</v>
      </c>
    </row>
    <row r="1028" ht="15.75" customHeight="1">
      <c r="A1028" s="53" t="s">
        <v>2564</v>
      </c>
      <c r="B1028" s="53" t="s">
        <v>2445</v>
      </c>
      <c r="C1028" s="53" t="s">
        <v>1687</v>
      </c>
      <c r="D1028" s="53" t="s">
        <v>2320</v>
      </c>
      <c r="E1028" s="53" t="s">
        <v>2332</v>
      </c>
      <c r="F1028" s="53" t="s">
        <v>2576</v>
      </c>
      <c r="G1028" s="53" t="s">
        <v>2309</v>
      </c>
      <c r="H1028" s="53">
        <v>1.0</v>
      </c>
      <c r="I1028" s="53">
        <v>0.7584683357879234</v>
      </c>
      <c r="J1028" s="53">
        <v>9.0</v>
      </c>
      <c r="K1028" s="53" t="s">
        <v>53</v>
      </c>
      <c r="L1028" s="53" t="s">
        <v>53</v>
      </c>
    </row>
    <row r="1029" ht="15.75" customHeight="1">
      <c r="A1029" s="53" t="s">
        <v>2564</v>
      </c>
      <c r="B1029" s="53" t="s">
        <v>2445</v>
      </c>
      <c r="C1029" s="53" t="s">
        <v>1687</v>
      </c>
      <c r="D1029" s="53" t="s">
        <v>2320</v>
      </c>
      <c r="E1029" s="53" t="s">
        <v>2334</v>
      </c>
      <c r="F1029" s="53" t="s">
        <v>2576</v>
      </c>
      <c r="G1029" s="53" t="s">
        <v>2306</v>
      </c>
      <c r="H1029" s="53">
        <v>1.0</v>
      </c>
      <c r="I1029" s="53">
        <v>0.7643593519882179</v>
      </c>
      <c r="J1029" s="53">
        <v>7.0</v>
      </c>
      <c r="K1029" s="53" t="s">
        <v>53</v>
      </c>
      <c r="L1029" s="53" t="s">
        <v>53</v>
      </c>
    </row>
    <row r="1030" ht="15.75" customHeight="1">
      <c r="A1030" s="53" t="s">
        <v>2564</v>
      </c>
      <c r="B1030" s="53" t="s">
        <v>2445</v>
      </c>
      <c r="C1030" s="53" t="s">
        <v>1687</v>
      </c>
      <c r="D1030" s="53" t="s">
        <v>2320</v>
      </c>
      <c r="E1030" s="53" t="s">
        <v>2335</v>
      </c>
      <c r="F1030" s="53" t="s">
        <v>2577</v>
      </c>
      <c r="G1030" s="53" t="s">
        <v>2303</v>
      </c>
      <c r="H1030" s="53">
        <v>1.0</v>
      </c>
      <c r="I1030" s="53">
        <v>0.8424153166421208</v>
      </c>
      <c r="J1030" s="53">
        <v>5.0</v>
      </c>
      <c r="K1030" s="53" t="s">
        <v>53</v>
      </c>
      <c r="L1030" s="53" t="s">
        <v>2307</v>
      </c>
    </row>
    <row r="1031" ht="15.75" customHeight="1">
      <c r="A1031" s="53" t="s">
        <v>2564</v>
      </c>
      <c r="B1031" s="53" t="s">
        <v>2445</v>
      </c>
      <c r="C1031" s="53" t="s">
        <v>1687</v>
      </c>
      <c r="D1031" s="53" t="s">
        <v>2320</v>
      </c>
      <c r="E1031" s="53" t="s">
        <v>2337</v>
      </c>
      <c r="F1031" s="53" t="s">
        <v>2577</v>
      </c>
      <c r="G1031" s="53" t="s">
        <v>2301</v>
      </c>
      <c r="H1031" s="53">
        <v>1.0</v>
      </c>
      <c r="I1031" s="53">
        <v>0.8586156111929307</v>
      </c>
      <c r="J1031" s="53">
        <v>6.0</v>
      </c>
      <c r="K1031" s="53" t="s">
        <v>53</v>
      </c>
      <c r="L1031" s="53" t="s">
        <v>2307</v>
      </c>
    </row>
    <row r="1032" ht="15.75" customHeight="1">
      <c r="A1032" s="53" t="s">
        <v>2564</v>
      </c>
      <c r="B1032" s="53" t="s">
        <v>2445</v>
      </c>
      <c r="C1032" s="53" t="s">
        <v>1687</v>
      </c>
      <c r="D1032" s="53" t="s">
        <v>2323</v>
      </c>
      <c r="E1032" s="53" t="s">
        <v>2338</v>
      </c>
      <c r="F1032" s="53" t="s">
        <v>2578</v>
      </c>
      <c r="G1032" s="53" t="s">
        <v>2317</v>
      </c>
      <c r="H1032" s="53">
        <v>1.0</v>
      </c>
      <c r="I1032" s="53">
        <v>0.424812030075188</v>
      </c>
      <c r="J1032" s="53">
        <v>10.0</v>
      </c>
      <c r="K1032" s="53" t="s">
        <v>53</v>
      </c>
      <c r="L1032" s="53" t="s">
        <v>53</v>
      </c>
    </row>
    <row r="1033" ht="15.75" customHeight="1">
      <c r="A1033" s="53" t="s">
        <v>2564</v>
      </c>
      <c r="B1033" s="53" t="s">
        <v>2445</v>
      </c>
      <c r="C1033" s="53" t="s">
        <v>1687</v>
      </c>
      <c r="D1033" s="53" t="s">
        <v>2323</v>
      </c>
      <c r="E1033" s="53" t="s">
        <v>2340</v>
      </c>
      <c r="F1033" s="53" t="s">
        <v>2579</v>
      </c>
      <c r="G1033" s="53" t="s">
        <v>2314</v>
      </c>
      <c r="H1033" s="53">
        <v>1.0</v>
      </c>
      <c r="I1033" s="53">
        <v>0.48214285714285715</v>
      </c>
      <c r="J1033" s="53">
        <v>1.0</v>
      </c>
      <c r="K1033" s="53" t="s">
        <v>53</v>
      </c>
      <c r="L1033" s="53" t="s">
        <v>53</v>
      </c>
    </row>
    <row r="1034" ht="15.75" customHeight="1">
      <c r="A1034" s="53" t="s">
        <v>2564</v>
      </c>
      <c r="B1034" s="53" t="s">
        <v>2445</v>
      </c>
      <c r="C1034" s="53" t="s">
        <v>1687</v>
      </c>
      <c r="D1034" s="53" t="s">
        <v>2323</v>
      </c>
      <c r="E1034" s="53" t="s">
        <v>2342</v>
      </c>
      <c r="F1034" s="53" t="s">
        <v>2580</v>
      </c>
      <c r="G1034" s="53" t="s">
        <v>689</v>
      </c>
      <c r="H1034" s="53">
        <v>1.0</v>
      </c>
      <c r="I1034" s="53">
        <v>0.5422932330827067</v>
      </c>
      <c r="J1034" s="53">
        <v>0.0</v>
      </c>
      <c r="K1034" s="53" t="s">
        <v>53</v>
      </c>
      <c r="L1034" s="53" t="s">
        <v>53</v>
      </c>
    </row>
    <row r="1035" ht="15.75" customHeight="1">
      <c r="A1035" s="53" t="s">
        <v>2564</v>
      </c>
      <c r="B1035" s="53" t="s">
        <v>2445</v>
      </c>
      <c r="C1035" s="53" t="s">
        <v>1687</v>
      </c>
      <c r="D1035" s="53" t="s">
        <v>2323</v>
      </c>
      <c r="E1035" s="53" t="s">
        <v>2344</v>
      </c>
      <c r="F1035" s="53" t="s">
        <v>2581</v>
      </c>
      <c r="G1035" s="53" t="s">
        <v>2309</v>
      </c>
      <c r="H1035" s="53">
        <v>1.0</v>
      </c>
      <c r="I1035" s="53">
        <v>0.8458646616541353</v>
      </c>
      <c r="J1035" s="53">
        <v>8.0</v>
      </c>
      <c r="K1035" s="53" t="s">
        <v>53</v>
      </c>
      <c r="L1035" s="53" t="s">
        <v>53</v>
      </c>
    </row>
    <row r="1036" ht="15.75" customHeight="1">
      <c r="A1036" s="53" t="s">
        <v>2564</v>
      </c>
      <c r="B1036" s="53" t="s">
        <v>2445</v>
      </c>
      <c r="C1036" s="53" t="s">
        <v>1687</v>
      </c>
      <c r="D1036" s="53" t="s">
        <v>2323</v>
      </c>
      <c r="E1036" s="53" t="s">
        <v>2346</v>
      </c>
      <c r="F1036" s="53" t="s">
        <v>2581</v>
      </c>
      <c r="G1036" s="53" t="s">
        <v>2306</v>
      </c>
      <c r="H1036" s="53">
        <v>1.0</v>
      </c>
      <c r="I1036" s="53">
        <v>0.849624060150376</v>
      </c>
      <c r="J1036" s="53">
        <v>6.0</v>
      </c>
      <c r="K1036" s="53" t="s">
        <v>53</v>
      </c>
      <c r="L1036" s="53" t="s">
        <v>53</v>
      </c>
    </row>
    <row r="1037" ht="15.75" customHeight="1">
      <c r="A1037" s="53" t="s">
        <v>2564</v>
      </c>
      <c r="B1037" s="53" t="s">
        <v>2445</v>
      </c>
      <c r="C1037" s="53" t="s">
        <v>1687</v>
      </c>
      <c r="D1037" s="53" t="s">
        <v>2323</v>
      </c>
      <c r="E1037" s="53" t="s">
        <v>2347</v>
      </c>
      <c r="F1037" s="53" t="s">
        <v>2582</v>
      </c>
      <c r="G1037" s="53" t="s">
        <v>2303</v>
      </c>
      <c r="H1037" s="53">
        <v>1.0</v>
      </c>
      <c r="I1037" s="53">
        <v>0.8994360902255639</v>
      </c>
      <c r="J1037" s="53">
        <v>4.0</v>
      </c>
      <c r="K1037" s="53" t="s">
        <v>53</v>
      </c>
      <c r="L1037" s="53" t="s">
        <v>2307</v>
      </c>
    </row>
    <row r="1038" ht="15.75" customHeight="1">
      <c r="A1038" s="53" t="s">
        <v>2564</v>
      </c>
      <c r="B1038" s="53" t="s">
        <v>2445</v>
      </c>
      <c r="C1038" s="53" t="s">
        <v>1687</v>
      </c>
      <c r="D1038" s="53" t="s">
        <v>2323</v>
      </c>
      <c r="E1038" s="53" t="s">
        <v>2349</v>
      </c>
      <c r="F1038" s="53" t="s">
        <v>2582</v>
      </c>
      <c r="G1038" s="53" t="s">
        <v>2301</v>
      </c>
      <c r="H1038" s="53">
        <v>1.0</v>
      </c>
      <c r="I1038" s="53">
        <v>0.9097744360902256</v>
      </c>
      <c r="J1038" s="53">
        <v>5.0</v>
      </c>
      <c r="K1038" s="53" t="s">
        <v>53</v>
      </c>
      <c r="L1038" s="53" t="s">
        <v>2307</v>
      </c>
    </row>
    <row r="1039" ht="15.75" customHeight="1">
      <c r="A1039" s="53" t="s">
        <v>2564</v>
      </c>
      <c r="B1039" s="53" t="s">
        <v>2445</v>
      </c>
      <c r="C1039" s="53" t="s">
        <v>1687</v>
      </c>
      <c r="D1039" s="53" t="s">
        <v>689</v>
      </c>
      <c r="E1039" s="53" t="s">
        <v>2350</v>
      </c>
      <c r="F1039" s="53" t="s">
        <v>2583</v>
      </c>
      <c r="G1039" s="53" t="s">
        <v>2314</v>
      </c>
      <c r="H1039" s="53">
        <v>1.0</v>
      </c>
      <c r="I1039" s="53">
        <v>0.11775362318840579</v>
      </c>
      <c r="J1039" s="53">
        <v>0.0</v>
      </c>
      <c r="K1039" s="53" t="s">
        <v>53</v>
      </c>
      <c r="L1039" s="53" t="s">
        <v>53</v>
      </c>
    </row>
    <row r="1040" ht="15.75" customHeight="1">
      <c r="A1040" s="53" t="s">
        <v>2564</v>
      </c>
      <c r="B1040" s="53" t="s">
        <v>2445</v>
      </c>
      <c r="C1040" s="53" t="s">
        <v>1687</v>
      </c>
      <c r="D1040" s="53" t="s">
        <v>689</v>
      </c>
      <c r="E1040" s="53" t="s">
        <v>2352</v>
      </c>
      <c r="F1040" s="53" t="s">
        <v>2584</v>
      </c>
      <c r="G1040" s="53" t="s">
        <v>2317</v>
      </c>
      <c r="H1040" s="53">
        <v>1.0</v>
      </c>
      <c r="I1040" s="53">
        <v>0.2159090909090909</v>
      </c>
      <c r="J1040" s="53">
        <v>9.0</v>
      </c>
      <c r="K1040" s="53" t="s">
        <v>53</v>
      </c>
      <c r="L1040" s="53" t="s">
        <v>53</v>
      </c>
    </row>
    <row r="1041" ht="15.75" customHeight="1">
      <c r="A1041" s="53" t="s">
        <v>2564</v>
      </c>
      <c r="B1041" s="53" t="s">
        <v>2445</v>
      </c>
      <c r="C1041" s="53" t="s">
        <v>1687</v>
      </c>
      <c r="D1041" s="53" t="s">
        <v>689</v>
      </c>
      <c r="E1041" s="53" t="s">
        <v>2354</v>
      </c>
      <c r="F1041" s="53" t="s">
        <v>2585</v>
      </c>
      <c r="G1041" s="53" t="s">
        <v>2309</v>
      </c>
      <c r="H1041" s="53">
        <v>1.0</v>
      </c>
      <c r="I1041" s="53">
        <v>0.6639344262295082</v>
      </c>
      <c r="J1041" s="53">
        <v>7.0</v>
      </c>
      <c r="K1041" s="53" t="s">
        <v>53</v>
      </c>
      <c r="L1041" s="53" t="s">
        <v>53</v>
      </c>
    </row>
    <row r="1042" ht="15.75" customHeight="1">
      <c r="A1042" s="53" t="s">
        <v>2564</v>
      </c>
      <c r="B1042" s="53" t="s">
        <v>2445</v>
      </c>
      <c r="C1042" s="53" t="s">
        <v>1687</v>
      </c>
      <c r="D1042" s="53" t="s">
        <v>689</v>
      </c>
      <c r="E1042" s="53" t="s">
        <v>2356</v>
      </c>
      <c r="F1042" s="53" t="s">
        <v>2585</v>
      </c>
      <c r="G1042" s="53" t="s">
        <v>2306</v>
      </c>
      <c r="H1042" s="53">
        <v>1.0</v>
      </c>
      <c r="I1042" s="53">
        <v>0.6721311475409836</v>
      </c>
      <c r="J1042" s="53">
        <v>5.0</v>
      </c>
      <c r="K1042" s="53" t="s">
        <v>53</v>
      </c>
      <c r="L1042" s="53" t="s">
        <v>53</v>
      </c>
    </row>
    <row r="1043" ht="15.75" customHeight="1">
      <c r="A1043" s="53" t="s">
        <v>2564</v>
      </c>
      <c r="B1043" s="53" t="s">
        <v>2445</v>
      </c>
      <c r="C1043" s="53" t="s">
        <v>1687</v>
      </c>
      <c r="D1043" s="53" t="s">
        <v>689</v>
      </c>
      <c r="E1043" s="53" t="s">
        <v>2357</v>
      </c>
      <c r="F1043" s="53" t="s">
        <v>2586</v>
      </c>
      <c r="G1043" s="53" t="s">
        <v>2303</v>
      </c>
      <c r="H1043" s="53">
        <v>1.0</v>
      </c>
      <c r="I1043" s="53">
        <v>0.7807377049180327</v>
      </c>
      <c r="J1043" s="53">
        <v>3.0</v>
      </c>
      <c r="K1043" s="53" t="s">
        <v>53</v>
      </c>
      <c r="L1043" s="53" t="s">
        <v>2307</v>
      </c>
    </row>
    <row r="1044" ht="15.75" customHeight="1">
      <c r="A1044" s="53" t="s">
        <v>2564</v>
      </c>
      <c r="B1044" s="53" t="s">
        <v>2445</v>
      </c>
      <c r="C1044" s="53" t="s">
        <v>1687</v>
      </c>
      <c r="D1044" s="53" t="s">
        <v>689</v>
      </c>
      <c r="E1044" s="53" t="s">
        <v>2359</v>
      </c>
      <c r="F1044" s="53" t="s">
        <v>2586</v>
      </c>
      <c r="G1044" s="53" t="s">
        <v>2301</v>
      </c>
      <c r="H1044" s="53">
        <v>1.0</v>
      </c>
      <c r="I1044" s="53">
        <v>0.8032786885245902</v>
      </c>
      <c r="J1044" s="53">
        <v>4.0</v>
      </c>
      <c r="K1044" s="53" t="s">
        <v>53</v>
      </c>
      <c r="L1044" s="53" t="s">
        <v>2307</v>
      </c>
    </row>
    <row r="1045" ht="15.75" customHeight="1">
      <c r="A1045" s="53" t="s">
        <v>2564</v>
      </c>
      <c r="B1045" s="53" t="s">
        <v>2445</v>
      </c>
      <c r="C1045" s="53" t="s">
        <v>1687</v>
      </c>
      <c r="D1045" s="53" t="s">
        <v>2314</v>
      </c>
      <c r="E1045" s="53" t="s">
        <v>2360</v>
      </c>
      <c r="F1045" s="53" t="s">
        <v>2587</v>
      </c>
      <c r="G1045" s="53" t="s">
        <v>2317</v>
      </c>
      <c r="H1045" s="53">
        <v>1.0</v>
      </c>
      <c r="I1045" s="53">
        <v>0.11525974025974026</v>
      </c>
      <c r="J1045" s="53">
        <v>8.0</v>
      </c>
      <c r="K1045" s="53" t="s">
        <v>53</v>
      </c>
      <c r="L1045" s="53" t="s">
        <v>53</v>
      </c>
    </row>
    <row r="1046" ht="15.75" customHeight="1">
      <c r="A1046" s="53" t="s">
        <v>2564</v>
      </c>
      <c r="B1046" s="53" t="s">
        <v>2445</v>
      </c>
      <c r="C1046" s="53" t="s">
        <v>1687</v>
      </c>
      <c r="D1046" s="53" t="s">
        <v>2314</v>
      </c>
      <c r="E1046" s="53" t="s">
        <v>2362</v>
      </c>
      <c r="F1046" s="53" t="s">
        <v>2588</v>
      </c>
      <c r="G1046" s="53" t="s">
        <v>2309</v>
      </c>
      <c r="H1046" s="53">
        <v>1.0</v>
      </c>
      <c r="I1046" s="53">
        <v>0.7028985507246377</v>
      </c>
      <c r="J1046" s="53">
        <v>6.0</v>
      </c>
      <c r="K1046" s="53" t="s">
        <v>53</v>
      </c>
      <c r="L1046" s="53" t="s">
        <v>53</v>
      </c>
    </row>
    <row r="1047" ht="15.75" customHeight="1">
      <c r="A1047" s="53" t="s">
        <v>2564</v>
      </c>
      <c r="B1047" s="53" t="s">
        <v>2445</v>
      </c>
      <c r="C1047" s="53" t="s">
        <v>1687</v>
      </c>
      <c r="D1047" s="53" t="s">
        <v>2314</v>
      </c>
      <c r="E1047" s="53" t="s">
        <v>2364</v>
      </c>
      <c r="F1047" s="53" t="s">
        <v>2588</v>
      </c>
      <c r="G1047" s="53" t="s">
        <v>2306</v>
      </c>
      <c r="H1047" s="53">
        <v>1.0</v>
      </c>
      <c r="I1047" s="53">
        <v>0.7101449275362319</v>
      </c>
      <c r="J1047" s="53">
        <v>4.0</v>
      </c>
      <c r="K1047" s="53" t="s">
        <v>53</v>
      </c>
      <c r="L1047" s="53" t="s">
        <v>53</v>
      </c>
    </row>
    <row r="1048" ht="15.75" customHeight="1">
      <c r="A1048" s="53" t="s">
        <v>2564</v>
      </c>
      <c r="B1048" s="53" t="s">
        <v>2445</v>
      </c>
      <c r="C1048" s="53" t="s">
        <v>1687</v>
      </c>
      <c r="D1048" s="53" t="s">
        <v>2314</v>
      </c>
      <c r="E1048" s="53" t="s">
        <v>2365</v>
      </c>
      <c r="F1048" s="53" t="s">
        <v>2589</v>
      </c>
      <c r="G1048" s="53" t="s">
        <v>2303</v>
      </c>
      <c r="H1048" s="53">
        <v>1.0</v>
      </c>
      <c r="I1048" s="53">
        <v>0.8061594202898551</v>
      </c>
      <c r="J1048" s="53">
        <v>2.0</v>
      </c>
      <c r="K1048" s="53" t="s">
        <v>53</v>
      </c>
      <c r="L1048" s="53" t="s">
        <v>2307</v>
      </c>
    </row>
    <row r="1049" ht="15.75" customHeight="1">
      <c r="A1049" s="53" t="s">
        <v>2564</v>
      </c>
      <c r="B1049" s="53" t="s">
        <v>2445</v>
      </c>
      <c r="C1049" s="53" t="s">
        <v>1687</v>
      </c>
      <c r="D1049" s="53" t="s">
        <v>2314</v>
      </c>
      <c r="E1049" s="53" t="s">
        <v>2367</v>
      </c>
      <c r="F1049" s="53" t="s">
        <v>2589</v>
      </c>
      <c r="G1049" s="53" t="s">
        <v>2301</v>
      </c>
      <c r="H1049" s="53">
        <v>1.0</v>
      </c>
      <c r="I1049" s="53">
        <v>0.8260869565217391</v>
      </c>
      <c r="J1049" s="53">
        <v>3.0</v>
      </c>
      <c r="K1049" s="53" t="s">
        <v>53</v>
      </c>
      <c r="L1049" s="53" t="s">
        <v>2307</v>
      </c>
    </row>
    <row r="1050" ht="15.75" customHeight="1">
      <c r="A1050" s="53" t="s">
        <v>2564</v>
      </c>
      <c r="B1050" s="53" t="s">
        <v>2445</v>
      </c>
      <c r="C1050" s="53" t="s">
        <v>1687</v>
      </c>
      <c r="D1050" s="53" t="s">
        <v>2297</v>
      </c>
      <c r="E1050" s="53" t="s">
        <v>2368</v>
      </c>
      <c r="F1050" s="53" t="s">
        <v>741</v>
      </c>
      <c r="G1050" s="53" t="s">
        <v>2293</v>
      </c>
      <c r="H1050" s="53">
        <v>1.0</v>
      </c>
      <c r="I1050" s="53">
        <v>0.12777777777777777</v>
      </c>
      <c r="J1050" s="53">
        <v>0.0</v>
      </c>
      <c r="K1050" s="53" t="s">
        <v>53</v>
      </c>
      <c r="L1050" s="53" t="s">
        <v>53</v>
      </c>
    </row>
    <row r="1051" ht="15.75" customHeight="1">
      <c r="A1051" s="53" t="s">
        <v>2564</v>
      </c>
      <c r="B1051" s="53" t="s">
        <v>2445</v>
      </c>
      <c r="C1051" s="53" t="s">
        <v>1687</v>
      </c>
      <c r="D1051" s="53" t="s">
        <v>2297</v>
      </c>
      <c r="E1051" s="53" t="s">
        <v>2369</v>
      </c>
      <c r="F1051" s="53" t="s">
        <v>741</v>
      </c>
      <c r="G1051" s="53" t="s">
        <v>2295</v>
      </c>
      <c r="H1051" s="53">
        <v>1.0</v>
      </c>
      <c r="I1051" s="53">
        <v>0.1834319526627219</v>
      </c>
      <c r="J1051" s="53">
        <v>6.0</v>
      </c>
      <c r="K1051" s="53" t="s">
        <v>53</v>
      </c>
      <c r="L1051" s="53" t="s">
        <v>53</v>
      </c>
    </row>
    <row r="1052" ht="15.75" customHeight="1">
      <c r="A1052" s="53" t="s">
        <v>2564</v>
      </c>
      <c r="B1052" s="53" t="s">
        <v>2445</v>
      </c>
      <c r="C1052" s="53" t="s">
        <v>1687</v>
      </c>
      <c r="D1052" s="53" t="s">
        <v>2293</v>
      </c>
      <c r="E1052" s="53" t="s">
        <v>2370</v>
      </c>
      <c r="F1052" s="53" t="s">
        <v>741</v>
      </c>
      <c r="G1052" s="53" t="s">
        <v>2295</v>
      </c>
      <c r="H1052" s="53">
        <v>1.0</v>
      </c>
      <c r="I1052" s="53">
        <v>0.23333333333333334</v>
      </c>
      <c r="J1052" s="53">
        <v>5.0</v>
      </c>
      <c r="K1052" s="53" t="s">
        <v>53</v>
      </c>
      <c r="L1052" s="53" t="s">
        <v>53</v>
      </c>
    </row>
    <row r="1053" ht="15.75" customHeight="1">
      <c r="A1053" s="53" t="s">
        <v>2564</v>
      </c>
      <c r="B1053" s="53" t="s">
        <v>2445</v>
      </c>
      <c r="C1053" s="53" t="s">
        <v>1687</v>
      </c>
      <c r="D1053" s="53" t="s">
        <v>2303</v>
      </c>
      <c r="E1053" s="53" t="s">
        <v>2371</v>
      </c>
      <c r="F1053" s="53" t="s">
        <v>2565</v>
      </c>
      <c r="G1053" s="53" t="s">
        <v>2301</v>
      </c>
      <c r="H1053" s="53">
        <v>1.0</v>
      </c>
      <c r="I1053" s="53">
        <v>0.17699115044247787</v>
      </c>
      <c r="J1053" s="53">
        <v>0.0</v>
      </c>
      <c r="K1053" s="53" t="s">
        <v>53</v>
      </c>
      <c r="L1053" s="53" t="s">
        <v>53</v>
      </c>
    </row>
    <row r="1054" ht="15.75" customHeight="1">
      <c r="A1054" s="53" t="s">
        <v>2564</v>
      </c>
      <c r="B1054" s="53" t="s">
        <v>2445</v>
      </c>
      <c r="C1054" s="53" t="s">
        <v>1687</v>
      </c>
      <c r="D1054" s="53" t="s">
        <v>2303</v>
      </c>
      <c r="E1054" s="53" t="s">
        <v>2372</v>
      </c>
      <c r="F1054" s="53" t="s">
        <v>2566</v>
      </c>
      <c r="G1054" s="53" t="s">
        <v>2306</v>
      </c>
      <c r="H1054" s="53">
        <v>1.0</v>
      </c>
      <c r="I1054" s="53">
        <v>0.40606060606060607</v>
      </c>
      <c r="J1054" s="53">
        <v>1.0</v>
      </c>
      <c r="K1054" s="53" t="s">
        <v>53</v>
      </c>
      <c r="L1054" s="53" t="s">
        <v>2307</v>
      </c>
    </row>
    <row r="1055" ht="15.75" customHeight="1">
      <c r="A1055" s="53" t="s">
        <v>2564</v>
      </c>
      <c r="B1055" s="53" t="s">
        <v>2445</v>
      </c>
      <c r="C1055" s="53" t="s">
        <v>1687</v>
      </c>
      <c r="D1055" s="53" t="s">
        <v>2303</v>
      </c>
      <c r="E1055" s="53" t="s">
        <v>2373</v>
      </c>
      <c r="F1055" s="53" t="s">
        <v>2566</v>
      </c>
      <c r="G1055" s="53" t="s">
        <v>2309</v>
      </c>
      <c r="H1055" s="53">
        <v>1.0</v>
      </c>
      <c r="I1055" s="53">
        <v>0.4166666666666667</v>
      </c>
      <c r="J1055" s="53">
        <v>3.0</v>
      </c>
      <c r="K1055" s="53" t="s">
        <v>53</v>
      </c>
      <c r="L1055" s="53" t="s">
        <v>2307</v>
      </c>
    </row>
    <row r="1056" ht="15.75" customHeight="1">
      <c r="A1056" s="53" t="s">
        <v>2564</v>
      </c>
      <c r="B1056" s="53" t="s">
        <v>2445</v>
      </c>
      <c r="C1056" s="53" t="s">
        <v>1687</v>
      </c>
      <c r="D1056" s="53" t="s">
        <v>2303</v>
      </c>
      <c r="E1056" s="53" t="s">
        <v>2374</v>
      </c>
      <c r="F1056" s="53" t="s">
        <v>2569</v>
      </c>
      <c r="G1056" s="53" t="s">
        <v>2317</v>
      </c>
      <c r="H1056" s="53">
        <v>1.0</v>
      </c>
      <c r="I1056" s="53">
        <v>0.8262987012987013</v>
      </c>
      <c r="J1056" s="53">
        <v>5.0</v>
      </c>
      <c r="K1056" s="53" t="s">
        <v>53</v>
      </c>
      <c r="L1056" s="53" t="s">
        <v>2307</v>
      </c>
    </row>
    <row r="1057" ht="15.75" customHeight="1">
      <c r="A1057" s="53" t="s">
        <v>2564</v>
      </c>
      <c r="B1057" s="53" t="s">
        <v>2445</v>
      </c>
      <c r="C1057" s="53" t="s">
        <v>1687</v>
      </c>
      <c r="D1057" s="53" t="s">
        <v>2301</v>
      </c>
      <c r="E1057" s="53" t="s">
        <v>2375</v>
      </c>
      <c r="F1057" s="53" t="s">
        <v>2566</v>
      </c>
      <c r="G1057" s="53" t="s">
        <v>2306</v>
      </c>
      <c r="H1057" s="53">
        <v>1.0</v>
      </c>
      <c r="I1057" s="53">
        <v>0.3939393939393939</v>
      </c>
      <c r="J1057" s="53">
        <v>0.0</v>
      </c>
      <c r="K1057" s="53" t="s">
        <v>53</v>
      </c>
      <c r="L1057" s="53" t="s">
        <v>2307</v>
      </c>
    </row>
    <row r="1058" ht="15.75" customHeight="1">
      <c r="A1058" s="53" t="s">
        <v>2564</v>
      </c>
      <c r="B1058" s="53" t="s">
        <v>2445</v>
      </c>
      <c r="C1058" s="53" t="s">
        <v>1687</v>
      </c>
      <c r="D1058" s="53" t="s">
        <v>2301</v>
      </c>
      <c r="E1058" s="53" t="s">
        <v>2376</v>
      </c>
      <c r="F1058" s="53" t="s">
        <v>2566</v>
      </c>
      <c r="G1058" s="53" t="s">
        <v>2309</v>
      </c>
      <c r="H1058" s="53">
        <v>1.0</v>
      </c>
      <c r="I1058" s="53">
        <v>0.43452380952380953</v>
      </c>
      <c r="J1058" s="53">
        <v>2.0</v>
      </c>
      <c r="K1058" s="53" t="s">
        <v>53</v>
      </c>
      <c r="L1058" s="53" t="s">
        <v>2307</v>
      </c>
    </row>
    <row r="1059" ht="15.75" customHeight="1">
      <c r="A1059" s="53" t="s">
        <v>2564</v>
      </c>
      <c r="B1059" s="53" t="s">
        <v>2445</v>
      </c>
      <c r="C1059" s="53" t="s">
        <v>1687</v>
      </c>
      <c r="D1059" s="53" t="s">
        <v>2301</v>
      </c>
      <c r="E1059" s="53" t="s">
        <v>2377</v>
      </c>
      <c r="F1059" s="53" t="s">
        <v>2569</v>
      </c>
      <c r="G1059" s="53" t="s">
        <v>2317</v>
      </c>
      <c r="H1059" s="53">
        <v>1.0</v>
      </c>
      <c r="I1059" s="53">
        <v>0.8441558441558441</v>
      </c>
      <c r="J1059" s="53">
        <v>4.0</v>
      </c>
      <c r="K1059" s="53" t="s">
        <v>53</v>
      </c>
      <c r="L1059" s="53" t="s">
        <v>2307</v>
      </c>
    </row>
    <row r="1060" ht="15.75" customHeight="1">
      <c r="A1060" s="53" t="s">
        <v>2564</v>
      </c>
      <c r="B1060" s="53" t="s">
        <v>2445</v>
      </c>
      <c r="C1060" s="53" t="s">
        <v>1687</v>
      </c>
      <c r="D1060" s="53" t="s">
        <v>2306</v>
      </c>
      <c r="E1060" s="53" t="s">
        <v>2378</v>
      </c>
      <c r="F1060" s="53" t="s">
        <v>2590</v>
      </c>
      <c r="G1060" s="53" t="s">
        <v>2309</v>
      </c>
      <c r="H1060" s="53">
        <v>1.0</v>
      </c>
      <c r="I1060" s="53">
        <v>0.05952380952380952</v>
      </c>
      <c r="J1060" s="53">
        <v>1.0</v>
      </c>
      <c r="K1060" s="53" t="s">
        <v>53</v>
      </c>
      <c r="L1060" s="53" t="s">
        <v>53</v>
      </c>
    </row>
    <row r="1061" ht="15.75" customHeight="1">
      <c r="A1061" s="53" t="s">
        <v>2564</v>
      </c>
      <c r="B1061" s="53" t="s">
        <v>2445</v>
      </c>
      <c r="C1061" s="53" t="s">
        <v>1687</v>
      </c>
      <c r="D1061" s="53" t="s">
        <v>2306</v>
      </c>
      <c r="E1061" s="53" t="s">
        <v>2380</v>
      </c>
      <c r="F1061" s="53" t="s">
        <v>2591</v>
      </c>
      <c r="G1061" s="53" t="s">
        <v>2317</v>
      </c>
      <c r="H1061" s="53">
        <v>1.0</v>
      </c>
      <c r="I1061" s="53">
        <v>0.7402597402597403</v>
      </c>
      <c r="J1061" s="53">
        <v>3.0</v>
      </c>
      <c r="K1061" s="53" t="s">
        <v>53</v>
      </c>
      <c r="L1061" s="53" t="s">
        <v>53</v>
      </c>
    </row>
    <row r="1062" ht="15.75" customHeight="1">
      <c r="A1062" s="53" t="s">
        <v>2564</v>
      </c>
      <c r="B1062" s="53" t="s">
        <v>2445</v>
      </c>
      <c r="C1062" s="53" t="s">
        <v>1687</v>
      </c>
      <c r="D1062" s="53" t="s">
        <v>2309</v>
      </c>
      <c r="E1062" s="53" t="s">
        <v>2382</v>
      </c>
      <c r="F1062" s="53" t="s">
        <v>2591</v>
      </c>
      <c r="G1062" s="53" t="s">
        <v>2317</v>
      </c>
      <c r="H1062" s="53">
        <v>1.0</v>
      </c>
      <c r="I1062" s="53">
        <v>0.7288961038961039</v>
      </c>
      <c r="J1062" s="53">
        <v>1.0</v>
      </c>
      <c r="K1062" s="53" t="s">
        <v>53</v>
      </c>
      <c r="L1062" s="53" t="s">
        <v>53</v>
      </c>
    </row>
    <row r="1063" ht="15.75" customHeight="1">
      <c r="A1063" s="53" t="s">
        <v>2564</v>
      </c>
      <c r="B1063" s="53" t="s">
        <v>2445</v>
      </c>
      <c r="C1063" s="53" t="s">
        <v>1687</v>
      </c>
      <c r="D1063" s="53" t="s">
        <v>1213</v>
      </c>
      <c r="E1063" s="53" t="s">
        <v>2383</v>
      </c>
      <c r="F1063" s="53" t="s">
        <v>2592</v>
      </c>
      <c r="G1063" s="53" t="s">
        <v>1216</v>
      </c>
      <c r="H1063" s="53">
        <v>1.0</v>
      </c>
      <c r="I1063" s="53">
        <v>0.2677165354330709</v>
      </c>
      <c r="J1063" s="53">
        <v>1.0</v>
      </c>
      <c r="K1063" s="53" t="s">
        <v>53</v>
      </c>
      <c r="L1063" s="53" t="s">
        <v>53</v>
      </c>
    </row>
    <row r="1064" ht="15.75" customHeight="1">
      <c r="A1064" s="53" t="s">
        <v>2564</v>
      </c>
      <c r="B1064" s="53" t="s">
        <v>2445</v>
      </c>
      <c r="C1064" s="53" t="s">
        <v>1687</v>
      </c>
      <c r="D1064" s="53" t="s">
        <v>2385</v>
      </c>
      <c r="E1064" s="53" t="s">
        <v>2386</v>
      </c>
      <c r="F1064" s="53" t="s">
        <v>2593</v>
      </c>
      <c r="G1064" s="53" t="s">
        <v>2388</v>
      </c>
      <c r="H1064" s="53">
        <v>1.0</v>
      </c>
      <c r="I1064" s="53">
        <v>0.025714285714285714</v>
      </c>
      <c r="J1064" s="53">
        <v>0.0</v>
      </c>
      <c r="K1064" s="53" t="s">
        <v>53</v>
      </c>
      <c r="L1064" s="53" t="s">
        <v>53</v>
      </c>
    </row>
    <row r="1065" ht="15.75" customHeight="1">
      <c r="A1065" s="53" t="s">
        <v>2594</v>
      </c>
      <c r="B1065" s="53" t="s">
        <v>231</v>
      </c>
      <c r="D1065" s="53" t="s">
        <v>1578</v>
      </c>
      <c r="E1065" s="53" t="s">
        <v>2595</v>
      </c>
      <c r="F1065" s="53" t="s">
        <v>1580</v>
      </c>
      <c r="G1065" s="53" t="s">
        <v>1581</v>
      </c>
      <c r="H1065" s="53">
        <v>1.0</v>
      </c>
      <c r="I1065" s="53">
        <v>0.043478260869565216</v>
      </c>
      <c r="J1065" s="53">
        <v>0.0</v>
      </c>
      <c r="K1065" s="53" t="s">
        <v>53</v>
      </c>
      <c r="L1065" s="53" t="s">
        <v>53</v>
      </c>
    </row>
    <row r="1066" ht="15.75" customHeight="1">
      <c r="A1066" s="53" t="s">
        <v>2594</v>
      </c>
      <c r="B1066" s="53" t="s">
        <v>231</v>
      </c>
      <c r="D1066" s="53" t="s">
        <v>1232</v>
      </c>
      <c r="E1066" s="53" t="s">
        <v>2242</v>
      </c>
      <c r="F1066" s="53" t="s">
        <v>2517</v>
      </c>
      <c r="G1066" s="53" t="s">
        <v>1235</v>
      </c>
      <c r="H1066" s="53">
        <v>1.0</v>
      </c>
      <c r="I1066" s="53">
        <v>0.5897887323943662</v>
      </c>
      <c r="J1066" s="53">
        <v>0.0</v>
      </c>
      <c r="K1066" s="53" t="s">
        <v>53</v>
      </c>
      <c r="L1066" s="53" t="s">
        <v>53</v>
      </c>
    </row>
    <row r="1067" ht="15.75" customHeight="1">
      <c r="A1067" s="53" t="s">
        <v>808</v>
      </c>
      <c r="B1067" s="53" t="s">
        <v>231</v>
      </c>
      <c r="D1067" s="53" t="s">
        <v>1181</v>
      </c>
      <c r="E1067" s="53" t="s">
        <v>1897</v>
      </c>
      <c r="F1067" s="53" t="s">
        <v>1183</v>
      </c>
      <c r="G1067" s="53" t="s">
        <v>1184</v>
      </c>
      <c r="H1067" s="53">
        <v>1.0</v>
      </c>
      <c r="I1067" s="53">
        <v>0.023972602739726026</v>
      </c>
      <c r="J1067" s="53">
        <v>0.0</v>
      </c>
      <c r="K1067" s="53" t="s">
        <v>53</v>
      </c>
      <c r="L1067" s="53" t="s">
        <v>53</v>
      </c>
    </row>
    <row r="1068" ht="15.75" customHeight="1">
      <c r="A1068" s="53" t="s">
        <v>808</v>
      </c>
      <c r="B1068" s="53" t="s">
        <v>231</v>
      </c>
      <c r="D1068" s="53" t="s">
        <v>1181</v>
      </c>
      <c r="E1068" s="53" t="s">
        <v>1899</v>
      </c>
      <c r="F1068" s="53" t="s">
        <v>1183</v>
      </c>
      <c r="G1068" s="53" t="s">
        <v>1187</v>
      </c>
      <c r="H1068" s="53">
        <v>1.0</v>
      </c>
      <c r="I1068" s="53">
        <v>0.0625</v>
      </c>
      <c r="J1068" s="53">
        <v>1.0</v>
      </c>
      <c r="K1068" s="53" t="s">
        <v>53</v>
      </c>
      <c r="L1068" s="53" t="s">
        <v>53</v>
      </c>
    </row>
    <row r="1069" ht="15.75" customHeight="1">
      <c r="A1069" s="53" t="s">
        <v>808</v>
      </c>
      <c r="B1069" s="53" t="s">
        <v>231</v>
      </c>
      <c r="D1069" s="53" t="s">
        <v>1181</v>
      </c>
      <c r="E1069" s="53" t="s">
        <v>1900</v>
      </c>
      <c r="F1069" s="53" t="s">
        <v>1183</v>
      </c>
      <c r="G1069" s="53" t="s">
        <v>1189</v>
      </c>
      <c r="H1069" s="53">
        <v>1.0</v>
      </c>
      <c r="I1069" s="53">
        <v>0.1467065868263473</v>
      </c>
      <c r="J1069" s="53">
        <v>2.0</v>
      </c>
      <c r="K1069" s="53" t="s">
        <v>53</v>
      </c>
      <c r="L1069" s="53" t="s">
        <v>53</v>
      </c>
    </row>
    <row r="1070" ht="15.75" customHeight="1">
      <c r="A1070" s="53" t="s">
        <v>808</v>
      </c>
      <c r="B1070" s="53" t="s">
        <v>231</v>
      </c>
      <c r="D1070" s="53" t="s">
        <v>1184</v>
      </c>
      <c r="E1070" s="53" t="s">
        <v>1901</v>
      </c>
      <c r="F1070" s="53" t="s">
        <v>1183</v>
      </c>
      <c r="G1070" s="53" t="s">
        <v>1187</v>
      </c>
      <c r="H1070" s="53">
        <v>1.0</v>
      </c>
      <c r="I1070" s="53">
        <v>0.0625</v>
      </c>
      <c r="J1070" s="53">
        <v>0.0</v>
      </c>
      <c r="K1070" s="53" t="s">
        <v>53</v>
      </c>
      <c r="L1070" s="53" t="s">
        <v>53</v>
      </c>
    </row>
    <row r="1071" ht="15.75" customHeight="1">
      <c r="A1071" s="53" t="s">
        <v>808</v>
      </c>
      <c r="B1071" s="53" t="s">
        <v>231</v>
      </c>
      <c r="D1071" s="53" t="s">
        <v>1184</v>
      </c>
      <c r="E1071" s="53" t="s">
        <v>1902</v>
      </c>
      <c r="F1071" s="53" t="s">
        <v>1183</v>
      </c>
      <c r="G1071" s="53" t="s">
        <v>1189</v>
      </c>
      <c r="H1071" s="53">
        <v>1.0</v>
      </c>
      <c r="I1071" s="53">
        <v>0.1467065868263473</v>
      </c>
      <c r="J1071" s="53">
        <v>1.0</v>
      </c>
      <c r="K1071" s="53" t="s">
        <v>53</v>
      </c>
      <c r="L1071" s="53" t="s">
        <v>53</v>
      </c>
    </row>
    <row r="1072" ht="15.75" customHeight="1">
      <c r="A1072" s="53" t="s">
        <v>808</v>
      </c>
      <c r="B1072" s="53" t="s">
        <v>231</v>
      </c>
      <c r="D1072" s="53" t="s">
        <v>1187</v>
      </c>
      <c r="E1072" s="53" t="s">
        <v>1903</v>
      </c>
      <c r="F1072" s="53" t="s">
        <v>1183</v>
      </c>
      <c r="G1072" s="53" t="s">
        <v>1189</v>
      </c>
      <c r="H1072" s="53">
        <v>1.0</v>
      </c>
      <c r="I1072" s="53">
        <v>0.11077844311377245</v>
      </c>
      <c r="J1072" s="53">
        <v>0.0</v>
      </c>
      <c r="K1072" s="53" t="s">
        <v>53</v>
      </c>
      <c r="L1072" s="53" t="s">
        <v>53</v>
      </c>
    </row>
    <row r="1073" ht="15.75" customHeight="1">
      <c r="A1073" s="53" t="s">
        <v>808</v>
      </c>
      <c r="B1073" s="53" t="s">
        <v>231</v>
      </c>
      <c r="D1073" s="53" t="s">
        <v>75</v>
      </c>
      <c r="E1073" s="53" t="s">
        <v>2596</v>
      </c>
      <c r="F1073" s="53" t="s">
        <v>73</v>
      </c>
      <c r="G1073" s="53" t="s">
        <v>114</v>
      </c>
      <c r="H1073" s="53">
        <v>1.0</v>
      </c>
      <c r="I1073" s="53">
        <v>0.6818181818181818</v>
      </c>
      <c r="J1073" s="53">
        <v>28.0</v>
      </c>
      <c r="K1073" s="53" t="s">
        <v>53</v>
      </c>
      <c r="L1073" s="53" t="s">
        <v>53</v>
      </c>
    </row>
    <row r="1074" ht="15.75" customHeight="1">
      <c r="A1074" s="53" t="s">
        <v>808</v>
      </c>
      <c r="B1074" s="53" t="s">
        <v>231</v>
      </c>
      <c r="D1074" s="53" t="s">
        <v>75</v>
      </c>
      <c r="E1074" s="53" t="s">
        <v>2597</v>
      </c>
      <c r="F1074" s="53" t="s">
        <v>73</v>
      </c>
      <c r="G1074" s="53" t="s">
        <v>69</v>
      </c>
      <c r="H1074" s="53">
        <v>1.0</v>
      </c>
      <c r="I1074" s="53">
        <v>0.6846846846846847</v>
      </c>
      <c r="J1074" s="53">
        <v>27.0</v>
      </c>
      <c r="K1074" s="53" t="s">
        <v>53</v>
      </c>
      <c r="L1074" s="53" t="s">
        <v>53</v>
      </c>
    </row>
    <row r="1075" ht="15.75" customHeight="1">
      <c r="A1075" s="53" t="s">
        <v>808</v>
      </c>
      <c r="B1075" s="53" t="s">
        <v>231</v>
      </c>
      <c r="D1075" s="53" t="s">
        <v>1397</v>
      </c>
      <c r="E1075" s="53" t="s">
        <v>1906</v>
      </c>
      <c r="F1075" s="53" t="s">
        <v>1399</v>
      </c>
      <c r="G1075" s="53" t="s">
        <v>1400</v>
      </c>
      <c r="H1075" s="53">
        <v>0.8</v>
      </c>
      <c r="I1075" s="53">
        <v>0.3248638838475499</v>
      </c>
      <c r="J1075" s="53">
        <v>0.0</v>
      </c>
      <c r="K1075" s="53" t="s">
        <v>53</v>
      </c>
      <c r="L1075" s="53" t="s">
        <v>1402</v>
      </c>
    </row>
    <row r="1076" ht="15.75" customHeight="1">
      <c r="A1076" s="53" t="s">
        <v>808</v>
      </c>
      <c r="B1076" s="53" t="s">
        <v>231</v>
      </c>
      <c r="D1076" s="53" t="s">
        <v>1908</v>
      </c>
      <c r="E1076" s="53" t="s">
        <v>1909</v>
      </c>
      <c r="F1076" s="53" t="s">
        <v>2486</v>
      </c>
      <c r="G1076" s="53" t="s">
        <v>1911</v>
      </c>
      <c r="H1076" s="53">
        <v>1.0</v>
      </c>
      <c r="I1076" s="53">
        <v>0.25</v>
      </c>
      <c r="J1076" s="53">
        <v>9.0</v>
      </c>
      <c r="K1076" s="53" t="s">
        <v>53</v>
      </c>
      <c r="L1076" s="53" t="s">
        <v>53</v>
      </c>
    </row>
    <row r="1077" ht="15.75" customHeight="1">
      <c r="A1077" s="53" t="s">
        <v>808</v>
      </c>
      <c r="B1077" s="53" t="s">
        <v>231</v>
      </c>
      <c r="D1077" s="53" t="s">
        <v>1908</v>
      </c>
      <c r="E1077" s="53" t="s">
        <v>1912</v>
      </c>
      <c r="F1077" s="53" t="s">
        <v>2487</v>
      </c>
      <c r="G1077" s="53" t="s">
        <v>1914</v>
      </c>
      <c r="H1077" s="53">
        <v>1.0</v>
      </c>
      <c r="I1077" s="53">
        <v>0.31718061674008813</v>
      </c>
      <c r="J1077" s="53">
        <v>0.0</v>
      </c>
      <c r="K1077" s="53" t="s">
        <v>53</v>
      </c>
      <c r="L1077" s="53" t="s">
        <v>1527</v>
      </c>
    </row>
    <row r="1078" ht="15.75" customHeight="1">
      <c r="A1078" s="53" t="s">
        <v>808</v>
      </c>
      <c r="B1078" s="53" t="s">
        <v>231</v>
      </c>
      <c r="D1078" s="53" t="s">
        <v>1908</v>
      </c>
      <c r="E1078" s="53" t="s">
        <v>1915</v>
      </c>
      <c r="F1078" s="53" t="s">
        <v>2488</v>
      </c>
      <c r="G1078" s="53" t="s">
        <v>1917</v>
      </c>
      <c r="H1078" s="53">
        <v>1.0</v>
      </c>
      <c r="I1078" s="53">
        <v>0.6947368421052632</v>
      </c>
      <c r="J1078" s="53">
        <v>2.0</v>
      </c>
      <c r="K1078" s="53" t="s">
        <v>53</v>
      </c>
      <c r="L1078" s="53" t="s">
        <v>1527</v>
      </c>
    </row>
    <row r="1079" ht="15.75" customHeight="1">
      <c r="A1079" s="53" t="s">
        <v>808</v>
      </c>
      <c r="B1079" s="53" t="s">
        <v>231</v>
      </c>
      <c r="D1079" s="53" t="s">
        <v>1908</v>
      </c>
      <c r="E1079" s="53" t="s">
        <v>1918</v>
      </c>
      <c r="F1079" s="53" t="s">
        <v>2488</v>
      </c>
      <c r="G1079" s="53" t="s">
        <v>1919</v>
      </c>
      <c r="H1079" s="53">
        <v>1.0</v>
      </c>
      <c r="I1079" s="53">
        <v>0.7072649572649573</v>
      </c>
      <c r="J1079" s="53">
        <v>1.0</v>
      </c>
      <c r="K1079" s="53" t="s">
        <v>53</v>
      </c>
      <c r="L1079" s="53" t="s">
        <v>1527</v>
      </c>
    </row>
    <row r="1080" ht="15.75" customHeight="1">
      <c r="A1080" s="53" t="s">
        <v>808</v>
      </c>
      <c r="B1080" s="53" t="s">
        <v>231</v>
      </c>
      <c r="D1080" s="53" t="s">
        <v>1908</v>
      </c>
      <c r="E1080" s="53" t="s">
        <v>1920</v>
      </c>
      <c r="F1080" s="53" t="s">
        <v>2489</v>
      </c>
      <c r="G1080" s="53" t="s">
        <v>1922</v>
      </c>
      <c r="H1080" s="53">
        <v>1.0</v>
      </c>
      <c r="I1080" s="53">
        <v>0.7361111111111112</v>
      </c>
      <c r="J1080" s="53">
        <v>12.0</v>
      </c>
      <c r="K1080" s="53" t="s">
        <v>53</v>
      </c>
      <c r="L1080" s="53" t="s">
        <v>1527</v>
      </c>
    </row>
    <row r="1081" ht="15.75" customHeight="1">
      <c r="A1081" s="53" t="s">
        <v>808</v>
      </c>
      <c r="B1081" s="53" t="s">
        <v>231</v>
      </c>
      <c r="D1081" s="53" t="s">
        <v>1914</v>
      </c>
      <c r="E1081" s="53" t="s">
        <v>1923</v>
      </c>
      <c r="F1081" s="53" t="s">
        <v>2490</v>
      </c>
      <c r="G1081" s="53" t="s">
        <v>1911</v>
      </c>
      <c r="H1081" s="53">
        <v>1.0</v>
      </c>
      <c r="I1081" s="53">
        <v>0.4845814977973568</v>
      </c>
      <c r="J1081" s="53">
        <v>8.0</v>
      </c>
      <c r="K1081" s="53" t="s">
        <v>53</v>
      </c>
      <c r="L1081" s="53" t="s">
        <v>1527</v>
      </c>
    </row>
    <row r="1082" ht="15.75" customHeight="1">
      <c r="A1082" s="53" t="s">
        <v>808</v>
      </c>
      <c r="B1082" s="53" t="s">
        <v>231</v>
      </c>
      <c r="D1082" s="53" t="s">
        <v>1914</v>
      </c>
      <c r="E1082" s="53" t="s">
        <v>1925</v>
      </c>
      <c r="F1082" s="53" t="s">
        <v>2491</v>
      </c>
      <c r="G1082" s="53" t="s">
        <v>1917</v>
      </c>
      <c r="H1082" s="53">
        <v>1.0</v>
      </c>
      <c r="I1082" s="53">
        <v>0.5642105263157895</v>
      </c>
      <c r="J1082" s="53">
        <v>1.0</v>
      </c>
      <c r="K1082" s="53" t="s">
        <v>53</v>
      </c>
      <c r="L1082" s="53" t="s">
        <v>53</v>
      </c>
    </row>
    <row r="1083" ht="15.75" customHeight="1">
      <c r="A1083" s="53" t="s">
        <v>808</v>
      </c>
      <c r="B1083" s="53" t="s">
        <v>231</v>
      </c>
      <c r="D1083" s="53" t="s">
        <v>1914</v>
      </c>
      <c r="E1083" s="53" t="s">
        <v>1927</v>
      </c>
      <c r="F1083" s="53" t="s">
        <v>2491</v>
      </c>
      <c r="G1083" s="53" t="s">
        <v>1919</v>
      </c>
      <c r="H1083" s="53">
        <v>1.0</v>
      </c>
      <c r="I1083" s="53">
        <v>0.5747863247863247</v>
      </c>
      <c r="J1083" s="53">
        <v>0.0</v>
      </c>
      <c r="K1083" s="53" t="s">
        <v>53</v>
      </c>
      <c r="L1083" s="53" t="s">
        <v>53</v>
      </c>
    </row>
    <row r="1084" ht="15.75" customHeight="1">
      <c r="A1084" s="53" t="s">
        <v>808</v>
      </c>
      <c r="B1084" s="53" t="s">
        <v>231</v>
      </c>
      <c r="D1084" s="53" t="s">
        <v>1914</v>
      </c>
      <c r="E1084" s="53" t="s">
        <v>1928</v>
      </c>
      <c r="F1084" s="53" t="s">
        <v>2492</v>
      </c>
      <c r="G1084" s="53" t="s">
        <v>1922</v>
      </c>
      <c r="H1084" s="53">
        <v>1.0</v>
      </c>
      <c r="I1084" s="53">
        <v>0.5992063492063492</v>
      </c>
      <c r="J1084" s="53">
        <v>11.0</v>
      </c>
      <c r="K1084" s="53" t="s">
        <v>53</v>
      </c>
      <c r="L1084" s="53" t="s">
        <v>53</v>
      </c>
    </row>
    <row r="1085" ht="15.75" customHeight="1">
      <c r="A1085" s="53" t="s">
        <v>808</v>
      </c>
      <c r="B1085" s="53" t="s">
        <v>231</v>
      </c>
      <c r="D1085" s="53" t="s">
        <v>1919</v>
      </c>
      <c r="E1085" s="53" t="s">
        <v>1930</v>
      </c>
      <c r="F1085" s="53" t="s">
        <v>2493</v>
      </c>
      <c r="G1085" s="53" t="s">
        <v>1917</v>
      </c>
      <c r="H1085" s="53">
        <v>1.0</v>
      </c>
      <c r="I1085" s="53">
        <v>0.014736842105263158</v>
      </c>
      <c r="J1085" s="53">
        <v>0.0</v>
      </c>
      <c r="K1085" s="53" t="s">
        <v>53</v>
      </c>
      <c r="L1085" s="53" t="s">
        <v>53</v>
      </c>
    </row>
    <row r="1086" ht="15.75" customHeight="1">
      <c r="A1086" s="53" t="s">
        <v>808</v>
      </c>
      <c r="B1086" s="53" t="s">
        <v>231</v>
      </c>
      <c r="D1086" s="53" t="s">
        <v>1919</v>
      </c>
      <c r="E1086" s="53" t="s">
        <v>1932</v>
      </c>
      <c r="F1086" s="53" t="s">
        <v>2494</v>
      </c>
      <c r="G1086" s="53" t="s">
        <v>1922</v>
      </c>
      <c r="H1086" s="53">
        <v>1.0</v>
      </c>
      <c r="I1086" s="53">
        <v>0.32142857142857145</v>
      </c>
      <c r="J1086" s="53">
        <v>10.0</v>
      </c>
      <c r="K1086" s="53" t="s">
        <v>53</v>
      </c>
      <c r="L1086" s="53" t="s">
        <v>53</v>
      </c>
    </row>
    <row r="1087" ht="15.75" customHeight="1">
      <c r="A1087" s="53" t="s">
        <v>808</v>
      </c>
      <c r="B1087" s="53" t="s">
        <v>231</v>
      </c>
      <c r="D1087" s="53" t="s">
        <v>1919</v>
      </c>
      <c r="E1087" s="53" t="s">
        <v>1934</v>
      </c>
      <c r="F1087" s="53" t="s">
        <v>2495</v>
      </c>
      <c r="G1087" s="53" t="s">
        <v>1911</v>
      </c>
      <c r="H1087" s="53">
        <v>1.0</v>
      </c>
      <c r="I1087" s="53">
        <v>0.7457264957264957</v>
      </c>
      <c r="J1087" s="53">
        <v>7.0</v>
      </c>
      <c r="K1087" s="53" t="s">
        <v>53</v>
      </c>
      <c r="L1087" s="53" t="s">
        <v>1527</v>
      </c>
    </row>
    <row r="1088" ht="15.75" customHeight="1">
      <c r="A1088" s="53" t="s">
        <v>808</v>
      </c>
      <c r="B1088" s="53" t="s">
        <v>231</v>
      </c>
      <c r="D1088" s="53" t="s">
        <v>1917</v>
      </c>
      <c r="E1088" s="53" t="s">
        <v>1936</v>
      </c>
      <c r="F1088" s="53" t="s">
        <v>2494</v>
      </c>
      <c r="G1088" s="53" t="s">
        <v>1922</v>
      </c>
      <c r="H1088" s="53">
        <v>1.0</v>
      </c>
      <c r="I1088" s="53">
        <v>0.3353174603174603</v>
      </c>
      <c r="J1088" s="53">
        <v>9.0</v>
      </c>
      <c r="K1088" s="53" t="s">
        <v>53</v>
      </c>
      <c r="L1088" s="53" t="s">
        <v>53</v>
      </c>
    </row>
    <row r="1089" ht="15.75" customHeight="1">
      <c r="A1089" s="53" t="s">
        <v>808</v>
      </c>
      <c r="B1089" s="53" t="s">
        <v>231</v>
      </c>
      <c r="D1089" s="53" t="s">
        <v>1917</v>
      </c>
      <c r="E1089" s="53" t="s">
        <v>1937</v>
      </c>
      <c r="F1089" s="53" t="s">
        <v>2495</v>
      </c>
      <c r="G1089" s="53" t="s">
        <v>1911</v>
      </c>
      <c r="H1089" s="53">
        <v>1.0</v>
      </c>
      <c r="I1089" s="53">
        <v>0.7494736842105263</v>
      </c>
      <c r="J1089" s="53">
        <v>6.0</v>
      </c>
      <c r="K1089" s="53" t="s">
        <v>53</v>
      </c>
      <c r="L1089" s="53" t="s">
        <v>1527</v>
      </c>
    </row>
    <row r="1090" ht="15.75" customHeight="1">
      <c r="A1090" s="53" t="s">
        <v>808</v>
      </c>
      <c r="B1090" s="53" t="s">
        <v>231</v>
      </c>
      <c r="D1090" s="53" t="s">
        <v>1911</v>
      </c>
      <c r="E1090" s="53" t="s">
        <v>1938</v>
      </c>
      <c r="F1090" s="53" t="s">
        <v>2489</v>
      </c>
      <c r="G1090" s="53" t="s">
        <v>1922</v>
      </c>
      <c r="H1090" s="53">
        <v>1.0</v>
      </c>
      <c r="I1090" s="53">
        <v>0.7400793650793651</v>
      </c>
      <c r="J1090" s="53">
        <v>2.0</v>
      </c>
      <c r="K1090" s="53" t="s">
        <v>53</v>
      </c>
      <c r="L1090" s="53" t="s">
        <v>1527</v>
      </c>
    </row>
    <row r="1091" ht="15.75" customHeight="1">
      <c r="A1091" s="53" t="s">
        <v>808</v>
      </c>
      <c r="B1091" s="53" t="s">
        <v>231</v>
      </c>
      <c r="D1091" s="53" t="s">
        <v>1939</v>
      </c>
      <c r="E1091" s="53" t="s">
        <v>1940</v>
      </c>
      <c r="F1091" s="53" t="s">
        <v>2496</v>
      </c>
      <c r="G1091" s="53" t="s">
        <v>1942</v>
      </c>
      <c r="H1091" s="53">
        <v>1.0</v>
      </c>
      <c r="I1091" s="53">
        <v>0.9697556254536657</v>
      </c>
      <c r="J1091" s="53">
        <v>8.0</v>
      </c>
      <c r="K1091" s="53" t="s">
        <v>53</v>
      </c>
      <c r="L1091" s="53" t="s">
        <v>53</v>
      </c>
    </row>
    <row r="1092" ht="15.75" customHeight="1">
      <c r="A1092" s="53" t="s">
        <v>808</v>
      </c>
      <c r="B1092" s="53" t="s">
        <v>231</v>
      </c>
      <c r="D1092" s="53" t="s">
        <v>69</v>
      </c>
      <c r="E1092" s="53" t="s">
        <v>2598</v>
      </c>
      <c r="F1092" s="53" t="s">
        <v>73</v>
      </c>
      <c r="G1092" s="53" t="s">
        <v>114</v>
      </c>
      <c r="H1092" s="53">
        <v>1.0</v>
      </c>
      <c r="I1092" s="53">
        <v>0.06306306306306306</v>
      </c>
      <c r="J1092" s="53">
        <v>0.0</v>
      </c>
      <c r="K1092" s="53" t="s">
        <v>53</v>
      </c>
      <c r="L1092" s="53" t="s">
        <v>53</v>
      </c>
    </row>
    <row r="1093" ht="15.75" customHeight="1">
      <c r="A1093" s="53" t="s">
        <v>808</v>
      </c>
      <c r="B1093" s="53" t="s">
        <v>231</v>
      </c>
      <c r="D1093" s="53" t="s">
        <v>1942</v>
      </c>
      <c r="E1093" s="53" t="s">
        <v>1944</v>
      </c>
      <c r="F1093" s="53" t="s">
        <v>2497</v>
      </c>
      <c r="G1093" s="53" t="s">
        <v>1946</v>
      </c>
      <c r="H1093" s="53">
        <v>0.2</v>
      </c>
      <c r="I1093" s="53">
        <v>0.09926677946982515</v>
      </c>
      <c r="J1093" s="53">
        <v>0.0</v>
      </c>
      <c r="K1093" s="53" t="s">
        <v>53</v>
      </c>
      <c r="L1093" s="53" t="s">
        <v>2498</v>
      </c>
    </row>
    <row r="1094" ht="15.75" customHeight="1">
      <c r="A1094" s="53" t="s">
        <v>808</v>
      </c>
      <c r="B1094" s="53" t="s">
        <v>231</v>
      </c>
      <c r="D1094" s="53" t="s">
        <v>1946</v>
      </c>
      <c r="E1094" s="53" t="s">
        <v>1948</v>
      </c>
      <c r="F1094" s="53" t="s">
        <v>2499</v>
      </c>
      <c r="G1094" s="53" t="s">
        <v>1950</v>
      </c>
      <c r="H1094" s="53">
        <v>1.0</v>
      </c>
      <c r="I1094" s="53">
        <v>0.3670614777213762</v>
      </c>
      <c r="J1094" s="53">
        <v>1.0</v>
      </c>
      <c r="K1094" s="53" t="s">
        <v>53</v>
      </c>
      <c r="L1094" s="53" t="s">
        <v>53</v>
      </c>
    </row>
    <row r="1095" ht="15.75" customHeight="1">
      <c r="A1095" s="53" t="s">
        <v>808</v>
      </c>
      <c r="B1095" s="53" t="s">
        <v>231</v>
      </c>
      <c r="D1095" s="53" t="s">
        <v>1951</v>
      </c>
      <c r="E1095" s="53" t="s">
        <v>1952</v>
      </c>
      <c r="F1095" s="53" t="s">
        <v>2500</v>
      </c>
      <c r="G1095" s="53" t="s">
        <v>1950</v>
      </c>
      <c r="H1095" s="53">
        <v>0.3333333333333333</v>
      </c>
      <c r="I1095" s="53">
        <v>0.06792058516196448</v>
      </c>
      <c r="J1095" s="53">
        <v>0.0</v>
      </c>
      <c r="K1095" s="53" t="s">
        <v>53</v>
      </c>
      <c r="L1095" s="53" t="s">
        <v>2501</v>
      </c>
    </row>
    <row r="1096" ht="15.75" customHeight="1">
      <c r="A1096" s="53" t="s">
        <v>2599</v>
      </c>
      <c r="B1096" s="53" t="s">
        <v>231</v>
      </c>
      <c r="D1096" s="53" t="s">
        <v>2013</v>
      </c>
      <c r="E1096" s="53" t="s">
        <v>2014</v>
      </c>
      <c r="F1096" s="53" t="s">
        <v>2015</v>
      </c>
      <c r="G1096" s="53" t="s">
        <v>2016</v>
      </c>
      <c r="H1096" s="53">
        <v>1.0</v>
      </c>
      <c r="I1096" s="53">
        <v>0.19727891156462585</v>
      </c>
      <c r="J1096" s="53">
        <v>0.0</v>
      </c>
      <c r="K1096" s="53" t="s">
        <v>53</v>
      </c>
      <c r="L1096" s="53" t="s">
        <v>53</v>
      </c>
    </row>
    <row r="1097" ht="15.75" customHeight="1">
      <c r="A1097" s="53" t="s">
        <v>2599</v>
      </c>
      <c r="B1097" s="53" t="s">
        <v>231</v>
      </c>
      <c r="D1097" s="53" t="s">
        <v>2017</v>
      </c>
      <c r="E1097" s="53" t="s">
        <v>2018</v>
      </c>
      <c r="F1097" s="53" t="s">
        <v>2019</v>
      </c>
      <c r="G1097" s="53" t="s">
        <v>2020</v>
      </c>
      <c r="H1097" s="53">
        <v>1.0</v>
      </c>
      <c r="I1097" s="53">
        <v>0.13793103448275862</v>
      </c>
      <c r="J1097" s="53">
        <v>10.0</v>
      </c>
      <c r="K1097" s="53" t="s">
        <v>53</v>
      </c>
      <c r="L1097" s="53" t="s">
        <v>53</v>
      </c>
    </row>
    <row r="1098" ht="15.75" customHeight="1">
      <c r="A1098" s="53" t="s">
        <v>2599</v>
      </c>
      <c r="B1098" s="53" t="s">
        <v>231</v>
      </c>
      <c r="D1098" s="53" t="s">
        <v>2017</v>
      </c>
      <c r="E1098" s="53" t="s">
        <v>2021</v>
      </c>
      <c r="F1098" s="53" t="s">
        <v>2019</v>
      </c>
      <c r="G1098" s="53" t="s">
        <v>2022</v>
      </c>
      <c r="H1098" s="53">
        <v>1.0</v>
      </c>
      <c r="I1098" s="53">
        <v>0.18253968253968253</v>
      </c>
      <c r="J1098" s="53">
        <v>1.0</v>
      </c>
      <c r="K1098" s="53" t="s">
        <v>53</v>
      </c>
      <c r="L1098" s="53" t="s">
        <v>53</v>
      </c>
    </row>
    <row r="1099" ht="15.75" customHeight="1">
      <c r="A1099" s="53" t="s">
        <v>2599</v>
      </c>
      <c r="B1099" s="53" t="s">
        <v>231</v>
      </c>
      <c r="D1099" s="53" t="s">
        <v>2017</v>
      </c>
      <c r="E1099" s="53" t="s">
        <v>2023</v>
      </c>
      <c r="F1099" s="53" t="s">
        <v>2019</v>
      </c>
      <c r="G1099" s="53" t="s">
        <v>2024</v>
      </c>
      <c r="H1099" s="53">
        <v>1.0</v>
      </c>
      <c r="I1099" s="53">
        <v>0.192</v>
      </c>
      <c r="J1099" s="53">
        <v>6.0</v>
      </c>
      <c r="K1099" s="53" t="s">
        <v>53</v>
      </c>
      <c r="L1099" s="53" t="s">
        <v>53</v>
      </c>
    </row>
    <row r="1100" ht="15.75" customHeight="1">
      <c r="A1100" s="53" t="s">
        <v>2599</v>
      </c>
      <c r="B1100" s="53" t="s">
        <v>231</v>
      </c>
      <c r="D1100" s="53" t="s">
        <v>2017</v>
      </c>
      <c r="E1100" s="53" t="s">
        <v>2025</v>
      </c>
      <c r="F1100" s="53" t="s">
        <v>2019</v>
      </c>
      <c r="G1100" s="53" t="s">
        <v>2026</v>
      </c>
      <c r="H1100" s="53">
        <v>1.0</v>
      </c>
      <c r="I1100" s="53">
        <v>0.1951219512195122</v>
      </c>
      <c r="J1100" s="53">
        <v>8.0</v>
      </c>
      <c r="K1100" s="53" t="s">
        <v>53</v>
      </c>
      <c r="L1100" s="53" t="s">
        <v>53</v>
      </c>
    </row>
    <row r="1101" ht="15.75" customHeight="1">
      <c r="A1101" s="53" t="s">
        <v>2599</v>
      </c>
      <c r="B1101" s="53" t="s">
        <v>231</v>
      </c>
      <c r="D1101" s="53" t="s">
        <v>2017</v>
      </c>
      <c r="E1101" s="53" t="s">
        <v>2027</v>
      </c>
      <c r="F1101" s="53" t="s">
        <v>2019</v>
      </c>
      <c r="G1101" s="53" t="s">
        <v>2028</v>
      </c>
      <c r="H1101" s="53">
        <v>1.0</v>
      </c>
      <c r="I1101" s="53">
        <v>0.30344827586206896</v>
      </c>
      <c r="J1101" s="53">
        <v>7.0</v>
      </c>
      <c r="K1101" s="53" t="s">
        <v>53</v>
      </c>
      <c r="L1101" s="53" t="s">
        <v>53</v>
      </c>
    </row>
    <row r="1102" ht="15.75" customHeight="1">
      <c r="A1102" s="53" t="s">
        <v>2599</v>
      </c>
      <c r="B1102" s="53" t="s">
        <v>231</v>
      </c>
      <c r="D1102" s="53" t="s">
        <v>2017</v>
      </c>
      <c r="E1102" s="53" t="s">
        <v>2029</v>
      </c>
      <c r="F1102" s="53" t="s">
        <v>2019</v>
      </c>
      <c r="G1102" s="53" t="s">
        <v>2030</v>
      </c>
      <c r="H1102" s="53">
        <v>1.0</v>
      </c>
      <c r="I1102" s="53">
        <v>0.3103448275862069</v>
      </c>
      <c r="J1102" s="53">
        <v>11.0</v>
      </c>
      <c r="K1102" s="53" t="s">
        <v>53</v>
      </c>
      <c r="L1102" s="53" t="s">
        <v>53</v>
      </c>
    </row>
    <row r="1103" ht="15.75" customHeight="1">
      <c r="A1103" s="53" t="s">
        <v>2599</v>
      </c>
      <c r="B1103" s="53" t="s">
        <v>231</v>
      </c>
      <c r="D1103" s="53" t="s">
        <v>2017</v>
      </c>
      <c r="E1103" s="53" t="s">
        <v>2031</v>
      </c>
      <c r="F1103" s="53" t="s">
        <v>2019</v>
      </c>
      <c r="G1103" s="53" t="s">
        <v>2032</v>
      </c>
      <c r="H1103" s="53">
        <v>1.0</v>
      </c>
      <c r="I1103" s="53">
        <v>0.375</v>
      </c>
      <c r="J1103" s="53">
        <v>0.0</v>
      </c>
      <c r="K1103" s="53" t="s">
        <v>53</v>
      </c>
      <c r="L1103" s="53" t="s">
        <v>53</v>
      </c>
    </row>
    <row r="1104" ht="15.75" customHeight="1">
      <c r="A1104" s="53" t="s">
        <v>2599</v>
      </c>
      <c r="B1104" s="53" t="s">
        <v>231</v>
      </c>
      <c r="D1104" s="53" t="s">
        <v>2017</v>
      </c>
      <c r="E1104" s="53" t="s">
        <v>2033</v>
      </c>
      <c r="F1104" s="53" t="s">
        <v>2019</v>
      </c>
      <c r="G1104" s="53" t="s">
        <v>2034</v>
      </c>
      <c r="H1104" s="53">
        <v>1.0</v>
      </c>
      <c r="I1104" s="53">
        <v>0.375</v>
      </c>
      <c r="J1104" s="53">
        <v>9.0</v>
      </c>
      <c r="K1104" s="53" t="s">
        <v>53</v>
      </c>
      <c r="L1104" s="53" t="s">
        <v>53</v>
      </c>
    </row>
    <row r="1105" ht="15.75" customHeight="1">
      <c r="A1105" s="53" t="s">
        <v>2599</v>
      </c>
      <c r="B1105" s="53" t="s">
        <v>231</v>
      </c>
      <c r="D1105" s="53" t="s">
        <v>2017</v>
      </c>
      <c r="E1105" s="53" t="s">
        <v>2035</v>
      </c>
      <c r="F1105" s="53" t="s">
        <v>2019</v>
      </c>
      <c r="G1105" s="53" t="s">
        <v>2036</v>
      </c>
      <c r="H1105" s="53">
        <v>1.0</v>
      </c>
      <c r="I1105" s="53">
        <v>0.44751381215469616</v>
      </c>
      <c r="J1105" s="53">
        <v>4.0</v>
      </c>
      <c r="K1105" s="53" t="s">
        <v>53</v>
      </c>
      <c r="L1105" s="53" t="s">
        <v>53</v>
      </c>
    </row>
    <row r="1106" ht="15.75" customHeight="1">
      <c r="A1106" s="53" t="s">
        <v>2599</v>
      </c>
      <c r="B1106" s="53" t="s">
        <v>231</v>
      </c>
      <c r="D1106" s="53" t="s">
        <v>2017</v>
      </c>
      <c r="E1106" s="53" t="s">
        <v>2037</v>
      </c>
      <c r="F1106" s="53" t="s">
        <v>2019</v>
      </c>
      <c r="G1106" s="53" t="s">
        <v>2038</v>
      </c>
      <c r="H1106" s="53">
        <v>1.0</v>
      </c>
      <c r="I1106" s="53">
        <v>0.5049019607843137</v>
      </c>
      <c r="J1106" s="53">
        <v>5.0</v>
      </c>
      <c r="K1106" s="53" t="s">
        <v>53</v>
      </c>
      <c r="L1106" s="53" t="s">
        <v>53</v>
      </c>
    </row>
    <row r="1107" ht="15.75" customHeight="1">
      <c r="A1107" s="53" t="s">
        <v>2599</v>
      </c>
      <c r="B1107" s="53" t="s">
        <v>231</v>
      </c>
      <c r="D1107" s="53" t="s">
        <v>2017</v>
      </c>
      <c r="E1107" s="53" t="s">
        <v>2039</v>
      </c>
      <c r="F1107" s="53" t="s">
        <v>2019</v>
      </c>
      <c r="G1107" s="53" t="s">
        <v>2040</v>
      </c>
      <c r="H1107" s="53">
        <v>1.0</v>
      </c>
      <c r="I1107" s="53">
        <v>0.6833855799373041</v>
      </c>
      <c r="J1107" s="53">
        <v>2.0</v>
      </c>
      <c r="K1107" s="53" t="s">
        <v>53</v>
      </c>
      <c r="L1107" s="53" t="s">
        <v>53</v>
      </c>
    </row>
    <row r="1108" ht="15.75" customHeight="1">
      <c r="A1108" s="53" t="s">
        <v>2599</v>
      </c>
      <c r="B1108" s="53" t="s">
        <v>231</v>
      </c>
      <c r="D1108" s="53" t="s">
        <v>2017</v>
      </c>
      <c r="E1108" s="53" t="s">
        <v>2041</v>
      </c>
      <c r="F1108" s="53" t="s">
        <v>2019</v>
      </c>
      <c r="G1108" s="53" t="s">
        <v>2042</v>
      </c>
      <c r="H1108" s="53">
        <v>1.0</v>
      </c>
      <c r="I1108" s="53">
        <v>0.7461928934010152</v>
      </c>
      <c r="J1108" s="53">
        <v>3.0</v>
      </c>
      <c r="K1108" s="53" t="s">
        <v>53</v>
      </c>
      <c r="L1108" s="53" t="s">
        <v>53</v>
      </c>
    </row>
    <row r="1109" ht="15.75" customHeight="1">
      <c r="A1109" s="53" t="s">
        <v>2599</v>
      </c>
      <c r="B1109" s="53" t="s">
        <v>231</v>
      </c>
      <c r="D1109" s="53" t="s">
        <v>2032</v>
      </c>
      <c r="E1109" s="53" t="s">
        <v>2043</v>
      </c>
      <c r="F1109" s="53" t="s">
        <v>2019</v>
      </c>
      <c r="G1109" s="53" t="s">
        <v>2034</v>
      </c>
      <c r="H1109" s="53">
        <v>1.0</v>
      </c>
      <c r="I1109" s="53">
        <v>0.03125</v>
      </c>
      <c r="J1109" s="53">
        <v>8.0</v>
      </c>
      <c r="K1109" s="53" t="s">
        <v>53</v>
      </c>
      <c r="L1109" s="53" t="s">
        <v>53</v>
      </c>
    </row>
    <row r="1110" ht="15.75" customHeight="1">
      <c r="A1110" s="53" t="s">
        <v>2599</v>
      </c>
      <c r="B1110" s="53" t="s">
        <v>231</v>
      </c>
      <c r="D1110" s="53" t="s">
        <v>2032</v>
      </c>
      <c r="E1110" s="53" t="s">
        <v>2044</v>
      </c>
      <c r="F1110" s="53" t="s">
        <v>2019</v>
      </c>
      <c r="G1110" s="53" t="s">
        <v>2028</v>
      </c>
      <c r="H1110" s="53">
        <v>1.0</v>
      </c>
      <c r="I1110" s="53">
        <v>0.11875</v>
      </c>
      <c r="J1110" s="53">
        <v>6.0</v>
      </c>
      <c r="K1110" s="53" t="s">
        <v>53</v>
      </c>
      <c r="L1110" s="53" t="s">
        <v>53</v>
      </c>
    </row>
    <row r="1111" ht="15.75" customHeight="1">
      <c r="A1111" s="53" t="s">
        <v>2599</v>
      </c>
      <c r="B1111" s="53" t="s">
        <v>231</v>
      </c>
      <c r="D1111" s="53" t="s">
        <v>2032</v>
      </c>
      <c r="E1111" s="53" t="s">
        <v>2045</v>
      </c>
      <c r="F1111" s="53" t="s">
        <v>2019</v>
      </c>
      <c r="G1111" s="53" t="s">
        <v>2030</v>
      </c>
      <c r="H1111" s="53">
        <v>1.0</v>
      </c>
      <c r="I1111" s="53">
        <v>0.125</v>
      </c>
      <c r="J1111" s="53">
        <v>10.0</v>
      </c>
      <c r="K1111" s="53" t="s">
        <v>53</v>
      </c>
      <c r="L1111" s="53" t="s">
        <v>53</v>
      </c>
    </row>
    <row r="1112" ht="15.75" customHeight="1">
      <c r="A1112" s="53" t="s">
        <v>2599</v>
      </c>
      <c r="B1112" s="53" t="s">
        <v>231</v>
      </c>
      <c r="D1112" s="53" t="s">
        <v>2032</v>
      </c>
      <c r="E1112" s="53" t="s">
        <v>2046</v>
      </c>
      <c r="F1112" s="53" t="s">
        <v>2019</v>
      </c>
      <c r="G1112" s="53" t="s">
        <v>2036</v>
      </c>
      <c r="H1112" s="53">
        <v>1.0</v>
      </c>
      <c r="I1112" s="53">
        <v>0.13812154696132597</v>
      </c>
      <c r="J1112" s="53">
        <v>3.0</v>
      </c>
      <c r="K1112" s="53" t="s">
        <v>53</v>
      </c>
      <c r="L1112" s="53" t="s">
        <v>53</v>
      </c>
    </row>
    <row r="1113" ht="15.75" customHeight="1">
      <c r="A1113" s="53" t="s">
        <v>2599</v>
      </c>
      <c r="B1113" s="53" t="s">
        <v>231</v>
      </c>
      <c r="D1113" s="53" t="s">
        <v>2032</v>
      </c>
      <c r="E1113" s="53" t="s">
        <v>2047</v>
      </c>
      <c r="F1113" s="53" t="s">
        <v>2019</v>
      </c>
      <c r="G1113" s="53" t="s">
        <v>2038</v>
      </c>
      <c r="H1113" s="53">
        <v>1.0</v>
      </c>
      <c r="I1113" s="53">
        <v>0.24509803921568626</v>
      </c>
      <c r="J1113" s="53">
        <v>4.0</v>
      </c>
      <c r="K1113" s="53" t="s">
        <v>53</v>
      </c>
      <c r="L1113" s="53" t="s">
        <v>53</v>
      </c>
    </row>
    <row r="1114" ht="15.75" customHeight="1">
      <c r="A1114" s="53" t="s">
        <v>2599</v>
      </c>
      <c r="B1114" s="53" t="s">
        <v>231</v>
      </c>
      <c r="D1114" s="53" t="s">
        <v>2032</v>
      </c>
      <c r="E1114" s="53" t="s">
        <v>2048</v>
      </c>
      <c r="F1114" s="53" t="s">
        <v>2019</v>
      </c>
      <c r="G1114" s="53" t="s">
        <v>2024</v>
      </c>
      <c r="H1114" s="53">
        <v>1.0</v>
      </c>
      <c r="I1114" s="53">
        <v>0.25</v>
      </c>
      <c r="J1114" s="53">
        <v>5.0</v>
      </c>
      <c r="K1114" s="53" t="s">
        <v>53</v>
      </c>
      <c r="L1114" s="53" t="s">
        <v>53</v>
      </c>
    </row>
    <row r="1115" ht="15.75" customHeight="1">
      <c r="A1115" s="53" t="s">
        <v>2599</v>
      </c>
      <c r="B1115" s="53" t="s">
        <v>231</v>
      </c>
      <c r="D1115" s="53" t="s">
        <v>2032</v>
      </c>
      <c r="E1115" s="53" t="s">
        <v>2049</v>
      </c>
      <c r="F1115" s="53" t="s">
        <v>2019</v>
      </c>
      <c r="G1115" s="53" t="s">
        <v>2026</v>
      </c>
      <c r="H1115" s="53">
        <v>1.0</v>
      </c>
      <c r="I1115" s="53">
        <v>0.25</v>
      </c>
      <c r="J1115" s="53">
        <v>7.0</v>
      </c>
      <c r="K1115" s="53" t="s">
        <v>53</v>
      </c>
      <c r="L1115" s="53" t="s">
        <v>53</v>
      </c>
    </row>
    <row r="1116" ht="15.75" customHeight="1">
      <c r="A1116" s="53" t="s">
        <v>2599</v>
      </c>
      <c r="B1116" s="53" t="s">
        <v>231</v>
      </c>
      <c r="D1116" s="53" t="s">
        <v>2032</v>
      </c>
      <c r="E1116" s="53" t="s">
        <v>2050</v>
      </c>
      <c r="F1116" s="53" t="s">
        <v>2019</v>
      </c>
      <c r="G1116" s="53" t="s">
        <v>2022</v>
      </c>
      <c r="H1116" s="53">
        <v>1.0</v>
      </c>
      <c r="I1116" s="53">
        <v>0.25625</v>
      </c>
      <c r="J1116" s="53">
        <v>0.0</v>
      </c>
      <c r="K1116" s="53" t="s">
        <v>53</v>
      </c>
      <c r="L1116" s="53" t="s">
        <v>53</v>
      </c>
    </row>
    <row r="1117" ht="15.75" customHeight="1">
      <c r="A1117" s="53" t="s">
        <v>2599</v>
      </c>
      <c r="B1117" s="53" t="s">
        <v>231</v>
      </c>
      <c r="D1117" s="53" t="s">
        <v>2032</v>
      </c>
      <c r="E1117" s="53" t="s">
        <v>2051</v>
      </c>
      <c r="F1117" s="53" t="s">
        <v>2019</v>
      </c>
      <c r="G1117" s="53" t="s">
        <v>2020</v>
      </c>
      <c r="H1117" s="53">
        <v>1.0</v>
      </c>
      <c r="I1117" s="53">
        <v>0.30625</v>
      </c>
      <c r="J1117" s="53">
        <v>9.0</v>
      </c>
      <c r="K1117" s="53" t="s">
        <v>53</v>
      </c>
      <c r="L1117" s="53" t="s">
        <v>53</v>
      </c>
    </row>
    <row r="1118" ht="15.75" customHeight="1">
      <c r="A1118" s="53" t="s">
        <v>2599</v>
      </c>
      <c r="B1118" s="53" t="s">
        <v>231</v>
      </c>
      <c r="D1118" s="53" t="s">
        <v>2032</v>
      </c>
      <c r="E1118" s="53" t="s">
        <v>2052</v>
      </c>
      <c r="F1118" s="53" t="s">
        <v>2019</v>
      </c>
      <c r="G1118" s="53" t="s">
        <v>2040</v>
      </c>
      <c r="H1118" s="53">
        <v>1.0</v>
      </c>
      <c r="I1118" s="53">
        <v>0.5172413793103449</v>
      </c>
      <c r="J1118" s="53">
        <v>1.0</v>
      </c>
      <c r="K1118" s="53" t="s">
        <v>53</v>
      </c>
      <c r="L1118" s="53" t="s">
        <v>53</v>
      </c>
    </row>
    <row r="1119" ht="15.75" customHeight="1">
      <c r="A1119" s="53" t="s">
        <v>2599</v>
      </c>
      <c r="B1119" s="53" t="s">
        <v>231</v>
      </c>
      <c r="D1119" s="53" t="s">
        <v>2032</v>
      </c>
      <c r="E1119" s="53" t="s">
        <v>2053</v>
      </c>
      <c r="F1119" s="53" t="s">
        <v>2019</v>
      </c>
      <c r="G1119" s="53" t="s">
        <v>2042</v>
      </c>
      <c r="H1119" s="53">
        <v>1.0</v>
      </c>
      <c r="I1119" s="53">
        <v>0.6091370558375635</v>
      </c>
      <c r="J1119" s="53">
        <v>2.0</v>
      </c>
      <c r="K1119" s="53" t="s">
        <v>53</v>
      </c>
      <c r="L1119" s="53" t="s">
        <v>53</v>
      </c>
    </row>
    <row r="1120" ht="15.75" customHeight="1">
      <c r="A1120" s="53" t="s">
        <v>2599</v>
      </c>
      <c r="B1120" s="53" t="s">
        <v>231</v>
      </c>
      <c r="D1120" s="53" t="s">
        <v>2022</v>
      </c>
      <c r="E1120" s="53" t="s">
        <v>2054</v>
      </c>
      <c r="F1120" s="53" t="s">
        <v>2019</v>
      </c>
      <c r="G1120" s="53" t="s">
        <v>2024</v>
      </c>
      <c r="H1120" s="53">
        <v>1.0</v>
      </c>
      <c r="I1120" s="53">
        <v>0.047619047619047616</v>
      </c>
      <c r="J1120" s="53">
        <v>4.0</v>
      </c>
      <c r="K1120" s="53" t="s">
        <v>53</v>
      </c>
      <c r="L1120" s="53" t="s">
        <v>53</v>
      </c>
    </row>
    <row r="1121" ht="15.75" customHeight="1">
      <c r="A1121" s="53" t="s">
        <v>2599</v>
      </c>
      <c r="B1121" s="53" t="s">
        <v>231</v>
      </c>
      <c r="D1121" s="53" t="s">
        <v>2022</v>
      </c>
      <c r="E1121" s="53" t="s">
        <v>2055</v>
      </c>
      <c r="F1121" s="53" t="s">
        <v>2019</v>
      </c>
      <c r="G1121" s="53" t="s">
        <v>2026</v>
      </c>
      <c r="H1121" s="53">
        <v>1.0</v>
      </c>
      <c r="I1121" s="53">
        <v>0.047619047619047616</v>
      </c>
      <c r="J1121" s="53">
        <v>6.0</v>
      </c>
      <c r="K1121" s="53" t="s">
        <v>53</v>
      </c>
      <c r="L1121" s="53" t="s">
        <v>53</v>
      </c>
    </row>
    <row r="1122" ht="15.75" customHeight="1">
      <c r="A1122" s="53" t="s">
        <v>2599</v>
      </c>
      <c r="B1122" s="53" t="s">
        <v>231</v>
      </c>
      <c r="D1122" s="53" t="s">
        <v>2022</v>
      </c>
      <c r="E1122" s="53" t="s">
        <v>2056</v>
      </c>
      <c r="F1122" s="53" t="s">
        <v>2019</v>
      </c>
      <c r="G1122" s="53" t="s">
        <v>2020</v>
      </c>
      <c r="H1122" s="53">
        <v>1.0</v>
      </c>
      <c r="I1122" s="53">
        <v>0.11904761904761904</v>
      </c>
      <c r="J1122" s="53">
        <v>8.0</v>
      </c>
      <c r="K1122" s="53" t="s">
        <v>53</v>
      </c>
      <c r="L1122" s="53" t="s">
        <v>53</v>
      </c>
    </row>
    <row r="1123" ht="15.75" customHeight="1">
      <c r="A1123" s="53" t="s">
        <v>2599</v>
      </c>
      <c r="B1123" s="53" t="s">
        <v>231</v>
      </c>
      <c r="D1123" s="53" t="s">
        <v>2022</v>
      </c>
      <c r="E1123" s="53" t="s">
        <v>2057</v>
      </c>
      <c r="F1123" s="53" t="s">
        <v>2019</v>
      </c>
      <c r="G1123" s="53" t="s">
        <v>2028</v>
      </c>
      <c r="H1123" s="53">
        <v>1.0</v>
      </c>
      <c r="I1123" s="53">
        <v>0.16551724137931034</v>
      </c>
      <c r="J1123" s="53">
        <v>5.0</v>
      </c>
      <c r="K1123" s="53" t="s">
        <v>53</v>
      </c>
      <c r="L1123" s="53" t="s">
        <v>53</v>
      </c>
    </row>
    <row r="1124" ht="15.75" customHeight="1">
      <c r="A1124" s="53" t="s">
        <v>2599</v>
      </c>
      <c r="B1124" s="53" t="s">
        <v>231</v>
      </c>
      <c r="D1124" s="53" t="s">
        <v>2022</v>
      </c>
      <c r="E1124" s="53" t="s">
        <v>2058</v>
      </c>
      <c r="F1124" s="53" t="s">
        <v>2019</v>
      </c>
      <c r="G1124" s="53" t="s">
        <v>2030</v>
      </c>
      <c r="H1124" s="53">
        <v>1.0</v>
      </c>
      <c r="I1124" s="53">
        <v>0.1793103448275862</v>
      </c>
      <c r="J1124" s="53">
        <v>9.0</v>
      </c>
      <c r="K1124" s="53" t="s">
        <v>53</v>
      </c>
      <c r="L1124" s="53" t="s">
        <v>53</v>
      </c>
    </row>
    <row r="1125" ht="15.75" customHeight="1">
      <c r="A1125" s="53" t="s">
        <v>2599</v>
      </c>
      <c r="B1125" s="53" t="s">
        <v>231</v>
      </c>
      <c r="D1125" s="53" t="s">
        <v>2022</v>
      </c>
      <c r="E1125" s="53" t="s">
        <v>2059</v>
      </c>
      <c r="F1125" s="53" t="s">
        <v>2019</v>
      </c>
      <c r="G1125" s="53" t="s">
        <v>2034</v>
      </c>
      <c r="H1125" s="53">
        <v>1.0</v>
      </c>
      <c r="I1125" s="53">
        <v>0.25625</v>
      </c>
      <c r="J1125" s="53">
        <v>7.0</v>
      </c>
      <c r="K1125" s="53" t="s">
        <v>53</v>
      </c>
      <c r="L1125" s="53" t="s">
        <v>53</v>
      </c>
    </row>
    <row r="1126" ht="15.75" customHeight="1">
      <c r="A1126" s="53" t="s">
        <v>2599</v>
      </c>
      <c r="B1126" s="53" t="s">
        <v>231</v>
      </c>
      <c r="D1126" s="53" t="s">
        <v>2022</v>
      </c>
      <c r="E1126" s="53" t="s">
        <v>2060</v>
      </c>
      <c r="F1126" s="53" t="s">
        <v>2019</v>
      </c>
      <c r="G1126" s="53" t="s">
        <v>2036</v>
      </c>
      <c r="H1126" s="53">
        <v>1.0</v>
      </c>
      <c r="I1126" s="53">
        <v>0.3314917127071823</v>
      </c>
      <c r="J1126" s="53">
        <v>2.0</v>
      </c>
      <c r="K1126" s="53" t="s">
        <v>53</v>
      </c>
      <c r="L1126" s="53" t="s">
        <v>53</v>
      </c>
    </row>
    <row r="1127" ht="15.75" customHeight="1">
      <c r="A1127" s="53" t="s">
        <v>2599</v>
      </c>
      <c r="B1127" s="53" t="s">
        <v>231</v>
      </c>
      <c r="D1127" s="53" t="s">
        <v>2022</v>
      </c>
      <c r="E1127" s="53" t="s">
        <v>2061</v>
      </c>
      <c r="F1127" s="53" t="s">
        <v>2019</v>
      </c>
      <c r="G1127" s="53" t="s">
        <v>2038</v>
      </c>
      <c r="H1127" s="53">
        <v>1.0</v>
      </c>
      <c r="I1127" s="53">
        <v>0.4166666666666667</v>
      </c>
      <c r="J1127" s="53">
        <v>3.0</v>
      </c>
      <c r="K1127" s="53" t="s">
        <v>53</v>
      </c>
      <c r="L1127" s="53" t="s">
        <v>53</v>
      </c>
    </row>
    <row r="1128" ht="15.75" customHeight="1">
      <c r="A1128" s="53" t="s">
        <v>2599</v>
      </c>
      <c r="B1128" s="53" t="s">
        <v>231</v>
      </c>
      <c r="D1128" s="53" t="s">
        <v>2022</v>
      </c>
      <c r="E1128" s="53" t="s">
        <v>2062</v>
      </c>
      <c r="F1128" s="53" t="s">
        <v>2019</v>
      </c>
      <c r="G1128" s="53" t="s">
        <v>2040</v>
      </c>
      <c r="H1128" s="53">
        <v>1.0</v>
      </c>
      <c r="I1128" s="53">
        <v>0.6269592476489029</v>
      </c>
      <c r="J1128" s="53">
        <v>0.0</v>
      </c>
      <c r="K1128" s="53" t="s">
        <v>53</v>
      </c>
      <c r="L1128" s="53" t="s">
        <v>53</v>
      </c>
    </row>
    <row r="1129" ht="15.75" customHeight="1">
      <c r="A1129" s="53" t="s">
        <v>2599</v>
      </c>
      <c r="B1129" s="53" t="s">
        <v>231</v>
      </c>
      <c r="D1129" s="53" t="s">
        <v>2022</v>
      </c>
      <c r="E1129" s="53" t="s">
        <v>2063</v>
      </c>
      <c r="F1129" s="53" t="s">
        <v>2019</v>
      </c>
      <c r="G1129" s="53" t="s">
        <v>2042</v>
      </c>
      <c r="H1129" s="53">
        <v>1.0</v>
      </c>
      <c r="I1129" s="53">
        <v>0.700507614213198</v>
      </c>
      <c r="J1129" s="53">
        <v>1.0</v>
      </c>
      <c r="K1129" s="53" t="s">
        <v>53</v>
      </c>
      <c r="L1129" s="53" t="s">
        <v>53</v>
      </c>
    </row>
    <row r="1130" ht="15.75" customHeight="1">
      <c r="A1130" s="53" t="s">
        <v>2599</v>
      </c>
      <c r="B1130" s="53" t="s">
        <v>231</v>
      </c>
      <c r="D1130" s="53" t="s">
        <v>2040</v>
      </c>
      <c r="E1130" s="53" t="s">
        <v>2064</v>
      </c>
      <c r="F1130" s="53" t="s">
        <v>2019</v>
      </c>
      <c r="G1130" s="53" t="s">
        <v>2042</v>
      </c>
      <c r="H1130" s="53">
        <v>1.0</v>
      </c>
      <c r="I1130" s="53">
        <v>0.20050761421319796</v>
      </c>
      <c r="J1130" s="53">
        <v>0.0</v>
      </c>
      <c r="K1130" s="53" t="s">
        <v>53</v>
      </c>
      <c r="L1130" s="53" t="s">
        <v>53</v>
      </c>
    </row>
    <row r="1131" ht="15.75" customHeight="1">
      <c r="A1131" s="53" t="s">
        <v>2599</v>
      </c>
      <c r="B1131" s="53" t="s">
        <v>231</v>
      </c>
      <c r="D1131" s="53" t="s">
        <v>2040</v>
      </c>
      <c r="E1131" s="53" t="s">
        <v>2065</v>
      </c>
      <c r="F1131" s="53" t="s">
        <v>2019</v>
      </c>
      <c r="G1131" s="53" t="s">
        <v>2038</v>
      </c>
      <c r="H1131" s="53">
        <v>1.0</v>
      </c>
      <c r="I1131" s="53">
        <v>0.36363636363636365</v>
      </c>
      <c r="J1131" s="53">
        <v>2.0</v>
      </c>
      <c r="K1131" s="53" t="s">
        <v>53</v>
      </c>
      <c r="L1131" s="53" t="s">
        <v>53</v>
      </c>
    </row>
    <row r="1132" ht="15.75" customHeight="1">
      <c r="A1132" s="53" t="s">
        <v>2599</v>
      </c>
      <c r="B1132" s="53" t="s">
        <v>231</v>
      </c>
      <c r="D1132" s="53" t="s">
        <v>2040</v>
      </c>
      <c r="E1132" s="53" t="s">
        <v>2066</v>
      </c>
      <c r="F1132" s="53" t="s">
        <v>2019</v>
      </c>
      <c r="G1132" s="53" t="s">
        <v>2036</v>
      </c>
      <c r="H1132" s="53">
        <v>1.0</v>
      </c>
      <c r="I1132" s="53">
        <v>0.45768025078369906</v>
      </c>
      <c r="J1132" s="53">
        <v>1.0</v>
      </c>
      <c r="K1132" s="53" t="s">
        <v>53</v>
      </c>
      <c r="L1132" s="53" t="s">
        <v>53</v>
      </c>
    </row>
    <row r="1133" ht="15.75" customHeight="1">
      <c r="A1133" s="53" t="s">
        <v>2599</v>
      </c>
      <c r="B1133" s="53" t="s">
        <v>231</v>
      </c>
      <c r="D1133" s="53" t="s">
        <v>2040</v>
      </c>
      <c r="E1133" s="53" t="s">
        <v>2067</v>
      </c>
      <c r="F1133" s="53" t="s">
        <v>2019</v>
      </c>
      <c r="G1133" s="53" t="s">
        <v>2034</v>
      </c>
      <c r="H1133" s="53">
        <v>1.0</v>
      </c>
      <c r="I1133" s="53">
        <v>0.5172413793103449</v>
      </c>
      <c r="J1133" s="53">
        <v>6.0</v>
      </c>
      <c r="K1133" s="53" t="s">
        <v>53</v>
      </c>
      <c r="L1133" s="53" t="s">
        <v>53</v>
      </c>
    </row>
    <row r="1134" ht="15.75" customHeight="1">
      <c r="A1134" s="53" t="s">
        <v>2599</v>
      </c>
      <c r="B1134" s="53" t="s">
        <v>231</v>
      </c>
      <c r="D1134" s="53" t="s">
        <v>2040</v>
      </c>
      <c r="E1134" s="53" t="s">
        <v>2068</v>
      </c>
      <c r="F1134" s="53" t="s">
        <v>2019</v>
      </c>
      <c r="G1134" s="53" t="s">
        <v>2030</v>
      </c>
      <c r="H1134" s="53">
        <v>1.0</v>
      </c>
      <c r="I1134" s="53">
        <v>0.5611285266457681</v>
      </c>
      <c r="J1134" s="53">
        <v>8.0</v>
      </c>
      <c r="K1134" s="53" t="s">
        <v>53</v>
      </c>
      <c r="L1134" s="53" t="s">
        <v>53</v>
      </c>
    </row>
    <row r="1135" ht="15.75" customHeight="1">
      <c r="A1135" s="53" t="s">
        <v>2599</v>
      </c>
      <c r="B1135" s="53" t="s">
        <v>231</v>
      </c>
      <c r="D1135" s="53" t="s">
        <v>2040</v>
      </c>
      <c r="E1135" s="53" t="s">
        <v>2069</v>
      </c>
      <c r="F1135" s="53" t="s">
        <v>2019</v>
      </c>
      <c r="G1135" s="53" t="s">
        <v>2028</v>
      </c>
      <c r="H1135" s="53">
        <v>1.0</v>
      </c>
      <c r="I1135" s="53">
        <v>0.5642633228840125</v>
      </c>
      <c r="J1135" s="53">
        <v>4.0</v>
      </c>
      <c r="K1135" s="53" t="s">
        <v>53</v>
      </c>
      <c r="L1135" s="53" t="s">
        <v>53</v>
      </c>
    </row>
    <row r="1136" ht="15.75" customHeight="1">
      <c r="A1136" s="53" t="s">
        <v>2599</v>
      </c>
      <c r="B1136" s="53" t="s">
        <v>231</v>
      </c>
      <c r="D1136" s="53" t="s">
        <v>2040</v>
      </c>
      <c r="E1136" s="53" t="s">
        <v>2070</v>
      </c>
      <c r="F1136" s="53" t="s">
        <v>2019</v>
      </c>
      <c r="G1136" s="53" t="s">
        <v>2026</v>
      </c>
      <c r="H1136" s="53">
        <v>1.0</v>
      </c>
      <c r="I1136" s="53">
        <v>0.6175548589341693</v>
      </c>
      <c r="J1136" s="53">
        <v>5.0</v>
      </c>
      <c r="K1136" s="53" t="s">
        <v>53</v>
      </c>
      <c r="L1136" s="53" t="s">
        <v>53</v>
      </c>
    </row>
    <row r="1137" ht="15.75" customHeight="1">
      <c r="A1137" s="53" t="s">
        <v>2599</v>
      </c>
      <c r="B1137" s="53" t="s">
        <v>231</v>
      </c>
      <c r="D1137" s="53" t="s">
        <v>2040</v>
      </c>
      <c r="E1137" s="53" t="s">
        <v>2071</v>
      </c>
      <c r="F1137" s="53" t="s">
        <v>2019</v>
      </c>
      <c r="G1137" s="53" t="s">
        <v>2024</v>
      </c>
      <c r="H1137" s="53">
        <v>1.0</v>
      </c>
      <c r="I1137" s="53">
        <v>0.6206896551724138</v>
      </c>
      <c r="J1137" s="53">
        <v>3.0</v>
      </c>
      <c r="K1137" s="53" t="s">
        <v>53</v>
      </c>
      <c r="L1137" s="53" t="s">
        <v>53</v>
      </c>
    </row>
    <row r="1138" ht="15.75" customHeight="1">
      <c r="A1138" s="53" t="s">
        <v>2599</v>
      </c>
      <c r="B1138" s="53" t="s">
        <v>231</v>
      </c>
      <c r="D1138" s="53" t="s">
        <v>2040</v>
      </c>
      <c r="E1138" s="53" t="s">
        <v>2072</v>
      </c>
      <c r="F1138" s="53" t="s">
        <v>2019</v>
      </c>
      <c r="G1138" s="53" t="s">
        <v>2020</v>
      </c>
      <c r="H1138" s="53">
        <v>1.0</v>
      </c>
      <c r="I1138" s="53">
        <v>0.6614420062695925</v>
      </c>
      <c r="J1138" s="53">
        <v>7.0</v>
      </c>
      <c r="K1138" s="53" t="s">
        <v>53</v>
      </c>
      <c r="L1138" s="53" t="s">
        <v>53</v>
      </c>
    </row>
    <row r="1139" ht="15.75" customHeight="1">
      <c r="A1139" s="53" t="s">
        <v>2599</v>
      </c>
      <c r="B1139" s="53" t="s">
        <v>231</v>
      </c>
      <c r="D1139" s="53" t="s">
        <v>2042</v>
      </c>
      <c r="E1139" s="53" t="s">
        <v>2073</v>
      </c>
      <c r="F1139" s="53" t="s">
        <v>2019</v>
      </c>
      <c r="G1139" s="53" t="s">
        <v>2038</v>
      </c>
      <c r="H1139" s="53">
        <v>1.0</v>
      </c>
      <c r="I1139" s="53">
        <v>0.49238578680203043</v>
      </c>
      <c r="J1139" s="53">
        <v>1.0</v>
      </c>
      <c r="K1139" s="53" t="s">
        <v>53</v>
      </c>
      <c r="L1139" s="53" t="s">
        <v>53</v>
      </c>
    </row>
    <row r="1140" ht="15.75" customHeight="1">
      <c r="A1140" s="53" t="s">
        <v>2599</v>
      </c>
      <c r="B1140" s="53" t="s">
        <v>231</v>
      </c>
      <c r="D1140" s="53" t="s">
        <v>2042</v>
      </c>
      <c r="E1140" s="53" t="s">
        <v>2074</v>
      </c>
      <c r="F1140" s="53" t="s">
        <v>2019</v>
      </c>
      <c r="G1140" s="53" t="s">
        <v>2036</v>
      </c>
      <c r="H1140" s="53">
        <v>1.0</v>
      </c>
      <c r="I1140" s="53">
        <v>0.5583756345177665</v>
      </c>
      <c r="J1140" s="53">
        <v>0.0</v>
      </c>
      <c r="K1140" s="53" t="s">
        <v>53</v>
      </c>
      <c r="L1140" s="53" t="s">
        <v>53</v>
      </c>
    </row>
    <row r="1141" ht="15.75" customHeight="1">
      <c r="A1141" s="53" t="s">
        <v>2599</v>
      </c>
      <c r="B1141" s="53" t="s">
        <v>231</v>
      </c>
      <c r="D1141" s="53" t="s">
        <v>2042</v>
      </c>
      <c r="E1141" s="53" t="s">
        <v>2075</v>
      </c>
      <c r="F1141" s="53" t="s">
        <v>2019</v>
      </c>
      <c r="G1141" s="53" t="s">
        <v>2034</v>
      </c>
      <c r="H1141" s="53">
        <v>1.0</v>
      </c>
      <c r="I1141" s="53">
        <v>0.6065989847715736</v>
      </c>
      <c r="J1141" s="53">
        <v>5.0</v>
      </c>
      <c r="K1141" s="53" t="s">
        <v>53</v>
      </c>
      <c r="L1141" s="53" t="s">
        <v>53</v>
      </c>
    </row>
    <row r="1142" ht="15.75" customHeight="1">
      <c r="A1142" s="53" t="s">
        <v>2599</v>
      </c>
      <c r="B1142" s="53" t="s">
        <v>231</v>
      </c>
      <c r="D1142" s="53" t="s">
        <v>2042</v>
      </c>
      <c r="E1142" s="53" t="s">
        <v>2076</v>
      </c>
      <c r="F1142" s="53" t="s">
        <v>2019</v>
      </c>
      <c r="G1142" s="53" t="s">
        <v>2030</v>
      </c>
      <c r="H1142" s="53">
        <v>1.0</v>
      </c>
      <c r="I1142" s="53">
        <v>0.6446700507614214</v>
      </c>
      <c r="J1142" s="53">
        <v>7.0</v>
      </c>
      <c r="K1142" s="53" t="s">
        <v>53</v>
      </c>
      <c r="L1142" s="53" t="s">
        <v>53</v>
      </c>
    </row>
    <row r="1143" ht="15.75" customHeight="1">
      <c r="A1143" s="53" t="s">
        <v>2599</v>
      </c>
      <c r="B1143" s="53" t="s">
        <v>231</v>
      </c>
      <c r="D1143" s="53" t="s">
        <v>2042</v>
      </c>
      <c r="E1143" s="53" t="s">
        <v>2077</v>
      </c>
      <c r="F1143" s="53" t="s">
        <v>2019</v>
      </c>
      <c r="G1143" s="53" t="s">
        <v>2028</v>
      </c>
      <c r="H1143" s="53">
        <v>1.0</v>
      </c>
      <c r="I1143" s="53">
        <v>0.6472081218274112</v>
      </c>
      <c r="J1143" s="53">
        <v>3.0</v>
      </c>
      <c r="K1143" s="53" t="s">
        <v>53</v>
      </c>
      <c r="L1143" s="53" t="s">
        <v>53</v>
      </c>
    </row>
    <row r="1144" ht="15.75" customHeight="1">
      <c r="A1144" s="53" t="s">
        <v>2599</v>
      </c>
      <c r="B1144" s="53" t="s">
        <v>231</v>
      </c>
      <c r="D1144" s="53" t="s">
        <v>2042</v>
      </c>
      <c r="E1144" s="53" t="s">
        <v>2078</v>
      </c>
      <c r="F1144" s="53" t="s">
        <v>2019</v>
      </c>
      <c r="G1144" s="53" t="s">
        <v>2026</v>
      </c>
      <c r="H1144" s="53">
        <v>1.0</v>
      </c>
      <c r="I1144" s="53">
        <v>0.6954314720812182</v>
      </c>
      <c r="J1144" s="53">
        <v>4.0</v>
      </c>
      <c r="K1144" s="53" t="s">
        <v>53</v>
      </c>
      <c r="L1144" s="53" t="s">
        <v>53</v>
      </c>
    </row>
    <row r="1145" ht="15.75" customHeight="1">
      <c r="A1145" s="53" t="s">
        <v>2599</v>
      </c>
      <c r="B1145" s="53" t="s">
        <v>231</v>
      </c>
      <c r="D1145" s="53" t="s">
        <v>2042</v>
      </c>
      <c r="E1145" s="53" t="s">
        <v>2079</v>
      </c>
      <c r="F1145" s="53" t="s">
        <v>2019</v>
      </c>
      <c r="G1145" s="53" t="s">
        <v>2024</v>
      </c>
      <c r="H1145" s="53">
        <v>1.0</v>
      </c>
      <c r="I1145" s="53">
        <v>0.6979695431472082</v>
      </c>
      <c r="J1145" s="53">
        <v>2.0</v>
      </c>
      <c r="K1145" s="53" t="s">
        <v>53</v>
      </c>
      <c r="L1145" s="53" t="s">
        <v>53</v>
      </c>
    </row>
    <row r="1146" ht="15.75" customHeight="1">
      <c r="A1146" s="53" t="s">
        <v>2599</v>
      </c>
      <c r="B1146" s="53" t="s">
        <v>231</v>
      </c>
      <c r="D1146" s="53" t="s">
        <v>2042</v>
      </c>
      <c r="E1146" s="53" t="s">
        <v>2080</v>
      </c>
      <c r="F1146" s="53" t="s">
        <v>2019</v>
      </c>
      <c r="G1146" s="53" t="s">
        <v>2020</v>
      </c>
      <c r="H1146" s="53">
        <v>1.0</v>
      </c>
      <c r="I1146" s="53">
        <v>0.7233502538071066</v>
      </c>
      <c r="J1146" s="53">
        <v>6.0</v>
      </c>
      <c r="K1146" s="53" t="s">
        <v>53</v>
      </c>
      <c r="L1146" s="53" t="s">
        <v>53</v>
      </c>
    </row>
    <row r="1147" ht="15.75" customHeight="1">
      <c r="A1147" s="53" t="s">
        <v>2599</v>
      </c>
      <c r="B1147" s="53" t="s">
        <v>231</v>
      </c>
      <c r="D1147" s="53" t="s">
        <v>2036</v>
      </c>
      <c r="E1147" s="53" t="s">
        <v>2081</v>
      </c>
      <c r="F1147" s="53" t="s">
        <v>2019</v>
      </c>
      <c r="G1147" s="53" t="s">
        <v>2034</v>
      </c>
      <c r="H1147" s="53">
        <v>1.0</v>
      </c>
      <c r="I1147" s="53">
        <v>0.143646408839779</v>
      </c>
      <c r="J1147" s="53">
        <v>4.0</v>
      </c>
      <c r="K1147" s="53" t="s">
        <v>53</v>
      </c>
      <c r="L1147" s="53" t="s">
        <v>53</v>
      </c>
    </row>
    <row r="1148" ht="15.75" customHeight="1">
      <c r="A1148" s="53" t="s">
        <v>2599</v>
      </c>
      <c r="B1148" s="53" t="s">
        <v>231</v>
      </c>
      <c r="D1148" s="53" t="s">
        <v>2036</v>
      </c>
      <c r="E1148" s="53" t="s">
        <v>2082</v>
      </c>
      <c r="F1148" s="53" t="s">
        <v>2019</v>
      </c>
      <c r="G1148" s="53" t="s">
        <v>2038</v>
      </c>
      <c r="H1148" s="53">
        <v>1.0</v>
      </c>
      <c r="I1148" s="53">
        <v>0.15196078431372548</v>
      </c>
      <c r="J1148" s="53">
        <v>0.0</v>
      </c>
      <c r="K1148" s="53" t="s">
        <v>53</v>
      </c>
      <c r="L1148" s="53" t="s">
        <v>53</v>
      </c>
    </row>
    <row r="1149" ht="15.75" customHeight="1">
      <c r="A1149" s="53" t="s">
        <v>2599</v>
      </c>
      <c r="B1149" s="53" t="s">
        <v>231</v>
      </c>
      <c r="D1149" s="53" t="s">
        <v>2036</v>
      </c>
      <c r="E1149" s="53" t="s">
        <v>2083</v>
      </c>
      <c r="F1149" s="53" t="s">
        <v>2019</v>
      </c>
      <c r="G1149" s="53" t="s">
        <v>2030</v>
      </c>
      <c r="H1149" s="53">
        <v>1.0</v>
      </c>
      <c r="I1149" s="53">
        <v>0.2265193370165746</v>
      </c>
      <c r="J1149" s="53">
        <v>6.0</v>
      </c>
      <c r="K1149" s="53" t="s">
        <v>53</v>
      </c>
      <c r="L1149" s="53" t="s">
        <v>53</v>
      </c>
    </row>
    <row r="1150" ht="15.75" customHeight="1">
      <c r="A1150" s="53" t="s">
        <v>2599</v>
      </c>
      <c r="B1150" s="53" t="s">
        <v>231</v>
      </c>
      <c r="D1150" s="53" t="s">
        <v>2036</v>
      </c>
      <c r="E1150" s="53" t="s">
        <v>2084</v>
      </c>
      <c r="F1150" s="53" t="s">
        <v>2019</v>
      </c>
      <c r="G1150" s="53" t="s">
        <v>2028</v>
      </c>
      <c r="H1150" s="53">
        <v>1.0</v>
      </c>
      <c r="I1150" s="53">
        <v>0.2265193370165746</v>
      </c>
      <c r="J1150" s="53">
        <v>2.0</v>
      </c>
      <c r="K1150" s="53" t="s">
        <v>53</v>
      </c>
      <c r="L1150" s="53" t="s">
        <v>53</v>
      </c>
    </row>
    <row r="1151" ht="15.75" customHeight="1">
      <c r="A1151" s="53" t="s">
        <v>2599</v>
      </c>
      <c r="B1151" s="53" t="s">
        <v>231</v>
      </c>
      <c r="D1151" s="53" t="s">
        <v>2036</v>
      </c>
      <c r="E1151" s="53" t="s">
        <v>2085</v>
      </c>
      <c r="F1151" s="53" t="s">
        <v>2019</v>
      </c>
      <c r="G1151" s="53" t="s">
        <v>2024</v>
      </c>
      <c r="H1151" s="53">
        <v>1.0</v>
      </c>
      <c r="I1151" s="53">
        <v>0.3370165745856354</v>
      </c>
      <c r="J1151" s="53">
        <v>1.0</v>
      </c>
      <c r="K1151" s="53" t="s">
        <v>53</v>
      </c>
      <c r="L1151" s="53" t="s">
        <v>53</v>
      </c>
    </row>
    <row r="1152" ht="15.75" customHeight="1">
      <c r="A1152" s="53" t="s">
        <v>2599</v>
      </c>
      <c r="B1152" s="53" t="s">
        <v>231</v>
      </c>
      <c r="D1152" s="53" t="s">
        <v>2036</v>
      </c>
      <c r="E1152" s="53" t="s">
        <v>2086</v>
      </c>
      <c r="F1152" s="53" t="s">
        <v>2019</v>
      </c>
      <c r="G1152" s="53" t="s">
        <v>2026</v>
      </c>
      <c r="H1152" s="53">
        <v>1.0</v>
      </c>
      <c r="I1152" s="53">
        <v>0.3370165745856354</v>
      </c>
      <c r="J1152" s="53">
        <v>3.0</v>
      </c>
      <c r="K1152" s="53" t="s">
        <v>53</v>
      </c>
      <c r="L1152" s="53" t="s">
        <v>53</v>
      </c>
    </row>
    <row r="1153" ht="15.75" customHeight="1">
      <c r="A1153" s="53" t="s">
        <v>2599</v>
      </c>
      <c r="B1153" s="53" t="s">
        <v>231</v>
      </c>
      <c r="D1153" s="53" t="s">
        <v>2036</v>
      </c>
      <c r="E1153" s="53" t="s">
        <v>2087</v>
      </c>
      <c r="F1153" s="53" t="s">
        <v>2019</v>
      </c>
      <c r="G1153" s="53" t="s">
        <v>2020</v>
      </c>
      <c r="H1153" s="53">
        <v>1.0</v>
      </c>
      <c r="I1153" s="53">
        <v>0.3701657458563536</v>
      </c>
      <c r="J1153" s="53">
        <v>5.0</v>
      </c>
      <c r="K1153" s="53" t="s">
        <v>53</v>
      </c>
      <c r="L1153" s="53" t="s">
        <v>53</v>
      </c>
    </row>
    <row r="1154" ht="15.75" customHeight="1">
      <c r="A1154" s="53" t="s">
        <v>2599</v>
      </c>
      <c r="B1154" s="53" t="s">
        <v>231</v>
      </c>
      <c r="D1154" s="53" t="s">
        <v>2038</v>
      </c>
      <c r="E1154" s="53" t="s">
        <v>2088</v>
      </c>
      <c r="F1154" s="53" t="s">
        <v>2019</v>
      </c>
      <c r="G1154" s="53" t="s">
        <v>2034</v>
      </c>
      <c r="H1154" s="53">
        <v>1.0</v>
      </c>
      <c r="I1154" s="53">
        <v>0.24509803921568626</v>
      </c>
      <c r="J1154" s="53">
        <v>3.0</v>
      </c>
      <c r="K1154" s="53" t="s">
        <v>53</v>
      </c>
      <c r="L1154" s="53" t="s">
        <v>53</v>
      </c>
    </row>
    <row r="1155" ht="15.75" customHeight="1">
      <c r="A1155" s="53" t="s">
        <v>2599</v>
      </c>
      <c r="B1155" s="53" t="s">
        <v>231</v>
      </c>
      <c r="D1155" s="53" t="s">
        <v>2038</v>
      </c>
      <c r="E1155" s="53" t="s">
        <v>2089</v>
      </c>
      <c r="F1155" s="53" t="s">
        <v>2019</v>
      </c>
      <c r="G1155" s="53" t="s">
        <v>2030</v>
      </c>
      <c r="H1155" s="53">
        <v>1.0</v>
      </c>
      <c r="I1155" s="53">
        <v>0.3137254901960784</v>
      </c>
      <c r="J1155" s="53">
        <v>5.0</v>
      </c>
      <c r="K1155" s="53" t="s">
        <v>53</v>
      </c>
      <c r="L1155" s="53" t="s">
        <v>53</v>
      </c>
    </row>
    <row r="1156" ht="15.75" customHeight="1">
      <c r="A1156" s="53" t="s">
        <v>2599</v>
      </c>
      <c r="B1156" s="53" t="s">
        <v>231</v>
      </c>
      <c r="D1156" s="53" t="s">
        <v>2038</v>
      </c>
      <c r="E1156" s="53" t="s">
        <v>2090</v>
      </c>
      <c r="F1156" s="53" t="s">
        <v>2019</v>
      </c>
      <c r="G1156" s="53" t="s">
        <v>2028</v>
      </c>
      <c r="H1156" s="53">
        <v>1.0</v>
      </c>
      <c r="I1156" s="53">
        <v>0.31862745098039214</v>
      </c>
      <c r="J1156" s="53">
        <v>1.0</v>
      </c>
      <c r="K1156" s="53" t="s">
        <v>53</v>
      </c>
      <c r="L1156" s="53" t="s">
        <v>53</v>
      </c>
    </row>
    <row r="1157" ht="15.75" customHeight="1">
      <c r="A1157" s="53" t="s">
        <v>2599</v>
      </c>
      <c r="B1157" s="53" t="s">
        <v>231</v>
      </c>
      <c r="D1157" s="53" t="s">
        <v>2038</v>
      </c>
      <c r="E1157" s="53" t="s">
        <v>2091</v>
      </c>
      <c r="F1157" s="53" t="s">
        <v>2019</v>
      </c>
      <c r="G1157" s="53" t="s">
        <v>2026</v>
      </c>
      <c r="H1157" s="53">
        <v>1.0</v>
      </c>
      <c r="I1157" s="53">
        <v>0.4019607843137255</v>
      </c>
      <c r="J1157" s="53">
        <v>2.0</v>
      </c>
      <c r="K1157" s="53" t="s">
        <v>53</v>
      </c>
      <c r="L1157" s="53" t="s">
        <v>53</v>
      </c>
    </row>
    <row r="1158" ht="15.75" customHeight="1">
      <c r="A1158" s="53" t="s">
        <v>2599</v>
      </c>
      <c r="B1158" s="53" t="s">
        <v>231</v>
      </c>
      <c r="D1158" s="53" t="s">
        <v>2038</v>
      </c>
      <c r="E1158" s="53" t="s">
        <v>2092</v>
      </c>
      <c r="F1158" s="53" t="s">
        <v>2019</v>
      </c>
      <c r="G1158" s="53" t="s">
        <v>2024</v>
      </c>
      <c r="H1158" s="53">
        <v>1.0</v>
      </c>
      <c r="I1158" s="53">
        <v>0.4068627450980392</v>
      </c>
      <c r="J1158" s="53">
        <v>0.0</v>
      </c>
      <c r="K1158" s="53" t="s">
        <v>53</v>
      </c>
      <c r="L1158" s="53" t="s">
        <v>53</v>
      </c>
    </row>
    <row r="1159" ht="15.75" customHeight="1">
      <c r="A1159" s="53" t="s">
        <v>2599</v>
      </c>
      <c r="B1159" s="53" t="s">
        <v>231</v>
      </c>
      <c r="D1159" s="53" t="s">
        <v>2038</v>
      </c>
      <c r="E1159" s="53" t="s">
        <v>2093</v>
      </c>
      <c r="F1159" s="53" t="s">
        <v>2019</v>
      </c>
      <c r="G1159" s="53" t="s">
        <v>2020</v>
      </c>
      <c r="H1159" s="53">
        <v>1.0</v>
      </c>
      <c r="I1159" s="53">
        <v>0.47058823529411764</v>
      </c>
      <c r="J1159" s="53">
        <v>4.0</v>
      </c>
      <c r="K1159" s="53" t="s">
        <v>53</v>
      </c>
      <c r="L1159" s="53" t="s">
        <v>53</v>
      </c>
    </row>
    <row r="1160" ht="15.75" customHeight="1">
      <c r="A1160" s="53" t="s">
        <v>2599</v>
      </c>
      <c r="B1160" s="53" t="s">
        <v>231</v>
      </c>
      <c r="D1160" s="53" t="s">
        <v>2024</v>
      </c>
      <c r="E1160" s="53" t="s">
        <v>2094</v>
      </c>
      <c r="F1160" s="53" t="s">
        <v>2019</v>
      </c>
      <c r="G1160" s="53" t="s">
        <v>2026</v>
      </c>
      <c r="H1160" s="53">
        <v>1.0</v>
      </c>
      <c r="I1160" s="53">
        <v>0.032</v>
      </c>
      <c r="J1160" s="53">
        <v>1.0</v>
      </c>
      <c r="K1160" s="53" t="s">
        <v>53</v>
      </c>
      <c r="L1160" s="53" t="s">
        <v>53</v>
      </c>
    </row>
    <row r="1161" ht="15.75" customHeight="1">
      <c r="A1161" s="53" t="s">
        <v>2599</v>
      </c>
      <c r="B1161" s="53" t="s">
        <v>231</v>
      </c>
      <c r="D1161" s="53" t="s">
        <v>2024</v>
      </c>
      <c r="E1161" s="53" t="s">
        <v>2095</v>
      </c>
      <c r="F1161" s="53" t="s">
        <v>2019</v>
      </c>
      <c r="G1161" s="53" t="s">
        <v>2020</v>
      </c>
      <c r="H1161" s="53">
        <v>1.0</v>
      </c>
      <c r="I1161" s="53">
        <v>0.12</v>
      </c>
      <c r="J1161" s="53">
        <v>3.0</v>
      </c>
      <c r="K1161" s="53" t="s">
        <v>53</v>
      </c>
      <c r="L1161" s="53" t="s">
        <v>53</v>
      </c>
    </row>
    <row r="1162" ht="15.75" customHeight="1">
      <c r="A1162" s="53" t="s">
        <v>2599</v>
      </c>
      <c r="B1162" s="53" t="s">
        <v>231</v>
      </c>
      <c r="D1162" s="53" t="s">
        <v>2024</v>
      </c>
      <c r="E1162" s="53" t="s">
        <v>2096</v>
      </c>
      <c r="F1162" s="53" t="s">
        <v>2019</v>
      </c>
      <c r="G1162" s="53" t="s">
        <v>2030</v>
      </c>
      <c r="H1162" s="53">
        <v>1.0</v>
      </c>
      <c r="I1162" s="53">
        <v>0.16551724137931034</v>
      </c>
      <c r="J1162" s="53">
        <v>4.0</v>
      </c>
      <c r="K1162" s="53" t="s">
        <v>53</v>
      </c>
      <c r="L1162" s="53" t="s">
        <v>53</v>
      </c>
    </row>
    <row r="1163" ht="15.75" customHeight="1">
      <c r="A1163" s="53" t="s">
        <v>2599</v>
      </c>
      <c r="B1163" s="53" t="s">
        <v>231</v>
      </c>
      <c r="D1163" s="53" t="s">
        <v>2024</v>
      </c>
      <c r="E1163" s="53" t="s">
        <v>2097</v>
      </c>
      <c r="F1163" s="53" t="s">
        <v>2019</v>
      </c>
      <c r="G1163" s="53" t="s">
        <v>2028</v>
      </c>
      <c r="H1163" s="53">
        <v>1.0</v>
      </c>
      <c r="I1163" s="53">
        <v>0.16551724137931034</v>
      </c>
      <c r="J1163" s="53">
        <v>0.0</v>
      </c>
      <c r="K1163" s="53" t="s">
        <v>53</v>
      </c>
      <c r="L1163" s="53" t="s">
        <v>53</v>
      </c>
    </row>
    <row r="1164" ht="15.75" customHeight="1">
      <c r="A1164" s="53" t="s">
        <v>2599</v>
      </c>
      <c r="B1164" s="53" t="s">
        <v>231</v>
      </c>
      <c r="D1164" s="53" t="s">
        <v>2024</v>
      </c>
      <c r="E1164" s="53" t="s">
        <v>2098</v>
      </c>
      <c r="F1164" s="53" t="s">
        <v>2019</v>
      </c>
      <c r="G1164" s="53" t="s">
        <v>2034</v>
      </c>
      <c r="H1164" s="53">
        <v>1.0</v>
      </c>
      <c r="I1164" s="53">
        <v>0.25</v>
      </c>
      <c r="J1164" s="53">
        <v>2.0</v>
      </c>
      <c r="K1164" s="53" t="s">
        <v>53</v>
      </c>
      <c r="L1164" s="53" t="s">
        <v>53</v>
      </c>
    </row>
    <row r="1165" ht="15.75" customHeight="1">
      <c r="A1165" s="53" t="s">
        <v>2599</v>
      </c>
      <c r="B1165" s="53" t="s">
        <v>231</v>
      </c>
      <c r="D1165" s="53" t="s">
        <v>2028</v>
      </c>
      <c r="E1165" s="53" t="s">
        <v>2099</v>
      </c>
      <c r="F1165" s="53" t="s">
        <v>2019</v>
      </c>
      <c r="G1165" s="53" t="s">
        <v>2030</v>
      </c>
      <c r="H1165" s="53">
        <v>1.0</v>
      </c>
      <c r="I1165" s="53">
        <v>0.034482758620689655</v>
      </c>
      <c r="J1165" s="53">
        <v>3.0</v>
      </c>
      <c r="K1165" s="53" t="s">
        <v>53</v>
      </c>
      <c r="L1165" s="53" t="s">
        <v>53</v>
      </c>
    </row>
    <row r="1166" ht="15.75" customHeight="1">
      <c r="A1166" s="53" t="s">
        <v>2599</v>
      </c>
      <c r="B1166" s="53" t="s">
        <v>231</v>
      </c>
      <c r="D1166" s="53" t="s">
        <v>2028</v>
      </c>
      <c r="E1166" s="53" t="s">
        <v>2100</v>
      </c>
      <c r="F1166" s="53" t="s">
        <v>2019</v>
      </c>
      <c r="G1166" s="53" t="s">
        <v>2034</v>
      </c>
      <c r="H1166" s="53">
        <v>1.0</v>
      </c>
      <c r="I1166" s="53">
        <v>0.125</v>
      </c>
      <c r="J1166" s="53">
        <v>1.0</v>
      </c>
      <c r="K1166" s="53" t="s">
        <v>53</v>
      </c>
      <c r="L1166" s="53" t="s">
        <v>53</v>
      </c>
    </row>
    <row r="1167" ht="15.75" customHeight="1">
      <c r="A1167" s="53" t="s">
        <v>2599</v>
      </c>
      <c r="B1167" s="53" t="s">
        <v>231</v>
      </c>
      <c r="D1167" s="53" t="s">
        <v>2028</v>
      </c>
      <c r="E1167" s="53" t="s">
        <v>2101</v>
      </c>
      <c r="F1167" s="53" t="s">
        <v>2019</v>
      </c>
      <c r="G1167" s="53" t="s">
        <v>2026</v>
      </c>
      <c r="H1167" s="53">
        <v>1.0</v>
      </c>
      <c r="I1167" s="53">
        <v>0.1724137931034483</v>
      </c>
      <c r="J1167" s="53">
        <v>0.0</v>
      </c>
      <c r="K1167" s="53" t="s">
        <v>53</v>
      </c>
      <c r="L1167" s="53" t="s">
        <v>53</v>
      </c>
    </row>
    <row r="1168" ht="15.75" customHeight="1">
      <c r="A1168" s="53" t="s">
        <v>2599</v>
      </c>
      <c r="B1168" s="53" t="s">
        <v>231</v>
      </c>
      <c r="D1168" s="53" t="s">
        <v>2028</v>
      </c>
      <c r="E1168" s="53" t="s">
        <v>2102</v>
      </c>
      <c r="F1168" s="53" t="s">
        <v>2019</v>
      </c>
      <c r="G1168" s="53" t="s">
        <v>2020</v>
      </c>
      <c r="H1168" s="53">
        <v>1.0</v>
      </c>
      <c r="I1168" s="53">
        <v>0.2482758620689655</v>
      </c>
      <c r="J1168" s="53">
        <v>2.0</v>
      </c>
      <c r="K1168" s="53" t="s">
        <v>53</v>
      </c>
      <c r="L1168" s="53" t="s">
        <v>53</v>
      </c>
    </row>
    <row r="1169" ht="15.75" customHeight="1">
      <c r="A1169" s="53" t="s">
        <v>2599</v>
      </c>
      <c r="B1169" s="53" t="s">
        <v>231</v>
      </c>
      <c r="D1169" s="53" t="s">
        <v>2026</v>
      </c>
      <c r="E1169" s="53" t="s">
        <v>2103</v>
      </c>
      <c r="F1169" s="53" t="s">
        <v>2019</v>
      </c>
      <c r="G1169" s="53" t="s">
        <v>2020</v>
      </c>
      <c r="H1169" s="53">
        <v>1.0</v>
      </c>
      <c r="I1169" s="53">
        <v>0.13008130081300814</v>
      </c>
      <c r="J1169" s="53">
        <v>1.0</v>
      </c>
      <c r="K1169" s="53" t="s">
        <v>53</v>
      </c>
      <c r="L1169" s="53" t="s">
        <v>53</v>
      </c>
    </row>
    <row r="1170" ht="15.75" customHeight="1">
      <c r="A1170" s="53" t="s">
        <v>2599</v>
      </c>
      <c r="B1170" s="53" t="s">
        <v>231</v>
      </c>
      <c r="D1170" s="53" t="s">
        <v>2026</v>
      </c>
      <c r="E1170" s="53" t="s">
        <v>2104</v>
      </c>
      <c r="F1170" s="53" t="s">
        <v>2019</v>
      </c>
      <c r="G1170" s="53" t="s">
        <v>2030</v>
      </c>
      <c r="H1170" s="53">
        <v>1.0</v>
      </c>
      <c r="I1170" s="53">
        <v>0.16551724137931034</v>
      </c>
      <c r="J1170" s="53">
        <v>2.0</v>
      </c>
      <c r="K1170" s="53" t="s">
        <v>53</v>
      </c>
      <c r="L1170" s="53" t="s">
        <v>53</v>
      </c>
    </row>
    <row r="1171" ht="15.75" customHeight="1">
      <c r="A1171" s="53" t="s">
        <v>2599</v>
      </c>
      <c r="B1171" s="53" t="s">
        <v>231</v>
      </c>
      <c r="D1171" s="53" t="s">
        <v>2026</v>
      </c>
      <c r="E1171" s="53" t="s">
        <v>2105</v>
      </c>
      <c r="F1171" s="53" t="s">
        <v>2019</v>
      </c>
      <c r="G1171" s="53" t="s">
        <v>2034</v>
      </c>
      <c r="H1171" s="53">
        <v>1.0</v>
      </c>
      <c r="I1171" s="53">
        <v>0.24375</v>
      </c>
      <c r="J1171" s="53">
        <v>0.0</v>
      </c>
      <c r="K1171" s="53" t="s">
        <v>53</v>
      </c>
      <c r="L1171" s="53" t="s">
        <v>53</v>
      </c>
    </row>
    <row r="1172" ht="15.75" customHeight="1">
      <c r="A1172" s="53" t="s">
        <v>2599</v>
      </c>
      <c r="B1172" s="53" t="s">
        <v>231</v>
      </c>
      <c r="D1172" s="53" t="s">
        <v>2034</v>
      </c>
      <c r="E1172" s="53" t="s">
        <v>2106</v>
      </c>
      <c r="F1172" s="53" t="s">
        <v>2019</v>
      </c>
      <c r="G1172" s="53" t="s">
        <v>2030</v>
      </c>
      <c r="H1172" s="53">
        <v>1.0</v>
      </c>
      <c r="I1172" s="53">
        <v>0.1125</v>
      </c>
      <c r="J1172" s="53">
        <v>1.0</v>
      </c>
      <c r="K1172" s="53" t="s">
        <v>53</v>
      </c>
      <c r="L1172" s="53" t="s">
        <v>53</v>
      </c>
    </row>
    <row r="1173" ht="15.75" customHeight="1">
      <c r="A1173" s="53" t="s">
        <v>2599</v>
      </c>
      <c r="B1173" s="53" t="s">
        <v>231</v>
      </c>
      <c r="D1173" s="53" t="s">
        <v>2034</v>
      </c>
      <c r="E1173" s="53" t="s">
        <v>2107</v>
      </c>
      <c r="F1173" s="53" t="s">
        <v>2019</v>
      </c>
      <c r="G1173" s="53" t="s">
        <v>2020</v>
      </c>
      <c r="H1173" s="53">
        <v>1.0</v>
      </c>
      <c r="I1173" s="53">
        <v>0.31875</v>
      </c>
      <c r="J1173" s="53">
        <v>0.0</v>
      </c>
      <c r="K1173" s="53" t="s">
        <v>53</v>
      </c>
      <c r="L1173" s="53" t="s">
        <v>53</v>
      </c>
    </row>
    <row r="1174" ht="15.75" customHeight="1">
      <c r="A1174" s="53" t="s">
        <v>2599</v>
      </c>
      <c r="B1174" s="53" t="s">
        <v>231</v>
      </c>
      <c r="D1174" s="53" t="s">
        <v>2020</v>
      </c>
      <c r="E1174" s="53" t="s">
        <v>2108</v>
      </c>
      <c r="F1174" s="53" t="s">
        <v>2019</v>
      </c>
      <c r="G1174" s="53" t="s">
        <v>2030</v>
      </c>
      <c r="H1174" s="53">
        <v>1.0</v>
      </c>
      <c r="I1174" s="53">
        <v>0.2482758620689655</v>
      </c>
      <c r="J1174" s="53">
        <v>0.0</v>
      </c>
      <c r="K1174" s="53" t="s">
        <v>53</v>
      </c>
      <c r="L1174" s="53" t="s">
        <v>53</v>
      </c>
    </row>
    <row r="1175" ht="15.75" customHeight="1">
      <c r="A1175" s="53" t="s">
        <v>2599</v>
      </c>
      <c r="B1175" s="53" t="s">
        <v>231</v>
      </c>
      <c r="D1175" s="53" t="s">
        <v>2109</v>
      </c>
      <c r="E1175" s="53" t="s">
        <v>2110</v>
      </c>
      <c r="F1175" s="53" t="s">
        <v>2458</v>
      </c>
      <c r="G1175" s="53" t="s">
        <v>2112</v>
      </c>
      <c r="H1175" s="53">
        <v>1.0</v>
      </c>
      <c r="I1175" s="53">
        <v>0.5996884735202492</v>
      </c>
      <c r="J1175" s="53">
        <v>4.0</v>
      </c>
      <c r="K1175" s="53" t="s">
        <v>53</v>
      </c>
      <c r="L1175" s="53" t="s">
        <v>53</v>
      </c>
    </row>
    <row r="1176" ht="15.75" customHeight="1">
      <c r="A1176" s="53" t="s">
        <v>2599</v>
      </c>
      <c r="B1176" s="53" t="s">
        <v>231</v>
      </c>
      <c r="D1176" s="53" t="s">
        <v>2109</v>
      </c>
      <c r="E1176" s="53" t="s">
        <v>2113</v>
      </c>
      <c r="F1176" s="53" t="s">
        <v>2459</v>
      </c>
      <c r="G1176" s="53" t="s">
        <v>2115</v>
      </c>
      <c r="H1176" s="53">
        <v>1.0</v>
      </c>
      <c r="I1176" s="53">
        <v>0.6822429906542056</v>
      </c>
      <c r="J1176" s="53">
        <v>5.0</v>
      </c>
      <c r="K1176" s="53" t="s">
        <v>53</v>
      </c>
      <c r="L1176" s="53" t="s">
        <v>53</v>
      </c>
    </row>
    <row r="1177" ht="15.75" customHeight="1">
      <c r="A1177" s="53" t="s">
        <v>2599</v>
      </c>
      <c r="B1177" s="53" t="s">
        <v>231</v>
      </c>
      <c r="D1177" s="53" t="s">
        <v>2109</v>
      </c>
      <c r="E1177" s="53" t="s">
        <v>2116</v>
      </c>
      <c r="F1177" s="53" t="s">
        <v>2459</v>
      </c>
      <c r="G1177" s="53" t="s">
        <v>2117</v>
      </c>
      <c r="H1177" s="53">
        <v>1.0</v>
      </c>
      <c r="I1177" s="53">
        <v>0.6853582554517134</v>
      </c>
      <c r="J1177" s="53">
        <v>1.0</v>
      </c>
      <c r="K1177" s="53" t="s">
        <v>53</v>
      </c>
      <c r="L1177" s="53" t="s">
        <v>53</v>
      </c>
    </row>
    <row r="1178" ht="15.75" customHeight="1">
      <c r="A1178" s="53" t="s">
        <v>2599</v>
      </c>
      <c r="B1178" s="53" t="s">
        <v>231</v>
      </c>
      <c r="D1178" s="53" t="s">
        <v>2109</v>
      </c>
      <c r="E1178" s="53" t="s">
        <v>2118</v>
      </c>
      <c r="F1178" s="53" t="s">
        <v>2459</v>
      </c>
      <c r="G1178" s="53" t="s">
        <v>2119</v>
      </c>
      <c r="H1178" s="53">
        <v>1.0</v>
      </c>
      <c r="I1178" s="53">
        <v>0.6869158878504673</v>
      </c>
      <c r="J1178" s="53">
        <v>0.0</v>
      </c>
      <c r="K1178" s="53" t="s">
        <v>53</v>
      </c>
      <c r="L1178" s="53" t="s">
        <v>53</v>
      </c>
    </row>
    <row r="1179" ht="15.75" customHeight="1">
      <c r="A1179" s="53" t="s">
        <v>2599</v>
      </c>
      <c r="B1179" s="53" t="s">
        <v>231</v>
      </c>
      <c r="D1179" s="53" t="s">
        <v>2109</v>
      </c>
      <c r="E1179" s="53" t="s">
        <v>2120</v>
      </c>
      <c r="F1179" s="53" t="s">
        <v>2459</v>
      </c>
      <c r="G1179" s="53" t="s">
        <v>2121</v>
      </c>
      <c r="H1179" s="53">
        <v>1.0</v>
      </c>
      <c r="I1179" s="53">
        <v>0.6915887850467289</v>
      </c>
      <c r="J1179" s="53">
        <v>9.0</v>
      </c>
      <c r="K1179" s="53" t="s">
        <v>53</v>
      </c>
      <c r="L1179" s="53" t="s">
        <v>53</v>
      </c>
    </row>
    <row r="1180" ht="15.75" customHeight="1">
      <c r="A1180" s="53" t="s">
        <v>2599</v>
      </c>
      <c r="B1180" s="53" t="s">
        <v>231</v>
      </c>
      <c r="D1180" s="53" t="s">
        <v>2109</v>
      </c>
      <c r="E1180" s="53" t="s">
        <v>2122</v>
      </c>
      <c r="F1180" s="53" t="s">
        <v>2460</v>
      </c>
      <c r="G1180" s="53" t="s">
        <v>2124</v>
      </c>
      <c r="H1180" s="53">
        <v>1.0</v>
      </c>
      <c r="I1180" s="53">
        <v>0.7663551401869159</v>
      </c>
      <c r="J1180" s="53">
        <v>6.0</v>
      </c>
      <c r="K1180" s="53" t="s">
        <v>53</v>
      </c>
      <c r="L1180" s="53" t="s">
        <v>53</v>
      </c>
    </row>
    <row r="1181" ht="15.75" customHeight="1">
      <c r="A1181" s="53" t="s">
        <v>2599</v>
      </c>
      <c r="B1181" s="53" t="s">
        <v>231</v>
      </c>
      <c r="D1181" s="53" t="s">
        <v>2109</v>
      </c>
      <c r="E1181" s="53" t="s">
        <v>2125</v>
      </c>
      <c r="F1181" s="53" t="s">
        <v>2460</v>
      </c>
      <c r="G1181" s="53" t="s">
        <v>2126</v>
      </c>
      <c r="H1181" s="53">
        <v>1.0</v>
      </c>
      <c r="I1181" s="53">
        <v>0.7710280373831776</v>
      </c>
      <c r="J1181" s="53">
        <v>7.0</v>
      </c>
      <c r="K1181" s="53" t="s">
        <v>53</v>
      </c>
      <c r="L1181" s="53" t="s">
        <v>53</v>
      </c>
    </row>
    <row r="1182" ht="15.75" customHeight="1">
      <c r="A1182" s="53" t="s">
        <v>2599</v>
      </c>
      <c r="B1182" s="53" t="s">
        <v>231</v>
      </c>
      <c r="D1182" s="53" t="s">
        <v>2109</v>
      </c>
      <c r="E1182" s="53" t="s">
        <v>2127</v>
      </c>
      <c r="F1182" s="53" t="s">
        <v>2460</v>
      </c>
      <c r="G1182" s="53" t="s">
        <v>2128</v>
      </c>
      <c r="H1182" s="53">
        <v>1.0</v>
      </c>
      <c r="I1182" s="53">
        <v>0.7834890965732088</v>
      </c>
      <c r="J1182" s="53">
        <v>10.0</v>
      </c>
      <c r="K1182" s="53" t="s">
        <v>53</v>
      </c>
      <c r="L1182" s="53" t="s">
        <v>53</v>
      </c>
    </row>
    <row r="1183" ht="15.75" customHeight="1">
      <c r="A1183" s="53" t="s">
        <v>2599</v>
      </c>
      <c r="B1183" s="53" t="s">
        <v>231</v>
      </c>
      <c r="D1183" s="53" t="s">
        <v>2109</v>
      </c>
      <c r="E1183" s="53" t="s">
        <v>2129</v>
      </c>
      <c r="F1183" s="53" t="s">
        <v>2460</v>
      </c>
      <c r="G1183" s="53" t="s">
        <v>2130</v>
      </c>
      <c r="H1183" s="53">
        <v>1.0</v>
      </c>
      <c r="I1183" s="53">
        <v>0.7850467289719626</v>
      </c>
      <c r="J1183" s="53">
        <v>11.0</v>
      </c>
      <c r="K1183" s="53" t="s">
        <v>53</v>
      </c>
      <c r="L1183" s="53" t="s">
        <v>53</v>
      </c>
    </row>
    <row r="1184" ht="15.75" customHeight="1">
      <c r="A1184" s="53" t="s">
        <v>2599</v>
      </c>
      <c r="B1184" s="53" t="s">
        <v>231</v>
      </c>
      <c r="D1184" s="53" t="s">
        <v>2109</v>
      </c>
      <c r="E1184" s="53" t="s">
        <v>2131</v>
      </c>
      <c r="F1184" s="53" t="s">
        <v>2461</v>
      </c>
      <c r="G1184" s="53" t="s">
        <v>2133</v>
      </c>
      <c r="H1184" s="53">
        <v>1.0</v>
      </c>
      <c r="I1184" s="53">
        <v>0.8598130841121495</v>
      </c>
      <c r="J1184" s="53">
        <v>12.0</v>
      </c>
      <c r="K1184" s="53" t="s">
        <v>53</v>
      </c>
      <c r="L1184" s="53" t="s">
        <v>2134</v>
      </c>
    </row>
    <row r="1185" ht="15.75" customHeight="1">
      <c r="A1185" s="53" t="s">
        <v>2599</v>
      </c>
      <c r="B1185" s="53" t="s">
        <v>231</v>
      </c>
      <c r="D1185" s="53" t="s">
        <v>2109</v>
      </c>
      <c r="E1185" s="53" t="s">
        <v>2135</v>
      </c>
      <c r="F1185" s="53" t="s">
        <v>2461</v>
      </c>
      <c r="G1185" s="53" t="s">
        <v>2136</v>
      </c>
      <c r="H1185" s="53">
        <v>1.0</v>
      </c>
      <c r="I1185" s="53">
        <v>0.8629283489096573</v>
      </c>
      <c r="J1185" s="53">
        <v>3.0</v>
      </c>
      <c r="K1185" s="53" t="s">
        <v>53</v>
      </c>
      <c r="L1185" s="53" t="s">
        <v>2134</v>
      </c>
    </row>
    <row r="1186" ht="15.75" customHeight="1">
      <c r="A1186" s="53" t="s">
        <v>2599</v>
      </c>
      <c r="B1186" s="53" t="s">
        <v>231</v>
      </c>
      <c r="D1186" s="53" t="s">
        <v>2109</v>
      </c>
      <c r="E1186" s="53" t="s">
        <v>2137</v>
      </c>
      <c r="F1186" s="53" t="s">
        <v>2461</v>
      </c>
      <c r="G1186" s="53" t="s">
        <v>52</v>
      </c>
      <c r="H1186" s="53">
        <v>1.0</v>
      </c>
      <c r="I1186" s="53">
        <v>0.8691588785046729</v>
      </c>
      <c r="J1186" s="53">
        <v>2.0</v>
      </c>
      <c r="K1186" s="53" t="s">
        <v>53</v>
      </c>
      <c r="L1186" s="53" t="s">
        <v>2134</v>
      </c>
    </row>
    <row r="1187" ht="15.75" customHeight="1">
      <c r="A1187" s="53" t="s">
        <v>2599</v>
      </c>
      <c r="B1187" s="53" t="s">
        <v>231</v>
      </c>
      <c r="D1187" s="53" t="s">
        <v>2109</v>
      </c>
      <c r="E1187" s="53" t="s">
        <v>2138</v>
      </c>
      <c r="F1187" s="53" t="s">
        <v>2461</v>
      </c>
      <c r="G1187" s="53" t="s">
        <v>46</v>
      </c>
      <c r="H1187" s="53">
        <v>1.0</v>
      </c>
      <c r="I1187" s="53">
        <v>0.8707165109034268</v>
      </c>
      <c r="J1187" s="53">
        <v>8.0</v>
      </c>
      <c r="K1187" s="53" t="s">
        <v>53</v>
      </c>
      <c r="L1187" s="53" t="s">
        <v>2134</v>
      </c>
    </row>
    <row r="1188" ht="15.75" customHeight="1">
      <c r="A1188" s="53" t="s">
        <v>2599</v>
      </c>
      <c r="B1188" s="53" t="s">
        <v>231</v>
      </c>
      <c r="D1188" s="53" t="s">
        <v>2119</v>
      </c>
      <c r="E1188" s="53" t="s">
        <v>2139</v>
      </c>
      <c r="F1188" s="53" t="s">
        <v>2462</v>
      </c>
      <c r="G1188" s="53" t="s">
        <v>2121</v>
      </c>
      <c r="H1188" s="53">
        <v>1.0</v>
      </c>
      <c r="I1188" s="53">
        <v>0.06666666666666667</v>
      </c>
      <c r="J1188" s="53">
        <v>8.0</v>
      </c>
      <c r="K1188" s="53" t="s">
        <v>53</v>
      </c>
      <c r="L1188" s="53" t="s">
        <v>53</v>
      </c>
    </row>
    <row r="1189" ht="15.75" customHeight="1">
      <c r="A1189" s="53" t="s">
        <v>2599</v>
      </c>
      <c r="B1189" s="53" t="s">
        <v>231</v>
      </c>
      <c r="D1189" s="53" t="s">
        <v>2119</v>
      </c>
      <c r="E1189" s="53" t="s">
        <v>2141</v>
      </c>
      <c r="F1189" s="53" t="s">
        <v>2462</v>
      </c>
      <c r="G1189" s="53" t="s">
        <v>2117</v>
      </c>
      <c r="H1189" s="53">
        <v>1.0</v>
      </c>
      <c r="I1189" s="53">
        <v>0.08837209302325581</v>
      </c>
      <c r="J1189" s="53">
        <v>0.0</v>
      </c>
      <c r="K1189" s="53" t="s">
        <v>53</v>
      </c>
      <c r="L1189" s="53" t="s">
        <v>53</v>
      </c>
    </row>
    <row r="1190" ht="15.75" customHeight="1">
      <c r="A1190" s="53" t="s">
        <v>2599</v>
      </c>
      <c r="B1190" s="53" t="s">
        <v>231</v>
      </c>
      <c r="D1190" s="53" t="s">
        <v>2119</v>
      </c>
      <c r="E1190" s="53" t="s">
        <v>2142</v>
      </c>
      <c r="F1190" s="53" t="s">
        <v>2462</v>
      </c>
      <c r="G1190" s="53" t="s">
        <v>2115</v>
      </c>
      <c r="H1190" s="53">
        <v>1.0</v>
      </c>
      <c r="I1190" s="53">
        <v>0.11363636363636363</v>
      </c>
      <c r="J1190" s="53">
        <v>4.0</v>
      </c>
      <c r="K1190" s="53" t="s">
        <v>53</v>
      </c>
      <c r="L1190" s="53" t="s">
        <v>53</v>
      </c>
    </row>
    <row r="1191" ht="15.75" customHeight="1">
      <c r="A1191" s="53" t="s">
        <v>2599</v>
      </c>
      <c r="B1191" s="53" t="s">
        <v>231</v>
      </c>
      <c r="D1191" s="53" t="s">
        <v>2119</v>
      </c>
      <c r="E1191" s="53" t="s">
        <v>2143</v>
      </c>
      <c r="F1191" s="53" t="s">
        <v>2463</v>
      </c>
      <c r="G1191" s="53" t="s">
        <v>2112</v>
      </c>
      <c r="H1191" s="53">
        <v>1.0</v>
      </c>
      <c r="I1191" s="53">
        <v>0.26591760299625467</v>
      </c>
      <c r="J1191" s="53">
        <v>3.0</v>
      </c>
      <c r="K1191" s="53" t="s">
        <v>53</v>
      </c>
      <c r="L1191" s="53" t="s">
        <v>53</v>
      </c>
    </row>
    <row r="1192" ht="15.75" customHeight="1">
      <c r="A1192" s="53" t="s">
        <v>2599</v>
      </c>
      <c r="B1192" s="53" t="s">
        <v>231</v>
      </c>
      <c r="D1192" s="53" t="s">
        <v>2119</v>
      </c>
      <c r="E1192" s="53" t="s">
        <v>2145</v>
      </c>
      <c r="F1192" s="53" t="s">
        <v>2464</v>
      </c>
      <c r="G1192" s="53" t="s">
        <v>2126</v>
      </c>
      <c r="H1192" s="53">
        <v>1.0</v>
      </c>
      <c r="I1192" s="53">
        <v>0.30434782608695654</v>
      </c>
      <c r="J1192" s="53">
        <v>6.0</v>
      </c>
      <c r="K1192" s="53" t="s">
        <v>53</v>
      </c>
      <c r="L1192" s="53" t="s">
        <v>53</v>
      </c>
    </row>
    <row r="1193" ht="15.75" customHeight="1">
      <c r="A1193" s="53" t="s">
        <v>2599</v>
      </c>
      <c r="B1193" s="53" t="s">
        <v>231</v>
      </c>
      <c r="D1193" s="53" t="s">
        <v>2119</v>
      </c>
      <c r="E1193" s="53" t="s">
        <v>2147</v>
      </c>
      <c r="F1193" s="53" t="s">
        <v>2464</v>
      </c>
      <c r="G1193" s="53" t="s">
        <v>2124</v>
      </c>
      <c r="H1193" s="53">
        <v>1.0</v>
      </c>
      <c r="I1193" s="53">
        <v>0.30434782608695654</v>
      </c>
      <c r="J1193" s="53">
        <v>5.0</v>
      </c>
      <c r="K1193" s="53" t="s">
        <v>53</v>
      </c>
      <c r="L1193" s="53" t="s">
        <v>53</v>
      </c>
    </row>
    <row r="1194" ht="15.75" customHeight="1">
      <c r="A1194" s="53" t="s">
        <v>2599</v>
      </c>
      <c r="B1194" s="53" t="s">
        <v>231</v>
      </c>
      <c r="D1194" s="53" t="s">
        <v>2119</v>
      </c>
      <c r="E1194" s="53" t="s">
        <v>2148</v>
      </c>
      <c r="F1194" s="53" t="s">
        <v>2464</v>
      </c>
      <c r="G1194" s="53" t="s">
        <v>2128</v>
      </c>
      <c r="H1194" s="53">
        <v>1.0</v>
      </c>
      <c r="I1194" s="53">
        <v>0.32367149758454106</v>
      </c>
      <c r="J1194" s="53">
        <v>9.0</v>
      </c>
      <c r="K1194" s="53" t="s">
        <v>53</v>
      </c>
      <c r="L1194" s="53" t="s">
        <v>53</v>
      </c>
    </row>
    <row r="1195" ht="15.75" customHeight="1">
      <c r="A1195" s="53" t="s">
        <v>2599</v>
      </c>
      <c r="B1195" s="53" t="s">
        <v>231</v>
      </c>
      <c r="D1195" s="53" t="s">
        <v>2119</v>
      </c>
      <c r="E1195" s="53" t="s">
        <v>2149</v>
      </c>
      <c r="F1195" s="53" t="s">
        <v>2464</v>
      </c>
      <c r="G1195" s="53" t="s">
        <v>2130</v>
      </c>
      <c r="H1195" s="53">
        <v>1.0</v>
      </c>
      <c r="I1195" s="53">
        <v>0.3333333333333333</v>
      </c>
      <c r="J1195" s="53">
        <v>10.0</v>
      </c>
      <c r="K1195" s="53" t="s">
        <v>53</v>
      </c>
      <c r="L1195" s="53" t="s">
        <v>53</v>
      </c>
    </row>
    <row r="1196" ht="15.75" customHeight="1">
      <c r="A1196" s="53" t="s">
        <v>2599</v>
      </c>
      <c r="B1196" s="53" t="s">
        <v>231</v>
      </c>
      <c r="D1196" s="53" t="s">
        <v>2119</v>
      </c>
      <c r="E1196" s="53" t="s">
        <v>2150</v>
      </c>
      <c r="F1196" s="53" t="s">
        <v>2465</v>
      </c>
      <c r="G1196" s="53" t="s">
        <v>2136</v>
      </c>
      <c r="H1196" s="53">
        <v>1.0</v>
      </c>
      <c r="I1196" s="53">
        <v>0.5652173913043478</v>
      </c>
      <c r="J1196" s="53">
        <v>2.0</v>
      </c>
      <c r="K1196" s="53" t="s">
        <v>53</v>
      </c>
      <c r="L1196" s="53" t="s">
        <v>2134</v>
      </c>
    </row>
    <row r="1197" ht="15.75" customHeight="1">
      <c r="A1197" s="53" t="s">
        <v>2599</v>
      </c>
      <c r="B1197" s="53" t="s">
        <v>231</v>
      </c>
      <c r="D1197" s="53" t="s">
        <v>2119</v>
      </c>
      <c r="E1197" s="53" t="s">
        <v>2152</v>
      </c>
      <c r="F1197" s="53" t="s">
        <v>2465</v>
      </c>
      <c r="G1197" s="53" t="s">
        <v>2133</v>
      </c>
      <c r="H1197" s="53">
        <v>1.0</v>
      </c>
      <c r="I1197" s="53">
        <v>0.5700483091787439</v>
      </c>
      <c r="J1197" s="53">
        <v>11.0</v>
      </c>
      <c r="K1197" s="53" t="s">
        <v>53</v>
      </c>
      <c r="L1197" s="53" t="s">
        <v>2134</v>
      </c>
    </row>
    <row r="1198" ht="15.75" customHeight="1">
      <c r="A1198" s="53" t="s">
        <v>2599</v>
      </c>
      <c r="B1198" s="53" t="s">
        <v>231</v>
      </c>
      <c r="D1198" s="53" t="s">
        <v>2119</v>
      </c>
      <c r="E1198" s="53" t="s">
        <v>2153</v>
      </c>
      <c r="F1198" s="53" t="s">
        <v>2465</v>
      </c>
      <c r="G1198" s="53" t="s">
        <v>52</v>
      </c>
      <c r="H1198" s="53">
        <v>1.0</v>
      </c>
      <c r="I1198" s="53">
        <v>0.5942028985507246</v>
      </c>
      <c r="J1198" s="53">
        <v>1.0</v>
      </c>
      <c r="K1198" s="53" t="s">
        <v>53</v>
      </c>
      <c r="L1198" s="53" t="s">
        <v>2134</v>
      </c>
    </row>
    <row r="1199" ht="15.75" customHeight="1">
      <c r="A1199" s="53" t="s">
        <v>2599</v>
      </c>
      <c r="B1199" s="53" t="s">
        <v>231</v>
      </c>
      <c r="D1199" s="53" t="s">
        <v>2119</v>
      </c>
      <c r="E1199" s="53" t="s">
        <v>2154</v>
      </c>
      <c r="F1199" s="53" t="s">
        <v>2465</v>
      </c>
      <c r="G1199" s="53" t="s">
        <v>46</v>
      </c>
      <c r="H1199" s="53">
        <v>1.0</v>
      </c>
      <c r="I1199" s="53">
        <v>0.5990338164251208</v>
      </c>
      <c r="J1199" s="53">
        <v>7.0</v>
      </c>
      <c r="K1199" s="53" t="s">
        <v>53</v>
      </c>
      <c r="L1199" s="53" t="s">
        <v>2134</v>
      </c>
    </row>
    <row r="1200" ht="15.75" customHeight="1">
      <c r="A1200" s="53" t="s">
        <v>2599</v>
      </c>
      <c r="B1200" s="53" t="s">
        <v>231</v>
      </c>
      <c r="D1200" s="53" t="s">
        <v>2117</v>
      </c>
      <c r="E1200" s="53" t="s">
        <v>2155</v>
      </c>
      <c r="F1200" s="53" t="s">
        <v>2462</v>
      </c>
      <c r="G1200" s="53" t="s">
        <v>2115</v>
      </c>
      <c r="H1200" s="53">
        <v>1.0</v>
      </c>
      <c r="I1200" s="53">
        <v>0.07272727272727272</v>
      </c>
      <c r="J1200" s="53">
        <v>3.0</v>
      </c>
      <c r="K1200" s="53" t="s">
        <v>53</v>
      </c>
      <c r="L1200" s="53" t="s">
        <v>53</v>
      </c>
    </row>
    <row r="1201" ht="15.75" customHeight="1">
      <c r="A1201" s="53" t="s">
        <v>2599</v>
      </c>
      <c r="B1201" s="53" t="s">
        <v>231</v>
      </c>
      <c r="D1201" s="53" t="s">
        <v>2117</v>
      </c>
      <c r="E1201" s="53" t="s">
        <v>2156</v>
      </c>
      <c r="F1201" s="53" t="s">
        <v>2462</v>
      </c>
      <c r="G1201" s="53" t="s">
        <v>2121</v>
      </c>
      <c r="H1201" s="53">
        <v>1.0</v>
      </c>
      <c r="I1201" s="53">
        <v>0.08837209302325581</v>
      </c>
      <c r="J1201" s="53">
        <v>7.0</v>
      </c>
      <c r="K1201" s="53" t="s">
        <v>53</v>
      </c>
      <c r="L1201" s="53" t="s">
        <v>53</v>
      </c>
    </row>
    <row r="1202" ht="15.75" customHeight="1">
      <c r="A1202" s="53" t="s">
        <v>2599</v>
      </c>
      <c r="B1202" s="53" t="s">
        <v>231</v>
      </c>
      <c r="D1202" s="53" t="s">
        <v>2117</v>
      </c>
      <c r="E1202" s="53" t="s">
        <v>2157</v>
      </c>
      <c r="F1202" s="53" t="s">
        <v>2463</v>
      </c>
      <c r="G1202" s="53" t="s">
        <v>2112</v>
      </c>
      <c r="H1202" s="53">
        <v>1.0</v>
      </c>
      <c r="I1202" s="53">
        <v>0.250936329588015</v>
      </c>
      <c r="J1202" s="53">
        <v>2.0</v>
      </c>
      <c r="K1202" s="53" t="s">
        <v>53</v>
      </c>
      <c r="L1202" s="53" t="s">
        <v>53</v>
      </c>
    </row>
    <row r="1203" ht="15.75" customHeight="1">
      <c r="A1203" s="53" t="s">
        <v>2599</v>
      </c>
      <c r="B1203" s="53" t="s">
        <v>231</v>
      </c>
      <c r="D1203" s="53" t="s">
        <v>2117</v>
      </c>
      <c r="E1203" s="53" t="s">
        <v>2158</v>
      </c>
      <c r="F1203" s="53" t="s">
        <v>2464</v>
      </c>
      <c r="G1203" s="53" t="s">
        <v>2126</v>
      </c>
      <c r="H1203" s="53">
        <v>1.0</v>
      </c>
      <c r="I1203" s="53">
        <v>0.3023255813953488</v>
      </c>
      <c r="J1203" s="53">
        <v>5.0</v>
      </c>
      <c r="K1203" s="53" t="s">
        <v>53</v>
      </c>
      <c r="L1203" s="53" t="s">
        <v>53</v>
      </c>
    </row>
    <row r="1204" ht="15.75" customHeight="1">
      <c r="A1204" s="53" t="s">
        <v>2599</v>
      </c>
      <c r="B1204" s="53" t="s">
        <v>231</v>
      </c>
      <c r="D1204" s="53" t="s">
        <v>2117</v>
      </c>
      <c r="E1204" s="53" t="s">
        <v>2159</v>
      </c>
      <c r="F1204" s="53" t="s">
        <v>2464</v>
      </c>
      <c r="G1204" s="53" t="s">
        <v>2124</v>
      </c>
      <c r="H1204" s="53">
        <v>1.0</v>
      </c>
      <c r="I1204" s="53">
        <v>0.3023255813953488</v>
      </c>
      <c r="J1204" s="53">
        <v>4.0</v>
      </c>
      <c r="K1204" s="53" t="s">
        <v>53</v>
      </c>
      <c r="L1204" s="53" t="s">
        <v>53</v>
      </c>
    </row>
    <row r="1205" ht="15.75" customHeight="1">
      <c r="A1205" s="53" t="s">
        <v>2599</v>
      </c>
      <c r="B1205" s="53" t="s">
        <v>231</v>
      </c>
      <c r="D1205" s="53" t="s">
        <v>2117</v>
      </c>
      <c r="E1205" s="53" t="s">
        <v>2160</v>
      </c>
      <c r="F1205" s="53" t="s">
        <v>2464</v>
      </c>
      <c r="G1205" s="53" t="s">
        <v>2128</v>
      </c>
      <c r="H1205" s="53">
        <v>1.0</v>
      </c>
      <c r="I1205" s="53">
        <v>0.3488372093023256</v>
      </c>
      <c r="J1205" s="53">
        <v>8.0</v>
      </c>
      <c r="K1205" s="53" t="s">
        <v>53</v>
      </c>
      <c r="L1205" s="53" t="s">
        <v>53</v>
      </c>
    </row>
    <row r="1206" ht="15.75" customHeight="1">
      <c r="A1206" s="53" t="s">
        <v>2599</v>
      </c>
      <c r="B1206" s="53" t="s">
        <v>231</v>
      </c>
      <c r="D1206" s="53" t="s">
        <v>2117</v>
      </c>
      <c r="E1206" s="53" t="s">
        <v>2161</v>
      </c>
      <c r="F1206" s="53" t="s">
        <v>2464</v>
      </c>
      <c r="G1206" s="53" t="s">
        <v>2130</v>
      </c>
      <c r="H1206" s="53">
        <v>1.0</v>
      </c>
      <c r="I1206" s="53">
        <v>0.35348837209302325</v>
      </c>
      <c r="J1206" s="53">
        <v>9.0</v>
      </c>
      <c r="K1206" s="53" t="s">
        <v>53</v>
      </c>
      <c r="L1206" s="53" t="s">
        <v>53</v>
      </c>
    </row>
    <row r="1207" ht="15.75" customHeight="1">
      <c r="A1207" s="53" t="s">
        <v>2599</v>
      </c>
      <c r="B1207" s="53" t="s">
        <v>231</v>
      </c>
      <c r="D1207" s="53" t="s">
        <v>2117</v>
      </c>
      <c r="E1207" s="53" t="s">
        <v>2162</v>
      </c>
      <c r="F1207" s="53" t="s">
        <v>2465</v>
      </c>
      <c r="G1207" s="53" t="s">
        <v>2133</v>
      </c>
      <c r="H1207" s="53">
        <v>1.0</v>
      </c>
      <c r="I1207" s="53">
        <v>0.586046511627907</v>
      </c>
      <c r="J1207" s="53">
        <v>10.0</v>
      </c>
      <c r="K1207" s="53" t="s">
        <v>53</v>
      </c>
      <c r="L1207" s="53" t="s">
        <v>2134</v>
      </c>
    </row>
    <row r="1208" ht="15.75" customHeight="1">
      <c r="A1208" s="53" t="s">
        <v>2599</v>
      </c>
      <c r="B1208" s="53" t="s">
        <v>231</v>
      </c>
      <c r="D1208" s="53" t="s">
        <v>2117</v>
      </c>
      <c r="E1208" s="53" t="s">
        <v>2163</v>
      </c>
      <c r="F1208" s="53" t="s">
        <v>2465</v>
      </c>
      <c r="G1208" s="53" t="s">
        <v>2136</v>
      </c>
      <c r="H1208" s="53">
        <v>1.0</v>
      </c>
      <c r="I1208" s="53">
        <v>0.5906976744186047</v>
      </c>
      <c r="J1208" s="53">
        <v>1.0</v>
      </c>
      <c r="K1208" s="53" t="s">
        <v>53</v>
      </c>
      <c r="L1208" s="53" t="s">
        <v>2134</v>
      </c>
    </row>
    <row r="1209" ht="15.75" customHeight="1">
      <c r="A1209" s="53" t="s">
        <v>2599</v>
      </c>
      <c r="B1209" s="53" t="s">
        <v>231</v>
      </c>
      <c r="D1209" s="53" t="s">
        <v>2117</v>
      </c>
      <c r="E1209" s="53" t="s">
        <v>2164</v>
      </c>
      <c r="F1209" s="53" t="s">
        <v>2465</v>
      </c>
      <c r="G1209" s="53" t="s">
        <v>46</v>
      </c>
      <c r="H1209" s="53">
        <v>1.0</v>
      </c>
      <c r="I1209" s="53">
        <v>0.6093023255813953</v>
      </c>
      <c r="J1209" s="53">
        <v>6.0</v>
      </c>
      <c r="K1209" s="53" t="s">
        <v>53</v>
      </c>
      <c r="L1209" s="53" t="s">
        <v>2134</v>
      </c>
    </row>
    <row r="1210" ht="15.75" customHeight="1">
      <c r="A1210" s="53" t="s">
        <v>2599</v>
      </c>
      <c r="B1210" s="53" t="s">
        <v>231</v>
      </c>
      <c r="D1210" s="53" t="s">
        <v>2117</v>
      </c>
      <c r="E1210" s="53" t="s">
        <v>2165</v>
      </c>
      <c r="F1210" s="53" t="s">
        <v>2465</v>
      </c>
      <c r="G1210" s="53" t="s">
        <v>52</v>
      </c>
      <c r="H1210" s="53">
        <v>1.0</v>
      </c>
      <c r="I1210" s="53">
        <v>0.6139534883720931</v>
      </c>
      <c r="J1210" s="53">
        <v>0.0</v>
      </c>
      <c r="K1210" s="53" t="s">
        <v>53</v>
      </c>
      <c r="L1210" s="53" t="s">
        <v>2134</v>
      </c>
    </row>
    <row r="1211" ht="15.75" customHeight="1">
      <c r="A1211" s="53" t="s">
        <v>2599</v>
      </c>
      <c r="B1211" s="53" t="s">
        <v>231</v>
      </c>
      <c r="D1211" s="53" t="s">
        <v>52</v>
      </c>
      <c r="E1211" s="53" t="s">
        <v>2166</v>
      </c>
      <c r="F1211" s="53" t="s">
        <v>50</v>
      </c>
      <c r="G1211" s="53" t="s">
        <v>46</v>
      </c>
      <c r="H1211" s="53">
        <v>1.0</v>
      </c>
      <c r="I1211" s="53">
        <v>0.056818181818181816</v>
      </c>
      <c r="J1211" s="53">
        <v>5.0</v>
      </c>
      <c r="K1211" s="53" t="s">
        <v>53</v>
      </c>
      <c r="L1211" s="53" t="s">
        <v>53</v>
      </c>
    </row>
    <row r="1212" ht="15.75" customHeight="1">
      <c r="A1212" s="53" t="s">
        <v>2599</v>
      </c>
      <c r="B1212" s="53" t="s">
        <v>231</v>
      </c>
      <c r="D1212" s="53" t="s">
        <v>52</v>
      </c>
      <c r="E1212" s="53" t="s">
        <v>2168</v>
      </c>
      <c r="F1212" s="53" t="s">
        <v>50</v>
      </c>
      <c r="G1212" s="53" t="s">
        <v>2136</v>
      </c>
      <c r="H1212" s="53">
        <v>1.0</v>
      </c>
      <c r="I1212" s="53">
        <v>0.10526315789473684</v>
      </c>
      <c r="J1212" s="53">
        <v>0.0</v>
      </c>
      <c r="K1212" s="53" t="s">
        <v>53</v>
      </c>
      <c r="L1212" s="53" t="s">
        <v>53</v>
      </c>
    </row>
    <row r="1213" ht="15.75" customHeight="1">
      <c r="A1213" s="53" t="s">
        <v>2599</v>
      </c>
      <c r="B1213" s="53" t="s">
        <v>231</v>
      </c>
      <c r="D1213" s="53" t="s">
        <v>52</v>
      </c>
      <c r="E1213" s="53" t="s">
        <v>2169</v>
      </c>
      <c r="F1213" s="53" t="s">
        <v>50</v>
      </c>
      <c r="G1213" s="53" t="s">
        <v>2133</v>
      </c>
      <c r="H1213" s="53">
        <v>1.0</v>
      </c>
      <c r="I1213" s="53">
        <v>0.12631578947368421</v>
      </c>
      <c r="J1213" s="53">
        <v>9.0</v>
      </c>
      <c r="K1213" s="53" t="s">
        <v>53</v>
      </c>
      <c r="L1213" s="53" t="s">
        <v>53</v>
      </c>
    </row>
    <row r="1214" ht="15.75" customHeight="1">
      <c r="A1214" s="53" t="s">
        <v>2599</v>
      </c>
      <c r="B1214" s="53" t="s">
        <v>231</v>
      </c>
      <c r="D1214" s="53" t="s">
        <v>52</v>
      </c>
      <c r="E1214" s="53" t="s">
        <v>2170</v>
      </c>
      <c r="F1214" s="53" t="s">
        <v>2466</v>
      </c>
      <c r="G1214" s="53" t="s">
        <v>2130</v>
      </c>
      <c r="H1214" s="53">
        <v>1.0</v>
      </c>
      <c r="I1214" s="53">
        <v>0.41134751773049644</v>
      </c>
      <c r="J1214" s="53">
        <v>8.0</v>
      </c>
      <c r="K1214" s="53" t="s">
        <v>53</v>
      </c>
      <c r="L1214" s="53" t="s">
        <v>2134</v>
      </c>
    </row>
    <row r="1215" ht="15.75" customHeight="1">
      <c r="A1215" s="53" t="s">
        <v>2599</v>
      </c>
      <c r="B1215" s="53" t="s">
        <v>231</v>
      </c>
      <c r="D1215" s="53" t="s">
        <v>52</v>
      </c>
      <c r="E1215" s="53" t="s">
        <v>2172</v>
      </c>
      <c r="F1215" s="53" t="s">
        <v>2466</v>
      </c>
      <c r="G1215" s="53" t="s">
        <v>2128</v>
      </c>
      <c r="H1215" s="53">
        <v>1.0</v>
      </c>
      <c r="I1215" s="53">
        <v>0.44666666666666666</v>
      </c>
      <c r="J1215" s="53">
        <v>7.0</v>
      </c>
      <c r="K1215" s="53" t="s">
        <v>53</v>
      </c>
      <c r="L1215" s="53" t="s">
        <v>2134</v>
      </c>
    </row>
    <row r="1216" ht="15.75" customHeight="1">
      <c r="A1216" s="53" t="s">
        <v>2599</v>
      </c>
      <c r="B1216" s="53" t="s">
        <v>231</v>
      </c>
      <c r="D1216" s="53" t="s">
        <v>52</v>
      </c>
      <c r="E1216" s="53" t="s">
        <v>2173</v>
      </c>
      <c r="F1216" s="53" t="s">
        <v>2466</v>
      </c>
      <c r="G1216" s="53" t="s">
        <v>2126</v>
      </c>
      <c r="H1216" s="53">
        <v>1.0</v>
      </c>
      <c r="I1216" s="53">
        <v>0.4645161290322581</v>
      </c>
      <c r="J1216" s="53">
        <v>4.0</v>
      </c>
      <c r="K1216" s="53" t="s">
        <v>53</v>
      </c>
      <c r="L1216" s="53" t="s">
        <v>2134</v>
      </c>
    </row>
    <row r="1217" ht="15.75" customHeight="1">
      <c r="A1217" s="53" t="s">
        <v>2599</v>
      </c>
      <c r="B1217" s="53" t="s">
        <v>231</v>
      </c>
      <c r="D1217" s="53" t="s">
        <v>52</v>
      </c>
      <c r="E1217" s="53" t="s">
        <v>2174</v>
      </c>
      <c r="F1217" s="53" t="s">
        <v>2466</v>
      </c>
      <c r="G1217" s="53" t="s">
        <v>2124</v>
      </c>
      <c r="H1217" s="53">
        <v>1.0</v>
      </c>
      <c r="I1217" s="53">
        <v>0.48125</v>
      </c>
      <c r="J1217" s="53">
        <v>3.0</v>
      </c>
      <c r="K1217" s="53" t="s">
        <v>53</v>
      </c>
      <c r="L1217" s="53" t="s">
        <v>2134</v>
      </c>
    </row>
    <row r="1218" ht="15.75" customHeight="1">
      <c r="A1218" s="53" t="s">
        <v>2599</v>
      </c>
      <c r="B1218" s="53" t="s">
        <v>231</v>
      </c>
      <c r="D1218" s="53" t="s">
        <v>52</v>
      </c>
      <c r="E1218" s="53" t="s">
        <v>2175</v>
      </c>
      <c r="F1218" s="53" t="s">
        <v>2467</v>
      </c>
      <c r="G1218" s="53" t="s">
        <v>2121</v>
      </c>
      <c r="H1218" s="53">
        <v>1.0</v>
      </c>
      <c r="I1218" s="53">
        <v>0.6047619047619047</v>
      </c>
      <c r="J1218" s="53">
        <v>6.0</v>
      </c>
      <c r="K1218" s="53" t="s">
        <v>53</v>
      </c>
      <c r="L1218" s="53" t="s">
        <v>2134</v>
      </c>
    </row>
    <row r="1219" ht="15.75" customHeight="1">
      <c r="A1219" s="53" t="s">
        <v>2599</v>
      </c>
      <c r="B1219" s="53" t="s">
        <v>231</v>
      </c>
      <c r="D1219" s="53" t="s">
        <v>52</v>
      </c>
      <c r="E1219" s="53" t="s">
        <v>2177</v>
      </c>
      <c r="F1219" s="53" t="s">
        <v>2467</v>
      </c>
      <c r="G1219" s="53" t="s">
        <v>2115</v>
      </c>
      <c r="H1219" s="53">
        <v>1.0</v>
      </c>
      <c r="I1219" s="53">
        <v>0.6227272727272727</v>
      </c>
      <c r="J1219" s="53">
        <v>2.0</v>
      </c>
      <c r="K1219" s="53" t="s">
        <v>53</v>
      </c>
      <c r="L1219" s="53" t="s">
        <v>2134</v>
      </c>
    </row>
    <row r="1220" ht="15.75" customHeight="1">
      <c r="A1220" s="53" t="s">
        <v>2599</v>
      </c>
      <c r="B1220" s="53" t="s">
        <v>231</v>
      </c>
      <c r="D1220" s="53" t="s">
        <v>52</v>
      </c>
      <c r="E1220" s="53" t="s">
        <v>2178</v>
      </c>
      <c r="F1220" s="53" t="s">
        <v>2468</v>
      </c>
      <c r="G1220" s="53" t="s">
        <v>2112</v>
      </c>
      <c r="H1220" s="53">
        <v>1.0</v>
      </c>
      <c r="I1220" s="53">
        <v>0.6891385767790262</v>
      </c>
      <c r="J1220" s="53">
        <v>1.0</v>
      </c>
      <c r="K1220" s="53" t="s">
        <v>53</v>
      </c>
      <c r="L1220" s="53" t="s">
        <v>2134</v>
      </c>
    </row>
    <row r="1221" ht="15.75" customHeight="1">
      <c r="A1221" s="53" t="s">
        <v>2599</v>
      </c>
      <c r="B1221" s="53" t="s">
        <v>231</v>
      </c>
      <c r="D1221" s="53" t="s">
        <v>2136</v>
      </c>
      <c r="E1221" s="53" t="s">
        <v>2180</v>
      </c>
      <c r="F1221" s="53" t="s">
        <v>50</v>
      </c>
      <c r="G1221" s="53" t="s">
        <v>46</v>
      </c>
      <c r="H1221" s="53">
        <v>1.0</v>
      </c>
      <c r="I1221" s="53">
        <v>0.12631578947368421</v>
      </c>
      <c r="J1221" s="53">
        <v>4.0</v>
      </c>
      <c r="K1221" s="53" t="s">
        <v>53</v>
      </c>
      <c r="L1221" s="53" t="s">
        <v>53</v>
      </c>
    </row>
    <row r="1222" ht="15.75" customHeight="1">
      <c r="A1222" s="53" t="s">
        <v>2599</v>
      </c>
      <c r="B1222" s="53" t="s">
        <v>231</v>
      </c>
      <c r="D1222" s="53" t="s">
        <v>2136</v>
      </c>
      <c r="E1222" s="53" t="s">
        <v>2181</v>
      </c>
      <c r="F1222" s="53" t="s">
        <v>50</v>
      </c>
      <c r="G1222" s="53" t="s">
        <v>2133</v>
      </c>
      <c r="H1222" s="53">
        <v>1.0</v>
      </c>
      <c r="I1222" s="53">
        <v>0.12631578947368421</v>
      </c>
      <c r="J1222" s="53">
        <v>8.0</v>
      </c>
      <c r="K1222" s="53" t="s">
        <v>53</v>
      </c>
      <c r="L1222" s="53" t="s">
        <v>53</v>
      </c>
    </row>
    <row r="1223" ht="15.75" customHeight="1">
      <c r="A1223" s="53" t="s">
        <v>2599</v>
      </c>
      <c r="B1223" s="53" t="s">
        <v>231</v>
      </c>
      <c r="D1223" s="53" t="s">
        <v>2136</v>
      </c>
      <c r="E1223" s="53" t="s">
        <v>2182</v>
      </c>
      <c r="F1223" s="53" t="s">
        <v>2466</v>
      </c>
      <c r="G1223" s="53" t="s">
        <v>2130</v>
      </c>
      <c r="H1223" s="53">
        <v>1.0</v>
      </c>
      <c r="I1223" s="53">
        <v>0.3900709219858156</v>
      </c>
      <c r="J1223" s="53">
        <v>7.0</v>
      </c>
      <c r="K1223" s="53" t="s">
        <v>53</v>
      </c>
      <c r="L1223" s="53" t="s">
        <v>2134</v>
      </c>
    </row>
    <row r="1224" ht="15.75" customHeight="1">
      <c r="A1224" s="53" t="s">
        <v>2599</v>
      </c>
      <c r="B1224" s="53" t="s">
        <v>231</v>
      </c>
      <c r="D1224" s="53" t="s">
        <v>2136</v>
      </c>
      <c r="E1224" s="53" t="s">
        <v>2183</v>
      </c>
      <c r="F1224" s="53" t="s">
        <v>2466</v>
      </c>
      <c r="G1224" s="53" t="s">
        <v>2128</v>
      </c>
      <c r="H1224" s="53">
        <v>1.0</v>
      </c>
      <c r="I1224" s="53">
        <v>0.42</v>
      </c>
      <c r="J1224" s="53">
        <v>6.0</v>
      </c>
      <c r="K1224" s="53" t="s">
        <v>53</v>
      </c>
      <c r="L1224" s="53" t="s">
        <v>2134</v>
      </c>
    </row>
    <row r="1225" ht="15.75" customHeight="1">
      <c r="A1225" s="53" t="s">
        <v>2599</v>
      </c>
      <c r="B1225" s="53" t="s">
        <v>231</v>
      </c>
      <c r="D1225" s="53" t="s">
        <v>2136</v>
      </c>
      <c r="E1225" s="53" t="s">
        <v>2184</v>
      </c>
      <c r="F1225" s="53" t="s">
        <v>2466</v>
      </c>
      <c r="G1225" s="53" t="s">
        <v>2126</v>
      </c>
      <c r="H1225" s="53">
        <v>1.0</v>
      </c>
      <c r="I1225" s="53">
        <v>0.43870967741935485</v>
      </c>
      <c r="J1225" s="53">
        <v>3.0</v>
      </c>
      <c r="K1225" s="53" t="s">
        <v>53</v>
      </c>
      <c r="L1225" s="53" t="s">
        <v>2134</v>
      </c>
    </row>
    <row r="1226" ht="15.75" customHeight="1">
      <c r="A1226" s="53" t="s">
        <v>2599</v>
      </c>
      <c r="B1226" s="53" t="s">
        <v>231</v>
      </c>
      <c r="D1226" s="53" t="s">
        <v>2136</v>
      </c>
      <c r="E1226" s="53" t="s">
        <v>2185</v>
      </c>
      <c r="F1226" s="53" t="s">
        <v>2466</v>
      </c>
      <c r="G1226" s="53" t="s">
        <v>2124</v>
      </c>
      <c r="H1226" s="53">
        <v>1.0</v>
      </c>
      <c r="I1226" s="53">
        <v>0.45625</v>
      </c>
      <c r="J1226" s="53">
        <v>2.0</v>
      </c>
      <c r="K1226" s="53" t="s">
        <v>53</v>
      </c>
      <c r="L1226" s="53" t="s">
        <v>2134</v>
      </c>
    </row>
    <row r="1227" ht="15.75" customHeight="1">
      <c r="A1227" s="53" t="s">
        <v>2599</v>
      </c>
      <c r="B1227" s="53" t="s">
        <v>231</v>
      </c>
      <c r="D1227" s="53" t="s">
        <v>2136</v>
      </c>
      <c r="E1227" s="53" t="s">
        <v>2186</v>
      </c>
      <c r="F1227" s="53" t="s">
        <v>2467</v>
      </c>
      <c r="G1227" s="53" t="s">
        <v>2121</v>
      </c>
      <c r="H1227" s="53">
        <v>1.0</v>
      </c>
      <c r="I1227" s="53">
        <v>0.580952380952381</v>
      </c>
      <c r="J1227" s="53">
        <v>5.0</v>
      </c>
      <c r="K1227" s="53" t="s">
        <v>53</v>
      </c>
      <c r="L1227" s="53" t="s">
        <v>2134</v>
      </c>
    </row>
    <row r="1228" ht="15.75" customHeight="1">
      <c r="A1228" s="53" t="s">
        <v>2599</v>
      </c>
      <c r="B1228" s="53" t="s">
        <v>231</v>
      </c>
      <c r="D1228" s="53" t="s">
        <v>2136</v>
      </c>
      <c r="E1228" s="53" t="s">
        <v>2187</v>
      </c>
      <c r="F1228" s="53" t="s">
        <v>2467</v>
      </c>
      <c r="G1228" s="53" t="s">
        <v>2115</v>
      </c>
      <c r="H1228" s="53">
        <v>1.0</v>
      </c>
      <c r="I1228" s="53">
        <v>0.6</v>
      </c>
      <c r="J1228" s="53">
        <v>1.0</v>
      </c>
      <c r="K1228" s="53" t="s">
        <v>53</v>
      </c>
      <c r="L1228" s="53" t="s">
        <v>2134</v>
      </c>
    </row>
    <row r="1229" ht="15.75" customHeight="1">
      <c r="A1229" s="53" t="s">
        <v>2599</v>
      </c>
      <c r="B1229" s="53" t="s">
        <v>231</v>
      </c>
      <c r="D1229" s="53" t="s">
        <v>2136</v>
      </c>
      <c r="E1229" s="53" t="s">
        <v>2188</v>
      </c>
      <c r="F1229" s="53" t="s">
        <v>2468</v>
      </c>
      <c r="G1229" s="53" t="s">
        <v>2112</v>
      </c>
      <c r="H1229" s="53">
        <v>1.0</v>
      </c>
      <c r="I1229" s="53">
        <v>0.6704119850187266</v>
      </c>
      <c r="J1229" s="53">
        <v>0.0</v>
      </c>
      <c r="K1229" s="53" t="s">
        <v>53</v>
      </c>
      <c r="L1229" s="53" t="s">
        <v>2134</v>
      </c>
    </row>
    <row r="1230" ht="15.75" customHeight="1">
      <c r="A1230" s="53" t="s">
        <v>2599</v>
      </c>
      <c r="B1230" s="53" t="s">
        <v>231</v>
      </c>
      <c r="D1230" s="53" t="s">
        <v>2112</v>
      </c>
      <c r="E1230" s="53" t="s">
        <v>2189</v>
      </c>
      <c r="F1230" s="53" t="s">
        <v>2469</v>
      </c>
      <c r="G1230" s="53" t="s">
        <v>2115</v>
      </c>
      <c r="H1230" s="53">
        <v>1.0</v>
      </c>
      <c r="I1230" s="53">
        <v>0.24719101123595505</v>
      </c>
      <c r="J1230" s="53">
        <v>0.0</v>
      </c>
      <c r="K1230" s="53" t="s">
        <v>53</v>
      </c>
      <c r="L1230" s="53" t="s">
        <v>53</v>
      </c>
    </row>
    <row r="1231" ht="15.75" customHeight="1">
      <c r="A1231" s="53" t="s">
        <v>2599</v>
      </c>
      <c r="B1231" s="53" t="s">
        <v>231</v>
      </c>
      <c r="D1231" s="53" t="s">
        <v>2112</v>
      </c>
      <c r="E1231" s="53" t="s">
        <v>2191</v>
      </c>
      <c r="F1231" s="53" t="s">
        <v>2469</v>
      </c>
      <c r="G1231" s="53" t="s">
        <v>2121</v>
      </c>
      <c r="H1231" s="53">
        <v>1.0</v>
      </c>
      <c r="I1231" s="53">
        <v>0.2546816479400749</v>
      </c>
      <c r="J1231" s="53">
        <v>4.0</v>
      </c>
      <c r="K1231" s="53" t="s">
        <v>53</v>
      </c>
      <c r="L1231" s="53" t="s">
        <v>53</v>
      </c>
    </row>
    <row r="1232" ht="15.75" customHeight="1">
      <c r="A1232" s="53" t="s">
        <v>2599</v>
      </c>
      <c r="B1232" s="53" t="s">
        <v>231</v>
      </c>
      <c r="D1232" s="53" t="s">
        <v>2112</v>
      </c>
      <c r="E1232" s="53" t="s">
        <v>2192</v>
      </c>
      <c r="F1232" s="53" t="s">
        <v>2470</v>
      </c>
      <c r="G1232" s="53" t="s">
        <v>2124</v>
      </c>
      <c r="H1232" s="53">
        <v>1.0</v>
      </c>
      <c r="I1232" s="53">
        <v>0.449438202247191</v>
      </c>
      <c r="J1232" s="53">
        <v>1.0</v>
      </c>
      <c r="K1232" s="53" t="s">
        <v>53</v>
      </c>
      <c r="L1232" s="53" t="s">
        <v>53</v>
      </c>
    </row>
    <row r="1233" ht="15.75" customHeight="1">
      <c r="A1233" s="53" t="s">
        <v>2599</v>
      </c>
      <c r="B1233" s="53" t="s">
        <v>231</v>
      </c>
      <c r="D1233" s="53" t="s">
        <v>2112</v>
      </c>
      <c r="E1233" s="53" t="s">
        <v>2194</v>
      </c>
      <c r="F1233" s="53" t="s">
        <v>2470</v>
      </c>
      <c r="G1233" s="53" t="s">
        <v>2126</v>
      </c>
      <c r="H1233" s="53">
        <v>1.0</v>
      </c>
      <c r="I1233" s="53">
        <v>0.45318352059925093</v>
      </c>
      <c r="J1233" s="53">
        <v>2.0</v>
      </c>
      <c r="K1233" s="53" t="s">
        <v>53</v>
      </c>
      <c r="L1233" s="53" t="s">
        <v>53</v>
      </c>
    </row>
    <row r="1234" ht="15.75" customHeight="1">
      <c r="A1234" s="53" t="s">
        <v>2599</v>
      </c>
      <c r="B1234" s="53" t="s">
        <v>231</v>
      </c>
      <c r="D1234" s="53" t="s">
        <v>2112</v>
      </c>
      <c r="E1234" s="53" t="s">
        <v>2195</v>
      </c>
      <c r="F1234" s="53" t="s">
        <v>2470</v>
      </c>
      <c r="G1234" s="53" t="s">
        <v>2128</v>
      </c>
      <c r="H1234" s="53">
        <v>1.0</v>
      </c>
      <c r="I1234" s="53">
        <v>0.46441947565543074</v>
      </c>
      <c r="J1234" s="53">
        <v>5.0</v>
      </c>
      <c r="K1234" s="53" t="s">
        <v>53</v>
      </c>
      <c r="L1234" s="53" t="s">
        <v>53</v>
      </c>
    </row>
    <row r="1235" ht="15.75" customHeight="1">
      <c r="A1235" s="53" t="s">
        <v>2599</v>
      </c>
      <c r="B1235" s="53" t="s">
        <v>231</v>
      </c>
      <c r="D1235" s="53" t="s">
        <v>2112</v>
      </c>
      <c r="E1235" s="53" t="s">
        <v>2196</v>
      </c>
      <c r="F1235" s="53" t="s">
        <v>2470</v>
      </c>
      <c r="G1235" s="53" t="s">
        <v>2130</v>
      </c>
      <c r="H1235" s="53">
        <v>1.0</v>
      </c>
      <c r="I1235" s="53">
        <v>0.47191011235955055</v>
      </c>
      <c r="J1235" s="53">
        <v>6.0</v>
      </c>
      <c r="K1235" s="53" t="s">
        <v>53</v>
      </c>
      <c r="L1235" s="53" t="s">
        <v>53</v>
      </c>
    </row>
    <row r="1236" ht="15.75" customHeight="1">
      <c r="A1236" s="53" t="s">
        <v>2599</v>
      </c>
      <c r="B1236" s="53" t="s">
        <v>231</v>
      </c>
      <c r="D1236" s="53" t="s">
        <v>2112</v>
      </c>
      <c r="E1236" s="53" t="s">
        <v>2197</v>
      </c>
      <c r="F1236" s="53" t="s">
        <v>2471</v>
      </c>
      <c r="G1236" s="53" t="s">
        <v>2133</v>
      </c>
      <c r="H1236" s="53">
        <v>1.0</v>
      </c>
      <c r="I1236" s="53">
        <v>0.6629213483146067</v>
      </c>
      <c r="J1236" s="53">
        <v>7.0</v>
      </c>
      <c r="K1236" s="53" t="s">
        <v>53</v>
      </c>
      <c r="L1236" s="53" t="s">
        <v>2134</v>
      </c>
    </row>
    <row r="1237" ht="15.75" customHeight="1">
      <c r="A1237" s="53" t="s">
        <v>2599</v>
      </c>
      <c r="B1237" s="53" t="s">
        <v>231</v>
      </c>
      <c r="D1237" s="53" t="s">
        <v>2112</v>
      </c>
      <c r="E1237" s="53" t="s">
        <v>2199</v>
      </c>
      <c r="F1237" s="53" t="s">
        <v>2471</v>
      </c>
      <c r="G1237" s="53" t="s">
        <v>46</v>
      </c>
      <c r="H1237" s="53">
        <v>1.0</v>
      </c>
      <c r="I1237" s="53">
        <v>0.6853932584269663</v>
      </c>
      <c r="J1237" s="53">
        <v>3.0</v>
      </c>
      <c r="K1237" s="53" t="s">
        <v>53</v>
      </c>
      <c r="L1237" s="53" t="s">
        <v>2134</v>
      </c>
    </row>
    <row r="1238" ht="15.75" customHeight="1">
      <c r="A1238" s="53" t="s">
        <v>2599</v>
      </c>
      <c r="B1238" s="53" t="s">
        <v>231</v>
      </c>
      <c r="D1238" s="53" t="s">
        <v>2115</v>
      </c>
      <c r="E1238" s="53" t="s">
        <v>2200</v>
      </c>
      <c r="F1238" s="53" t="s">
        <v>2462</v>
      </c>
      <c r="G1238" s="53" t="s">
        <v>2121</v>
      </c>
      <c r="H1238" s="53">
        <v>1.0</v>
      </c>
      <c r="I1238" s="53">
        <v>0.10909090909090909</v>
      </c>
      <c r="J1238" s="53">
        <v>3.0</v>
      </c>
      <c r="K1238" s="53" t="s">
        <v>53</v>
      </c>
      <c r="L1238" s="53" t="s">
        <v>53</v>
      </c>
    </row>
    <row r="1239" ht="15.75" customHeight="1">
      <c r="A1239" s="53" t="s">
        <v>2599</v>
      </c>
      <c r="B1239" s="53" t="s">
        <v>231</v>
      </c>
      <c r="D1239" s="53" t="s">
        <v>2115</v>
      </c>
      <c r="E1239" s="53" t="s">
        <v>2201</v>
      </c>
      <c r="F1239" s="53" t="s">
        <v>2464</v>
      </c>
      <c r="G1239" s="53" t="s">
        <v>2126</v>
      </c>
      <c r="H1239" s="53">
        <v>1.0</v>
      </c>
      <c r="I1239" s="53">
        <v>0.3409090909090909</v>
      </c>
      <c r="J1239" s="53">
        <v>1.0</v>
      </c>
      <c r="K1239" s="53" t="s">
        <v>53</v>
      </c>
      <c r="L1239" s="53" t="s">
        <v>53</v>
      </c>
    </row>
    <row r="1240" ht="15.75" customHeight="1">
      <c r="A1240" s="53" t="s">
        <v>2599</v>
      </c>
      <c r="B1240" s="53" t="s">
        <v>231</v>
      </c>
      <c r="D1240" s="53" t="s">
        <v>2115</v>
      </c>
      <c r="E1240" s="53" t="s">
        <v>2202</v>
      </c>
      <c r="F1240" s="53" t="s">
        <v>2464</v>
      </c>
      <c r="G1240" s="53" t="s">
        <v>2124</v>
      </c>
      <c r="H1240" s="53">
        <v>1.0</v>
      </c>
      <c r="I1240" s="53">
        <v>0.3409090909090909</v>
      </c>
      <c r="J1240" s="53">
        <v>0.0</v>
      </c>
      <c r="K1240" s="53" t="s">
        <v>53</v>
      </c>
      <c r="L1240" s="53" t="s">
        <v>53</v>
      </c>
    </row>
    <row r="1241" ht="15.75" customHeight="1">
      <c r="A1241" s="53" t="s">
        <v>2599</v>
      </c>
      <c r="B1241" s="53" t="s">
        <v>231</v>
      </c>
      <c r="D1241" s="53" t="s">
        <v>2115</v>
      </c>
      <c r="E1241" s="53" t="s">
        <v>2203</v>
      </c>
      <c r="F1241" s="53" t="s">
        <v>2464</v>
      </c>
      <c r="G1241" s="53" t="s">
        <v>2128</v>
      </c>
      <c r="H1241" s="53">
        <v>1.0</v>
      </c>
      <c r="I1241" s="53">
        <v>0.35909090909090907</v>
      </c>
      <c r="J1241" s="53">
        <v>4.0</v>
      </c>
      <c r="K1241" s="53" t="s">
        <v>53</v>
      </c>
      <c r="L1241" s="53" t="s">
        <v>53</v>
      </c>
    </row>
    <row r="1242" ht="15.75" customHeight="1">
      <c r="A1242" s="53" t="s">
        <v>2599</v>
      </c>
      <c r="B1242" s="53" t="s">
        <v>231</v>
      </c>
      <c r="D1242" s="53" t="s">
        <v>2115</v>
      </c>
      <c r="E1242" s="53" t="s">
        <v>2204</v>
      </c>
      <c r="F1242" s="53" t="s">
        <v>2464</v>
      </c>
      <c r="G1242" s="53" t="s">
        <v>2130</v>
      </c>
      <c r="H1242" s="53">
        <v>1.0</v>
      </c>
      <c r="I1242" s="53">
        <v>0.36818181818181817</v>
      </c>
      <c r="J1242" s="53">
        <v>5.0</v>
      </c>
      <c r="K1242" s="53" t="s">
        <v>53</v>
      </c>
      <c r="L1242" s="53" t="s">
        <v>53</v>
      </c>
    </row>
    <row r="1243" ht="15.75" customHeight="1">
      <c r="A1243" s="53" t="s">
        <v>2599</v>
      </c>
      <c r="B1243" s="53" t="s">
        <v>231</v>
      </c>
      <c r="D1243" s="53" t="s">
        <v>2115</v>
      </c>
      <c r="E1243" s="53" t="s">
        <v>2205</v>
      </c>
      <c r="F1243" s="53" t="s">
        <v>2465</v>
      </c>
      <c r="G1243" s="53" t="s">
        <v>2133</v>
      </c>
      <c r="H1243" s="53">
        <v>1.0</v>
      </c>
      <c r="I1243" s="53">
        <v>0.5954545454545455</v>
      </c>
      <c r="J1243" s="53">
        <v>6.0</v>
      </c>
      <c r="K1243" s="53" t="s">
        <v>53</v>
      </c>
      <c r="L1243" s="53" t="s">
        <v>2134</v>
      </c>
    </row>
    <row r="1244" ht="15.75" customHeight="1">
      <c r="A1244" s="53" t="s">
        <v>2599</v>
      </c>
      <c r="B1244" s="53" t="s">
        <v>231</v>
      </c>
      <c r="D1244" s="53" t="s">
        <v>2115</v>
      </c>
      <c r="E1244" s="53" t="s">
        <v>2206</v>
      </c>
      <c r="F1244" s="53" t="s">
        <v>2465</v>
      </c>
      <c r="G1244" s="53" t="s">
        <v>46</v>
      </c>
      <c r="H1244" s="53">
        <v>1.0</v>
      </c>
      <c r="I1244" s="53">
        <v>0.6136363636363636</v>
      </c>
      <c r="J1244" s="53">
        <v>2.0</v>
      </c>
      <c r="K1244" s="53" t="s">
        <v>53</v>
      </c>
      <c r="L1244" s="53" t="s">
        <v>2134</v>
      </c>
    </row>
    <row r="1245" ht="15.75" customHeight="1">
      <c r="A1245" s="53" t="s">
        <v>2599</v>
      </c>
      <c r="B1245" s="53" t="s">
        <v>231</v>
      </c>
      <c r="D1245" s="53" t="s">
        <v>2124</v>
      </c>
      <c r="E1245" s="53" t="s">
        <v>2207</v>
      </c>
      <c r="F1245" s="53" t="s">
        <v>2472</v>
      </c>
      <c r="G1245" s="53" t="s">
        <v>2126</v>
      </c>
      <c r="H1245" s="53">
        <v>1.0</v>
      </c>
      <c r="I1245" s="53">
        <v>0.04375</v>
      </c>
      <c r="J1245" s="53">
        <v>0.0</v>
      </c>
      <c r="K1245" s="53" t="s">
        <v>53</v>
      </c>
      <c r="L1245" s="53" t="s">
        <v>53</v>
      </c>
    </row>
    <row r="1246" ht="15.75" customHeight="1">
      <c r="A1246" s="53" t="s">
        <v>2599</v>
      </c>
      <c r="B1246" s="53" t="s">
        <v>231</v>
      </c>
      <c r="D1246" s="53" t="s">
        <v>2124</v>
      </c>
      <c r="E1246" s="53" t="s">
        <v>2209</v>
      </c>
      <c r="F1246" s="53" t="s">
        <v>2472</v>
      </c>
      <c r="G1246" s="53" t="s">
        <v>2128</v>
      </c>
      <c r="H1246" s="53">
        <v>1.0</v>
      </c>
      <c r="I1246" s="53">
        <v>0.125</v>
      </c>
      <c r="J1246" s="53">
        <v>3.0</v>
      </c>
      <c r="K1246" s="53" t="s">
        <v>53</v>
      </c>
      <c r="L1246" s="53" t="s">
        <v>53</v>
      </c>
    </row>
    <row r="1247" ht="15.75" customHeight="1">
      <c r="A1247" s="53" t="s">
        <v>2599</v>
      </c>
      <c r="B1247" s="53" t="s">
        <v>231</v>
      </c>
      <c r="D1247" s="53" t="s">
        <v>2124</v>
      </c>
      <c r="E1247" s="53" t="s">
        <v>2210</v>
      </c>
      <c r="F1247" s="53" t="s">
        <v>2472</v>
      </c>
      <c r="G1247" s="53" t="s">
        <v>2130</v>
      </c>
      <c r="H1247" s="53">
        <v>1.0</v>
      </c>
      <c r="I1247" s="53">
        <v>0.13125</v>
      </c>
      <c r="J1247" s="53">
        <v>4.0</v>
      </c>
      <c r="K1247" s="53" t="s">
        <v>53</v>
      </c>
      <c r="L1247" s="53" t="s">
        <v>53</v>
      </c>
    </row>
    <row r="1248" ht="15.75" customHeight="1">
      <c r="A1248" s="53" t="s">
        <v>2599</v>
      </c>
      <c r="B1248" s="53" t="s">
        <v>231</v>
      </c>
      <c r="D1248" s="53" t="s">
        <v>2124</v>
      </c>
      <c r="E1248" s="53" t="s">
        <v>2211</v>
      </c>
      <c r="F1248" s="53" t="s">
        <v>2473</v>
      </c>
      <c r="G1248" s="53" t="s">
        <v>2121</v>
      </c>
      <c r="H1248" s="53">
        <v>1.0</v>
      </c>
      <c r="I1248" s="53">
        <v>0.319047619047619</v>
      </c>
      <c r="J1248" s="53">
        <v>2.0</v>
      </c>
      <c r="K1248" s="53" t="s">
        <v>53</v>
      </c>
      <c r="L1248" s="53" t="s">
        <v>53</v>
      </c>
    </row>
    <row r="1249" ht="15.75" customHeight="1">
      <c r="A1249" s="53" t="s">
        <v>2599</v>
      </c>
      <c r="B1249" s="53" t="s">
        <v>231</v>
      </c>
      <c r="D1249" s="53" t="s">
        <v>2124</v>
      </c>
      <c r="E1249" s="53" t="s">
        <v>2213</v>
      </c>
      <c r="F1249" s="53" t="s">
        <v>2474</v>
      </c>
      <c r="G1249" s="53" t="s">
        <v>2133</v>
      </c>
      <c r="H1249" s="53">
        <v>1.0</v>
      </c>
      <c r="I1249" s="53">
        <v>0.45</v>
      </c>
      <c r="J1249" s="53">
        <v>5.0</v>
      </c>
      <c r="K1249" s="53" t="s">
        <v>53</v>
      </c>
      <c r="L1249" s="53" t="s">
        <v>2134</v>
      </c>
    </row>
    <row r="1250" ht="15.75" customHeight="1">
      <c r="A1250" s="53" t="s">
        <v>2599</v>
      </c>
      <c r="B1250" s="53" t="s">
        <v>231</v>
      </c>
      <c r="D1250" s="53" t="s">
        <v>2124</v>
      </c>
      <c r="E1250" s="53" t="s">
        <v>2215</v>
      </c>
      <c r="F1250" s="53" t="s">
        <v>2474</v>
      </c>
      <c r="G1250" s="53" t="s">
        <v>46</v>
      </c>
      <c r="H1250" s="53">
        <v>1.0</v>
      </c>
      <c r="I1250" s="53">
        <v>0.475</v>
      </c>
      <c r="J1250" s="53">
        <v>1.0</v>
      </c>
      <c r="K1250" s="53" t="s">
        <v>53</v>
      </c>
      <c r="L1250" s="53" t="s">
        <v>2134</v>
      </c>
    </row>
    <row r="1251" ht="15.75" customHeight="1">
      <c r="A1251" s="53" t="s">
        <v>2599</v>
      </c>
      <c r="B1251" s="53" t="s">
        <v>231</v>
      </c>
      <c r="D1251" s="53" t="s">
        <v>2126</v>
      </c>
      <c r="E1251" s="53" t="s">
        <v>2216</v>
      </c>
      <c r="F1251" s="53" t="s">
        <v>2472</v>
      </c>
      <c r="G1251" s="53" t="s">
        <v>2128</v>
      </c>
      <c r="H1251" s="53">
        <v>1.0</v>
      </c>
      <c r="I1251" s="53">
        <v>0.1032258064516129</v>
      </c>
      <c r="J1251" s="53">
        <v>2.0</v>
      </c>
      <c r="K1251" s="53" t="s">
        <v>53</v>
      </c>
      <c r="L1251" s="53" t="s">
        <v>53</v>
      </c>
    </row>
    <row r="1252" ht="15.75" customHeight="1">
      <c r="A1252" s="53" t="s">
        <v>2599</v>
      </c>
      <c r="B1252" s="53" t="s">
        <v>231</v>
      </c>
      <c r="D1252" s="53" t="s">
        <v>2126</v>
      </c>
      <c r="E1252" s="53" t="s">
        <v>2217</v>
      </c>
      <c r="F1252" s="53" t="s">
        <v>2472</v>
      </c>
      <c r="G1252" s="53" t="s">
        <v>2130</v>
      </c>
      <c r="H1252" s="53">
        <v>1.0</v>
      </c>
      <c r="I1252" s="53">
        <v>0.10967741935483871</v>
      </c>
      <c r="J1252" s="53">
        <v>3.0</v>
      </c>
      <c r="K1252" s="53" t="s">
        <v>53</v>
      </c>
      <c r="L1252" s="53" t="s">
        <v>53</v>
      </c>
    </row>
    <row r="1253" ht="15.75" customHeight="1">
      <c r="A1253" s="53" t="s">
        <v>2599</v>
      </c>
      <c r="B1253" s="53" t="s">
        <v>231</v>
      </c>
      <c r="D1253" s="53" t="s">
        <v>2126</v>
      </c>
      <c r="E1253" s="53" t="s">
        <v>2218</v>
      </c>
      <c r="F1253" s="53" t="s">
        <v>2473</v>
      </c>
      <c r="G1253" s="53" t="s">
        <v>2121</v>
      </c>
      <c r="H1253" s="53">
        <v>1.0</v>
      </c>
      <c r="I1253" s="53">
        <v>0.319047619047619</v>
      </c>
      <c r="J1253" s="53">
        <v>1.0</v>
      </c>
      <c r="K1253" s="53" t="s">
        <v>53</v>
      </c>
      <c r="L1253" s="53" t="s">
        <v>53</v>
      </c>
    </row>
    <row r="1254" ht="15.75" customHeight="1">
      <c r="A1254" s="53" t="s">
        <v>2599</v>
      </c>
      <c r="B1254" s="53" t="s">
        <v>231</v>
      </c>
      <c r="D1254" s="53" t="s">
        <v>2126</v>
      </c>
      <c r="E1254" s="53" t="s">
        <v>2219</v>
      </c>
      <c r="F1254" s="53" t="s">
        <v>2474</v>
      </c>
      <c r="G1254" s="53" t="s">
        <v>2133</v>
      </c>
      <c r="H1254" s="53">
        <v>1.0</v>
      </c>
      <c r="I1254" s="53">
        <v>0.432258064516129</v>
      </c>
      <c r="J1254" s="53">
        <v>4.0</v>
      </c>
      <c r="K1254" s="53" t="s">
        <v>53</v>
      </c>
      <c r="L1254" s="53" t="s">
        <v>2134</v>
      </c>
    </row>
    <row r="1255" ht="15.75" customHeight="1">
      <c r="A1255" s="53" t="s">
        <v>2599</v>
      </c>
      <c r="B1255" s="53" t="s">
        <v>231</v>
      </c>
      <c r="D1255" s="53" t="s">
        <v>2126</v>
      </c>
      <c r="E1255" s="53" t="s">
        <v>2220</v>
      </c>
      <c r="F1255" s="53" t="s">
        <v>2474</v>
      </c>
      <c r="G1255" s="53" t="s">
        <v>46</v>
      </c>
      <c r="H1255" s="53">
        <v>1.0</v>
      </c>
      <c r="I1255" s="53">
        <v>0.45806451612903226</v>
      </c>
      <c r="J1255" s="53">
        <v>0.0</v>
      </c>
      <c r="K1255" s="53" t="s">
        <v>53</v>
      </c>
      <c r="L1255" s="53" t="s">
        <v>2134</v>
      </c>
    </row>
    <row r="1256" ht="15.75" customHeight="1">
      <c r="A1256" s="53" t="s">
        <v>2599</v>
      </c>
      <c r="B1256" s="53" t="s">
        <v>231</v>
      </c>
      <c r="D1256" s="53" t="s">
        <v>46</v>
      </c>
      <c r="E1256" s="53" t="s">
        <v>2221</v>
      </c>
      <c r="F1256" s="53" t="s">
        <v>50</v>
      </c>
      <c r="G1256" s="53" t="s">
        <v>2133</v>
      </c>
      <c r="H1256" s="53">
        <v>1.0</v>
      </c>
      <c r="I1256" s="53">
        <v>0.12631578947368421</v>
      </c>
      <c r="J1256" s="53">
        <v>3.0</v>
      </c>
      <c r="K1256" s="53" t="s">
        <v>53</v>
      </c>
      <c r="L1256" s="53" t="s">
        <v>53</v>
      </c>
    </row>
    <row r="1257" ht="15.75" customHeight="1">
      <c r="A1257" s="53" t="s">
        <v>2599</v>
      </c>
      <c r="B1257" s="53" t="s">
        <v>231</v>
      </c>
      <c r="D1257" s="53" t="s">
        <v>46</v>
      </c>
      <c r="E1257" s="53" t="s">
        <v>2222</v>
      </c>
      <c r="F1257" s="53" t="s">
        <v>2466</v>
      </c>
      <c r="G1257" s="53" t="s">
        <v>2130</v>
      </c>
      <c r="H1257" s="53">
        <v>1.0</v>
      </c>
      <c r="I1257" s="53">
        <v>0.41843971631205673</v>
      </c>
      <c r="J1257" s="53">
        <v>2.0</v>
      </c>
      <c r="K1257" s="53" t="s">
        <v>53</v>
      </c>
      <c r="L1257" s="53" t="s">
        <v>2134</v>
      </c>
    </row>
    <row r="1258" ht="15.75" customHeight="1">
      <c r="A1258" s="53" t="s">
        <v>2599</v>
      </c>
      <c r="B1258" s="53" t="s">
        <v>231</v>
      </c>
      <c r="D1258" s="53" t="s">
        <v>46</v>
      </c>
      <c r="E1258" s="53" t="s">
        <v>2223</v>
      </c>
      <c r="F1258" s="53" t="s">
        <v>2466</v>
      </c>
      <c r="G1258" s="53" t="s">
        <v>2128</v>
      </c>
      <c r="H1258" s="53">
        <v>1.0</v>
      </c>
      <c r="I1258" s="53">
        <v>0.44</v>
      </c>
      <c r="J1258" s="53">
        <v>1.0</v>
      </c>
      <c r="K1258" s="53" t="s">
        <v>53</v>
      </c>
      <c r="L1258" s="53" t="s">
        <v>2134</v>
      </c>
    </row>
    <row r="1259" ht="15.75" customHeight="1">
      <c r="A1259" s="53" t="s">
        <v>2599</v>
      </c>
      <c r="B1259" s="53" t="s">
        <v>231</v>
      </c>
      <c r="D1259" s="53" t="s">
        <v>46</v>
      </c>
      <c r="E1259" s="53" t="s">
        <v>2224</v>
      </c>
      <c r="F1259" s="53" t="s">
        <v>2467</v>
      </c>
      <c r="G1259" s="53" t="s">
        <v>2121</v>
      </c>
      <c r="H1259" s="53">
        <v>1.0</v>
      </c>
      <c r="I1259" s="53">
        <v>0.5952380952380952</v>
      </c>
      <c r="J1259" s="53">
        <v>0.0</v>
      </c>
      <c r="K1259" s="53" t="s">
        <v>53</v>
      </c>
      <c r="L1259" s="53" t="s">
        <v>2134</v>
      </c>
    </row>
    <row r="1260" ht="15.75" customHeight="1">
      <c r="A1260" s="53" t="s">
        <v>2599</v>
      </c>
      <c r="B1260" s="53" t="s">
        <v>231</v>
      </c>
      <c r="D1260" s="53" t="s">
        <v>2121</v>
      </c>
      <c r="E1260" s="53" t="s">
        <v>2225</v>
      </c>
      <c r="F1260" s="53" t="s">
        <v>2464</v>
      </c>
      <c r="G1260" s="53" t="s">
        <v>2128</v>
      </c>
      <c r="H1260" s="53">
        <v>1.0</v>
      </c>
      <c r="I1260" s="53">
        <v>0.29523809523809524</v>
      </c>
      <c r="J1260" s="53">
        <v>0.0</v>
      </c>
      <c r="K1260" s="53" t="s">
        <v>53</v>
      </c>
      <c r="L1260" s="53" t="s">
        <v>53</v>
      </c>
    </row>
    <row r="1261" ht="15.75" customHeight="1">
      <c r="A1261" s="53" t="s">
        <v>2599</v>
      </c>
      <c r="B1261" s="53" t="s">
        <v>231</v>
      </c>
      <c r="D1261" s="53" t="s">
        <v>2121</v>
      </c>
      <c r="E1261" s="53" t="s">
        <v>2226</v>
      </c>
      <c r="F1261" s="53" t="s">
        <v>2464</v>
      </c>
      <c r="G1261" s="53" t="s">
        <v>2130</v>
      </c>
      <c r="H1261" s="53">
        <v>1.0</v>
      </c>
      <c r="I1261" s="53">
        <v>0.3380952380952381</v>
      </c>
      <c r="J1261" s="53">
        <v>1.0</v>
      </c>
      <c r="K1261" s="53" t="s">
        <v>53</v>
      </c>
      <c r="L1261" s="53" t="s">
        <v>53</v>
      </c>
    </row>
    <row r="1262" ht="15.75" customHeight="1">
      <c r="A1262" s="53" t="s">
        <v>2599</v>
      </c>
      <c r="B1262" s="53" t="s">
        <v>231</v>
      </c>
      <c r="D1262" s="53" t="s">
        <v>2121</v>
      </c>
      <c r="E1262" s="53" t="s">
        <v>2227</v>
      </c>
      <c r="F1262" s="53" t="s">
        <v>2465</v>
      </c>
      <c r="G1262" s="53" t="s">
        <v>2133</v>
      </c>
      <c r="H1262" s="53">
        <v>1.0</v>
      </c>
      <c r="I1262" s="53">
        <v>0.5761904761904761</v>
      </c>
      <c r="J1262" s="53">
        <v>2.0</v>
      </c>
      <c r="K1262" s="53" t="s">
        <v>53</v>
      </c>
      <c r="L1262" s="53" t="s">
        <v>2134</v>
      </c>
    </row>
    <row r="1263" ht="15.75" customHeight="1">
      <c r="A1263" s="53" t="s">
        <v>2599</v>
      </c>
      <c r="B1263" s="53" t="s">
        <v>231</v>
      </c>
      <c r="D1263" s="53" t="s">
        <v>2128</v>
      </c>
      <c r="E1263" s="53" t="s">
        <v>2228</v>
      </c>
      <c r="F1263" s="53" t="s">
        <v>2472</v>
      </c>
      <c r="G1263" s="53" t="s">
        <v>2130</v>
      </c>
      <c r="H1263" s="53">
        <v>1.0</v>
      </c>
      <c r="I1263" s="53">
        <v>0.07333333333333333</v>
      </c>
      <c r="J1263" s="53">
        <v>0.0</v>
      </c>
      <c r="K1263" s="53" t="s">
        <v>53</v>
      </c>
      <c r="L1263" s="53" t="s">
        <v>53</v>
      </c>
    </row>
    <row r="1264" ht="15.75" customHeight="1">
      <c r="A1264" s="53" t="s">
        <v>2599</v>
      </c>
      <c r="B1264" s="53" t="s">
        <v>231</v>
      </c>
      <c r="D1264" s="53" t="s">
        <v>2128</v>
      </c>
      <c r="E1264" s="53" t="s">
        <v>2229</v>
      </c>
      <c r="F1264" s="53" t="s">
        <v>2474</v>
      </c>
      <c r="G1264" s="53" t="s">
        <v>2133</v>
      </c>
      <c r="H1264" s="53">
        <v>1.0</v>
      </c>
      <c r="I1264" s="53">
        <v>0.42</v>
      </c>
      <c r="J1264" s="53">
        <v>1.0</v>
      </c>
      <c r="K1264" s="53" t="s">
        <v>53</v>
      </c>
      <c r="L1264" s="53" t="s">
        <v>2134</v>
      </c>
    </row>
    <row r="1265" ht="15.75" customHeight="1">
      <c r="A1265" s="53" t="s">
        <v>2599</v>
      </c>
      <c r="B1265" s="53" t="s">
        <v>231</v>
      </c>
      <c r="D1265" s="53" t="s">
        <v>2130</v>
      </c>
      <c r="E1265" s="53" t="s">
        <v>2230</v>
      </c>
      <c r="F1265" s="53" t="s">
        <v>2474</v>
      </c>
      <c r="G1265" s="53" t="s">
        <v>2133</v>
      </c>
      <c r="H1265" s="53">
        <v>1.0</v>
      </c>
      <c r="I1265" s="53">
        <v>0.3829787234042553</v>
      </c>
      <c r="J1265" s="53">
        <v>0.0</v>
      </c>
      <c r="K1265" s="53" t="s">
        <v>53</v>
      </c>
      <c r="L1265" s="53" t="s">
        <v>2134</v>
      </c>
    </row>
    <row r="1266" ht="15.75" customHeight="1">
      <c r="A1266" s="53" t="s">
        <v>320</v>
      </c>
      <c r="B1266" s="53" t="s">
        <v>231</v>
      </c>
      <c r="D1266" s="53" t="s">
        <v>1573</v>
      </c>
      <c r="E1266" s="53" t="s">
        <v>2600</v>
      </c>
      <c r="F1266" s="53" t="s">
        <v>1575</v>
      </c>
      <c r="G1266" s="53" t="s">
        <v>1576</v>
      </c>
      <c r="H1266" s="53">
        <v>1.0</v>
      </c>
      <c r="I1266" s="53">
        <v>0.04411764705882353</v>
      </c>
      <c r="J1266" s="53">
        <v>0.0</v>
      </c>
      <c r="K1266" s="53" t="s">
        <v>53</v>
      </c>
      <c r="L1266" s="53" t="s">
        <v>53</v>
      </c>
    </row>
    <row r="1267" ht="15.75" customHeight="1">
      <c r="A1267" s="53" t="s">
        <v>320</v>
      </c>
      <c r="B1267" s="53" t="s">
        <v>231</v>
      </c>
      <c r="D1267" s="53" t="s">
        <v>1198</v>
      </c>
      <c r="E1267" s="53" t="s">
        <v>2601</v>
      </c>
      <c r="F1267" s="53" t="s">
        <v>2532</v>
      </c>
      <c r="G1267" s="53" t="s">
        <v>1195</v>
      </c>
      <c r="H1267" s="53">
        <v>0.6</v>
      </c>
      <c r="I1267" s="53">
        <v>0.050156739811912224</v>
      </c>
      <c r="J1267" s="53">
        <v>0.0</v>
      </c>
      <c r="K1267" s="53" t="s">
        <v>53</v>
      </c>
      <c r="L1267" s="53" t="s">
        <v>1199</v>
      </c>
    </row>
    <row r="1268" ht="15.75" customHeight="1">
      <c r="A1268" s="53" t="s">
        <v>320</v>
      </c>
      <c r="B1268" s="53" t="s">
        <v>231</v>
      </c>
      <c r="D1268" s="53" t="s">
        <v>1224</v>
      </c>
      <c r="E1268" s="53" t="s">
        <v>2434</v>
      </c>
      <c r="F1268" s="53" t="s">
        <v>2533</v>
      </c>
      <c r="G1268" s="53" t="s">
        <v>1227</v>
      </c>
      <c r="H1268" s="53">
        <v>1.0</v>
      </c>
      <c r="I1268" s="53">
        <v>0.2786885245901639</v>
      </c>
      <c r="J1268" s="53">
        <v>0.0</v>
      </c>
      <c r="K1268" s="53" t="s">
        <v>53</v>
      </c>
      <c r="L1268" s="53" t="s">
        <v>53</v>
      </c>
    </row>
    <row r="1269" ht="15.75" customHeight="1">
      <c r="A1269" s="53" t="s">
        <v>320</v>
      </c>
      <c r="B1269" s="53" t="s">
        <v>231</v>
      </c>
      <c r="D1269" s="53" t="s">
        <v>1224</v>
      </c>
      <c r="E1269" s="53" t="s">
        <v>2436</v>
      </c>
      <c r="F1269" s="53" t="s">
        <v>2534</v>
      </c>
      <c r="G1269" s="53" t="s">
        <v>1230</v>
      </c>
      <c r="H1269" s="53">
        <v>1.0</v>
      </c>
      <c r="I1269" s="53">
        <v>0.5125786163522013</v>
      </c>
      <c r="J1269" s="53">
        <v>1.0</v>
      </c>
      <c r="K1269" s="53" t="s">
        <v>53</v>
      </c>
      <c r="L1269" s="53" t="s">
        <v>53</v>
      </c>
    </row>
    <row r="1270" ht="15.75" customHeight="1">
      <c r="A1270" s="53" t="s">
        <v>320</v>
      </c>
      <c r="B1270" s="53" t="s">
        <v>231</v>
      </c>
      <c r="D1270" s="53" t="s">
        <v>1227</v>
      </c>
      <c r="E1270" s="53" t="s">
        <v>2438</v>
      </c>
      <c r="F1270" s="53" t="s">
        <v>2534</v>
      </c>
      <c r="G1270" s="53" t="s">
        <v>1230</v>
      </c>
      <c r="H1270" s="53">
        <v>1.0</v>
      </c>
      <c r="I1270" s="53">
        <v>0.48742138364779874</v>
      </c>
      <c r="J1270" s="53">
        <v>0.0</v>
      </c>
      <c r="K1270" s="53" t="s">
        <v>53</v>
      </c>
      <c r="L1270" s="53" t="s">
        <v>53</v>
      </c>
    </row>
    <row r="1271" ht="15.75" customHeight="1">
      <c r="A1271" s="53" t="s">
        <v>2602</v>
      </c>
      <c r="B1271" s="53" t="s">
        <v>231</v>
      </c>
      <c r="D1271" s="53" t="s">
        <v>1646</v>
      </c>
      <c r="E1271" s="53" t="s">
        <v>1670</v>
      </c>
      <c r="F1271" s="53" t="s">
        <v>741</v>
      </c>
      <c r="G1271" s="53" t="s">
        <v>1648</v>
      </c>
      <c r="H1271" s="53">
        <v>1.0</v>
      </c>
      <c r="I1271" s="53">
        <v>0.5693581780538303</v>
      </c>
      <c r="J1271" s="53">
        <v>3.0</v>
      </c>
      <c r="K1271" s="53" t="s">
        <v>53</v>
      </c>
      <c r="L1271" s="53" t="s">
        <v>53</v>
      </c>
    </row>
    <row r="1272" ht="15.75" customHeight="1">
      <c r="A1272" s="53" t="s">
        <v>2602</v>
      </c>
      <c r="B1272" s="53" t="s">
        <v>231</v>
      </c>
      <c r="D1272" s="53" t="s">
        <v>1646</v>
      </c>
      <c r="E1272" s="53" t="s">
        <v>1671</v>
      </c>
      <c r="F1272" s="53" t="s">
        <v>741</v>
      </c>
      <c r="G1272" s="53" t="s">
        <v>1651</v>
      </c>
      <c r="H1272" s="53">
        <v>1.0</v>
      </c>
      <c r="I1272" s="53">
        <v>0.5737704918032787</v>
      </c>
      <c r="J1272" s="53">
        <v>2.0</v>
      </c>
      <c r="K1272" s="53" t="s">
        <v>53</v>
      </c>
      <c r="L1272" s="53" t="s">
        <v>53</v>
      </c>
    </row>
    <row r="1273" ht="15.75" customHeight="1">
      <c r="A1273" s="53" t="s">
        <v>2602</v>
      </c>
      <c r="B1273" s="53" t="s">
        <v>231</v>
      </c>
      <c r="D1273" s="53" t="s">
        <v>1646</v>
      </c>
      <c r="E1273" s="53" t="s">
        <v>1672</v>
      </c>
      <c r="F1273" s="53" t="s">
        <v>741</v>
      </c>
      <c r="G1273" s="53" t="s">
        <v>1653</v>
      </c>
      <c r="H1273" s="53">
        <v>1.0</v>
      </c>
      <c r="I1273" s="53">
        <v>0.6256781193490054</v>
      </c>
      <c r="J1273" s="53">
        <v>1.0</v>
      </c>
      <c r="K1273" s="53" t="s">
        <v>53</v>
      </c>
      <c r="L1273" s="53" t="s">
        <v>53</v>
      </c>
    </row>
    <row r="1274" ht="15.75" customHeight="1">
      <c r="A1274" s="53" t="s">
        <v>2602</v>
      </c>
      <c r="B1274" s="53" t="s">
        <v>231</v>
      </c>
      <c r="D1274" s="53" t="s">
        <v>160</v>
      </c>
      <c r="E1274" s="53" t="s">
        <v>1673</v>
      </c>
      <c r="F1274" s="53" t="s">
        <v>145</v>
      </c>
      <c r="G1274" s="53" t="s">
        <v>154</v>
      </c>
      <c r="H1274" s="53">
        <v>1.0</v>
      </c>
      <c r="I1274" s="53">
        <v>0.16025641025641027</v>
      </c>
      <c r="J1274" s="53">
        <v>4.0</v>
      </c>
      <c r="K1274" s="53" t="s">
        <v>53</v>
      </c>
      <c r="L1274" s="53" t="s">
        <v>53</v>
      </c>
    </row>
    <row r="1275" ht="15.75" customHeight="1">
      <c r="A1275" s="53" t="s">
        <v>2602</v>
      </c>
      <c r="B1275" s="53" t="s">
        <v>231</v>
      </c>
      <c r="D1275" s="53" t="s">
        <v>160</v>
      </c>
      <c r="E1275" s="53" t="s">
        <v>1674</v>
      </c>
      <c r="F1275" s="53" t="s">
        <v>145</v>
      </c>
      <c r="G1275" s="53" t="s">
        <v>141</v>
      </c>
      <c r="H1275" s="53">
        <v>1.0</v>
      </c>
      <c r="I1275" s="53">
        <v>0.39090909090909093</v>
      </c>
      <c r="J1275" s="53">
        <v>6.0</v>
      </c>
      <c r="K1275" s="53" t="s">
        <v>53</v>
      </c>
      <c r="L1275" s="53" t="s">
        <v>53</v>
      </c>
    </row>
    <row r="1276" ht="15.75" customHeight="1">
      <c r="A1276" s="53" t="s">
        <v>2602</v>
      </c>
      <c r="B1276" s="53" t="s">
        <v>231</v>
      </c>
      <c r="D1276" s="53" t="s">
        <v>1653</v>
      </c>
      <c r="E1276" s="53" t="s">
        <v>1675</v>
      </c>
      <c r="F1276" s="53" t="s">
        <v>741</v>
      </c>
      <c r="G1276" s="53" t="s">
        <v>1651</v>
      </c>
      <c r="H1276" s="53">
        <v>1.0</v>
      </c>
      <c r="I1276" s="53">
        <v>0.12296564195298372</v>
      </c>
      <c r="J1276" s="53">
        <v>0.0</v>
      </c>
      <c r="K1276" s="53" t="s">
        <v>53</v>
      </c>
      <c r="L1276" s="53" t="s">
        <v>53</v>
      </c>
    </row>
    <row r="1277" ht="15.75" customHeight="1">
      <c r="A1277" s="53" t="s">
        <v>2602</v>
      </c>
      <c r="B1277" s="53" t="s">
        <v>231</v>
      </c>
      <c r="D1277" s="53" t="s">
        <v>1653</v>
      </c>
      <c r="E1277" s="53" t="s">
        <v>1676</v>
      </c>
      <c r="F1277" s="53" t="s">
        <v>741</v>
      </c>
      <c r="G1277" s="53" t="s">
        <v>1648</v>
      </c>
      <c r="H1277" s="53">
        <v>1.0</v>
      </c>
      <c r="I1277" s="53">
        <v>0.13200723327305605</v>
      </c>
      <c r="J1277" s="53">
        <v>1.0</v>
      </c>
      <c r="K1277" s="53" t="s">
        <v>53</v>
      </c>
      <c r="L1277" s="53" t="s">
        <v>53</v>
      </c>
    </row>
    <row r="1278" ht="15.75" customHeight="1">
      <c r="A1278" s="53" t="s">
        <v>2602</v>
      </c>
      <c r="B1278" s="53" t="s">
        <v>231</v>
      </c>
      <c r="D1278" s="53" t="s">
        <v>1651</v>
      </c>
      <c r="E1278" s="53" t="s">
        <v>1677</v>
      </c>
      <c r="F1278" s="53" t="s">
        <v>741</v>
      </c>
      <c r="G1278" s="53" t="s">
        <v>1648</v>
      </c>
      <c r="H1278" s="53">
        <v>1.0</v>
      </c>
      <c r="I1278" s="53">
        <v>0.014344262295081968</v>
      </c>
      <c r="J1278" s="53">
        <v>0.0</v>
      </c>
      <c r="K1278" s="53" t="s">
        <v>53</v>
      </c>
      <c r="L1278" s="53" t="s">
        <v>53</v>
      </c>
    </row>
    <row r="1279" ht="15.75" customHeight="1">
      <c r="A1279" s="53" t="s">
        <v>2602</v>
      </c>
      <c r="B1279" s="53" t="s">
        <v>231</v>
      </c>
      <c r="D1279" s="53" t="s">
        <v>154</v>
      </c>
      <c r="E1279" s="53" t="s">
        <v>1678</v>
      </c>
      <c r="F1279" s="53" t="s">
        <v>145</v>
      </c>
      <c r="G1279" s="53" t="s">
        <v>141</v>
      </c>
      <c r="H1279" s="53">
        <v>1.0</v>
      </c>
      <c r="I1279" s="53">
        <v>0.4090909090909091</v>
      </c>
      <c r="J1279" s="53">
        <v>1.0</v>
      </c>
      <c r="K1279" s="53" t="s">
        <v>53</v>
      </c>
      <c r="L1279" s="53" t="s">
        <v>53</v>
      </c>
    </row>
    <row r="1280" ht="15.75" customHeight="1">
      <c r="A1280" s="53" t="s">
        <v>229</v>
      </c>
      <c r="B1280" s="53" t="s">
        <v>231</v>
      </c>
      <c r="D1280" s="53" t="s">
        <v>1736</v>
      </c>
      <c r="E1280" s="53" t="s">
        <v>2390</v>
      </c>
      <c r="F1280" s="53" t="s">
        <v>2481</v>
      </c>
      <c r="G1280" s="53" t="s">
        <v>1739</v>
      </c>
      <c r="H1280" s="53">
        <v>1.0</v>
      </c>
      <c r="I1280" s="53">
        <v>0.018796992481203006</v>
      </c>
      <c r="J1280" s="53">
        <v>1.0</v>
      </c>
      <c r="K1280" s="53" t="s">
        <v>53</v>
      </c>
      <c r="L1280" s="53" t="s">
        <v>53</v>
      </c>
    </row>
    <row r="1281" ht="15.75" customHeight="1">
      <c r="A1281" s="53" t="s">
        <v>229</v>
      </c>
      <c r="B1281" s="53" t="s">
        <v>231</v>
      </c>
      <c r="D1281" s="53" t="s">
        <v>1736</v>
      </c>
      <c r="E1281" s="53" t="s">
        <v>2392</v>
      </c>
      <c r="F1281" s="53" t="s">
        <v>2481</v>
      </c>
      <c r="G1281" s="53" t="s">
        <v>232</v>
      </c>
      <c r="H1281" s="53">
        <v>1.0</v>
      </c>
      <c r="I1281" s="53">
        <v>0.044444444444444446</v>
      </c>
      <c r="J1281" s="53">
        <v>0.0</v>
      </c>
      <c r="K1281" s="53" t="s">
        <v>53</v>
      </c>
      <c r="L1281" s="53" t="s">
        <v>53</v>
      </c>
    </row>
    <row r="1282" ht="15.75" customHeight="1">
      <c r="A1282" s="53" t="s">
        <v>229</v>
      </c>
      <c r="B1282" s="53" t="s">
        <v>231</v>
      </c>
      <c r="D1282" s="53" t="s">
        <v>1736</v>
      </c>
      <c r="E1282" s="53" t="s">
        <v>2393</v>
      </c>
      <c r="F1282" s="53" t="s">
        <v>2481</v>
      </c>
      <c r="G1282" s="53" t="s">
        <v>539</v>
      </c>
      <c r="H1282" s="53">
        <v>1.0</v>
      </c>
      <c r="I1282" s="53">
        <v>0.36981132075471695</v>
      </c>
      <c r="J1282" s="53">
        <v>2.0</v>
      </c>
      <c r="K1282" s="53" t="s">
        <v>53</v>
      </c>
      <c r="L1282" s="53" t="s">
        <v>53</v>
      </c>
    </row>
    <row r="1283" ht="15.75" customHeight="1">
      <c r="A1283" s="53" t="s">
        <v>229</v>
      </c>
      <c r="B1283" s="53" t="s">
        <v>231</v>
      </c>
      <c r="D1283" s="53" t="s">
        <v>1736</v>
      </c>
      <c r="E1283" s="53" t="s">
        <v>2394</v>
      </c>
      <c r="F1283" s="53" t="s">
        <v>2481</v>
      </c>
      <c r="G1283" s="53" t="s">
        <v>1742</v>
      </c>
      <c r="H1283" s="53">
        <v>1.0</v>
      </c>
      <c r="I1283" s="53">
        <v>0.5054945054945055</v>
      </c>
      <c r="J1283" s="53">
        <v>10.0</v>
      </c>
      <c r="K1283" s="53" t="s">
        <v>53</v>
      </c>
      <c r="L1283" s="53" t="s">
        <v>53</v>
      </c>
    </row>
    <row r="1284" ht="15.75" customHeight="1">
      <c r="A1284" s="53" t="s">
        <v>229</v>
      </c>
      <c r="B1284" s="53" t="s">
        <v>231</v>
      </c>
      <c r="D1284" s="53" t="s">
        <v>232</v>
      </c>
      <c r="E1284" s="53" t="s">
        <v>2395</v>
      </c>
      <c r="F1284" s="53" t="s">
        <v>2481</v>
      </c>
      <c r="G1284" s="53" t="s">
        <v>1739</v>
      </c>
      <c r="H1284" s="53">
        <v>1.0</v>
      </c>
      <c r="I1284" s="53">
        <v>0.044444444444444446</v>
      </c>
      <c r="J1284" s="53">
        <v>0.0</v>
      </c>
      <c r="K1284" s="53" t="s">
        <v>53</v>
      </c>
      <c r="L1284" s="53" t="s">
        <v>53</v>
      </c>
    </row>
    <row r="1285" ht="15.75" customHeight="1">
      <c r="A1285" s="53" t="s">
        <v>229</v>
      </c>
      <c r="B1285" s="53" t="s">
        <v>231</v>
      </c>
      <c r="D1285" s="53" t="s">
        <v>232</v>
      </c>
      <c r="E1285" s="53" t="s">
        <v>2396</v>
      </c>
      <c r="F1285" s="53" t="s">
        <v>2481</v>
      </c>
      <c r="G1285" s="53" t="s">
        <v>539</v>
      </c>
      <c r="H1285" s="53">
        <v>1.0</v>
      </c>
      <c r="I1285" s="53">
        <v>0.37777777777777777</v>
      </c>
      <c r="J1285" s="53">
        <v>1.0</v>
      </c>
      <c r="K1285" s="53" t="s">
        <v>53</v>
      </c>
      <c r="L1285" s="53" t="s">
        <v>53</v>
      </c>
    </row>
    <row r="1286" ht="15.75" customHeight="1">
      <c r="A1286" s="53" t="s">
        <v>229</v>
      </c>
      <c r="B1286" s="53" t="s">
        <v>231</v>
      </c>
      <c r="D1286" s="53" t="s">
        <v>232</v>
      </c>
      <c r="E1286" s="53" t="s">
        <v>2397</v>
      </c>
      <c r="F1286" s="53" t="s">
        <v>2481</v>
      </c>
      <c r="G1286" s="53" t="s">
        <v>1742</v>
      </c>
      <c r="H1286" s="53">
        <v>1.0</v>
      </c>
      <c r="I1286" s="53">
        <v>0.5128205128205128</v>
      </c>
      <c r="J1286" s="53">
        <v>9.0</v>
      </c>
      <c r="K1286" s="53" t="s">
        <v>53</v>
      </c>
      <c r="L1286" s="53" t="s">
        <v>53</v>
      </c>
    </row>
    <row r="1287" ht="15.75" customHeight="1">
      <c r="A1287" s="53" t="s">
        <v>229</v>
      </c>
      <c r="B1287" s="53" t="s">
        <v>231</v>
      </c>
      <c r="D1287" s="53" t="s">
        <v>1739</v>
      </c>
      <c r="E1287" s="53" t="s">
        <v>2398</v>
      </c>
      <c r="F1287" s="53" t="s">
        <v>2481</v>
      </c>
      <c r="G1287" s="53" t="s">
        <v>539</v>
      </c>
      <c r="H1287" s="53">
        <v>1.0</v>
      </c>
      <c r="I1287" s="53">
        <v>0.37218045112781956</v>
      </c>
      <c r="J1287" s="53">
        <v>0.0</v>
      </c>
      <c r="K1287" s="53" t="s">
        <v>53</v>
      </c>
      <c r="L1287" s="53" t="s">
        <v>53</v>
      </c>
    </row>
    <row r="1288" ht="15.75" customHeight="1">
      <c r="A1288" s="53" t="s">
        <v>229</v>
      </c>
      <c r="B1288" s="53" t="s">
        <v>231</v>
      </c>
      <c r="D1288" s="53" t="s">
        <v>1739</v>
      </c>
      <c r="E1288" s="53" t="s">
        <v>2399</v>
      </c>
      <c r="F1288" s="53" t="s">
        <v>2481</v>
      </c>
      <c r="G1288" s="53" t="s">
        <v>1742</v>
      </c>
      <c r="H1288" s="53">
        <v>1.0</v>
      </c>
      <c r="I1288" s="53">
        <v>0.5054945054945055</v>
      </c>
      <c r="J1288" s="53">
        <v>8.0</v>
      </c>
      <c r="K1288" s="53" t="s">
        <v>53</v>
      </c>
      <c r="L1288" s="53" t="s">
        <v>53</v>
      </c>
    </row>
    <row r="1289" ht="15.75" customHeight="1">
      <c r="A1289" s="53" t="s">
        <v>229</v>
      </c>
      <c r="B1289" s="53" t="s">
        <v>231</v>
      </c>
      <c r="D1289" s="53" t="s">
        <v>539</v>
      </c>
      <c r="E1289" s="53" t="s">
        <v>2400</v>
      </c>
      <c r="F1289" s="53" t="s">
        <v>2481</v>
      </c>
      <c r="G1289" s="53" t="s">
        <v>1742</v>
      </c>
      <c r="H1289" s="53">
        <v>1.0</v>
      </c>
      <c r="I1289" s="53">
        <v>0.5421245421245421</v>
      </c>
      <c r="J1289" s="53">
        <v>7.0</v>
      </c>
      <c r="K1289" s="53" t="s">
        <v>53</v>
      </c>
      <c r="L1289" s="53" t="s">
        <v>53</v>
      </c>
    </row>
    <row r="1290" ht="15.75" customHeight="1">
      <c r="A1290" s="53" t="s">
        <v>229</v>
      </c>
      <c r="B1290" s="53" t="s">
        <v>231</v>
      </c>
      <c r="D1290" s="53" t="s">
        <v>2401</v>
      </c>
      <c r="E1290" s="53" t="s">
        <v>2402</v>
      </c>
      <c r="F1290" s="53" t="s">
        <v>2482</v>
      </c>
      <c r="G1290" s="53" t="s">
        <v>169</v>
      </c>
      <c r="H1290" s="53">
        <v>1.0</v>
      </c>
      <c r="I1290" s="53">
        <v>0.5272727272727272</v>
      </c>
      <c r="J1290" s="53">
        <v>4.0</v>
      </c>
      <c r="K1290" s="53" t="s">
        <v>53</v>
      </c>
      <c r="L1290" s="53" t="s">
        <v>53</v>
      </c>
    </row>
    <row r="1291" ht="15.75" customHeight="1">
      <c r="A1291" s="53" t="s">
        <v>229</v>
      </c>
      <c r="B1291" s="53" t="s">
        <v>231</v>
      </c>
      <c r="D1291" s="53" t="s">
        <v>2401</v>
      </c>
      <c r="E1291" s="53" t="s">
        <v>2404</v>
      </c>
      <c r="F1291" s="53" t="s">
        <v>2482</v>
      </c>
      <c r="G1291" s="53" t="s">
        <v>175</v>
      </c>
      <c r="H1291" s="53">
        <v>1.0</v>
      </c>
      <c r="I1291" s="53">
        <v>0.7212121212121212</v>
      </c>
      <c r="J1291" s="53">
        <v>9.0</v>
      </c>
      <c r="K1291" s="53" t="s">
        <v>53</v>
      </c>
      <c r="L1291" s="53" t="s">
        <v>53</v>
      </c>
    </row>
    <row r="1292" ht="15.75" customHeight="1">
      <c r="A1292" s="53" t="s">
        <v>229</v>
      </c>
      <c r="B1292" s="53" t="s">
        <v>231</v>
      </c>
      <c r="D1292" s="53" t="s">
        <v>242</v>
      </c>
      <c r="E1292" s="53" t="s">
        <v>2405</v>
      </c>
      <c r="F1292" s="53" t="s">
        <v>1026</v>
      </c>
      <c r="G1292" s="53" t="s">
        <v>1022</v>
      </c>
      <c r="H1292" s="53">
        <v>1.0</v>
      </c>
      <c r="I1292" s="53">
        <v>0.22727272727272727</v>
      </c>
      <c r="J1292" s="53">
        <v>2.0</v>
      </c>
      <c r="K1292" s="53" t="s">
        <v>53</v>
      </c>
      <c r="L1292" s="53" t="s">
        <v>53</v>
      </c>
    </row>
    <row r="1293" ht="15.75" customHeight="1">
      <c r="A1293" s="53" t="s">
        <v>229</v>
      </c>
      <c r="B1293" s="53" t="s">
        <v>231</v>
      </c>
      <c r="D1293" s="53" t="s">
        <v>242</v>
      </c>
      <c r="E1293" s="53" t="s">
        <v>2407</v>
      </c>
      <c r="F1293" s="53" t="s">
        <v>2483</v>
      </c>
      <c r="G1293" s="53" t="s">
        <v>178</v>
      </c>
      <c r="H1293" s="53">
        <v>1.0</v>
      </c>
      <c r="I1293" s="53">
        <v>0.3776223776223776</v>
      </c>
      <c r="J1293" s="53">
        <v>7.0</v>
      </c>
      <c r="K1293" s="53" t="s">
        <v>53</v>
      </c>
      <c r="L1293" s="53" t="s">
        <v>53</v>
      </c>
    </row>
    <row r="1294" ht="15.75" customHeight="1">
      <c r="A1294" s="53" t="s">
        <v>229</v>
      </c>
      <c r="B1294" s="53" t="s">
        <v>231</v>
      </c>
      <c r="D1294" s="53" t="s">
        <v>242</v>
      </c>
      <c r="E1294" s="53" t="s">
        <v>2409</v>
      </c>
      <c r="F1294" s="53" t="s">
        <v>1026</v>
      </c>
      <c r="G1294" s="53" t="s">
        <v>184</v>
      </c>
      <c r="H1294" s="53">
        <v>1.0</v>
      </c>
      <c r="I1294" s="53">
        <v>0.6746411483253588</v>
      </c>
      <c r="J1294" s="53">
        <v>9.0</v>
      </c>
      <c r="K1294" s="53" t="s">
        <v>53</v>
      </c>
      <c r="L1294" s="53" t="s">
        <v>53</v>
      </c>
    </row>
    <row r="1295" ht="15.75" customHeight="1">
      <c r="A1295" s="53" t="s">
        <v>229</v>
      </c>
      <c r="B1295" s="53" t="s">
        <v>231</v>
      </c>
      <c r="D1295" s="53" t="s">
        <v>1022</v>
      </c>
      <c r="E1295" s="53" t="s">
        <v>2410</v>
      </c>
      <c r="F1295" s="53" t="s">
        <v>2484</v>
      </c>
      <c r="G1295" s="53" t="s">
        <v>169</v>
      </c>
      <c r="H1295" s="53">
        <v>0.3333333333333333</v>
      </c>
      <c r="I1295" s="53">
        <v>0.01818181818181818</v>
      </c>
      <c r="J1295" s="53">
        <v>0.0</v>
      </c>
      <c r="K1295" s="53" t="s">
        <v>53</v>
      </c>
      <c r="L1295" s="53" t="s">
        <v>1667</v>
      </c>
    </row>
    <row r="1296" ht="15.75" customHeight="1">
      <c r="A1296" s="53" t="s">
        <v>229</v>
      </c>
      <c r="B1296" s="53" t="s">
        <v>231</v>
      </c>
      <c r="D1296" s="53" t="s">
        <v>1022</v>
      </c>
      <c r="E1296" s="53" t="s">
        <v>2413</v>
      </c>
      <c r="F1296" s="53" t="s">
        <v>2483</v>
      </c>
      <c r="G1296" s="53" t="s">
        <v>178</v>
      </c>
      <c r="H1296" s="53">
        <v>1.0</v>
      </c>
      <c r="I1296" s="53">
        <v>0.45104895104895104</v>
      </c>
      <c r="J1296" s="53">
        <v>4.0</v>
      </c>
      <c r="K1296" s="53" t="s">
        <v>53</v>
      </c>
      <c r="L1296" s="53" t="s">
        <v>53</v>
      </c>
    </row>
    <row r="1297" ht="15.75" customHeight="1">
      <c r="A1297" s="53" t="s">
        <v>229</v>
      </c>
      <c r="B1297" s="53" t="s">
        <v>231</v>
      </c>
      <c r="D1297" s="53" t="s">
        <v>1022</v>
      </c>
      <c r="E1297" s="53" t="s">
        <v>2414</v>
      </c>
      <c r="F1297" s="53" t="s">
        <v>1026</v>
      </c>
      <c r="G1297" s="53" t="s">
        <v>184</v>
      </c>
      <c r="H1297" s="53">
        <v>1.0</v>
      </c>
      <c r="I1297" s="53">
        <v>0.6681818181818182</v>
      </c>
      <c r="J1297" s="53">
        <v>6.0</v>
      </c>
      <c r="K1297" s="53" t="s">
        <v>53</v>
      </c>
      <c r="L1297" s="53" t="s">
        <v>53</v>
      </c>
    </row>
    <row r="1298" ht="15.75" customHeight="1">
      <c r="A1298" s="53" t="s">
        <v>229</v>
      </c>
      <c r="B1298" s="53" t="s">
        <v>231</v>
      </c>
      <c r="D1298" s="53" t="s">
        <v>169</v>
      </c>
      <c r="E1298" s="53" t="s">
        <v>171</v>
      </c>
      <c r="F1298" s="53" t="s">
        <v>173</v>
      </c>
      <c r="G1298" s="53" t="s">
        <v>175</v>
      </c>
      <c r="H1298" s="53">
        <v>1.0</v>
      </c>
      <c r="I1298" s="53">
        <v>0.6681818181818182</v>
      </c>
      <c r="J1298" s="53">
        <v>4.0</v>
      </c>
      <c r="K1298" s="53" t="s">
        <v>53</v>
      </c>
      <c r="L1298" s="53" t="s">
        <v>53</v>
      </c>
    </row>
    <row r="1299" ht="15.75" customHeight="1">
      <c r="A1299" s="53" t="s">
        <v>229</v>
      </c>
      <c r="B1299" s="53" t="s">
        <v>231</v>
      </c>
      <c r="D1299" s="53" t="s">
        <v>1749</v>
      </c>
      <c r="E1299" s="53" t="s">
        <v>2416</v>
      </c>
      <c r="F1299" s="53" t="s">
        <v>2485</v>
      </c>
      <c r="G1299" s="53" t="s">
        <v>1752</v>
      </c>
      <c r="H1299" s="53">
        <v>0.6666666666666666</v>
      </c>
      <c r="I1299" s="53">
        <v>0.04152249134948097</v>
      </c>
      <c r="J1299" s="53">
        <v>1.0</v>
      </c>
      <c r="K1299" s="53" t="s">
        <v>53</v>
      </c>
      <c r="L1299" s="53" t="s">
        <v>1667</v>
      </c>
    </row>
    <row r="1300" ht="15.75" customHeight="1">
      <c r="A1300" s="53" t="s">
        <v>229</v>
      </c>
      <c r="B1300" s="53" t="s">
        <v>231</v>
      </c>
      <c r="D1300" s="53" t="s">
        <v>178</v>
      </c>
      <c r="E1300" s="53" t="s">
        <v>180</v>
      </c>
      <c r="F1300" s="53" t="s">
        <v>182</v>
      </c>
      <c r="G1300" s="53" t="s">
        <v>184</v>
      </c>
      <c r="H1300" s="53">
        <v>1.0</v>
      </c>
      <c r="I1300" s="53">
        <v>0.6363636363636364</v>
      </c>
      <c r="J1300" s="53">
        <v>1.0</v>
      </c>
      <c r="K1300" s="53" t="s">
        <v>53</v>
      </c>
      <c r="L1300" s="53" t="s">
        <v>53</v>
      </c>
    </row>
    <row r="1301" ht="15.75" customHeight="1">
      <c r="A1301" s="53" t="s">
        <v>229</v>
      </c>
      <c r="B1301" s="53" t="s">
        <v>231</v>
      </c>
      <c r="D1301" s="53" t="s">
        <v>175</v>
      </c>
      <c r="E1301" s="53" t="s">
        <v>1664</v>
      </c>
      <c r="F1301" s="53" t="s">
        <v>1665</v>
      </c>
      <c r="G1301" s="53" t="s">
        <v>184</v>
      </c>
      <c r="H1301" s="53">
        <v>0.3333333333333333</v>
      </c>
      <c r="I1301" s="53">
        <v>0.08743169398907104</v>
      </c>
      <c r="J1301" s="53">
        <v>0.0</v>
      </c>
      <c r="K1301" s="53" t="s">
        <v>53</v>
      </c>
      <c r="L1301" s="53" t="s">
        <v>1667</v>
      </c>
    </row>
    <row r="1302" ht="15.75" customHeight="1">
      <c r="A1302" s="53" t="s">
        <v>2603</v>
      </c>
      <c r="B1302" s="53" t="s">
        <v>231</v>
      </c>
      <c r="D1302" s="53" t="s">
        <v>154</v>
      </c>
      <c r="E1302" s="53" t="s">
        <v>1754</v>
      </c>
      <c r="F1302" s="53" t="s">
        <v>145</v>
      </c>
      <c r="G1302" s="53" t="s">
        <v>1660</v>
      </c>
      <c r="H1302" s="53">
        <v>1.0</v>
      </c>
      <c r="I1302" s="53">
        <v>0.1095890410958904</v>
      </c>
      <c r="J1302" s="53">
        <v>2.0</v>
      </c>
      <c r="K1302" s="53" t="s">
        <v>53</v>
      </c>
      <c r="L1302" s="53" t="s">
        <v>53</v>
      </c>
    </row>
    <row r="1303" ht="15.75" customHeight="1">
      <c r="A1303" s="53" t="s">
        <v>2603</v>
      </c>
      <c r="B1303" s="53" t="s">
        <v>231</v>
      </c>
      <c r="D1303" s="53" t="s">
        <v>154</v>
      </c>
      <c r="E1303" s="53" t="s">
        <v>1755</v>
      </c>
      <c r="F1303" s="53" t="s">
        <v>145</v>
      </c>
      <c r="G1303" s="53" t="s">
        <v>1662</v>
      </c>
      <c r="H1303" s="53">
        <v>1.0</v>
      </c>
      <c r="I1303" s="53">
        <v>0.14473684210526316</v>
      </c>
      <c r="J1303" s="53">
        <v>1.0</v>
      </c>
      <c r="K1303" s="53" t="s">
        <v>53</v>
      </c>
      <c r="L1303" s="53" t="s">
        <v>53</v>
      </c>
    </row>
    <row r="1304" ht="15.75" customHeight="1">
      <c r="A1304" s="53" t="s">
        <v>2603</v>
      </c>
      <c r="B1304" s="53" t="s">
        <v>231</v>
      </c>
      <c r="D1304" s="53" t="s">
        <v>1662</v>
      </c>
      <c r="E1304" s="53" t="s">
        <v>1756</v>
      </c>
      <c r="F1304" s="53" t="s">
        <v>145</v>
      </c>
      <c r="G1304" s="53" t="s">
        <v>1660</v>
      </c>
      <c r="H1304" s="53">
        <v>1.0</v>
      </c>
      <c r="I1304" s="53">
        <v>0.07894736842105263</v>
      </c>
      <c r="J1304" s="53">
        <v>0.0</v>
      </c>
      <c r="K1304" s="53" t="s">
        <v>53</v>
      </c>
      <c r="L1304" s="53" t="s">
        <v>53</v>
      </c>
    </row>
    <row r="1305" ht="15.75" customHeight="1">
      <c r="A1305" s="53" t="s">
        <v>2604</v>
      </c>
      <c r="B1305" s="53" t="s">
        <v>231</v>
      </c>
      <c r="D1305" s="53" t="s">
        <v>200</v>
      </c>
      <c r="E1305" s="53" t="s">
        <v>2009</v>
      </c>
      <c r="F1305" s="53" t="s">
        <v>2555</v>
      </c>
      <c r="G1305" s="53" t="s">
        <v>206</v>
      </c>
      <c r="H1305" s="53">
        <v>1.0</v>
      </c>
      <c r="I1305" s="53">
        <v>0.19254658385093168</v>
      </c>
      <c r="J1305" s="53">
        <v>3.0</v>
      </c>
      <c r="K1305" s="53" t="s">
        <v>53</v>
      </c>
      <c r="L1305" s="53" t="s">
        <v>53</v>
      </c>
    </row>
    <row r="1306" ht="15.75" customHeight="1">
      <c r="A1306" s="53" t="s">
        <v>2604</v>
      </c>
      <c r="B1306" s="53" t="s">
        <v>231</v>
      </c>
      <c r="D1306" s="53" t="s">
        <v>1681</v>
      </c>
      <c r="E1306" s="53" t="s">
        <v>1682</v>
      </c>
      <c r="F1306" s="53" t="s">
        <v>1683</v>
      </c>
      <c r="G1306" s="53" t="s">
        <v>1684</v>
      </c>
      <c r="H1306" s="53">
        <v>1.0</v>
      </c>
      <c r="I1306" s="53">
        <v>0.004329004329004329</v>
      </c>
      <c r="J1306" s="53">
        <v>0.0</v>
      </c>
      <c r="K1306" s="53" t="s">
        <v>53</v>
      </c>
      <c r="L1306" s="53" t="s">
        <v>53</v>
      </c>
    </row>
    <row r="1307" ht="15.75" customHeight="1">
      <c r="A1307" s="53" t="s">
        <v>2605</v>
      </c>
      <c r="B1307" s="53" t="s">
        <v>231</v>
      </c>
      <c r="D1307" s="53" t="s">
        <v>1213</v>
      </c>
      <c r="E1307" s="53" t="s">
        <v>2255</v>
      </c>
      <c r="F1307" s="53" t="s">
        <v>1215</v>
      </c>
      <c r="G1307" s="53" t="s">
        <v>1216</v>
      </c>
      <c r="H1307" s="53">
        <v>1.0</v>
      </c>
      <c r="I1307" s="53">
        <v>0.30597014925373134</v>
      </c>
      <c r="J1307" s="53">
        <v>1.0</v>
      </c>
      <c r="K1307" s="53" t="s">
        <v>53</v>
      </c>
      <c r="L1307" s="53" t="s">
        <v>53</v>
      </c>
    </row>
    <row r="1308" ht="15.75" customHeight="1">
      <c r="A1308" s="53" t="s">
        <v>2606</v>
      </c>
      <c r="B1308" s="53" t="s">
        <v>231</v>
      </c>
      <c r="D1308" s="53" t="s">
        <v>566</v>
      </c>
      <c r="E1308" s="53" t="s">
        <v>1785</v>
      </c>
      <c r="F1308" s="53" t="s">
        <v>2554</v>
      </c>
      <c r="G1308" s="53" t="s">
        <v>242</v>
      </c>
      <c r="H1308" s="53">
        <v>1.0</v>
      </c>
      <c r="I1308" s="53">
        <v>0.2948717948717949</v>
      </c>
      <c r="J1308" s="53">
        <v>0.0</v>
      </c>
      <c r="K1308" s="53" t="s">
        <v>53</v>
      </c>
      <c r="L1308" s="53" t="s">
        <v>53</v>
      </c>
    </row>
    <row r="1309" ht="15.75" customHeight="1">
      <c r="A1309" s="53" t="s">
        <v>2607</v>
      </c>
      <c r="B1309" s="53" t="s">
        <v>231</v>
      </c>
      <c r="D1309" s="53" t="s">
        <v>1507</v>
      </c>
      <c r="E1309" s="53" t="s">
        <v>1699</v>
      </c>
      <c r="F1309" s="53" t="s">
        <v>1700</v>
      </c>
      <c r="G1309" s="53" t="s">
        <v>1504</v>
      </c>
      <c r="H1309" s="53">
        <v>1.0</v>
      </c>
      <c r="I1309" s="53">
        <v>0.1553398058252427</v>
      </c>
      <c r="J1309" s="53">
        <v>0.0</v>
      </c>
      <c r="K1309" s="53" t="s">
        <v>53</v>
      </c>
      <c r="L1309" s="53" t="s">
        <v>53</v>
      </c>
    </row>
    <row r="1310" ht="15.75" customHeight="1">
      <c r="A1310" s="53" t="s">
        <v>515</v>
      </c>
      <c r="B1310" s="53" t="s">
        <v>231</v>
      </c>
      <c r="D1310" s="53" t="s">
        <v>128</v>
      </c>
      <c r="E1310" s="53" t="s">
        <v>2245</v>
      </c>
      <c r="F1310" s="53" t="s">
        <v>132</v>
      </c>
      <c r="G1310" s="53" t="s">
        <v>2247</v>
      </c>
      <c r="H1310" s="53">
        <v>1.0</v>
      </c>
      <c r="I1310" s="53">
        <v>0.0502283105022831</v>
      </c>
      <c r="J1310" s="53">
        <v>0.0</v>
      </c>
      <c r="K1310" s="53" t="s">
        <v>53</v>
      </c>
      <c r="L1310" s="53" t="s">
        <v>53</v>
      </c>
    </row>
    <row r="1311" ht="15.75" customHeight="1">
      <c r="A1311" s="53" t="s">
        <v>515</v>
      </c>
      <c r="B1311" s="53" t="s">
        <v>231</v>
      </c>
      <c r="D1311" s="53" t="s">
        <v>128</v>
      </c>
      <c r="E1311" s="53" t="s">
        <v>2248</v>
      </c>
      <c r="F1311" s="53" t="s">
        <v>132</v>
      </c>
      <c r="G1311" s="53" t="s">
        <v>134</v>
      </c>
      <c r="H1311" s="53">
        <v>1.0</v>
      </c>
      <c r="I1311" s="53">
        <v>0.06912442396313365</v>
      </c>
      <c r="J1311" s="53">
        <v>1.0</v>
      </c>
      <c r="K1311" s="53" t="s">
        <v>53</v>
      </c>
      <c r="L1311" s="53" t="s">
        <v>53</v>
      </c>
    </row>
    <row r="1312" ht="15.75" customHeight="1">
      <c r="A1312" s="53" t="s">
        <v>515</v>
      </c>
      <c r="B1312" s="53" t="s">
        <v>231</v>
      </c>
      <c r="D1312" s="53" t="s">
        <v>2247</v>
      </c>
      <c r="E1312" s="53" t="s">
        <v>2249</v>
      </c>
      <c r="F1312" s="53" t="s">
        <v>132</v>
      </c>
      <c r="G1312" s="53" t="s">
        <v>134</v>
      </c>
      <c r="H1312" s="53">
        <v>1.0</v>
      </c>
      <c r="I1312" s="53">
        <v>0.1141552511415525</v>
      </c>
      <c r="J1312" s="53">
        <v>0.0</v>
      </c>
      <c r="K1312" s="53" t="s">
        <v>53</v>
      </c>
      <c r="L1312" s="53" t="s">
        <v>53</v>
      </c>
    </row>
    <row r="1313" ht="15.75" customHeight="1">
      <c r="A1313" s="53" t="s">
        <v>515</v>
      </c>
      <c r="B1313" s="53" t="s">
        <v>231</v>
      </c>
      <c r="D1313" s="53" t="s">
        <v>1606</v>
      </c>
      <c r="E1313" s="53" t="s">
        <v>2250</v>
      </c>
      <c r="F1313" s="53" t="s">
        <v>2447</v>
      </c>
      <c r="G1313" s="53" t="s">
        <v>1609</v>
      </c>
      <c r="H1313" s="53">
        <v>1.0</v>
      </c>
      <c r="I1313" s="53">
        <v>0.0321285140562249</v>
      </c>
      <c r="J1313" s="53">
        <v>1.0</v>
      </c>
      <c r="K1313" s="53" t="s">
        <v>53</v>
      </c>
      <c r="L1313" s="53" t="s">
        <v>53</v>
      </c>
    </row>
    <row r="1314" ht="15.75" customHeight="1">
      <c r="A1314" s="53" t="s">
        <v>515</v>
      </c>
      <c r="B1314" s="53" t="s">
        <v>231</v>
      </c>
      <c r="D1314" s="53" t="s">
        <v>1606</v>
      </c>
      <c r="E1314" s="53" t="s">
        <v>2252</v>
      </c>
      <c r="F1314" s="53" t="s">
        <v>2447</v>
      </c>
      <c r="G1314" s="53" t="s">
        <v>1611</v>
      </c>
      <c r="H1314" s="53">
        <v>1.0</v>
      </c>
      <c r="I1314" s="53">
        <v>0.0321285140562249</v>
      </c>
      <c r="J1314" s="53">
        <v>0.0</v>
      </c>
      <c r="K1314" s="53" t="s">
        <v>53</v>
      </c>
      <c r="L1314" s="53" t="s">
        <v>53</v>
      </c>
    </row>
    <row r="1315" ht="15.75" customHeight="1">
      <c r="A1315" s="53" t="s">
        <v>515</v>
      </c>
      <c r="B1315" s="53" t="s">
        <v>231</v>
      </c>
      <c r="D1315" s="53" t="s">
        <v>1611</v>
      </c>
      <c r="E1315" s="53" t="s">
        <v>2253</v>
      </c>
      <c r="F1315" s="53" t="s">
        <v>2447</v>
      </c>
      <c r="G1315" s="53" t="s">
        <v>1609</v>
      </c>
      <c r="H1315" s="53">
        <v>1.0</v>
      </c>
      <c r="I1315" s="53">
        <v>0.04417670682730924</v>
      </c>
      <c r="J1315" s="53">
        <v>0.0</v>
      </c>
      <c r="K1315" s="53" t="s">
        <v>53</v>
      </c>
      <c r="L1315" s="53" t="s">
        <v>53</v>
      </c>
    </row>
    <row r="1316" ht="15.75" customHeight="1">
      <c r="A1316" s="53" t="s">
        <v>2608</v>
      </c>
      <c r="B1316" s="53" t="s">
        <v>231</v>
      </c>
      <c r="D1316" s="53" t="s">
        <v>1614</v>
      </c>
      <c r="E1316" s="53" t="s">
        <v>1988</v>
      </c>
      <c r="F1316" s="53" t="s">
        <v>1616</v>
      </c>
      <c r="G1316" s="53" t="s">
        <v>1617</v>
      </c>
      <c r="H1316" s="53">
        <v>1.0</v>
      </c>
      <c r="I1316" s="53">
        <v>0.4954545454545455</v>
      </c>
      <c r="J1316" s="53">
        <v>1.0</v>
      </c>
      <c r="K1316" s="53" t="s">
        <v>53</v>
      </c>
      <c r="L1316" s="53" t="s">
        <v>53</v>
      </c>
    </row>
    <row r="1317" ht="15.75" customHeight="1">
      <c r="A1317" s="53" t="s">
        <v>2608</v>
      </c>
      <c r="B1317" s="53" t="s">
        <v>231</v>
      </c>
      <c r="D1317" s="53" t="s">
        <v>1614</v>
      </c>
      <c r="E1317" s="53" t="s">
        <v>1990</v>
      </c>
      <c r="F1317" s="53" t="s">
        <v>1619</v>
      </c>
      <c r="G1317" s="53" t="s">
        <v>1620</v>
      </c>
      <c r="H1317" s="53">
        <v>1.0</v>
      </c>
      <c r="I1317" s="53">
        <v>0.5981132075471698</v>
      </c>
      <c r="J1317" s="53">
        <v>0.0</v>
      </c>
      <c r="K1317" s="53" t="s">
        <v>53</v>
      </c>
      <c r="L1317" s="53" t="s">
        <v>53</v>
      </c>
    </row>
    <row r="1318" ht="15.75" customHeight="1">
      <c r="A1318" s="53" t="s">
        <v>2608</v>
      </c>
      <c r="B1318" s="53" t="s">
        <v>231</v>
      </c>
      <c r="D1318" s="53" t="s">
        <v>1620</v>
      </c>
      <c r="E1318" s="53" t="s">
        <v>1992</v>
      </c>
      <c r="F1318" s="53" t="s">
        <v>1622</v>
      </c>
      <c r="G1318" s="53" t="s">
        <v>1617</v>
      </c>
      <c r="H1318" s="53">
        <v>1.0</v>
      </c>
      <c r="I1318" s="53">
        <v>0.7886792452830189</v>
      </c>
      <c r="J1318" s="53">
        <v>0.0</v>
      </c>
      <c r="K1318" s="53" t="s">
        <v>53</v>
      </c>
      <c r="L1318" s="53" t="s">
        <v>53</v>
      </c>
    </row>
    <row r="1319" ht="15.75" customHeight="1">
      <c r="A1319" s="53" t="s">
        <v>2609</v>
      </c>
      <c r="B1319" s="53" t="s">
        <v>231</v>
      </c>
      <c r="D1319" s="53" t="s">
        <v>1736</v>
      </c>
      <c r="E1319" s="53" t="s">
        <v>1737</v>
      </c>
      <c r="F1319" s="53" t="s">
        <v>2454</v>
      </c>
      <c r="G1319" s="53" t="s">
        <v>1739</v>
      </c>
      <c r="H1319" s="53">
        <v>1.0</v>
      </c>
      <c r="I1319" s="53">
        <v>0.02127659574468085</v>
      </c>
      <c r="J1319" s="53">
        <v>0.0</v>
      </c>
      <c r="K1319" s="53" t="s">
        <v>53</v>
      </c>
      <c r="L1319" s="53" t="s">
        <v>53</v>
      </c>
    </row>
    <row r="1320" ht="15.75" customHeight="1">
      <c r="A1320" s="53" t="s">
        <v>2609</v>
      </c>
      <c r="B1320" s="53" t="s">
        <v>231</v>
      </c>
      <c r="D1320" s="53" t="s">
        <v>1736</v>
      </c>
      <c r="E1320" s="53" t="s">
        <v>1740</v>
      </c>
      <c r="F1320" s="53" t="s">
        <v>2454</v>
      </c>
      <c r="G1320" s="53" t="s">
        <v>539</v>
      </c>
      <c r="H1320" s="53">
        <v>1.0</v>
      </c>
      <c r="I1320" s="53">
        <v>0.4188034188034188</v>
      </c>
      <c r="J1320" s="53">
        <v>1.0</v>
      </c>
      <c r="K1320" s="53" t="s">
        <v>53</v>
      </c>
      <c r="L1320" s="53" t="s">
        <v>53</v>
      </c>
    </row>
    <row r="1321" ht="15.75" customHeight="1">
      <c r="A1321" s="53" t="s">
        <v>2609</v>
      </c>
      <c r="B1321" s="53" t="s">
        <v>231</v>
      </c>
      <c r="D1321" s="53" t="s">
        <v>1736</v>
      </c>
      <c r="E1321" s="53" t="s">
        <v>1741</v>
      </c>
      <c r="F1321" s="53" t="s">
        <v>2454</v>
      </c>
      <c r="G1321" s="53" t="s">
        <v>1742</v>
      </c>
      <c r="H1321" s="53">
        <v>1.0</v>
      </c>
      <c r="I1321" s="53">
        <v>0.6282051282051282</v>
      </c>
      <c r="J1321" s="53">
        <v>5.0</v>
      </c>
      <c r="K1321" s="53" t="s">
        <v>53</v>
      </c>
      <c r="L1321" s="53" t="s">
        <v>53</v>
      </c>
    </row>
    <row r="1322" ht="15.75" customHeight="1">
      <c r="A1322" s="53" t="s">
        <v>2609</v>
      </c>
      <c r="B1322" s="53" t="s">
        <v>231</v>
      </c>
      <c r="D1322" s="53" t="s">
        <v>1739</v>
      </c>
      <c r="E1322" s="53" t="s">
        <v>1743</v>
      </c>
      <c r="F1322" s="53" t="s">
        <v>2454</v>
      </c>
      <c r="G1322" s="53" t="s">
        <v>539</v>
      </c>
      <c r="H1322" s="53">
        <v>1.0</v>
      </c>
      <c r="I1322" s="53">
        <v>0.42127659574468085</v>
      </c>
      <c r="J1322" s="53">
        <v>0.0</v>
      </c>
      <c r="K1322" s="53" t="s">
        <v>53</v>
      </c>
      <c r="L1322" s="53" t="s">
        <v>53</v>
      </c>
    </row>
    <row r="1323" ht="15.75" customHeight="1">
      <c r="A1323" s="53" t="s">
        <v>2609</v>
      </c>
      <c r="B1323" s="53" t="s">
        <v>231</v>
      </c>
      <c r="D1323" s="53" t="s">
        <v>1739</v>
      </c>
      <c r="E1323" s="53" t="s">
        <v>1744</v>
      </c>
      <c r="F1323" s="53" t="s">
        <v>2454</v>
      </c>
      <c r="G1323" s="53" t="s">
        <v>1742</v>
      </c>
      <c r="H1323" s="53">
        <v>1.0</v>
      </c>
      <c r="I1323" s="53">
        <v>0.625531914893617</v>
      </c>
      <c r="J1323" s="53">
        <v>4.0</v>
      </c>
      <c r="K1323" s="53" t="s">
        <v>53</v>
      </c>
      <c r="L1323" s="53" t="s">
        <v>53</v>
      </c>
    </row>
    <row r="1324" ht="15.75" customHeight="1">
      <c r="A1324" s="53" t="s">
        <v>2609</v>
      </c>
      <c r="B1324" s="53" t="s">
        <v>231</v>
      </c>
      <c r="D1324" s="53" t="s">
        <v>539</v>
      </c>
      <c r="E1324" s="53" t="s">
        <v>1745</v>
      </c>
      <c r="F1324" s="53" t="s">
        <v>2454</v>
      </c>
      <c r="G1324" s="53" t="s">
        <v>1742</v>
      </c>
      <c r="H1324" s="53">
        <v>1.0</v>
      </c>
      <c r="I1324" s="53">
        <v>0.6376146788990825</v>
      </c>
      <c r="J1324" s="53">
        <v>3.0</v>
      </c>
      <c r="K1324" s="53" t="s">
        <v>53</v>
      </c>
      <c r="L1324" s="53" t="s">
        <v>53</v>
      </c>
    </row>
    <row r="1325" ht="15.75" customHeight="1">
      <c r="A1325" s="53" t="s">
        <v>2609</v>
      </c>
      <c r="B1325" s="53" t="s">
        <v>231</v>
      </c>
      <c r="D1325" s="53" t="s">
        <v>1022</v>
      </c>
      <c r="E1325" s="53" t="s">
        <v>1746</v>
      </c>
      <c r="F1325" s="53" t="s">
        <v>2455</v>
      </c>
      <c r="G1325" s="53" t="s">
        <v>169</v>
      </c>
      <c r="H1325" s="53">
        <v>0.3333333333333333</v>
      </c>
      <c r="I1325" s="53">
        <v>0.04736842105263158</v>
      </c>
      <c r="J1325" s="53">
        <v>0.0</v>
      </c>
      <c r="K1325" s="53" t="s">
        <v>53</v>
      </c>
      <c r="L1325" s="53" t="s">
        <v>2456</v>
      </c>
    </row>
    <row r="1326" ht="15.75" customHeight="1">
      <c r="A1326" s="53" t="s">
        <v>2609</v>
      </c>
      <c r="B1326" s="53" t="s">
        <v>231</v>
      </c>
      <c r="D1326" s="53" t="s">
        <v>1749</v>
      </c>
      <c r="E1326" s="53" t="s">
        <v>1750</v>
      </c>
      <c r="F1326" s="53" t="s">
        <v>2457</v>
      </c>
      <c r="G1326" s="53" t="s">
        <v>1752</v>
      </c>
      <c r="H1326" s="53">
        <v>0.5</v>
      </c>
      <c r="I1326" s="53">
        <v>0.1</v>
      </c>
      <c r="J1326" s="53">
        <v>1.0</v>
      </c>
      <c r="K1326" s="53" t="s">
        <v>53</v>
      </c>
      <c r="L1326" s="53" t="s">
        <v>2456</v>
      </c>
    </row>
    <row r="1327" ht="15.75" customHeight="1">
      <c r="A1327" s="53" t="s">
        <v>296</v>
      </c>
      <c r="B1327" s="53" t="s">
        <v>231</v>
      </c>
      <c r="D1327" s="53" t="s">
        <v>1592</v>
      </c>
      <c r="E1327" s="53" t="s">
        <v>2610</v>
      </c>
      <c r="F1327" s="53" t="s">
        <v>1594</v>
      </c>
      <c r="G1327" s="53" t="s">
        <v>1595</v>
      </c>
      <c r="H1327" s="53">
        <v>1.0</v>
      </c>
      <c r="I1327" s="53">
        <v>0.04411764705882353</v>
      </c>
      <c r="J1327" s="53">
        <v>0.0</v>
      </c>
      <c r="K1327" s="53" t="s">
        <v>53</v>
      </c>
      <c r="L1327" s="53" t="s">
        <v>53</v>
      </c>
    </row>
    <row r="1328" ht="15.75" customHeight="1">
      <c r="A1328" s="53" t="s">
        <v>296</v>
      </c>
      <c r="B1328" s="53" t="s">
        <v>231</v>
      </c>
      <c r="D1328" s="53" t="s">
        <v>1596</v>
      </c>
      <c r="E1328" s="53" t="s">
        <v>2611</v>
      </c>
      <c r="F1328" s="53" t="s">
        <v>2523</v>
      </c>
      <c r="G1328" s="53" t="s">
        <v>1599</v>
      </c>
      <c r="H1328" s="53">
        <v>0.6</v>
      </c>
      <c r="I1328" s="53">
        <v>0.04938271604938271</v>
      </c>
      <c r="J1328" s="53">
        <v>0.0</v>
      </c>
      <c r="K1328" s="53" t="s">
        <v>53</v>
      </c>
      <c r="L1328" s="53" t="s">
        <v>1199</v>
      </c>
    </row>
    <row r="1329" ht="15.75" customHeight="1">
      <c r="A1329" s="53" t="s">
        <v>296</v>
      </c>
      <c r="B1329" s="53" t="s">
        <v>231</v>
      </c>
      <c r="D1329" s="53" t="s">
        <v>1224</v>
      </c>
      <c r="E1329" s="53" t="s">
        <v>2235</v>
      </c>
      <c r="F1329" s="53" t="s">
        <v>1601</v>
      </c>
      <c r="G1329" s="53" t="s">
        <v>1227</v>
      </c>
      <c r="H1329" s="53">
        <v>1.0</v>
      </c>
      <c r="I1329" s="53">
        <v>0.2677165354330709</v>
      </c>
      <c r="J1329" s="53">
        <v>0.0</v>
      </c>
      <c r="K1329" s="53" t="s">
        <v>53</v>
      </c>
      <c r="L1329" s="53" t="s">
        <v>53</v>
      </c>
    </row>
    <row r="1330" ht="15.75" customHeight="1">
      <c r="A1330" s="53" t="s">
        <v>296</v>
      </c>
      <c r="B1330" s="53" t="s">
        <v>231</v>
      </c>
      <c r="D1330" s="53" t="s">
        <v>1224</v>
      </c>
      <c r="E1330" s="53" t="s">
        <v>2237</v>
      </c>
      <c r="F1330" s="53" t="s">
        <v>1603</v>
      </c>
      <c r="G1330" s="53" t="s">
        <v>1230</v>
      </c>
      <c r="H1330" s="53">
        <v>1.0</v>
      </c>
      <c r="I1330" s="53">
        <v>0.500768049155146</v>
      </c>
      <c r="J1330" s="53">
        <v>1.0</v>
      </c>
      <c r="K1330" s="53" t="s">
        <v>53</v>
      </c>
      <c r="L1330" s="53" t="s">
        <v>53</v>
      </c>
    </row>
    <row r="1331" ht="15.75" customHeight="1">
      <c r="A1331" s="53" t="s">
        <v>296</v>
      </c>
      <c r="B1331" s="53" t="s">
        <v>231</v>
      </c>
      <c r="D1331" s="53" t="s">
        <v>1227</v>
      </c>
      <c r="E1331" s="53" t="s">
        <v>2239</v>
      </c>
      <c r="F1331" s="53" t="s">
        <v>1603</v>
      </c>
      <c r="G1331" s="53" t="s">
        <v>1230</v>
      </c>
      <c r="H1331" s="53">
        <v>1.0</v>
      </c>
      <c r="I1331" s="53">
        <v>0.47619047619047616</v>
      </c>
      <c r="J1331" s="53">
        <v>0.0</v>
      </c>
      <c r="K1331" s="53" t="s">
        <v>53</v>
      </c>
      <c r="L1331" s="53" t="s">
        <v>53</v>
      </c>
    </row>
    <row r="1332" ht="15.75" customHeight="1">
      <c r="A1332" s="53" t="s">
        <v>1072</v>
      </c>
      <c r="B1332" s="53" t="s">
        <v>231</v>
      </c>
      <c r="D1332" s="53" t="s">
        <v>1689</v>
      </c>
      <c r="E1332" s="53" t="s">
        <v>1690</v>
      </c>
      <c r="F1332" s="53" t="s">
        <v>1691</v>
      </c>
      <c r="G1332" s="53" t="s">
        <v>1692</v>
      </c>
      <c r="H1332" s="53">
        <v>1.0</v>
      </c>
      <c r="I1332" s="53">
        <v>0.526813880126183</v>
      </c>
      <c r="J1332" s="53">
        <v>1.0</v>
      </c>
      <c r="K1332" s="53" t="s">
        <v>53</v>
      </c>
      <c r="L1332" s="53" t="s">
        <v>1693</v>
      </c>
    </row>
    <row r="1333" ht="15.75" customHeight="1">
      <c r="A1333" s="53" t="s">
        <v>1072</v>
      </c>
      <c r="B1333" s="53" t="s">
        <v>231</v>
      </c>
      <c r="D1333" s="53" t="s">
        <v>1694</v>
      </c>
      <c r="E1333" s="53" t="s">
        <v>2612</v>
      </c>
      <c r="F1333" s="53" t="s">
        <v>2446</v>
      </c>
      <c r="G1333" s="53" t="s">
        <v>1697</v>
      </c>
      <c r="H1333" s="53">
        <v>1.0</v>
      </c>
      <c r="I1333" s="53">
        <v>0.05555555555555555</v>
      </c>
      <c r="J1333" s="53">
        <v>0.0</v>
      </c>
      <c r="K1333" s="53" t="s">
        <v>53</v>
      </c>
      <c r="L1333" s="53" t="s">
        <v>53</v>
      </c>
    </row>
    <row r="1334" ht="15.75" customHeight="1">
      <c r="A1334" s="53" t="s">
        <v>2613</v>
      </c>
      <c r="B1334" s="53" t="s">
        <v>231</v>
      </c>
      <c r="D1334" s="53" t="s">
        <v>1585</v>
      </c>
      <c r="E1334" s="53" t="s">
        <v>2614</v>
      </c>
      <c r="F1334" s="53" t="s">
        <v>1587</v>
      </c>
      <c r="G1334" s="53" t="s">
        <v>1588</v>
      </c>
      <c r="H1334" s="53">
        <v>1.0</v>
      </c>
      <c r="I1334" s="53">
        <v>0.043478260869565216</v>
      </c>
      <c r="J1334" s="53">
        <v>0.0</v>
      </c>
      <c r="K1334" s="53" t="s">
        <v>53</v>
      </c>
      <c r="L1334" s="53" t="s">
        <v>53</v>
      </c>
    </row>
    <row r="1335" ht="15.75" customHeight="1">
      <c r="A1335" s="53" t="s">
        <v>2613</v>
      </c>
      <c r="B1335" s="53" t="s">
        <v>231</v>
      </c>
      <c r="D1335" s="53" t="s">
        <v>1232</v>
      </c>
      <c r="E1335" s="53" t="s">
        <v>2279</v>
      </c>
      <c r="F1335" s="53" t="s">
        <v>1590</v>
      </c>
      <c r="G1335" s="53" t="s">
        <v>1235</v>
      </c>
      <c r="H1335" s="53">
        <v>1.0</v>
      </c>
      <c r="I1335" s="53">
        <v>0.5897887323943662</v>
      </c>
      <c r="J1335" s="53">
        <v>0.0</v>
      </c>
      <c r="K1335" s="53" t="s">
        <v>53</v>
      </c>
      <c r="L1335" s="53" t="s">
        <v>53</v>
      </c>
    </row>
    <row r="1336" ht="15.75" customHeight="1">
      <c r="A1336" s="53" t="s">
        <v>2615</v>
      </c>
      <c r="B1336" s="53" t="s">
        <v>231</v>
      </c>
      <c r="D1336" s="53" t="s">
        <v>1533</v>
      </c>
      <c r="E1336" s="53" t="s">
        <v>2535</v>
      </c>
      <c r="F1336" s="53" t="s">
        <v>2536</v>
      </c>
      <c r="G1336" s="53" t="s">
        <v>1536</v>
      </c>
      <c r="H1336" s="53">
        <v>0.75</v>
      </c>
      <c r="I1336" s="53">
        <v>0.06752411575562701</v>
      </c>
      <c r="J1336" s="53">
        <v>1.0</v>
      </c>
      <c r="K1336" s="53" t="s">
        <v>53</v>
      </c>
      <c r="L1336" s="53" t="s">
        <v>1537</v>
      </c>
    </row>
    <row r="1337" ht="15.75" customHeight="1">
      <c r="A1337" s="53" t="s">
        <v>2615</v>
      </c>
      <c r="B1337" s="53" t="s">
        <v>231</v>
      </c>
      <c r="D1337" s="53" t="s">
        <v>1533</v>
      </c>
      <c r="E1337" s="53" t="s">
        <v>2537</v>
      </c>
      <c r="F1337" s="53" t="s">
        <v>2538</v>
      </c>
      <c r="G1337" s="53" t="s">
        <v>1540</v>
      </c>
      <c r="H1337" s="53">
        <v>0.75</v>
      </c>
      <c r="I1337" s="53">
        <v>0.07142857142857142</v>
      </c>
      <c r="J1337" s="53">
        <v>0.0</v>
      </c>
      <c r="K1337" s="53" t="s">
        <v>53</v>
      </c>
      <c r="L1337" s="53" t="s">
        <v>1541</v>
      </c>
    </row>
    <row r="1338" ht="15.75" customHeight="1">
      <c r="A1338" s="53" t="s">
        <v>2615</v>
      </c>
      <c r="B1338" s="53" t="s">
        <v>231</v>
      </c>
      <c r="D1338" s="53" t="s">
        <v>1533</v>
      </c>
      <c r="E1338" s="53" t="s">
        <v>2539</v>
      </c>
      <c r="F1338" s="53" t="s">
        <v>2540</v>
      </c>
      <c r="G1338" s="53" t="s">
        <v>1544</v>
      </c>
      <c r="H1338" s="53">
        <v>0.75</v>
      </c>
      <c r="I1338" s="53">
        <v>0.12861736334405144</v>
      </c>
      <c r="J1338" s="53">
        <v>2.0</v>
      </c>
      <c r="K1338" s="53" t="s">
        <v>53</v>
      </c>
      <c r="L1338" s="53" t="s">
        <v>1545</v>
      </c>
    </row>
    <row r="1339" ht="15.75" customHeight="1">
      <c r="A1339" s="53" t="s">
        <v>2615</v>
      </c>
      <c r="B1339" s="53" t="s">
        <v>231</v>
      </c>
      <c r="D1339" s="53" t="s">
        <v>1540</v>
      </c>
      <c r="E1339" s="53" t="s">
        <v>2541</v>
      </c>
      <c r="F1339" s="53" t="s">
        <v>2542</v>
      </c>
      <c r="G1339" s="53" t="s">
        <v>1544</v>
      </c>
      <c r="H1339" s="53">
        <v>0.75</v>
      </c>
      <c r="I1339" s="53">
        <v>0.06752411575562701</v>
      </c>
      <c r="J1339" s="53">
        <v>1.0</v>
      </c>
      <c r="K1339" s="53" t="s">
        <v>53</v>
      </c>
      <c r="L1339" s="53" t="s">
        <v>1548</v>
      </c>
    </row>
    <row r="1340" ht="15.75" customHeight="1">
      <c r="A1340" s="53" t="s">
        <v>2615</v>
      </c>
      <c r="B1340" s="53" t="s">
        <v>231</v>
      </c>
      <c r="D1340" s="53" t="s">
        <v>1540</v>
      </c>
      <c r="E1340" s="53" t="s">
        <v>2543</v>
      </c>
      <c r="F1340" s="53" t="s">
        <v>2544</v>
      </c>
      <c r="G1340" s="53" t="s">
        <v>1536</v>
      </c>
      <c r="H1340" s="53">
        <v>0.75</v>
      </c>
      <c r="I1340" s="53">
        <v>0.13504823151125403</v>
      </c>
      <c r="J1340" s="53">
        <v>0.0</v>
      </c>
      <c r="K1340" s="53" t="s">
        <v>53</v>
      </c>
      <c r="L1340" s="53" t="s">
        <v>1551</v>
      </c>
    </row>
    <row r="1341" ht="15.75" customHeight="1">
      <c r="A1341" s="53" t="s">
        <v>2615</v>
      </c>
      <c r="B1341" s="53" t="s">
        <v>231</v>
      </c>
      <c r="D1341" s="53" t="s">
        <v>1536</v>
      </c>
      <c r="E1341" s="53" t="s">
        <v>2545</v>
      </c>
      <c r="F1341" s="53" t="s">
        <v>2546</v>
      </c>
      <c r="G1341" s="53" t="s">
        <v>1544</v>
      </c>
      <c r="H1341" s="53">
        <v>0.75</v>
      </c>
      <c r="I1341" s="53">
        <v>0.0707395498392283</v>
      </c>
      <c r="J1341" s="53">
        <v>0.0</v>
      </c>
      <c r="K1341" s="53" t="s">
        <v>53</v>
      </c>
      <c r="L1341" s="53" t="s">
        <v>1554</v>
      </c>
    </row>
    <row r="1342" ht="15.75" customHeight="1">
      <c r="A1342" s="53" t="s">
        <v>2615</v>
      </c>
      <c r="B1342" s="53" t="s">
        <v>231</v>
      </c>
      <c r="D1342" s="53" t="s">
        <v>1555</v>
      </c>
      <c r="E1342" s="53" t="s">
        <v>1720</v>
      </c>
      <c r="F1342" s="53" t="s">
        <v>2547</v>
      </c>
      <c r="G1342" s="53" t="s">
        <v>1558</v>
      </c>
      <c r="H1342" s="53">
        <v>0.7142857142857143</v>
      </c>
      <c r="I1342" s="53">
        <v>0.056140350877192984</v>
      </c>
      <c r="J1342" s="53">
        <v>0.0</v>
      </c>
      <c r="K1342" s="53" t="s">
        <v>53</v>
      </c>
      <c r="L1342" s="53" t="s">
        <v>1559</v>
      </c>
    </row>
    <row r="1343" ht="15.75" customHeight="1">
      <c r="A1343" s="53" t="s">
        <v>2615</v>
      </c>
      <c r="B1343" s="53" t="s">
        <v>231</v>
      </c>
      <c r="D1343" s="53" t="s">
        <v>1555</v>
      </c>
      <c r="E1343" s="53" t="s">
        <v>1723</v>
      </c>
      <c r="F1343" s="53" t="s">
        <v>2548</v>
      </c>
      <c r="G1343" s="53" t="s">
        <v>1562</v>
      </c>
      <c r="H1343" s="53">
        <v>0.7142857142857143</v>
      </c>
      <c r="I1343" s="53">
        <v>0.11214953271028037</v>
      </c>
      <c r="J1343" s="53">
        <v>1.0</v>
      </c>
      <c r="K1343" s="53" t="s">
        <v>53</v>
      </c>
      <c r="L1343" s="53" t="s">
        <v>1563</v>
      </c>
    </row>
    <row r="1344" ht="15.75" customHeight="1">
      <c r="A1344" s="53" t="s">
        <v>2615</v>
      </c>
      <c r="B1344" s="53" t="s">
        <v>231</v>
      </c>
      <c r="D1344" s="53" t="s">
        <v>1558</v>
      </c>
      <c r="E1344" s="53" t="s">
        <v>1726</v>
      </c>
      <c r="F1344" s="53" t="s">
        <v>2549</v>
      </c>
      <c r="G1344" s="53" t="s">
        <v>1565</v>
      </c>
      <c r="H1344" s="53">
        <v>0.6666666666666666</v>
      </c>
      <c r="I1344" s="53">
        <v>0.09235668789808917</v>
      </c>
      <c r="J1344" s="53">
        <v>1.0</v>
      </c>
      <c r="K1344" s="53" t="s">
        <v>53</v>
      </c>
      <c r="L1344" s="53" t="s">
        <v>1728</v>
      </c>
    </row>
    <row r="1345" ht="15.75" customHeight="1">
      <c r="A1345" s="53" t="s">
        <v>2615</v>
      </c>
      <c r="B1345" s="53" t="s">
        <v>231</v>
      </c>
      <c r="D1345" s="53" t="s">
        <v>1558</v>
      </c>
      <c r="E1345" s="53" t="s">
        <v>1729</v>
      </c>
      <c r="F1345" s="53" t="s">
        <v>2550</v>
      </c>
      <c r="G1345" s="53" t="s">
        <v>1562</v>
      </c>
      <c r="H1345" s="53">
        <v>0.7142857142857143</v>
      </c>
      <c r="I1345" s="53">
        <v>0.1588785046728972</v>
      </c>
      <c r="J1345" s="53">
        <v>0.0</v>
      </c>
      <c r="K1345" s="53" t="s">
        <v>53</v>
      </c>
      <c r="L1345" s="53" t="s">
        <v>1570</v>
      </c>
    </row>
    <row r="1346" ht="15.75" customHeight="1">
      <c r="A1346" s="53" t="s">
        <v>2615</v>
      </c>
      <c r="B1346" s="53" t="s">
        <v>231</v>
      </c>
      <c r="D1346" s="53" t="s">
        <v>1562</v>
      </c>
      <c r="E1346" s="53" t="s">
        <v>1732</v>
      </c>
      <c r="F1346" s="53" t="s">
        <v>2551</v>
      </c>
      <c r="G1346" s="53" t="s">
        <v>1565</v>
      </c>
      <c r="H1346" s="53">
        <v>0.5</v>
      </c>
      <c r="I1346" s="53">
        <v>0.09345794392523364</v>
      </c>
      <c r="J1346" s="53">
        <v>0.0</v>
      </c>
      <c r="K1346" s="53" t="s">
        <v>53</v>
      </c>
      <c r="L1346" s="53" t="s">
        <v>2552</v>
      </c>
    </row>
    <row r="1347" ht="15.75" customHeight="1">
      <c r="A1347" s="53" t="s">
        <v>2616</v>
      </c>
      <c r="B1347" s="53" t="s">
        <v>231</v>
      </c>
      <c r="D1347" s="53" t="s">
        <v>1238</v>
      </c>
      <c r="E1347" s="53" t="s">
        <v>1801</v>
      </c>
      <c r="F1347" s="53" t="s">
        <v>2502</v>
      </c>
      <c r="G1347" s="53" t="s">
        <v>1241</v>
      </c>
      <c r="H1347" s="53">
        <v>0.6</v>
      </c>
      <c r="I1347" s="53">
        <v>0.050955414012738856</v>
      </c>
      <c r="J1347" s="53">
        <v>0.0</v>
      </c>
      <c r="K1347" s="53" t="s">
        <v>53</v>
      </c>
      <c r="L1347" s="53" t="s">
        <v>1405</v>
      </c>
    </row>
    <row r="1348" ht="15.75" customHeight="1">
      <c r="A1348" s="53" t="s">
        <v>2616</v>
      </c>
      <c r="B1348" s="53" t="s">
        <v>231</v>
      </c>
      <c r="D1348" s="53" t="s">
        <v>1238</v>
      </c>
      <c r="E1348" s="53" t="s">
        <v>1804</v>
      </c>
      <c r="F1348" s="53" t="s">
        <v>2503</v>
      </c>
      <c r="G1348" s="53" t="s">
        <v>1245</v>
      </c>
      <c r="H1348" s="53">
        <v>0.6</v>
      </c>
      <c r="I1348" s="53">
        <v>0.050955414012738856</v>
      </c>
      <c r="J1348" s="53">
        <v>4.0</v>
      </c>
      <c r="K1348" s="53" t="s">
        <v>53</v>
      </c>
      <c r="L1348" s="53" t="s">
        <v>1408</v>
      </c>
    </row>
    <row r="1349" ht="15.75" customHeight="1">
      <c r="A1349" s="53" t="s">
        <v>2616</v>
      </c>
      <c r="B1349" s="53" t="s">
        <v>231</v>
      </c>
      <c r="D1349" s="53" t="s">
        <v>1238</v>
      </c>
      <c r="E1349" s="53" t="s">
        <v>1807</v>
      </c>
      <c r="F1349" s="53" t="s">
        <v>2504</v>
      </c>
      <c r="G1349" s="53" t="s">
        <v>1249</v>
      </c>
      <c r="H1349" s="53">
        <v>0.6</v>
      </c>
      <c r="I1349" s="53">
        <v>0.05732484076433121</v>
      </c>
      <c r="J1349" s="53">
        <v>2.0</v>
      </c>
      <c r="K1349" s="53" t="s">
        <v>53</v>
      </c>
      <c r="L1349" s="53" t="s">
        <v>1411</v>
      </c>
    </row>
    <row r="1350" ht="15.75" customHeight="1">
      <c r="A1350" s="53" t="s">
        <v>2616</v>
      </c>
      <c r="B1350" s="53" t="s">
        <v>231</v>
      </c>
      <c r="D1350" s="53" t="s">
        <v>1238</v>
      </c>
      <c r="E1350" s="53" t="s">
        <v>1810</v>
      </c>
      <c r="F1350" s="53" t="s">
        <v>2505</v>
      </c>
      <c r="G1350" s="53" t="s">
        <v>1253</v>
      </c>
      <c r="H1350" s="53">
        <v>0.6</v>
      </c>
      <c r="I1350" s="53">
        <v>0.05732484076433121</v>
      </c>
      <c r="J1350" s="53">
        <v>1.0</v>
      </c>
      <c r="K1350" s="53" t="s">
        <v>53</v>
      </c>
      <c r="L1350" s="53" t="s">
        <v>1414</v>
      </c>
    </row>
    <row r="1351" ht="15.75" customHeight="1">
      <c r="A1351" s="53" t="s">
        <v>2616</v>
      </c>
      <c r="B1351" s="53" t="s">
        <v>231</v>
      </c>
      <c r="D1351" s="53" t="s">
        <v>1238</v>
      </c>
      <c r="E1351" s="53" t="s">
        <v>1813</v>
      </c>
      <c r="F1351" s="53" t="s">
        <v>2506</v>
      </c>
      <c r="G1351" s="53" t="s">
        <v>1257</v>
      </c>
      <c r="H1351" s="53">
        <v>0.6</v>
      </c>
      <c r="I1351" s="53">
        <v>0.05732484076433121</v>
      </c>
      <c r="J1351" s="53">
        <v>3.0</v>
      </c>
      <c r="K1351" s="53" t="s">
        <v>53</v>
      </c>
      <c r="L1351" s="53" t="s">
        <v>1417</v>
      </c>
    </row>
    <row r="1352" ht="15.75" customHeight="1">
      <c r="A1352" s="53" t="s">
        <v>2616</v>
      </c>
      <c r="B1352" s="53" t="s">
        <v>231</v>
      </c>
      <c r="D1352" s="53" t="s">
        <v>1241</v>
      </c>
      <c r="E1352" s="53" t="s">
        <v>1816</v>
      </c>
      <c r="F1352" s="53" t="s">
        <v>2507</v>
      </c>
      <c r="G1352" s="53" t="s">
        <v>1249</v>
      </c>
      <c r="H1352" s="53">
        <v>0.6</v>
      </c>
      <c r="I1352" s="53">
        <v>0.03870967741935484</v>
      </c>
      <c r="J1352" s="53">
        <v>1.0</v>
      </c>
      <c r="K1352" s="53" t="s">
        <v>53</v>
      </c>
      <c r="L1352" s="53" t="s">
        <v>1420</v>
      </c>
    </row>
    <row r="1353" ht="15.75" customHeight="1">
      <c r="A1353" s="53" t="s">
        <v>2616</v>
      </c>
      <c r="B1353" s="53" t="s">
        <v>231</v>
      </c>
      <c r="D1353" s="53" t="s">
        <v>1241</v>
      </c>
      <c r="E1353" s="53" t="s">
        <v>1819</v>
      </c>
      <c r="F1353" s="53" t="s">
        <v>2508</v>
      </c>
      <c r="G1353" s="53" t="s">
        <v>1253</v>
      </c>
      <c r="H1353" s="53">
        <v>0.6</v>
      </c>
      <c r="I1353" s="53">
        <v>0.03870967741935484</v>
      </c>
      <c r="J1353" s="53">
        <v>0.0</v>
      </c>
      <c r="K1353" s="53" t="s">
        <v>53</v>
      </c>
      <c r="L1353" s="53" t="s">
        <v>1423</v>
      </c>
    </row>
    <row r="1354" ht="15.75" customHeight="1">
      <c r="A1354" s="53" t="s">
        <v>2616</v>
      </c>
      <c r="B1354" s="53" t="s">
        <v>231</v>
      </c>
      <c r="D1354" s="53" t="s">
        <v>1241</v>
      </c>
      <c r="E1354" s="53" t="s">
        <v>1822</v>
      </c>
      <c r="F1354" s="53" t="s">
        <v>2509</v>
      </c>
      <c r="G1354" s="53" t="s">
        <v>1257</v>
      </c>
      <c r="H1354" s="53">
        <v>0.6</v>
      </c>
      <c r="I1354" s="53">
        <v>0.03870967741935484</v>
      </c>
      <c r="J1354" s="53">
        <v>2.0</v>
      </c>
      <c r="K1354" s="53" t="s">
        <v>53</v>
      </c>
      <c r="L1354" s="53" t="s">
        <v>1426</v>
      </c>
    </row>
    <row r="1355" ht="15.75" customHeight="1">
      <c r="A1355" s="53" t="s">
        <v>2616</v>
      </c>
      <c r="B1355" s="53" t="s">
        <v>231</v>
      </c>
      <c r="D1355" s="53" t="s">
        <v>1241</v>
      </c>
      <c r="E1355" s="53" t="s">
        <v>1825</v>
      </c>
      <c r="F1355" s="53" t="s">
        <v>2510</v>
      </c>
      <c r="G1355" s="53" t="s">
        <v>1245</v>
      </c>
      <c r="H1355" s="53">
        <v>0.6</v>
      </c>
      <c r="I1355" s="53">
        <v>0.03870967741935484</v>
      </c>
      <c r="J1355" s="53">
        <v>3.0</v>
      </c>
      <c r="K1355" s="53" t="s">
        <v>53</v>
      </c>
      <c r="L1355" s="53" t="s">
        <v>1429</v>
      </c>
    </row>
    <row r="1356" ht="15.75" customHeight="1">
      <c r="A1356" s="53" t="s">
        <v>2616</v>
      </c>
      <c r="B1356" s="53" t="s">
        <v>231</v>
      </c>
      <c r="D1356" s="53" t="s">
        <v>1253</v>
      </c>
      <c r="E1356" s="53" t="s">
        <v>1828</v>
      </c>
      <c r="F1356" s="53" t="s">
        <v>2511</v>
      </c>
      <c r="G1356" s="53" t="s">
        <v>1249</v>
      </c>
      <c r="H1356" s="53">
        <v>0.6</v>
      </c>
      <c r="I1356" s="53">
        <v>0.012903225806451613</v>
      </c>
      <c r="J1356" s="53">
        <v>0.0</v>
      </c>
      <c r="K1356" s="53" t="s">
        <v>53</v>
      </c>
      <c r="L1356" s="53" t="s">
        <v>1432</v>
      </c>
    </row>
    <row r="1357" ht="15.75" customHeight="1">
      <c r="A1357" s="53" t="s">
        <v>2616</v>
      </c>
      <c r="B1357" s="53" t="s">
        <v>231</v>
      </c>
      <c r="D1357" s="53" t="s">
        <v>1253</v>
      </c>
      <c r="E1357" s="53" t="s">
        <v>1831</v>
      </c>
      <c r="F1357" s="53" t="s">
        <v>2512</v>
      </c>
      <c r="G1357" s="53" t="s">
        <v>1257</v>
      </c>
      <c r="H1357" s="53">
        <v>0.6</v>
      </c>
      <c r="I1357" s="53">
        <v>0.012903225806451613</v>
      </c>
      <c r="J1357" s="53">
        <v>1.0</v>
      </c>
      <c r="K1357" s="53" t="s">
        <v>53</v>
      </c>
      <c r="L1357" s="53" t="s">
        <v>1435</v>
      </c>
    </row>
    <row r="1358" ht="15.75" customHeight="1">
      <c r="A1358" s="53" t="s">
        <v>2616</v>
      </c>
      <c r="B1358" s="53" t="s">
        <v>231</v>
      </c>
      <c r="D1358" s="53" t="s">
        <v>1253</v>
      </c>
      <c r="E1358" s="53" t="s">
        <v>1834</v>
      </c>
      <c r="F1358" s="53" t="s">
        <v>2513</v>
      </c>
      <c r="G1358" s="53" t="s">
        <v>1245</v>
      </c>
      <c r="H1358" s="53">
        <v>0.6</v>
      </c>
      <c r="I1358" s="53">
        <v>0.013071895424836602</v>
      </c>
      <c r="J1358" s="53">
        <v>2.0</v>
      </c>
      <c r="K1358" s="53" t="s">
        <v>53</v>
      </c>
      <c r="L1358" s="53" t="s">
        <v>1438</v>
      </c>
    </row>
    <row r="1359" ht="15.75" customHeight="1">
      <c r="A1359" s="53" t="s">
        <v>2616</v>
      </c>
      <c r="B1359" s="53" t="s">
        <v>231</v>
      </c>
      <c r="D1359" s="53" t="s">
        <v>1249</v>
      </c>
      <c r="E1359" s="53" t="s">
        <v>1837</v>
      </c>
      <c r="F1359" s="53" t="s">
        <v>2514</v>
      </c>
      <c r="G1359" s="53" t="s">
        <v>1257</v>
      </c>
      <c r="H1359" s="53">
        <v>0.6</v>
      </c>
      <c r="I1359" s="53">
        <v>0.0064516129032258064</v>
      </c>
      <c r="J1359" s="53">
        <v>0.0</v>
      </c>
      <c r="K1359" s="53" t="s">
        <v>53</v>
      </c>
      <c r="L1359" s="53" t="s">
        <v>1441</v>
      </c>
    </row>
    <row r="1360" ht="15.75" customHeight="1">
      <c r="A1360" s="53" t="s">
        <v>2616</v>
      </c>
      <c r="B1360" s="53" t="s">
        <v>231</v>
      </c>
      <c r="D1360" s="53" t="s">
        <v>1249</v>
      </c>
      <c r="E1360" s="53" t="s">
        <v>1840</v>
      </c>
      <c r="F1360" s="53" t="s">
        <v>2515</v>
      </c>
      <c r="G1360" s="53" t="s">
        <v>1245</v>
      </c>
      <c r="H1360" s="53">
        <v>0.6</v>
      </c>
      <c r="I1360" s="53">
        <v>0.025806451612903226</v>
      </c>
      <c r="J1360" s="53">
        <v>1.0</v>
      </c>
      <c r="K1360" s="53" t="s">
        <v>53</v>
      </c>
      <c r="L1360" s="53" t="s">
        <v>1444</v>
      </c>
    </row>
    <row r="1361" ht="15.75" customHeight="1">
      <c r="A1361" s="53" t="s">
        <v>2616</v>
      </c>
      <c r="B1361" s="53" t="s">
        <v>231</v>
      </c>
      <c r="D1361" s="53" t="s">
        <v>1257</v>
      </c>
      <c r="E1361" s="53" t="s">
        <v>1843</v>
      </c>
      <c r="F1361" s="53" t="s">
        <v>2516</v>
      </c>
      <c r="G1361" s="53" t="s">
        <v>1245</v>
      </c>
      <c r="H1361" s="53">
        <v>0.6</v>
      </c>
      <c r="I1361" s="53">
        <v>0.025806451612903226</v>
      </c>
      <c r="J1361" s="53">
        <v>0.0</v>
      </c>
      <c r="K1361" s="53" t="s">
        <v>53</v>
      </c>
      <c r="L1361" s="53" t="s">
        <v>1447</v>
      </c>
    </row>
    <row r="1362" ht="15.75" customHeight="1">
      <c r="A1362" s="53" t="s">
        <v>2616</v>
      </c>
      <c r="B1362" s="53" t="s">
        <v>231</v>
      </c>
      <c r="D1362" s="53" t="s">
        <v>1293</v>
      </c>
      <c r="E1362" s="53" t="s">
        <v>1846</v>
      </c>
      <c r="F1362" s="53" t="s">
        <v>1452</v>
      </c>
      <c r="G1362" s="53" t="s">
        <v>1296</v>
      </c>
      <c r="H1362" s="53">
        <v>0.5</v>
      </c>
      <c r="I1362" s="53">
        <v>0.05405405405405406</v>
      </c>
      <c r="J1362" s="53">
        <v>0.0</v>
      </c>
      <c r="K1362" s="53" t="s">
        <v>53</v>
      </c>
      <c r="L1362" s="53" t="s">
        <v>1453</v>
      </c>
    </row>
    <row r="1363" ht="15.75" customHeight="1">
      <c r="A1363" s="53" t="s">
        <v>2616</v>
      </c>
      <c r="B1363" s="53" t="s">
        <v>231</v>
      </c>
      <c r="D1363" s="53" t="s">
        <v>1293</v>
      </c>
      <c r="E1363" s="53" t="s">
        <v>1849</v>
      </c>
      <c r="F1363" s="53" t="s">
        <v>1455</v>
      </c>
      <c r="G1363" s="53" t="s">
        <v>1300</v>
      </c>
      <c r="H1363" s="53">
        <v>0.5</v>
      </c>
      <c r="I1363" s="53">
        <v>0.05405405405405406</v>
      </c>
      <c r="J1363" s="53">
        <v>4.0</v>
      </c>
      <c r="K1363" s="53" t="s">
        <v>53</v>
      </c>
      <c r="L1363" s="53" t="s">
        <v>1456</v>
      </c>
    </row>
    <row r="1364" ht="15.75" customHeight="1">
      <c r="A1364" s="53" t="s">
        <v>2616</v>
      </c>
      <c r="B1364" s="53" t="s">
        <v>231</v>
      </c>
      <c r="D1364" s="53" t="s">
        <v>1293</v>
      </c>
      <c r="E1364" s="53" t="s">
        <v>1852</v>
      </c>
      <c r="F1364" s="53" t="s">
        <v>1458</v>
      </c>
      <c r="G1364" s="53" t="s">
        <v>1304</v>
      </c>
      <c r="H1364" s="53">
        <v>0.5</v>
      </c>
      <c r="I1364" s="53">
        <v>0.060810810810810814</v>
      </c>
      <c r="J1364" s="53">
        <v>2.0</v>
      </c>
      <c r="K1364" s="53" t="s">
        <v>53</v>
      </c>
      <c r="L1364" s="53" t="s">
        <v>1459</v>
      </c>
    </row>
    <row r="1365" ht="15.75" customHeight="1">
      <c r="A1365" s="53" t="s">
        <v>2616</v>
      </c>
      <c r="B1365" s="53" t="s">
        <v>231</v>
      </c>
      <c r="D1365" s="53" t="s">
        <v>1293</v>
      </c>
      <c r="E1365" s="53" t="s">
        <v>1855</v>
      </c>
      <c r="F1365" s="53" t="s">
        <v>1461</v>
      </c>
      <c r="G1365" s="53" t="s">
        <v>1308</v>
      </c>
      <c r="H1365" s="53">
        <v>0.5</v>
      </c>
      <c r="I1365" s="53">
        <v>0.060810810810810814</v>
      </c>
      <c r="J1365" s="53">
        <v>1.0</v>
      </c>
      <c r="K1365" s="53" t="s">
        <v>53</v>
      </c>
      <c r="L1365" s="53" t="s">
        <v>1462</v>
      </c>
    </row>
    <row r="1366" ht="15.75" customHeight="1">
      <c r="A1366" s="53" t="s">
        <v>2616</v>
      </c>
      <c r="B1366" s="53" t="s">
        <v>231</v>
      </c>
      <c r="D1366" s="53" t="s">
        <v>1293</v>
      </c>
      <c r="E1366" s="53" t="s">
        <v>1858</v>
      </c>
      <c r="F1366" s="53" t="s">
        <v>1464</v>
      </c>
      <c r="G1366" s="53" t="s">
        <v>1312</v>
      </c>
      <c r="H1366" s="53">
        <v>0.5</v>
      </c>
      <c r="I1366" s="53">
        <v>0.060810810810810814</v>
      </c>
      <c r="J1366" s="53">
        <v>3.0</v>
      </c>
      <c r="K1366" s="53" t="s">
        <v>53</v>
      </c>
      <c r="L1366" s="53" t="s">
        <v>1465</v>
      </c>
    </row>
    <row r="1367" ht="15.75" customHeight="1">
      <c r="A1367" s="53" t="s">
        <v>2616</v>
      </c>
      <c r="B1367" s="53" t="s">
        <v>231</v>
      </c>
      <c r="D1367" s="53" t="s">
        <v>1296</v>
      </c>
      <c r="E1367" s="53" t="s">
        <v>1861</v>
      </c>
      <c r="F1367" s="53" t="s">
        <v>1467</v>
      </c>
      <c r="G1367" s="53" t="s">
        <v>1304</v>
      </c>
      <c r="H1367" s="53">
        <v>0.5</v>
      </c>
      <c r="I1367" s="53">
        <v>0.0410958904109589</v>
      </c>
      <c r="J1367" s="53">
        <v>1.0</v>
      </c>
      <c r="K1367" s="53" t="s">
        <v>53</v>
      </c>
      <c r="L1367" s="53" t="s">
        <v>1468</v>
      </c>
    </row>
    <row r="1368" ht="15.75" customHeight="1">
      <c r="A1368" s="53" t="s">
        <v>2616</v>
      </c>
      <c r="B1368" s="53" t="s">
        <v>231</v>
      </c>
      <c r="D1368" s="53" t="s">
        <v>1296</v>
      </c>
      <c r="E1368" s="53" t="s">
        <v>1864</v>
      </c>
      <c r="F1368" s="53" t="s">
        <v>1470</v>
      </c>
      <c r="G1368" s="53" t="s">
        <v>1300</v>
      </c>
      <c r="H1368" s="53">
        <v>0.5</v>
      </c>
      <c r="I1368" s="53">
        <v>0.0410958904109589</v>
      </c>
      <c r="J1368" s="53">
        <v>3.0</v>
      </c>
      <c r="K1368" s="53" t="s">
        <v>53</v>
      </c>
      <c r="L1368" s="53" t="s">
        <v>1471</v>
      </c>
    </row>
    <row r="1369" ht="15.75" customHeight="1">
      <c r="A1369" s="53" t="s">
        <v>2616</v>
      </c>
      <c r="B1369" s="53" t="s">
        <v>231</v>
      </c>
      <c r="D1369" s="53" t="s">
        <v>1296</v>
      </c>
      <c r="E1369" s="53" t="s">
        <v>1867</v>
      </c>
      <c r="F1369" s="53" t="s">
        <v>1473</v>
      </c>
      <c r="G1369" s="53" t="s">
        <v>1308</v>
      </c>
      <c r="H1369" s="53">
        <v>0.5</v>
      </c>
      <c r="I1369" s="53">
        <v>0.0410958904109589</v>
      </c>
      <c r="J1369" s="53">
        <v>0.0</v>
      </c>
      <c r="K1369" s="53" t="s">
        <v>53</v>
      </c>
      <c r="L1369" s="53" t="s">
        <v>1474</v>
      </c>
    </row>
    <row r="1370" ht="15.75" customHeight="1">
      <c r="A1370" s="53" t="s">
        <v>2616</v>
      </c>
      <c r="B1370" s="53" t="s">
        <v>231</v>
      </c>
      <c r="D1370" s="53" t="s">
        <v>1296</v>
      </c>
      <c r="E1370" s="53" t="s">
        <v>1870</v>
      </c>
      <c r="F1370" s="53" t="s">
        <v>1476</v>
      </c>
      <c r="G1370" s="53" t="s">
        <v>1312</v>
      </c>
      <c r="H1370" s="53">
        <v>0.5</v>
      </c>
      <c r="I1370" s="53">
        <v>0.0410958904109589</v>
      </c>
      <c r="J1370" s="53">
        <v>2.0</v>
      </c>
      <c r="K1370" s="53" t="s">
        <v>53</v>
      </c>
      <c r="L1370" s="53" t="s">
        <v>1477</v>
      </c>
    </row>
    <row r="1371" ht="15.75" customHeight="1">
      <c r="A1371" s="53" t="s">
        <v>2616</v>
      </c>
      <c r="B1371" s="53" t="s">
        <v>231</v>
      </c>
      <c r="D1371" s="53" t="s">
        <v>1308</v>
      </c>
      <c r="E1371" s="53" t="s">
        <v>1873</v>
      </c>
      <c r="F1371" s="53" t="s">
        <v>1479</v>
      </c>
      <c r="G1371" s="53" t="s">
        <v>1304</v>
      </c>
      <c r="H1371" s="53">
        <v>0.5</v>
      </c>
      <c r="I1371" s="53">
        <v>0.0136986301369863</v>
      </c>
      <c r="J1371" s="53">
        <v>0.0</v>
      </c>
      <c r="K1371" s="53" t="s">
        <v>53</v>
      </c>
      <c r="L1371" s="53" t="s">
        <v>1480</v>
      </c>
    </row>
    <row r="1372" ht="15.75" customHeight="1">
      <c r="A1372" s="53" t="s">
        <v>2616</v>
      </c>
      <c r="B1372" s="53" t="s">
        <v>231</v>
      </c>
      <c r="D1372" s="53" t="s">
        <v>1308</v>
      </c>
      <c r="E1372" s="53" t="s">
        <v>1876</v>
      </c>
      <c r="F1372" s="53" t="s">
        <v>1482</v>
      </c>
      <c r="G1372" s="53" t="s">
        <v>1312</v>
      </c>
      <c r="H1372" s="53">
        <v>0.5</v>
      </c>
      <c r="I1372" s="53">
        <v>0.0136986301369863</v>
      </c>
      <c r="J1372" s="53">
        <v>1.0</v>
      </c>
      <c r="K1372" s="53" t="s">
        <v>53</v>
      </c>
      <c r="L1372" s="53" t="s">
        <v>1483</v>
      </c>
    </row>
    <row r="1373" ht="15.75" customHeight="1">
      <c r="A1373" s="53" t="s">
        <v>2616</v>
      </c>
      <c r="B1373" s="53" t="s">
        <v>231</v>
      </c>
      <c r="D1373" s="53" t="s">
        <v>1308</v>
      </c>
      <c r="E1373" s="53" t="s">
        <v>1879</v>
      </c>
      <c r="F1373" s="53" t="s">
        <v>1485</v>
      </c>
      <c r="G1373" s="53" t="s">
        <v>1300</v>
      </c>
      <c r="H1373" s="53">
        <v>0.5</v>
      </c>
      <c r="I1373" s="53">
        <v>0.013888888888888888</v>
      </c>
      <c r="J1373" s="53">
        <v>2.0</v>
      </c>
      <c r="K1373" s="53" t="s">
        <v>53</v>
      </c>
      <c r="L1373" s="53" t="s">
        <v>1486</v>
      </c>
    </row>
    <row r="1374" ht="15.75" customHeight="1">
      <c r="A1374" s="53" t="s">
        <v>2616</v>
      </c>
      <c r="B1374" s="53" t="s">
        <v>231</v>
      </c>
      <c r="D1374" s="53" t="s">
        <v>1304</v>
      </c>
      <c r="E1374" s="53" t="s">
        <v>1882</v>
      </c>
      <c r="F1374" s="53" t="s">
        <v>1488</v>
      </c>
      <c r="G1374" s="53" t="s">
        <v>1312</v>
      </c>
      <c r="H1374" s="53">
        <v>0.5</v>
      </c>
      <c r="I1374" s="53">
        <v>0.00684931506849315</v>
      </c>
      <c r="J1374" s="53">
        <v>0.0</v>
      </c>
      <c r="K1374" s="53" t="s">
        <v>53</v>
      </c>
      <c r="L1374" s="53" t="s">
        <v>1489</v>
      </c>
    </row>
    <row r="1375" ht="15.75" customHeight="1">
      <c r="A1375" s="53" t="s">
        <v>2616</v>
      </c>
      <c r="B1375" s="53" t="s">
        <v>231</v>
      </c>
      <c r="D1375" s="53" t="s">
        <v>1304</v>
      </c>
      <c r="E1375" s="53" t="s">
        <v>1885</v>
      </c>
      <c r="F1375" s="53" t="s">
        <v>1491</v>
      </c>
      <c r="G1375" s="53" t="s">
        <v>1300</v>
      </c>
      <c r="H1375" s="53">
        <v>0.5</v>
      </c>
      <c r="I1375" s="53">
        <v>0.0273972602739726</v>
      </c>
      <c r="J1375" s="53">
        <v>1.0</v>
      </c>
      <c r="K1375" s="53" t="s">
        <v>53</v>
      </c>
      <c r="L1375" s="53" t="s">
        <v>1492</v>
      </c>
    </row>
    <row r="1376" ht="15.75" customHeight="1">
      <c r="A1376" s="53" t="s">
        <v>2616</v>
      </c>
      <c r="B1376" s="53" t="s">
        <v>231</v>
      </c>
      <c r="D1376" s="53" t="s">
        <v>1312</v>
      </c>
      <c r="E1376" s="53" t="s">
        <v>1888</v>
      </c>
      <c r="F1376" s="53" t="s">
        <v>1494</v>
      </c>
      <c r="G1376" s="53" t="s">
        <v>1300</v>
      </c>
      <c r="H1376" s="53">
        <v>0.5</v>
      </c>
      <c r="I1376" s="53">
        <v>0.0273972602739726</v>
      </c>
      <c r="J1376" s="53">
        <v>0.0</v>
      </c>
      <c r="K1376" s="53" t="s">
        <v>53</v>
      </c>
      <c r="L1376" s="53" t="s">
        <v>1495</v>
      </c>
    </row>
    <row r="1377" ht="15.75" customHeight="1">
      <c r="A1377" s="53" t="s">
        <v>352</v>
      </c>
      <c r="B1377" s="53" t="s">
        <v>231</v>
      </c>
      <c r="D1377" s="53" t="s">
        <v>366</v>
      </c>
      <c r="E1377" s="53" t="s">
        <v>1788</v>
      </c>
      <c r="F1377" s="53" t="s">
        <v>2526</v>
      </c>
      <c r="G1377" s="53" t="s">
        <v>375</v>
      </c>
      <c r="H1377" s="53">
        <v>0.25</v>
      </c>
      <c r="I1377" s="53">
        <v>0.0778688524590164</v>
      </c>
      <c r="J1377" s="53">
        <v>0.0</v>
      </c>
      <c r="K1377" s="53" t="s">
        <v>53</v>
      </c>
      <c r="L1377" s="53" t="s">
        <v>2527</v>
      </c>
    </row>
    <row r="1378" ht="15.75" customHeight="1">
      <c r="A1378" s="53" t="s">
        <v>352</v>
      </c>
      <c r="B1378" s="53" t="s">
        <v>231</v>
      </c>
      <c r="D1378" s="53" t="s">
        <v>1791</v>
      </c>
      <c r="E1378" s="53" t="s">
        <v>1792</v>
      </c>
      <c r="F1378" s="53" t="s">
        <v>2528</v>
      </c>
      <c r="G1378" s="53" t="s">
        <v>385</v>
      </c>
      <c r="H1378" s="53">
        <v>0.5</v>
      </c>
      <c r="I1378" s="53">
        <v>0.07643312101910828</v>
      </c>
      <c r="J1378" s="53">
        <v>2.0</v>
      </c>
      <c r="K1378" s="53" t="s">
        <v>53</v>
      </c>
      <c r="L1378" s="53" t="s">
        <v>2529</v>
      </c>
    </row>
    <row r="1379" ht="15.75" customHeight="1">
      <c r="A1379" s="53" t="s">
        <v>352</v>
      </c>
      <c r="B1379" s="53" t="s">
        <v>231</v>
      </c>
      <c r="D1379" s="53" t="s">
        <v>1795</v>
      </c>
      <c r="E1379" s="53" t="s">
        <v>1796</v>
      </c>
      <c r="F1379" s="53" t="s">
        <v>2530</v>
      </c>
      <c r="G1379" s="53" t="s">
        <v>1798</v>
      </c>
      <c r="H1379" s="53">
        <v>0.5</v>
      </c>
      <c r="I1379" s="53">
        <v>0.05325443786982249</v>
      </c>
      <c r="J1379" s="53">
        <v>0.0</v>
      </c>
      <c r="K1379" s="53" t="s">
        <v>53</v>
      </c>
      <c r="L1379" s="53" t="s">
        <v>2531</v>
      </c>
    </row>
    <row r="1380" ht="15.75" customHeight="1">
      <c r="A1380" s="53" t="s">
        <v>686</v>
      </c>
      <c r="B1380" s="53" t="s">
        <v>231</v>
      </c>
      <c r="D1380" s="53" t="s">
        <v>2291</v>
      </c>
      <c r="E1380" s="53" t="s">
        <v>2292</v>
      </c>
      <c r="F1380" s="53" t="s">
        <v>741</v>
      </c>
      <c r="G1380" s="53" t="s">
        <v>2293</v>
      </c>
      <c r="H1380" s="53">
        <v>1.0</v>
      </c>
      <c r="I1380" s="53">
        <v>0.5290322580645161</v>
      </c>
      <c r="J1380" s="53">
        <v>7.0</v>
      </c>
      <c r="K1380" s="53" t="s">
        <v>53</v>
      </c>
      <c r="L1380" s="53" t="s">
        <v>53</v>
      </c>
    </row>
    <row r="1381" ht="15.75" customHeight="1">
      <c r="A1381" s="53" t="s">
        <v>686</v>
      </c>
      <c r="B1381" s="53" t="s">
        <v>231</v>
      </c>
      <c r="D1381" s="53" t="s">
        <v>2291</v>
      </c>
      <c r="E1381" s="53" t="s">
        <v>2294</v>
      </c>
      <c r="F1381" s="53" t="s">
        <v>741</v>
      </c>
      <c r="G1381" s="53" t="s">
        <v>2295</v>
      </c>
      <c r="H1381" s="53">
        <v>1.0</v>
      </c>
      <c r="I1381" s="53">
        <v>0.5870967741935483</v>
      </c>
      <c r="J1381" s="53">
        <v>13.0</v>
      </c>
      <c r="K1381" s="53" t="s">
        <v>53</v>
      </c>
      <c r="L1381" s="53" t="s">
        <v>53</v>
      </c>
    </row>
    <row r="1382" ht="15.75" customHeight="1">
      <c r="A1382" s="53" t="s">
        <v>686</v>
      </c>
      <c r="B1382" s="53" t="s">
        <v>231</v>
      </c>
      <c r="D1382" s="53" t="s">
        <v>2291</v>
      </c>
      <c r="E1382" s="53" t="s">
        <v>2296</v>
      </c>
      <c r="F1382" s="53" t="s">
        <v>741</v>
      </c>
      <c r="G1382" s="53" t="s">
        <v>2297</v>
      </c>
      <c r="H1382" s="53">
        <v>1.0</v>
      </c>
      <c r="I1382" s="53">
        <v>0.5903225806451613</v>
      </c>
      <c r="J1382" s="53">
        <v>6.0</v>
      </c>
      <c r="K1382" s="53" t="s">
        <v>53</v>
      </c>
      <c r="L1382" s="53" t="s">
        <v>53</v>
      </c>
    </row>
    <row r="1383" ht="15.75" customHeight="1">
      <c r="A1383" s="53" t="s">
        <v>686</v>
      </c>
      <c r="B1383" s="53" t="s">
        <v>231</v>
      </c>
      <c r="D1383" s="53" t="s">
        <v>2298</v>
      </c>
      <c r="E1383" s="53" t="s">
        <v>2299</v>
      </c>
      <c r="F1383" s="53" t="s">
        <v>2565</v>
      </c>
      <c r="G1383" s="53" t="s">
        <v>2301</v>
      </c>
      <c r="H1383" s="53">
        <v>1.0</v>
      </c>
      <c r="I1383" s="53">
        <v>0.12380952380952381</v>
      </c>
      <c r="J1383" s="53">
        <v>8.0</v>
      </c>
      <c r="K1383" s="53" t="s">
        <v>53</v>
      </c>
      <c r="L1383" s="53" t="s">
        <v>53</v>
      </c>
    </row>
    <row r="1384" ht="15.75" customHeight="1">
      <c r="A1384" s="53" t="s">
        <v>686</v>
      </c>
      <c r="B1384" s="53" t="s">
        <v>231</v>
      </c>
      <c r="D1384" s="53" t="s">
        <v>2298</v>
      </c>
      <c r="E1384" s="53" t="s">
        <v>2302</v>
      </c>
      <c r="F1384" s="53" t="s">
        <v>2565</v>
      </c>
      <c r="G1384" s="53" t="s">
        <v>2303</v>
      </c>
      <c r="H1384" s="53">
        <v>1.0</v>
      </c>
      <c r="I1384" s="53">
        <v>0.168141592920354</v>
      </c>
      <c r="J1384" s="53">
        <v>7.0</v>
      </c>
      <c r="K1384" s="53" t="s">
        <v>53</v>
      </c>
      <c r="L1384" s="53" t="s">
        <v>53</v>
      </c>
    </row>
    <row r="1385" ht="15.75" customHeight="1">
      <c r="A1385" s="53" t="s">
        <v>686</v>
      </c>
      <c r="B1385" s="53" t="s">
        <v>231</v>
      </c>
      <c r="D1385" s="53" t="s">
        <v>2298</v>
      </c>
      <c r="E1385" s="53" t="s">
        <v>2304</v>
      </c>
      <c r="F1385" s="53" t="s">
        <v>2566</v>
      </c>
      <c r="G1385" s="53" t="s">
        <v>2306</v>
      </c>
      <c r="H1385" s="53">
        <v>1.0</v>
      </c>
      <c r="I1385" s="53">
        <v>0.41818181818181815</v>
      </c>
      <c r="J1385" s="53">
        <v>9.0</v>
      </c>
      <c r="K1385" s="53" t="s">
        <v>53</v>
      </c>
      <c r="L1385" s="53" t="s">
        <v>2307</v>
      </c>
    </row>
    <row r="1386" ht="15.75" customHeight="1">
      <c r="A1386" s="53" t="s">
        <v>686</v>
      </c>
      <c r="B1386" s="53" t="s">
        <v>231</v>
      </c>
      <c r="D1386" s="53" t="s">
        <v>2298</v>
      </c>
      <c r="E1386" s="53" t="s">
        <v>2308</v>
      </c>
      <c r="F1386" s="53" t="s">
        <v>2566</v>
      </c>
      <c r="G1386" s="53" t="s">
        <v>2309</v>
      </c>
      <c r="H1386" s="53">
        <v>1.0</v>
      </c>
      <c r="I1386" s="53">
        <v>0.42857142857142855</v>
      </c>
      <c r="J1386" s="53">
        <v>11.0</v>
      </c>
      <c r="K1386" s="53" t="s">
        <v>53</v>
      </c>
      <c r="L1386" s="53" t="s">
        <v>2307</v>
      </c>
    </row>
    <row r="1387" ht="15.75" customHeight="1">
      <c r="A1387" s="53" t="s">
        <v>686</v>
      </c>
      <c r="B1387" s="53" t="s">
        <v>231</v>
      </c>
      <c r="D1387" s="53" t="s">
        <v>2298</v>
      </c>
      <c r="E1387" s="53" t="s">
        <v>2310</v>
      </c>
      <c r="F1387" s="53" t="s">
        <v>2567</v>
      </c>
      <c r="G1387" s="53" t="s">
        <v>689</v>
      </c>
      <c r="H1387" s="53">
        <v>1.0</v>
      </c>
      <c r="I1387" s="53">
        <v>0.7889344262295082</v>
      </c>
      <c r="J1387" s="53">
        <v>3.0</v>
      </c>
      <c r="K1387" s="53" t="s">
        <v>53</v>
      </c>
      <c r="L1387" s="53" t="s">
        <v>2307</v>
      </c>
    </row>
    <row r="1388" ht="15.75" customHeight="1">
      <c r="A1388" s="53" t="s">
        <v>686</v>
      </c>
      <c r="B1388" s="53" t="s">
        <v>231</v>
      </c>
      <c r="D1388" s="53" t="s">
        <v>2298</v>
      </c>
      <c r="E1388" s="53" t="s">
        <v>2312</v>
      </c>
      <c r="F1388" s="53" t="s">
        <v>2568</v>
      </c>
      <c r="G1388" s="53" t="s">
        <v>2314</v>
      </c>
      <c r="H1388" s="53">
        <v>1.0</v>
      </c>
      <c r="I1388" s="53">
        <v>0.8134057971014492</v>
      </c>
      <c r="J1388" s="53">
        <v>4.0</v>
      </c>
      <c r="K1388" s="53" t="s">
        <v>53</v>
      </c>
      <c r="L1388" s="53" t="s">
        <v>2307</v>
      </c>
    </row>
    <row r="1389" ht="15.75" customHeight="1">
      <c r="A1389" s="53" t="s">
        <v>686</v>
      </c>
      <c r="B1389" s="53" t="s">
        <v>231</v>
      </c>
      <c r="D1389" s="53" t="s">
        <v>2298</v>
      </c>
      <c r="E1389" s="53" t="s">
        <v>2315</v>
      </c>
      <c r="F1389" s="53" t="s">
        <v>2569</v>
      </c>
      <c r="G1389" s="53" t="s">
        <v>2317</v>
      </c>
      <c r="H1389" s="53">
        <v>1.0</v>
      </c>
      <c r="I1389" s="53">
        <v>0.8344155844155844</v>
      </c>
      <c r="J1389" s="53">
        <v>13.0</v>
      </c>
      <c r="K1389" s="53" t="s">
        <v>53</v>
      </c>
      <c r="L1389" s="53" t="s">
        <v>2307</v>
      </c>
    </row>
    <row r="1390" ht="15.75" customHeight="1">
      <c r="A1390" s="53" t="s">
        <v>686</v>
      </c>
      <c r="B1390" s="53" t="s">
        <v>231</v>
      </c>
      <c r="D1390" s="53" t="s">
        <v>2298</v>
      </c>
      <c r="E1390" s="53" t="s">
        <v>2318</v>
      </c>
      <c r="F1390" s="53" t="s">
        <v>2570</v>
      </c>
      <c r="G1390" s="53" t="s">
        <v>2320</v>
      </c>
      <c r="H1390" s="53">
        <v>1.0</v>
      </c>
      <c r="I1390" s="53">
        <v>0.8483063328424153</v>
      </c>
      <c r="J1390" s="53">
        <v>1.0</v>
      </c>
      <c r="K1390" s="53" t="s">
        <v>53</v>
      </c>
      <c r="L1390" s="53" t="s">
        <v>2307</v>
      </c>
    </row>
    <row r="1391" ht="15.75" customHeight="1">
      <c r="A1391" s="53" t="s">
        <v>686</v>
      </c>
      <c r="B1391" s="53" t="s">
        <v>231</v>
      </c>
      <c r="D1391" s="53" t="s">
        <v>2298</v>
      </c>
      <c r="E1391" s="53" t="s">
        <v>2321</v>
      </c>
      <c r="F1391" s="53" t="s">
        <v>2571</v>
      </c>
      <c r="G1391" s="53" t="s">
        <v>2323</v>
      </c>
      <c r="H1391" s="53">
        <v>1.0</v>
      </c>
      <c r="I1391" s="53">
        <v>0.9031954887218046</v>
      </c>
      <c r="J1391" s="53">
        <v>2.0</v>
      </c>
      <c r="K1391" s="53" t="s">
        <v>53</v>
      </c>
      <c r="L1391" s="53" t="s">
        <v>2307</v>
      </c>
    </row>
    <row r="1392" ht="15.75" customHeight="1">
      <c r="A1392" s="53" t="s">
        <v>686</v>
      </c>
      <c r="B1392" s="53" t="s">
        <v>231</v>
      </c>
      <c r="D1392" s="53" t="s">
        <v>2320</v>
      </c>
      <c r="E1392" s="53" t="s">
        <v>2324</v>
      </c>
      <c r="F1392" s="53" t="s">
        <v>2572</v>
      </c>
      <c r="G1392" s="53" t="s">
        <v>2317</v>
      </c>
      <c r="H1392" s="53">
        <v>1.0</v>
      </c>
      <c r="I1392" s="53">
        <v>0.10309278350515463</v>
      </c>
      <c r="J1392" s="53">
        <v>11.0</v>
      </c>
      <c r="K1392" s="53" t="s">
        <v>53</v>
      </c>
      <c r="L1392" s="53" t="s">
        <v>53</v>
      </c>
    </row>
    <row r="1393" ht="15.75" customHeight="1">
      <c r="A1393" s="53" t="s">
        <v>686</v>
      </c>
      <c r="B1393" s="53" t="s">
        <v>231</v>
      </c>
      <c r="D1393" s="53" t="s">
        <v>2320</v>
      </c>
      <c r="E1393" s="53" t="s">
        <v>2326</v>
      </c>
      <c r="F1393" s="53" t="s">
        <v>2573</v>
      </c>
      <c r="G1393" s="53" t="s">
        <v>2314</v>
      </c>
      <c r="H1393" s="53">
        <v>1.0</v>
      </c>
      <c r="I1393" s="53">
        <v>0.19145802650957292</v>
      </c>
      <c r="J1393" s="53">
        <v>2.0</v>
      </c>
      <c r="K1393" s="53" t="s">
        <v>53</v>
      </c>
      <c r="L1393" s="53" t="s">
        <v>53</v>
      </c>
    </row>
    <row r="1394" ht="15.75" customHeight="1">
      <c r="A1394" s="53" t="s">
        <v>686</v>
      </c>
      <c r="B1394" s="53" t="s">
        <v>231</v>
      </c>
      <c r="D1394" s="53" t="s">
        <v>2320</v>
      </c>
      <c r="E1394" s="53" t="s">
        <v>2328</v>
      </c>
      <c r="F1394" s="53" t="s">
        <v>2574</v>
      </c>
      <c r="G1394" s="53" t="s">
        <v>689</v>
      </c>
      <c r="H1394" s="53">
        <v>1.0</v>
      </c>
      <c r="I1394" s="53">
        <v>0.28424153166421207</v>
      </c>
      <c r="J1394" s="53">
        <v>1.0</v>
      </c>
      <c r="K1394" s="53" t="s">
        <v>53</v>
      </c>
      <c r="L1394" s="53" t="s">
        <v>53</v>
      </c>
    </row>
    <row r="1395" ht="15.75" customHeight="1">
      <c r="A1395" s="53" t="s">
        <v>686</v>
      </c>
      <c r="B1395" s="53" t="s">
        <v>231</v>
      </c>
      <c r="D1395" s="53" t="s">
        <v>2320</v>
      </c>
      <c r="E1395" s="53" t="s">
        <v>2330</v>
      </c>
      <c r="F1395" s="53" t="s">
        <v>2575</v>
      </c>
      <c r="G1395" s="53" t="s">
        <v>2323</v>
      </c>
      <c r="H1395" s="53">
        <v>1.0</v>
      </c>
      <c r="I1395" s="53">
        <v>0.36278195488721804</v>
      </c>
      <c r="J1395" s="53">
        <v>0.0</v>
      </c>
      <c r="K1395" s="53" t="s">
        <v>53</v>
      </c>
      <c r="L1395" s="53" t="s">
        <v>53</v>
      </c>
    </row>
    <row r="1396" ht="15.75" customHeight="1">
      <c r="A1396" s="53" t="s">
        <v>686</v>
      </c>
      <c r="B1396" s="53" t="s">
        <v>231</v>
      </c>
      <c r="D1396" s="53" t="s">
        <v>2320</v>
      </c>
      <c r="E1396" s="53" t="s">
        <v>2332</v>
      </c>
      <c r="F1396" s="53" t="s">
        <v>2576</v>
      </c>
      <c r="G1396" s="53" t="s">
        <v>2309</v>
      </c>
      <c r="H1396" s="53">
        <v>1.0</v>
      </c>
      <c r="I1396" s="53">
        <v>0.7584683357879234</v>
      </c>
      <c r="J1396" s="53">
        <v>9.0</v>
      </c>
      <c r="K1396" s="53" t="s">
        <v>53</v>
      </c>
      <c r="L1396" s="53" t="s">
        <v>53</v>
      </c>
    </row>
    <row r="1397" ht="15.75" customHeight="1">
      <c r="A1397" s="53" t="s">
        <v>686</v>
      </c>
      <c r="B1397" s="53" t="s">
        <v>231</v>
      </c>
      <c r="D1397" s="53" t="s">
        <v>2320</v>
      </c>
      <c r="E1397" s="53" t="s">
        <v>2334</v>
      </c>
      <c r="F1397" s="53" t="s">
        <v>2576</v>
      </c>
      <c r="G1397" s="53" t="s">
        <v>2306</v>
      </c>
      <c r="H1397" s="53">
        <v>1.0</v>
      </c>
      <c r="I1397" s="53">
        <v>0.7643593519882179</v>
      </c>
      <c r="J1397" s="53">
        <v>7.0</v>
      </c>
      <c r="K1397" s="53" t="s">
        <v>53</v>
      </c>
      <c r="L1397" s="53" t="s">
        <v>53</v>
      </c>
    </row>
    <row r="1398" ht="15.75" customHeight="1">
      <c r="A1398" s="53" t="s">
        <v>686</v>
      </c>
      <c r="B1398" s="53" t="s">
        <v>231</v>
      </c>
      <c r="D1398" s="53" t="s">
        <v>2320</v>
      </c>
      <c r="E1398" s="53" t="s">
        <v>2335</v>
      </c>
      <c r="F1398" s="53" t="s">
        <v>2577</v>
      </c>
      <c r="G1398" s="53" t="s">
        <v>2303</v>
      </c>
      <c r="H1398" s="53">
        <v>1.0</v>
      </c>
      <c r="I1398" s="53">
        <v>0.8424153166421208</v>
      </c>
      <c r="J1398" s="53">
        <v>5.0</v>
      </c>
      <c r="K1398" s="53" t="s">
        <v>53</v>
      </c>
      <c r="L1398" s="53" t="s">
        <v>2307</v>
      </c>
    </row>
    <row r="1399" ht="15.75" customHeight="1">
      <c r="A1399" s="53" t="s">
        <v>686</v>
      </c>
      <c r="B1399" s="53" t="s">
        <v>231</v>
      </c>
      <c r="D1399" s="53" t="s">
        <v>2320</v>
      </c>
      <c r="E1399" s="53" t="s">
        <v>2337</v>
      </c>
      <c r="F1399" s="53" t="s">
        <v>2577</v>
      </c>
      <c r="G1399" s="53" t="s">
        <v>2301</v>
      </c>
      <c r="H1399" s="53">
        <v>1.0</v>
      </c>
      <c r="I1399" s="53">
        <v>0.8586156111929307</v>
      </c>
      <c r="J1399" s="53">
        <v>6.0</v>
      </c>
      <c r="K1399" s="53" t="s">
        <v>53</v>
      </c>
      <c r="L1399" s="53" t="s">
        <v>2307</v>
      </c>
    </row>
    <row r="1400" ht="15.75" customHeight="1">
      <c r="A1400" s="53" t="s">
        <v>686</v>
      </c>
      <c r="B1400" s="53" t="s">
        <v>231</v>
      </c>
      <c r="D1400" s="53" t="s">
        <v>2323</v>
      </c>
      <c r="E1400" s="53" t="s">
        <v>2338</v>
      </c>
      <c r="F1400" s="53" t="s">
        <v>2578</v>
      </c>
      <c r="G1400" s="53" t="s">
        <v>2317</v>
      </c>
      <c r="H1400" s="53">
        <v>1.0</v>
      </c>
      <c r="I1400" s="53">
        <v>0.424812030075188</v>
      </c>
      <c r="J1400" s="53">
        <v>10.0</v>
      </c>
      <c r="K1400" s="53" t="s">
        <v>53</v>
      </c>
      <c r="L1400" s="53" t="s">
        <v>53</v>
      </c>
    </row>
    <row r="1401" ht="15.75" customHeight="1">
      <c r="A1401" s="53" t="s">
        <v>686</v>
      </c>
      <c r="B1401" s="53" t="s">
        <v>231</v>
      </c>
      <c r="D1401" s="53" t="s">
        <v>2323</v>
      </c>
      <c r="E1401" s="53" t="s">
        <v>2340</v>
      </c>
      <c r="F1401" s="53" t="s">
        <v>2579</v>
      </c>
      <c r="G1401" s="53" t="s">
        <v>2314</v>
      </c>
      <c r="H1401" s="53">
        <v>1.0</v>
      </c>
      <c r="I1401" s="53">
        <v>0.48214285714285715</v>
      </c>
      <c r="J1401" s="53">
        <v>1.0</v>
      </c>
      <c r="K1401" s="53" t="s">
        <v>53</v>
      </c>
      <c r="L1401" s="53" t="s">
        <v>53</v>
      </c>
    </row>
    <row r="1402" ht="15.75" customHeight="1">
      <c r="A1402" s="53" t="s">
        <v>686</v>
      </c>
      <c r="B1402" s="53" t="s">
        <v>231</v>
      </c>
      <c r="D1402" s="53" t="s">
        <v>2323</v>
      </c>
      <c r="E1402" s="53" t="s">
        <v>2342</v>
      </c>
      <c r="F1402" s="53" t="s">
        <v>2580</v>
      </c>
      <c r="G1402" s="53" t="s">
        <v>689</v>
      </c>
      <c r="H1402" s="53">
        <v>1.0</v>
      </c>
      <c r="I1402" s="53">
        <v>0.5422932330827067</v>
      </c>
      <c r="J1402" s="53">
        <v>0.0</v>
      </c>
      <c r="K1402" s="53" t="s">
        <v>53</v>
      </c>
      <c r="L1402" s="53" t="s">
        <v>53</v>
      </c>
    </row>
    <row r="1403" ht="15.75" customHeight="1">
      <c r="A1403" s="53" t="s">
        <v>686</v>
      </c>
      <c r="B1403" s="53" t="s">
        <v>231</v>
      </c>
      <c r="D1403" s="53" t="s">
        <v>2323</v>
      </c>
      <c r="E1403" s="53" t="s">
        <v>2344</v>
      </c>
      <c r="F1403" s="53" t="s">
        <v>2581</v>
      </c>
      <c r="G1403" s="53" t="s">
        <v>2309</v>
      </c>
      <c r="H1403" s="53">
        <v>1.0</v>
      </c>
      <c r="I1403" s="53">
        <v>0.8458646616541353</v>
      </c>
      <c r="J1403" s="53">
        <v>8.0</v>
      </c>
      <c r="K1403" s="53" t="s">
        <v>53</v>
      </c>
      <c r="L1403" s="53" t="s">
        <v>53</v>
      </c>
    </row>
    <row r="1404" ht="15.75" customHeight="1">
      <c r="A1404" s="53" t="s">
        <v>686</v>
      </c>
      <c r="B1404" s="53" t="s">
        <v>231</v>
      </c>
      <c r="D1404" s="53" t="s">
        <v>2323</v>
      </c>
      <c r="E1404" s="53" t="s">
        <v>2346</v>
      </c>
      <c r="F1404" s="53" t="s">
        <v>2581</v>
      </c>
      <c r="G1404" s="53" t="s">
        <v>2306</v>
      </c>
      <c r="H1404" s="53">
        <v>1.0</v>
      </c>
      <c r="I1404" s="53">
        <v>0.849624060150376</v>
      </c>
      <c r="J1404" s="53">
        <v>6.0</v>
      </c>
      <c r="K1404" s="53" t="s">
        <v>53</v>
      </c>
      <c r="L1404" s="53" t="s">
        <v>53</v>
      </c>
    </row>
    <row r="1405" ht="15.75" customHeight="1">
      <c r="A1405" s="53" t="s">
        <v>686</v>
      </c>
      <c r="B1405" s="53" t="s">
        <v>231</v>
      </c>
      <c r="D1405" s="53" t="s">
        <v>2323</v>
      </c>
      <c r="E1405" s="53" t="s">
        <v>2347</v>
      </c>
      <c r="F1405" s="53" t="s">
        <v>2582</v>
      </c>
      <c r="G1405" s="53" t="s">
        <v>2303</v>
      </c>
      <c r="H1405" s="53">
        <v>1.0</v>
      </c>
      <c r="I1405" s="53">
        <v>0.8994360902255639</v>
      </c>
      <c r="J1405" s="53">
        <v>4.0</v>
      </c>
      <c r="K1405" s="53" t="s">
        <v>53</v>
      </c>
      <c r="L1405" s="53" t="s">
        <v>2307</v>
      </c>
    </row>
    <row r="1406" ht="15.75" customHeight="1">
      <c r="A1406" s="53" t="s">
        <v>686</v>
      </c>
      <c r="B1406" s="53" t="s">
        <v>231</v>
      </c>
      <c r="D1406" s="53" t="s">
        <v>2323</v>
      </c>
      <c r="E1406" s="53" t="s">
        <v>2349</v>
      </c>
      <c r="F1406" s="53" t="s">
        <v>2582</v>
      </c>
      <c r="G1406" s="53" t="s">
        <v>2301</v>
      </c>
      <c r="H1406" s="53">
        <v>1.0</v>
      </c>
      <c r="I1406" s="53">
        <v>0.9097744360902256</v>
      </c>
      <c r="J1406" s="53">
        <v>5.0</v>
      </c>
      <c r="K1406" s="53" t="s">
        <v>53</v>
      </c>
      <c r="L1406" s="53" t="s">
        <v>2307</v>
      </c>
    </row>
    <row r="1407" ht="15.75" customHeight="1">
      <c r="A1407" s="53" t="s">
        <v>686</v>
      </c>
      <c r="B1407" s="53" t="s">
        <v>231</v>
      </c>
      <c r="D1407" s="53" t="s">
        <v>689</v>
      </c>
      <c r="E1407" s="53" t="s">
        <v>2350</v>
      </c>
      <c r="F1407" s="53" t="s">
        <v>2583</v>
      </c>
      <c r="G1407" s="53" t="s">
        <v>2314</v>
      </c>
      <c r="H1407" s="53">
        <v>1.0</v>
      </c>
      <c r="I1407" s="53">
        <v>0.11775362318840579</v>
      </c>
      <c r="J1407" s="53">
        <v>0.0</v>
      </c>
      <c r="K1407" s="53" t="s">
        <v>53</v>
      </c>
      <c r="L1407" s="53" t="s">
        <v>53</v>
      </c>
    </row>
    <row r="1408" ht="15.75" customHeight="1">
      <c r="A1408" s="53" t="s">
        <v>686</v>
      </c>
      <c r="B1408" s="53" t="s">
        <v>231</v>
      </c>
      <c r="D1408" s="53" t="s">
        <v>689</v>
      </c>
      <c r="E1408" s="53" t="s">
        <v>2352</v>
      </c>
      <c r="F1408" s="53" t="s">
        <v>2584</v>
      </c>
      <c r="G1408" s="53" t="s">
        <v>2317</v>
      </c>
      <c r="H1408" s="53">
        <v>1.0</v>
      </c>
      <c r="I1408" s="53">
        <v>0.2159090909090909</v>
      </c>
      <c r="J1408" s="53">
        <v>9.0</v>
      </c>
      <c r="K1408" s="53" t="s">
        <v>53</v>
      </c>
      <c r="L1408" s="53" t="s">
        <v>53</v>
      </c>
    </row>
    <row r="1409" ht="15.75" customHeight="1">
      <c r="A1409" s="53" t="s">
        <v>686</v>
      </c>
      <c r="B1409" s="53" t="s">
        <v>231</v>
      </c>
      <c r="D1409" s="53" t="s">
        <v>689</v>
      </c>
      <c r="E1409" s="53" t="s">
        <v>2354</v>
      </c>
      <c r="F1409" s="53" t="s">
        <v>2585</v>
      </c>
      <c r="G1409" s="53" t="s">
        <v>2309</v>
      </c>
      <c r="H1409" s="53">
        <v>1.0</v>
      </c>
      <c r="I1409" s="53">
        <v>0.6639344262295082</v>
      </c>
      <c r="J1409" s="53">
        <v>7.0</v>
      </c>
      <c r="K1409" s="53" t="s">
        <v>53</v>
      </c>
      <c r="L1409" s="53" t="s">
        <v>53</v>
      </c>
    </row>
    <row r="1410" ht="15.75" customHeight="1">
      <c r="A1410" s="53" t="s">
        <v>686</v>
      </c>
      <c r="B1410" s="53" t="s">
        <v>231</v>
      </c>
      <c r="D1410" s="53" t="s">
        <v>689</v>
      </c>
      <c r="E1410" s="53" t="s">
        <v>2356</v>
      </c>
      <c r="F1410" s="53" t="s">
        <v>2585</v>
      </c>
      <c r="G1410" s="53" t="s">
        <v>2306</v>
      </c>
      <c r="H1410" s="53">
        <v>1.0</v>
      </c>
      <c r="I1410" s="53">
        <v>0.6721311475409836</v>
      </c>
      <c r="J1410" s="53">
        <v>5.0</v>
      </c>
      <c r="K1410" s="53" t="s">
        <v>53</v>
      </c>
      <c r="L1410" s="53" t="s">
        <v>53</v>
      </c>
    </row>
    <row r="1411" ht="15.75" customHeight="1">
      <c r="A1411" s="53" t="s">
        <v>686</v>
      </c>
      <c r="B1411" s="53" t="s">
        <v>231</v>
      </c>
      <c r="D1411" s="53" t="s">
        <v>689</v>
      </c>
      <c r="E1411" s="53" t="s">
        <v>2357</v>
      </c>
      <c r="F1411" s="53" t="s">
        <v>2586</v>
      </c>
      <c r="G1411" s="53" t="s">
        <v>2303</v>
      </c>
      <c r="H1411" s="53">
        <v>1.0</v>
      </c>
      <c r="I1411" s="53">
        <v>0.7807377049180327</v>
      </c>
      <c r="J1411" s="53">
        <v>3.0</v>
      </c>
      <c r="K1411" s="53" t="s">
        <v>53</v>
      </c>
      <c r="L1411" s="53" t="s">
        <v>2307</v>
      </c>
    </row>
    <row r="1412" ht="15.75" customHeight="1">
      <c r="A1412" s="53" t="s">
        <v>686</v>
      </c>
      <c r="B1412" s="53" t="s">
        <v>231</v>
      </c>
      <c r="D1412" s="53" t="s">
        <v>689</v>
      </c>
      <c r="E1412" s="53" t="s">
        <v>2359</v>
      </c>
      <c r="F1412" s="53" t="s">
        <v>2586</v>
      </c>
      <c r="G1412" s="53" t="s">
        <v>2301</v>
      </c>
      <c r="H1412" s="53">
        <v>1.0</v>
      </c>
      <c r="I1412" s="53">
        <v>0.8032786885245902</v>
      </c>
      <c r="J1412" s="53">
        <v>4.0</v>
      </c>
      <c r="K1412" s="53" t="s">
        <v>53</v>
      </c>
      <c r="L1412" s="53" t="s">
        <v>2307</v>
      </c>
    </row>
    <row r="1413" ht="15.75" customHeight="1">
      <c r="A1413" s="53" t="s">
        <v>686</v>
      </c>
      <c r="B1413" s="53" t="s">
        <v>231</v>
      </c>
      <c r="D1413" s="53" t="s">
        <v>2314</v>
      </c>
      <c r="E1413" s="53" t="s">
        <v>2360</v>
      </c>
      <c r="F1413" s="53" t="s">
        <v>2587</v>
      </c>
      <c r="G1413" s="53" t="s">
        <v>2317</v>
      </c>
      <c r="H1413" s="53">
        <v>1.0</v>
      </c>
      <c r="I1413" s="53">
        <v>0.11525974025974026</v>
      </c>
      <c r="J1413" s="53">
        <v>8.0</v>
      </c>
      <c r="K1413" s="53" t="s">
        <v>53</v>
      </c>
      <c r="L1413" s="53" t="s">
        <v>53</v>
      </c>
    </row>
    <row r="1414" ht="15.75" customHeight="1">
      <c r="A1414" s="53" t="s">
        <v>686</v>
      </c>
      <c r="B1414" s="53" t="s">
        <v>231</v>
      </c>
      <c r="D1414" s="53" t="s">
        <v>2314</v>
      </c>
      <c r="E1414" s="53" t="s">
        <v>2362</v>
      </c>
      <c r="F1414" s="53" t="s">
        <v>2588</v>
      </c>
      <c r="G1414" s="53" t="s">
        <v>2309</v>
      </c>
      <c r="H1414" s="53">
        <v>1.0</v>
      </c>
      <c r="I1414" s="53">
        <v>0.7028985507246377</v>
      </c>
      <c r="J1414" s="53">
        <v>6.0</v>
      </c>
      <c r="K1414" s="53" t="s">
        <v>53</v>
      </c>
      <c r="L1414" s="53" t="s">
        <v>53</v>
      </c>
    </row>
    <row r="1415" ht="15.75" customHeight="1">
      <c r="A1415" s="53" t="s">
        <v>686</v>
      </c>
      <c r="B1415" s="53" t="s">
        <v>231</v>
      </c>
      <c r="D1415" s="53" t="s">
        <v>2314</v>
      </c>
      <c r="E1415" s="53" t="s">
        <v>2364</v>
      </c>
      <c r="F1415" s="53" t="s">
        <v>2588</v>
      </c>
      <c r="G1415" s="53" t="s">
        <v>2306</v>
      </c>
      <c r="H1415" s="53">
        <v>1.0</v>
      </c>
      <c r="I1415" s="53">
        <v>0.7101449275362319</v>
      </c>
      <c r="J1415" s="53">
        <v>4.0</v>
      </c>
      <c r="K1415" s="53" t="s">
        <v>53</v>
      </c>
      <c r="L1415" s="53" t="s">
        <v>53</v>
      </c>
    </row>
    <row r="1416" ht="15.75" customHeight="1">
      <c r="A1416" s="53" t="s">
        <v>686</v>
      </c>
      <c r="B1416" s="53" t="s">
        <v>231</v>
      </c>
      <c r="D1416" s="53" t="s">
        <v>2314</v>
      </c>
      <c r="E1416" s="53" t="s">
        <v>2365</v>
      </c>
      <c r="F1416" s="53" t="s">
        <v>2589</v>
      </c>
      <c r="G1416" s="53" t="s">
        <v>2303</v>
      </c>
      <c r="H1416" s="53">
        <v>1.0</v>
      </c>
      <c r="I1416" s="53">
        <v>0.8061594202898551</v>
      </c>
      <c r="J1416" s="53">
        <v>2.0</v>
      </c>
      <c r="K1416" s="53" t="s">
        <v>53</v>
      </c>
      <c r="L1416" s="53" t="s">
        <v>2307</v>
      </c>
    </row>
    <row r="1417" ht="15.75" customHeight="1">
      <c r="A1417" s="53" t="s">
        <v>686</v>
      </c>
      <c r="B1417" s="53" t="s">
        <v>231</v>
      </c>
      <c r="D1417" s="53" t="s">
        <v>2314</v>
      </c>
      <c r="E1417" s="53" t="s">
        <v>2367</v>
      </c>
      <c r="F1417" s="53" t="s">
        <v>2589</v>
      </c>
      <c r="G1417" s="53" t="s">
        <v>2301</v>
      </c>
      <c r="H1417" s="53">
        <v>1.0</v>
      </c>
      <c r="I1417" s="53">
        <v>0.8260869565217391</v>
      </c>
      <c r="J1417" s="53">
        <v>3.0</v>
      </c>
      <c r="K1417" s="53" t="s">
        <v>53</v>
      </c>
      <c r="L1417" s="53" t="s">
        <v>2307</v>
      </c>
    </row>
    <row r="1418" ht="15.75" customHeight="1">
      <c r="A1418" s="53" t="s">
        <v>686</v>
      </c>
      <c r="B1418" s="53" t="s">
        <v>231</v>
      </c>
      <c r="D1418" s="53" t="s">
        <v>2297</v>
      </c>
      <c r="E1418" s="53" t="s">
        <v>2368</v>
      </c>
      <c r="F1418" s="53" t="s">
        <v>741</v>
      </c>
      <c r="G1418" s="53" t="s">
        <v>2293</v>
      </c>
      <c r="H1418" s="53">
        <v>1.0</v>
      </c>
      <c r="I1418" s="53">
        <v>0.12777777777777777</v>
      </c>
      <c r="J1418" s="53">
        <v>0.0</v>
      </c>
      <c r="K1418" s="53" t="s">
        <v>53</v>
      </c>
      <c r="L1418" s="53" t="s">
        <v>53</v>
      </c>
    </row>
    <row r="1419" ht="15.75" customHeight="1">
      <c r="A1419" s="53" t="s">
        <v>686</v>
      </c>
      <c r="B1419" s="53" t="s">
        <v>231</v>
      </c>
      <c r="D1419" s="53" t="s">
        <v>2297</v>
      </c>
      <c r="E1419" s="53" t="s">
        <v>2369</v>
      </c>
      <c r="F1419" s="53" t="s">
        <v>741</v>
      </c>
      <c r="G1419" s="53" t="s">
        <v>2295</v>
      </c>
      <c r="H1419" s="53">
        <v>1.0</v>
      </c>
      <c r="I1419" s="53">
        <v>0.1834319526627219</v>
      </c>
      <c r="J1419" s="53">
        <v>6.0</v>
      </c>
      <c r="K1419" s="53" t="s">
        <v>53</v>
      </c>
      <c r="L1419" s="53" t="s">
        <v>53</v>
      </c>
    </row>
    <row r="1420" ht="15.75" customHeight="1">
      <c r="A1420" s="53" t="s">
        <v>686</v>
      </c>
      <c r="B1420" s="53" t="s">
        <v>231</v>
      </c>
      <c r="D1420" s="53" t="s">
        <v>2293</v>
      </c>
      <c r="E1420" s="53" t="s">
        <v>2370</v>
      </c>
      <c r="F1420" s="53" t="s">
        <v>741</v>
      </c>
      <c r="G1420" s="53" t="s">
        <v>2295</v>
      </c>
      <c r="H1420" s="53">
        <v>1.0</v>
      </c>
      <c r="I1420" s="53">
        <v>0.23333333333333334</v>
      </c>
      <c r="J1420" s="53">
        <v>5.0</v>
      </c>
      <c r="K1420" s="53" t="s">
        <v>53</v>
      </c>
      <c r="L1420" s="53" t="s">
        <v>53</v>
      </c>
    </row>
    <row r="1421" ht="15.75" customHeight="1">
      <c r="A1421" s="53" t="s">
        <v>686</v>
      </c>
      <c r="B1421" s="53" t="s">
        <v>231</v>
      </c>
      <c r="D1421" s="53" t="s">
        <v>2303</v>
      </c>
      <c r="E1421" s="53" t="s">
        <v>2371</v>
      </c>
      <c r="F1421" s="53" t="s">
        <v>2565</v>
      </c>
      <c r="G1421" s="53" t="s">
        <v>2301</v>
      </c>
      <c r="H1421" s="53">
        <v>1.0</v>
      </c>
      <c r="I1421" s="53">
        <v>0.17699115044247787</v>
      </c>
      <c r="J1421" s="53">
        <v>0.0</v>
      </c>
      <c r="K1421" s="53" t="s">
        <v>53</v>
      </c>
      <c r="L1421" s="53" t="s">
        <v>53</v>
      </c>
    </row>
    <row r="1422" ht="15.75" customHeight="1">
      <c r="A1422" s="53" t="s">
        <v>686</v>
      </c>
      <c r="B1422" s="53" t="s">
        <v>231</v>
      </c>
      <c r="D1422" s="53" t="s">
        <v>2303</v>
      </c>
      <c r="E1422" s="53" t="s">
        <v>2372</v>
      </c>
      <c r="F1422" s="53" t="s">
        <v>2566</v>
      </c>
      <c r="G1422" s="53" t="s">
        <v>2306</v>
      </c>
      <c r="H1422" s="53">
        <v>1.0</v>
      </c>
      <c r="I1422" s="53">
        <v>0.40606060606060607</v>
      </c>
      <c r="J1422" s="53">
        <v>1.0</v>
      </c>
      <c r="K1422" s="53" t="s">
        <v>53</v>
      </c>
      <c r="L1422" s="53" t="s">
        <v>2307</v>
      </c>
    </row>
    <row r="1423" ht="15.75" customHeight="1">
      <c r="A1423" s="53" t="s">
        <v>686</v>
      </c>
      <c r="B1423" s="53" t="s">
        <v>231</v>
      </c>
      <c r="D1423" s="53" t="s">
        <v>2303</v>
      </c>
      <c r="E1423" s="53" t="s">
        <v>2373</v>
      </c>
      <c r="F1423" s="53" t="s">
        <v>2566</v>
      </c>
      <c r="G1423" s="53" t="s">
        <v>2309</v>
      </c>
      <c r="H1423" s="53">
        <v>1.0</v>
      </c>
      <c r="I1423" s="53">
        <v>0.4166666666666667</v>
      </c>
      <c r="J1423" s="53">
        <v>3.0</v>
      </c>
      <c r="K1423" s="53" t="s">
        <v>53</v>
      </c>
      <c r="L1423" s="53" t="s">
        <v>2307</v>
      </c>
    </row>
    <row r="1424" ht="15.75" customHeight="1">
      <c r="A1424" s="53" t="s">
        <v>686</v>
      </c>
      <c r="B1424" s="53" t="s">
        <v>231</v>
      </c>
      <c r="D1424" s="53" t="s">
        <v>2303</v>
      </c>
      <c r="E1424" s="53" t="s">
        <v>2374</v>
      </c>
      <c r="F1424" s="53" t="s">
        <v>2569</v>
      </c>
      <c r="G1424" s="53" t="s">
        <v>2317</v>
      </c>
      <c r="H1424" s="53">
        <v>1.0</v>
      </c>
      <c r="I1424" s="53">
        <v>0.8262987012987013</v>
      </c>
      <c r="J1424" s="53">
        <v>5.0</v>
      </c>
      <c r="K1424" s="53" t="s">
        <v>53</v>
      </c>
      <c r="L1424" s="53" t="s">
        <v>2307</v>
      </c>
    </row>
    <row r="1425" ht="15.75" customHeight="1">
      <c r="A1425" s="53" t="s">
        <v>686</v>
      </c>
      <c r="B1425" s="53" t="s">
        <v>231</v>
      </c>
      <c r="D1425" s="53" t="s">
        <v>2301</v>
      </c>
      <c r="E1425" s="53" t="s">
        <v>2375</v>
      </c>
      <c r="F1425" s="53" t="s">
        <v>2566</v>
      </c>
      <c r="G1425" s="53" t="s">
        <v>2306</v>
      </c>
      <c r="H1425" s="53">
        <v>1.0</v>
      </c>
      <c r="I1425" s="53">
        <v>0.3939393939393939</v>
      </c>
      <c r="J1425" s="53">
        <v>0.0</v>
      </c>
      <c r="K1425" s="53" t="s">
        <v>53</v>
      </c>
      <c r="L1425" s="53" t="s">
        <v>2307</v>
      </c>
    </row>
    <row r="1426" ht="15.75" customHeight="1">
      <c r="A1426" s="53" t="s">
        <v>686</v>
      </c>
      <c r="B1426" s="53" t="s">
        <v>231</v>
      </c>
      <c r="D1426" s="53" t="s">
        <v>2301</v>
      </c>
      <c r="E1426" s="53" t="s">
        <v>2376</v>
      </c>
      <c r="F1426" s="53" t="s">
        <v>2566</v>
      </c>
      <c r="G1426" s="53" t="s">
        <v>2309</v>
      </c>
      <c r="H1426" s="53">
        <v>1.0</v>
      </c>
      <c r="I1426" s="53">
        <v>0.43452380952380953</v>
      </c>
      <c r="J1426" s="53">
        <v>2.0</v>
      </c>
      <c r="K1426" s="53" t="s">
        <v>53</v>
      </c>
      <c r="L1426" s="53" t="s">
        <v>2307</v>
      </c>
    </row>
    <row r="1427" ht="15.75" customHeight="1">
      <c r="A1427" s="53" t="s">
        <v>686</v>
      </c>
      <c r="B1427" s="53" t="s">
        <v>231</v>
      </c>
      <c r="D1427" s="53" t="s">
        <v>2301</v>
      </c>
      <c r="E1427" s="53" t="s">
        <v>2377</v>
      </c>
      <c r="F1427" s="53" t="s">
        <v>2569</v>
      </c>
      <c r="G1427" s="53" t="s">
        <v>2317</v>
      </c>
      <c r="H1427" s="53">
        <v>1.0</v>
      </c>
      <c r="I1427" s="53">
        <v>0.8441558441558441</v>
      </c>
      <c r="J1427" s="53">
        <v>4.0</v>
      </c>
      <c r="K1427" s="53" t="s">
        <v>53</v>
      </c>
      <c r="L1427" s="53" t="s">
        <v>2307</v>
      </c>
    </row>
    <row r="1428" ht="15.75" customHeight="1">
      <c r="A1428" s="53" t="s">
        <v>686</v>
      </c>
      <c r="B1428" s="53" t="s">
        <v>231</v>
      </c>
      <c r="D1428" s="53" t="s">
        <v>2306</v>
      </c>
      <c r="E1428" s="53" t="s">
        <v>2378</v>
      </c>
      <c r="F1428" s="53" t="s">
        <v>2590</v>
      </c>
      <c r="G1428" s="53" t="s">
        <v>2309</v>
      </c>
      <c r="H1428" s="53">
        <v>1.0</v>
      </c>
      <c r="I1428" s="53">
        <v>0.05952380952380952</v>
      </c>
      <c r="J1428" s="53">
        <v>1.0</v>
      </c>
      <c r="K1428" s="53" t="s">
        <v>53</v>
      </c>
      <c r="L1428" s="53" t="s">
        <v>53</v>
      </c>
    </row>
    <row r="1429" ht="15.75" customHeight="1">
      <c r="A1429" s="53" t="s">
        <v>686</v>
      </c>
      <c r="B1429" s="53" t="s">
        <v>231</v>
      </c>
      <c r="D1429" s="53" t="s">
        <v>2306</v>
      </c>
      <c r="E1429" s="53" t="s">
        <v>2380</v>
      </c>
      <c r="F1429" s="53" t="s">
        <v>2591</v>
      </c>
      <c r="G1429" s="53" t="s">
        <v>2317</v>
      </c>
      <c r="H1429" s="53">
        <v>1.0</v>
      </c>
      <c r="I1429" s="53">
        <v>0.7402597402597403</v>
      </c>
      <c r="J1429" s="53">
        <v>3.0</v>
      </c>
      <c r="K1429" s="53" t="s">
        <v>53</v>
      </c>
      <c r="L1429" s="53" t="s">
        <v>53</v>
      </c>
    </row>
    <row r="1430" ht="15.75" customHeight="1">
      <c r="A1430" s="53" t="s">
        <v>686</v>
      </c>
      <c r="B1430" s="53" t="s">
        <v>231</v>
      </c>
      <c r="D1430" s="53" t="s">
        <v>2309</v>
      </c>
      <c r="E1430" s="53" t="s">
        <v>2382</v>
      </c>
      <c r="F1430" s="53" t="s">
        <v>2591</v>
      </c>
      <c r="G1430" s="53" t="s">
        <v>2317</v>
      </c>
      <c r="H1430" s="53">
        <v>1.0</v>
      </c>
      <c r="I1430" s="53">
        <v>0.7288961038961039</v>
      </c>
      <c r="J1430" s="53">
        <v>1.0</v>
      </c>
      <c r="K1430" s="53" t="s">
        <v>53</v>
      </c>
      <c r="L1430" s="53" t="s">
        <v>53</v>
      </c>
    </row>
    <row r="1431" ht="15.75" customHeight="1">
      <c r="A1431" s="53" t="s">
        <v>686</v>
      </c>
      <c r="B1431" s="53" t="s">
        <v>231</v>
      </c>
      <c r="D1431" s="53" t="s">
        <v>1213</v>
      </c>
      <c r="E1431" s="53" t="s">
        <v>2383</v>
      </c>
      <c r="F1431" s="53" t="s">
        <v>2592</v>
      </c>
      <c r="G1431" s="53" t="s">
        <v>1216</v>
      </c>
      <c r="H1431" s="53">
        <v>1.0</v>
      </c>
      <c r="I1431" s="53">
        <v>0.2677165354330709</v>
      </c>
      <c r="J1431" s="53">
        <v>1.0</v>
      </c>
      <c r="K1431" s="53" t="s">
        <v>53</v>
      </c>
      <c r="L1431" s="53" t="s">
        <v>53</v>
      </c>
    </row>
    <row r="1432" ht="15.75" customHeight="1">
      <c r="A1432" s="53" t="s">
        <v>686</v>
      </c>
      <c r="B1432" s="53" t="s">
        <v>231</v>
      </c>
      <c r="D1432" s="53" t="s">
        <v>2385</v>
      </c>
      <c r="E1432" s="53" t="s">
        <v>2617</v>
      </c>
      <c r="F1432" s="53" t="s">
        <v>2593</v>
      </c>
      <c r="G1432" s="53" t="s">
        <v>2388</v>
      </c>
      <c r="H1432" s="53">
        <v>1.0</v>
      </c>
      <c r="I1432" s="53">
        <v>0.025714285714285714</v>
      </c>
      <c r="J1432" s="53">
        <v>0.0</v>
      </c>
      <c r="K1432" s="53" t="s">
        <v>53</v>
      </c>
      <c r="L1432" s="53" t="s">
        <v>53</v>
      </c>
    </row>
    <row r="1433" ht="15.75" customHeight="1">
      <c r="A1433" s="53" t="s">
        <v>2618</v>
      </c>
      <c r="B1433" s="53" t="s">
        <v>231</v>
      </c>
      <c r="D1433" s="53" t="s">
        <v>1368</v>
      </c>
      <c r="E1433" s="53" t="s">
        <v>2440</v>
      </c>
      <c r="F1433" s="53" t="s">
        <v>1375</v>
      </c>
      <c r="G1433" s="53" t="s">
        <v>1130</v>
      </c>
      <c r="H1433" s="53">
        <v>1.0</v>
      </c>
      <c r="I1433" s="53">
        <v>0.11688311688311688</v>
      </c>
      <c r="J1433" s="53">
        <v>0.0</v>
      </c>
      <c r="K1433" s="53" t="s">
        <v>53</v>
      </c>
      <c r="L1433" s="53" t="s">
        <v>53</v>
      </c>
    </row>
    <row r="1434" ht="15.75" customHeight="1">
      <c r="A1434" s="53" t="s">
        <v>2618</v>
      </c>
      <c r="B1434" s="53" t="s">
        <v>231</v>
      </c>
      <c r="D1434" s="53" t="s">
        <v>1368</v>
      </c>
      <c r="E1434" s="53" t="s">
        <v>2442</v>
      </c>
      <c r="F1434" s="53" t="s">
        <v>1375</v>
      </c>
      <c r="G1434" s="53" t="s">
        <v>1371</v>
      </c>
      <c r="H1434" s="53">
        <v>1.0</v>
      </c>
      <c r="I1434" s="53">
        <v>0.21637426900584794</v>
      </c>
      <c r="J1434" s="53">
        <v>1.0</v>
      </c>
      <c r="K1434" s="53" t="s">
        <v>53</v>
      </c>
      <c r="L1434" s="53" t="s">
        <v>53</v>
      </c>
    </row>
    <row r="1435" ht="15.75" customHeight="1">
      <c r="A1435" s="53" t="s">
        <v>2618</v>
      </c>
      <c r="B1435" s="53" t="s">
        <v>231</v>
      </c>
      <c r="D1435" s="53" t="s">
        <v>1130</v>
      </c>
      <c r="E1435" s="53" t="s">
        <v>2443</v>
      </c>
      <c r="F1435" s="53" t="s">
        <v>1375</v>
      </c>
      <c r="G1435" s="53" t="s">
        <v>1371</v>
      </c>
      <c r="H1435" s="53">
        <v>1.0</v>
      </c>
      <c r="I1435" s="53">
        <v>0.1111111111111111</v>
      </c>
      <c r="J1435" s="53">
        <v>0.0</v>
      </c>
      <c r="K1435" s="53" t="s">
        <v>53</v>
      </c>
      <c r="L1435" s="53" t="s">
        <v>53</v>
      </c>
    </row>
    <row r="1436" ht="15.75" customHeight="1">
      <c r="A1436" s="53" t="s">
        <v>563</v>
      </c>
      <c r="B1436" s="53" t="s">
        <v>231</v>
      </c>
      <c r="D1436" s="53" t="s">
        <v>1518</v>
      </c>
      <c r="E1436" s="53" t="s">
        <v>1956</v>
      </c>
      <c r="F1436" s="53" t="s">
        <v>2475</v>
      </c>
      <c r="G1436" s="53" t="s">
        <v>1521</v>
      </c>
      <c r="H1436" s="53">
        <v>0.75</v>
      </c>
      <c r="I1436" s="53">
        <v>0.13709677419354838</v>
      </c>
      <c r="J1436" s="53">
        <v>1.0</v>
      </c>
      <c r="K1436" s="53" t="s">
        <v>53</v>
      </c>
      <c r="L1436" s="53" t="s">
        <v>1523</v>
      </c>
    </row>
    <row r="1437" ht="15.75" customHeight="1">
      <c r="A1437" s="53" t="s">
        <v>563</v>
      </c>
      <c r="B1437" s="53" t="s">
        <v>231</v>
      </c>
      <c r="D1437" s="53" t="s">
        <v>1518</v>
      </c>
      <c r="E1437" s="53" t="s">
        <v>1959</v>
      </c>
      <c r="F1437" s="53" t="s">
        <v>2476</v>
      </c>
      <c r="G1437" s="53" t="s">
        <v>1526</v>
      </c>
      <c r="H1437" s="53">
        <v>0.8571428571428571</v>
      </c>
      <c r="I1437" s="53">
        <v>0.33064516129032256</v>
      </c>
      <c r="J1437" s="53">
        <v>0.0</v>
      </c>
      <c r="K1437" s="53" t="s">
        <v>53</v>
      </c>
      <c r="L1437" s="53" t="s">
        <v>1527</v>
      </c>
    </row>
    <row r="1438" ht="15.75" customHeight="1">
      <c r="A1438" s="53" t="s">
        <v>563</v>
      </c>
      <c r="B1438" s="53" t="s">
        <v>231</v>
      </c>
      <c r="D1438" s="53" t="s">
        <v>1961</v>
      </c>
      <c r="E1438" s="53" t="s">
        <v>1962</v>
      </c>
      <c r="F1438" s="53" t="s">
        <v>593</v>
      </c>
      <c r="G1438" s="53" t="s">
        <v>598</v>
      </c>
      <c r="H1438" s="53">
        <v>1.0</v>
      </c>
      <c r="I1438" s="53">
        <v>0.14492753623188406</v>
      </c>
      <c r="J1438" s="53">
        <v>2.0</v>
      </c>
      <c r="K1438" s="53" t="s">
        <v>53</v>
      </c>
      <c r="L1438" s="53" t="s">
        <v>53</v>
      </c>
    </row>
    <row r="1439" ht="15.75" customHeight="1">
      <c r="A1439" s="53" t="s">
        <v>563</v>
      </c>
      <c r="B1439" s="53" t="s">
        <v>231</v>
      </c>
      <c r="D1439" s="53" t="s">
        <v>1961</v>
      </c>
      <c r="E1439" s="53" t="s">
        <v>1964</v>
      </c>
      <c r="F1439" s="53" t="s">
        <v>593</v>
      </c>
      <c r="G1439" s="53" t="s">
        <v>1965</v>
      </c>
      <c r="H1439" s="53">
        <v>1.0</v>
      </c>
      <c r="I1439" s="53">
        <v>0.15217391304347827</v>
      </c>
      <c r="J1439" s="53">
        <v>6.0</v>
      </c>
      <c r="K1439" s="53" t="s">
        <v>53</v>
      </c>
      <c r="L1439" s="53" t="s">
        <v>53</v>
      </c>
    </row>
    <row r="1440" ht="15.75" customHeight="1">
      <c r="A1440" s="53" t="s">
        <v>563</v>
      </c>
      <c r="B1440" s="53" t="s">
        <v>231</v>
      </c>
      <c r="D1440" s="53" t="s">
        <v>1961</v>
      </c>
      <c r="E1440" s="53" t="s">
        <v>1966</v>
      </c>
      <c r="F1440" s="53" t="s">
        <v>593</v>
      </c>
      <c r="G1440" s="53" t="s">
        <v>589</v>
      </c>
      <c r="H1440" s="53">
        <v>1.0</v>
      </c>
      <c r="I1440" s="53">
        <v>0.18115942028985507</v>
      </c>
      <c r="J1440" s="53">
        <v>0.0</v>
      </c>
      <c r="K1440" s="53" t="s">
        <v>53</v>
      </c>
      <c r="L1440" s="53" t="s">
        <v>53</v>
      </c>
    </row>
    <row r="1441" ht="15.75" customHeight="1">
      <c r="A1441" s="53" t="s">
        <v>563</v>
      </c>
      <c r="B1441" s="53" t="s">
        <v>231</v>
      </c>
      <c r="D1441" s="53" t="s">
        <v>1961</v>
      </c>
      <c r="E1441" s="53" t="s">
        <v>1967</v>
      </c>
      <c r="F1441" s="53" t="s">
        <v>593</v>
      </c>
      <c r="G1441" s="53" t="s">
        <v>1968</v>
      </c>
      <c r="H1441" s="53">
        <v>1.0</v>
      </c>
      <c r="I1441" s="53">
        <v>0.18115942028985507</v>
      </c>
      <c r="J1441" s="53">
        <v>1.0</v>
      </c>
      <c r="K1441" s="53" t="s">
        <v>53</v>
      </c>
      <c r="L1441" s="53" t="s">
        <v>53</v>
      </c>
    </row>
    <row r="1442" ht="15.75" customHeight="1">
      <c r="A1442" s="53" t="s">
        <v>563</v>
      </c>
      <c r="B1442" s="53" t="s">
        <v>231</v>
      </c>
      <c r="D1442" s="53" t="s">
        <v>589</v>
      </c>
      <c r="E1442" s="53" t="s">
        <v>1969</v>
      </c>
      <c r="F1442" s="53" t="s">
        <v>593</v>
      </c>
      <c r="G1442" s="53" t="s">
        <v>1968</v>
      </c>
      <c r="H1442" s="53">
        <v>1.0</v>
      </c>
      <c r="I1442" s="53">
        <v>0.008130081300813009</v>
      </c>
      <c r="J1442" s="53">
        <v>0.0</v>
      </c>
      <c r="K1442" s="53" t="s">
        <v>53</v>
      </c>
      <c r="L1442" s="53" t="s">
        <v>53</v>
      </c>
    </row>
    <row r="1443" ht="15.75" customHeight="1">
      <c r="A1443" s="53" t="s">
        <v>563</v>
      </c>
      <c r="B1443" s="53" t="s">
        <v>231</v>
      </c>
      <c r="D1443" s="53" t="s">
        <v>589</v>
      </c>
      <c r="E1443" s="53" t="s">
        <v>1970</v>
      </c>
      <c r="F1443" s="53" t="s">
        <v>593</v>
      </c>
      <c r="G1443" s="53" t="s">
        <v>1965</v>
      </c>
      <c r="H1443" s="53">
        <v>1.0</v>
      </c>
      <c r="I1443" s="53">
        <v>0.0873015873015873</v>
      </c>
      <c r="J1443" s="53">
        <v>5.0</v>
      </c>
      <c r="K1443" s="53" t="s">
        <v>53</v>
      </c>
      <c r="L1443" s="53" t="s">
        <v>53</v>
      </c>
    </row>
    <row r="1444" ht="15.75" customHeight="1">
      <c r="A1444" s="53" t="s">
        <v>563</v>
      </c>
      <c r="B1444" s="53" t="s">
        <v>231</v>
      </c>
      <c r="D1444" s="53" t="s">
        <v>589</v>
      </c>
      <c r="E1444" s="53" t="s">
        <v>1971</v>
      </c>
      <c r="F1444" s="53" t="s">
        <v>593</v>
      </c>
      <c r="G1444" s="53" t="s">
        <v>598</v>
      </c>
      <c r="H1444" s="53">
        <v>1.0</v>
      </c>
      <c r="I1444" s="53">
        <v>0.21897810218978103</v>
      </c>
      <c r="J1444" s="53">
        <v>1.0</v>
      </c>
      <c r="K1444" s="53" t="s">
        <v>53</v>
      </c>
      <c r="L1444" s="53" t="s">
        <v>53</v>
      </c>
    </row>
    <row r="1445" ht="15.75" customHeight="1">
      <c r="A1445" s="53" t="s">
        <v>563</v>
      </c>
      <c r="B1445" s="53" t="s">
        <v>231</v>
      </c>
      <c r="D1445" s="53" t="s">
        <v>1968</v>
      </c>
      <c r="E1445" s="53" t="s">
        <v>1972</v>
      </c>
      <c r="F1445" s="53" t="s">
        <v>593</v>
      </c>
      <c r="G1445" s="53" t="s">
        <v>1965</v>
      </c>
      <c r="H1445" s="53">
        <v>1.0</v>
      </c>
      <c r="I1445" s="53">
        <v>0.0873015873015873</v>
      </c>
      <c r="J1445" s="53">
        <v>4.0</v>
      </c>
      <c r="K1445" s="53" t="s">
        <v>53</v>
      </c>
      <c r="L1445" s="53" t="s">
        <v>53</v>
      </c>
    </row>
    <row r="1446" ht="15.75" customHeight="1">
      <c r="A1446" s="53" t="s">
        <v>563</v>
      </c>
      <c r="B1446" s="53" t="s">
        <v>231</v>
      </c>
      <c r="D1446" s="53" t="s">
        <v>1968</v>
      </c>
      <c r="E1446" s="53" t="s">
        <v>1973</v>
      </c>
      <c r="F1446" s="53" t="s">
        <v>593</v>
      </c>
      <c r="G1446" s="53" t="s">
        <v>598</v>
      </c>
      <c r="H1446" s="53">
        <v>1.0</v>
      </c>
      <c r="I1446" s="53">
        <v>0.21897810218978103</v>
      </c>
      <c r="J1446" s="53">
        <v>0.0</v>
      </c>
      <c r="K1446" s="53" t="s">
        <v>53</v>
      </c>
      <c r="L1446" s="53" t="s">
        <v>53</v>
      </c>
    </row>
    <row r="1447" ht="15.75" customHeight="1">
      <c r="A1447" s="53" t="s">
        <v>563</v>
      </c>
      <c r="B1447" s="53" t="s">
        <v>231</v>
      </c>
      <c r="D1447" s="53" t="s">
        <v>598</v>
      </c>
      <c r="E1447" s="53" t="s">
        <v>1974</v>
      </c>
      <c r="F1447" s="53" t="s">
        <v>2477</v>
      </c>
      <c r="G1447" s="53" t="s">
        <v>1976</v>
      </c>
      <c r="H1447" s="53">
        <v>0.3333333333333333</v>
      </c>
      <c r="I1447" s="53">
        <v>0.043795620437956206</v>
      </c>
      <c r="J1447" s="53">
        <v>5.0</v>
      </c>
      <c r="K1447" s="53" t="s">
        <v>53</v>
      </c>
      <c r="L1447" s="53" t="s">
        <v>1523</v>
      </c>
    </row>
    <row r="1448" ht="15.75" customHeight="1">
      <c r="A1448" s="53" t="s">
        <v>563</v>
      </c>
      <c r="B1448" s="53" t="s">
        <v>231</v>
      </c>
      <c r="D1448" s="53" t="s">
        <v>598</v>
      </c>
      <c r="E1448" s="53" t="s">
        <v>1977</v>
      </c>
      <c r="F1448" s="53" t="s">
        <v>593</v>
      </c>
      <c r="G1448" s="53" t="s">
        <v>1965</v>
      </c>
      <c r="H1448" s="53">
        <v>1.0</v>
      </c>
      <c r="I1448" s="53">
        <v>0.24087591240875914</v>
      </c>
      <c r="J1448" s="53">
        <v>3.0</v>
      </c>
      <c r="K1448" s="53" t="s">
        <v>53</v>
      </c>
      <c r="L1448" s="53" t="s">
        <v>53</v>
      </c>
    </row>
    <row r="1449" ht="15.75" customHeight="1">
      <c r="A1449" s="53" t="s">
        <v>563</v>
      </c>
      <c r="B1449" s="53" t="s">
        <v>231</v>
      </c>
      <c r="D1449" s="53" t="s">
        <v>1508</v>
      </c>
      <c r="E1449" s="53" t="s">
        <v>1978</v>
      </c>
      <c r="F1449" s="53" t="s">
        <v>1510</v>
      </c>
      <c r="G1449" s="53" t="s">
        <v>1511</v>
      </c>
      <c r="H1449" s="53">
        <v>1.0</v>
      </c>
      <c r="I1449" s="53">
        <v>0.1</v>
      </c>
      <c r="J1449" s="53">
        <v>0.0</v>
      </c>
      <c r="K1449" s="53" t="s">
        <v>53</v>
      </c>
      <c r="L1449" s="53" t="s">
        <v>53</v>
      </c>
    </row>
    <row r="1450" ht="15.75" customHeight="1">
      <c r="A1450" s="53" t="s">
        <v>563</v>
      </c>
      <c r="B1450" s="53" t="s">
        <v>231</v>
      </c>
      <c r="D1450" s="53" t="s">
        <v>1508</v>
      </c>
      <c r="E1450" s="53" t="s">
        <v>1979</v>
      </c>
      <c r="F1450" s="53" t="s">
        <v>1510</v>
      </c>
      <c r="G1450" s="53" t="s">
        <v>1514</v>
      </c>
      <c r="H1450" s="53">
        <v>1.0</v>
      </c>
      <c r="I1450" s="53">
        <v>0.175</v>
      </c>
      <c r="J1450" s="53">
        <v>1.0</v>
      </c>
      <c r="K1450" s="53" t="s">
        <v>53</v>
      </c>
      <c r="L1450" s="53" t="s">
        <v>53</v>
      </c>
    </row>
    <row r="1451" ht="15.75" customHeight="1">
      <c r="A1451" s="53" t="s">
        <v>563</v>
      </c>
      <c r="B1451" s="53" t="s">
        <v>231</v>
      </c>
      <c r="D1451" s="53" t="s">
        <v>1511</v>
      </c>
      <c r="E1451" s="53" t="s">
        <v>1980</v>
      </c>
      <c r="F1451" s="53" t="s">
        <v>1510</v>
      </c>
      <c r="G1451" s="53" t="s">
        <v>1514</v>
      </c>
      <c r="H1451" s="53">
        <v>1.0</v>
      </c>
      <c r="I1451" s="53">
        <v>0.09166666666666666</v>
      </c>
      <c r="J1451" s="53">
        <v>0.0</v>
      </c>
      <c r="K1451" s="53" t="s">
        <v>53</v>
      </c>
      <c r="L1451" s="53" t="s">
        <v>53</v>
      </c>
    </row>
    <row r="1452" ht="15.75" customHeight="1">
      <c r="A1452" s="53" t="s">
        <v>563</v>
      </c>
      <c r="B1452" s="53" t="s">
        <v>231</v>
      </c>
      <c r="D1452" s="53" t="s">
        <v>1981</v>
      </c>
      <c r="E1452" s="53" t="s">
        <v>1982</v>
      </c>
      <c r="F1452" s="53" t="s">
        <v>2478</v>
      </c>
      <c r="G1452" s="53" t="s">
        <v>566</v>
      </c>
      <c r="H1452" s="53">
        <v>0.3333333333333333</v>
      </c>
      <c r="I1452" s="53">
        <v>0.09454545454545454</v>
      </c>
      <c r="J1452" s="53">
        <v>2.0</v>
      </c>
      <c r="K1452" s="53" t="s">
        <v>53</v>
      </c>
      <c r="L1452" s="53" t="s">
        <v>2479</v>
      </c>
    </row>
    <row r="1453" ht="15.75" customHeight="1">
      <c r="A1453" s="53" t="s">
        <v>563</v>
      </c>
      <c r="B1453" s="53" t="s">
        <v>231</v>
      </c>
      <c r="D1453" s="53" t="s">
        <v>1205</v>
      </c>
      <c r="E1453" s="53" t="s">
        <v>1985</v>
      </c>
      <c r="F1453" s="53" t="s">
        <v>2480</v>
      </c>
      <c r="G1453" s="53" t="s">
        <v>1208</v>
      </c>
      <c r="H1453" s="53">
        <v>1.0</v>
      </c>
      <c r="I1453" s="53">
        <v>0.039473684210526314</v>
      </c>
      <c r="J1453" s="53">
        <v>0.0</v>
      </c>
      <c r="K1453" s="53" t="s">
        <v>53</v>
      </c>
      <c r="L1453" s="53" t="s">
        <v>53</v>
      </c>
    </row>
    <row r="1454" ht="15.75" customHeight="1">
      <c r="A1454" s="53" t="s">
        <v>2619</v>
      </c>
      <c r="B1454" s="53" t="s">
        <v>231</v>
      </c>
      <c r="D1454" s="53" t="s">
        <v>1496</v>
      </c>
      <c r="E1454" s="53" t="s">
        <v>1995</v>
      </c>
      <c r="F1454" s="53" t="s">
        <v>1498</v>
      </c>
      <c r="G1454" s="53" t="s">
        <v>1499</v>
      </c>
      <c r="H1454" s="53">
        <v>0.5</v>
      </c>
      <c r="I1454" s="53">
        <v>0.06689965052421368</v>
      </c>
      <c r="J1454" s="53">
        <v>0.0</v>
      </c>
      <c r="K1454" s="53" t="s">
        <v>53</v>
      </c>
      <c r="L1454" s="53" t="s">
        <v>1501</v>
      </c>
    </row>
    <row r="1455" ht="15.75" customHeight="1">
      <c r="A1455" s="53" t="s">
        <v>2619</v>
      </c>
      <c r="B1455" s="53" t="s">
        <v>231</v>
      </c>
      <c r="D1455" s="53" t="s">
        <v>90</v>
      </c>
      <c r="E1455" s="53" t="s">
        <v>1997</v>
      </c>
      <c r="F1455" s="53" t="s">
        <v>2518</v>
      </c>
      <c r="G1455" s="53" t="s">
        <v>84</v>
      </c>
      <c r="H1455" s="53">
        <v>1.0</v>
      </c>
      <c r="I1455" s="53">
        <v>0.11339137645107794</v>
      </c>
      <c r="J1455" s="53">
        <v>5.0</v>
      </c>
      <c r="K1455" s="53" t="s">
        <v>53</v>
      </c>
      <c r="L1455" s="53" t="s">
        <v>53</v>
      </c>
    </row>
    <row r="1456" ht="15.75" customHeight="1">
      <c r="A1456" s="53" t="s">
        <v>2619</v>
      </c>
      <c r="B1456" s="53" t="s">
        <v>231</v>
      </c>
      <c r="D1456" s="53" t="s">
        <v>1999</v>
      </c>
      <c r="E1456" s="53" t="s">
        <v>2000</v>
      </c>
      <c r="F1456" s="53" t="s">
        <v>2519</v>
      </c>
      <c r="G1456" s="53" t="s">
        <v>2002</v>
      </c>
      <c r="H1456" s="53">
        <v>0.3333333333333333</v>
      </c>
      <c r="I1456" s="53">
        <v>0.02414833980163864</v>
      </c>
      <c r="J1456" s="53">
        <v>0.0</v>
      </c>
      <c r="K1456" s="53" t="s">
        <v>53</v>
      </c>
      <c r="L1456" s="53" t="s">
        <v>2520</v>
      </c>
    </row>
    <row r="1457" ht="15.75" customHeight="1">
      <c r="A1457" s="53" t="s">
        <v>2619</v>
      </c>
      <c r="B1457" s="53" t="s">
        <v>231</v>
      </c>
      <c r="D1457" s="53" t="s">
        <v>2004</v>
      </c>
      <c r="E1457" s="53" t="s">
        <v>2005</v>
      </c>
      <c r="F1457" s="53" t="s">
        <v>2521</v>
      </c>
      <c r="G1457" s="53" t="s">
        <v>2007</v>
      </c>
      <c r="H1457" s="53">
        <v>1.0</v>
      </c>
      <c r="I1457" s="53">
        <v>0.6180555555555556</v>
      </c>
      <c r="J1457" s="53">
        <v>0.0</v>
      </c>
      <c r="K1457" s="53" t="s">
        <v>53</v>
      </c>
      <c r="L1457" s="53" t="s">
        <v>53</v>
      </c>
    </row>
    <row r="1458" ht="15.75" customHeight="1">
      <c r="A1458" s="53" t="s">
        <v>2620</v>
      </c>
      <c r="B1458" s="53" t="s">
        <v>231</v>
      </c>
      <c r="D1458" s="53" t="s">
        <v>1345</v>
      </c>
      <c r="E1458" s="53" t="s">
        <v>2258</v>
      </c>
      <c r="F1458" s="53" t="s">
        <v>73</v>
      </c>
      <c r="G1458" s="53" t="s">
        <v>1347</v>
      </c>
      <c r="H1458" s="53">
        <v>1.0</v>
      </c>
      <c r="I1458" s="53">
        <v>0.18181818181818182</v>
      </c>
      <c r="J1458" s="53">
        <v>4.0</v>
      </c>
      <c r="K1458" s="53" t="s">
        <v>53</v>
      </c>
      <c r="L1458" s="53" t="s">
        <v>53</v>
      </c>
    </row>
    <row r="1459" ht="15.75" customHeight="1">
      <c r="A1459" s="53" t="s">
        <v>2620</v>
      </c>
      <c r="B1459" s="53" t="s">
        <v>231</v>
      </c>
      <c r="D1459" s="53" t="s">
        <v>1345</v>
      </c>
      <c r="E1459" s="53" t="s">
        <v>2259</v>
      </c>
      <c r="F1459" s="53" t="s">
        <v>73</v>
      </c>
      <c r="G1459" s="53" t="s">
        <v>1349</v>
      </c>
      <c r="H1459" s="53">
        <v>1.0</v>
      </c>
      <c r="I1459" s="53">
        <v>0.18181818181818182</v>
      </c>
      <c r="J1459" s="53">
        <v>0.0</v>
      </c>
      <c r="K1459" s="53" t="s">
        <v>53</v>
      </c>
      <c r="L1459" s="53" t="s">
        <v>53</v>
      </c>
    </row>
    <row r="1460" ht="15.75" customHeight="1">
      <c r="A1460" s="53" t="s">
        <v>2620</v>
      </c>
      <c r="B1460" s="53" t="s">
        <v>231</v>
      </c>
      <c r="D1460" s="53" t="s">
        <v>1345</v>
      </c>
      <c r="E1460" s="53" t="s">
        <v>2260</v>
      </c>
      <c r="F1460" s="53" t="s">
        <v>73</v>
      </c>
      <c r="G1460" s="53" t="s">
        <v>1351</v>
      </c>
      <c r="H1460" s="53">
        <v>1.0</v>
      </c>
      <c r="I1460" s="53">
        <v>0.20454545454545456</v>
      </c>
      <c r="J1460" s="53">
        <v>1.0</v>
      </c>
      <c r="K1460" s="53" t="s">
        <v>53</v>
      </c>
      <c r="L1460" s="53" t="s">
        <v>53</v>
      </c>
    </row>
    <row r="1461" ht="15.75" customHeight="1">
      <c r="A1461" s="53" t="s">
        <v>2620</v>
      </c>
      <c r="B1461" s="53" t="s">
        <v>231</v>
      </c>
      <c r="D1461" s="53" t="s">
        <v>1345</v>
      </c>
      <c r="E1461" s="53" t="s">
        <v>2261</v>
      </c>
      <c r="F1461" s="53" t="s">
        <v>73</v>
      </c>
      <c r="G1461" s="53" t="s">
        <v>1353</v>
      </c>
      <c r="H1461" s="53">
        <v>1.0</v>
      </c>
      <c r="I1461" s="53">
        <v>0.20454545454545456</v>
      </c>
      <c r="J1461" s="53">
        <v>2.0</v>
      </c>
      <c r="K1461" s="53" t="s">
        <v>53</v>
      </c>
      <c r="L1461" s="53" t="s">
        <v>53</v>
      </c>
    </row>
    <row r="1462" ht="15.75" customHeight="1">
      <c r="A1462" s="53" t="s">
        <v>2620</v>
      </c>
      <c r="B1462" s="53" t="s">
        <v>231</v>
      </c>
      <c r="D1462" s="53" t="s">
        <v>1345</v>
      </c>
      <c r="E1462" s="53" t="s">
        <v>2262</v>
      </c>
      <c r="F1462" s="53" t="s">
        <v>73</v>
      </c>
      <c r="G1462" s="53" t="s">
        <v>1355</v>
      </c>
      <c r="H1462" s="53">
        <v>1.0</v>
      </c>
      <c r="I1462" s="53">
        <v>0.20454545454545456</v>
      </c>
      <c r="J1462" s="53">
        <v>3.0</v>
      </c>
      <c r="K1462" s="53" t="s">
        <v>53</v>
      </c>
      <c r="L1462" s="53" t="s">
        <v>53</v>
      </c>
    </row>
    <row r="1463" ht="15.75" customHeight="1">
      <c r="A1463" s="53" t="s">
        <v>2620</v>
      </c>
      <c r="B1463" s="53" t="s">
        <v>231</v>
      </c>
      <c r="D1463" s="53" t="s">
        <v>1349</v>
      </c>
      <c r="E1463" s="53" t="s">
        <v>2263</v>
      </c>
      <c r="F1463" s="53" t="s">
        <v>73</v>
      </c>
      <c r="G1463" s="53" t="s">
        <v>1351</v>
      </c>
      <c r="H1463" s="53">
        <v>1.0</v>
      </c>
      <c r="I1463" s="53">
        <v>0.15476190476190477</v>
      </c>
      <c r="J1463" s="53">
        <v>0.0</v>
      </c>
      <c r="K1463" s="53" t="s">
        <v>53</v>
      </c>
      <c r="L1463" s="53" t="s">
        <v>53</v>
      </c>
    </row>
    <row r="1464" ht="15.75" customHeight="1">
      <c r="A1464" s="53" t="s">
        <v>2620</v>
      </c>
      <c r="B1464" s="53" t="s">
        <v>231</v>
      </c>
      <c r="D1464" s="53" t="s">
        <v>1349</v>
      </c>
      <c r="E1464" s="53" t="s">
        <v>2264</v>
      </c>
      <c r="F1464" s="53" t="s">
        <v>73</v>
      </c>
      <c r="G1464" s="53" t="s">
        <v>1353</v>
      </c>
      <c r="H1464" s="53">
        <v>1.0</v>
      </c>
      <c r="I1464" s="53">
        <v>0.15476190476190477</v>
      </c>
      <c r="J1464" s="53">
        <v>1.0</v>
      </c>
      <c r="K1464" s="53" t="s">
        <v>53</v>
      </c>
      <c r="L1464" s="53" t="s">
        <v>53</v>
      </c>
    </row>
    <row r="1465" ht="15.75" customHeight="1">
      <c r="A1465" s="53" t="s">
        <v>2620</v>
      </c>
      <c r="B1465" s="53" t="s">
        <v>231</v>
      </c>
      <c r="D1465" s="53" t="s">
        <v>1349</v>
      </c>
      <c r="E1465" s="53" t="s">
        <v>2265</v>
      </c>
      <c r="F1465" s="53" t="s">
        <v>73</v>
      </c>
      <c r="G1465" s="53" t="s">
        <v>1347</v>
      </c>
      <c r="H1465" s="53">
        <v>1.0</v>
      </c>
      <c r="I1465" s="53">
        <v>0.15476190476190477</v>
      </c>
      <c r="J1465" s="53">
        <v>3.0</v>
      </c>
      <c r="K1465" s="53" t="s">
        <v>53</v>
      </c>
      <c r="L1465" s="53" t="s">
        <v>53</v>
      </c>
    </row>
    <row r="1466" ht="15.75" customHeight="1">
      <c r="A1466" s="53" t="s">
        <v>2620</v>
      </c>
      <c r="B1466" s="53" t="s">
        <v>231</v>
      </c>
      <c r="D1466" s="53" t="s">
        <v>1349</v>
      </c>
      <c r="E1466" s="53" t="s">
        <v>2266</v>
      </c>
      <c r="F1466" s="53" t="s">
        <v>73</v>
      </c>
      <c r="G1466" s="53" t="s">
        <v>1355</v>
      </c>
      <c r="H1466" s="53">
        <v>1.0</v>
      </c>
      <c r="I1466" s="53">
        <v>0.15476190476190477</v>
      </c>
      <c r="J1466" s="53">
        <v>2.0</v>
      </c>
      <c r="K1466" s="53" t="s">
        <v>53</v>
      </c>
      <c r="L1466" s="53" t="s">
        <v>53</v>
      </c>
    </row>
    <row r="1467" ht="15.75" customHeight="1">
      <c r="A1467" s="53" t="s">
        <v>2620</v>
      </c>
      <c r="B1467" s="53" t="s">
        <v>231</v>
      </c>
      <c r="D1467" s="53" t="s">
        <v>1351</v>
      </c>
      <c r="E1467" s="53" t="s">
        <v>2267</v>
      </c>
      <c r="F1467" s="53" t="s">
        <v>73</v>
      </c>
      <c r="G1467" s="53" t="s">
        <v>1353</v>
      </c>
      <c r="H1467" s="53">
        <v>1.0</v>
      </c>
      <c r="I1467" s="53">
        <v>0.047619047619047616</v>
      </c>
      <c r="J1467" s="53">
        <v>0.0</v>
      </c>
      <c r="K1467" s="53" t="s">
        <v>53</v>
      </c>
      <c r="L1467" s="53" t="s">
        <v>53</v>
      </c>
    </row>
    <row r="1468" ht="15.75" customHeight="1">
      <c r="A1468" s="53" t="s">
        <v>2620</v>
      </c>
      <c r="B1468" s="53" t="s">
        <v>231</v>
      </c>
      <c r="D1468" s="53" t="s">
        <v>1351</v>
      </c>
      <c r="E1468" s="53" t="s">
        <v>2268</v>
      </c>
      <c r="F1468" s="53" t="s">
        <v>73</v>
      </c>
      <c r="G1468" s="53" t="s">
        <v>1355</v>
      </c>
      <c r="H1468" s="53">
        <v>1.0</v>
      </c>
      <c r="I1468" s="53">
        <v>0.047619047619047616</v>
      </c>
      <c r="J1468" s="53">
        <v>1.0</v>
      </c>
      <c r="K1468" s="53" t="s">
        <v>53</v>
      </c>
      <c r="L1468" s="53" t="s">
        <v>53</v>
      </c>
    </row>
    <row r="1469" ht="15.75" customHeight="1">
      <c r="A1469" s="53" t="s">
        <v>2620</v>
      </c>
      <c r="B1469" s="53" t="s">
        <v>231</v>
      </c>
      <c r="D1469" s="53" t="s">
        <v>1351</v>
      </c>
      <c r="E1469" s="53" t="s">
        <v>2269</v>
      </c>
      <c r="F1469" s="53" t="s">
        <v>73</v>
      </c>
      <c r="G1469" s="53" t="s">
        <v>1347</v>
      </c>
      <c r="H1469" s="53">
        <v>1.0</v>
      </c>
      <c r="I1469" s="53">
        <v>0.05</v>
      </c>
      <c r="J1469" s="53">
        <v>2.0</v>
      </c>
      <c r="K1469" s="53" t="s">
        <v>53</v>
      </c>
      <c r="L1469" s="53" t="s">
        <v>53</v>
      </c>
    </row>
    <row r="1470" ht="15.75" customHeight="1">
      <c r="A1470" s="53" t="s">
        <v>2620</v>
      </c>
      <c r="B1470" s="53" t="s">
        <v>231</v>
      </c>
      <c r="D1470" s="53" t="s">
        <v>1353</v>
      </c>
      <c r="E1470" s="53" t="s">
        <v>2270</v>
      </c>
      <c r="F1470" s="53" t="s">
        <v>73</v>
      </c>
      <c r="G1470" s="53" t="s">
        <v>1355</v>
      </c>
      <c r="H1470" s="53">
        <v>1.0</v>
      </c>
      <c r="I1470" s="53">
        <v>0.023809523809523808</v>
      </c>
      <c r="J1470" s="53">
        <v>0.0</v>
      </c>
      <c r="K1470" s="53" t="s">
        <v>53</v>
      </c>
      <c r="L1470" s="53" t="s">
        <v>53</v>
      </c>
    </row>
    <row r="1471" ht="15.75" customHeight="1">
      <c r="A1471" s="53" t="s">
        <v>2620</v>
      </c>
      <c r="B1471" s="53" t="s">
        <v>231</v>
      </c>
      <c r="D1471" s="53" t="s">
        <v>1353</v>
      </c>
      <c r="E1471" s="53" t="s">
        <v>2271</v>
      </c>
      <c r="F1471" s="53" t="s">
        <v>73</v>
      </c>
      <c r="G1471" s="53" t="s">
        <v>1347</v>
      </c>
      <c r="H1471" s="53">
        <v>1.0</v>
      </c>
      <c r="I1471" s="53">
        <v>0.09523809523809523</v>
      </c>
      <c r="J1471" s="53">
        <v>1.0</v>
      </c>
      <c r="K1471" s="53" t="s">
        <v>53</v>
      </c>
      <c r="L1471" s="53" t="s">
        <v>53</v>
      </c>
    </row>
    <row r="1472" ht="15.75" customHeight="1">
      <c r="A1472" s="53" t="s">
        <v>2620</v>
      </c>
      <c r="B1472" s="53" t="s">
        <v>231</v>
      </c>
      <c r="D1472" s="53" t="s">
        <v>1355</v>
      </c>
      <c r="E1472" s="53" t="s">
        <v>2272</v>
      </c>
      <c r="F1472" s="53" t="s">
        <v>73</v>
      </c>
      <c r="G1472" s="53" t="s">
        <v>1347</v>
      </c>
      <c r="H1472" s="53">
        <v>1.0</v>
      </c>
      <c r="I1472" s="53">
        <v>0.09523809523809523</v>
      </c>
      <c r="J1472" s="53">
        <v>0.0</v>
      </c>
      <c r="K1472" s="53" t="s">
        <v>53</v>
      </c>
      <c r="L1472" s="53" t="s">
        <v>53</v>
      </c>
    </row>
    <row r="1473" ht="15.75" customHeight="1">
      <c r="A1473" s="53" t="s">
        <v>762</v>
      </c>
      <c r="B1473" s="53" t="s">
        <v>231</v>
      </c>
      <c r="D1473" s="53" t="s">
        <v>1736</v>
      </c>
      <c r="E1473" s="53" t="s">
        <v>2421</v>
      </c>
      <c r="F1473" s="53" t="s">
        <v>2449</v>
      </c>
      <c r="G1473" s="53" t="s">
        <v>539</v>
      </c>
      <c r="H1473" s="53">
        <v>1.0</v>
      </c>
      <c r="I1473" s="53">
        <v>0.4188034188034188</v>
      </c>
      <c r="J1473" s="53">
        <v>0.0</v>
      </c>
      <c r="K1473" s="53" t="s">
        <v>53</v>
      </c>
      <c r="L1473" s="53" t="s">
        <v>53</v>
      </c>
    </row>
    <row r="1474" ht="15.75" customHeight="1">
      <c r="A1474" s="53" t="s">
        <v>762</v>
      </c>
      <c r="B1474" s="53" t="s">
        <v>231</v>
      </c>
      <c r="D1474" s="53" t="s">
        <v>1736</v>
      </c>
      <c r="E1474" s="53" t="s">
        <v>2423</v>
      </c>
      <c r="F1474" s="53" t="s">
        <v>2449</v>
      </c>
      <c r="G1474" s="53" t="s">
        <v>1742</v>
      </c>
      <c r="H1474" s="53">
        <v>1.0</v>
      </c>
      <c r="I1474" s="53">
        <v>0.6282051282051282</v>
      </c>
      <c r="J1474" s="53">
        <v>4.0</v>
      </c>
      <c r="K1474" s="53" t="s">
        <v>53</v>
      </c>
      <c r="L1474" s="53" t="s">
        <v>53</v>
      </c>
    </row>
    <row r="1475" ht="15.75" customHeight="1">
      <c r="A1475" s="53" t="s">
        <v>762</v>
      </c>
      <c r="B1475" s="53" t="s">
        <v>231</v>
      </c>
      <c r="D1475" s="53" t="s">
        <v>539</v>
      </c>
      <c r="E1475" s="53" t="s">
        <v>2424</v>
      </c>
      <c r="F1475" s="53" t="s">
        <v>2449</v>
      </c>
      <c r="G1475" s="53" t="s">
        <v>1742</v>
      </c>
      <c r="H1475" s="53">
        <v>1.0</v>
      </c>
      <c r="I1475" s="53">
        <v>0.6376146788990825</v>
      </c>
      <c r="J1475" s="53">
        <v>3.0</v>
      </c>
      <c r="K1475" s="53" t="s">
        <v>53</v>
      </c>
      <c r="L1475" s="53" t="s">
        <v>53</v>
      </c>
    </row>
    <row r="1476" ht="15.75" customHeight="1">
      <c r="A1476" s="53" t="s">
        <v>762</v>
      </c>
      <c r="B1476" s="53" t="s">
        <v>231</v>
      </c>
      <c r="D1476" s="53" t="s">
        <v>1022</v>
      </c>
      <c r="E1476" s="53" t="s">
        <v>2425</v>
      </c>
      <c r="F1476" s="53" t="s">
        <v>2450</v>
      </c>
      <c r="G1476" s="53" t="s">
        <v>169</v>
      </c>
      <c r="H1476" s="53">
        <v>0.3333333333333333</v>
      </c>
      <c r="I1476" s="53">
        <v>0.04736842105263158</v>
      </c>
      <c r="J1476" s="53">
        <v>0.0</v>
      </c>
      <c r="K1476" s="53" t="s">
        <v>53</v>
      </c>
      <c r="L1476" s="53" t="s">
        <v>2451</v>
      </c>
    </row>
    <row r="1477" ht="15.75" customHeight="1">
      <c r="A1477" s="53" t="s">
        <v>762</v>
      </c>
      <c r="B1477" s="53" t="s">
        <v>231</v>
      </c>
      <c r="D1477" s="53" t="s">
        <v>1749</v>
      </c>
      <c r="E1477" s="53" t="s">
        <v>2428</v>
      </c>
      <c r="F1477" s="53" t="s">
        <v>2452</v>
      </c>
      <c r="G1477" s="53" t="s">
        <v>1752</v>
      </c>
      <c r="H1477" s="53">
        <v>0.5</v>
      </c>
      <c r="I1477" s="53">
        <v>0.1</v>
      </c>
      <c r="J1477" s="53">
        <v>1.0</v>
      </c>
      <c r="K1477" s="53" t="s">
        <v>53</v>
      </c>
      <c r="L1477" s="53" t="s">
        <v>2451</v>
      </c>
    </row>
    <row r="1478" ht="15.75" customHeight="1">
      <c r="A1478" s="53" t="s">
        <v>724</v>
      </c>
      <c r="B1478" s="53" t="s">
        <v>231</v>
      </c>
      <c r="D1478" s="53" t="s">
        <v>189</v>
      </c>
      <c r="E1478" s="53" t="s">
        <v>2282</v>
      </c>
      <c r="F1478" s="53" t="s">
        <v>193</v>
      </c>
      <c r="G1478" s="53" t="s">
        <v>727</v>
      </c>
      <c r="H1478" s="53">
        <v>1.0</v>
      </c>
      <c r="I1478" s="53">
        <v>0.045454545454545456</v>
      </c>
      <c r="J1478" s="53">
        <v>0.0</v>
      </c>
      <c r="K1478" s="53" t="s">
        <v>53</v>
      </c>
      <c r="L1478" s="53" t="s">
        <v>53</v>
      </c>
    </row>
    <row r="1479" ht="15.75" customHeight="1">
      <c r="A1479" s="53" t="s">
        <v>724</v>
      </c>
      <c r="B1479" s="53" t="s">
        <v>231</v>
      </c>
      <c r="D1479" s="53" t="s">
        <v>189</v>
      </c>
      <c r="E1479" s="53" t="s">
        <v>191</v>
      </c>
      <c r="F1479" s="53" t="s">
        <v>193</v>
      </c>
      <c r="G1479" s="53" t="s">
        <v>195</v>
      </c>
      <c r="H1479" s="53">
        <v>1.0</v>
      </c>
      <c r="I1479" s="53">
        <v>0.1568627450980392</v>
      </c>
      <c r="J1479" s="53">
        <v>1.0</v>
      </c>
      <c r="K1479" s="53" t="s">
        <v>53</v>
      </c>
      <c r="L1479" s="53" t="s">
        <v>53</v>
      </c>
    </row>
    <row r="1480" ht="15.75" customHeight="1">
      <c r="A1480" s="53" t="s">
        <v>724</v>
      </c>
      <c r="B1480" s="53" t="s">
        <v>231</v>
      </c>
      <c r="D1480" s="53" t="s">
        <v>727</v>
      </c>
      <c r="E1480" s="53" t="s">
        <v>2283</v>
      </c>
      <c r="F1480" s="53" t="s">
        <v>193</v>
      </c>
      <c r="G1480" s="53" t="s">
        <v>195</v>
      </c>
      <c r="H1480" s="53">
        <v>1.0</v>
      </c>
      <c r="I1480" s="53">
        <v>0.1568627450980392</v>
      </c>
      <c r="J1480" s="53">
        <v>0.0</v>
      </c>
      <c r="K1480" s="53" t="s">
        <v>53</v>
      </c>
      <c r="L1480" s="53" t="s">
        <v>53</v>
      </c>
    </row>
    <row r="1481" ht="15.75" customHeight="1">
      <c r="A1481" s="53" t="s">
        <v>724</v>
      </c>
      <c r="B1481" s="53" t="s">
        <v>231</v>
      </c>
      <c r="D1481" s="53" t="s">
        <v>2284</v>
      </c>
      <c r="E1481" s="53" t="s">
        <v>2621</v>
      </c>
      <c r="F1481" s="53" t="s">
        <v>145</v>
      </c>
      <c r="G1481" s="53" t="s">
        <v>2286</v>
      </c>
      <c r="H1481" s="53">
        <v>1.0</v>
      </c>
      <c r="I1481" s="53">
        <v>0.03875968992248062</v>
      </c>
      <c r="J1481" s="53">
        <v>0.0</v>
      </c>
      <c r="K1481" s="53" t="s">
        <v>53</v>
      </c>
      <c r="L1481" s="53" t="s">
        <v>53</v>
      </c>
    </row>
    <row r="1482" ht="15.75" customHeight="1">
      <c r="A1482" s="53" t="s">
        <v>724</v>
      </c>
      <c r="B1482" s="53" t="s">
        <v>231</v>
      </c>
      <c r="D1482" s="53" t="s">
        <v>2284</v>
      </c>
      <c r="E1482" s="53" t="s">
        <v>2622</v>
      </c>
      <c r="F1482" s="53" t="s">
        <v>145</v>
      </c>
      <c r="G1482" s="53" t="s">
        <v>1626</v>
      </c>
      <c r="H1482" s="53">
        <v>1.0</v>
      </c>
      <c r="I1482" s="53">
        <v>0.748062015503876</v>
      </c>
      <c r="J1482" s="53">
        <v>1.0</v>
      </c>
      <c r="K1482" s="53" t="s">
        <v>53</v>
      </c>
      <c r="L1482" s="53" t="s">
        <v>53</v>
      </c>
    </row>
    <row r="1483" ht="15.75" customHeight="1">
      <c r="A1483" s="53" t="s">
        <v>724</v>
      </c>
      <c r="B1483" s="53" t="s">
        <v>231</v>
      </c>
      <c r="D1483" s="53" t="s">
        <v>2286</v>
      </c>
      <c r="E1483" s="53" t="s">
        <v>2623</v>
      </c>
      <c r="F1483" s="53" t="s">
        <v>145</v>
      </c>
      <c r="G1483" s="53" t="s">
        <v>1626</v>
      </c>
      <c r="H1483" s="53">
        <v>1.0</v>
      </c>
      <c r="I1483" s="53">
        <v>0.7385229540918163</v>
      </c>
      <c r="J1483" s="53">
        <v>0.0</v>
      </c>
      <c r="K1483" s="53" t="s">
        <v>53</v>
      </c>
      <c r="L1483" s="53" t="s">
        <v>53</v>
      </c>
    </row>
    <row r="1484" ht="15.75" customHeight="1">
      <c r="A1484" s="53" t="s">
        <v>724</v>
      </c>
      <c r="B1484" s="53" t="s">
        <v>231</v>
      </c>
      <c r="D1484" s="53" t="s">
        <v>737</v>
      </c>
      <c r="E1484" s="53" t="s">
        <v>2289</v>
      </c>
      <c r="F1484" s="53" t="s">
        <v>741</v>
      </c>
      <c r="G1484" s="53" t="s">
        <v>1632</v>
      </c>
      <c r="H1484" s="53">
        <v>1.0</v>
      </c>
      <c r="I1484" s="53">
        <v>0.049079754601226995</v>
      </c>
      <c r="J1484" s="53">
        <v>0.0</v>
      </c>
      <c r="K1484" s="53" t="s">
        <v>53</v>
      </c>
      <c r="L1484" s="53" t="s">
        <v>53</v>
      </c>
    </row>
    <row r="1485" ht="15.75" customHeight="1">
      <c r="A1485" s="53" t="s">
        <v>1128</v>
      </c>
      <c r="B1485" s="53" t="s">
        <v>231</v>
      </c>
      <c r="D1485" s="53" t="s">
        <v>1368</v>
      </c>
      <c r="E1485" s="53" t="s">
        <v>1892</v>
      </c>
      <c r="F1485" s="53" t="s">
        <v>1134</v>
      </c>
      <c r="G1485" s="53" t="s">
        <v>1130</v>
      </c>
      <c r="H1485" s="53">
        <v>1.0</v>
      </c>
      <c r="I1485" s="53">
        <v>0.11688311688311688</v>
      </c>
      <c r="J1485" s="53">
        <v>0.0</v>
      </c>
      <c r="K1485" s="53" t="s">
        <v>53</v>
      </c>
      <c r="L1485" s="53" t="s">
        <v>53</v>
      </c>
    </row>
    <row r="1486" ht="15.75" customHeight="1">
      <c r="A1486" s="53" t="s">
        <v>1128</v>
      </c>
      <c r="B1486" s="53" t="s">
        <v>231</v>
      </c>
      <c r="D1486" s="53" t="s">
        <v>1368</v>
      </c>
      <c r="E1486" s="53" t="s">
        <v>1894</v>
      </c>
      <c r="F1486" s="53" t="s">
        <v>1134</v>
      </c>
      <c r="G1486" s="53" t="s">
        <v>1371</v>
      </c>
      <c r="H1486" s="53">
        <v>1.0</v>
      </c>
      <c r="I1486" s="53">
        <v>0.21637426900584794</v>
      </c>
      <c r="J1486" s="53">
        <v>1.0</v>
      </c>
      <c r="K1486" s="53" t="s">
        <v>53</v>
      </c>
      <c r="L1486" s="53" t="s">
        <v>53</v>
      </c>
    </row>
    <row r="1487" ht="15.75" customHeight="1">
      <c r="A1487" s="53" t="s">
        <v>1128</v>
      </c>
      <c r="B1487" s="53" t="s">
        <v>231</v>
      </c>
      <c r="D1487" s="53" t="s">
        <v>1130</v>
      </c>
      <c r="E1487" s="53" t="s">
        <v>1895</v>
      </c>
      <c r="F1487" s="53" t="s">
        <v>1134</v>
      </c>
      <c r="G1487" s="53" t="s">
        <v>1371</v>
      </c>
      <c r="H1487" s="53">
        <v>1.0</v>
      </c>
      <c r="I1487" s="53">
        <v>0.1111111111111111</v>
      </c>
      <c r="J1487" s="53">
        <v>0.0</v>
      </c>
      <c r="K1487" s="53" t="s">
        <v>53</v>
      </c>
      <c r="L1487" s="53" t="s">
        <v>53</v>
      </c>
    </row>
    <row r="1488" ht="15.75" customHeight="1">
      <c r="A1488" s="53" t="s">
        <v>2624</v>
      </c>
      <c r="B1488" s="53" t="s">
        <v>231</v>
      </c>
      <c r="D1488" s="53" t="s">
        <v>1758</v>
      </c>
      <c r="E1488" s="53" t="s">
        <v>1759</v>
      </c>
      <c r="F1488" s="53" t="s">
        <v>2557</v>
      </c>
      <c r="G1488" s="53" t="s">
        <v>1739</v>
      </c>
      <c r="H1488" s="53">
        <v>0.8</v>
      </c>
      <c r="I1488" s="53">
        <v>0.6490939044481054</v>
      </c>
      <c r="J1488" s="53">
        <v>2.0</v>
      </c>
      <c r="K1488" s="53" t="s">
        <v>53</v>
      </c>
      <c r="L1488" s="53" t="s">
        <v>2558</v>
      </c>
    </row>
    <row r="1489" ht="15.75" customHeight="1">
      <c r="A1489" s="53" t="s">
        <v>2624</v>
      </c>
      <c r="B1489" s="53" t="s">
        <v>231</v>
      </c>
      <c r="D1489" s="53" t="s">
        <v>1758</v>
      </c>
      <c r="E1489" s="53" t="s">
        <v>1762</v>
      </c>
      <c r="F1489" s="53" t="s">
        <v>2557</v>
      </c>
      <c r="G1489" s="53" t="s">
        <v>232</v>
      </c>
      <c r="H1489" s="53">
        <v>0.8</v>
      </c>
      <c r="I1489" s="53">
        <v>0.6507413509060955</v>
      </c>
      <c r="J1489" s="53">
        <v>1.0</v>
      </c>
      <c r="K1489" s="53" t="s">
        <v>53</v>
      </c>
      <c r="L1489" s="53" t="s">
        <v>2558</v>
      </c>
    </row>
    <row r="1490" ht="15.75" customHeight="1">
      <c r="A1490" s="53" t="s">
        <v>2624</v>
      </c>
      <c r="B1490" s="53" t="s">
        <v>231</v>
      </c>
      <c r="D1490" s="53" t="s">
        <v>1758</v>
      </c>
      <c r="E1490" s="53" t="s">
        <v>1763</v>
      </c>
      <c r="F1490" s="53" t="s">
        <v>2557</v>
      </c>
      <c r="G1490" s="53" t="s">
        <v>1736</v>
      </c>
      <c r="H1490" s="53">
        <v>0.8</v>
      </c>
      <c r="I1490" s="53">
        <v>0.6507413509060955</v>
      </c>
      <c r="J1490" s="53">
        <v>0.0</v>
      </c>
      <c r="K1490" s="53" t="s">
        <v>53</v>
      </c>
      <c r="L1490" s="53" t="s">
        <v>2558</v>
      </c>
    </row>
    <row r="1491" ht="15.75" customHeight="1">
      <c r="A1491" s="53" t="s">
        <v>2624</v>
      </c>
      <c r="B1491" s="53" t="s">
        <v>231</v>
      </c>
      <c r="D1491" s="53" t="s">
        <v>1758</v>
      </c>
      <c r="E1491" s="53" t="s">
        <v>1764</v>
      </c>
      <c r="F1491" s="53" t="s">
        <v>2557</v>
      </c>
      <c r="G1491" s="53" t="s">
        <v>539</v>
      </c>
      <c r="H1491" s="53">
        <v>0.8</v>
      </c>
      <c r="I1491" s="53">
        <v>0.6803953871499177</v>
      </c>
      <c r="J1491" s="53">
        <v>3.0</v>
      </c>
      <c r="K1491" s="53" t="s">
        <v>53</v>
      </c>
      <c r="L1491" s="53" t="s">
        <v>2558</v>
      </c>
    </row>
    <row r="1492" ht="15.75" customHeight="1">
      <c r="A1492" s="53" t="s">
        <v>2624</v>
      </c>
      <c r="B1492" s="53" t="s">
        <v>231</v>
      </c>
      <c r="D1492" s="53" t="s">
        <v>1758</v>
      </c>
      <c r="E1492" s="53" t="s">
        <v>1765</v>
      </c>
      <c r="F1492" s="53" t="s">
        <v>2557</v>
      </c>
      <c r="G1492" s="53" t="s">
        <v>1742</v>
      </c>
      <c r="H1492" s="53">
        <v>0.8</v>
      </c>
      <c r="I1492" s="53">
        <v>0.6869851729818781</v>
      </c>
      <c r="J1492" s="53">
        <v>12.0</v>
      </c>
      <c r="K1492" s="53" t="s">
        <v>53</v>
      </c>
      <c r="L1492" s="53" t="s">
        <v>2558</v>
      </c>
    </row>
    <row r="1493" ht="15.75" customHeight="1">
      <c r="A1493" s="53" t="s">
        <v>2624</v>
      </c>
      <c r="B1493" s="53" t="s">
        <v>231</v>
      </c>
      <c r="D1493" s="53" t="s">
        <v>1736</v>
      </c>
      <c r="E1493" s="53" t="s">
        <v>1766</v>
      </c>
      <c r="F1493" s="53" t="s">
        <v>2559</v>
      </c>
      <c r="G1493" s="53" t="s">
        <v>1739</v>
      </c>
      <c r="H1493" s="53">
        <v>1.0</v>
      </c>
      <c r="I1493" s="53">
        <v>0.01818181818181818</v>
      </c>
      <c r="J1493" s="53">
        <v>1.0</v>
      </c>
      <c r="K1493" s="53" t="s">
        <v>53</v>
      </c>
      <c r="L1493" s="53" t="s">
        <v>53</v>
      </c>
    </row>
    <row r="1494" ht="15.75" customHeight="1">
      <c r="A1494" s="53" t="s">
        <v>2624</v>
      </c>
      <c r="B1494" s="53" t="s">
        <v>231</v>
      </c>
      <c r="D1494" s="53" t="s">
        <v>1736</v>
      </c>
      <c r="E1494" s="53" t="s">
        <v>1768</v>
      </c>
      <c r="F1494" s="53" t="s">
        <v>2559</v>
      </c>
      <c r="G1494" s="53" t="s">
        <v>232</v>
      </c>
      <c r="H1494" s="53">
        <v>1.0</v>
      </c>
      <c r="I1494" s="53">
        <v>0.043010752688172046</v>
      </c>
      <c r="J1494" s="53">
        <v>0.0</v>
      </c>
      <c r="K1494" s="53" t="s">
        <v>53</v>
      </c>
      <c r="L1494" s="53" t="s">
        <v>53</v>
      </c>
    </row>
    <row r="1495" ht="15.75" customHeight="1">
      <c r="A1495" s="53" t="s">
        <v>2624</v>
      </c>
      <c r="B1495" s="53" t="s">
        <v>231</v>
      </c>
      <c r="D1495" s="53" t="s">
        <v>1736</v>
      </c>
      <c r="E1495" s="53" t="s">
        <v>1769</v>
      </c>
      <c r="F1495" s="53" t="s">
        <v>2559</v>
      </c>
      <c r="G1495" s="53" t="s">
        <v>539</v>
      </c>
      <c r="H1495" s="53">
        <v>1.0</v>
      </c>
      <c r="I1495" s="53">
        <v>0.35766423357664234</v>
      </c>
      <c r="J1495" s="53">
        <v>2.0</v>
      </c>
      <c r="K1495" s="53" t="s">
        <v>53</v>
      </c>
      <c r="L1495" s="53" t="s">
        <v>53</v>
      </c>
    </row>
    <row r="1496" ht="15.75" customHeight="1">
      <c r="A1496" s="53" t="s">
        <v>2624</v>
      </c>
      <c r="B1496" s="53" t="s">
        <v>231</v>
      </c>
      <c r="D1496" s="53" t="s">
        <v>1736</v>
      </c>
      <c r="E1496" s="53" t="s">
        <v>1770</v>
      </c>
      <c r="F1496" s="53" t="s">
        <v>2559</v>
      </c>
      <c r="G1496" s="53" t="s">
        <v>1742</v>
      </c>
      <c r="H1496" s="53">
        <v>1.0</v>
      </c>
      <c r="I1496" s="53">
        <v>0.4858156028368794</v>
      </c>
      <c r="J1496" s="53">
        <v>11.0</v>
      </c>
      <c r="K1496" s="53" t="s">
        <v>53</v>
      </c>
      <c r="L1496" s="53" t="s">
        <v>53</v>
      </c>
    </row>
    <row r="1497" ht="15.75" customHeight="1">
      <c r="A1497" s="53" t="s">
        <v>2624</v>
      </c>
      <c r="B1497" s="53" t="s">
        <v>231</v>
      </c>
      <c r="D1497" s="53" t="s">
        <v>232</v>
      </c>
      <c r="E1497" s="53" t="s">
        <v>1771</v>
      </c>
      <c r="F1497" s="53" t="s">
        <v>2559</v>
      </c>
      <c r="G1497" s="53" t="s">
        <v>1739</v>
      </c>
      <c r="H1497" s="53">
        <v>1.0</v>
      </c>
      <c r="I1497" s="53">
        <v>0.043010752688172046</v>
      </c>
      <c r="J1497" s="53">
        <v>0.0</v>
      </c>
      <c r="K1497" s="53" t="s">
        <v>53</v>
      </c>
      <c r="L1497" s="53" t="s">
        <v>53</v>
      </c>
    </row>
    <row r="1498" ht="15.75" customHeight="1">
      <c r="A1498" s="53" t="s">
        <v>2624</v>
      </c>
      <c r="B1498" s="53" t="s">
        <v>231</v>
      </c>
      <c r="D1498" s="53" t="s">
        <v>232</v>
      </c>
      <c r="E1498" s="53" t="s">
        <v>1772</v>
      </c>
      <c r="F1498" s="53" t="s">
        <v>2559</v>
      </c>
      <c r="G1498" s="53" t="s">
        <v>539</v>
      </c>
      <c r="H1498" s="53">
        <v>1.0</v>
      </c>
      <c r="I1498" s="53">
        <v>0.3655913978494624</v>
      </c>
      <c r="J1498" s="53">
        <v>1.0</v>
      </c>
      <c r="K1498" s="53" t="s">
        <v>53</v>
      </c>
      <c r="L1498" s="53" t="s">
        <v>53</v>
      </c>
    </row>
    <row r="1499" ht="15.75" customHeight="1">
      <c r="A1499" s="53" t="s">
        <v>2624</v>
      </c>
      <c r="B1499" s="53" t="s">
        <v>231</v>
      </c>
      <c r="D1499" s="53" t="s">
        <v>232</v>
      </c>
      <c r="E1499" s="53" t="s">
        <v>1773</v>
      </c>
      <c r="F1499" s="53" t="s">
        <v>2559</v>
      </c>
      <c r="G1499" s="53" t="s">
        <v>1742</v>
      </c>
      <c r="H1499" s="53">
        <v>1.0</v>
      </c>
      <c r="I1499" s="53">
        <v>0.49645390070921985</v>
      </c>
      <c r="J1499" s="53">
        <v>10.0</v>
      </c>
      <c r="K1499" s="53" t="s">
        <v>53</v>
      </c>
      <c r="L1499" s="53" t="s">
        <v>53</v>
      </c>
    </row>
    <row r="1500" ht="15.75" customHeight="1">
      <c r="A1500" s="53" t="s">
        <v>2624</v>
      </c>
      <c r="B1500" s="53" t="s">
        <v>231</v>
      </c>
      <c r="D1500" s="53" t="s">
        <v>1739</v>
      </c>
      <c r="E1500" s="53" t="s">
        <v>1774</v>
      </c>
      <c r="F1500" s="53" t="s">
        <v>2559</v>
      </c>
      <c r="G1500" s="53" t="s">
        <v>539</v>
      </c>
      <c r="H1500" s="53">
        <v>1.0</v>
      </c>
      <c r="I1500" s="53">
        <v>0.36</v>
      </c>
      <c r="J1500" s="53">
        <v>0.0</v>
      </c>
      <c r="K1500" s="53" t="s">
        <v>53</v>
      </c>
      <c r="L1500" s="53" t="s">
        <v>53</v>
      </c>
    </row>
    <row r="1501" ht="15.75" customHeight="1">
      <c r="A1501" s="53" t="s">
        <v>2624</v>
      </c>
      <c r="B1501" s="53" t="s">
        <v>231</v>
      </c>
      <c r="D1501" s="53" t="s">
        <v>1739</v>
      </c>
      <c r="E1501" s="53" t="s">
        <v>1775</v>
      </c>
      <c r="F1501" s="53" t="s">
        <v>2559</v>
      </c>
      <c r="G1501" s="53" t="s">
        <v>1742</v>
      </c>
      <c r="H1501" s="53">
        <v>1.0</v>
      </c>
      <c r="I1501" s="53">
        <v>0.4858156028368794</v>
      </c>
      <c r="J1501" s="53">
        <v>9.0</v>
      </c>
      <c r="K1501" s="53" t="s">
        <v>53</v>
      </c>
      <c r="L1501" s="53" t="s">
        <v>53</v>
      </c>
    </row>
    <row r="1502" ht="15.75" customHeight="1">
      <c r="A1502" s="53" t="s">
        <v>2624</v>
      </c>
      <c r="B1502" s="53" t="s">
        <v>231</v>
      </c>
      <c r="D1502" s="53" t="s">
        <v>539</v>
      </c>
      <c r="E1502" s="53" t="s">
        <v>1776</v>
      </c>
      <c r="F1502" s="53" t="s">
        <v>2559</v>
      </c>
      <c r="G1502" s="53" t="s">
        <v>1742</v>
      </c>
      <c r="H1502" s="53">
        <v>1.0</v>
      </c>
      <c r="I1502" s="53">
        <v>0.524822695035461</v>
      </c>
      <c r="J1502" s="53">
        <v>8.0</v>
      </c>
      <c r="K1502" s="53" t="s">
        <v>53</v>
      </c>
      <c r="L1502" s="53" t="s">
        <v>53</v>
      </c>
    </row>
    <row r="1503" ht="15.75" customHeight="1">
      <c r="A1503" s="53" t="s">
        <v>2624</v>
      </c>
      <c r="B1503" s="53" t="s">
        <v>231</v>
      </c>
      <c r="D1503" s="53" t="s">
        <v>242</v>
      </c>
      <c r="E1503" s="53" t="s">
        <v>1777</v>
      </c>
      <c r="F1503" s="53" t="s">
        <v>2560</v>
      </c>
      <c r="G1503" s="53" t="s">
        <v>178</v>
      </c>
      <c r="H1503" s="53">
        <v>1.0</v>
      </c>
      <c r="I1503" s="53">
        <v>0.36824324324324326</v>
      </c>
      <c r="J1503" s="53">
        <v>7.0</v>
      </c>
      <c r="K1503" s="53" t="s">
        <v>53</v>
      </c>
      <c r="L1503" s="53" t="s">
        <v>53</v>
      </c>
    </row>
    <row r="1504" ht="15.75" customHeight="1">
      <c r="A1504" s="53" t="s">
        <v>2624</v>
      </c>
      <c r="B1504" s="53" t="s">
        <v>231</v>
      </c>
      <c r="D1504" s="53" t="s">
        <v>1022</v>
      </c>
      <c r="E1504" s="53" t="s">
        <v>1779</v>
      </c>
      <c r="F1504" s="53" t="s">
        <v>2561</v>
      </c>
      <c r="G1504" s="53" t="s">
        <v>169</v>
      </c>
      <c r="H1504" s="53">
        <v>0.3333333333333333</v>
      </c>
      <c r="I1504" s="53">
        <v>0.020202020202020204</v>
      </c>
      <c r="J1504" s="53">
        <v>0.0</v>
      </c>
      <c r="K1504" s="53" t="s">
        <v>53</v>
      </c>
      <c r="L1504" s="53" t="s">
        <v>2562</v>
      </c>
    </row>
    <row r="1505" ht="15.75" customHeight="1">
      <c r="A1505" s="53" t="s">
        <v>2624</v>
      </c>
      <c r="B1505" s="53" t="s">
        <v>231</v>
      </c>
      <c r="D1505" s="53" t="s">
        <v>1749</v>
      </c>
      <c r="E1505" s="53" t="s">
        <v>1782</v>
      </c>
      <c r="F1505" s="53" t="s">
        <v>2563</v>
      </c>
      <c r="G1505" s="53" t="s">
        <v>1752</v>
      </c>
      <c r="H1505" s="53">
        <v>0.7142857142857143</v>
      </c>
      <c r="I1505" s="53">
        <v>0.04074702886247878</v>
      </c>
      <c r="J1505" s="53">
        <v>1.0</v>
      </c>
      <c r="K1505" s="53" t="s">
        <v>53</v>
      </c>
      <c r="L1505" s="53" t="s">
        <v>2562</v>
      </c>
    </row>
    <row r="1506" ht="15.75" customHeight="1">
      <c r="A1506" s="53" t="s">
        <v>320</v>
      </c>
      <c r="B1506" s="53" t="s">
        <v>2625</v>
      </c>
      <c r="C1506" s="53" t="s">
        <v>231</v>
      </c>
      <c r="D1506" s="53" t="s">
        <v>299</v>
      </c>
      <c r="E1506" s="53" t="s">
        <v>2626</v>
      </c>
      <c r="F1506" s="53" t="s">
        <v>330</v>
      </c>
      <c r="G1506" s="53" t="s">
        <v>2627</v>
      </c>
      <c r="H1506" s="53">
        <v>1.0</v>
      </c>
      <c r="I1506" s="53">
        <v>0.3431151241534989</v>
      </c>
      <c r="J1506" s="53">
        <v>1.0</v>
      </c>
      <c r="K1506" s="53" t="s">
        <v>2628</v>
      </c>
      <c r="L1506" s="53" t="s">
        <v>53</v>
      </c>
    </row>
    <row r="1507" ht="15.75" customHeight="1">
      <c r="A1507" s="53" t="s">
        <v>320</v>
      </c>
      <c r="B1507" s="53" t="s">
        <v>2625</v>
      </c>
      <c r="C1507" s="53" t="s">
        <v>231</v>
      </c>
      <c r="D1507" s="53" t="s">
        <v>299</v>
      </c>
      <c r="E1507" s="53" t="s">
        <v>2629</v>
      </c>
      <c r="F1507" s="53" t="s">
        <v>330</v>
      </c>
      <c r="G1507" s="53" t="s">
        <v>2630</v>
      </c>
      <c r="H1507" s="53">
        <v>1.0</v>
      </c>
      <c r="I1507" s="53">
        <v>0.34988713318284426</v>
      </c>
      <c r="J1507" s="53">
        <v>0.0</v>
      </c>
      <c r="K1507" s="53" t="s">
        <v>2628</v>
      </c>
      <c r="L1507" s="53" t="s">
        <v>53</v>
      </c>
    </row>
    <row r="1508" ht="15.75" customHeight="1">
      <c r="A1508" s="53" t="s">
        <v>320</v>
      </c>
      <c r="B1508" s="53" t="s">
        <v>2625</v>
      </c>
      <c r="C1508" s="53" t="s">
        <v>231</v>
      </c>
      <c r="D1508" s="53" t="s">
        <v>2630</v>
      </c>
      <c r="E1508" s="53" t="s">
        <v>2631</v>
      </c>
      <c r="F1508" s="53" t="s">
        <v>330</v>
      </c>
      <c r="G1508" s="53" t="s">
        <v>2627</v>
      </c>
      <c r="H1508" s="53">
        <v>1.0</v>
      </c>
      <c r="I1508" s="53">
        <v>0.012903225806451613</v>
      </c>
      <c r="J1508" s="53">
        <v>0.0</v>
      </c>
      <c r="K1508" s="53" t="s">
        <v>2628</v>
      </c>
      <c r="L1508" s="53" t="s">
        <v>53</v>
      </c>
    </row>
    <row r="1509" ht="15.75" customHeight="1">
      <c r="A1509" s="53" t="s">
        <v>296</v>
      </c>
      <c r="B1509" s="53" t="s">
        <v>2632</v>
      </c>
      <c r="C1509" s="53" t="s">
        <v>231</v>
      </c>
      <c r="D1509" s="53" t="s">
        <v>299</v>
      </c>
      <c r="E1509" s="53" t="s">
        <v>2633</v>
      </c>
      <c r="F1509" s="53" t="s">
        <v>311</v>
      </c>
      <c r="G1509" s="53" t="s">
        <v>2627</v>
      </c>
      <c r="H1509" s="53">
        <v>1.0</v>
      </c>
      <c r="I1509" s="53">
        <v>0.31990521327014215</v>
      </c>
      <c r="J1509" s="53">
        <v>1.0</v>
      </c>
      <c r="K1509" s="53" t="s">
        <v>2628</v>
      </c>
      <c r="L1509" s="53" t="s">
        <v>53</v>
      </c>
    </row>
    <row r="1510" ht="15.75" customHeight="1">
      <c r="A1510" s="53" t="s">
        <v>296</v>
      </c>
      <c r="B1510" s="53" t="s">
        <v>2632</v>
      </c>
      <c r="C1510" s="53" t="s">
        <v>231</v>
      </c>
      <c r="D1510" s="53" t="s">
        <v>299</v>
      </c>
      <c r="E1510" s="53" t="s">
        <v>2634</v>
      </c>
      <c r="F1510" s="53" t="s">
        <v>311</v>
      </c>
      <c r="G1510" s="53" t="s">
        <v>2630</v>
      </c>
      <c r="H1510" s="53">
        <v>1.0</v>
      </c>
      <c r="I1510" s="53">
        <v>0.32701421800947866</v>
      </c>
      <c r="J1510" s="53">
        <v>0.0</v>
      </c>
      <c r="K1510" s="53" t="s">
        <v>2628</v>
      </c>
      <c r="L1510" s="53" t="s">
        <v>53</v>
      </c>
    </row>
    <row r="1511" ht="15.75" customHeight="1">
      <c r="A1511" s="53" t="s">
        <v>296</v>
      </c>
      <c r="B1511" s="53" t="s">
        <v>2632</v>
      </c>
      <c r="C1511" s="53" t="s">
        <v>231</v>
      </c>
      <c r="D1511" s="53" t="s">
        <v>2630</v>
      </c>
      <c r="E1511" s="53" t="s">
        <v>2635</v>
      </c>
      <c r="F1511" s="53" t="s">
        <v>311</v>
      </c>
      <c r="G1511" s="53" t="s">
        <v>2627</v>
      </c>
      <c r="H1511" s="53">
        <v>1.0</v>
      </c>
      <c r="I1511" s="53">
        <v>0.012903225806451613</v>
      </c>
      <c r="J1511" s="53">
        <v>0.0</v>
      </c>
      <c r="K1511" s="53" t="s">
        <v>2628</v>
      </c>
      <c r="L1511" s="53" t="s">
        <v>53</v>
      </c>
    </row>
    <row r="1512" ht="15.75" customHeight="1">
      <c r="A1512" s="53" t="s">
        <v>229</v>
      </c>
      <c r="B1512" s="53" t="s">
        <v>230</v>
      </c>
      <c r="C1512" s="53" t="s">
        <v>231</v>
      </c>
      <c r="D1512" s="53" t="s">
        <v>248</v>
      </c>
      <c r="E1512" s="53" t="s">
        <v>2636</v>
      </c>
      <c r="F1512" s="53" t="s">
        <v>2637</v>
      </c>
      <c r="G1512" s="53" t="s">
        <v>255</v>
      </c>
      <c r="H1512" s="53">
        <v>1.0</v>
      </c>
      <c r="I1512" s="53">
        <v>0.37303370786516854</v>
      </c>
      <c r="J1512" s="53">
        <v>0.0</v>
      </c>
      <c r="K1512" s="53" t="s">
        <v>2638</v>
      </c>
      <c r="L1512" s="53" t="s">
        <v>53</v>
      </c>
    </row>
    <row r="1513" ht="15.75" customHeight="1">
      <c r="A1513" s="53" t="s">
        <v>229</v>
      </c>
      <c r="B1513" s="53" t="s">
        <v>230</v>
      </c>
      <c r="C1513" s="53" t="s">
        <v>231</v>
      </c>
      <c r="D1513" s="53" t="s">
        <v>248</v>
      </c>
      <c r="E1513" s="53" t="s">
        <v>2639</v>
      </c>
      <c r="F1513" s="53" t="s">
        <v>2640</v>
      </c>
      <c r="G1513" s="53" t="s">
        <v>259</v>
      </c>
      <c r="H1513" s="53">
        <v>1.0</v>
      </c>
      <c r="I1513" s="53">
        <v>0.5154639175257731</v>
      </c>
      <c r="J1513" s="53">
        <v>1.0</v>
      </c>
      <c r="K1513" s="53" t="s">
        <v>2638</v>
      </c>
      <c r="L1513" s="53" t="s">
        <v>53</v>
      </c>
    </row>
    <row r="1514" ht="15.75" customHeight="1">
      <c r="A1514" s="53" t="s">
        <v>229</v>
      </c>
      <c r="B1514" s="53" t="s">
        <v>230</v>
      </c>
      <c r="C1514" s="53" t="s">
        <v>231</v>
      </c>
      <c r="D1514" s="53" t="s">
        <v>255</v>
      </c>
      <c r="E1514" s="53" t="s">
        <v>2641</v>
      </c>
      <c r="F1514" s="53" t="s">
        <v>2642</v>
      </c>
      <c r="G1514" s="53" t="s">
        <v>259</v>
      </c>
      <c r="H1514" s="53">
        <v>1.0</v>
      </c>
      <c r="I1514" s="53">
        <v>0.6606741573033708</v>
      </c>
      <c r="J1514" s="53">
        <v>0.0</v>
      </c>
      <c r="K1514" s="53" t="s">
        <v>2638</v>
      </c>
      <c r="L1514" s="53" t="s">
        <v>53</v>
      </c>
    </row>
    <row r="1515" ht="15.75" customHeight="1">
      <c r="A1515" s="53" t="s">
        <v>260</v>
      </c>
      <c r="B1515" s="53" t="s">
        <v>262</v>
      </c>
      <c r="D1515" s="53" t="s">
        <v>263</v>
      </c>
      <c r="E1515" s="53" t="s">
        <v>2643</v>
      </c>
      <c r="F1515" s="53" t="s">
        <v>267</v>
      </c>
      <c r="G1515" s="53" t="s">
        <v>2644</v>
      </c>
      <c r="H1515" s="53">
        <v>1.0</v>
      </c>
      <c r="I1515" s="53">
        <v>0.036748329621380846</v>
      </c>
      <c r="J1515" s="53">
        <v>0.0</v>
      </c>
      <c r="K1515" s="53" t="s">
        <v>53</v>
      </c>
      <c r="L1515" s="53" t="s">
        <v>53</v>
      </c>
    </row>
    <row r="1516" ht="15.75" customHeight="1">
      <c r="A1516" s="53" t="s">
        <v>260</v>
      </c>
      <c r="B1516" s="53" t="s">
        <v>262</v>
      </c>
      <c r="D1516" s="53" t="s">
        <v>2645</v>
      </c>
      <c r="E1516" s="53" t="s">
        <v>2646</v>
      </c>
      <c r="F1516" s="53" t="s">
        <v>2647</v>
      </c>
      <c r="G1516" s="53" t="s">
        <v>2648</v>
      </c>
      <c r="H1516" s="53">
        <v>1.0</v>
      </c>
      <c r="I1516" s="53">
        <v>0.06481481481481481</v>
      </c>
      <c r="J1516" s="53">
        <v>1.0</v>
      </c>
      <c r="K1516" s="53" t="s">
        <v>53</v>
      </c>
      <c r="L1516" s="53" t="s">
        <v>53</v>
      </c>
    </row>
    <row r="1517" ht="15.75" customHeight="1">
      <c r="A1517" s="53" t="s">
        <v>260</v>
      </c>
      <c r="B1517" s="53" t="s">
        <v>262</v>
      </c>
      <c r="D1517" s="53" t="s">
        <v>2645</v>
      </c>
      <c r="E1517" s="53" t="s">
        <v>2649</v>
      </c>
      <c r="F1517" s="53" t="s">
        <v>2647</v>
      </c>
      <c r="G1517" s="53" t="s">
        <v>274</v>
      </c>
      <c r="H1517" s="53">
        <v>1.0</v>
      </c>
      <c r="I1517" s="53">
        <v>0.11504424778761062</v>
      </c>
      <c r="J1517" s="53">
        <v>0.0</v>
      </c>
      <c r="K1517" s="53" t="s">
        <v>53</v>
      </c>
      <c r="L1517" s="53" t="s">
        <v>53</v>
      </c>
    </row>
    <row r="1518" ht="15.75" customHeight="1">
      <c r="A1518" s="53" t="s">
        <v>260</v>
      </c>
      <c r="B1518" s="53" t="s">
        <v>262</v>
      </c>
      <c r="D1518" s="53" t="s">
        <v>2645</v>
      </c>
      <c r="E1518" s="53" t="s">
        <v>2650</v>
      </c>
      <c r="F1518" s="53" t="s">
        <v>2647</v>
      </c>
      <c r="G1518" s="53" t="s">
        <v>2651</v>
      </c>
      <c r="H1518" s="53">
        <v>1.0</v>
      </c>
      <c r="I1518" s="53">
        <v>0.12264150943396226</v>
      </c>
      <c r="J1518" s="53">
        <v>6.0</v>
      </c>
      <c r="K1518" s="53" t="s">
        <v>53</v>
      </c>
      <c r="L1518" s="53" t="s">
        <v>53</v>
      </c>
    </row>
    <row r="1519" ht="15.75" customHeight="1">
      <c r="A1519" s="53" t="s">
        <v>260</v>
      </c>
      <c r="B1519" s="53" t="s">
        <v>262</v>
      </c>
      <c r="D1519" s="53" t="s">
        <v>2645</v>
      </c>
      <c r="E1519" s="53" t="s">
        <v>2652</v>
      </c>
      <c r="F1519" s="53" t="s">
        <v>2647</v>
      </c>
      <c r="G1519" s="53" t="s">
        <v>2653</v>
      </c>
      <c r="H1519" s="53">
        <v>1.0</v>
      </c>
      <c r="I1519" s="53">
        <v>0.125</v>
      </c>
      <c r="J1519" s="53">
        <v>3.0</v>
      </c>
      <c r="K1519" s="53" t="s">
        <v>53</v>
      </c>
      <c r="L1519" s="53" t="s">
        <v>53</v>
      </c>
    </row>
    <row r="1520" ht="15.75" customHeight="1">
      <c r="A1520" s="53" t="s">
        <v>260</v>
      </c>
      <c r="B1520" s="53" t="s">
        <v>262</v>
      </c>
      <c r="D1520" s="53" t="s">
        <v>2645</v>
      </c>
      <c r="E1520" s="53" t="s">
        <v>2654</v>
      </c>
      <c r="F1520" s="53" t="s">
        <v>2647</v>
      </c>
      <c r="G1520" s="53" t="s">
        <v>2655</v>
      </c>
      <c r="H1520" s="53">
        <v>1.0</v>
      </c>
      <c r="I1520" s="53">
        <v>0.17307692307692307</v>
      </c>
      <c r="J1520" s="53">
        <v>2.0</v>
      </c>
      <c r="K1520" s="53" t="s">
        <v>53</v>
      </c>
      <c r="L1520" s="53" t="s">
        <v>53</v>
      </c>
    </row>
    <row r="1521" ht="15.75" customHeight="1">
      <c r="A1521" s="53" t="s">
        <v>260</v>
      </c>
      <c r="B1521" s="53" t="s">
        <v>262</v>
      </c>
      <c r="D1521" s="53" t="s">
        <v>2645</v>
      </c>
      <c r="E1521" s="53" t="s">
        <v>2656</v>
      </c>
      <c r="F1521" s="53" t="s">
        <v>2647</v>
      </c>
      <c r="G1521" s="53" t="s">
        <v>2657</v>
      </c>
      <c r="H1521" s="53">
        <v>1.0</v>
      </c>
      <c r="I1521" s="53">
        <v>0.17307692307692307</v>
      </c>
      <c r="J1521" s="53">
        <v>4.0</v>
      </c>
      <c r="K1521" s="53" t="s">
        <v>53</v>
      </c>
      <c r="L1521" s="53" t="s">
        <v>53</v>
      </c>
    </row>
    <row r="1522" ht="15.75" customHeight="1">
      <c r="A1522" s="53" t="s">
        <v>260</v>
      </c>
      <c r="B1522" s="53" t="s">
        <v>262</v>
      </c>
      <c r="D1522" s="53" t="s">
        <v>2645</v>
      </c>
      <c r="E1522" s="53" t="s">
        <v>2658</v>
      </c>
      <c r="F1522" s="53" t="s">
        <v>2647</v>
      </c>
      <c r="G1522" s="53" t="s">
        <v>2659</v>
      </c>
      <c r="H1522" s="53">
        <v>1.0</v>
      </c>
      <c r="I1522" s="53">
        <v>0.17307692307692307</v>
      </c>
      <c r="J1522" s="53">
        <v>5.0</v>
      </c>
      <c r="K1522" s="53" t="s">
        <v>53</v>
      </c>
      <c r="L1522" s="53" t="s">
        <v>53</v>
      </c>
    </row>
    <row r="1523" ht="15.75" customHeight="1">
      <c r="A1523" s="53" t="s">
        <v>260</v>
      </c>
      <c r="B1523" s="53" t="s">
        <v>262</v>
      </c>
      <c r="D1523" s="53" t="s">
        <v>274</v>
      </c>
      <c r="E1523" s="53" t="s">
        <v>2660</v>
      </c>
      <c r="F1523" s="53" t="s">
        <v>2647</v>
      </c>
      <c r="G1523" s="53" t="s">
        <v>2648</v>
      </c>
      <c r="H1523" s="53">
        <v>1.0</v>
      </c>
      <c r="I1523" s="53">
        <v>0.061946902654867256</v>
      </c>
      <c r="J1523" s="53">
        <v>0.0</v>
      </c>
      <c r="K1523" s="53" t="s">
        <v>53</v>
      </c>
      <c r="L1523" s="53" t="s">
        <v>53</v>
      </c>
    </row>
    <row r="1524" ht="15.75" customHeight="1">
      <c r="A1524" s="53" t="s">
        <v>260</v>
      </c>
      <c r="B1524" s="53" t="s">
        <v>262</v>
      </c>
      <c r="D1524" s="53" t="s">
        <v>274</v>
      </c>
      <c r="E1524" s="53" t="s">
        <v>2661</v>
      </c>
      <c r="F1524" s="53" t="s">
        <v>2647</v>
      </c>
      <c r="G1524" s="53" t="s">
        <v>2653</v>
      </c>
      <c r="H1524" s="53">
        <v>1.0</v>
      </c>
      <c r="I1524" s="53">
        <v>0.11504424778761062</v>
      </c>
      <c r="J1524" s="53">
        <v>2.0</v>
      </c>
      <c r="K1524" s="53" t="s">
        <v>53</v>
      </c>
      <c r="L1524" s="53" t="s">
        <v>53</v>
      </c>
    </row>
    <row r="1525" ht="15.75" customHeight="1">
      <c r="A1525" s="53" t="s">
        <v>260</v>
      </c>
      <c r="B1525" s="53" t="s">
        <v>262</v>
      </c>
      <c r="D1525" s="53" t="s">
        <v>274</v>
      </c>
      <c r="E1525" s="53" t="s">
        <v>2662</v>
      </c>
      <c r="F1525" s="53" t="s">
        <v>2647</v>
      </c>
      <c r="G1525" s="53" t="s">
        <v>2651</v>
      </c>
      <c r="H1525" s="53">
        <v>1.0</v>
      </c>
      <c r="I1525" s="53">
        <v>0.13274336283185842</v>
      </c>
      <c r="J1525" s="53">
        <v>5.0</v>
      </c>
      <c r="K1525" s="53" t="s">
        <v>53</v>
      </c>
      <c r="L1525" s="53" t="s">
        <v>53</v>
      </c>
    </row>
    <row r="1526" ht="15.75" customHeight="1">
      <c r="A1526" s="53" t="s">
        <v>260</v>
      </c>
      <c r="B1526" s="53" t="s">
        <v>262</v>
      </c>
      <c r="D1526" s="53" t="s">
        <v>274</v>
      </c>
      <c r="E1526" s="53" t="s">
        <v>2663</v>
      </c>
      <c r="F1526" s="53" t="s">
        <v>2647</v>
      </c>
      <c r="G1526" s="53" t="s">
        <v>2655</v>
      </c>
      <c r="H1526" s="53">
        <v>1.0</v>
      </c>
      <c r="I1526" s="53">
        <v>0.1504424778761062</v>
      </c>
      <c r="J1526" s="53">
        <v>1.0</v>
      </c>
      <c r="K1526" s="53" t="s">
        <v>53</v>
      </c>
      <c r="L1526" s="53" t="s">
        <v>53</v>
      </c>
    </row>
    <row r="1527" ht="15.75" customHeight="1">
      <c r="A1527" s="53" t="s">
        <v>260</v>
      </c>
      <c r="B1527" s="53" t="s">
        <v>262</v>
      </c>
      <c r="D1527" s="53" t="s">
        <v>274</v>
      </c>
      <c r="E1527" s="53" t="s">
        <v>2664</v>
      </c>
      <c r="F1527" s="53" t="s">
        <v>2647</v>
      </c>
      <c r="G1527" s="53" t="s">
        <v>2659</v>
      </c>
      <c r="H1527" s="53">
        <v>1.0</v>
      </c>
      <c r="I1527" s="53">
        <v>0.1504424778761062</v>
      </c>
      <c r="J1527" s="53">
        <v>4.0</v>
      </c>
      <c r="K1527" s="53" t="s">
        <v>53</v>
      </c>
      <c r="L1527" s="53" t="s">
        <v>53</v>
      </c>
    </row>
    <row r="1528" ht="15.75" customHeight="1">
      <c r="A1528" s="53" t="s">
        <v>260</v>
      </c>
      <c r="B1528" s="53" t="s">
        <v>262</v>
      </c>
      <c r="D1528" s="53" t="s">
        <v>274</v>
      </c>
      <c r="E1528" s="53" t="s">
        <v>2665</v>
      </c>
      <c r="F1528" s="53" t="s">
        <v>2647</v>
      </c>
      <c r="G1528" s="53" t="s">
        <v>2657</v>
      </c>
      <c r="H1528" s="53">
        <v>1.0</v>
      </c>
      <c r="I1528" s="53">
        <v>0.1592920353982301</v>
      </c>
      <c r="J1528" s="53">
        <v>3.0</v>
      </c>
      <c r="K1528" s="53" t="s">
        <v>53</v>
      </c>
      <c r="L1528" s="53" t="s">
        <v>53</v>
      </c>
    </row>
    <row r="1529" ht="15.75" customHeight="1">
      <c r="A1529" s="53" t="s">
        <v>260</v>
      </c>
      <c r="B1529" s="53" t="s">
        <v>262</v>
      </c>
      <c r="D1529" s="53" t="s">
        <v>2648</v>
      </c>
      <c r="E1529" s="53" t="s">
        <v>2666</v>
      </c>
      <c r="F1529" s="53" t="s">
        <v>2647</v>
      </c>
      <c r="G1529" s="53" t="s">
        <v>2653</v>
      </c>
      <c r="H1529" s="53">
        <v>1.0</v>
      </c>
      <c r="I1529" s="53">
        <v>0.07407407407407407</v>
      </c>
      <c r="J1529" s="53">
        <v>1.0</v>
      </c>
      <c r="K1529" s="53" t="s">
        <v>53</v>
      </c>
      <c r="L1529" s="53" t="s">
        <v>53</v>
      </c>
    </row>
    <row r="1530" ht="15.75" customHeight="1">
      <c r="A1530" s="53" t="s">
        <v>260</v>
      </c>
      <c r="B1530" s="53" t="s">
        <v>262</v>
      </c>
      <c r="D1530" s="53" t="s">
        <v>2648</v>
      </c>
      <c r="E1530" s="53" t="s">
        <v>2667</v>
      </c>
      <c r="F1530" s="53" t="s">
        <v>2647</v>
      </c>
      <c r="G1530" s="53" t="s">
        <v>2651</v>
      </c>
      <c r="H1530" s="53">
        <v>1.0</v>
      </c>
      <c r="I1530" s="53">
        <v>0.08333333333333333</v>
      </c>
      <c r="J1530" s="53">
        <v>4.0</v>
      </c>
      <c r="K1530" s="53" t="s">
        <v>53</v>
      </c>
      <c r="L1530" s="53" t="s">
        <v>53</v>
      </c>
    </row>
    <row r="1531" ht="15.75" customHeight="1">
      <c r="A1531" s="53" t="s">
        <v>260</v>
      </c>
      <c r="B1531" s="53" t="s">
        <v>262</v>
      </c>
      <c r="D1531" s="53" t="s">
        <v>2648</v>
      </c>
      <c r="E1531" s="53" t="s">
        <v>2668</v>
      </c>
      <c r="F1531" s="53" t="s">
        <v>2647</v>
      </c>
      <c r="G1531" s="53" t="s">
        <v>2655</v>
      </c>
      <c r="H1531" s="53">
        <v>1.0</v>
      </c>
      <c r="I1531" s="53">
        <v>0.10185185185185185</v>
      </c>
      <c r="J1531" s="53">
        <v>0.0</v>
      </c>
      <c r="K1531" s="53" t="s">
        <v>53</v>
      </c>
      <c r="L1531" s="53" t="s">
        <v>53</v>
      </c>
    </row>
    <row r="1532" ht="15.75" customHeight="1">
      <c r="A1532" s="53" t="s">
        <v>260</v>
      </c>
      <c r="B1532" s="53" t="s">
        <v>262</v>
      </c>
      <c r="D1532" s="53" t="s">
        <v>2648</v>
      </c>
      <c r="E1532" s="53" t="s">
        <v>2669</v>
      </c>
      <c r="F1532" s="53" t="s">
        <v>2647</v>
      </c>
      <c r="G1532" s="53" t="s">
        <v>2659</v>
      </c>
      <c r="H1532" s="53">
        <v>1.0</v>
      </c>
      <c r="I1532" s="53">
        <v>0.1111111111111111</v>
      </c>
      <c r="J1532" s="53">
        <v>3.0</v>
      </c>
      <c r="K1532" s="53" t="s">
        <v>53</v>
      </c>
      <c r="L1532" s="53" t="s">
        <v>53</v>
      </c>
    </row>
    <row r="1533" ht="15.75" customHeight="1">
      <c r="A1533" s="53" t="s">
        <v>260</v>
      </c>
      <c r="B1533" s="53" t="s">
        <v>262</v>
      </c>
      <c r="D1533" s="53" t="s">
        <v>2648</v>
      </c>
      <c r="E1533" s="53" t="s">
        <v>2670</v>
      </c>
      <c r="F1533" s="53" t="s">
        <v>2647</v>
      </c>
      <c r="G1533" s="53" t="s">
        <v>2657</v>
      </c>
      <c r="H1533" s="53">
        <v>1.0</v>
      </c>
      <c r="I1533" s="53">
        <v>0.12037037037037036</v>
      </c>
      <c r="J1533" s="53">
        <v>2.0</v>
      </c>
      <c r="K1533" s="53" t="s">
        <v>53</v>
      </c>
      <c r="L1533" s="53" t="s">
        <v>53</v>
      </c>
    </row>
    <row r="1534" ht="15.75" customHeight="1">
      <c r="A1534" s="53" t="s">
        <v>260</v>
      </c>
      <c r="B1534" s="53" t="s">
        <v>262</v>
      </c>
      <c r="D1534" s="53" t="s">
        <v>2655</v>
      </c>
      <c r="E1534" s="53" t="s">
        <v>2671</v>
      </c>
      <c r="F1534" s="53" t="s">
        <v>2647</v>
      </c>
      <c r="G1534" s="53" t="s">
        <v>2657</v>
      </c>
      <c r="H1534" s="53">
        <v>1.0</v>
      </c>
      <c r="I1534" s="53">
        <v>0.020202020202020204</v>
      </c>
      <c r="J1534" s="53">
        <v>1.0</v>
      </c>
      <c r="K1534" s="53" t="s">
        <v>53</v>
      </c>
      <c r="L1534" s="53" t="s">
        <v>53</v>
      </c>
    </row>
    <row r="1535" ht="15.75" customHeight="1">
      <c r="A1535" s="53" t="s">
        <v>260</v>
      </c>
      <c r="B1535" s="53" t="s">
        <v>262</v>
      </c>
      <c r="D1535" s="53" t="s">
        <v>2655</v>
      </c>
      <c r="E1535" s="53" t="s">
        <v>2672</v>
      </c>
      <c r="F1535" s="53" t="s">
        <v>2647</v>
      </c>
      <c r="G1535" s="53" t="s">
        <v>2659</v>
      </c>
      <c r="H1535" s="53">
        <v>1.0</v>
      </c>
      <c r="I1535" s="53">
        <v>0.02040816326530612</v>
      </c>
      <c r="J1535" s="53">
        <v>2.0</v>
      </c>
      <c r="K1535" s="53" t="s">
        <v>53</v>
      </c>
      <c r="L1535" s="53" t="s">
        <v>53</v>
      </c>
    </row>
    <row r="1536" ht="15.75" customHeight="1">
      <c r="A1536" s="53" t="s">
        <v>260</v>
      </c>
      <c r="B1536" s="53" t="s">
        <v>262</v>
      </c>
      <c r="D1536" s="53" t="s">
        <v>2655</v>
      </c>
      <c r="E1536" s="53" t="s">
        <v>2673</v>
      </c>
      <c r="F1536" s="53" t="s">
        <v>2647</v>
      </c>
      <c r="G1536" s="53" t="s">
        <v>2653</v>
      </c>
      <c r="H1536" s="53">
        <v>1.0</v>
      </c>
      <c r="I1536" s="53">
        <v>0.07692307692307693</v>
      </c>
      <c r="J1536" s="53">
        <v>0.0</v>
      </c>
      <c r="K1536" s="53" t="s">
        <v>53</v>
      </c>
      <c r="L1536" s="53" t="s">
        <v>53</v>
      </c>
    </row>
    <row r="1537" ht="15.75" customHeight="1">
      <c r="A1537" s="53" t="s">
        <v>260</v>
      </c>
      <c r="B1537" s="53" t="s">
        <v>262</v>
      </c>
      <c r="D1537" s="53" t="s">
        <v>2655</v>
      </c>
      <c r="E1537" s="53" t="s">
        <v>2674</v>
      </c>
      <c r="F1537" s="53" t="s">
        <v>2647</v>
      </c>
      <c r="G1537" s="53" t="s">
        <v>2651</v>
      </c>
      <c r="H1537" s="53">
        <v>1.0</v>
      </c>
      <c r="I1537" s="53">
        <v>0.09433962264150944</v>
      </c>
      <c r="J1537" s="53">
        <v>3.0</v>
      </c>
      <c r="K1537" s="53" t="s">
        <v>53</v>
      </c>
      <c r="L1537" s="53" t="s">
        <v>53</v>
      </c>
    </row>
    <row r="1538" ht="15.75" customHeight="1">
      <c r="A1538" s="53" t="s">
        <v>260</v>
      </c>
      <c r="B1538" s="53" t="s">
        <v>262</v>
      </c>
      <c r="D1538" s="53" t="s">
        <v>2653</v>
      </c>
      <c r="E1538" s="53" t="s">
        <v>2675</v>
      </c>
      <c r="F1538" s="53" t="s">
        <v>2647</v>
      </c>
      <c r="G1538" s="53" t="s">
        <v>2651</v>
      </c>
      <c r="H1538" s="53">
        <v>1.0</v>
      </c>
      <c r="I1538" s="53">
        <v>0.03773584905660377</v>
      </c>
      <c r="J1538" s="53">
        <v>2.0</v>
      </c>
      <c r="K1538" s="53" t="s">
        <v>53</v>
      </c>
      <c r="L1538" s="53" t="s">
        <v>53</v>
      </c>
    </row>
    <row r="1539" ht="15.75" customHeight="1">
      <c r="A1539" s="53" t="s">
        <v>260</v>
      </c>
      <c r="B1539" s="53" t="s">
        <v>262</v>
      </c>
      <c r="D1539" s="53" t="s">
        <v>2653</v>
      </c>
      <c r="E1539" s="53" t="s">
        <v>2676</v>
      </c>
      <c r="F1539" s="53" t="s">
        <v>2647</v>
      </c>
      <c r="G1539" s="53" t="s">
        <v>2657</v>
      </c>
      <c r="H1539" s="53">
        <v>1.0</v>
      </c>
      <c r="I1539" s="53">
        <v>0.057692307692307696</v>
      </c>
      <c r="J1539" s="53">
        <v>0.0</v>
      </c>
      <c r="K1539" s="53" t="s">
        <v>53</v>
      </c>
      <c r="L1539" s="53" t="s">
        <v>53</v>
      </c>
    </row>
    <row r="1540" ht="15.75" customHeight="1">
      <c r="A1540" s="53" t="s">
        <v>260</v>
      </c>
      <c r="B1540" s="53" t="s">
        <v>262</v>
      </c>
      <c r="D1540" s="53" t="s">
        <v>2653</v>
      </c>
      <c r="E1540" s="53" t="s">
        <v>2677</v>
      </c>
      <c r="F1540" s="53" t="s">
        <v>2647</v>
      </c>
      <c r="G1540" s="53" t="s">
        <v>2659</v>
      </c>
      <c r="H1540" s="53">
        <v>1.0</v>
      </c>
      <c r="I1540" s="53">
        <v>0.07692307692307693</v>
      </c>
      <c r="J1540" s="53">
        <v>1.0</v>
      </c>
      <c r="K1540" s="53" t="s">
        <v>53</v>
      </c>
      <c r="L1540" s="53" t="s">
        <v>53</v>
      </c>
    </row>
    <row r="1541" ht="15.75" customHeight="1">
      <c r="A1541" s="53" t="s">
        <v>260</v>
      </c>
      <c r="B1541" s="53" t="s">
        <v>262</v>
      </c>
      <c r="D1541" s="53" t="s">
        <v>2657</v>
      </c>
      <c r="E1541" s="53" t="s">
        <v>2678</v>
      </c>
      <c r="F1541" s="53" t="s">
        <v>2647</v>
      </c>
      <c r="G1541" s="53" t="s">
        <v>2659</v>
      </c>
      <c r="H1541" s="53">
        <v>1.0</v>
      </c>
      <c r="I1541" s="53">
        <v>0.030303030303030304</v>
      </c>
      <c r="J1541" s="53">
        <v>0.0</v>
      </c>
      <c r="K1541" s="53" t="s">
        <v>53</v>
      </c>
      <c r="L1541" s="53" t="s">
        <v>53</v>
      </c>
    </row>
    <row r="1542" ht="15.75" customHeight="1">
      <c r="A1542" s="53" t="s">
        <v>260</v>
      </c>
      <c r="B1542" s="53" t="s">
        <v>262</v>
      </c>
      <c r="D1542" s="53" t="s">
        <v>2657</v>
      </c>
      <c r="E1542" s="53" t="s">
        <v>2679</v>
      </c>
      <c r="F1542" s="53" t="s">
        <v>2647</v>
      </c>
      <c r="G1542" s="53" t="s">
        <v>2651</v>
      </c>
      <c r="H1542" s="53">
        <v>1.0</v>
      </c>
      <c r="I1542" s="53">
        <v>0.08490566037735849</v>
      </c>
      <c r="J1542" s="53">
        <v>1.0</v>
      </c>
      <c r="K1542" s="53" t="s">
        <v>53</v>
      </c>
      <c r="L1542" s="53" t="s">
        <v>53</v>
      </c>
    </row>
    <row r="1543" ht="15.75" customHeight="1">
      <c r="A1543" s="53" t="s">
        <v>260</v>
      </c>
      <c r="B1543" s="53" t="s">
        <v>262</v>
      </c>
      <c r="D1543" s="53" t="s">
        <v>2659</v>
      </c>
      <c r="E1543" s="53" t="s">
        <v>2680</v>
      </c>
      <c r="F1543" s="53" t="s">
        <v>2647</v>
      </c>
      <c r="G1543" s="53" t="s">
        <v>2651</v>
      </c>
      <c r="H1543" s="53">
        <v>1.0</v>
      </c>
      <c r="I1543" s="53">
        <v>0.09433962264150944</v>
      </c>
      <c r="J1543" s="53">
        <v>0.0</v>
      </c>
      <c r="K1543" s="53" t="s">
        <v>53</v>
      </c>
      <c r="L1543" s="53" t="s">
        <v>53</v>
      </c>
    </row>
    <row r="1544" ht="15.75" customHeight="1">
      <c r="A1544" s="53" t="s">
        <v>260</v>
      </c>
      <c r="B1544" s="53" t="s">
        <v>2681</v>
      </c>
      <c r="C1544" s="53" t="s">
        <v>2682</v>
      </c>
      <c r="D1544" s="53" t="s">
        <v>2683</v>
      </c>
      <c r="E1544" s="53" t="s">
        <v>2684</v>
      </c>
      <c r="F1544" s="53" t="s">
        <v>289</v>
      </c>
      <c r="G1544" s="53" t="s">
        <v>2685</v>
      </c>
      <c r="H1544" s="53">
        <v>1.0</v>
      </c>
      <c r="I1544" s="53">
        <v>0.010610079575596816</v>
      </c>
      <c r="J1544" s="53">
        <v>1.0</v>
      </c>
      <c r="K1544" s="53" t="s">
        <v>2686</v>
      </c>
      <c r="L1544" s="53" t="s">
        <v>53</v>
      </c>
    </row>
    <row r="1545" ht="15.75" customHeight="1">
      <c r="A1545" s="53" t="s">
        <v>260</v>
      </c>
      <c r="B1545" s="53" t="s">
        <v>2681</v>
      </c>
      <c r="C1545" s="53" t="s">
        <v>2682</v>
      </c>
      <c r="D1545" s="53" t="s">
        <v>2683</v>
      </c>
      <c r="E1545" s="53" t="s">
        <v>2687</v>
      </c>
      <c r="F1545" s="53" t="s">
        <v>289</v>
      </c>
      <c r="G1545" s="53" t="s">
        <v>2688</v>
      </c>
      <c r="H1545" s="53">
        <v>1.0</v>
      </c>
      <c r="I1545" s="53">
        <v>0.07</v>
      </c>
      <c r="J1545" s="53">
        <v>0.0</v>
      </c>
      <c r="K1545" s="53" t="s">
        <v>2686</v>
      </c>
      <c r="L1545" s="53" t="s">
        <v>53</v>
      </c>
    </row>
    <row r="1546" ht="15.75" customHeight="1">
      <c r="A1546" s="53" t="s">
        <v>260</v>
      </c>
      <c r="B1546" s="53" t="s">
        <v>2681</v>
      </c>
      <c r="C1546" s="53" t="s">
        <v>2682</v>
      </c>
      <c r="D1546" s="53" t="s">
        <v>2683</v>
      </c>
      <c r="E1546" s="53" t="s">
        <v>2689</v>
      </c>
      <c r="F1546" s="53" t="s">
        <v>289</v>
      </c>
      <c r="G1546" s="53" t="s">
        <v>285</v>
      </c>
      <c r="H1546" s="53">
        <v>1.0</v>
      </c>
      <c r="I1546" s="53">
        <v>0.29222520107238603</v>
      </c>
      <c r="J1546" s="53">
        <v>2.0</v>
      </c>
      <c r="K1546" s="53" t="s">
        <v>2686</v>
      </c>
      <c r="L1546" s="53" t="s">
        <v>53</v>
      </c>
    </row>
    <row r="1547" ht="15.75" customHeight="1">
      <c r="A1547" s="53" t="s">
        <v>260</v>
      </c>
      <c r="B1547" s="53" t="s">
        <v>2681</v>
      </c>
      <c r="C1547" s="53" t="s">
        <v>2682</v>
      </c>
      <c r="D1547" s="53" t="s">
        <v>2683</v>
      </c>
      <c r="E1547" s="53" t="s">
        <v>2690</v>
      </c>
      <c r="F1547" s="53" t="s">
        <v>289</v>
      </c>
      <c r="G1547" s="53" t="s">
        <v>2691</v>
      </c>
      <c r="H1547" s="53">
        <v>1.0</v>
      </c>
      <c r="I1547" s="53">
        <v>0.29222520107238603</v>
      </c>
      <c r="J1547" s="53">
        <v>3.0</v>
      </c>
      <c r="K1547" s="53" t="s">
        <v>2686</v>
      </c>
      <c r="L1547" s="53" t="s">
        <v>53</v>
      </c>
    </row>
    <row r="1548" ht="15.75" customHeight="1">
      <c r="A1548" s="53" t="s">
        <v>260</v>
      </c>
      <c r="B1548" s="53" t="s">
        <v>2681</v>
      </c>
      <c r="C1548" s="53" t="s">
        <v>2682</v>
      </c>
      <c r="D1548" s="53" t="s">
        <v>2683</v>
      </c>
      <c r="E1548" s="53" t="s">
        <v>2692</v>
      </c>
      <c r="F1548" s="53" t="s">
        <v>289</v>
      </c>
      <c r="G1548" s="53" t="s">
        <v>2693</v>
      </c>
      <c r="H1548" s="53">
        <v>1.0</v>
      </c>
      <c r="I1548" s="53">
        <v>0.29222520107238603</v>
      </c>
      <c r="J1548" s="53">
        <v>4.0</v>
      </c>
      <c r="K1548" s="53" t="s">
        <v>2686</v>
      </c>
      <c r="L1548" s="53" t="s">
        <v>53</v>
      </c>
    </row>
    <row r="1549" ht="15.75" customHeight="1">
      <c r="A1549" s="53" t="s">
        <v>260</v>
      </c>
      <c r="B1549" s="53" t="s">
        <v>2681</v>
      </c>
      <c r="C1549" s="53" t="s">
        <v>2682</v>
      </c>
      <c r="D1549" s="53" t="s">
        <v>2688</v>
      </c>
      <c r="E1549" s="53" t="s">
        <v>2694</v>
      </c>
      <c r="F1549" s="53" t="s">
        <v>289</v>
      </c>
      <c r="G1549" s="53" t="s">
        <v>2685</v>
      </c>
      <c r="H1549" s="53">
        <v>1.0</v>
      </c>
      <c r="I1549" s="53">
        <v>0.08</v>
      </c>
      <c r="J1549" s="53">
        <v>0.0</v>
      </c>
      <c r="K1549" s="53" t="s">
        <v>2686</v>
      </c>
      <c r="L1549" s="53" t="s">
        <v>53</v>
      </c>
    </row>
    <row r="1550" ht="15.75" customHeight="1">
      <c r="A1550" s="53" t="s">
        <v>260</v>
      </c>
      <c r="B1550" s="53" t="s">
        <v>2681</v>
      </c>
      <c r="C1550" s="53" t="s">
        <v>2682</v>
      </c>
      <c r="D1550" s="53" t="s">
        <v>2688</v>
      </c>
      <c r="E1550" s="53" t="s">
        <v>2695</v>
      </c>
      <c r="F1550" s="53" t="s">
        <v>289</v>
      </c>
      <c r="G1550" s="53" t="s">
        <v>285</v>
      </c>
      <c r="H1550" s="53">
        <v>1.0</v>
      </c>
      <c r="I1550" s="53">
        <v>0.34</v>
      </c>
      <c r="J1550" s="53">
        <v>1.0</v>
      </c>
      <c r="K1550" s="53" t="s">
        <v>2686</v>
      </c>
      <c r="L1550" s="53" t="s">
        <v>53</v>
      </c>
    </row>
    <row r="1551" ht="15.75" customHeight="1">
      <c r="A1551" s="53" t="s">
        <v>260</v>
      </c>
      <c r="B1551" s="53" t="s">
        <v>2681</v>
      </c>
      <c r="C1551" s="53" t="s">
        <v>2682</v>
      </c>
      <c r="D1551" s="53" t="s">
        <v>2688</v>
      </c>
      <c r="E1551" s="53" t="s">
        <v>2696</v>
      </c>
      <c r="F1551" s="53" t="s">
        <v>289</v>
      </c>
      <c r="G1551" s="53" t="s">
        <v>2691</v>
      </c>
      <c r="H1551" s="53">
        <v>1.0</v>
      </c>
      <c r="I1551" s="53">
        <v>0.34</v>
      </c>
      <c r="J1551" s="53">
        <v>2.0</v>
      </c>
      <c r="K1551" s="53" t="s">
        <v>2686</v>
      </c>
      <c r="L1551" s="53" t="s">
        <v>53</v>
      </c>
    </row>
    <row r="1552" ht="15.75" customHeight="1">
      <c r="A1552" s="53" t="s">
        <v>260</v>
      </c>
      <c r="B1552" s="53" t="s">
        <v>2681</v>
      </c>
      <c r="C1552" s="53" t="s">
        <v>2682</v>
      </c>
      <c r="D1552" s="53" t="s">
        <v>2688</v>
      </c>
      <c r="E1552" s="53" t="s">
        <v>2697</v>
      </c>
      <c r="F1552" s="53" t="s">
        <v>289</v>
      </c>
      <c r="G1552" s="53" t="s">
        <v>2693</v>
      </c>
      <c r="H1552" s="53">
        <v>1.0</v>
      </c>
      <c r="I1552" s="53">
        <v>0.34</v>
      </c>
      <c r="J1552" s="53">
        <v>3.0</v>
      </c>
      <c r="K1552" s="53" t="s">
        <v>2686</v>
      </c>
      <c r="L1552" s="53" t="s">
        <v>53</v>
      </c>
    </row>
    <row r="1553" ht="15.75" customHeight="1">
      <c r="A1553" s="53" t="s">
        <v>260</v>
      </c>
      <c r="B1553" s="53" t="s">
        <v>2681</v>
      </c>
      <c r="C1553" s="53" t="s">
        <v>2682</v>
      </c>
      <c r="D1553" s="53" t="s">
        <v>2685</v>
      </c>
      <c r="E1553" s="53" t="s">
        <v>2698</v>
      </c>
      <c r="F1553" s="53" t="s">
        <v>289</v>
      </c>
      <c r="G1553" s="53" t="s">
        <v>285</v>
      </c>
      <c r="H1553" s="53">
        <v>1.0</v>
      </c>
      <c r="I1553" s="53">
        <v>0.29973474801061006</v>
      </c>
      <c r="J1553" s="53">
        <v>0.0</v>
      </c>
      <c r="K1553" s="53" t="s">
        <v>2686</v>
      </c>
      <c r="L1553" s="53" t="s">
        <v>53</v>
      </c>
    </row>
    <row r="1554" ht="15.75" customHeight="1">
      <c r="A1554" s="53" t="s">
        <v>260</v>
      </c>
      <c r="B1554" s="53" t="s">
        <v>2681</v>
      </c>
      <c r="C1554" s="53" t="s">
        <v>2682</v>
      </c>
      <c r="D1554" s="53" t="s">
        <v>2685</v>
      </c>
      <c r="E1554" s="53" t="s">
        <v>2699</v>
      </c>
      <c r="F1554" s="53" t="s">
        <v>289</v>
      </c>
      <c r="G1554" s="53" t="s">
        <v>2691</v>
      </c>
      <c r="H1554" s="53">
        <v>1.0</v>
      </c>
      <c r="I1554" s="53">
        <v>0.29973474801061006</v>
      </c>
      <c r="J1554" s="53">
        <v>1.0</v>
      </c>
      <c r="K1554" s="53" t="s">
        <v>2686</v>
      </c>
      <c r="L1554" s="53" t="s">
        <v>53</v>
      </c>
    </row>
    <row r="1555" ht="15.75" customHeight="1">
      <c r="A1555" s="53" t="s">
        <v>260</v>
      </c>
      <c r="B1555" s="53" t="s">
        <v>2681</v>
      </c>
      <c r="C1555" s="53" t="s">
        <v>2682</v>
      </c>
      <c r="D1555" s="53" t="s">
        <v>2685</v>
      </c>
      <c r="E1555" s="53" t="s">
        <v>2700</v>
      </c>
      <c r="F1555" s="53" t="s">
        <v>289</v>
      </c>
      <c r="G1555" s="53" t="s">
        <v>2693</v>
      </c>
      <c r="H1555" s="53">
        <v>1.0</v>
      </c>
      <c r="I1555" s="53">
        <v>0.29973474801061006</v>
      </c>
      <c r="J1555" s="53">
        <v>2.0</v>
      </c>
      <c r="K1555" s="53" t="s">
        <v>2686</v>
      </c>
      <c r="L1555" s="53" t="s">
        <v>53</v>
      </c>
    </row>
    <row r="1556" ht="15.75" customHeight="1">
      <c r="A1556" s="53" t="s">
        <v>260</v>
      </c>
      <c r="B1556" s="53" t="s">
        <v>2681</v>
      </c>
      <c r="C1556" s="53" t="s">
        <v>2682</v>
      </c>
      <c r="D1556" s="53" t="s">
        <v>285</v>
      </c>
      <c r="E1556" s="53" t="s">
        <v>2701</v>
      </c>
      <c r="F1556" s="53" t="s">
        <v>289</v>
      </c>
      <c r="G1556" s="53" t="s">
        <v>2691</v>
      </c>
      <c r="H1556" s="53">
        <v>1.0</v>
      </c>
      <c r="I1556" s="53">
        <v>0.0037735849056603774</v>
      </c>
      <c r="J1556" s="53">
        <v>0.0</v>
      </c>
      <c r="K1556" s="53" t="s">
        <v>2686</v>
      </c>
      <c r="L1556" s="53" t="s">
        <v>53</v>
      </c>
    </row>
    <row r="1557" ht="15.75" customHeight="1">
      <c r="A1557" s="53" t="s">
        <v>260</v>
      </c>
      <c r="B1557" s="53" t="s">
        <v>2681</v>
      </c>
      <c r="C1557" s="53" t="s">
        <v>2682</v>
      </c>
      <c r="D1557" s="53" t="s">
        <v>285</v>
      </c>
      <c r="E1557" s="53" t="s">
        <v>2702</v>
      </c>
      <c r="F1557" s="53" t="s">
        <v>289</v>
      </c>
      <c r="G1557" s="53" t="s">
        <v>2693</v>
      </c>
      <c r="H1557" s="53">
        <v>1.0</v>
      </c>
      <c r="I1557" s="53">
        <v>0.0037735849056603774</v>
      </c>
      <c r="J1557" s="53">
        <v>1.0</v>
      </c>
      <c r="K1557" s="53" t="s">
        <v>2686</v>
      </c>
      <c r="L1557" s="53" t="s">
        <v>53</v>
      </c>
    </row>
    <row r="1558" ht="15.75" customHeight="1">
      <c r="A1558" s="53" t="s">
        <v>260</v>
      </c>
      <c r="B1558" s="53" t="s">
        <v>2681</v>
      </c>
      <c r="C1558" s="53" t="s">
        <v>2682</v>
      </c>
      <c r="D1558" s="53" t="s">
        <v>2691</v>
      </c>
      <c r="E1558" s="53" t="s">
        <v>2703</v>
      </c>
      <c r="F1558" s="53" t="s">
        <v>289</v>
      </c>
      <c r="G1558" s="53" t="s">
        <v>2693</v>
      </c>
      <c r="H1558" s="53">
        <v>1.0</v>
      </c>
      <c r="I1558" s="53">
        <v>0.0037735849056603774</v>
      </c>
      <c r="J1558" s="53">
        <v>0.0</v>
      </c>
      <c r="K1558" s="53" t="s">
        <v>2686</v>
      </c>
      <c r="L1558" s="53" t="s">
        <v>53</v>
      </c>
    </row>
    <row r="1559" ht="15.75" customHeight="1">
      <c r="A1559" s="53" t="s">
        <v>296</v>
      </c>
      <c r="B1559" s="53" t="s">
        <v>297</v>
      </c>
      <c r="C1559" s="53" t="s">
        <v>298</v>
      </c>
      <c r="D1559" s="53" t="s">
        <v>305</v>
      </c>
      <c r="E1559" s="53" t="s">
        <v>2704</v>
      </c>
      <c r="F1559" s="53" t="s">
        <v>2705</v>
      </c>
      <c r="G1559" s="53" t="s">
        <v>313</v>
      </c>
      <c r="H1559" s="53">
        <v>0.8333333333333334</v>
      </c>
      <c r="I1559" s="53">
        <v>0.29906542056074764</v>
      </c>
      <c r="J1559" s="53">
        <v>9.0</v>
      </c>
      <c r="K1559" s="53" t="s">
        <v>2706</v>
      </c>
      <c r="L1559" s="53" t="s">
        <v>2707</v>
      </c>
    </row>
    <row r="1560" ht="15.75" customHeight="1">
      <c r="A1560" s="53" t="s">
        <v>296</v>
      </c>
      <c r="B1560" s="53" t="s">
        <v>297</v>
      </c>
      <c r="C1560" s="53" t="s">
        <v>298</v>
      </c>
      <c r="D1560" s="53" t="s">
        <v>313</v>
      </c>
      <c r="E1560" s="53" t="s">
        <v>2708</v>
      </c>
      <c r="F1560" s="53" t="s">
        <v>317</v>
      </c>
      <c r="G1560" s="53" t="s">
        <v>319</v>
      </c>
      <c r="H1560" s="53">
        <v>0.8</v>
      </c>
      <c r="I1560" s="53">
        <v>0.4673202614379085</v>
      </c>
      <c r="J1560" s="53">
        <v>2.0</v>
      </c>
      <c r="K1560" s="53" t="s">
        <v>2706</v>
      </c>
      <c r="L1560" s="53" t="s">
        <v>2709</v>
      </c>
    </row>
    <row r="1561" ht="15.75" customHeight="1">
      <c r="A1561" s="53" t="s">
        <v>320</v>
      </c>
      <c r="B1561" s="53" t="s">
        <v>297</v>
      </c>
      <c r="C1561" s="53" t="s">
        <v>298</v>
      </c>
      <c r="D1561" s="53" t="s">
        <v>305</v>
      </c>
      <c r="E1561" s="53" t="s">
        <v>2710</v>
      </c>
      <c r="F1561" s="53" t="s">
        <v>2711</v>
      </c>
      <c r="G1561" s="53" t="s">
        <v>313</v>
      </c>
      <c r="H1561" s="53">
        <v>0.8333333333333334</v>
      </c>
      <c r="I1561" s="53">
        <v>0.29906542056074764</v>
      </c>
      <c r="J1561" s="53">
        <v>8.0</v>
      </c>
      <c r="K1561" s="53" t="s">
        <v>2706</v>
      </c>
      <c r="L1561" s="53" t="s">
        <v>2712</v>
      </c>
    </row>
    <row r="1562" ht="15.75" customHeight="1">
      <c r="A1562" s="53" t="s">
        <v>320</v>
      </c>
      <c r="B1562" s="53" t="s">
        <v>297</v>
      </c>
      <c r="C1562" s="53" t="s">
        <v>298</v>
      </c>
      <c r="D1562" s="53" t="s">
        <v>313</v>
      </c>
      <c r="E1562" s="53" t="s">
        <v>2713</v>
      </c>
      <c r="F1562" s="53" t="s">
        <v>338</v>
      </c>
      <c r="G1562" s="53" t="s">
        <v>319</v>
      </c>
      <c r="H1562" s="53">
        <v>0.8</v>
      </c>
      <c r="I1562" s="53">
        <v>0.4673202614379085</v>
      </c>
      <c r="J1562" s="53">
        <v>3.0</v>
      </c>
      <c r="K1562" s="53" t="s">
        <v>2706</v>
      </c>
      <c r="L1562" s="53" t="s">
        <v>2714</v>
      </c>
    </row>
    <row r="1563" ht="15.75" customHeight="1">
      <c r="A1563" s="53" t="s">
        <v>2715</v>
      </c>
      <c r="B1563" s="53" t="s">
        <v>2716</v>
      </c>
      <c r="D1563" s="53" t="s">
        <v>1345</v>
      </c>
      <c r="E1563" s="53" t="s">
        <v>2717</v>
      </c>
      <c r="F1563" s="53" t="s">
        <v>2718</v>
      </c>
      <c r="G1563" s="53" t="s">
        <v>1347</v>
      </c>
      <c r="H1563" s="53">
        <v>1.0</v>
      </c>
      <c r="I1563" s="53">
        <v>0.17582417582417584</v>
      </c>
      <c r="J1563" s="53">
        <v>4.0</v>
      </c>
      <c r="K1563" s="53" t="s">
        <v>53</v>
      </c>
      <c r="L1563" s="53" t="s">
        <v>53</v>
      </c>
    </row>
    <row r="1564" ht="15.75" customHeight="1">
      <c r="A1564" s="53" t="s">
        <v>2715</v>
      </c>
      <c r="B1564" s="53" t="s">
        <v>2716</v>
      </c>
      <c r="D1564" s="53" t="s">
        <v>1345</v>
      </c>
      <c r="E1564" s="53" t="s">
        <v>2719</v>
      </c>
      <c r="F1564" s="53" t="s">
        <v>2718</v>
      </c>
      <c r="G1564" s="53" t="s">
        <v>1349</v>
      </c>
      <c r="H1564" s="53">
        <v>1.0</v>
      </c>
      <c r="I1564" s="53">
        <v>0.17582417582417584</v>
      </c>
      <c r="J1564" s="53">
        <v>0.0</v>
      </c>
      <c r="K1564" s="53" t="s">
        <v>53</v>
      </c>
      <c r="L1564" s="53" t="s">
        <v>53</v>
      </c>
    </row>
    <row r="1565" ht="15.75" customHeight="1">
      <c r="A1565" s="53" t="s">
        <v>2715</v>
      </c>
      <c r="B1565" s="53" t="s">
        <v>2716</v>
      </c>
      <c r="D1565" s="53" t="s">
        <v>1345</v>
      </c>
      <c r="E1565" s="53" t="s">
        <v>2720</v>
      </c>
      <c r="F1565" s="53" t="s">
        <v>2718</v>
      </c>
      <c r="G1565" s="53" t="s">
        <v>1351</v>
      </c>
      <c r="H1565" s="53">
        <v>1.0</v>
      </c>
      <c r="I1565" s="53">
        <v>0.1978021978021978</v>
      </c>
      <c r="J1565" s="53">
        <v>1.0</v>
      </c>
      <c r="K1565" s="53" t="s">
        <v>53</v>
      </c>
      <c r="L1565" s="53" t="s">
        <v>53</v>
      </c>
    </row>
    <row r="1566" ht="15.75" customHeight="1">
      <c r="A1566" s="53" t="s">
        <v>2715</v>
      </c>
      <c r="B1566" s="53" t="s">
        <v>2716</v>
      </c>
      <c r="D1566" s="53" t="s">
        <v>1345</v>
      </c>
      <c r="E1566" s="53" t="s">
        <v>2721</v>
      </c>
      <c r="F1566" s="53" t="s">
        <v>2718</v>
      </c>
      <c r="G1566" s="53" t="s">
        <v>1353</v>
      </c>
      <c r="H1566" s="53">
        <v>1.0</v>
      </c>
      <c r="I1566" s="53">
        <v>0.1978021978021978</v>
      </c>
      <c r="J1566" s="53">
        <v>2.0</v>
      </c>
      <c r="K1566" s="53" t="s">
        <v>53</v>
      </c>
      <c r="L1566" s="53" t="s">
        <v>53</v>
      </c>
    </row>
    <row r="1567" ht="15.75" customHeight="1">
      <c r="A1567" s="53" t="s">
        <v>2715</v>
      </c>
      <c r="B1567" s="53" t="s">
        <v>2716</v>
      </c>
      <c r="D1567" s="53" t="s">
        <v>1345</v>
      </c>
      <c r="E1567" s="53" t="s">
        <v>2722</v>
      </c>
      <c r="F1567" s="53" t="s">
        <v>2718</v>
      </c>
      <c r="G1567" s="53" t="s">
        <v>1355</v>
      </c>
      <c r="H1567" s="53">
        <v>1.0</v>
      </c>
      <c r="I1567" s="53">
        <v>0.1978021978021978</v>
      </c>
      <c r="J1567" s="53">
        <v>3.0</v>
      </c>
      <c r="K1567" s="53" t="s">
        <v>53</v>
      </c>
      <c r="L1567" s="53" t="s">
        <v>53</v>
      </c>
    </row>
    <row r="1568" ht="15.75" customHeight="1">
      <c r="A1568" s="53" t="s">
        <v>2715</v>
      </c>
      <c r="B1568" s="53" t="s">
        <v>2716</v>
      </c>
      <c r="D1568" s="53" t="s">
        <v>1349</v>
      </c>
      <c r="E1568" s="53" t="s">
        <v>2723</v>
      </c>
      <c r="F1568" s="53" t="s">
        <v>2718</v>
      </c>
      <c r="G1568" s="53" t="s">
        <v>1351</v>
      </c>
      <c r="H1568" s="53">
        <v>1.0</v>
      </c>
      <c r="I1568" s="53">
        <v>0.14942528735632185</v>
      </c>
      <c r="J1568" s="53">
        <v>0.0</v>
      </c>
      <c r="K1568" s="53" t="s">
        <v>53</v>
      </c>
      <c r="L1568" s="53" t="s">
        <v>53</v>
      </c>
    </row>
    <row r="1569" ht="15.75" customHeight="1">
      <c r="A1569" s="53" t="s">
        <v>2715</v>
      </c>
      <c r="B1569" s="53" t="s">
        <v>2716</v>
      </c>
      <c r="D1569" s="53" t="s">
        <v>1349</v>
      </c>
      <c r="E1569" s="53" t="s">
        <v>2724</v>
      </c>
      <c r="F1569" s="53" t="s">
        <v>2718</v>
      </c>
      <c r="G1569" s="53" t="s">
        <v>1353</v>
      </c>
      <c r="H1569" s="53">
        <v>1.0</v>
      </c>
      <c r="I1569" s="53">
        <v>0.14942528735632185</v>
      </c>
      <c r="J1569" s="53">
        <v>1.0</v>
      </c>
      <c r="K1569" s="53" t="s">
        <v>53</v>
      </c>
      <c r="L1569" s="53" t="s">
        <v>53</v>
      </c>
    </row>
    <row r="1570" ht="15.75" customHeight="1">
      <c r="A1570" s="53" t="s">
        <v>2715</v>
      </c>
      <c r="B1570" s="53" t="s">
        <v>2716</v>
      </c>
      <c r="D1570" s="53" t="s">
        <v>1349</v>
      </c>
      <c r="E1570" s="53" t="s">
        <v>2725</v>
      </c>
      <c r="F1570" s="53" t="s">
        <v>2718</v>
      </c>
      <c r="G1570" s="53" t="s">
        <v>1347</v>
      </c>
      <c r="H1570" s="53">
        <v>1.0</v>
      </c>
      <c r="I1570" s="53">
        <v>0.14942528735632185</v>
      </c>
      <c r="J1570" s="53">
        <v>3.0</v>
      </c>
      <c r="K1570" s="53" t="s">
        <v>53</v>
      </c>
      <c r="L1570" s="53" t="s">
        <v>53</v>
      </c>
    </row>
    <row r="1571" ht="15.75" customHeight="1">
      <c r="A1571" s="53" t="s">
        <v>2715</v>
      </c>
      <c r="B1571" s="53" t="s">
        <v>2716</v>
      </c>
      <c r="D1571" s="53" t="s">
        <v>1349</v>
      </c>
      <c r="E1571" s="53" t="s">
        <v>2726</v>
      </c>
      <c r="F1571" s="53" t="s">
        <v>2718</v>
      </c>
      <c r="G1571" s="53" t="s">
        <v>1355</v>
      </c>
      <c r="H1571" s="53">
        <v>1.0</v>
      </c>
      <c r="I1571" s="53">
        <v>0.14942528735632185</v>
      </c>
      <c r="J1571" s="53">
        <v>2.0</v>
      </c>
      <c r="K1571" s="53" t="s">
        <v>53</v>
      </c>
      <c r="L1571" s="53" t="s">
        <v>53</v>
      </c>
    </row>
    <row r="1572" ht="15.75" customHeight="1">
      <c r="A1572" s="53" t="s">
        <v>2715</v>
      </c>
      <c r="B1572" s="53" t="s">
        <v>2716</v>
      </c>
      <c r="D1572" s="53" t="s">
        <v>1351</v>
      </c>
      <c r="E1572" s="53" t="s">
        <v>2727</v>
      </c>
      <c r="F1572" s="53" t="s">
        <v>2718</v>
      </c>
      <c r="G1572" s="53" t="s">
        <v>1353</v>
      </c>
      <c r="H1572" s="53">
        <v>1.0</v>
      </c>
      <c r="I1572" s="53">
        <v>0.04597701149425287</v>
      </c>
      <c r="J1572" s="53">
        <v>0.0</v>
      </c>
      <c r="K1572" s="53" t="s">
        <v>53</v>
      </c>
      <c r="L1572" s="53" t="s">
        <v>53</v>
      </c>
    </row>
    <row r="1573" ht="15.75" customHeight="1">
      <c r="A1573" s="53" t="s">
        <v>2715</v>
      </c>
      <c r="B1573" s="53" t="s">
        <v>2716</v>
      </c>
      <c r="D1573" s="53" t="s">
        <v>1351</v>
      </c>
      <c r="E1573" s="53" t="s">
        <v>2728</v>
      </c>
      <c r="F1573" s="53" t="s">
        <v>2718</v>
      </c>
      <c r="G1573" s="53" t="s">
        <v>1355</v>
      </c>
      <c r="H1573" s="53">
        <v>1.0</v>
      </c>
      <c r="I1573" s="53">
        <v>0.04597701149425287</v>
      </c>
      <c r="J1573" s="53">
        <v>1.0</v>
      </c>
      <c r="K1573" s="53" t="s">
        <v>53</v>
      </c>
      <c r="L1573" s="53" t="s">
        <v>53</v>
      </c>
    </row>
    <row r="1574" ht="15.75" customHeight="1">
      <c r="A1574" s="53" t="s">
        <v>2715</v>
      </c>
      <c r="B1574" s="53" t="s">
        <v>2716</v>
      </c>
      <c r="D1574" s="53" t="s">
        <v>1351</v>
      </c>
      <c r="E1574" s="53" t="s">
        <v>2729</v>
      </c>
      <c r="F1574" s="53" t="s">
        <v>2718</v>
      </c>
      <c r="G1574" s="53" t="s">
        <v>1347</v>
      </c>
      <c r="H1574" s="53">
        <v>1.0</v>
      </c>
      <c r="I1574" s="53">
        <v>0.04819277108433735</v>
      </c>
      <c r="J1574" s="53">
        <v>2.0</v>
      </c>
      <c r="K1574" s="53" t="s">
        <v>53</v>
      </c>
      <c r="L1574" s="53" t="s">
        <v>53</v>
      </c>
    </row>
    <row r="1575" ht="15.75" customHeight="1">
      <c r="A1575" s="53" t="s">
        <v>2715</v>
      </c>
      <c r="B1575" s="53" t="s">
        <v>2716</v>
      </c>
      <c r="D1575" s="53" t="s">
        <v>1353</v>
      </c>
      <c r="E1575" s="53" t="s">
        <v>2730</v>
      </c>
      <c r="F1575" s="53" t="s">
        <v>2718</v>
      </c>
      <c r="G1575" s="53" t="s">
        <v>1355</v>
      </c>
      <c r="H1575" s="53">
        <v>1.0</v>
      </c>
      <c r="I1575" s="53">
        <v>0.022988505747126436</v>
      </c>
      <c r="J1575" s="53">
        <v>0.0</v>
      </c>
      <c r="K1575" s="53" t="s">
        <v>53</v>
      </c>
      <c r="L1575" s="53" t="s">
        <v>53</v>
      </c>
    </row>
    <row r="1576" ht="15.75" customHeight="1">
      <c r="A1576" s="53" t="s">
        <v>2715</v>
      </c>
      <c r="B1576" s="53" t="s">
        <v>2716</v>
      </c>
      <c r="D1576" s="53" t="s">
        <v>1353</v>
      </c>
      <c r="E1576" s="53" t="s">
        <v>2731</v>
      </c>
      <c r="F1576" s="53" t="s">
        <v>2718</v>
      </c>
      <c r="G1576" s="53" t="s">
        <v>1347</v>
      </c>
      <c r="H1576" s="53">
        <v>1.0</v>
      </c>
      <c r="I1576" s="53">
        <v>0.09195402298850575</v>
      </c>
      <c r="J1576" s="53">
        <v>1.0</v>
      </c>
      <c r="K1576" s="53" t="s">
        <v>53</v>
      </c>
      <c r="L1576" s="53" t="s">
        <v>53</v>
      </c>
    </row>
    <row r="1577" ht="15.75" customHeight="1">
      <c r="A1577" s="53" t="s">
        <v>2715</v>
      </c>
      <c r="B1577" s="53" t="s">
        <v>2716</v>
      </c>
      <c r="D1577" s="53" t="s">
        <v>1355</v>
      </c>
      <c r="E1577" s="53" t="s">
        <v>2732</v>
      </c>
      <c r="F1577" s="53" t="s">
        <v>2718</v>
      </c>
      <c r="G1577" s="53" t="s">
        <v>1347</v>
      </c>
      <c r="H1577" s="53">
        <v>1.0</v>
      </c>
      <c r="I1577" s="53">
        <v>0.09195402298850575</v>
      </c>
      <c r="J1577" s="53">
        <v>0.0</v>
      </c>
      <c r="K1577" s="53" t="s">
        <v>53</v>
      </c>
      <c r="L1577" s="53" t="s">
        <v>53</v>
      </c>
    </row>
    <row r="1578" ht="15.75" customHeight="1">
      <c r="A1578" s="53" t="s">
        <v>340</v>
      </c>
      <c r="B1578" s="53" t="s">
        <v>2733</v>
      </c>
      <c r="D1578" s="53" t="s">
        <v>2734</v>
      </c>
      <c r="E1578" s="53" t="s">
        <v>2735</v>
      </c>
      <c r="F1578" s="53" t="s">
        <v>347</v>
      </c>
      <c r="G1578" s="53" t="s">
        <v>343</v>
      </c>
      <c r="H1578" s="53">
        <v>1.0</v>
      </c>
      <c r="I1578" s="53">
        <v>0.072992700729927</v>
      </c>
      <c r="J1578" s="53">
        <v>1.0</v>
      </c>
      <c r="K1578" s="53" t="s">
        <v>53</v>
      </c>
      <c r="L1578" s="53" t="s">
        <v>53</v>
      </c>
    </row>
    <row r="1579" ht="15.75" customHeight="1">
      <c r="A1579" s="53" t="s">
        <v>340</v>
      </c>
      <c r="B1579" s="53" t="s">
        <v>2733</v>
      </c>
      <c r="D1579" s="53" t="s">
        <v>2734</v>
      </c>
      <c r="E1579" s="53" t="s">
        <v>2736</v>
      </c>
      <c r="F1579" s="53" t="s">
        <v>347</v>
      </c>
      <c r="G1579" s="53" t="s">
        <v>2737</v>
      </c>
      <c r="H1579" s="53">
        <v>1.0</v>
      </c>
      <c r="I1579" s="53">
        <v>0.37777777777777777</v>
      </c>
      <c r="J1579" s="53">
        <v>0.0</v>
      </c>
      <c r="K1579" s="53" t="s">
        <v>53</v>
      </c>
      <c r="L1579" s="53" t="s">
        <v>53</v>
      </c>
    </row>
    <row r="1580" ht="15.75" customHeight="1">
      <c r="A1580" s="53" t="s">
        <v>340</v>
      </c>
      <c r="B1580" s="53" t="s">
        <v>2733</v>
      </c>
      <c r="D1580" s="53" t="s">
        <v>2737</v>
      </c>
      <c r="E1580" s="53" t="s">
        <v>2738</v>
      </c>
      <c r="F1580" s="53" t="s">
        <v>347</v>
      </c>
      <c r="G1580" s="53" t="s">
        <v>343</v>
      </c>
      <c r="H1580" s="53">
        <v>1.0</v>
      </c>
      <c r="I1580" s="53">
        <v>0.3795620437956204</v>
      </c>
      <c r="J1580" s="53">
        <v>0.0</v>
      </c>
      <c r="K1580" s="53" t="s">
        <v>53</v>
      </c>
      <c r="L1580" s="53" t="s">
        <v>53</v>
      </c>
    </row>
    <row r="1581" ht="15.75" customHeight="1">
      <c r="A1581" s="53" t="s">
        <v>2739</v>
      </c>
      <c r="B1581" s="53" t="s">
        <v>2733</v>
      </c>
      <c r="D1581" s="53" t="s">
        <v>2740</v>
      </c>
      <c r="E1581" s="53" t="s">
        <v>2741</v>
      </c>
      <c r="F1581" s="53" t="s">
        <v>2742</v>
      </c>
      <c r="G1581" s="53" t="s">
        <v>2743</v>
      </c>
      <c r="H1581" s="53">
        <v>1.0</v>
      </c>
      <c r="I1581" s="53">
        <v>0.7945544554455446</v>
      </c>
      <c r="J1581" s="53">
        <v>2.0</v>
      </c>
      <c r="K1581" s="53" t="s">
        <v>53</v>
      </c>
      <c r="L1581" s="53" t="s">
        <v>2744</v>
      </c>
    </row>
    <row r="1582" ht="15.75" customHeight="1">
      <c r="A1582" s="53" t="s">
        <v>2739</v>
      </c>
      <c r="B1582" s="53" t="s">
        <v>2733</v>
      </c>
      <c r="D1582" s="53" t="s">
        <v>2745</v>
      </c>
      <c r="E1582" s="53" t="s">
        <v>2746</v>
      </c>
      <c r="F1582" s="53" t="s">
        <v>2747</v>
      </c>
      <c r="G1582" s="53" t="s">
        <v>2748</v>
      </c>
      <c r="H1582" s="53">
        <v>1.0</v>
      </c>
      <c r="I1582" s="53">
        <v>0.6140350877192983</v>
      </c>
      <c r="J1582" s="53">
        <v>2.0</v>
      </c>
      <c r="K1582" s="53" t="s">
        <v>53</v>
      </c>
      <c r="L1582" s="53" t="s">
        <v>2749</v>
      </c>
    </row>
    <row r="1583" ht="15.75" customHeight="1">
      <c r="A1583" s="53" t="s">
        <v>352</v>
      </c>
      <c r="B1583" s="53" t="s">
        <v>2750</v>
      </c>
      <c r="C1583" s="53" t="s">
        <v>2751</v>
      </c>
      <c r="D1583" s="53" t="s">
        <v>2752</v>
      </c>
      <c r="E1583" s="53" t="s">
        <v>2753</v>
      </c>
      <c r="F1583" s="53" t="s">
        <v>2754</v>
      </c>
      <c r="G1583" s="53" t="s">
        <v>2755</v>
      </c>
      <c r="H1583" s="53">
        <v>0.7142857142857143</v>
      </c>
      <c r="I1583" s="53">
        <v>0.10899653979238755</v>
      </c>
      <c r="J1583" s="53">
        <v>0.0</v>
      </c>
      <c r="K1583" s="53" t="s">
        <v>2756</v>
      </c>
      <c r="L1583" s="53" t="s">
        <v>2757</v>
      </c>
    </row>
    <row r="1584" ht="15.75" customHeight="1">
      <c r="A1584" s="53" t="s">
        <v>525</v>
      </c>
      <c r="B1584" s="53" t="s">
        <v>2758</v>
      </c>
      <c r="D1584" s="53" t="s">
        <v>2759</v>
      </c>
      <c r="E1584" s="53" t="s">
        <v>2760</v>
      </c>
      <c r="F1584" s="53" t="s">
        <v>2761</v>
      </c>
      <c r="G1584" s="53" t="s">
        <v>2762</v>
      </c>
      <c r="H1584" s="53">
        <v>1.0</v>
      </c>
      <c r="I1584" s="53">
        <v>0.047829286239882265</v>
      </c>
      <c r="J1584" s="53">
        <v>1.0</v>
      </c>
      <c r="K1584" s="53" t="s">
        <v>53</v>
      </c>
      <c r="L1584" s="53" t="s">
        <v>53</v>
      </c>
    </row>
    <row r="1585" ht="15.75" customHeight="1">
      <c r="A1585" s="53" t="s">
        <v>525</v>
      </c>
      <c r="B1585" s="53" t="s">
        <v>2758</v>
      </c>
      <c r="D1585" s="53" t="s">
        <v>2759</v>
      </c>
      <c r="E1585" s="53" t="s">
        <v>2763</v>
      </c>
      <c r="F1585" s="53" t="s">
        <v>2761</v>
      </c>
      <c r="G1585" s="53" t="s">
        <v>527</v>
      </c>
      <c r="H1585" s="53">
        <v>1.0</v>
      </c>
      <c r="I1585" s="53">
        <v>0.049300956585724795</v>
      </c>
      <c r="J1585" s="53">
        <v>0.0</v>
      </c>
      <c r="K1585" s="53" t="s">
        <v>53</v>
      </c>
      <c r="L1585" s="53" t="s">
        <v>53</v>
      </c>
    </row>
    <row r="1586" ht="15.75" customHeight="1">
      <c r="A1586" s="53" t="s">
        <v>525</v>
      </c>
      <c r="B1586" s="53" t="s">
        <v>2758</v>
      </c>
      <c r="D1586" s="53" t="s">
        <v>527</v>
      </c>
      <c r="E1586" s="53" t="s">
        <v>2764</v>
      </c>
      <c r="F1586" s="53" t="s">
        <v>2765</v>
      </c>
      <c r="G1586" s="53" t="s">
        <v>2762</v>
      </c>
      <c r="H1586" s="53">
        <v>1.0</v>
      </c>
      <c r="I1586" s="53">
        <v>0.005886681383370125</v>
      </c>
      <c r="J1586" s="53">
        <v>0.0</v>
      </c>
      <c r="K1586" s="53" t="s">
        <v>53</v>
      </c>
      <c r="L1586" s="53" t="s">
        <v>53</v>
      </c>
    </row>
    <row r="1587" ht="15.75" customHeight="1">
      <c r="A1587" s="53" t="s">
        <v>2739</v>
      </c>
      <c r="B1587" s="53" t="s">
        <v>341</v>
      </c>
      <c r="C1587" s="53" t="s">
        <v>342</v>
      </c>
      <c r="D1587" s="53" t="s">
        <v>2766</v>
      </c>
      <c r="E1587" s="53" t="s">
        <v>2767</v>
      </c>
      <c r="F1587" s="53" t="s">
        <v>2768</v>
      </c>
      <c r="G1587" s="53" t="s">
        <v>2769</v>
      </c>
      <c r="H1587" s="53">
        <v>1.0</v>
      </c>
      <c r="I1587" s="53">
        <v>0.6015037593984962</v>
      </c>
      <c r="J1587" s="53">
        <v>3.0</v>
      </c>
      <c r="K1587" s="53" t="s">
        <v>53</v>
      </c>
      <c r="L1587" s="53" t="s">
        <v>53</v>
      </c>
    </row>
    <row r="1588" ht="15.75" customHeight="1">
      <c r="A1588" s="53" t="s">
        <v>352</v>
      </c>
      <c r="B1588" s="53" t="s">
        <v>354</v>
      </c>
      <c r="C1588" s="53" t="s">
        <v>2770</v>
      </c>
      <c r="D1588" s="53" t="s">
        <v>677</v>
      </c>
      <c r="E1588" s="53" t="s">
        <v>2771</v>
      </c>
      <c r="F1588" s="53" t="s">
        <v>2772</v>
      </c>
      <c r="G1588" s="53" t="s">
        <v>2773</v>
      </c>
      <c r="H1588" s="53">
        <v>0.7142857142857143</v>
      </c>
      <c r="I1588" s="53">
        <v>0.0051813471502590676</v>
      </c>
      <c r="J1588" s="53">
        <v>0.0</v>
      </c>
      <c r="K1588" s="53" t="s">
        <v>2774</v>
      </c>
      <c r="L1588" s="53" t="s">
        <v>2775</v>
      </c>
    </row>
    <row r="1589" ht="15.75" customHeight="1">
      <c r="A1589" s="53" t="s">
        <v>352</v>
      </c>
      <c r="B1589" s="53" t="s">
        <v>354</v>
      </c>
      <c r="C1589" s="53" t="s">
        <v>2770</v>
      </c>
      <c r="D1589" s="53" t="s">
        <v>677</v>
      </c>
      <c r="E1589" s="53" t="s">
        <v>2776</v>
      </c>
      <c r="F1589" s="53" t="s">
        <v>2777</v>
      </c>
      <c r="G1589" s="53" t="s">
        <v>2778</v>
      </c>
      <c r="H1589" s="53">
        <v>0.7142857142857143</v>
      </c>
      <c r="I1589" s="53">
        <v>0.10787671232876712</v>
      </c>
      <c r="J1589" s="53">
        <v>1.0</v>
      </c>
      <c r="K1589" s="53" t="s">
        <v>2774</v>
      </c>
      <c r="L1589" s="53" t="s">
        <v>2757</v>
      </c>
    </row>
    <row r="1590" ht="15.75" customHeight="1">
      <c r="A1590" s="53" t="s">
        <v>352</v>
      </c>
      <c r="B1590" s="53" t="s">
        <v>354</v>
      </c>
      <c r="C1590" s="53" t="s">
        <v>2770</v>
      </c>
      <c r="D1590" s="53" t="s">
        <v>2773</v>
      </c>
      <c r="E1590" s="53" t="s">
        <v>2779</v>
      </c>
      <c r="F1590" s="53" t="s">
        <v>2754</v>
      </c>
      <c r="G1590" s="53" t="s">
        <v>2780</v>
      </c>
      <c r="H1590" s="53">
        <v>0.7142857142857143</v>
      </c>
      <c r="I1590" s="53">
        <v>0.10843373493975904</v>
      </c>
      <c r="J1590" s="53">
        <v>1.0</v>
      </c>
      <c r="K1590" s="53" t="s">
        <v>2774</v>
      </c>
      <c r="L1590" s="53" t="s">
        <v>2757</v>
      </c>
    </row>
    <row r="1591" ht="15.75" customHeight="1">
      <c r="A1591" s="53" t="s">
        <v>352</v>
      </c>
      <c r="B1591" s="53" t="s">
        <v>354</v>
      </c>
      <c r="C1591" s="53" t="s">
        <v>2770</v>
      </c>
      <c r="D1591" s="53" t="s">
        <v>2778</v>
      </c>
      <c r="E1591" s="53" t="s">
        <v>2781</v>
      </c>
      <c r="F1591" s="53" t="s">
        <v>2782</v>
      </c>
      <c r="G1591" s="53" t="s">
        <v>2780</v>
      </c>
      <c r="H1591" s="53">
        <v>0.7142857142857143</v>
      </c>
      <c r="I1591" s="53">
        <v>0.005136986301369863</v>
      </c>
      <c r="J1591" s="53">
        <v>0.0</v>
      </c>
      <c r="K1591" s="53" t="s">
        <v>2774</v>
      </c>
      <c r="L1591" s="53" t="s">
        <v>2775</v>
      </c>
    </row>
    <row r="1592" ht="15.75" customHeight="1">
      <c r="A1592" s="53" t="s">
        <v>352</v>
      </c>
      <c r="B1592" s="53" t="s">
        <v>353</v>
      </c>
      <c r="C1592" s="53" t="s">
        <v>354</v>
      </c>
      <c r="D1592" s="53" t="s">
        <v>372</v>
      </c>
      <c r="E1592" s="53" t="s">
        <v>2783</v>
      </c>
      <c r="F1592" s="53" t="s">
        <v>2784</v>
      </c>
      <c r="G1592" s="53" t="s">
        <v>381</v>
      </c>
      <c r="H1592" s="53">
        <v>0.25</v>
      </c>
      <c r="I1592" s="53">
        <v>0.0778688524590164</v>
      </c>
      <c r="J1592" s="53">
        <v>1.0</v>
      </c>
      <c r="K1592" s="53" t="s">
        <v>2785</v>
      </c>
      <c r="L1592" s="53" t="s">
        <v>2786</v>
      </c>
    </row>
    <row r="1593" ht="15.75" customHeight="1">
      <c r="A1593" s="53" t="s">
        <v>352</v>
      </c>
      <c r="B1593" s="53" t="s">
        <v>396</v>
      </c>
      <c r="C1593" s="53" t="s">
        <v>383</v>
      </c>
      <c r="D1593" s="53" t="s">
        <v>401</v>
      </c>
      <c r="E1593" s="53" t="s">
        <v>2787</v>
      </c>
      <c r="F1593" s="53" t="s">
        <v>2526</v>
      </c>
      <c r="G1593" s="53" t="s">
        <v>409</v>
      </c>
      <c r="H1593" s="53">
        <v>0.25</v>
      </c>
      <c r="I1593" s="53">
        <v>0.0778688524590164</v>
      </c>
      <c r="J1593" s="53">
        <v>1.0</v>
      </c>
      <c r="K1593" s="53" t="s">
        <v>2788</v>
      </c>
      <c r="L1593" s="53" t="s">
        <v>2527</v>
      </c>
    </row>
    <row r="1594" ht="15.75" customHeight="1">
      <c r="A1594" s="53" t="s">
        <v>411</v>
      </c>
      <c r="B1594" s="53" t="s">
        <v>2789</v>
      </c>
      <c r="D1594" s="53" t="s">
        <v>414</v>
      </c>
      <c r="E1594" s="53" t="s">
        <v>2790</v>
      </c>
      <c r="F1594" s="53" t="s">
        <v>2791</v>
      </c>
      <c r="G1594" s="53" t="s">
        <v>2792</v>
      </c>
      <c r="H1594" s="53">
        <v>1.0</v>
      </c>
      <c r="I1594" s="53">
        <v>0.08496732026143791</v>
      </c>
      <c r="J1594" s="53">
        <v>3.0</v>
      </c>
      <c r="K1594" s="53" t="s">
        <v>53</v>
      </c>
      <c r="L1594" s="53" t="s">
        <v>53</v>
      </c>
    </row>
    <row r="1595" ht="15.75" customHeight="1">
      <c r="A1595" s="53" t="s">
        <v>411</v>
      </c>
      <c r="B1595" s="53" t="s">
        <v>2789</v>
      </c>
      <c r="D1595" s="53" t="s">
        <v>414</v>
      </c>
      <c r="E1595" s="53" t="s">
        <v>2793</v>
      </c>
      <c r="F1595" s="53" t="s">
        <v>2791</v>
      </c>
      <c r="G1595" s="53" t="s">
        <v>2794</v>
      </c>
      <c r="H1595" s="53">
        <v>1.0</v>
      </c>
      <c r="I1595" s="53">
        <v>0.14285714285714285</v>
      </c>
      <c r="J1595" s="53">
        <v>1.0</v>
      </c>
      <c r="K1595" s="53" t="s">
        <v>53</v>
      </c>
      <c r="L1595" s="53" t="s">
        <v>53</v>
      </c>
    </row>
    <row r="1596" ht="15.75" customHeight="1">
      <c r="A1596" s="53" t="s">
        <v>411</v>
      </c>
      <c r="B1596" s="53" t="s">
        <v>2789</v>
      </c>
      <c r="D1596" s="53" t="s">
        <v>414</v>
      </c>
      <c r="E1596" s="53" t="s">
        <v>2795</v>
      </c>
      <c r="F1596" s="53" t="s">
        <v>2791</v>
      </c>
      <c r="G1596" s="53" t="s">
        <v>2796</v>
      </c>
      <c r="H1596" s="53">
        <v>1.0</v>
      </c>
      <c r="I1596" s="53">
        <v>0.14634146341463414</v>
      </c>
      <c r="J1596" s="53">
        <v>4.0</v>
      </c>
      <c r="K1596" s="53" t="s">
        <v>53</v>
      </c>
      <c r="L1596" s="53" t="s">
        <v>53</v>
      </c>
    </row>
    <row r="1597" ht="15.75" customHeight="1">
      <c r="A1597" s="53" t="s">
        <v>411</v>
      </c>
      <c r="B1597" s="53" t="s">
        <v>2789</v>
      </c>
      <c r="D1597" s="53" t="s">
        <v>414</v>
      </c>
      <c r="E1597" s="53" t="s">
        <v>2797</v>
      </c>
      <c r="F1597" s="53" t="s">
        <v>2791</v>
      </c>
      <c r="G1597" s="53" t="s">
        <v>941</v>
      </c>
      <c r="H1597" s="53">
        <v>1.0</v>
      </c>
      <c r="I1597" s="53">
        <v>0.16167664670658682</v>
      </c>
      <c r="J1597" s="53">
        <v>0.0</v>
      </c>
      <c r="K1597" s="53" t="s">
        <v>53</v>
      </c>
      <c r="L1597" s="53" t="s">
        <v>53</v>
      </c>
    </row>
    <row r="1598" ht="15.75" customHeight="1">
      <c r="A1598" s="53" t="s">
        <v>411</v>
      </c>
      <c r="B1598" s="53" t="s">
        <v>2789</v>
      </c>
      <c r="D1598" s="53" t="s">
        <v>414</v>
      </c>
      <c r="E1598" s="53" t="s">
        <v>2798</v>
      </c>
      <c r="F1598" s="53" t="s">
        <v>2791</v>
      </c>
      <c r="G1598" s="53" t="s">
        <v>2799</v>
      </c>
      <c r="H1598" s="53">
        <v>1.0</v>
      </c>
      <c r="I1598" s="53">
        <v>0.17687074829931973</v>
      </c>
      <c r="J1598" s="53">
        <v>5.0</v>
      </c>
      <c r="K1598" s="53" t="s">
        <v>53</v>
      </c>
      <c r="L1598" s="53" t="s">
        <v>53</v>
      </c>
    </row>
    <row r="1599" ht="15.75" customHeight="1">
      <c r="A1599" s="53" t="s">
        <v>411</v>
      </c>
      <c r="B1599" s="53" t="s">
        <v>2789</v>
      </c>
      <c r="D1599" s="53" t="s">
        <v>414</v>
      </c>
      <c r="E1599" s="53" t="s">
        <v>2800</v>
      </c>
      <c r="F1599" s="53" t="s">
        <v>2791</v>
      </c>
      <c r="G1599" s="53" t="s">
        <v>2801</v>
      </c>
      <c r="H1599" s="53">
        <v>1.0</v>
      </c>
      <c r="I1599" s="53">
        <v>0.17687074829931973</v>
      </c>
      <c r="J1599" s="53">
        <v>6.0</v>
      </c>
      <c r="K1599" s="53" t="s">
        <v>53</v>
      </c>
      <c r="L1599" s="53" t="s">
        <v>53</v>
      </c>
    </row>
    <row r="1600" ht="15.75" customHeight="1">
      <c r="A1600" s="53" t="s">
        <v>411</v>
      </c>
      <c r="B1600" s="53" t="s">
        <v>2789</v>
      </c>
      <c r="D1600" s="53" t="s">
        <v>414</v>
      </c>
      <c r="E1600" s="53" t="s">
        <v>2802</v>
      </c>
      <c r="F1600" s="53" t="s">
        <v>2791</v>
      </c>
      <c r="G1600" s="53" t="s">
        <v>2803</v>
      </c>
      <c r="H1600" s="53">
        <v>1.0</v>
      </c>
      <c r="I1600" s="53">
        <v>0.25925925925925924</v>
      </c>
      <c r="J1600" s="53">
        <v>2.0</v>
      </c>
      <c r="K1600" s="53" t="s">
        <v>53</v>
      </c>
      <c r="L1600" s="53" t="s">
        <v>53</v>
      </c>
    </row>
    <row r="1601" ht="15.75" customHeight="1">
      <c r="A1601" s="53" t="s">
        <v>411</v>
      </c>
      <c r="B1601" s="53" t="s">
        <v>2789</v>
      </c>
      <c r="D1601" s="53" t="s">
        <v>941</v>
      </c>
      <c r="E1601" s="53" t="s">
        <v>2804</v>
      </c>
      <c r="F1601" s="53" t="s">
        <v>2791</v>
      </c>
      <c r="G1601" s="53" t="s">
        <v>2794</v>
      </c>
      <c r="H1601" s="53">
        <v>1.0</v>
      </c>
      <c r="I1601" s="53">
        <v>0.09523809523809523</v>
      </c>
      <c r="J1601" s="53">
        <v>0.0</v>
      </c>
      <c r="K1601" s="53" t="s">
        <v>53</v>
      </c>
      <c r="L1601" s="53" t="s">
        <v>53</v>
      </c>
    </row>
    <row r="1602" ht="15.75" customHeight="1">
      <c r="A1602" s="53" t="s">
        <v>411</v>
      </c>
      <c r="B1602" s="53" t="s">
        <v>2789</v>
      </c>
      <c r="D1602" s="53" t="s">
        <v>941</v>
      </c>
      <c r="E1602" s="53" t="s">
        <v>2805</v>
      </c>
      <c r="F1602" s="53" t="s">
        <v>2791</v>
      </c>
      <c r="G1602" s="53" t="s">
        <v>2803</v>
      </c>
      <c r="H1602" s="53">
        <v>1.0</v>
      </c>
      <c r="I1602" s="53">
        <v>0.14814814814814814</v>
      </c>
      <c r="J1602" s="53">
        <v>1.0</v>
      </c>
      <c r="K1602" s="53" t="s">
        <v>53</v>
      </c>
      <c r="L1602" s="53" t="s">
        <v>53</v>
      </c>
    </row>
    <row r="1603" ht="15.75" customHeight="1">
      <c r="A1603" s="53" t="s">
        <v>411</v>
      </c>
      <c r="B1603" s="53" t="s">
        <v>2789</v>
      </c>
      <c r="D1603" s="53" t="s">
        <v>941</v>
      </c>
      <c r="E1603" s="53" t="s">
        <v>2806</v>
      </c>
      <c r="F1603" s="53" t="s">
        <v>2791</v>
      </c>
      <c r="G1603" s="53" t="s">
        <v>2792</v>
      </c>
      <c r="H1603" s="53">
        <v>1.0</v>
      </c>
      <c r="I1603" s="53">
        <v>0.17365269461077845</v>
      </c>
      <c r="J1603" s="53">
        <v>2.0</v>
      </c>
      <c r="K1603" s="53" t="s">
        <v>53</v>
      </c>
      <c r="L1603" s="53" t="s">
        <v>53</v>
      </c>
    </row>
    <row r="1604" ht="15.75" customHeight="1">
      <c r="A1604" s="53" t="s">
        <v>411</v>
      </c>
      <c r="B1604" s="53" t="s">
        <v>2789</v>
      </c>
      <c r="D1604" s="53" t="s">
        <v>941</v>
      </c>
      <c r="E1604" s="53" t="s">
        <v>2807</v>
      </c>
      <c r="F1604" s="53" t="s">
        <v>2791</v>
      </c>
      <c r="G1604" s="53" t="s">
        <v>2796</v>
      </c>
      <c r="H1604" s="53">
        <v>1.0</v>
      </c>
      <c r="I1604" s="53">
        <v>0.23952095808383234</v>
      </c>
      <c r="J1604" s="53">
        <v>3.0</v>
      </c>
      <c r="K1604" s="53" t="s">
        <v>53</v>
      </c>
      <c r="L1604" s="53" t="s">
        <v>53</v>
      </c>
    </row>
    <row r="1605" ht="15.75" customHeight="1">
      <c r="A1605" s="53" t="s">
        <v>411</v>
      </c>
      <c r="B1605" s="53" t="s">
        <v>2789</v>
      </c>
      <c r="D1605" s="53" t="s">
        <v>941</v>
      </c>
      <c r="E1605" s="53" t="s">
        <v>2808</v>
      </c>
      <c r="F1605" s="53" t="s">
        <v>2791</v>
      </c>
      <c r="G1605" s="53" t="s">
        <v>2799</v>
      </c>
      <c r="H1605" s="53">
        <v>1.0</v>
      </c>
      <c r="I1605" s="53">
        <v>0.2634730538922156</v>
      </c>
      <c r="J1605" s="53">
        <v>4.0</v>
      </c>
      <c r="K1605" s="53" t="s">
        <v>53</v>
      </c>
      <c r="L1605" s="53" t="s">
        <v>53</v>
      </c>
    </row>
    <row r="1606" ht="15.75" customHeight="1">
      <c r="A1606" s="53" t="s">
        <v>411</v>
      </c>
      <c r="B1606" s="53" t="s">
        <v>2789</v>
      </c>
      <c r="D1606" s="53" t="s">
        <v>941</v>
      </c>
      <c r="E1606" s="53" t="s">
        <v>2809</v>
      </c>
      <c r="F1606" s="53" t="s">
        <v>2791</v>
      </c>
      <c r="G1606" s="53" t="s">
        <v>2801</v>
      </c>
      <c r="H1606" s="53">
        <v>1.0</v>
      </c>
      <c r="I1606" s="53">
        <v>0.2634730538922156</v>
      </c>
      <c r="J1606" s="53">
        <v>5.0</v>
      </c>
      <c r="K1606" s="53" t="s">
        <v>53</v>
      </c>
      <c r="L1606" s="53" t="s">
        <v>53</v>
      </c>
    </row>
    <row r="1607" ht="15.75" customHeight="1">
      <c r="A1607" s="53" t="s">
        <v>411</v>
      </c>
      <c r="B1607" s="53" t="s">
        <v>2789</v>
      </c>
      <c r="D1607" s="53" t="s">
        <v>2794</v>
      </c>
      <c r="E1607" s="53" t="s">
        <v>2810</v>
      </c>
      <c r="F1607" s="53" t="s">
        <v>2791</v>
      </c>
      <c r="G1607" s="53" t="s">
        <v>2792</v>
      </c>
      <c r="H1607" s="53">
        <v>1.0</v>
      </c>
      <c r="I1607" s="53">
        <v>0.16666666666666666</v>
      </c>
      <c r="J1607" s="53">
        <v>1.0</v>
      </c>
      <c r="K1607" s="53" t="s">
        <v>53</v>
      </c>
      <c r="L1607" s="53" t="s">
        <v>53</v>
      </c>
    </row>
    <row r="1608" ht="15.75" customHeight="1">
      <c r="A1608" s="53" t="s">
        <v>411</v>
      </c>
      <c r="B1608" s="53" t="s">
        <v>2789</v>
      </c>
      <c r="D1608" s="53" t="s">
        <v>2794</v>
      </c>
      <c r="E1608" s="53" t="s">
        <v>2811</v>
      </c>
      <c r="F1608" s="53" t="s">
        <v>2791</v>
      </c>
      <c r="G1608" s="53" t="s">
        <v>2803</v>
      </c>
      <c r="H1608" s="53">
        <v>1.0</v>
      </c>
      <c r="I1608" s="53">
        <v>0.1746031746031746</v>
      </c>
      <c r="J1608" s="53">
        <v>0.0</v>
      </c>
      <c r="K1608" s="53" t="s">
        <v>53</v>
      </c>
      <c r="L1608" s="53" t="s">
        <v>53</v>
      </c>
    </row>
    <row r="1609" ht="15.75" customHeight="1">
      <c r="A1609" s="53" t="s">
        <v>411</v>
      </c>
      <c r="B1609" s="53" t="s">
        <v>2789</v>
      </c>
      <c r="D1609" s="53" t="s">
        <v>2794</v>
      </c>
      <c r="E1609" s="53" t="s">
        <v>2812</v>
      </c>
      <c r="F1609" s="53" t="s">
        <v>2791</v>
      </c>
      <c r="G1609" s="53" t="s">
        <v>2796</v>
      </c>
      <c r="H1609" s="53">
        <v>1.0</v>
      </c>
      <c r="I1609" s="53">
        <v>0.22023809523809523</v>
      </c>
      <c r="J1609" s="53">
        <v>2.0</v>
      </c>
      <c r="K1609" s="53" t="s">
        <v>53</v>
      </c>
      <c r="L1609" s="53" t="s">
        <v>53</v>
      </c>
    </row>
    <row r="1610" ht="15.75" customHeight="1">
      <c r="A1610" s="53" t="s">
        <v>411</v>
      </c>
      <c r="B1610" s="53" t="s">
        <v>2789</v>
      </c>
      <c r="D1610" s="53" t="s">
        <v>2794</v>
      </c>
      <c r="E1610" s="53" t="s">
        <v>2813</v>
      </c>
      <c r="F1610" s="53" t="s">
        <v>2791</v>
      </c>
      <c r="G1610" s="53" t="s">
        <v>2799</v>
      </c>
      <c r="H1610" s="53">
        <v>1.0</v>
      </c>
      <c r="I1610" s="53">
        <v>0.26785714285714285</v>
      </c>
      <c r="J1610" s="53">
        <v>3.0</v>
      </c>
      <c r="K1610" s="53" t="s">
        <v>53</v>
      </c>
      <c r="L1610" s="53" t="s">
        <v>53</v>
      </c>
    </row>
    <row r="1611" ht="15.75" customHeight="1">
      <c r="A1611" s="53" t="s">
        <v>411</v>
      </c>
      <c r="B1611" s="53" t="s">
        <v>2789</v>
      </c>
      <c r="D1611" s="53" t="s">
        <v>2794</v>
      </c>
      <c r="E1611" s="53" t="s">
        <v>2814</v>
      </c>
      <c r="F1611" s="53" t="s">
        <v>2791</v>
      </c>
      <c r="G1611" s="53" t="s">
        <v>2801</v>
      </c>
      <c r="H1611" s="53">
        <v>1.0</v>
      </c>
      <c r="I1611" s="53">
        <v>0.26785714285714285</v>
      </c>
      <c r="J1611" s="53">
        <v>4.0</v>
      </c>
      <c r="K1611" s="53" t="s">
        <v>53</v>
      </c>
      <c r="L1611" s="53" t="s">
        <v>53</v>
      </c>
    </row>
    <row r="1612" ht="15.75" customHeight="1">
      <c r="A1612" s="53" t="s">
        <v>411</v>
      </c>
      <c r="B1612" s="53" t="s">
        <v>2789</v>
      </c>
      <c r="D1612" s="53" t="s">
        <v>2803</v>
      </c>
      <c r="E1612" s="53" t="s">
        <v>2815</v>
      </c>
      <c r="F1612" s="53" t="s">
        <v>2791</v>
      </c>
      <c r="G1612" s="53" t="s">
        <v>2792</v>
      </c>
      <c r="H1612" s="53">
        <v>1.0</v>
      </c>
      <c r="I1612" s="53">
        <v>0.25396825396825395</v>
      </c>
      <c r="J1612" s="53">
        <v>0.0</v>
      </c>
      <c r="K1612" s="53" t="s">
        <v>53</v>
      </c>
      <c r="L1612" s="53" t="s">
        <v>53</v>
      </c>
    </row>
    <row r="1613" ht="15.75" customHeight="1">
      <c r="A1613" s="53" t="s">
        <v>411</v>
      </c>
      <c r="B1613" s="53" t="s">
        <v>2789</v>
      </c>
      <c r="D1613" s="53" t="s">
        <v>2803</v>
      </c>
      <c r="E1613" s="53" t="s">
        <v>2816</v>
      </c>
      <c r="F1613" s="53" t="s">
        <v>2791</v>
      </c>
      <c r="G1613" s="53" t="s">
        <v>2796</v>
      </c>
      <c r="H1613" s="53">
        <v>1.0</v>
      </c>
      <c r="I1613" s="53">
        <v>0.2804232804232804</v>
      </c>
      <c r="J1613" s="53">
        <v>1.0</v>
      </c>
      <c r="K1613" s="53" t="s">
        <v>53</v>
      </c>
      <c r="L1613" s="53" t="s">
        <v>53</v>
      </c>
    </row>
    <row r="1614" ht="15.75" customHeight="1">
      <c r="A1614" s="53" t="s">
        <v>411</v>
      </c>
      <c r="B1614" s="53" t="s">
        <v>2789</v>
      </c>
      <c r="D1614" s="53" t="s">
        <v>2803</v>
      </c>
      <c r="E1614" s="53" t="s">
        <v>2817</v>
      </c>
      <c r="F1614" s="53" t="s">
        <v>2791</v>
      </c>
      <c r="G1614" s="53" t="s">
        <v>2799</v>
      </c>
      <c r="H1614" s="53">
        <v>1.0</v>
      </c>
      <c r="I1614" s="53">
        <v>0.3386243386243386</v>
      </c>
      <c r="J1614" s="53">
        <v>2.0</v>
      </c>
      <c r="K1614" s="53" t="s">
        <v>53</v>
      </c>
      <c r="L1614" s="53" t="s">
        <v>53</v>
      </c>
    </row>
    <row r="1615" ht="15.75" customHeight="1">
      <c r="A1615" s="53" t="s">
        <v>411</v>
      </c>
      <c r="B1615" s="53" t="s">
        <v>2789</v>
      </c>
      <c r="D1615" s="53" t="s">
        <v>2803</v>
      </c>
      <c r="E1615" s="53" t="s">
        <v>2818</v>
      </c>
      <c r="F1615" s="53" t="s">
        <v>2791</v>
      </c>
      <c r="G1615" s="53" t="s">
        <v>2801</v>
      </c>
      <c r="H1615" s="53">
        <v>1.0</v>
      </c>
      <c r="I1615" s="53">
        <v>0.3439153439153439</v>
      </c>
      <c r="J1615" s="53">
        <v>3.0</v>
      </c>
      <c r="K1615" s="53" t="s">
        <v>53</v>
      </c>
      <c r="L1615" s="53" t="s">
        <v>53</v>
      </c>
    </row>
    <row r="1616" ht="15.75" customHeight="1">
      <c r="A1616" s="53" t="s">
        <v>411</v>
      </c>
      <c r="B1616" s="53" t="s">
        <v>2789</v>
      </c>
      <c r="D1616" s="53" t="s">
        <v>2792</v>
      </c>
      <c r="E1616" s="53" t="s">
        <v>2819</v>
      </c>
      <c r="F1616" s="53" t="s">
        <v>2791</v>
      </c>
      <c r="G1616" s="53" t="s">
        <v>2796</v>
      </c>
      <c r="H1616" s="53">
        <v>1.0</v>
      </c>
      <c r="I1616" s="53">
        <v>0.10975609756097561</v>
      </c>
      <c r="J1616" s="53">
        <v>0.0</v>
      </c>
      <c r="K1616" s="53" t="s">
        <v>53</v>
      </c>
      <c r="L1616" s="53" t="s">
        <v>53</v>
      </c>
    </row>
    <row r="1617" ht="15.75" customHeight="1">
      <c r="A1617" s="53" t="s">
        <v>411</v>
      </c>
      <c r="B1617" s="53" t="s">
        <v>2789</v>
      </c>
      <c r="D1617" s="53" t="s">
        <v>2792</v>
      </c>
      <c r="E1617" s="53" t="s">
        <v>2820</v>
      </c>
      <c r="F1617" s="53" t="s">
        <v>2791</v>
      </c>
      <c r="G1617" s="53" t="s">
        <v>2799</v>
      </c>
      <c r="H1617" s="53">
        <v>1.0</v>
      </c>
      <c r="I1617" s="53">
        <v>0.19607843137254902</v>
      </c>
      <c r="J1617" s="53">
        <v>1.0</v>
      </c>
      <c r="K1617" s="53" t="s">
        <v>53</v>
      </c>
      <c r="L1617" s="53" t="s">
        <v>53</v>
      </c>
    </row>
    <row r="1618" ht="15.75" customHeight="1">
      <c r="A1618" s="53" t="s">
        <v>411</v>
      </c>
      <c r="B1618" s="53" t="s">
        <v>2789</v>
      </c>
      <c r="D1618" s="53" t="s">
        <v>2792</v>
      </c>
      <c r="E1618" s="53" t="s">
        <v>2821</v>
      </c>
      <c r="F1618" s="53" t="s">
        <v>2791</v>
      </c>
      <c r="G1618" s="53" t="s">
        <v>2801</v>
      </c>
      <c r="H1618" s="53">
        <v>1.0</v>
      </c>
      <c r="I1618" s="53">
        <v>0.20915032679738563</v>
      </c>
      <c r="J1618" s="53">
        <v>2.0</v>
      </c>
      <c r="K1618" s="53" t="s">
        <v>53</v>
      </c>
      <c r="L1618" s="53" t="s">
        <v>53</v>
      </c>
    </row>
    <row r="1619" ht="15.75" customHeight="1">
      <c r="A1619" s="53" t="s">
        <v>411</v>
      </c>
      <c r="B1619" s="53" t="s">
        <v>2789</v>
      </c>
      <c r="D1619" s="53" t="s">
        <v>2796</v>
      </c>
      <c r="E1619" s="53" t="s">
        <v>2822</v>
      </c>
      <c r="F1619" s="53" t="s">
        <v>2791</v>
      </c>
      <c r="G1619" s="53" t="s">
        <v>2799</v>
      </c>
      <c r="H1619" s="53">
        <v>1.0</v>
      </c>
      <c r="I1619" s="53">
        <v>0.25</v>
      </c>
      <c r="J1619" s="53">
        <v>0.0</v>
      </c>
      <c r="K1619" s="53" t="s">
        <v>53</v>
      </c>
      <c r="L1619" s="53" t="s">
        <v>53</v>
      </c>
    </row>
    <row r="1620" ht="15.75" customHeight="1">
      <c r="A1620" s="53" t="s">
        <v>411</v>
      </c>
      <c r="B1620" s="53" t="s">
        <v>2789</v>
      </c>
      <c r="D1620" s="53" t="s">
        <v>2796</v>
      </c>
      <c r="E1620" s="53" t="s">
        <v>2823</v>
      </c>
      <c r="F1620" s="53" t="s">
        <v>2791</v>
      </c>
      <c r="G1620" s="53" t="s">
        <v>2801</v>
      </c>
      <c r="H1620" s="53">
        <v>1.0</v>
      </c>
      <c r="I1620" s="53">
        <v>0.2621951219512195</v>
      </c>
      <c r="J1620" s="53">
        <v>1.0</v>
      </c>
      <c r="K1620" s="53" t="s">
        <v>53</v>
      </c>
      <c r="L1620" s="53" t="s">
        <v>53</v>
      </c>
    </row>
    <row r="1621" ht="15.75" customHeight="1">
      <c r="A1621" s="53" t="s">
        <v>411</v>
      </c>
      <c r="B1621" s="53" t="s">
        <v>2789</v>
      </c>
      <c r="D1621" s="53" t="s">
        <v>2799</v>
      </c>
      <c r="E1621" s="53" t="s">
        <v>2824</v>
      </c>
      <c r="F1621" s="53" t="s">
        <v>2791</v>
      </c>
      <c r="G1621" s="53" t="s">
        <v>2801</v>
      </c>
      <c r="H1621" s="53">
        <v>1.0</v>
      </c>
      <c r="I1621" s="53">
        <v>0.08633093525179857</v>
      </c>
      <c r="J1621" s="53">
        <v>0.0</v>
      </c>
      <c r="K1621" s="53" t="s">
        <v>53</v>
      </c>
      <c r="L1621" s="53" t="s">
        <v>53</v>
      </c>
    </row>
    <row r="1622" ht="15.75" customHeight="1">
      <c r="A1622" s="53" t="s">
        <v>411</v>
      </c>
      <c r="B1622" s="53" t="s">
        <v>2789</v>
      </c>
      <c r="D1622" s="53" t="s">
        <v>2825</v>
      </c>
      <c r="E1622" s="53" t="s">
        <v>2826</v>
      </c>
      <c r="F1622" s="53" t="s">
        <v>2827</v>
      </c>
      <c r="G1622" s="53" t="s">
        <v>2828</v>
      </c>
      <c r="H1622" s="53">
        <v>1.0</v>
      </c>
      <c r="I1622" s="53">
        <v>0.10119047619047619</v>
      </c>
      <c r="J1622" s="53">
        <v>0.0</v>
      </c>
      <c r="K1622" s="53" t="s">
        <v>53</v>
      </c>
      <c r="L1622" s="53" t="s">
        <v>53</v>
      </c>
    </row>
    <row r="1623" ht="15.75" customHeight="1">
      <c r="A1623" s="53" t="s">
        <v>411</v>
      </c>
      <c r="B1623" s="53" t="s">
        <v>2789</v>
      </c>
      <c r="D1623" s="53" t="s">
        <v>2825</v>
      </c>
      <c r="E1623" s="53" t="s">
        <v>2829</v>
      </c>
      <c r="F1623" s="53" t="s">
        <v>2827</v>
      </c>
      <c r="G1623" s="53" t="s">
        <v>2830</v>
      </c>
      <c r="H1623" s="53">
        <v>1.0</v>
      </c>
      <c r="I1623" s="53">
        <v>0.18452380952380953</v>
      </c>
      <c r="J1623" s="53">
        <v>1.0</v>
      </c>
      <c r="K1623" s="53" t="s">
        <v>53</v>
      </c>
      <c r="L1623" s="53" t="s">
        <v>53</v>
      </c>
    </row>
    <row r="1624" ht="15.75" customHeight="1">
      <c r="A1624" s="53" t="s">
        <v>411</v>
      </c>
      <c r="B1624" s="53" t="s">
        <v>2789</v>
      </c>
      <c r="D1624" s="53" t="s">
        <v>2828</v>
      </c>
      <c r="E1624" s="53" t="s">
        <v>2831</v>
      </c>
      <c r="F1624" s="53" t="s">
        <v>2827</v>
      </c>
      <c r="G1624" s="53" t="s">
        <v>2830</v>
      </c>
      <c r="H1624" s="53">
        <v>1.0</v>
      </c>
      <c r="I1624" s="53">
        <v>0.20238095238095238</v>
      </c>
      <c r="J1624" s="53">
        <v>0.0</v>
      </c>
      <c r="K1624" s="53" t="s">
        <v>53</v>
      </c>
      <c r="L1624" s="53" t="s">
        <v>53</v>
      </c>
    </row>
    <row r="1625" ht="15.75" customHeight="1">
      <c r="A1625" s="53" t="s">
        <v>411</v>
      </c>
      <c r="B1625" s="53" t="s">
        <v>2789</v>
      </c>
      <c r="D1625" s="53" t="s">
        <v>2832</v>
      </c>
      <c r="E1625" s="53" t="s">
        <v>2833</v>
      </c>
      <c r="F1625" s="53" t="s">
        <v>2834</v>
      </c>
      <c r="G1625" s="53" t="s">
        <v>2835</v>
      </c>
      <c r="H1625" s="53">
        <v>1.0</v>
      </c>
      <c r="I1625" s="53">
        <v>0.09154929577464789</v>
      </c>
      <c r="J1625" s="53">
        <v>0.0</v>
      </c>
      <c r="K1625" s="53" t="s">
        <v>53</v>
      </c>
      <c r="L1625" s="53" t="s">
        <v>53</v>
      </c>
    </row>
    <row r="1626" ht="15.75" customHeight="1">
      <c r="A1626" s="53" t="s">
        <v>411</v>
      </c>
      <c r="B1626" s="53" t="s">
        <v>2789</v>
      </c>
      <c r="D1626" s="53" t="s">
        <v>2832</v>
      </c>
      <c r="E1626" s="53" t="s">
        <v>2836</v>
      </c>
      <c r="F1626" s="53" t="s">
        <v>2834</v>
      </c>
      <c r="G1626" s="53" t="s">
        <v>2837</v>
      </c>
      <c r="H1626" s="53">
        <v>1.0</v>
      </c>
      <c r="I1626" s="53">
        <v>0.09154929577464789</v>
      </c>
      <c r="J1626" s="53">
        <v>1.0</v>
      </c>
      <c r="K1626" s="53" t="s">
        <v>53</v>
      </c>
      <c r="L1626" s="53" t="s">
        <v>53</v>
      </c>
    </row>
    <row r="1627" ht="15.75" customHeight="1">
      <c r="A1627" s="53" t="s">
        <v>411</v>
      </c>
      <c r="B1627" s="53" t="s">
        <v>2789</v>
      </c>
      <c r="D1627" s="53" t="s">
        <v>2835</v>
      </c>
      <c r="E1627" s="53" t="s">
        <v>2838</v>
      </c>
      <c r="F1627" s="53" t="s">
        <v>2834</v>
      </c>
      <c r="G1627" s="53" t="s">
        <v>2837</v>
      </c>
      <c r="H1627" s="53">
        <v>1.0</v>
      </c>
      <c r="I1627" s="53">
        <v>0.051470588235294115</v>
      </c>
      <c r="J1627" s="53">
        <v>0.0</v>
      </c>
      <c r="K1627" s="53" t="s">
        <v>53</v>
      </c>
      <c r="L1627" s="53" t="s">
        <v>53</v>
      </c>
    </row>
    <row r="1628" ht="15.75" customHeight="1">
      <c r="A1628" s="53" t="s">
        <v>411</v>
      </c>
      <c r="B1628" s="53" t="s">
        <v>2789</v>
      </c>
      <c r="D1628" s="53" t="s">
        <v>2839</v>
      </c>
      <c r="E1628" s="53" t="s">
        <v>2840</v>
      </c>
      <c r="F1628" s="53" t="s">
        <v>2841</v>
      </c>
      <c r="G1628" s="53" t="s">
        <v>2842</v>
      </c>
      <c r="H1628" s="53">
        <v>1.0</v>
      </c>
      <c r="I1628" s="53">
        <v>0.09655172413793103</v>
      </c>
      <c r="J1628" s="53">
        <v>0.0</v>
      </c>
      <c r="K1628" s="53" t="s">
        <v>53</v>
      </c>
      <c r="L1628" s="53" t="s">
        <v>53</v>
      </c>
    </row>
    <row r="1629" ht="15.75" customHeight="1">
      <c r="A1629" s="53" t="s">
        <v>411</v>
      </c>
      <c r="B1629" s="53" t="s">
        <v>2789</v>
      </c>
      <c r="D1629" s="53" t="s">
        <v>2843</v>
      </c>
      <c r="E1629" s="53" t="s">
        <v>2844</v>
      </c>
      <c r="F1629" s="53" t="s">
        <v>2845</v>
      </c>
      <c r="G1629" s="53" t="s">
        <v>2846</v>
      </c>
      <c r="H1629" s="53">
        <v>1.0</v>
      </c>
      <c r="I1629" s="53">
        <v>0.08602150537634409</v>
      </c>
      <c r="J1629" s="53">
        <v>0.0</v>
      </c>
      <c r="K1629" s="53" t="s">
        <v>53</v>
      </c>
      <c r="L1629" s="53" t="s">
        <v>53</v>
      </c>
    </row>
    <row r="1630" ht="15.75" customHeight="1">
      <c r="A1630" s="53" t="s">
        <v>411</v>
      </c>
      <c r="B1630" s="53" t="s">
        <v>2789</v>
      </c>
      <c r="D1630" s="53" t="s">
        <v>445</v>
      </c>
      <c r="E1630" s="53" t="s">
        <v>2847</v>
      </c>
      <c r="F1630" s="53" t="s">
        <v>2848</v>
      </c>
      <c r="G1630" s="53" t="s">
        <v>2849</v>
      </c>
      <c r="H1630" s="53">
        <v>1.0</v>
      </c>
      <c r="I1630" s="53">
        <v>0.014814814814814815</v>
      </c>
      <c r="J1630" s="53">
        <v>1.0</v>
      </c>
      <c r="K1630" s="53" t="s">
        <v>53</v>
      </c>
      <c r="L1630" s="53" t="s">
        <v>53</v>
      </c>
    </row>
    <row r="1631" ht="15.75" customHeight="1">
      <c r="A1631" s="53" t="s">
        <v>411</v>
      </c>
      <c r="B1631" s="53" t="s">
        <v>2789</v>
      </c>
      <c r="D1631" s="53" t="s">
        <v>445</v>
      </c>
      <c r="E1631" s="53" t="s">
        <v>2850</v>
      </c>
      <c r="F1631" s="53" t="s">
        <v>2848</v>
      </c>
      <c r="G1631" s="53" t="s">
        <v>425</v>
      </c>
      <c r="H1631" s="53">
        <v>1.0</v>
      </c>
      <c r="I1631" s="53">
        <v>0.022058823529411766</v>
      </c>
      <c r="J1631" s="53">
        <v>0.0</v>
      </c>
      <c r="K1631" s="53" t="s">
        <v>53</v>
      </c>
      <c r="L1631" s="53" t="s">
        <v>53</v>
      </c>
    </row>
    <row r="1632" ht="15.75" customHeight="1">
      <c r="A1632" s="53" t="s">
        <v>411</v>
      </c>
      <c r="B1632" s="53" t="s">
        <v>2789</v>
      </c>
      <c r="D1632" s="53" t="s">
        <v>425</v>
      </c>
      <c r="E1632" s="53" t="s">
        <v>2851</v>
      </c>
      <c r="F1632" s="53" t="s">
        <v>2848</v>
      </c>
      <c r="G1632" s="53" t="s">
        <v>2849</v>
      </c>
      <c r="H1632" s="53">
        <v>1.0</v>
      </c>
      <c r="I1632" s="53">
        <v>0.014705882352941176</v>
      </c>
      <c r="J1632" s="53">
        <v>0.0</v>
      </c>
      <c r="K1632" s="53" t="s">
        <v>53</v>
      </c>
      <c r="L1632" s="53" t="s">
        <v>53</v>
      </c>
    </row>
    <row r="1633" ht="15.75" customHeight="1">
      <c r="A1633" s="53" t="s">
        <v>411</v>
      </c>
      <c r="B1633" s="53" t="s">
        <v>2789</v>
      </c>
      <c r="D1633" s="53" t="s">
        <v>1031</v>
      </c>
      <c r="E1633" s="53" t="s">
        <v>2852</v>
      </c>
      <c r="F1633" s="53" t="s">
        <v>2853</v>
      </c>
      <c r="G1633" s="53" t="s">
        <v>2854</v>
      </c>
      <c r="H1633" s="53">
        <v>1.0</v>
      </c>
      <c r="I1633" s="53">
        <v>0.0975609756097561</v>
      </c>
      <c r="J1633" s="53">
        <v>0.0</v>
      </c>
      <c r="K1633" s="53" t="s">
        <v>53</v>
      </c>
      <c r="L1633" s="53" t="s">
        <v>53</v>
      </c>
    </row>
    <row r="1634" ht="15.75" customHeight="1">
      <c r="A1634" s="53" t="s">
        <v>411</v>
      </c>
      <c r="B1634" s="53" t="s">
        <v>2789</v>
      </c>
      <c r="D1634" s="53" t="s">
        <v>1031</v>
      </c>
      <c r="E1634" s="53" t="s">
        <v>2855</v>
      </c>
      <c r="F1634" s="53" t="s">
        <v>2853</v>
      </c>
      <c r="G1634" s="53" t="s">
        <v>2856</v>
      </c>
      <c r="H1634" s="53">
        <v>1.0</v>
      </c>
      <c r="I1634" s="53">
        <v>0.10483870967741936</v>
      </c>
      <c r="J1634" s="53">
        <v>1.0</v>
      </c>
      <c r="K1634" s="53" t="s">
        <v>53</v>
      </c>
      <c r="L1634" s="53" t="s">
        <v>53</v>
      </c>
    </row>
    <row r="1635" ht="15.75" customHeight="1">
      <c r="A1635" s="53" t="s">
        <v>411</v>
      </c>
      <c r="B1635" s="53" t="s">
        <v>2789</v>
      </c>
      <c r="D1635" s="53" t="s">
        <v>1031</v>
      </c>
      <c r="E1635" s="53" t="s">
        <v>2857</v>
      </c>
      <c r="F1635" s="53" t="s">
        <v>2853</v>
      </c>
      <c r="G1635" s="53" t="s">
        <v>2858</v>
      </c>
      <c r="H1635" s="53">
        <v>1.0</v>
      </c>
      <c r="I1635" s="53">
        <v>0.11904761904761904</v>
      </c>
      <c r="J1635" s="53">
        <v>2.0</v>
      </c>
      <c r="K1635" s="53" t="s">
        <v>53</v>
      </c>
      <c r="L1635" s="53" t="s">
        <v>53</v>
      </c>
    </row>
    <row r="1636" ht="15.75" customHeight="1">
      <c r="A1636" s="53" t="s">
        <v>411</v>
      </c>
      <c r="B1636" s="53" t="s">
        <v>2789</v>
      </c>
      <c r="D1636" s="53" t="s">
        <v>1031</v>
      </c>
      <c r="E1636" s="53" t="s">
        <v>2859</v>
      </c>
      <c r="F1636" s="53" t="s">
        <v>2853</v>
      </c>
      <c r="G1636" s="53" t="s">
        <v>2860</v>
      </c>
      <c r="H1636" s="53">
        <v>1.0</v>
      </c>
      <c r="I1636" s="53">
        <v>0.1328125</v>
      </c>
      <c r="J1636" s="53">
        <v>3.0</v>
      </c>
      <c r="K1636" s="53" t="s">
        <v>53</v>
      </c>
      <c r="L1636" s="53" t="s">
        <v>53</v>
      </c>
    </row>
    <row r="1637" ht="15.75" customHeight="1">
      <c r="A1637" s="53" t="s">
        <v>411</v>
      </c>
      <c r="B1637" s="53" t="s">
        <v>2789</v>
      </c>
      <c r="D1637" s="53" t="s">
        <v>1031</v>
      </c>
      <c r="E1637" s="53" t="s">
        <v>2861</v>
      </c>
      <c r="F1637" s="53" t="s">
        <v>2853</v>
      </c>
      <c r="G1637" s="53" t="s">
        <v>2862</v>
      </c>
      <c r="H1637" s="53">
        <v>1.0</v>
      </c>
      <c r="I1637" s="53">
        <v>0.14285714285714285</v>
      </c>
      <c r="J1637" s="53">
        <v>4.0</v>
      </c>
      <c r="K1637" s="53" t="s">
        <v>53</v>
      </c>
      <c r="L1637" s="53" t="s">
        <v>53</v>
      </c>
    </row>
    <row r="1638" ht="15.75" customHeight="1">
      <c r="A1638" s="53" t="s">
        <v>411</v>
      </c>
      <c r="B1638" s="53" t="s">
        <v>2789</v>
      </c>
      <c r="D1638" s="53" t="s">
        <v>1031</v>
      </c>
      <c r="E1638" s="53" t="s">
        <v>2863</v>
      </c>
      <c r="F1638" s="53" t="s">
        <v>2853</v>
      </c>
      <c r="G1638" s="53" t="s">
        <v>2864</v>
      </c>
      <c r="H1638" s="53">
        <v>1.0</v>
      </c>
      <c r="I1638" s="53">
        <v>0.15267175572519084</v>
      </c>
      <c r="J1638" s="53">
        <v>5.0</v>
      </c>
      <c r="K1638" s="53" t="s">
        <v>53</v>
      </c>
      <c r="L1638" s="53" t="s">
        <v>53</v>
      </c>
    </row>
    <row r="1639" ht="15.75" customHeight="1">
      <c r="A1639" s="53" t="s">
        <v>411</v>
      </c>
      <c r="B1639" s="53" t="s">
        <v>2789</v>
      </c>
      <c r="D1639" s="53" t="s">
        <v>2854</v>
      </c>
      <c r="E1639" s="53" t="s">
        <v>2865</v>
      </c>
      <c r="F1639" s="53" t="s">
        <v>2853</v>
      </c>
      <c r="G1639" s="53" t="s">
        <v>2856</v>
      </c>
      <c r="H1639" s="53">
        <v>1.0</v>
      </c>
      <c r="I1639" s="53">
        <v>0.016129032258064516</v>
      </c>
      <c r="J1639" s="53">
        <v>0.0</v>
      </c>
      <c r="K1639" s="53" t="s">
        <v>53</v>
      </c>
      <c r="L1639" s="53" t="s">
        <v>53</v>
      </c>
    </row>
    <row r="1640" ht="15.75" customHeight="1">
      <c r="A1640" s="53" t="s">
        <v>411</v>
      </c>
      <c r="B1640" s="53" t="s">
        <v>2789</v>
      </c>
      <c r="D1640" s="53" t="s">
        <v>2854</v>
      </c>
      <c r="E1640" s="53" t="s">
        <v>2866</v>
      </c>
      <c r="F1640" s="53" t="s">
        <v>2853</v>
      </c>
      <c r="G1640" s="53" t="s">
        <v>2858</v>
      </c>
      <c r="H1640" s="53">
        <v>1.0</v>
      </c>
      <c r="I1640" s="53">
        <v>0.0873015873015873</v>
      </c>
      <c r="J1640" s="53">
        <v>1.0</v>
      </c>
      <c r="K1640" s="53" t="s">
        <v>53</v>
      </c>
      <c r="L1640" s="53" t="s">
        <v>53</v>
      </c>
    </row>
    <row r="1641" ht="15.75" customHeight="1">
      <c r="A1641" s="53" t="s">
        <v>411</v>
      </c>
      <c r="B1641" s="53" t="s">
        <v>2789</v>
      </c>
      <c r="D1641" s="53" t="s">
        <v>2854</v>
      </c>
      <c r="E1641" s="53" t="s">
        <v>2867</v>
      </c>
      <c r="F1641" s="53" t="s">
        <v>2853</v>
      </c>
      <c r="G1641" s="53" t="s">
        <v>2860</v>
      </c>
      <c r="H1641" s="53">
        <v>1.0</v>
      </c>
      <c r="I1641" s="53">
        <v>0.1015625</v>
      </c>
      <c r="J1641" s="53">
        <v>2.0</v>
      </c>
      <c r="K1641" s="53" t="s">
        <v>53</v>
      </c>
      <c r="L1641" s="53" t="s">
        <v>53</v>
      </c>
    </row>
    <row r="1642" ht="15.75" customHeight="1">
      <c r="A1642" s="53" t="s">
        <v>411</v>
      </c>
      <c r="B1642" s="53" t="s">
        <v>2789</v>
      </c>
      <c r="D1642" s="53" t="s">
        <v>2854</v>
      </c>
      <c r="E1642" s="53" t="s">
        <v>2868</v>
      </c>
      <c r="F1642" s="53" t="s">
        <v>2853</v>
      </c>
      <c r="G1642" s="53" t="s">
        <v>2862</v>
      </c>
      <c r="H1642" s="53">
        <v>1.0</v>
      </c>
      <c r="I1642" s="53">
        <v>0.12698412698412698</v>
      </c>
      <c r="J1642" s="53">
        <v>3.0</v>
      </c>
      <c r="K1642" s="53" t="s">
        <v>53</v>
      </c>
      <c r="L1642" s="53" t="s">
        <v>53</v>
      </c>
    </row>
    <row r="1643" ht="15.75" customHeight="1">
      <c r="A1643" s="53" t="s">
        <v>411</v>
      </c>
      <c r="B1643" s="53" t="s">
        <v>2789</v>
      </c>
      <c r="D1643" s="53" t="s">
        <v>2854</v>
      </c>
      <c r="E1643" s="53" t="s">
        <v>2869</v>
      </c>
      <c r="F1643" s="53" t="s">
        <v>2853</v>
      </c>
      <c r="G1643" s="53" t="s">
        <v>2864</v>
      </c>
      <c r="H1643" s="53">
        <v>1.0</v>
      </c>
      <c r="I1643" s="53">
        <v>0.1297709923664122</v>
      </c>
      <c r="J1643" s="53">
        <v>4.0</v>
      </c>
      <c r="K1643" s="53" t="s">
        <v>53</v>
      </c>
      <c r="L1643" s="53" t="s">
        <v>53</v>
      </c>
    </row>
    <row r="1644" ht="15.75" customHeight="1">
      <c r="A1644" s="53" t="s">
        <v>411</v>
      </c>
      <c r="B1644" s="53" t="s">
        <v>2789</v>
      </c>
      <c r="D1644" s="53" t="s">
        <v>2856</v>
      </c>
      <c r="E1644" s="53" t="s">
        <v>2870</v>
      </c>
      <c r="F1644" s="53" t="s">
        <v>2853</v>
      </c>
      <c r="G1644" s="53" t="s">
        <v>2858</v>
      </c>
      <c r="H1644" s="53">
        <v>1.0</v>
      </c>
      <c r="I1644" s="53">
        <v>0.0873015873015873</v>
      </c>
      <c r="J1644" s="53">
        <v>0.0</v>
      </c>
      <c r="K1644" s="53" t="s">
        <v>53</v>
      </c>
      <c r="L1644" s="53" t="s">
        <v>53</v>
      </c>
    </row>
    <row r="1645" ht="15.75" customHeight="1">
      <c r="A1645" s="53" t="s">
        <v>411</v>
      </c>
      <c r="B1645" s="53" t="s">
        <v>2789</v>
      </c>
      <c r="D1645" s="53" t="s">
        <v>2856</v>
      </c>
      <c r="E1645" s="53" t="s">
        <v>2871</v>
      </c>
      <c r="F1645" s="53" t="s">
        <v>2853</v>
      </c>
      <c r="G1645" s="53" t="s">
        <v>2860</v>
      </c>
      <c r="H1645" s="53">
        <v>1.0</v>
      </c>
      <c r="I1645" s="53">
        <v>0.1015625</v>
      </c>
      <c r="J1645" s="53">
        <v>1.0</v>
      </c>
      <c r="K1645" s="53" t="s">
        <v>53</v>
      </c>
      <c r="L1645" s="53" t="s">
        <v>53</v>
      </c>
    </row>
    <row r="1646" ht="15.75" customHeight="1">
      <c r="A1646" s="53" t="s">
        <v>411</v>
      </c>
      <c r="B1646" s="53" t="s">
        <v>2789</v>
      </c>
      <c r="D1646" s="53" t="s">
        <v>2856</v>
      </c>
      <c r="E1646" s="53" t="s">
        <v>2872</v>
      </c>
      <c r="F1646" s="53" t="s">
        <v>2853</v>
      </c>
      <c r="G1646" s="53" t="s">
        <v>2862</v>
      </c>
      <c r="H1646" s="53">
        <v>1.0</v>
      </c>
      <c r="I1646" s="53">
        <v>0.12698412698412698</v>
      </c>
      <c r="J1646" s="53">
        <v>2.0</v>
      </c>
      <c r="K1646" s="53" t="s">
        <v>53</v>
      </c>
      <c r="L1646" s="53" t="s">
        <v>53</v>
      </c>
    </row>
    <row r="1647" ht="15.75" customHeight="1">
      <c r="A1647" s="53" t="s">
        <v>411</v>
      </c>
      <c r="B1647" s="53" t="s">
        <v>2789</v>
      </c>
      <c r="D1647" s="53" t="s">
        <v>2856</v>
      </c>
      <c r="E1647" s="53" t="s">
        <v>2873</v>
      </c>
      <c r="F1647" s="53" t="s">
        <v>2853</v>
      </c>
      <c r="G1647" s="53" t="s">
        <v>2864</v>
      </c>
      <c r="H1647" s="53">
        <v>1.0</v>
      </c>
      <c r="I1647" s="53">
        <v>0.1297709923664122</v>
      </c>
      <c r="J1647" s="53">
        <v>3.0</v>
      </c>
      <c r="K1647" s="53" t="s">
        <v>53</v>
      </c>
      <c r="L1647" s="53" t="s">
        <v>53</v>
      </c>
    </row>
    <row r="1648" ht="15.75" customHeight="1">
      <c r="A1648" s="53" t="s">
        <v>411</v>
      </c>
      <c r="B1648" s="53" t="s">
        <v>2789</v>
      </c>
      <c r="D1648" s="53" t="s">
        <v>2858</v>
      </c>
      <c r="E1648" s="53" t="s">
        <v>2874</v>
      </c>
      <c r="F1648" s="53" t="s">
        <v>2853</v>
      </c>
      <c r="G1648" s="53" t="s">
        <v>2860</v>
      </c>
      <c r="H1648" s="53">
        <v>1.0</v>
      </c>
      <c r="I1648" s="53">
        <v>0.015625</v>
      </c>
      <c r="J1648" s="53">
        <v>0.0</v>
      </c>
      <c r="K1648" s="53" t="s">
        <v>53</v>
      </c>
      <c r="L1648" s="53" t="s">
        <v>53</v>
      </c>
    </row>
    <row r="1649" ht="15.75" customHeight="1">
      <c r="A1649" s="53" t="s">
        <v>411</v>
      </c>
      <c r="B1649" s="53" t="s">
        <v>2789</v>
      </c>
      <c r="D1649" s="53" t="s">
        <v>2858</v>
      </c>
      <c r="E1649" s="53" t="s">
        <v>2875</v>
      </c>
      <c r="F1649" s="53" t="s">
        <v>2853</v>
      </c>
      <c r="G1649" s="53" t="s">
        <v>2864</v>
      </c>
      <c r="H1649" s="53">
        <v>1.0</v>
      </c>
      <c r="I1649" s="53">
        <v>0.06870229007633588</v>
      </c>
      <c r="J1649" s="53">
        <v>2.0</v>
      </c>
      <c r="K1649" s="53" t="s">
        <v>53</v>
      </c>
      <c r="L1649" s="53" t="s">
        <v>53</v>
      </c>
    </row>
    <row r="1650" ht="15.75" customHeight="1">
      <c r="A1650" s="53" t="s">
        <v>411</v>
      </c>
      <c r="B1650" s="53" t="s">
        <v>2789</v>
      </c>
      <c r="D1650" s="53" t="s">
        <v>2858</v>
      </c>
      <c r="E1650" s="53" t="s">
        <v>2876</v>
      </c>
      <c r="F1650" s="53" t="s">
        <v>2853</v>
      </c>
      <c r="G1650" s="53" t="s">
        <v>2862</v>
      </c>
      <c r="H1650" s="53">
        <v>1.0</v>
      </c>
      <c r="I1650" s="53">
        <v>0.07142857142857142</v>
      </c>
      <c r="J1650" s="53">
        <v>1.0</v>
      </c>
      <c r="K1650" s="53" t="s">
        <v>53</v>
      </c>
      <c r="L1650" s="53" t="s">
        <v>53</v>
      </c>
    </row>
    <row r="1651" ht="15.75" customHeight="1">
      <c r="A1651" s="53" t="s">
        <v>411</v>
      </c>
      <c r="B1651" s="53" t="s">
        <v>2789</v>
      </c>
      <c r="D1651" s="53" t="s">
        <v>2860</v>
      </c>
      <c r="E1651" s="53" t="s">
        <v>2877</v>
      </c>
      <c r="F1651" s="53" t="s">
        <v>2853</v>
      </c>
      <c r="G1651" s="53" t="s">
        <v>2864</v>
      </c>
      <c r="H1651" s="53">
        <v>1.0</v>
      </c>
      <c r="I1651" s="53">
        <v>0.06870229007633588</v>
      </c>
      <c r="J1651" s="53">
        <v>1.0</v>
      </c>
      <c r="K1651" s="53" t="s">
        <v>53</v>
      </c>
      <c r="L1651" s="53" t="s">
        <v>53</v>
      </c>
    </row>
    <row r="1652" ht="15.75" customHeight="1">
      <c r="A1652" s="53" t="s">
        <v>411</v>
      </c>
      <c r="B1652" s="53" t="s">
        <v>2789</v>
      </c>
      <c r="D1652" s="53" t="s">
        <v>2860</v>
      </c>
      <c r="E1652" s="53" t="s">
        <v>2878</v>
      </c>
      <c r="F1652" s="53" t="s">
        <v>2853</v>
      </c>
      <c r="G1652" s="53" t="s">
        <v>2862</v>
      </c>
      <c r="H1652" s="53">
        <v>1.0</v>
      </c>
      <c r="I1652" s="53">
        <v>0.078125</v>
      </c>
      <c r="J1652" s="53">
        <v>0.0</v>
      </c>
      <c r="K1652" s="53" t="s">
        <v>53</v>
      </c>
      <c r="L1652" s="53" t="s">
        <v>53</v>
      </c>
    </row>
    <row r="1653" ht="15.75" customHeight="1">
      <c r="A1653" s="53" t="s">
        <v>411</v>
      </c>
      <c r="B1653" s="53" t="s">
        <v>2789</v>
      </c>
      <c r="D1653" s="53" t="s">
        <v>2862</v>
      </c>
      <c r="E1653" s="53" t="s">
        <v>2879</v>
      </c>
      <c r="F1653" s="53" t="s">
        <v>2853</v>
      </c>
      <c r="G1653" s="53" t="s">
        <v>2864</v>
      </c>
      <c r="H1653" s="53">
        <v>1.0</v>
      </c>
      <c r="I1653" s="53">
        <v>0.10687022900763359</v>
      </c>
      <c r="J1653" s="53">
        <v>0.0</v>
      </c>
      <c r="K1653" s="53" t="s">
        <v>53</v>
      </c>
      <c r="L1653" s="53" t="s">
        <v>53</v>
      </c>
    </row>
    <row r="1654" ht="15.75" customHeight="1">
      <c r="A1654" s="53" t="s">
        <v>411</v>
      </c>
      <c r="B1654" s="53" t="s">
        <v>2789</v>
      </c>
      <c r="D1654" s="53" t="s">
        <v>2880</v>
      </c>
      <c r="E1654" s="53" t="s">
        <v>2881</v>
      </c>
      <c r="F1654" s="53" t="s">
        <v>2882</v>
      </c>
      <c r="G1654" s="53" t="s">
        <v>2883</v>
      </c>
      <c r="H1654" s="53">
        <v>1.0</v>
      </c>
      <c r="I1654" s="53">
        <v>0.055944055944055944</v>
      </c>
      <c r="J1654" s="53">
        <v>4.0</v>
      </c>
      <c r="K1654" s="53" t="s">
        <v>53</v>
      </c>
      <c r="L1654" s="53" t="s">
        <v>53</v>
      </c>
    </row>
    <row r="1655" ht="15.75" customHeight="1">
      <c r="A1655" s="53" t="s">
        <v>411</v>
      </c>
      <c r="B1655" s="53" t="s">
        <v>2789</v>
      </c>
      <c r="D1655" s="53" t="s">
        <v>2880</v>
      </c>
      <c r="E1655" s="53" t="s">
        <v>2884</v>
      </c>
      <c r="F1655" s="53" t="s">
        <v>2882</v>
      </c>
      <c r="G1655" s="53" t="s">
        <v>2885</v>
      </c>
      <c r="H1655" s="53">
        <v>1.0</v>
      </c>
      <c r="I1655" s="53">
        <v>0.055944055944055944</v>
      </c>
      <c r="J1655" s="53">
        <v>3.0</v>
      </c>
      <c r="K1655" s="53" t="s">
        <v>53</v>
      </c>
      <c r="L1655" s="53" t="s">
        <v>53</v>
      </c>
    </row>
    <row r="1656" ht="15.75" customHeight="1">
      <c r="A1656" s="53" t="s">
        <v>411</v>
      </c>
      <c r="B1656" s="53" t="s">
        <v>2789</v>
      </c>
      <c r="D1656" s="53" t="s">
        <v>2880</v>
      </c>
      <c r="E1656" s="53" t="s">
        <v>2886</v>
      </c>
      <c r="F1656" s="53" t="s">
        <v>2882</v>
      </c>
      <c r="G1656" s="53" t="s">
        <v>2887</v>
      </c>
      <c r="H1656" s="53">
        <v>1.0</v>
      </c>
      <c r="I1656" s="53">
        <v>0.055944055944055944</v>
      </c>
      <c r="J1656" s="53">
        <v>9.0</v>
      </c>
      <c r="K1656" s="53" t="s">
        <v>53</v>
      </c>
      <c r="L1656" s="53" t="s">
        <v>53</v>
      </c>
    </row>
    <row r="1657" ht="15.75" customHeight="1">
      <c r="A1657" s="53" t="s">
        <v>411</v>
      </c>
      <c r="B1657" s="53" t="s">
        <v>2789</v>
      </c>
      <c r="D1657" s="53" t="s">
        <v>2880</v>
      </c>
      <c r="E1657" s="53" t="s">
        <v>2888</v>
      </c>
      <c r="F1657" s="53" t="s">
        <v>2882</v>
      </c>
      <c r="G1657" s="53" t="s">
        <v>2889</v>
      </c>
      <c r="H1657" s="53">
        <v>1.0</v>
      </c>
      <c r="I1657" s="53">
        <v>0.0625</v>
      </c>
      <c r="J1657" s="53">
        <v>12.0</v>
      </c>
      <c r="K1657" s="53" t="s">
        <v>53</v>
      </c>
      <c r="L1657" s="53" t="s">
        <v>53</v>
      </c>
    </row>
    <row r="1658" ht="15.75" customHeight="1">
      <c r="A1658" s="53" t="s">
        <v>411</v>
      </c>
      <c r="B1658" s="53" t="s">
        <v>2789</v>
      </c>
      <c r="D1658" s="53" t="s">
        <v>2880</v>
      </c>
      <c r="E1658" s="53" t="s">
        <v>2890</v>
      </c>
      <c r="F1658" s="53" t="s">
        <v>2882</v>
      </c>
      <c r="G1658" s="53" t="s">
        <v>2891</v>
      </c>
      <c r="H1658" s="53">
        <v>1.0</v>
      </c>
      <c r="I1658" s="53">
        <v>0.0684931506849315</v>
      </c>
      <c r="J1658" s="53">
        <v>8.0</v>
      </c>
      <c r="K1658" s="53" t="s">
        <v>53</v>
      </c>
      <c r="L1658" s="53" t="s">
        <v>53</v>
      </c>
    </row>
    <row r="1659" ht="15.75" customHeight="1">
      <c r="A1659" s="53" t="s">
        <v>411</v>
      </c>
      <c r="B1659" s="53" t="s">
        <v>2789</v>
      </c>
      <c r="D1659" s="53" t="s">
        <v>2880</v>
      </c>
      <c r="E1659" s="53" t="s">
        <v>2892</v>
      </c>
      <c r="F1659" s="53" t="s">
        <v>2882</v>
      </c>
      <c r="G1659" s="53" t="s">
        <v>2893</v>
      </c>
      <c r="H1659" s="53">
        <v>1.0</v>
      </c>
      <c r="I1659" s="53">
        <v>0.0684931506849315</v>
      </c>
      <c r="J1659" s="53">
        <v>6.0</v>
      </c>
      <c r="K1659" s="53" t="s">
        <v>53</v>
      </c>
      <c r="L1659" s="53" t="s">
        <v>53</v>
      </c>
    </row>
    <row r="1660" ht="15.75" customHeight="1">
      <c r="A1660" s="53" t="s">
        <v>411</v>
      </c>
      <c r="B1660" s="53" t="s">
        <v>2789</v>
      </c>
      <c r="D1660" s="53" t="s">
        <v>2880</v>
      </c>
      <c r="E1660" s="53" t="s">
        <v>2894</v>
      </c>
      <c r="F1660" s="53" t="s">
        <v>2882</v>
      </c>
      <c r="G1660" s="53" t="s">
        <v>2895</v>
      </c>
      <c r="H1660" s="53">
        <v>1.0</v>
      </c>
      <c r="I1660" s="53">
        <v>0.06896551724137931</v>
      </c>
      <c r="J1660" s="53">
        <v>10.0</v>
      </c>
      <c r="K1660" s="53" t="s">
        <v>53</v>
      </c>
      <c r="L1660" s="53" t="s">
        <v>53</v>
      </c>
    </row>
    <row r="1661" ht="15.75" customHeight="1">
      <c r="A1661" s="53" t="s">
        <v>411</v>
      </c>
      <c r="B1661" s="53" t="s">
        <v>2789</v>
      </c>
      <c r="D1661" s="53" t="s">
        <v>2880</v>
      </c>
      <c r="E1661" s="53" t="s">
        <v>2896</v>
      </c>
      <c r="F1661" s="53" t="s">
        <v>2882</v>
      </c>
      <c r="G1661" s="53" t="s">
        <v>2897</v>
      </c>
      <c r="H1661" s="53">
        <v>1.0</v>
      </c>
      <c r="I1661" s="53">
        <v>0.06896551724137931</v>
      </c>
      <c r="J1661" s="53">
        <v>7.0</v>
      </c>
      <c r="K1661" s="53" t="s">
        <v>53</v>
      </c>
      <c r="L1661" s="53" t="s">
        <v>53</v>
      </c>
    </row>
    <row r="1662" ht="15.75" customHeight="1">
      <c r="A1662" s="53" t="s">
        <v>411</v>
      </c>
      <c r="B1662" s="53" t="s">
        <v>2789</v>
      </c>
      <c r="D1662" s="53" t="s">
        <v>2880</v>
      </c>
      <c r="E1662" s="53" t="s">
        <v>2898</v>
      </c>
      <c r="F1662" s="53" t="s">
        <v>2882</v>
      </c>
      <c r="G1662" s="53" t="s">
        <v>2899</v>
      </c>
      <c r="H1662" s="53">
        <v>1.0</v>
      </c>
      <c r="I1662" s="53">
        <v>0.06993006993006994</v>
      </c>
      <c r="J1662" s="53">
        <v>14.0</v>
      </c>
      <c r="K1662" s="53" t="s">
        <v>53</v>
      </c>
      <c r="L1662" s="53" t="s">
        <v>53</v>
      </c>
    </row>
    <row r="1663" ht="15.75" customHeight="1">
      <c r="A1663" s="53" t="s">
        <v>411</v>
      </c>
      <c r="B1663" s="53" t="s">
        <v>2789</v>
      </c>
      <c r="D1663" s="53" t="s">
        <v>2880</v>
      </c>
      <c r="E1663" s="53" t="s">
        <v>2900</v>
      </c>
      <c r="F1663" s="53" t="s">
        <v>2882</v>
      </c>
      <c r="G1663" s="53" t="s">
        <v>2901</v>
      </c>
      <c r="H1663" s="53">
        <v>1.0</v>
      </c>
      <c r="I1663" s="53">
        <v>0.06993006993006994</v>
      </c>
      <c r="J1663" s="53">
        <v>11.0</v>
      </c>
      <c r="K1663" s="53" t="s">
        <v>53</v>
      </c>
      <c r="L1663" s="53" t="s">
        <v>53</v>
      </c>
    </row>
    <row r="1664" ht="15.75" customHeight="1">
      <c r="A1664" s="53" t="s">
        <v>411</v>
      </c>
      <c r="B1664" s="53" t="s">
        <v>2789</v>
      </c>
      <c r="D1664" s="53" t="s">
        <v>2880</v>
      </c>
      <c r="E1664" s="53" t="s">
        <v>2902</v>
      </c>
      <c r="F1664" s="53" t="s">
        <v>2882</v>
      </c>
      <c r="G1664" s="53" t="s">
        <v>2903</v>
      </c>
      <c r="H1664" s="53">
        <v>1.0</v>
      </c>
      <c r="I1664" s="53">
        <v>0.0763888888888889</v>
      </c>
      <c r="J1664" s="53">
        <v>0.0</v>
      </c>
      <c r="K1664" s="53" t="s">
        <v>53</v>
      </c>
      <c r="L1664" s="53" t="s">
        <v>53</v>
      </c>
    </row>
    <row r="1665" ht="15.75" customHeight="1">
      <c r="A1665" s="53" t="s">
        <v>411</v>
      </c>
      <c r="B1665" s="53" t="s">
        <v>2789</v>
      </c>
      <c r="D1665" s="53" t="s">
        <v>2880</v>
      </c>
      <c r="E1665" s="53" t="s">
        <v>2904</v>
      </c>
      <c r="F1665" s="53" t="s">
        <v>2882</v>
      </c>
      <c r="G1665" s="53" t="s">
        <v>2905</v>
      </c>
      <c r="H1665" s="53">
        <v>1.0</v>
      </c>
      <c r="I1665" s="53">
        <v>0.0763888888888889</v>
      </c>
      <c r="J1665" s="53">
        <v>17.0</v>
      </c>
      <c r="K1665" s="53" t="s">
        <v>53</v>
      </c>
      <c r="L1665" s="53" t="s">
        <v>53</v>
      </c>
    </row>
    <row r="1666" ht="15.75" customHeight="1">
      <c r="A1666" s="53" t="s">
        <v>411</v>
      </c>
      <c r="B1666" s="53" t="s">
        <v>2789</v>
      </c>
      <c r="D1666" s="53" t="s">
        <v>2880</v>
      </c>
      <c r="E1666" s="53" t="s">
        <v>2906</v>
      </c>
      <c r="F1666" s="53" t="s">
        <v>2882</v>
      </c>
      <c r="G1666" s="53" t="s">
        <v>2907</v>
      </c>
      <c r="H1666" s="53">
        <v>1.0</v>
      </c>
      <c r="I1666" s="53">
        <v>0.08843537414965986</v>
      </c>
      <c r="J1666" s="53">
        <v>32.0</v>
      </c>
      <c r="K1666" s="53" t="s">
        <v>53</v>
      </c>
      <c r="L1666" s="53" t="s">
        <v>53</v>
      </c>
    </row>
    <row r="1667" ht="15.75" customHeight="1">
      <c r="A1667" s="53" t="s">
        <v>411</v>
      </c>
      <c r="B1667" s="53" t="s">
        <v>2789</v>
      </c>
      <c r="D1667" s="53" t="s">
        <v>2880</v>
      </c>
      <c r="E1667" s="53" t="s">
        <v>2908</v>
      </c>
      <c r="F1667" s="53" t="s">
        <v>2882</v>
      </c>
      <c r="G1667" s="53" t="s">
        <v>2909</v>
      </c>
      <c r="H1667" s="53">
        <v>1.0</v>
      </c>
      <c r="I1667" s="53">
        <v>0.09395973154362416</v>
      </c>
      <c r="J1667" s="53">
        <v>2.0</v>
      </c>
      <c r="K1667" s="53" t="s">
        <v>53</v>
      </c>
      <c r="L1667" s="53" t="s">
        <v>53</v>
      </c>
    </row>
    <row r="1668" ht="15.75" customHeight="1">
      <c r="A1668" s="53" t="s">
        <v>411</v>
      </c>
      <c r="B1668" s="53" t="s">
        <v>2789</v>
      </c>
      <c r="D1668" s="53" t="s">
        <v>2880</v>
      </c>
      <c r="E1668" s="53" t="s">
        <v>2910</v>
      </c>
      <c r="F1668" s="53" t="s">
        <v>2882</v>
      </c>
      <c r="G1668" s="53" t="s">
        <v>2911</v>
      </c>
      <c r="H1668" s="53">
        <v>1.0</v>
      </c>
      <c r="I1668" s="53">
        <v>0.1</v>
      </c>
      <c r="J1668" s="53">
        <v>15.0</v>
      </c>
      <c r="K1668" s="53" t="s">
        <v>53</v>
      </c>
      <c r="L1668" s="53" t="s">
        <v>53</v>
      </c>
    </row>
    <row r="1669" ht="15.75" customHeight="1">
      <c r="A1669" s="53" t="s">
        <v>411</v>
      </c>
      <c r="B1669" s="53" t="s">
        <v>2789</v>
      </c>
      <c r="D1669" s="53" t="s">
        <v>2880</v>
      </c>
      <c r="E1669" s="53" t="s">
        <v>2912</v>
      </c>
      <c r="F1669" s="53" t="s">
        <v>2882</v>
      </c>
      <c r="G1669" s="53" t="s">
        <v>2913</v>
      </c>
      <c r="H1669" s="53">
        <v>1.0</v>
      </c>
      <c r="I1669" s="53">
        <v>0.10666666666666667</v>
      </c>
      <c r="J1669" s="53">
        <v>13.0</v>
      </c>
      <c r="K1669" s="53" t="s">
        <v>53</v>
      </c>
      <c r="L1669" s="53" t="s">
        <v>53</v>
      </c>
    </row>
    <row r="1670" ht="15.75" customHeight="1">
      <c r="A1670" s="53" t="s">
        <v>411</v>
      </c>
      <c r="B1670" s="53" t="s">
        <v>2789</v>
      </c>
      <c r="D1670" s="53" t="s">
        <v>2880</v>
      </c>
      <c r="E1670" s="53" t="s">
        <v>2914</v>
      </c>
      <c r="F1670" s="53" t="s">
        <v>2882</v>
      </c>
      <c r="G1670" s="53" t="s">
        <v>2915</v>
      </c>
      <c r="H1670" s="53">
        <v>1.0</v>
      </c>
      <c r="I1670" s="53">
        <v>0.1111111111111111</v>
      </c>
      <c r="J1670" s="53">
        <v>24.0</v>
      </c>
      <c r="K1670" s="53" t="s">
        <v>53</v>
      </c>
      <c r="L1670" s="53" t="s">
        <v>53</v>
      </c>
    </row>
    <row r="1671" ht="15.75" customHeight="1">
      <c r="A1671" s="53" t="s">
        <v>411</v>
      </c>
      <c r="B1671" s="53" t="s">
        <v>2789</v>
      </c>
      <c r="D1671" s="53" t="s">
        <v>2880</v>
      </c>
      <c r="E1671" s="53" t="s">
        <v>2916</v>
      </c>
      <c r="F1671" s="53" t="s">
        <v>2882</v>
      </c>
      <c r="G1671" s="53" t="s">
        <v>2917</v>
      </c>
      <c r="H1671" s="53">
        <v>1.0</v>
      </c>
      <c r="I1671" s="53">
        <v>0.11258278145695365</v>
      </c>
      <c r="J1671" s="53">
        <v>33.0</v>
      </c>
      <c r="K1671" s="53" t="s">
        <v>53</v>
      </c>
      <c r="L1671" s="53" t="s">
        <v>53</v>
      </c>
    </row>
    <row r="1672" ht="15.75" customHeight="1">
      <c r="A1672" s="53" t="s">
        <v>411</v>
      </c>
      <c r="B1672" s="53" t="s">
        <v>2789</v>
      </c>
      <c r="D1672" s="53" t="s">
        <v>2880</v>
      </c>
      <c r="E1672" s="53" t="s">
        <v>2918</v>
      </c>
      <c r="F1672" s="53" t="s">
        <v>2882</v>
      </c>
      <c r="G1672" s="53" t="s">
        <v>2919</v>
      </c>
      <c r="H1672" s="53">
        <v>1.0</v>
      </c>
      <c r="I1672" s="53">
        <v>0.12578616352201258</v>
      </c>
      <c r="J1672" s="53">
        <v>26.0</v>
      </c>
      <c r="K1672" s="53" t="s">
        <v>53</v>
      </c>
      <c r="L1672" s="53" t="s">
        <v>53</v>
      </c>
    </row>
    <row r="1673" ht="15.75" customHeight="1">
      <c r="A1673" s="53" t="s">
        <v>411</v>
      </c>
      <c r="B1673" s="53" t="s">
        <v>2789</v>
      </c>
      <c r="D1673" s="53" t="s">
        <v>2880</v>
      </c>
      <c r="E1673" s="53" t="s">
        <v>2920</v>
      </c>
      <c r="F1673" s="53" t="s">
        <v>2882</v>
      </c>
      <c r="G1673" s="53" t="s">
        <v>2921</v>
      </c>
      <c r="H1673" s="53">
        <v>1.0</v>
      </c>
      <c r="I1673" s="53">
        <v>0.12738853503184713</v>
      </c>
      <c r="J1673" s="53">
        <v>27.0</v>
      </c>
      <c r="K1673" s="53" t="s">
        <v>53</v>
      </c>
      <c r="L1673" s="53" t="s">
        <v>53</v>
      </c>
    </row>
    <row r="1674" ht="15.75" customHeight="1">
      <c r="A1674" s="53" t="s">
        <v>411</v>
      </c>
      <c r="B1674" s="53" t="s">
        <v>2789</v>
      </c>
      <c r="D1674" s="53" t="s">
        <v>2880</v>
      </c>
      <c r="E1674" s="53" t="s">
        <v>2922</v>
      </c>
      <c r="F1674" s="53" t="s">
        <v>2882</v>
      </c>
      <c r="G1674" s="53" t="s">
        <v>2923</v>
      </c>
      <c r="H1674" s="53">
        <v>1.0</v>
      </c>
      <c r="I1674" s="53">
        <v>0.1282051282051282</v>
      </c>
      <c r="J1674" s="53">
        <v>25.0</v>
      </c>
      <c r="K1674" s="53" t="s">
        <v>53</v>
      </c>
      <c r="L1674" s="53" t="s">
        <v>53</v>
      </c>
    </row>
    <row r="1675" ht="15.75" customHeight="1">
      <c r="A1675" s="53" t="s">
        <v>411</v>
      </c>
      <c r="B1675" s="53" t="s">
        <v>2789</v>
      </c>
      <c r="D1675" s="53" t="s">
        <v>2880</v>
      </c>
      <c r="E1675" s="53" t="s">
        <v>2924</v>
      </c>
      <c r="F1675" s="53" t="s">
        <v>2882</v>
      </c>
      <c r="G1675" s="53" t="s">
        <v>2925</v>
      </c>
      <c r="H1675" s="53">
        <v>1.0</v>
      </c>
      <c r="I1675" s="53">
        <v>0.1320754716981132</v>
      </c>
      <c r="J1675" s="53">
        <v>31.0</v>
      </c>
      <c r="K1675" s="53" t="s">
        <v>53</v>
      </c>
      <c r="L1675" s="53" t="s">
        <v>53</v>
      </c>
    </row>
    <row r="1676" ht="15.75" customHeight="1">
      <c r="A1676" s="53" t="s">
        <v>411</v>
      </c>
      <c r="B1676" s="53" t="s">
        <v>2789</v>
      </c>
      <c r="D1676" s="53" t="s">
        <v>2880</v>
      </c>
      <c r="E1676" s="53" t="s">
        <v>2926</v>
      </c>
      <c r="F1676" s="53" t="s">
        <v>2882</v>
      </c>
      <c r="G1676" s="53" t="s">
        <v>2927</v>
      </c>
      <c r="H1676" s="53">
        <v>1.0</v>
      </c>
      <c r="I1676" s="53">
        <v>0.1337579617834395</v>
      </c>
      <c r="J1676" s="53">
        <v>28.0</v>
      </c>
      <c r="K1676" s="53" t="s">
        <v>53</v>
      </c>
      <c r="L1676" s="53" t="s">
        <v>53</v>
      </c>
    </row>
    <row r="1677" ht="15.75" customHeight="1">
      <c r="A1677" s="53" t="s">
        <v>411</v>
      </c>
      <c r="B1677" s="53" t="s">
        <v>2789</v>
      </c>
      <c r="D1677" s="53" t="s">
        <v>2880</v>
      </c>
      <c r="E1677" s="53" t="s">
        <v>2928</v>
      </c>
      <c r="F1677" s="53" t="s">
        <v>2882</v>
      </c>
      <c r="G1677" s="53" t="s">
        <v>2929</v>
      </c>
      <c r="H1677" s="53">
        <v>1.0</v>
      </c>
      <c r="I1677" s="53">
        <v>0.13664596273291926</v>
      </c>
      <c r="J1677" s="53">
        <v>29.0</v>
      </c>
      <c r="K1677" s="53" t="s">
        <v>53</v>
      </c>
      <c r="L1677" s="53" t="s">
        <v>53</v>
      </c>
    </row>
    <row r="1678" ht="15.75" customHeight="1">
      <c r="A1678" s="53" t="s">
        <v>411</v>
      </c>
      <c r="B1678" s="53" t="s">
        <v>2789</v>
      </c>
      <c r="D1678" s="53" t="s">
        <v>2880</v>
      </c>
      <c r="E1678" s="53" t="s">
        <v>2930</v>
      </c>
      <c r="F1678" s="53" t="s">
        <v>2882</v>
      </c>
      <c r="G1678" s="53" t="s">
        <v>2931</v>
      </c>
      <c r="H1678" s="53">
        <v>1.0</v>
      </c>
      <c r="I1678" s="53">
        <v>0.15625</v>
      </c>
      <c r="J1678" s="53">
        <v>23.0</v>
      </c>
      <c r="K1678" s="53" t="s">
        <v>53</v>
      </c>
      <c r="L1678" s="53" t="s">
        <v>53</v>
      </c>
    </row>
    <row r="1679" ht="15.75" customHeight="1">
      <c r="A1679" s="53" t="s">
        <v>411</v>
      </c>
      <c r="B1679" s="53" t="s">
        <v>2789</v>
      </c>
      <c r="D1679" s="53" t="s">
        <v>2880</v>
      </c>
      <c r="E1679" s="53" t="s">
        <v>2932</v>
      </c>
      <c r="F1679" s="53" t="s">
        <v>2882</v>
      </c>
      <c r="G1679" s="53" t="s">
        <v>2933</v>
      </c>
      <c r="H1679" s="53">
        <v>1.0</v>
      </c>
      <c r="I1679" s="53">
        <v>0.18452380952380953</v>
      </c>
      <c r="J1679" s="53">
        <v>30.0</v>
      </c>
      <c r="K1679" s="53" t="s">
        <v>53</v>
      </c>
      <c r="L1679" s="53" t="s">
        <v>53</v>
      </c>
    </row>
    <row r="1680" ht="15.75" customHeight="1">
      <c r="A1680" s="53" t="s">
        <v>411</v>
      </c>
      <c r="B1680" s="53" t="s">
        <v>2789</v>
      </c>
      <c r="D1680" s="53" t="s">
        <v>2880</v>
      </c>
      <c r="E1680" s="53" t="s">
        <v>2934</v>
      </c>
      <c r="F1680" s="53" t="s">
        <v>2882</v>
      </c>
      <c r="G1680" s="53" t="s">
        <v>2935</v>
      </c>
      <c r="H1680" s="53">
        <v>1.0</v>
      </c>
      <c r="I1680" s="53">
        <v>0.18867924528301888</v>
      </c>
      <c r="J1680" s="53">
        <v>20.0</v>
      </c>
      <c r="K1680" s="53" t="s">
        <v>53</v>
      </c>
      <c r="L1680" s="53" t="s">
        <v>53</v>
      </c>
    </row>
    <row r="1681" ht="15.75" customHeight="1">
      <c r="A1681" s="53" t="s">
        <v>411</v>
      </c>
      <c r="B1681" s="53" t="s">
        <v>2789</v>
      </c>
      <c r="D1681" s="53" t="s">
        <v>2880</v>
      </c>
      <c r="E1681" s="53" t="s">
        <v>2936</v>
      </c>
      <c r="F1681" s="53" t="s">
        <v>2882</v>
      </c>
      <c r="G1681" s="53" t="s">
        <v>2937</v>
      </c>
      <c r="H1681" s="53">
        <v>1.0</v>
      </c>
      <c r="I1681" s="53">
        <v>0.19310344827586207</v>
      </c>
      <c r="J1681" s="53">
        <v>38.0</v>
      </c>
      <c r="K1681" s="53" t="s">
        <v>53</v>
      </c>
      <c r="L1681" s="53" t="s">
        <v>53</v>
      </c>
    </row>
    <row r="1682" ht="15.75" customHeight="1">
      <c r="A1682" s="53" t="s">
        <v>411</v>
      </c>
      <c r="B1682" s="53" t="s">
        <v>2789</v>
      </c>
      <c r="D1682" s="53" t="s">
        <v>2880</v>
      </c>
      <c r="E1682" s="53" t="s">
        <v>2938</v>
      </c>
      <c r="F1682" s="53" t="s">
        <v>2882</v>
      </c>
      <c r="G1682" s="53" t="s">
        <v>509</v>
      </c>
      <c r="H1682" s="53">
        <v>1.0</v>
      </c>
      <c r="I1682" s="53">
        <v>0.2</v>
      </c>
      <c r="J1682" s="53">
        <v>1.0</v>
      </c>
      <c r="K1682" s="53" t="s">
        <v>53</v>
      </c>
      <c r="L1682" s="53" t="s">
        <v>53</v>
      </c>
    </row>
    <row r="1683" ht="15.75" customHeight="1">
      <c r="A1683" s="53" t="s">
        <v>411</v>
      </c>
      <c r="B1683" s="53" t="s">
        <v>2789</v>
      </c>
      <c r="D1683" s="53" t="s">
        <v>2880</v>
      </c>
      <c r="E1683" s="53" t="s">
        <v>2939</v>
      </c>
      <c r="F1683" s="53" t="s">
        <v>2882</v>
      </c>
      <c r="G1683" s="53" t="s">
        <v>2940</v>
      </c>
      <c r="H1683" s="53">
        <v>1.0</v>
      </c>
      <c r="I1683" s="53">
        <v>0.20279720279720279</v>
      </c>
      <c r="J1683" s="53">
        <v>18.0</v>
      </c>
      <c r="K1683" s="53" t="s">
        <v>53</v>
      </c>
      <c r="L1683" s="53" t="s">
        <v>53</v>
      </c>
    </row>
    <row r="1684" ht="15.75" customHeight="1">
      <c r="A1684" s="53" t="s">
        <v>411</v>
      </c>
      <c r="B1684" s="53" t="s">
        <v>2789</v>
      </c>
      <c r="D1684" s="53" t="s">
        <v>2880</v>
      </c>
      <c r="E1684" s="53" t="s">
        <v>2941</v>
      </c>
      <c r="F1684" s="53" t="s">
        <v>2882</v>
      </c>
      <c r="G1684" s="53" t="s">
        <v>2942</v>
      </c>
      <c r="H1684" s="53">
        <v>1.0</v>
      </c>
      <c r="I1684" s="53">
        <v>0.21621621621621623</v>
      </c>
      <c r="J1684" s="53">
        <v>39.0</v>
      </c>
      <c r="K1684" s="53" t="s">
        <v>53</v>
      </c>
      <c r="L1684" s="53" t="s">
        <v>53</v>
      </c>
    </row>
    <row r="1685" ht="15.75" customHeight="1">
      <c r="A1685" s="53" t="s">
        <v>411</v>
      </c>
      <c r="B1685" s="53" t="s">
        <v>2789</v>
      </c>
      <c r="D1685" s="53" t="s">
        <v>2880</v>
      </c>
      <c r="E1685" s="53" t="s">
        <v>2943</v>
      </c>
      <c r="F1685" s="53" t="s">
        <v>2882</v>
      </c>
      <c r="G1685" s="53" t="s">
        <v>2944</v>
      </c>
      <c r="H1685" s="53">
        <v>1.0</v>
      </c>
      <c r="I1685" s="53">
        <v>0.21893491124260356</v>
      </c>
      <c r="J1685" s="53">
        <v>22.0</v>
      </c>
      <c r="K1685" s="53" t="s">
        <v>53</v>
      </c>
      <c r="L1685" s="53" t="s">
        <v>53</v>
      </c>
    </row>
    <row r="1686" ht="15.75" customHeight="1">
      <c r="A1686" s="53" t="s">
        <v>411</v>
      </c>
      <c r="B1686" s="53" t="s">
        <v>2789</v>
      </c>
      <c r="D1686" s="53" t="s">
        <v>2880</v>
      </c>
      <c r="E1686" s="53" t="s">
        <v>2945</v>
      </c>
      <c r="F1686" s="53" t="s">
        <v>2882</v>
      </c>
      <c r="G1686" s="53" t="s">
        <v>2946</v>
      </c>
      <c r="H1686" s="53">
        <v>1.0</v>
      </c>
      <c r="I1686" s="53">
        <v>0.21965317919075145</v>
      </c>
      <c r="J1686" s="53">
        <v>5.0</v>
      </c>
      <c r="K1686" s="53" t="s">
        <v>53</v>
      </c>
      <c r="L1686" s="53" t="s">
        <v>53</v>
      </c>
    </row>
    <row r="1687" ht="15.75" customHeight="1">
      <c r="A1687" s="53" t="s">
        <v>411</v>
      </c>
      <c r="B1687" s="53" t="s">
        <v>2789</v>
      </c>
      <c r="D1687" s="53" t="s">
        <v>2880</v>
      </c>
      <c r="E1687" s="53" t="s">
        <v>2947</v>
      </c>
      <c r="F1687" s="53" t="s">
        <v>2882</v>
      </c>
      <c r="G1687" s="53" t="s">
        <v>2948</v>
      </c>
      <c r="H1687" s="53">
        <v>1.0</v>
      </c>
      <c r="I1687" s="53">
        <v>0.22</v>
      </c>
      <c r="J1687" s="53">
        <v>37.0</v>
      </c>
      <c r="K1687" s="53" t="s">
        <v>53</v>
      </c>
      <c r="L1687" s="53" t="s">
        <v>53</v>
      </c>
    </row>
    <row r="1688" ht="15.75" customHeight="1">
      <c r="A1688" s="53" t="s">
        <v>411</v>
      </c>
      <c r="B1688" s="53" t="s">
        <v>2789</v>
      </c>
      <c r="D1688" s="53" t="s">
        <v>2880</v>
      </c>
      <c r="E1688" s="53" t="s">
        <v>2949</v>
      </c>
      <c r="F1688" s="53" t="s">
        <v>2882</v>
      </c>
      <c r="G1688" s="53" t="s">
        <v>2950</v>
      </c>
      <c r="H1688" s="53">
        <v>1.0</v>
      </c>
      <c r="I1688" s="53">
        <v>0.2215568862275449</v>
      </c>
      <c r="J1688" s="53">
        <v>19.0</v>
      </c>
      <c r="K1688" s="53" t="s">
        <v>53</v>
      </c>
      <c r="L1688" s="53" t="s">
        <v>53</v>
      </c>
    </row>
    <row r="1689" ht="15.75" customHeight="1">
      <c r="A1689" s="53" t="s">
        <v>411</v>
      </c>
      <c r="B1689" s="53" t="s">
        <v>2789</v>
      </c>
      <c r="D1689" s="53" t="s">
        <v>2880</v>
      </c>
      <c r="E1689" s="53" t="s">
        <v>2951</v>
      </c>
      <c r="F1689" s="53" t="s">
        <v>2882</v>
      </c>
      <c r="G1689" s="53" t="s">
        <v>485</v>
      </c>
      <c r="H1689" s="53">
        <v>1.0</v>
      </c>
      <c r="I1689" s="53">
        <v>0.24342105263157895</v>
      </c>
      <c r="J1689" s="53">
        <v>34.0</v>
      </c>
      <c r="K1689" s="53" t="s">
        <v>53</v>
      </c>
      <c r="L1689" s="53" t="s">
        <v>53</v>
      </c>
    </row>
    <row r="1690" ht="15.75" customHeight="1">
      <c r="A1690" s="53" t="s">
        <v>411</v>
      </c>
      <c r="B1690" s="53" t="s">
        <v>2789</v>
      </c>
      <c r="D1690" s="53" t="s">
        <v>2880</v>
      </c>
      <c r="E1690" s="53" t="s">
        <v>2952</v>
      </c>
      <c r="F1690" s="53" t="s">
        <v>2882</v>
      </c>
      <c r="G1690" s="53" t="s">
        <v>495</v>
      </c>
      <c r="H1690" s="53">
        <v>1.0</v>
      </c>
      <c r="I1690" s="53">
        <v>0.2465753424657534</v>
      </c>
      <c r="J1690" s="53">
        <v>36.0</v>
      </c>
      <c r="K1690" s="53" t="s">
        <v>53</v>
      </c>
      <c r="L1690" s="53" t="s">
        <v>53</v>
      </c>
    </row>
    <row r="1691" ht="15.75" customHeight="1">
      <c r="A1691" s="53" t="s">
        <v>411</v>
      </c>
      <c r="B1691" s="53" t="s">
        <v>2789</v>
      </c>
      <c r="D1691" s="53" t="s">
        <v>2880</v>
      </c>
      <c r="E1691" s="53" t="s">
        <v>2953</v>
      </c>
      <c r="F1691" s="53" t="s">
        <v>2882</v>
      </c>
      <c r="G1691" s="53" t="s">
        <v>2954</v>
      </c>
      <c r="H1691" s="53">
        <v>1.0</v>
      </c>
      <c r="I1691" s="53">
        <v>0.24666666666666667</v>
      </c>
      <c r="J1691" s="53">
        <v>16.0</v>
      </c>
      <c r="K1691" s="53" t="s">
        <v>53</v>
      </c>
      <c r="L1691" s="53" t="s">
        <v>53</v>
      </c>
    </row>
    <row r="1692" ht="15.75" customHeight="1">
      <c r="A1692" s="53" t="s">
        <v>411</v>
      </c>
      <c r="B1692" s="53" t="s">
        <v>2789</v>
      </c>
      <c r="D1692" s="53" t="s">
        <v>2880</v>
      </c>
      <c r="E1692" s="53" t="s">
        <v>2955</v>
      </c>
      <c r="F1692" s="53" t="s">
        <v>2882</v>
      </c>
      <c r="G1692" s="53" t="s">
        <v>474</v>
      </c>
      <c r="H1692" s="53">
        <v>1.0</v>
      </c>
      <c r="I1692" s="53">
        <v>0.2532467532467532</v>
      </c>
      <c r="J1692" s="53">
        <v>35.0</v>
      </c>
      <c r="K1692" s="53" t="s">
        <v>53</v>
      </c>
      <c r="L1692" s="53" t="s">
        <v>53</v>
      </c>
    </row>
    <row r="1693" ht="15.75" customHeight="1">
      <c r="A1693" s="53" t="s">
        <v>411</v>
      </c>
      <c r="B1693" s="53" t="s">
        <v>2789</v>
      </c>
      <c r="D1693" s="53" t="s">
        <v>2880</v>
      </c>
      <c r="E1693" s="53" t="s">
        <v>2956</v>
      </c>
      <c r="F1693" s="53" t="s">
        <v>2882</v>
      </c>
      <c r="G1693" s="53" t="s">
        <v>2957</v>
      </c>
      <c r="H1693" s="53">
        <v>1.0</v>
      </c>
      <c r="I1693" s="53">
        <v>0.2543352601156069</v>
      </c>
      <c r="J1693" s="53">
        <v>21.0</v>
      </c>
      <c r="K1693" s="53" t="s">
        <v>53</v>
      </c>
      <c r="L1693" s="53" t="s">
        <v>53</v>
      </c>
    </row>
    <row r="1694" ht="15.75" customHeight="1">
      <c r="A1694" s="53" t="s">
        <v>411</v>
      </c>
      <c r="B1694" s="53" t="s">
        <v>2789</v>
      </c>
      <c r="D1694" s="53" t="s">
        <v>2903</v>
      </c>
      <c r="E1694" s="53" t="s">
        <v>2958</v>
      </c>
      <c r="F1694" s="53" t="s">
        <v>2882</v>
      </c>
      <c r="G1694" s="53" t="s">
        <v>2885</v>
      </c>
      <c r="H1694" s="53">
        <v>1.0</v>
      </c>
      <c r="I1694" s="53">
        <v>0.05555555555555555</v>
      </c>
      <c r="J1694" s="53">
        <v>2.0</v>
      </c>
      <c r="K1694" s="53" t="s">
        <v>53</v>
      </c>
      <c r="L1694" s="53" t="s">
        <v>53</v>
      </c>
    </row>
    <row r="1695" ht="15.75" customHeight="1">
      <c r="A1695" s="53" t="s">
        <v>411</v>
      </c>
      <c r="B1695" s="53" t="s">
        <v>2789</v>
      </c>
      <c r="D1695" s="53" t="s">
        <v>2903</v>
      </c>
      <c r="E1695" s="53" t="s">
        <v>2959</v>
      </c>
      <c r="F1695" s="53" t="s">
        <v>2882</v>
      </c>
      <c r="G1695" s="53" t="s">
        <v>2883</v>
      </c>
      <c r="H1695" s="53">
        <v>1.0</v>
      </c>
      <c r="I1695" s="53">
        <v>0.0625</v>
      </c>
      <c r="J1695" s="53">
        <v>3.0</v>
      </c>
      <c r="K1695" s="53" t="s">
        <v>53</v>
      </c>
      <c r="L1695" s="53" t="s">
        <v>53</v>
      </c>
    </row>
    <row r="1696" ht="15.75" customHeight="1">
      <c r="A1696" s="53" t="s">
        <v>411</v>
      </c>
      <c r="B1696" s="53" t="s">
        <v>2789</v>
      </c>
      <c r="D1696" s="53" t="s">
        <v>2903</v>
      </c>
      <c r="E1696" s="53" t="s">
        <v>2960</v>
      </c>
      <c r="F1696" s="53" t="s">
        <v>2882</v>
      </c>
      <c r="G1696" s="53" t="s">
        <v>2901</v>
      </c>
      <c r="H1696" s="53">
        <v>1.0</v>
      </c>
      <c r="I1696" s="53">
        <v>0.0625</v>
      </c>
      <c r="J1696" s="53">
        <v>10.0</v>
      </c>
      <c r="K1696" s="53" t="s">
        <v>53</v>
      </c>
      <c r="L1696" s="53" t="s">
        <v>53</v>
      </c>
    </row>
    <row r="1697" ht="15.75" customHeight="1">
      <c r="A1697" s="53" t="s">
        <v>411</v>
      </c>
      <c r="B1697" s="53" t="s">
        <v>2789</v>
      </c>
      <c r="D1697" s="53" t="s">
        <v>2903</v>
      </c>
      <c r="E1697" s="53" t="s">
        <v>2961</v>
      </c>
      <c r="F1697" s="53" t="s">
        <v>2882</v>
      </c>
      <c r="G1697" s="53" t="s">
        <v>2899</v>
      </c>
      <c r="H1697" s="53">
        <v>1.0</v>
      </c>
      <c r="I1697" s="53">
        <v>0.06944444444444445</v>
      </c>
      <c r="J1697" s="53">
        <v>13.0</v>
      </c>
      <c r="K1697" s="53" t="s">
        <v>53</v>
      </c>
      <c r="L1697" s="53" t="s">
        <v>53</v>
      </c>
    </row>
    <row r="1698" ht="15.75" customHeight="1">
      <c r="A1698" s="53" t="s">
        <v>411</v>
      </c>
      <c r="B1698" s="53" t="s">
        <v>2789</v>
      </c>
      <c r="D1698" s="53" t="s">
        <v>2903</v>
      </c>
      <c r="E1698" s="53" t="s">
        <v>2962</v>
      </c>
      <c r="F1698" s="53" t="s">
        <v>2882</v>
      </c>
      <c r="G1698" s="53" t="s">
        <v>2887</v>
      </c>
      <c r="H1698" s="53">
        <v>1.0</v>
      </c>
      <c r="I1698" s="53">
        <v>0.06944444444444445</v>
      </c>
      <c r="J1698" s="53">
        <v>8.0</v>
      </c>
      <c r="K1698" s="53" t="s">
        <v>53</v>
      </c>
      <c r="L1698" s="53" t="s">
        <v>53</v>
      </c>
    </row>
    <row r="1699" ht="15.75" customHeight="1">
      <c r="A1699" s="53" t="s">
        <v>411</v>
      </c>
      <c r="B1699" s="53" t="s">
        <v>2789</v>
      </c>
      <c r="D1699" s="53" t="s">
        <v>2903</v>
      </c>
      <c r="E1699" s="53" t="s">
        <v>2963</v>
      </c>
      <c r="F1699" s="53" t="s">
        <v>2882</v>
      </c>
      <c r="G1699" s="53" t="s">
        <v>2895</v>
      </c>
      <c r="H1699" s="53">
        <v>1.0</v>
      </c>
      <c r="I1699" s="53">
        <v>0.07586206896551724</v>
      </c>
      <c r="J1699" s="53">
        <v>9.0</v>
      </c>
      <c r="K1699" s="53" t="s">
        <v>53</v>
      </c>
      <c r="L1699" s="53" t="s">
        <v>53</v>
      </c>
    </row>
    <row r="1700" ht="15.75" customHeight="1">
      <c r="A1700" s="53" t="s">
        <v>411</v>
      </c>
      <c r="B1700" s="53" t="s">
        <v>2789</v>
      </c>
      <c r="D1700" s="53" t="s">
        <v>2903</v>
      </c>
      <c r="E1700" s="53" t="s">
        <v>2964</v>
      </c>
      <c r="F1700" s="53" t="s">
        <v>2882</v>
      </c>
      <c r="G1700" s="53" t="s">
        <v>2905</v>
      </c>
      <c r="H1700" s="53">
        <v>1.0</v>
      </c>
      <c r="I1700" s="53">
        <v>0.0763888888888889</v>
      </c>
      <c r="J1700" s="53">
        <v>16.0</v>
      </c>
      <c r="K1700" s="53" t="s">
        <v>53</v>
      </c>
      <c r="L1700" s="53" t="s">
        <v>53</v>
      </c>
    </row>
    <row r="1701" ht="15.75" customHeight="1">
      <c r="A1701" s="53" t="s">
        <v>411</v>
      </c>
      <c r="B1701" s="53" t="s">
        <v>2789</v>
      </c>
      <c r="D1701" s="53" t="s">
        <v>2903</v>
      </c>
      <c r="E1701" s="53" t="s">
        <v>2965</v>
      </c>
      <c r="F1701" s="53" t="s">
        <v>2882</v>
      </c>
      <c r="G1701" s="53" t="s">
        <v>2889</v>
      </c>
      <c r="H1701" s="53">
        <v>1.0</v>
      </c>
      <c r="I1701" s="53">
        <v>0.0763888888888889</v>
      </c>
      <c r="J1701" s="53">
        <v>11.0</v>
      </c>
      <c r="K1701" s="53" t="s">
        <v>53</v>
      </c>
      <c r="L1701" s="53" t="s">
        <v>53</v>
      </c>
    </row>
    <row r="1702" ht="15.75" customHeight="1">
      <c r="A1702" s="53" t="s">
        <v>411</v>
      </c>
      <c r="B1702" s="53" t="s">
        <v>2789</v>
      </c>
      <c r="D1702" s="53" t="s">
        <v>2903</v>
      </c>
      <c r="E1702" s="53" t="s">
        <v>2966</v>
      </c>
      <c r="F1702" s="53" t="s">
        <v>2882</v>
      </c>
      <c r="G1702" s="53" t="s">
        <v>2897</v>
      </c>
      <c r="H1702" s="53">
        <v>1.0</v>
      </c>
      <c r="I1702" s="53">
        <v>0.08275862068965517</v>
      </c>
      <c r="J1702" s="53">
        <v>6.0</v>
      </c>
      <c r="K1702" s="53" t="s">
        <v>53</v>
      </c>
      <c r="L1702" s="53" t="s">
        <v>53</v>
      </c>
    </row>
    <row r="1703" ht="15.75" customHeight="1">
      <c r="A1703" s="53" t="s">
        <v>411</v>
      </c>
      <c r="B1703" s="53" t="s">
        <v>2789</v>
      </c>
      <c r="D1703" s="53" t="s">
        <v>2903</v>
      </c>
      <c r="E1703" s="53" t="s">
        <v>2967</v>
      </c>
      <c r="F1703" s="53" t="s">
        <v>2882</v>
      </c>
      <c r="G1703" s="53" t="s">
        <v>2913</v>
      </c>
      <c r="H1703" s="53">
        <v>1.0</v>
      </c>
      <c r="I1703" s="53">
        <v>0.08666666666666667</v>
      </c>
      <c r="J1703" s="53">
        <v>12.0</v>
      </c>
      <c r="K1703" s="53" t="s">
        <v>53</v>
      </c>
      <c r="L1703" s="53" t="s">
        <v>53</v>
      </c>
    </row>
    <row r="1704" ht="15.75" customHeight="1">
      <c r="A1704" s="53" t="s">
        <v>411</v>
      </c>
      <c r="B1704" s="53" t="s">
        <v>2789</v>
      </c>
      <c r="D1704" s="53" t="s">
        <v>2903</v>
      </c>
      <c r="E1704" s="53" t="s">
        <v>2968</v>
      </c>
      <c r="F1704" s="53" t="s">
        <v>2882</v>
      </c>
      <c r="G1704" s="53" t="s">
        <v>2909</v>
      </c>
      <c r="H1704" s="53">
        <v>1.0</v>
      </c>
      <c r="I1704" s="53">
        <v>0.087248322147651</v>
      </c>
      <c r="J1704" s="53">
        <v>1.0</v>
      </c>
      <c r="K1704" s="53" t="s">
        <v>53</v>
      </c>
      <c r="L1704" s="53" t="s">
        <v>53</v>
      </c>
    </row>
    <row r="1705" ht="15.75" customHeight="1">
      <c r="A1705" s="53" t="s">
        <v>411</v>
      </c>
      <c r="B1705" s="53" t="s">
        <v>2789</v>
      </c>
      <c r="D1705" s="53" t="s">
        <v>2903</v>
      </c>
      <c r="E1705" s="53" t="s">
        <v>2969</v>
      </c>
      <c r="F1705" s="53" t="s">
        <v>2882</v>
      </c>
      <c r="G1705" s="53" t="s">
        <v>2907</v>
      </c>
      <c r="H1705" s="53">
        <v>1.0</v>
      </c>
      <c r="I1705" s="53">
        <v>0.08843537414965986</v>
      </c>
      <c r="J1705" s="53">
        <v>31.0</v>
      </c>
      <c r="K1705" s="53" t="s">
        <v>53</v>
      </c>
      <c r="L1705" s="53" t="s">
        <v>53</v>
      </c>
    </row>
    <row r="1706" ht="15.75" customHeight="1">
      <c r="A1706" s="53" t="s">
        <v>411</v>
      </c>
      <c r="B1706" s="53" t="s">
        <v>2789</v>
      </c>
      <c r="D1706" s="53" t="s">
        <v>2903</v>
      </c>
      <c r="E1706" s="53" t="s">
        <v>2970</v>
      </c>
      <c r="F1706" s="53" t="s">
        <v>2882</v>
      </c>
      <c r="G1706" s="53" t="s">
        <v>2891</v>
      </c>
      <c r="H1706" s="53">
        <v>1.0</v>
      </c>
      <c r="I1706" s="53">
        <v>0.08904109589041095</v>
      </c>
      <c r="J1706" s="53">
        <v>7.0</v>
      </c>
      <c r="K1706" s="53" t="s">
        <v>53</v>
      </c>
      <c r="L1706" s="53" t="s">
        <v>53</v>
      </c>
    </row>
    <row r="1707" ht="15.75" customHeight="1">
      <c r="A1707" s="53" t="s">
        <v>411</v>
      </c>
      <c r="B1707" s="53" t="s">
        <v>2789</v>
      </c>
      <c r="D1707" s="53" t="s">
        <v>2903</v>
      </c>
      <c r="E1707" s="53" t="s">
        <v>2971</v>
      </c>
      <c r="F1707" s="53" t="s">
        <v>2882</v>
      </c>
      <c r="G1707" s="53" t="s">
        <v>2893</v>
      </c>
      <c r="H1707" s="53">
        <v>1.0</v>
      </c>
      <c r="I1707" s="53">
        <v>0.08904109589041095</v>
      </c>
      <c r="J1707" s="53">
        <v>5.0</v>
      </c>
      <c r="K1707" s="53" t="s">
        <v>53</v>
      </c>
      <c r="L1707" s="53" t="s">
        <v>53</v>
      </c>
    </row>
    <row r="1708" ht="15.75" customHeight="1">
      <c r="A1708" s="53" t="s">
        <v>411</v>
      </c>
      <c r="B1708" s="53" t="s">
        <v>2789</v>
      </c>
      <c r="D1708" s="53" t="s">
        <v>2903</v>
      </c>
      <c r="E1708" s="53" t="s">
        <v>2972</v>
      </c>
      <c r="F1708" s="53" t="s">
        <v>2882</v>
      </c>
      <c r="G1708" s="53" t="s">
        <v>2917</v>
      </c>
      <c r="H1708" s="53">
        <v>1.0</v>
      </c>
      <c r="I1708" s="53">
        <v>0.11258278145695365</v>
      </c>
      <c r="J1708" s="53">
        <v>32.0</v>
      </c>
      <c r="K1708" s="53" t="s">
        <v>53</v>
      </c>
      <c r="L1708" s="53" t="s">
        <v>53</v>
      </c>
    </row>
    <row r="1709" ht="15.75" customHeight="1">
      <c r="A1709" s="53" t="s">
        <v>411</v>
      </c>
      <c r="B1709" s="53" t="s">
        <v>2789</v>
      </c>
      <c r="D1709" s="53" t="s">
        <v>2903</v>
      </c>
      <c r="E1709" s="53" t="s">
        <v>2973</v>
      </c>
      <c r="F1709" s="53" t="s">
        <v>2882</v>
      </c>
      <c r="G1709" s="53" t="s">
        <v>2911</v>
      </c>
      <c r="H1709" s="53">
        <v>1.0</v>
      </c>
      <c r="I1709" s="53">
        <v>0.11333333333333333</v>
      </c>
      <c r="J1709" s="53">
        <v>14.0</v>
      </c>
      <c r="K1709" s="53" t="s">
        <v>53</v>
      </c>
      <c r="L1709" s="53" t="s">
        <v>53</v>
      </c>
    </row>
    <row r="1710" ht="15.75" customHeight="1">
      <c r="A1710" s="53" t="s">
        <v>411</v>
      </c>
      <c r="B1710" s="53" t="s">
        <v>2789</v>
      </c>
      <c r="D1710" s="53" t="s">
        <v>2903</v>
      </c>
      <c r="E1710" s="53" t="s">
        <v>2974</v>
      </c>
      <c r="F1710" s="53" t="s">
        <v>2882</v>
      </c>
      <c r="G1710" s="53" t="s">
        <v>2915</v>
      </c>
      <c r="H1710" s="53">
        <v>1.0</v>
      </c>
      <c r="I1710" s="53">
        <v>0.12418300653594772</v>
      </c>
      <c r="J1710" s="53">
        <v>23.0</v>
      </c>
      <c r="K1710" s="53" t="s">
        <v>53</v>
      </c>
      <c r="L1710" s="53" t="s">
        <v>53</v>
      </c>
    </row>
    <row r="1711" ht="15.75" customHeight="1">
      <c r="A1711" s="53" t="s">
        <v>411</v>
      </c>
      <c r="B1711" s="53" t="s">
        <v>2789</v>
      </c>
      <c r="D1711" s="53" t="s">
        <v>2903</v>
      </c>
      <c r="E1711" s="53" t="s">
        <v>2975</v>
      </c>
      <c r="F1711" s="53" t="s">
        <v>2882</v>
      </c>
      <c r="G1711" s="53" t="s">
        <v>2923</v>
      </c>
      <c r="H1711" s="53">
        <v>1.0</v>
      </c>
      <c r="I1711" s="53">
        <v>0.1282051282051282</v>
      </c>
      <c r="J1711" s="53">
        <v>24.0</v>
      </c>
      <c r="K1711" s="53" t="s">
        <v>53</v>
      </c>
      <c r="L1711" s="53" t="s">
        <v>53</v>
      </c>
    </row>
    <row r="1712" ht="15.75" customHeight="1">
      <c r="A1712" s="53" t="s">
        <v>411</v>
      </c>
      <c r="B1712" s="53" t="s">
        <v>2789</v>
      </c>
      <c r="D1712" s="53" t="s">
        <v>2903</v>
      </c>
      <c r="E1712" s="53" t="s">
        <v>2976</v>
      </c>
      <c r="F1712" s="53" t="s">
        <v>2882</v>
      </c>
      <c r="G1712" s="53" t="s">
        <v>2927</v>
      </c>
      <c r="H1712" s="53">
        <v>1.0</v>
      </c>
      <c r="I1712" s="53">
        <v>0.1337579617834395</v>
      </c>
      <c r="J1712" s="53">
        <v>27.0</v>
      </c>
      <c r="K1712" s="53" t="s">
        <v>53</v>
      </c>
      <c r="L1712" s="53" t="s">
        <v>53</v>
      </c>
    </row>
    <row r="1713" ht="15.75" customHeight="1">
      <c r="A1713" s="53" t="s">
        <v>411</v>
      </c>
      <c r="B1713" s="53" t="s">
        <v>2789</v>
      </c>
      <c r="D1713" s="53" t="s">
        <v>2903</v>
      </c>
      <c r="E1713" s="53" t="s">
        <v>2977</v>
      </c>
      <c r="F1713" s="53" t="s">
        <v>2882</v>
      </c>
      <c r="G1713" s="53" t="s">
        <v>2931</v>
      </c>
      <c r="H1713" s="53">
        <v>1.0</v>
      </c>
      <c r="I1713" s="53">
        <v>0.14375</v>
      </c>
      <c r="J1713" s="53">
        <v>22.0</v>
      </c>
      <c r="K1713" s="53" t="s">
        <v>53</v>
      </c>
      <c r="L1713" s="53" t="s">
        <v>53</v>
      </c>
    </row>
    <row r="1714" ht="15.75" customHeight="1">
      <c r="A1714" s="53" t="s">
        <v>411</v>
      </c>
      <c r="B1714" s="53" t="s">
        <v>2789</v>
      </c>
      <c r="D1714" s="53" t="s">
        <v>2903</v>
      </c>
      <c r="E1714" s="53" t="s">
        <v>2978</v>
      </c>
      <c r="F1714" s="53" t="s">
        <v>2882</v>
      </c>
      <c r="G1714" s="53" t="s">
        <v>2925</v>
      </c>
      <c r="H1714" s="53">
        <v>1.0</v>
      </c>
      <c r="I1714" s="53">
        <v>0.14465408805031446</v>
      </c>
      <c r="J1714" s="53">
        <v>30.0</v>
      </c>
      <c r="K1714" s="53" t="s">
        <v>53</v>
      </c>
      <c r="L1714" s="53" t="s">
        <v>53</v>
      </c>
    </row>
    <row r="1715" ht="15.75" customHeight="1">
      <c r="A1715" s="53" t="s">
        <v>411</v>
      </c>
      <c r="B1715" s="53" t="s">
        <v>2789</v>
      </c>
      <c r="D1715" s="53" t="s">
        <v>2903</v>
      </c>
      <c r="E1715" s="53" t="s">
        <v>2979</v>
      </c>
      <c r="F1715" s="53" t="s">
        <v>2882</v>
      </c>
      <c r="G1715" s="53" t="s">
        <v>2921</v>
      </c>
      <c r="H1715" s="53">
        <v>1.0</v>
      </c>
      <c r="I1715" s="53">
        <v>0.1464968152866242</v>
      </c>
      <c r="J1715" s="53">
        <v>26.0</v>
      </c>
      <c r="K1715" s="53" t="s">
        <v>53</v>
      </c>
      <c r="L1715" s="53" t="s">
        <v>53</v>
      </c>
    </row>
    <row r="1716" ht="15.75" customHeight="1">
      <c r="A1716" s="53" t="s">
        <v>411</v>
      </c>
      <c r="B1716" s="53" t="s">
        <v>2789</v>
      </c>
      <c r="D1716" s="53" t="s">
        <v>2903</v>
      </c>
      <c r="E1716" s="53" t="s">
        <v>2980</v>
      </c>
      <c r="F1716" s="53" t="s">
        <v>2882</v>
      </c>
      <c r="G1716" s="53" t="s">
        <v>2919</v>
      </c>
      <c r="H1716" s="53">
        <v>1.0</v>
      </c>
      <c r="I1716" s="53">
        <v>0.1509433962264151</v>
      </c>
      <c r="J1716" s="53">
        <v>25.0</v>
      </c>
      <c r="K1716" s="53" t="s">
        <v>53</v>
      </c>
      <c r="L1716" s="53" t="s">
        <v>53</v>
      </c>
    </row>
    <row r="1717" ht="15.75" customHeight="1">
      <c r="A1717" s="53" t="s">
        <v>411</v>
      </c>
      <c r="B1717" s="53" t="s">
        <v>2789</v>
      </c>
      <c r="D1717" s="53" t="s">
        <v>2903</v>
      </c>
      <c r="E1717" s="53" t="s">
        <v>2981</v>
      </c>
      <c r="F1717" s="53" t="s">
        <v>2882</v>
      </c>
      <c r="G1717" s="53" t="s">
        <v>2929</v>
      </c>
      <c r="H1717" s="53">
        <v>1.0</v>
      </c>
      <c r="I1717" s="53">
        <v>0.16149068322981366</v>
      </c>
      <c r="J1717" s="53">
        <v>28.0</v>
      </c>
      <c r="K1717" s="53" t="s">
        <v>53</v>
      </c>
      <c r="L1717" s="53" t="s">
        <v>53</v>
      </c>
    </row>
    <row r="1718" ht="15.75" customHeight="1">
      <c r="A1718" s="53" t="s">
        <v>411</v>
      </c>
      <c r="B1718" s="53" t="s">
        <v>2789</v>
      </c>
      <c r="D1718" s="53" t="s">
        <v>2903</v>
      </c>
      <c r="E1718" s="53" t="s">
        <v>2982</v>
      </c>
      <c r="F1718" s="53" t="s">
        <v>2882</v>
      </c>
      <c r="G1718" s="53" t="s">
        <v>2933</v>
      </c>
      <c r="H1718" s="53">
        <v>1.0</v>
      </c>
      <c r="I1718" s="53">
        <v>0.18452380952380953</v>
      </c>
      <c r="J1718" s="53">
        <v>29.0</v>
      </c>
      <c r="K1718" s="53" t="s">
        <v>53</v>
      </c>
      <c r="L1718" s="53" t="s">
        <v>53</v>
      </c>
    </row>
    <row r="1719" ht="15.75" customHeight="1">
      <c r="A1719" s="53" t="s">
        <v>411</v>
      </c>
      <c r="B1719" s="53" t="s">
        <v>2789</v>
      </c>
      <c r="D1719" s="53" t="s">
        <v>2903</v>
      </c>
      <c r="E1719" s="53" t="s">
        <v>2983</v>
      </c>
      <c r="F1719" s="53" t="s">
        <v>2882</v>
      </c>
      <c r="G1719" s="53" t="s">
        <v>2940</v>
      </c>
      <c r="H1719" s="53">
        <v>1.0</v>
      </c>
      <c r="I1719" s="53">
        <v>0.19444444444444445</v>
      </c>
      <c r="J1719" s="53">
        <v>17.0</v>
      </c>
      <c r="K1719" s="53" t="s">
        <v>53</v>
      </c>
      <c r="L1719" s="53" t="s">
        <v>53</v>
      </c>
    </row>
    <row r="1720" ht="15.75" customHeight="1">
      <c r="A1720" s="53" t="s">
        <v>411</v>
      </c>
      <c r="B1720" s="53" t="s">
        <v>2789</v>
      </c>
      <c r="D1720" s="53" t="s">
        <v>2903</v>
      </c>
      <c r="E1720" s="53" t="s">
        <v>2984</v>
      </c>
      <c r="F1720" s="53" t="s">
        <v>2882</v>
      </c>
      <c r="G1720" s="53" t="s">
        <v>2935</v>
      </c>
      <c r="H1720" s="53">
        <v>1.0</v>
      </c>
      <c r="I1720" s="53">
        <v>0.1949685534591195</v>
      </c>
      <c r="J1720" s="53">
        <v>19.0</v>
      </c>
      <c r="K1720" s="53" t="s">
        <v>53</v>
      </c>
      <c r="L1720" s="53" t="s">
        <v>53</v>
      </c>
    </row>
    <row r="1721" ht="15.75" customHeight="1">
      <c r="A1721" s="53" t="s">
        <v>411</v>
      </c>
      <c r="B1721" s="53" t="s">
        <v>2789</v>
      </c>
      <c r="D1721" s="53" t="s">
        <v>2903</v>
      </c>
      <c r="E1721" s="53" t="s">
        <v>2985</v>
      </c>
      <c r="F1721" s="53" t="s">
        <v>2882</v>
      </c>
      <c r="G1721" s="53" t="s">
        <v>2937</v>
      </c>
      <c r="H1721" s="53">
        <v>1.0</v>
      </c>
      <c r="I1721" s="53">
        <v>0.2</v>
      </c>
      <c r="J1721" s="53">
        <v>37.0</v>
      </c>
      <c r="K1721" s="53" t="s">
        <v>53</v>
      </c>
      <c r="L1721" s="53" t="s">
        <v>53</v>
      </c>
    </row>
    <row r="1722" ht="15.75" customHeight="1">
      <c r="A1722" s="53" t="s">
        <v>411</v>
      </c>
      <c r="B1722" s="53" t="s">
        <v>2789</v>
      </c>
      <c r="D1722" s="53" t="s">
        <v>2903</v>
      </c>
      <c r="E1722" s="53" t="s">
        <v>2986</v>
      </c>
      <c r="F1722" s="53" t="s">
        <v>2882</v>
      </c>
      <c r="G1722" s="53" t="s">
        <v>509</v>
      </c>
      <c r="H1722" s="53">
        <v>1.0</v>
      </c>
      <c r="I1722" s="53">
        <v>0.20689655172413793</v>
      </c>
      <c r="J1722" s="53">
        <v>0.0</v>
      </c>
      <c r="K1722" s="53" t="s">
        <v>53</v>
      </c>
      <c r="L1722" s="53" t="s">
        <v>53</v>
      </c>
    </row>
    <row r="1723" ht="15.75" customHeight="1">
      <c r="A1723" s="53" t="s">
        <v>411</v>
      </c>
      <c r="B1723" s="53" t="s">
        <v>2789</v>
      </c>
      <c r="D1723" s="53" t="s">
        <v>2903</v>
      </c>
      <c r="E1723" s="53" t="s">
        <v>2987</v>
      </c>
      <c r="F1723" s="53" t="s">
        <v>2882</v>
      </c>
      <c r="G1723" s="53" t="s">
        <v>2950</v>
      </c>
      <c r="H1723" s="53">
        <v>1.0</v>
      </c>
      <c r="I1723" s="53">
        <v>0.2155688622754491</v>
      </c>
      <c r="J1723" s="53">
        <v>18.0</v>
      </c>
      <c r="K1723" s="53" t="s">
        <v>53</v>
      </c>
      <c r="L1723" s="53" t="s">
        <v>53</v>
      </c>
    </row>
    <row r="1724" ht="15.75" customHeight="1">
      <c r="A1724" s="53" t="s">
        <v>411</v>
      </c>
      <c r="B1724" s="53" t="s">
        <v>2789</v>
      </c>
      <c r="D1724" s="53" t="s">
        <v>2903</v>
      </c>
      <c r="E1724" s="53" t="s">
        <v>2988</v>
      </c>
      <c r="F1724" s="53" t="s">
        <v>2882</v>
      </c>
      <c r="G1724" s="53" t="s">
        <v>2942</v>
      </c>
      <c r="H1724" s="53">
        <v>1.0</v>
      </c>
      <c r="I1724" s="53">
        <v>0.22297297297297297</v>
      </c>
      <c r="J1724" s="53">
        <v>38.0</v>
      </c>
      <c r="K1724" s="53" t="s">
        <v>53</v>
      </c>
      <c r="L1724" s="53" t="s">
        <v>53</v>
      </c>
    </row>
    <row r="1725" ht="15.75" customHeight="1">
      <c r="A1725" s="53" t="s">
        <v>411</v>
      </c>
      <c r="B1725" s="53" t="s">
        <v>2789</v>
      </c>
      <c r="D1725" s="53" t="s">
        <v>2903</v>
      </c>
      <c r="E1725" s="53" t="s">
        <v>2989</v>
      </c>
      <c r="F1725" s="53" t="s">
        <v>2882</v>
      </c>
      <c r="G1725" s="53" t="s">
        <v>2946</v>
      </c>
      <c r="H1725" s="53">
        <v>1.0</v>
      </c>
      <c r="I1725" s="53">
        <v>0.2254335260115607</v>
      </c>
      <c r="J1725" s="53">
        <v>4.0</v>
      </c>
      <c r="K1725" s="53" t="s">
        <v>53</v>
      </c>
      <c r="L1725" s="53" t="s">
        <v>53</v>
      </c>
    </row>
    <row r="1726" ht="15.75" customHeight="1">
      <c r="A1726" s="53" t="s">
        <v>411</v>
      </c>
      <c r="B1726" s="53" t="s">
        <v>2789</v>
      </c>
      <c r="D1726" s="53" t="s">
        <v>2903</v>
      </c>
      <c r="E1726" s="53" t="s">
        <v>2990</v>
      </c>
      <c r="F1726" s="53" t="s">
        <v>2882</v>
      </c>
      <c r="G1726" s="53" t="s">
        <v>2948</v>
      </c>
      <c r="H1726" s="53">
        <v>1.0</v>
      </c>
      <c r="I1726" s="53">
        <v>0.23333333333333334</v>
      </c>
      <c r="J1726" s="53">
        <v>36.0</v>
      </c>
      <c r="K1726" s="53" t="s">
        <v>53</v>
      </c>
      <c r="L1726" s="53" t="s">
        <v>53</v>
      </c>
    </row>
    <row r="1727" ht="15.75" customHeight="1">
      <c r="A1727" s="53" t="s">
        <v>411</v>
      </c>
      <c r="B1727" s="53" t="s">
        <v>2789</v>
      </c>
      <c r="D1727" s="53" t="s">
        <v>2903</v>
      </c>
      <c r="E1727" s="53" t="s">
        <v>2991</v>
      </c>
      <c r="F1727" s="53" t="s">
        <v>2882</v>
      </c>
      <c r="G1727" s="53" t="s">
        <v>2944</v>
      </c>
      <c r="H1727" s="53">
        <v>1.0</v>
      </c>
      <c r="I1727" s="53">
        <v>0.23668639053254437</v>
      </c>
      <c r="J1727" s="53">
        <v>21.0</v>
      </c>
      <c r="K1727" s="53" t="s">
        <v>53</v>
      </c>
      <c r="L1727" s="53" t="s">
        <v>53</v>
      </c>
    </row>
    <row r="1728" ht="15.75" customHeight="1">
      <c r="A1728" s="53" t="s">
        <v>411</v>
      </c>
      <c r="B1728" s="53" t="s">
        <v>2789</v>
      </c>
      <c r="D1728" s="53" t="s">
        <v>2903</v>
      </c>
      <c r="E1728" s="53" t="s">
        <v>2992</v>
      </c>
      <c r="F1728" s="53" t="s">
        <v>2882</v>
      </c>
      <c r="G1728" s="53" t="s">
        <v>2954</v>
      </c>
      <c r="H1728" s="53">
        <v>1.0</v>
      </c>
      <c r="I1728" s="53">
        <v>0.24666666666666667</v>
      </c>
      <c r="J1728" s="53">
        <v>15.0</v>
      </c>
      <c r="K1728" s="53" t="s">
        <v>53</v>
      </c>
      <c r="L1728" s="53" t="s">
        <v>53</v>
      </c>
    </row>
    <row r="1729" ht="15.75" customHeight="1">
      <c r="A1729" s="53" t="s">
        <v>411</v>
      </c>
      <c r="B1729" s="53" t="s">
        <v>2789</v>
      </c>
      <c r="D1729" s="53" t="s">
        <v>2903</v>
      </c>
      <c r="E1729" s="53" t="s">
        <v>2993</v>
      </c>
      <c r="F1729" s="53" t="s">
        <v>2882</v>
      </c>
      <c r="G1729" s="53" t="s">
        <v>485</v>
      </c>
      <c r="H1729" s="53">
        <v>1.0</v>
      </c>
      <c r="I1729" s="53">
        <v>0.25</v>
      </c>
      <c r="J1729" s="53">
        <v>33.0</v>
      </c>
      <c r="K1729" s="53" t="s">
        <v>53</v>
      </c>
      <c r="L1729" s="53" t="s">
        <v>53</v>
      </c>
    </row>
    <row r="1730" ht="15.75" customHeight="1">
      <c r="A1730" s="53" t="s">
        <v>411</v>
      </c>
      <c r="B1730" s="53" t="s">
        <v>2789</v>
      </c>
      <c r="D1730" s="53" t="s">
        <v>2903</v>
      </c>
      <c r="E1730" s="53" t="s">
        <v>2994</v>
      </c>
      <c r="F1730" s="53" t="s">
        <v>2882</v>
      </c>
      <c r="G1730" s="53" t="s">
        <v>474</v>
      </c>
      <c r="H1730" s="53">
        <v>1.0</v>
      </c>
      <c r="I1730" s="53">
        <v>0.2597402597402597</v>
      </c>
      <c r="J1730" s="53">
        <v>34.0</v>
      </c>
      <c r="K1730" s="53" t="s">
        <v>53</v>
      </c>
      <c r="L1730" s="53" t="s">
        <v>53</v>
      </c>
    </row>
    <row r="1731" ht="15.75" customHeight="1">
      <c r="A1731" s="53" t="s">
        <v>411</v>
      </c>
      <c r="B1731" s="53" t="s">
        <v>2789</v>
      </c>
      <c r="D1731" s="53" t="s">
        <v>2903</v>
      </c>
      <c r="E1731" s="53" t="s">
        <v>2995</v>
      </c>
      <c r="F1731" s="53" t="s">
        <v>2882</v>
      </c>
      <c r="G1731" s="53" t="s">
        <v>495</v>
      </c>
      <c r="H1731" s="53">
        <v>1.0</v>
      </c>
      <c r="I1731" s="53">
        <v>0.2602739726027397</v>
      </c>
      <c r="J1731" s="53">
        <v>35.0</v>
      </c>
      <c r="K1731" s="53" t="s">
        <v>53</v>
      </c>
      <c r="L1731" s="53" t="s">
        <v>53</v>
      </c>
    </row>
    <row r="1732" ht="15.75" customHeight="1">
      <c r="A1732" s="53" t="s">
        <v>411</v>
      </c>
      <c r="B1732" s="53" t="s">
        <v>2789</v>
      </c>
      <c r="D1732" s="53" t="s">
        <v>2903</v>
      </c>
      <c r="E1732" s="53" t="s">
        <v>2996</v>
      </c>
      <c r="F1732" s="53" t="s">
        <v>2882</v>
      </c>
      <c r="G1732" s="53" t="s">
        <v>2957</v>
      </c>
      <c r="H1732" s="53">
        <v>1.0</v>
      </c>
      <c r="I1732" s="53">
        <v>0.2658959537572254</v>
      </c>
      <c r="J1732" s="53">
        <v>20.0</v>
      </c>
      <c r="K1732" s="53" t="s">
        <v>53</v>
      </c>
      <c r="L1732" s="53" t="s">
        <v>53</v>
      </c>
    </row>
    <row r="1733" ht="15.75" customHeight="1">
      <c r="A1733" s="53" t="s">
        <v>411</v>
      </c>
      <c r="B1733" s="53" t="s">
        <v>2789</v>
      </c>
      <c r="D1733" s="53" t="s">
        <v>509</v>
      </c>
      <c r="E1733" s="53" t="s">
        <v>2997</v>
      </c>
      <c r="F1733" s="53" t="s">
        <v>2882</v>
      </c>
      <c r="G1733" s="53" t="s">
        <v>2940</v>
      </c>
      <c r="H1733" s="53">
        <v>1.0</v>
      </c>
      <c r="I1733" s="53">
        <v>0.15172413793103448</v>
      </c>
      <c r="J1733" s="53">
        <v>16.0</v>
      </c>
      <c r="K1733" s="53" t="s">
        <v>53</v>
      </c>
      <c r="L1733" s="53" t="s">
        <v>53</v>
      </c>
    </row>
    <row r="1734" ht="15.75" customHeight="1">
      <c r="A1734" s="53" t="s">
        <v>411</v>
      </c>
      <c r="B1734" s="53" t="s">
        <v>2789</v>
      </c>
      <c r="D1734" s="53" t="s">
        <v>509</v>
      </c>
      <c r="E1734" s="53" t="s">
        <v>2998</v>
      </c>
      <c r="F1734" s="53" t="s">
        <v>2882</v>
      </c>
      <c r="G1734" s="53" t="s">
        <v>2942</v>
      </c>
      <c r="H1734" s="53">
        <v>1.0</v>
      </c>
      <c r="I1734" s="53">
        <v>0.1554054054054054</v>
      </c>
      <c r="J1734" s="53">
        <v>37.0</v>
      </c>
      <c r="K1734" s="53" t="s">
        <v>53</v>
      </c>
      <c r="L1734" s="53" t="s">
        <v>53</v>
      </c>
    </row>
    <row r="1735" ht="15.75" customHeight="1">
      <c r="A1735" s="53" t="s">
        <v>411</v>
      </c>
      <c r="B1735" s="53" t="s">
        <v>2789</v>
      </c>
      <c r="D1735" s="53" t="s">
        <v>509</v>
      </c>
      <c r="E1735" s="53" t="s">
        <v>2999</v>
      </c>
      <c r="F1735" s="53" t="s">
        <v>2882</v>
      </c>
      <c r="G1735" s="53" t="s">
        <v>2948</v>
      </c>
      <c r="H1735" s="53">
        <v>1.0</v>
      </c>
      <c r="I1735" s="53">
        <v>0.17333333333333334</v>
      </c>
      <c r="J1735" s="53">
        <v>35.0</v>
      </c>
      <c r="K1735" s="53" t="s">
        <v>53</v>
      </c>
      <c r="L1735" s="53" t="s">
        <v>53</v>
      </c>
    </row>
    <row r="1736" ht="15.75" customHeight="1">
      <c r="A1736" s="53" t="s">
        <v>411</v>
      </c>
      <c r="B1736" s="53" t="s">
        <v>2789</v>
      </c>
      <c r="D1736" s="53" t="s">
        <v>509</v>
      </c>
      <c r="E1736" s="53" t="s">
        <v>3000</v>
      </c>
      <c r="F1736" s="53" t="s">
        <v>2882</v>
      </c>
      <c r="G1736" s="53" t="s">
        <v>474</v>
      </c>
      <c r="H1736" s="53">
        <v>1.0</v>
      </c>
      <c r="I1736" s="53">
        <v>0.17532467532467533</v>
      </c>
      <c r="J1736" s="53">
        <v>33.0</v>
      </c>
      <c r="K1736" s="53" t="s">
        <v>53</v>
      </c>
      <c r="L1736" s="53" t="s">
        <v>53</v>
      </c>
    </row>
    <row r="1737" ht="15.75" customHeight="1">
      <c r="A1737" s="53" t="s">
        <v>411</v>
      </c>
      <c r="B1737" s="53" t="s">
        <v>2789</v>
      </c>
      <c r="D1737" s="53" t="s">
        <v>509</v>
      </c>
      <c r="E1737" s="53" t="s">
        <v>3001</v>
      </c>
      <c r="F1737" s="53" t="s">
        <v>2882</v>
      </c>
      <c r="G1737" s="53" t="s">
        <v>485</v>
      </c>
      <c r="H1737" s="53">
        <v>1.0</v>
      </c>
      <c r="I1737" s="53">
        <v>0.17763157894736842</v>
      </c>
      <c r="J1737" s="53">
        <v>32.0</v>
      </c>
      <c r="K1737" s="53" t="s">
        <v>53</v>
      </c>
      <c r="L1737" s="53" t="s">
        <v>53</v>
      </c>
    </row>
    <row r="1738" ht="15.75" customHeight="1">
      <c r="A1738" s="53" t="s">
        <v>411</v>
      </c>
      <c r="B1738" s="53" t="s">
        <v>2789</v>
      </c>
      <c r="D1738" s="53" t="s">
        <v>509</v>
      </c>
      <c r="E1738" s="53" t="s">
        <v>3002</v>
      </c>
      <c r="F1738" s="53" t="s">
        <v>2882</v>
      </c>
      <c r="G1738" s="53" t="s">
        <v>2954</v>
      </c>
      <c r="H1738" s="53">
        <v>1.0</v>
      </c>
      <c r="I1738" s="53">
        <v>0.18</v>
      </c>
      <c r="J1738" s="53">
        <v>14.0</v>
      </c>
      <c r="K1738" s="53" t="s">
        <v>53</v>
      </c>
      <c r="L1738" s="53" t="s">
        <v>53</v>
      </c>
    </row>
    <row r="1739" ht="15.75" customHeight="1">
      <c r="A1739" s="53" t="s">
        <v>411</v>
      </c>
      <c r="B1739" s="53" t="s">
        <v>2789</v>
      </c>
      <c r="D1739" s="53" t="s">
        <v>509</v>
      </c>
      <c r="E1739" s="53" t="s">
        <v>3003</v>
      </c>
      <c r="F1739" s="53" t="s">
        <v>2882</v>
      </c>
      <c r="G1739" s="53" t="s">
        <v>2897</v>
      </c>
      <c r="H1739" s="53">
        <v>1.0</v>
      </c>
      <c r="I1739" s="53">
        <v>0.18620689655172415</v>
      </c>
      <c r="J1739" s="53">
        <v>5.0</v>
      </c>
      <c r="K1739" s="53" t="s">
        <v>53</v>
      </c>
      <c r="L1739" s="53" t="s">
        <v>53</v>
      </c>
    </row>
    <row r="1740" ht="15.75" customHeight="1">
      <c r="A1740" s="53" t="s">
        <v>411</v>
      </c>
      <c r="B1740" s="53" t="s">
        <v>2789</v>
      </c>
      <c r="D1740" s="53" t="s">
        <v>509</v>
      </c>
      <c r="E1740" s="53" t="s">
        <v>3004</v>
      </c>
      <c r="F1740" s="53" t="s">
        <v>2882</v>
      </c>
      <c r="G1740" s="53" t="s">
        <v>2891</v>
      </c>
      <c r="H1740" s="53">
        <v>1.0</v>
      </c>
      <c r="I1740" s="53">
        <v>0.1917808219178082</v>
      </c>
      <c r="J1740" s="53">
        <v>6.0</v>
      </c>
      <c r="K1740" s="53" t="s">
        <v>53</v>
      </c>
      <c r="L1740" s="53" t="s">
        <v>53</v>
      </c>
    </row>
    <row r="1741" ht="15.75" customHeight="1">
      <c r="A1741" s="53" t="s">
        <v>411</v>
      </c>
      <c r="B1741" s="53" t="s">
        <v>2789</v>
      </c>
      <c r="D1741" s="53" t="s">
        <v>509</v>
      </c>
      <c r="E1741" s="53" t="s">
        <v>3005</v>
      </c>
      <c r="F1741" s="53" t="s">
        <v>2882</v>
      </c>
      <c r="G1741" s="53" t="s">
        <v>2883</v>
      </c>
      <c r="H1741" s="53">
        <v>1.0</v>
      </c>
      <c r="I1741" s="53">
        <v>0.19310344827586207</v>
      </c>
      <c r="J1741" s="53">
        <v>2.0</v>
      </c>
      <c r="K1741" s="53" t="s">
        <v>53</v>
      </c>
      <c r="L1741" s="53" t="s">
        <v>53</v>
      </c>
    </row>
    <row r="1742" ht="15.75" customHeight="1">
      <c r="A1742" s="53" t="s">
        <v>411</v>
      </c>
      <c r="B1742" s="53" t="s">
        <v>2789</v>
      </c>
      <c r="D1742" s="53" t="s">
        <v>509</v>
      </c>
      <c r="E1742" s="53" t="s">
        <v>3006</v>
      </c>
      <c r="F1742" s="53" t="s">
        <v>2882</v>
      </c>
      <c r="G1742" s="53" t="s">
        <v>2937</v>
      </c>
      <c r="H1742" s="53">
        <v>1.0</v>
      </c>
      <c r="I1742" s="53">
        <v>0.19310344827586207</v>
      </c>
      <c r="J1742" s="53">
        <v>36.0</v>
      </c>
      <c r="K1742" s="53" t="s">
        <v>53</v>
      </c>
      <c r="L1742" s="53" t="s">
        <v>53</v>
      </c>
    </row>
    <row r="1743" ht="15.75" customHeight="1">
      <c r="A1743" s="53" t="s">
        <v>411</v>
      </c>
      <c r="B1743" s="53" t="s">
        <v>2789</v>
      </c>
      <c r="D1743" s="53" t="s">
        <v>509</v>
      </c>
      <c r="E1743" s="53" t="s">
        <v>3007</v>
      </c>
      <c r="F1743" s="53" t="s">
        <v>2882</v>
      </c>
      <c r="G1743" s="53" t="s">
        <v>2885</v>
      </c>
      <c r="H1743" s="53">
        <v>1.0</v>
      </c>
      <c r="I1743" s="53">
        <v>0.19310344827586207</v>
      </c>
      <c r="J1743" s="53">
        <v>1.0</v>
      </c>
      <c r="K1743" s="53" t="s">
        <v>53</v>
      </c>
      <c r="L1743" s="53" t="s">
        <v>53</v>
      </c>
    </row>
    <row r="1744" ht="15.75" customHeight="1">
      <c r="A1744" s="53" t="s">
        <v>411</v>
      </c>
      <c r="B1744" s="53" t="s">
        <v>2789</v>
      </c>
      <c r="D1744" s="53" t="s">
        <v>509</v>
      </c>
      <c r="E1744" s="53" t="s">
        <v>3008</v>
      </c>
      <c r="F1744" s="53" t="s">
        <v>2882</v>
      </c>
      <c r="G1744" s="53" t="s">
        <v>2887</v>
      </c>
      <c r="H1744" s="53">
        <v>1.0</v>
      </c>
      <c r="I1744" s="53">
        <v>0.19310344827586207</v>
      </c>
      <c r="J1744" s="53">
        <v>7.0</v>
      </c>
      <c r="K1744" s="53" t="s">
        <v>53</v>
      </c>
      <c r="L1744" s="53" t="s">
        <v>53</v>
      </c>
    </row>
    <row r="1745" ht="15.75" customHeight="1">
      <c r="A1745" s="53" t="s">
        <v>411</v>
      </c>
      <c r="B1745" s="53" t="s">
        <v>2789</v>
      </c>
      <c r="D1745" s="53" t="s">
        <v>509</v>
      </c>
      <c r="E1745" s="53" t="s">
        <v>3009</v>
      </c>
      <c r="F1745" s="53" t="s">
        <v>2882</v>
      </c>
      <c r="G1745" s="53" t="s">
        <v>2889</v>
      </c>
      <c r="H1745" s="53">
        <v>1.0</v>
      </c>
      <c r="I1745" s="53">
        <v>0.19310344827586207</v>
      </c>
      <c r="J1745" s="53">
        <v>10.0</v>
      </c>
      <c r="K1745" s="53" t="s">
        <v>53</v>
      </c>
      <c r="L1745" s="53" t="s">
        <v>53</v>
      </c>
    </row>
    <row r="1746" ht="15.75" customHeight="1">
      <c r="A1746" s="53" t="s">
        <v>411</v>
      </c>
      <c r="B1746" s="53" t="s">
        <v>2789</v>
      </c>
      <c r="D1746" s="53" t="s">
        <v>509</v>
      </c>
      <c r="E1746" s="53" t="s">
        <v>3010</v>
      </c>
      <c r="F1746" s="53" t="s">
        <v>2882</v>
      </c>
      <c r="G1746" s="53" t="s">
        <v>2915</v>
      </c>
      <c r="H1746" s="53">
        <v>1.0</v>
      </c>
      <c r="I1746" s="53">
        <v>0.19607843137254902</v>
      </c>
      <c r="J1746" s="53">
        <v>22.0</v>
      </c>
      <c r="K1746" s="53" t="s">
        <v>53</v>
      </c>
      <c r="L1746" s="53" t="s">
        <v>53</v>
      </c>
    </row>
    <row r="1747" ht="15.75" customHeight="1">
      <c r="A1747" s="53" t="s">
        <v>411</v>
      </c>
      <c r="B1747" s="53" t="s">
        <v>2789</v>
      </c>
      <c r="D1747" s="53" t="s">
        <v>509</v>
      </c>
      <c r="E1747" s="53" t="s">
        <v>3011</v>
      </c>
      <c r="F1747" s="53" t="s">
        <v>2882</v>
      </c>
      <c r="G1747" s="53" t="s">
        <v>495</v>
      </c>
      <c r="H1747" s="53">
        <v>1.0</v>
      </c>
      <c r="I1747" s="53">
        <v>0.19863013698630136</v>
      </c>
      <c r="J1747" s="53">
        <v>34.0</v>
      </c>
      <c r="K1747" s="53" t="s">
        <v>53</v>
      </c>
      <c r="L1747" s="53" t="s">
        <v>53</v>
      </c>
    </row>
    <row r="1748" ht="15.75" customHeight="1">
      <c r="A1748" s="53" t="s">
        <v>411</v>
      </c>
      <c r="B1748" s="53" t="s">
        <v>2789</v>
      </c>
      <c r="D1748" s="53" t="s">
        <v>509</v>
      </c>
      <c r="E1748" s="53" t="s">
        <v>3012</v>
      </c>
      <c r="F1748" s="53" t="s">
        <v>2882</v>
      </c>
      <c r="G1748" s="53" t="s">
        <v>2893</v>
      </c>
      <c r="H1748" s="53">
        <v>1.0</v>
      </c>
      <c r="I1748" s="53">
        <v>0.19863013698630136</v>
      </c>
      <c r="J1748" s="53">
        <v>4.0</v>
      </c>
      <c r="K1748" s="53" t="s">
        <v>53</v>
      </c>
      <c r="L1748" s="53" t="s">
        <v>53</v>
      </c>
    </row>
    <row r="1749" ht="15.75" customHeight="1">
      <c r="A1749" s="53" t="s">
        <v>411</v>
      </c>
      <c r="B1749" s="53" t="s">
        <v>2789</v>
      </c>
      <c r="D1749" s="53" t="s">
        <v>509</v>
      </c>
      <c r="E1749" s="53" t="s">
        <v>3013</v>
      </c>
      <c r="F1749" s="53" t="s">
        <v>2882</v>
      </c>
      <c r="G1749" s="53" t="s">
        <v>2895</v>
      </c>
      <c r="H1749" s="53">
        <v>1.0</v>
      </c>
      <c r="I1749" s="53">
        <v>0.2</v>
      </c>
      <c r="J1749" s="53">
        <v>8.0</v>
      </c>
      <c r="K1749" s="53" t="s">
        <v>53</v>
      </c>
      <c r="L1749" s="53" t="s">
        <v>53</v>
      </c>
    </row>
    <row r="1750" ht="15.75" customHeight="1">
      <c r="A1750" s="53" t="s">
        <v>411</v>
      </c>
      <c r="B1750" s="53" t="s">
        <v>2789</v>
      </c>
      <c r="D1750" s="53" t="s">
        <v>509</v>
      </c>
      <c r="E1750" s="53" t="s">
        <v>3014</v>
      </c>
      <c r="F1750" s="53" t="s">
        <v>2882</v>
      </c>
      <c r="G1750" s="53" t="s">
        <v>2911</v>
      </c>
      <c r="H1750" s="53">
        <v>1.0</v>
      </c>
      <c r="I1750" s="53">
        <v>0.2</v>
      </c>
      <c r="J1750" s="53">
        <v>13.0</v>
      </c>
      <c r="K1750" s="53" t="s">
        <v>53</v>
      </c>
      <c r="L1750" s="53" t="s">
        <v>53</v>
      </c>
    </row>
    <row r="1751" ht="15.75" customHeight="1">
      <c r="A1751" s="53" t="s">
        <v>411</v>
      </c>
      <c r="B1751" s="53" t="s">
        <v>2789</v>
      </c>
      <c r="D1751" s="53" t="s">
        <v>509</v>
      </c>
      <c r="E1751" s="53" t="s">
        <v>3015</v>
      </c>
      <c r="F1751" s="53" t="s">
        <v>2882</v>
      </c>
      <c r="G1751" s="53" t="s">
        <v>2905</v>
      </c>
      <c r="H1751" s="53">
        <v>1.0</v>
      </c>
      <c r="I1751" s="53">
        <v>0.2</v>
      </c>
      <c r="J1751" s="53">
        <v>15.0</v>
      </c>
      <c r="K1751" s="53" t="s">
        <v>53</v>
      </c>
      <c r="L1751" s="53" t="s">
        <v>53</v>
      </c>
    </row>
    <row r="1752" ht="15.75" customHeight="1">
      <c r="A1752" s="53" t="s">
        <v>411</v>
      </c>
      <c r="B1752" s="53" t="s">
        <v>2789</v>
      </c>
      <c r="D1752" s="53" t="s">
        <v>509</v>
      </c>
      <c r="E1752" s="53" t="s">
        <v>3016</v>
      </c>
      <c r="F1752" s="53" t="s">
        <v>2882</v>
      </c>
      <c r="G1752" s="53" t="s">
        <v>2901</v>
      </c>
      <c r="H1752" s="53">
        <v>1.0</v>
      </c>
      <c r="I1752" s="53">
        <v>0.2</v>
      </c>
      <c r="J1752" s="53">
        <v>9.0</v>
      </c>
      <c r="K1752" s="53" t="s">
        <v>53</v>
      </c>
      <c r="L1752" s="53" t="s">
        <v>53</v>
      </c>
    </row>
    <row r="1753" ht="15.75" customHeight="1">
      <c r="A1753" s="53" t="s">
        <v>411</v>
      </c>
      <c r="B1753" s="53" t="s">
        <v>2789</v>
      </c>
      <c r="D1753" s="53" t="s">
        <v>509</v>
      </c>
      <c r="E1753" s="53" t="s">
        <v>3017</v>
      </c>
      <c r="F1753" s="53" t="s">
        <v>2882</v>
      </c>
      <c r="G1753" s="53" t="s">
        <v>2913</v>
      </c>
      <c r="H1753" s="53">
        <v>1.0</v>
      </c>
      <c r="I1753" s="53">
        <v>0.20666666666666667</v>
      </c>
      <c r="J1753" s="53">
        <v>11.0</v>
      </c>
      <c r="K1753" s="53" t="s">
        <v>53</v>
      </c>
      <c r="L1753" s="53" t="s">
        <v>53</v>
      </c>
    </row>
    <row r="1754" ht="15.75" customHeight="1">
      <c r="A1754" s="53" t="s">
        <v>411</v>
      </c>
      <c r="B1754" s="53" t="s">
        <v>2789</v>
      </c>
      <c r="D1754" s="53" t="s">
        <v>509</v>
      </c>
      <c r="E1754" s="53" t="s">
        <v>3018</v>
      </c>
      <c r="F1754" s="53" t="s">
        <v>2882</v>
      </c>
      <c r="G1754" s="53" t="s">
        <v>2899</v>
      </c>
      <c r="H1754" s="53">
        <v>1.0</v>
      </c>
      <c r="I1754" s="53">
        <v>0.20689655172413793</v>
      </c>
      <c r="J1754" s="53">
        <v>12.0</v>
      </c>
      <c r="K1754" s="53" t="s">
        <v>53</v>
      </c>
      <c r="L1754" s="53" t="s">
        <v>53</v>
      </c>
    </row>
    <row r="1755" ht="15.75" customHeight="1">
      <c r="A1755" s="53" t="s">
        <v>411</v>
      </c>
      <c r="B1755" s="53" t="s">
        <v>2789</v>
      </c>
      <c r="D1755" s="53" t="s">
        <v>509</v>
      </c>
      <c r="E1755" s="53" t="s">
        <v>3019</v>
      </c>
      <c r="F1755" s="53" t="s">
        <v>2882</v>
      </c>
      <c r="G1755" s="53" t="s">
        <v>2907</v>
      </c>
      <c r="H1755" s="53">
        <v>1.0</v>
      </c>
      <c r="I1755" s="53">
        <v>0.2108843537414966</v>
      </c>
      <c r="J1755" s="53">
        <v>30.0</v>
      </c>
      <c r="K1755" s="53" t="s">
        <v>53</v>
      </c>
      <c r="L1755" s="53" t="s">
        <v>53</v>
      </c>
    </row>
    <row r="1756" ht="15.75" customHeight="1">
      <c r="A1756" s="53" t="s">
        <v>411</v>
      </c>
      <c r="B1756" s="53" t="s">
        <v>2789</v>
      </c>
      <c r="D1756" s="53" t="s">
        <v>509</v>
      </c>
      <c r="E1756" s="53" t="s">
        <v>3020</v>
      </c>
      <c r="F1756" s="53" t="s">
        <v>2882</v>
      </c>
      <c r="G1756" s="53" t="s">
        <v>2909</v>
      </c>
      <c r="H1756" s="53">
        <v>1.0</v>
      </c>
      <c r="I1756" s="53">
        <v>0.21476510067114093</v>
      </c>
      <c r="J1756" s="53">
        <v>0.0</v>
      </c>
      <c r="K1756" s="53" t="s">
        <v>53</v>
      </c>
      <c r="L1756" s="53" t="s">
        <v>53</v>
      </c>
    </row>
    <row r="1757" ht="15.75" customHeight="1">
      <c r="A1757" s="53" t="s">
        <v>411</v>
      </c>
      <c r="B1757" s="53" t="s">
        <v>2789</v>
      </c>
      <c r="D1757" s="53" t="s">
        <v>509</v>
      </c>
      <c r="E1757" s="53" t="s">
        <v>3021</v>
      </c>
      <c r="F1757" s="53" t="s">
        <v>2882</v>
      </c>
      <c r="G1757" s="53" t="s">
        <v>2917</v>
      </c>
      <c r="H1757" s="53">
        <v>1.0</v>
      </c>
      <c r="I1757" s="53">
        <v>0.2185430463576159</v>
      </c>
      <c r="J1757" s="53">
        <v>31.0</v>
      </c>
      <c r="K1757" s="53" t="s">
        <v>53</v>
      </c>
      <c r="L1757" s="53" t="s">
        <v>53</v>
      </c>
    </row>
    <row r="1758" ht="15.75" customHeight="1">
      <c r="A1758" s="53" t="s">
        <v>411</v>
      </c>
      <c r="B1758" s="53" t="s">
        <v>2789</v>
      </c>
      <c r="D1758" s="53" t="s">
        <v>509</v>
      </c>
      <c r="E1758" s="53" t="s">
        <v>3022</v>
      </c>
      <c r="F1758" s="53" t="s">
        <v>2882</v>
      </c>
      <c r="G1758" s="53" t="s">
        <v>2923</v>
      </c>
      <c r="H1758" s="53">
        <v>1.0</v>
      </c>
      <c r="I1758" s="53">
        <v>0.22435897435897437</v>
      </c>
      <c r="J1758" s="53">
        <v>23.0</v>
      </c>
      <c r="K1758" s="53" t="s">
        <v>53</v>
      </c>
      <c r="L1758" s="53" t="s">
        <v>53</v>
      </c>
    </row>
    <row r="1759" ht="15.75" customHeight="1">
      <c r="A1759" s="53" t="s">
        <v>411</v>
      </c>
      <c r="B1759" s="53" t="s">
        <v>2789</v>
      </c>
      <c r="D1759" s="53" t="s">
        <v>509</v>
      </c>
      <c r="E1759" s="53" t="s">
        <v>3023</v>
      </c>
      <c r="F1759" s="53" t="s">
        <v>2882</v>
      </c>
      <c r="G1759" s="53" t="s">
        <v>2950</v>
      </c>
      <c r="H1759" s="53">
        <v>1.0</v>
      </c>
      <c r="I1759" s="53">
        <v>0.2275449101796407</v>
      </c>
      <c r="J1759" s="53">
        <v>17.0</v>
      </c>
      <c r="K1759" s="53" t="s">
        <v>53</v>
      </c>
      <c r="L1759" s="53" t="s">
        <v>53</v>
      </c>
    </row>
    <row r="1760" ht="15.75" customHeight="1">
      <c r="A1760" s="53" t="s">
        <v>411</v>
      </c>
      <c r="B1760" s="53" t="s">
        <v>2789</v>
      </c>
      <c r="D1760" s="53" t="s">
        <v>509</v>
      </c>
      <c r="E1760" s="53" t="s">
        <v>3024</v>
      </c>
      <c r="F1760" s="53" t="s">
        <v>2882</v>
      </c>
      <c r="G1760" s="53" t="s">
        <v>2927</v>
      </c>
      <c r="H1760" s="53">
        <v>1.0</v>
      </c>
      <c r="I1760" s="53">
        <v>0.22929936305732485</v>
      </c>
      <c r="J1760" s="53">
        <v>26.0</v>
      </c>
      <c r="K1760" s="53" t="s">
        <v>53</v>
      </c>
      <c r="L1760" s="53" t="s">
        <v>53</v>
      </c>
    </row>
    <row r="1761" ht="15.75" customHeight="1">
      <c r="A1761" s="53" t="s">
        <v>411</v>
      </c>
      <c r="B1761" s="53" t="s">
        <v>2789</v>
      </c>
      <c r="D1761" s="53" t="s">
        <v>509</v>
      </c>
      <c r="E1761" s="53" t="s">
        <v>3025</v>
      </c>
      <c r="F1761" s="53" t="s">
        <v>2882</v>
      </c>
      <c r="G1761" s="53" t="s">
        <v>2925</v>
      </c>
      <c r="H1761" s="53">
        <v>1.0</v>
      </c>
      <c r="I1761" s="53">
        <v>0.23270440251572327</v>
      </c>
      <c r="J1761" s="53">
        <v>29.0</v>
      </c>
      <c r="K1761" s="53" t="s">
        <v>53</v>
      </c>
      <c r="L1761" s="53" t="s">
        <v>53</v>
      </c>
    </row>
    <row r="1762" ht="15.75" customHeight="1">
      <c r="A1762" s="53" t="s">
        <v>411</v>
      </c>
      <c r="B1762" s="53" t="s">
        <v>2789</v>
      </c>
      <c r="D1762" s="53" t="s">
        <v>509</v>
      </c>
      <c r="E1762" s="53" t="s">
        <v>3026</v>
      </c>
      <c r="F1762" s="53" t="s">
        <v>2882</v>
      </c>
      <c r="G1762" s="53" t="s">
        <v>2921</v>
      </c>
      <c r="H1762" s="53">
        <v>1.0</v>
      </c>
      <c r="I1762" s="53">
        <v>0.2356687898089172</v>
      </c>
      <c r="J1762" s="53">
        <v>25.0</v>
      </c>
      <c r="K1762" s="53" t="s">
        <v>53</v>
      </c>
      <c r="L1762" s="53" t="s">
        <v>53</v>
      </c>
    </row>
    <row r="1763" ht="15.75" customHeight="1">
      <c r="A1763" s="53" t="s">
        <v>411</v>
      </c>
      <c r="B1763" s="53" t="s">
        <v>2789</v>
      </c>
      <c r="D1763" s="53" t="s">
        <v>509</v>
      </c>
      <c r="E1763" s="53" t="s">
        <v>3027</v>
      </c>
      <c r="F1763" s="53" t="s">
        <v>2882</v>
      </c>
      <c r="G1763" s="53" t="s">
        <v>2931</v>
      </c>
      <c r="H1763" s="53">
        <v>1.0</v>
      </c>
      <c r="I1763" s="53">
        <v>0.2375</v>
      </c>
      <c r="J1763" s="53">
        <v>21.0</v>
      </c>
      <c r="K1763" s="53" t="s">
        <v>53</v>
      </c>
      <c r="L1763" s="53" t="s">
        <v>53</v>
      </c>
    </row>
    <row r="1764" ht="15.75" customHeight="1">
      <c r="A1764" s="53" t="s">
        <v>411</v>
      </c>
      <c r="B1764" s="53" t="s">
        <v>2789</v>
      </c>
      <c r="D1764" s="53" t="s">
        <v>509</v>
      </c>
      <c r="E1764" s="53" t="s">
        <v>3028</v>
      </c>
      <c r="F1764" s="53" t="s">
        <v>2882</v>
      </c>
      <c r="G1764" s="53" t="s">
        <v>2919</v>
      </c>
      <c r="H1764" s="53">
        <v>1.0</v>
      </c>
      <c r="I1764" s="53">
        <v>0.24528301886792453</v>
      </c>
      <c r="J1764" s="53">
        <v>24.0</v>
      </c>
      <c r="K1764" s="53" t="s">
        <v>53</v>
      </c>
      <c r="L1764" s="53" t="s">
        <v>53</v>
      </c>
    </row>
    <row r="1765" ht="15.75" customHeight="1">
      <c r="A1765" s="53" t="s">
        <v>411</v>
      </c>
      <c r="B1765" s="53" t="s">
        <v>2789</v>
      </c>
      <c r="D1765" s="53" t="s">
        <v>509</v>
      </c>
      <c r="E1765" s="53" t="s">
        <v>3029</v>
      </c>
      <c r="F1765" s="53" t="s">
        <v>2882</v>
      </c>
      <c r="G1765" s="53" t="s">
        <v>2935</v>
      </c>
      <c r="H1765" s="53">
        <v>1.0</v>
      </c>
      <c r="I1765" s="53">
        <v>0.24528301886792453</v>
      </c>
      <c r="J1765" s="53">
        <v>18.0</v>
      </c>
      <c r="K1765" s="53" t="s">
        <v>53</v>
      </c>
      <c r="L1765" s="53" t="s">
        <v>53</v>
      </c>
    </row>
    <row r="1766" ht="15.75" customHeight="1">
      <c r="A1766" s="53" t="s">
        <v>411</v>
      </c>
      <c r="B1766" s="53" t="s">
        <v>2789</v>
      </c>
      <c r="D1766" s="53" t="s">
        <v>509</v>
      </c>
      <c r="E1766" s="53" t="s">
        <v>3030</v>
      </c>
      <c r="F1766" s="53" t="s">
        <v>2882</v>
      </c>
      <c r="G1766" s="53" t="s">
        <v>2929</v>
      </c>
      <c r="H1766" s="53">
        <v>1.0</v>
      </c>
      <c r="I1766" s="53">
        <v>0.2484472049689441</v>
      </c>
      <c r="J1766" s="53">
        <v>27.0</v>
      </c>
      <c r="K1766" s="53" t="s">
        <v>53</v>
      </c>
      <c r="L1766" s="53" t="s">
        <v>53</v>
      </c>
    </row>
    <row r="1767" ht="15.75" customHeight="1">
      <c r="A1767" s="53" t="s">
        <v>411</v>
      </c>
      <c r="B1767" s="53" t="s">
        <v>2789</v>
      </c>
      <c r="D1767" s="53" t="s">
        <v>509</v>
      </c>
      <c r="E1767" s="53" t="s">
        <v>3031</v>
      </c>
      <c r="F1767" s="53" t="s">
        <v>2882</v>
      </c>
      <c r="G1767" s="53" t="s">
        <v>2957</v>
      </c>
      <c r="H1767" s="53">
        <v>1.0</v>
      </c>
      <c r="I1767" s="53">
        <v>0.2543352601156069</v>
      </c>
      <c r="J1767" s="53">
        <v>19.0</v>
      </c>
      <c r="K1767" s="53" t="s">
        <v>53</v>
      </c>
      <c r="L1767" s="53" t="s">
        <v>53</v>
      </c>
    </row>
    <row r="1768" ht="15.75" customHeight="1">
      <c r="A1768" s="53" t="s">
        <v>411</v>
      </c>
      <c r="B1768" s="53" t="s">
        <v>2789</v>
      </c>
      <c r="D1768" s="53" t="s">
        <v>509</v>
      </c>
      <c r="E1768" s="53" t="s">
        <v>3032</v>
      </c>
      <c r="F1768" s="53" t="s">
        <v>2882</v>
      </c>
      <c r="G1768" s="53" t="s">
        <v>2944</v>
      </c>
      <c r="H1768" s="53">
        <v>1.0</v>
      </c>
      <c r="I1768" s="53">
        <v>0.27218934911242604</v>
      </c>
      <c r="J1768" s="53">
        <v>20.0</v>
      </c>
      <c r="K1768" s="53" t="s">
        <v>53</v>
      </c>
      <c r="L1768" s="53" t="s">
        <v>53</v>
      </c>
    </row>
    <row r="1769" ht="15.75" customHeight="1">
      <c r="A1769" s="53" t="s">
        <v>411</v>
      </c>
      <c r="B1769" s="53" t="s">
        <v>2789</v>
      </c>
      <c r="D1769" s="53" t="s">
        <v>509</v>
      </c>
      <c r="E1769" s="53" t="s">
        <v>3033</v>
      </c>
      <c r="F1769" s="53" t="s">
        <v>2882</v>
      </c>
      <c r="G1769" s="53" t="s">
        <v>2933</v>
      </c>
      <c r="H1769" s="53">
        <v>1.0</v>
      </c>
      <c r="I1769" s="53">
        <v>0.27380952380952384</v>
      </c>
      <c r="J1769" s="53">
        <v>28.0</v>
      </c>
      <c r="K1769" s="53" t="s">
        <v>53</v>
      </c>
      <c r="L1769" s="53" t="s">
        <v>53</v>
      </c>
    </row>
    <row r="1770" ht="15.75" customHeight="1">
      <c r="A1770" s="53" t="s">
        <v>411</v>
      </c>
      <c r="B1770" s="53" t="s">
        <v>2789</v>
      </c>
      <c r="D1770" s="53" t="s">
        <v>509</v>
      </c>
      <c r="E1770" s="53" t="s">
        <v>3034</v>
      </c>
      <c r="F1770" s="53" t="s">
        <v>2882</v>
      </c>
      <c r="G1770" s="53" t="s">
        <v>2946</v>
      </c>
      <c r="H1770" s="53">
        <v>1.0</v>
      </c>
      <c r="I1770" s="53">
        <v>0.3063583815028902</v>
      </c>
      <c r="J1770" s="53">
        <v>3.0</v>
      </c>
      <c r="K1770" s="53" t="s">
        <v>53</v>
      </c>
      <c r="L1770" s="53" t="s">
        <v>53</v>
      </c>
    </row>
    <row r="1771" ht="15.75" customHeight="1">
      <c r="A1771" s="53" t="s">
        <v>411</v>
      </c>
      <c r="B1771" s="53" t="s">
        <v>2789</v>
      </c>
      <c r="D1771" s="53" t="s">
        <v>2909</v>
      </c>
      <c r="E1771" s="53" t="s">
        <v>3035</v>
      </c>
      <c r="F1771" s="53" t="s">
        <v>2882</v>
      </c>
      <c r="G1771" s="53" t="s">
        <v>2897</v>
      </c>
      <c r="H1771" s="53">
        <v>1.0</v>
      </c>
      <c r="I1771" s="53">
        <v>0.0738255033557047</v>
      </c>
      <c r="J1771" s="53">
        <v>4.0</v>
      </c>
      <c r="K1771" s="53" t="s">
        <v>53</v>
      </c>
      <c r="L1771" s="53" t="s">
        <v>53</v>
      </c>
    </row>
    <row r="1772" ht="15.75" customHeight="1">
      <c r="A1772" s="53" t="s">
        <v>411</v>
      </c>
      <c r="B1772" s="53" t="s">
        <v>2789</v>
      </c>
      <c r="D1772" s="53" t="s">
        <v>2909</v>
      </c>
      <c r="E1772" s="53" t="s">
        <v>3036</v>
      </c>
      <c r="F1772" s="53" t="s">
        <v>2882</v>
      </c>
      <c r="G1772" s="53" t="s">
        <v>2907</v>
      </c>
      <c r="H1772" s="53">
        <v>1.0</v>
      </c>
      <c r="I1772" s="53">
        <v>0.0738255033557047</v>
      </c>
      <c r="J1772" s="53">
        <v>29.0</v>
      </c>
      <c r="K1772" s="53" t="s">
        <v>53</v>
      </c>
      <c r="L1772" s="53" t="s">
        <v>53</v>
      </c>
    </row>
    <row r="1773" ht="15.75" customHeight="1">
      <c r="A1773" s="53" t="s">
        <v>411</v>
      </c>
      <c r="B1773" s="53" t="s">
        <v>2789</v>
      </c>
      <c r="D1773" s="53" t="s">
        <v>2909</v>
      </c>
      <c r="E1773" s="53" t="s">
        <v>3037</v>
      </c>
      <c r="F1773" s="53" t="s">
        <v>2882</v>
      </c>
      <c r="G1773" s="53" t="s">
        <v>2883</v>
      </c>
      <c r="H1773" s="53">
        <v>1.0</v>
      </c>
      <c r="I1773" s="53">
        <v>0.08053691275167785</v>
      </c>
      <c r="J1773" s="53">
        <v>1.0</v>
      </c>
      <c r="K1773" s="53" t="s">
        <v>53</v>
      </c>
      <c r="L1773" s="53" t="s">
        <v>53</v>
      </c>
    </row>
    <row r="1774" ht="15.75" customHeight="1">
      <c r="A1774" s="53" t="s">
        <v>411</v>
      </c>
      <c r="B1774" s="53" t="s">
        <v>2789</v>
      </c>
      <c r="D1774" s="53" t="s">
        <v>2909</v>
      </c>
      <c r="E1774" s="53" t="s">
        <v>3038</v>
      </c>
      <c r="F1774" s="53" t="s">
        <v>2882</v>
      </c>
      <c r="G1774" s="53" t="s">
        <v>2891</v>
      </c>
      <c r="H1774" s="53">
        <v>1.0</v>
      </c>
      <c r="I1774" s="53">
        <v>0.08053691275167785</v>
      </c>
      <c r="J1774" s="53">
        <v>5.0</v>
      </c>
      <c r="K1774" s="53" t="s">
        <v>53</v>
      </c>
      <c r="L1774" s="53" t="s">
        <v>53</v>
      </c>
    </row>
    <row r="1775" ht="15.75" customHeight="1">
      <c r="A1775" s="53" t="s">
        <v>411</v>
      </c>
      <c r="B1775" s="53" t="s">
        <v>2789</v>
      </c>
      <c r="D1775" s="53" t="s">
        <v>2909</v>
      </c>
      <c r="E1775" s="53" t="s">
        <v>3039</v>
      </c>
      <c r="F1775" s="53" t="s">
        <v>2882</v>
      </c>
      <c r="G1775" s="53" t="s">
        <v>2885</v>
      </c>
      <c r="H1775" s="53">
        <v>1.0</v>
      </c>
      <c r="I1775" s="53">
        <v>0.08053691275167785</v>
      </c>
      <c r="J1775" s="53">
        <v>0.0</v>
      </c>
      <c r="K1775" s="53" t="s">
        <v>53</v>
      </c>
      <c r="L1775" s="53" t="s">
        <v>53</v>
      </c>
    </row>
    <row r="1776" ht="15.75" customHeight="1">
      <c r="A1776" s="53" t="s">
        <v>411</v>
      </c>
      <c r="B1776" s="53" t="s">
        <v>2789</v>
      </c>
      <c r="D1776" s="53" t="s">
        <v>2909</v>
      </c>
      <c r="E1776" s="53" t="s">
        <v>3040</v>
      </c>
      <c r="F1776" s="53" t="s">
        <v>2882</v>
      </c>
      <c r="G1776" s="53" t="s">
        <v>2905</v>
      </c>
      <c r="H1776" s="53">
        <v>1.0</v>
      </c>
      <c r="I1776" s="53">
        <v>0.08053691275167785</v>
      </c>
      <c r="J1776" s="53">
        <v>14.0</v>
      </c>
      <c r="K1776" s="53" t="s">
        <v>53</v>
      </c>
      <c r="L1776" s="53" t="s">
        <v>53</v>
      </c>
    </row>
    <row r="1777" ht="15.75" customHeight="1">
      <c r="A1777" s="53" t="s">
        <v>411</v>
      </c>
      <c r="B1777" s="53" t="s">
        <v>2789</v>
      </c>
      <c r="D1777" s="53" t="s">
        <v>2909</v>
      </c>
      <c r="E1777" s="53" t="s">
        <v>3041</v>
      </c>
      <c r="F1777" s="53" t="s">
        <v>2882</v>
      </c>
      <c r="G1777" s="53" t="s">
        <v>2893</v>
      </c>
      <c r="H1777" s="53">
        <v>1.0</v>
      </c>
      <c r="I1777" s="53">
        <v>0.08053691275167785</v>
      </c>
      <c r="J1777" s="53">
        <v>3.0</v>
      </c>
      <c r="K1777" s="53" t="s">
        <v>53</v>
      </c>
      <c r="L1777" s="53" t="s">
        <v>53</v>
      </c>
    </row>
    <row r="1778" ht="15.75" customHeight="1">
      <c r="A1778" s="53" t="s">
        <v>411</v>
      </c>
      <c r="B1778" s="53" t="s">
        <v>2789</v>
      </c>
      <c r="D1778" s="53" t="s">
        <v>2909</v>
      </c>
      <c r="E1778" s="53" t="s">
        <v>3042</v>
      </c>
      <c r="F1778" s="53" t="s">
        <v>2882</v>
      </c>
      <c r="G1778" s="53" t="s">
        <v>2889</v>
      </c>
      <c r="H1778" s="53">
        <v>1.0</v>
      </c>
      <c r="I1778" s="53">
        <v>0.087248322147651</v>
      </c>
      <c r="J1778" s="53">
        <v>9.0</v>
      </c>
      <c r="K1778" s="53" t="s">
        <v>53</v>
      </c>
      <c r="L1778" s="53" t="s">
        <v>53</v>
      </c>
    </row>
    <row r="1779" ht="15.75" customHeight="1">
      <c r="A1779" s="53" t="s">
        <v>411</v>
      </c>
      <c r="B1779" s="53" t="s">
        <v>2789</v>
      </c>
      <c r="D1779" s="53" t="s">
        <v>2909</v>
      </c>
      <c r="E1779" s="53" t="s">
        <v>3043</v>
      </c>
      <c r="F1779" s="53" t="s">
        <v>2882</v>
      </c>
      <c r="G1779" s="53" t="s">
        <v>2899</v>
      </c>
      <c r="H1779" s="53">
        <v>1.0</v>
      </c>
      <c r="I1779" s="53">
        <v>0.09395973154362416</v>
      </c>
      <c r="J1779" s="53">
        <v>11.0</v>
      </c>
      <c r="K1779" s="53" t="s">
        <v>53</v>
      </c>
      <c r="L1779" s="53" t="s">
        <v>53</v>
      </c>
    </row>
    <row r="1780" ht="15.75" customHeight="1">
      <c r="A1780" s="53" t="s">
        <v>411</v>
      </c>
      <c r="B1780" s="53" t="s">
        <v>2789</v>
      </c>
      <c r="D1780" s="53" t="s">
        <v>2909</v>
      </c>
      <c r="E1780" s="53" t="s">
        <v>3044</v>
      </c>
      <c r="F1780" s="53" t="s">
        <v>2882</v>
      </c>
      <c r="G1780" s="53" t="s">
        <v>2901</v>
      </c>
      <c r="H1780" s="53">
        <v>1.0</v>
      </c>
      <c r="I1780" s="53">
        <v>0.09395973154362416</v>
      </c>
      <c r="J1780" s="53">
        <v>8.0</v>
      </c>
      <c r="K1780" s="53" t="s">
        <v>53</v>
      </c>
      <c r="L1780" s="53" t="s">
        <v>53</v>
      </c>
    </row>
    <row r="1781" ht="15.75" customHeight="1">
      <c r="A1781" s="53" t="s">
        <v>411</v>
      </c>
      <c r="B1781" s="53" t="s">
        <v>2789</v>
      </c>
      <c r="D1781" s="53" t="s">
        <v>2909</v>
      </c>
      <c r="E1781" s="53" t="s">
        <v>3045</v>
      </c>
      <c r="F1781" s="53" t="s">
        <v>2882</v>
      </c>
      <c r="G1781" s="53" t="s">
        <v>2887</v>
      </c>
      <c r="H1781" s="53">
        <v>1.0</v>
      </c>
      <c r="I1781" s="53">
        <v>0.09395973154362416</v>
      </c>
      <c r="J1781" s="53">
        <v>6.0</v>
      </c>
      <c r="K1781" s="53" t="s">
        <v>53</v>
      </c>
      <c r="L1781" s="53" t="s">
        <v>53</v>
      </c>
    </row>
    <row r="1782" ht="15.75" customHeight="1">
      <c r="A1782" s="53" t="s">
        <v>411</v>
      </c>
      <c r="B1782" s="53" t="s">
        <v>2789</v>
      </c>
      <c r="D1782" s="53" t="s">
        <v>2909</v>
      </c>
      <c r="E1782" s="53" t="s">
        <v>3046</v>
      </c>
      <c r="F1782" s="53" t="s">
        <v>2882</v>
      </c>
      <c r="G1782" s="53" t="s">
        <v>2895</v>
      </c>
      <c r="H1782" s="53">
        <v>1.0</v>
      </c>
      <c r="I1782" s="53">
        <v>0.10067114093959731</v>
      </c>
      <c r="J1782" s="53">
        <v>7.0</v>
      </c>
      <c r="K1782" s="53" t="s">
        <v>53</v>
      </c>
      <c r="L1782" s="53" t="s">
        <v>53</v>
      </c>
    </row>
    <row r="1783" ht="15.75" customHeight="1">
      <c r="A1783" s="53" t="s">
        <v>411</v>
      </c>
      <c r="B1783" s="53" t="s">
        <v>2789</v>
      </c>
      <c r="D1783" s="53" t="s">
        <v>2909</v>
      </c>
      <c r="E1783" s="53" t="s">
        <v>3047</v>
      </c>
      <c r="F1783" s="53" t="s">
        <v>2882</v>
      </c>
      <c r="G1783" s="53" t="s">
        <v>2917</v>
      </c>
      <c r="H1783" s="53">
        <v>1.0</v>
      </c>
      <c r="I1783" s="53">
        <v>0.10596026490066225</v>
      </c>
      <c r="J1783" s="53">
        <v>30.0</v>
      </c>
      <c r="K1783" s="53" t="s">
        <v>53</v>
      </c>
      <c r="L1783" s="53" t="s">
        <v>53</v>
      </c>
    </row>
    <row r="1784" ht="15.75" customHeight="1">
      <c r="A1784" s="53" t="s">
        <v>411</v>
      </c>
      <c r="B1784" s="53" t="s">
        <v>2789</v>
      </c>
      <c r="D1784" s="53" t="s">
        <v>2909</v>
      </c>
      <c r="E1784" s="53" t="s">
        <v>3048</v>
      </c>
      <c r="F1784" s="53" t="s">
        <v>2882</v>
      </c>
      <c r="G1784" s="53" t="s">
        <v>2911</v>
      </c>
      <c r="H1784" s="53">
        <v>1.0</v>
      </c>
      <c r="I1784" s="53">
        <v>0.10666666666666667</v>
      </c>
      <c r="J1784" s="53">
        <v>12.0</v>
      </c>
      <c r="K1784" s="53" t="s">
        <v>53</v>
      </c>
      <c r="L1784" s="53" t="s">
        <v>53</v>
      </c>
    </row>
    <row r="1785" ht="15.75" customHeight="1">
      <c r="A1785" s="53" t="s">
        <v>411</v>
      </c>
      <c r="B1785" s="53" t="s">
        <v>2789</v>
      </c>
      <c r="D1785" s="53" t="s">
        <v>2909</v>
      </c>
      <c r="E1785" s="53" t="s">
        <v>3049</v>
      </c>
      <c r="F1785" s="53" t="s">
        <v>2882</v>
      </c>
      <c r="G1785" s="53" t="s">
        <v>2913</v>
      </c>
      <c r="H1785" s="53">
        <v>1.0</v>
      </c>
      <c r="I1785" s="53">
        <v>0.10666666666666667</v>
      </c>
      <c r="J1785" s="53">
        <v>10.0</v>
      </c>
      <c r="K1785" s="53" t="s">
        <v>53</v>
      </c>
      <c r="L1785" s="53" t="s">
        <v>53</v>
      </c>
    </row>
    <row r="1786" ht="15.75" customHeight="1">
      <c r="A1786" s="53" t="s">
        <v>411</v>
      </c>
      <c r="B1786" s="53" t="s">
        <v>2789</v>
      </c>
      <c r="D1786" s="53" t="s">
        <v>2909</v>
      </c>
      <c r="E1786" s="53" t="s">
        <v>3050</v>
      </c>
      <c r="F1786" s="53" t="s">
        <v>2882</v>
      </c>
      <c r="G1786" s="53" t="s">
        <v>2915</v>
      </c>
      <c r="H1786" s="53">
        <v>1.0</v>
      </c>
      <c r="I1786" s="53">
        <v>0.1111111111111111</v>
      </c>
      <c r="J1786" s="53">
        <v>21.0</v>
      </c>
      <c r="K1786" s="53" t="s">
        <v>53</v>
      </c>
      <c r="L1786" s="53" t="s">
        <v>53</v>
      </c>
    </row>
    <row r="1787" ht="15.75" customHeight="1">
      <c r="A1787" s="53" t="s">
        <v>411</v>
      </c>
      <c r="B1787" s="53" t="s">
        <v>2789</v>
      </c>
      <c r="D1787" s="53" t="s">
        <v>2909</v>
      </c>
      <c r="E1787" s="53" t="s">
        <v>3051</v>
      </c>
      <c r="F1787" s="53" t="s">
        <v>2882</v>
      </c>
      <c r="G1787" s="53" t="s">
        <v>2931</v>
      </c>
      <c r="H1787" s="53">
        <v>1.0</v>
      </c>
      <c r="I1787" s="53">
        <v>0.125</v>
      </c>
      <c r="J1787" s="53">
        <v>20.0</v>
      </c>
      <c r="K1787" s="53" t="s">
        <v>53</v>
      </c>
      <c r="L1787" s="53" t="s">
        <v>53</v>
      </c>
    </row>
    <row r="1788" ht="15.75" customHeight="1">
      <c r="A1788" s="53" t="s">
        <v>411</v>
      </c>
      <c r="B1788" s="53" t="s">
        <v>2789</v>
      </c>
      <c r="D1788" s="53" t="s">
        <v>2909</v>
      </c>
      <c r="E1788" s="53" t="s">
        <v>3052</v>
      </c>
      <c r="F1788" s="53" t="s">
        <v>2882</v>
      </c>
      <c r="G1788" s="53" t="s">
        <v>2923</v>
      </c>
      <c r="H1788" s="53">
        <v>1.0</v>
      </c>
      <c r="I1788" s="53">
        <v>0.1282051282051282</v>
      </c>
      <c r="J1788" s="53">
        <v>22.0</v>
      </c>
      <c r="K1788" s="53" t="s">
        <v>53</v>
      </c>
      <c r="L1788" s="53" t="s">
        <v>53</v>
      </c>
    </row>
    <row r="1789" ht="15.75" customHeight="1">
      <c r="A1789" s="53" t="s">
        <v>411</v>
      </c>
      <c r="B1789" s="53" t="s">
        <v>2789</v>
      </c>
      <c r="D1789" s="53" t="s">
        <v>2909</v>
      </c>
      <c r="E1789" s="53" t="s">
        <v>3053</v>
      </c>
      <c r="F1789" s="53" t="s">
        <v>2882</v>
      </c>
      <c r="G1789" s="53" t="s">
        <v>2927</v>
      </c>
      <c r="H1789" s="53">
        <v>1.0</v>
      </c>
      <c r="I1789" s="53">
        <v>0.1337579617834395</v>
      </c>
      <c r="J1789" s="53">
        <v>25.0</v>
      </c>
      <c r="K1789" s="53" t="s">
        <v>53</v>
      </c>
      <c r="L1789" s="53" t="s">
        <v>53</v>
      </c>
    </row>
    <row r="1790" ht="15.75" customHeight="1">
      <c r="A1790" s="53" t="s">
        <v>411</v>
      </c>
      <c r="B1790" s="53" t="s">
        <v>2789</v>
      </c>
      <c r="D1790" s="53" t="s">
        <v>2909</v>
      </c>
      <c r="E1790" s="53" t="s">
        <v>3054</v>
      </c>
      <c r="F1790" s="53" t="s">
        <v>2882</v>
      </c>
      <c r="G1790" s="53" t="s">
        <v>2921</v>
      </c>
      <c r="H1790" s="53">
        <v>1.0</v>
      </c>
      <c r="I1790" s="53">
        <v>0.14012738853503184</v>
      </c>
      <c r="J1790" s="53">
        <v>24.0</v>
      </c>
      <c r="K1790" s="53" t="s">
        <v>53</v>
      </c>
      <c r="L1790" s="53" t="s">
        <v>53</v>
      </c>
    </row>
    <row r="1791" ht="15.75" customHeight="1">
      <c r="A1791" s="53" t="s">
        <v>411</v>
      </c>
      <c r="B1791" s="53" t="s">
        <v>2789</v>
      </c>
      <c r="D1791" s="53" t="s">
        <v>2909</v>
      </c>
      <c r="E1791" s="53" t="s">
        <v>3055</v>
      </c>
      <c r="F1791" s="53" t="s">
        <v>2882</v>
      </c>
      <c r="G1791" s="53" t="s">
        <v>2919</v>
      </c>
      <c r="H1791" s="53">
        <v>1.0</v>
      </c>
      <c r="I1791" s="53">
        <v>0.15723270440251572</v>
      </c>
      <c r="J1791" s="53">
        <v>23.0</v>
      </c>
      <c r="K1791" s="53" t="s">
        <v>53</v>
      </c>
      <c r="L1791" s="53" t="s">
        <v>53</v>
      </c>
    </row>
    <row r="1792" ht="15.75" customHeight="1">
      <c r="A1792" s="53" t="s">
        <v>411</v>
      </c>
      <c r="B1792" s="53" t="s">
        <v>2789</v>
      </c>
      <c r="D1792" s="53" t="s">
        <v>2909</v>
      </c>
      <c r="E1792" s="53" t="s">
        <v>3056</v>
      </c>
      <c r="F1792" s="53" t="s">
        <v>2882</v>
      </c>
      <c r="G1792" s="53" t="s">
        <v>2925</v>
      </c>
      <c r="H1792" s="53">
        <v>1.0</v>
      </c>
      <c r="I1792" s="53">
        <v>0.15723270440251572</v>
      </c>
      <c r="J1792" s="53">
        <v>28.0</v>
      </c>
      <c r="K1792" s="53" t="s">
        <v>53</v>
      </c>
      <c r="L1792" s="53" t="s">
        <v>53</v>
      </c>
    </row>
    <row r="1793" ht="15.75" customHeight="1">
      <c r="A1793" s="53" t="s">
        <v>411</v>
      </c>
      <c r="B1793" s="53" t="s">
        <v>2789</v>
      </c>
      <c r="D1793" s="53" t="s">
        <v>2909</v>
      </c>
      <c r="E1793" s="53" t="s">
        <v>3057</v>
      </c>
      <c r="F1793" s="53" t="s">
        <v>2882</v>
      </c>
      <c r="G1793" s="53" t="s">
        <v>2929</v>
      </c>
      <c r="H1793" s="53">
        <v>1.0</v>
      </c>
      <c r="I1793" s="53">
        <v>0.16149068322981366</v>
      </c>
      <c r="J1793" s="53">
        <v>26.0</v>
      </c>
      <c r="K1793" s="53" t="s">
        <v>53</v>
      </c>
      <c r="L1793" s="53" t="s">
        <v>53</v>
      </c>
    </row>
    <row r="1794" ht="15.75" customHeight="1">
      <c r="A1794" s="53" t="s">
        <v>411</v>
      </c>
      <c r="B1794" s="53" t="s">
        <v>2789</v>
      </c>
      <c r="D1794" s="53" t="s">
        <v>2909</v>
      </c>
      <c r="E1794" s="53" t="s">
        <v>3058</v>
      </c>
      <c r="F1794" s="53" t="s">
        <v>2882</v>
      </c>
      <c r="G1794" s="53" t="s">
        <v>2933</v>
      </c>
      <c r="H1794" s="53">
        <v>1.0</v>
      </c>
      <c r="I1794" s="53">
        <v>0.17857142857142858</v>
      </c>
      <c r="J1794" s="53">
        <v>27.0</v>
      </c>
      <c r="K1794" s="53" t="s">
        <v>53</v>
      </c>
      <c r="L1794" s="53" t="s">
        <v>53</v>
      </c>
    </row>
    <row r="1795" ht="15.75" customHeight="1">
      <c r="A1795" s="53" t="s">
        <v>411</v>
      </c>
      <c r="B1795" s="53" t="s">
        <v>2789</v>
      </c>
      <c r="D1795" s="53" t="s">
        <v>2909</v>
      </c>
      <c r="E1795" s="53" t="s">
        <v>3059</v>
      </c>
      <c r="F1795" s="53" t="s">
        <v>2882</v>
      </c>
      <c r="G1795" s="53" t="s">
        <v>2935</v>
      </c>
      <c r="H1795" s="53">
        <v>1.0</v>
      </c>
      <c r="I1795" s="53">
        <v>0.18867924528301888</v>
      </c>
      <c r="J1795" s="53">
        <v>17.0</v>
      </c>
      <c r="K1795" s="53" t="s">
        <v>53</v>
      </c>
      <c r="L1795" s="53" t="s">
        <v>53</v>
      </c>
    </row>
    <row r="1796" ht="15.75" customHeight="1">
      <c r="A1796" s="53" t="s">
        <v>411</v>
      </c>
      <c r="B1796" s="53" t="s">
        <v>2789</v>
      </c>
      <c r="D1796" s="53" t="s">
        <v>2909</v>
      </c>
      <c r="E1796" s="53" t="s">
        <v>3060</v>
      </c>
      <c r="F1796" s="53" t="s">
        <v>2882</v>
      </c>
      <c r="G1796" s="53" t="s">
        <v>2940</v>
      </c>
      <c r="H1796" s="53">
        <v>1.0</v>
      </c>
      <c r="I1796" s="53">
        <v>0.19463087248322147</v>
      </c>
      <c r="J1796" s="53">
        <v>15.0</v>
      </c>
      <c r="K1796" s="53" t="s">
        <v>53</v>
      </c>
      <c r="L1796" s="53" t="s">
        <v>53</v>
      </c>
    </row>
    <row r="1797" ht="15.75" customHeight="1">
      <c r="A1797" s="53" t="s">
        <v>411</v>
      </c>
      <c r="B1797" s="53" t="s">
        <v>2789</v>
      </c>
      <c r="D1797" s="53" t="s">
        <v>2909</v>
      </c>
      <c r="E1797" s="53" t="s">
        <v>3061</v>
      </c>
      <c r="F1797" s="53" t="s">
        <v>2882</v>
      </c>
      <c r="G1797" s="53" t="s">
        <v>2937</v>
      </c>
      <c r="H1797" s="53">
        <v>1.0</v>
      </c>
      <c r="I1797" s="53">
        <v>0.2080536912751678</v>
      </c>
      <c r="J1797" s="53">
        <v>35.0</v>
      </c>
      <c r="K1797" s="53" t="s">
        <v>53</v>
      </c>
      <c r="L1797" s="53" t="s">
        <v>53</v>
      </c>
    </row>
    <row r="1798" ht="15.75" customHeight="1">
      <c r="A1798" s="53" t="s">
        <v>411</v>
      </c>
      <c r="B1798" s="53" t="s">
        <v>2789</v>
      </c>
      <c r="D1798" s="53" t="s">
        <v>2909</v>
      </c>
      <c r="E1798" s="53" t="s">
        <v>3062</v>
      </c>
      <c r="F1798" s="53" t="s">
        <v>2882</v>
      </c>
      <c r="G1798" s="53" t="s">
        <v>2946</v>
      </c>
      <c r="H1798" s="53">
        <v>1.0</v>
      </c>
      <c r="I1798" s="53">
        <v>0.2138728323699422</v>
      </c>
      <c r="J1798" s="53">
        <v>2.0</v>
      </c>
      <c r="K1798" s="53" t="s">
        <v>53</v>
      </c>
      <c r="L1798" s="53" t="s">
        <v>53</v>
      </c>
    </row>
    <row r="1799" ht="15.75" customHeight="1">
      <c r="A1799" s="53" t="s">
        <v>411</v>
      </c>
      <c r="B1799" s="53" t="s">
        <v>2789</v>
      </c>
      <c r="D1799" s="53" t="s">
        <v>2909</v>
      </c>
      <c r="E1799" s="53" t="s">
        <v>3063</v>
      </c>
      <c r="F1799" s="53" t="s">
        <v>2882</v>
      </c>
      <c r="G1799" s="53" t="s">
        <v>2950</v>
      </c>
      <c r="H1799" s="53">
        <v>1.0</v>
      </c>
      <c r="I1799" s="53">
        <v>0.2155688622754491</v>
      </c>
      <c r="J1799" s="53">
        <v>16.0</v>
      </c>
      <c r="K1799" s="53" t="s">
        <v>53</v>
      </c>
      <c r="L1799" s="53" t="s">
        <v>53</v>
      </c>
    </row>
    <row r="1800" ht="15.75" customHeight="1">
      <c r="A1800" s="53" t="s">
        <v>411</v>
      </c>
      <c r="B1800" s="53" t="s">
        <v>2789</v>
      </c>
      <c r="D1800" s="53" t="s">
        <v>2909</v>
      </c>
      <c r="E1800" s="53" t="s">
        <v>3064</v>
      </c>
      <c r="F1800" s="53" t="s">
        <v>2882</v>
      </c>
      <c r="G1800" s="53" t="s">
        <v>2944</v>
      </c>
      <c r="H1800" s="53">
        <v>1.0</v>
      </c>
      <c r="I1800" s="53">
        <v>0.22485207100591717</v>
      </c>
      <c r="J1800" s="53">
        <v>19.0</v>
      </c>
      <c r="K1800" s="53" t="s">
        <v>53</v>
      </c>
      <c r="L1800" s="53" t="s">
        <v>53</v>
      </c>
    </row>
    <row r="1801" ht="15.75" customHeight="1">
      <c r="A1801" s="53" t="s">
        <v>411</v>
      </c>
      <c r="B1801" s="53" t="s">
        <v>2789</v>
      </c>
      <c r="D1801" s="53" t="s">
        <v>2909</v>
      </c>
      <c r="E1801" s="53" t="s">
        <v>3065</v>
      </c>
      <c r="F1801" s="53" t="s">
        <v>2882</v>
      </c>
      <c r="G1801" s="53" t="s">
        <v>2942</v>
      </c>
      <c r="H1801" s="53">
        <v>1.0</v>
      </c>
      <c r="I1801" s="53">
        <v>0.24161073825503357</v>
      </c>
      <c r="J1801" s="53">
        <v>36.0</v>
      </c>
      <c r="K1801" s="53" t="s">
        <v>53</v>
      </c>
      <c r="L1801" s="53" t="s">
        <v>53</v>
      </c>
    </row>
    <row r="1802" ht="15.75" customHeight="1">
      <c r="A1802" s="53" t="s">
        <v>411</v>
      </c>
      <c r="B1802" s="53" t="s">
        <v>2789</v>
      </c>
      <c r="D1802" s="53" t="s">
        <v>2909</v>
      </c>
      <c r="E1802" s="53" t="s">
        <v>3066</v>
      </c>
      <c r="F1802" s="53" t="s">
        <v>2882</v>
      </c>
      <c r="G1802" s="53" t="s">
        <v>2954</v>
      </c>
      <c r="H1802" s="53">
        <v>1.0</v>
      </c>
      <c r="I1802" s="53">
        <v>0.24666666666666667</v>
      </c>
      <c r="J1802" s="53">
        <v>13.0</v>
      </c>
      <c r="K1802" s="53" t="s">
        <v>53</v>
      </c>
      <c r="L1802" s="53" t="s">
        <v>53</v>
      </c>
    </row>
    <row r="1803" ht="15.75" customHeight="1">
      <c r="A1803" s="53" t="s">
        <v>411</v>
      </c>
      <c r="B1803" s="53" t="s">
        <v>2789</v>
      </c>
      <c r="D1803" s="53" t="s">
        <v>2909</v>
      </c>
      <c r="E1803" s="53" t="s">
        <v>3067</v>
      </c>
      <c r="F1803" s="53" t="s">
        <v>2882</v>
      </c>
      <c r="G1803" s="53" t="s">
        <v>2948</v>
      </c>
      <c r="H1803" s="53">
        <v>1.0</v>
      </c>
      <c r="I1803" s="53">
        <v>0.24666666666666667</v>
      </c>
      <c r="J1803" s="53">
        <v>34.0</v>
      </c>
      <c r="K1803" s="53" t="s">
        <v>53</v>
      </c>
      <c r="L1803" s="53" t="s">
        <v>53</v>
      </c>
    </row>
    <row r="1804" ht="15.75" customHeight="1">
      <c r="A1804" s="53" t="s">
        <v>411</v>
      </c>
      <c r="B1804" s="53" t="s">
        <v>2789</v>
      </c>
      <c r="D1804" s="53" t="s">
        <v>2909</v>
      </c>
      <c r="E1804" s="53" t="s">
        <v>3068</v>
      </c>
      <c r="F1804" s="53" t="s">
        <v>2882</v>
      </c>
      <c r="G1804" s="53" t="s">
        <v>485</v>
      </c>
      <c r="H1804" s="53">
        <v>1.0</v>
      </c>
      <c r="I1804" s="53">
        <v>0.25</v>
      </c>
      <c r="J1804" s="53">
        <v>31.0</v>
      </c>
      <c r="K1804" s="53" t="s">
        <v>53</v>
      </c>
      <c r="L1804" s="53" t="s">
        <v>53</v>
      </c>
    </row>
    <row r="1805" ht="15.75" customHeight="1">
      <c r="A1805" s="53" t="s">
        <v>411</v>
      </c>
      <c r="B1805" s="53" t="s">
        <v>2789</v>
      </c>
      <c r="D1805" s="53" t="s">
        <v>2909</v>
      </c>
      <c r="E1805" s="53" t="s">
        <v>3069</v>
      </c>
      <c r="F1805" s="53" t="s">
        <v>2882</v>
      </c>
      <c r="G1805" s="53" t="s">
        <v>474</v>
      </c>
      <c r="H1805" s="53">
        <v>1.0</v>
      </c>
      <c r="I1805" s="53">
        <v>0.2532467532467532</v>
      </c>
      <c r="J1805" s="53">
        <v>32.0</v>
      </c>
      <c r="K1805" s="53" t="s">
        <v>53</v>
      </c>
      <c r="L1805" s="53" t="s">
        <v>53</v>
      </c>
    </row>
    <row r="1806" ht="15.75" customHeight="1">
      <c r="A1806" s="53" t="s">
        <v>411</v>
      </c>
      <c r="B1806" s="53" t="s">
        <v>2789</v>
      </c>
      <c r="D1806" s="53" t="s">
        <v>2909</v>
      </c>
      <c r="E1806" s="53" t="s">
        <v>3070</v>
      </c>
      <c r="F1806" s="53" t="s">
        <v>2882</v>
      </c>
      <c r="G1806" s="53" t="s">
        <v>2957</v>
      </c>
      <c r="H1806" s="53">
        <v>1.0</v>
      </c>
      <c r="I1806" s="53">
        <v>0.2658959537572254</v>
      </c>
      <c r="J1806" s="53">
        <v>18.0</v>
      </c>
      <c r="K1806" s="53" t="s">
        <v>53</v>
      </c>
      <c r="L1806" s="53" t="s">
        <v>53</v>
      </c>
    </row>
    <row r="1807" ht="15.75" customHeight="1">
      <c r="A1807" s="53" t="s">
        <v>411</v>
      </c>
      <c r="B1807" s="53" t="s">
        <v>2789</v>
      </c>
      <c r="D1807" s="53" t="s">
        <v>2909</v>
      </c>
      <c r="E1807" s="53" t="s">
        <v>3071</v>
      </c>
      <c r="F1807" s="53" t="s">
        <v>2882</v>
      </c>
      <c r="G1807" s="53" t="s">
        <v>495</v>
      </c>
      <c r="H1807" s="53">
        <v>1.0</v>
      </c>
      <c r="I1807" s="53">
        <v>0.2751677852348993</v>
      </c>
      <c r="J1807" s="53">
        <v>33.0</v>
      </c>
      <c r="K1807" s="53" t="s">
        <v>53</v>
      </c>
      <c r="L1807" s="53" t="s">
        <v>53</v>
      </c>
    </row>
    <row r="1808" ht="15.75" customHeight="1">
      <c r="A1808" s="53" t="s">
        <v>411</v>
      </c>
      <c r="B1808" s="53" t="s">
        <v>2789</v>
      </c>
      <c r="D1808" s="53" t="s">
        <v>2885</v>
      </c>
      <c r="E1808" s="53" t="s">
        <v>3072</v>
      </c>
      <c r="F1808" s="53" t="s">
        <v>2882</v>
      </c>
      <c r="G1808" s="53" t="s">
        <v>2883</v>
      </c>
      <c r="H1808" s="53">
        <v>1.0</v>
      </c>
      <c r="I1808" s="53">
        <v>0.04895104895104895</v>
      </c>
      <c r="J1808" s="53">
        <v>0.0</v>
      </c>
      <c r="K1808" s="53" t="s">
        <v>53</v>
      </c>
      <c r="L1808" s="53" t="s">
        <v>53</v>
      </c>
    </row>
    <row r="1809" ht="15.75" customHeight="1">
      <c r="A1809" s="53" t="s">
        <v>411</v>
      </c>
      <c r="B1809" s="53" t="s">
        <v>2789</v>
      </c>
      <c r="D1809" s="53" t="s">
        <v>2885</v>
      </c>
      <c r="E1809" s="53" t="s">
        <v>3073</v>
      </c>
      <c r="F1809" s="53" t="s">
        <v>2882</v>
      </c>
      <c r="G1809" s="53" t="s">
        <v>2897</v>
      </c>
      <c r="H1809" s="53">
        <v>1.0</v>
      </c>
      <c r="I1809" s="53">
        <v>0.06206896551724138</v>
      </c>
      <c r="J1809" s="53">
        <v>3.0</v>
      </c>
      <c r="K1809" s="53" t="s">
        <v>53</v>
      </c>
      <c r="L1809" s="53" t="s">
        <v>53</v>
      </c>
    </row>
    <row r="1810" ht="15.75" customHeight="1">
      <c r="A1810" s="53" t="s">
        <v>411</v>
      </c>
      <c r="B1810" s="53" t="s">
        <v>2789</v>
      </c>
      <c r="D1810" s="53" t="s">
        <v>2885</v>
      </c>
      <c r="E1810" s="53" t="s">
        <v>3074</v>
      </c>
      <c r="F1810" s="53" t="s">
        <v>2882</v>
      </c>
      <c r="G1810" s="53" t="s">
        <v>2901</v>
      </c>
      <c r="H1810" s="53">
        <v>1.0</v>
      </c>
      <c r="I1810" s="53">
        <v>0.06293706293706294</v>
      </c>
      <c r="J1810" s="53">
        <v>7.0</v>
      </c>
      <c r="K1810" s="53" t="s">
        <v>53</v>
      </c>
      <c r="L1810" s="53" t="s">
        <v>53</v>
      </c>
    </row>
    <row r="1811" ht="15.75" customHeight="1">
      <c r="A1811" s="53" t="s">
        <v>411</v>
      </c>
      <c r="B1811" s="53" t="s">
        <v>2789</v>
      </c>
      <c r="D1811" s="53" t="s">
        <v>2885</v>
      </c>
      <c r="E1811" s="53" t="s">
        <v>3075</v>
      </c>
      <c r="F1811" s="53" t="s">
        <v>2882</v>
      </c>
      <c r="G1811" s="53" t="s">
        <v>2891</v>
      </c>
      <c r="H1811" s="53">
        <v>1.0</v>
      </c>
      <c r="I1811" s="53">
        <v>0.0684931506849315</v>
      </c>
      <c r="J1811" s="53">
        <v>4.0</v>
      </c>
      <c r="K1811" s="53" t="s">
        <v>53</v>
      </c>
      <c r="L1811" s="53" t="s">
        <v>53</v>
      </c>
    </row>
    <row r="1812" ht="15.75" customHeight="1">
      <c r="A1812" s="53" t="s">
        <v>411</v>
      </c>
      <c r="B1812" s="53" t="s">
        <v>2789</v>
      </c>
      <c r="D1812" s="53" t="s">
        <v>2885</v>
      </c>
      <c r="E1812" s="53" t="s">
        <v>3076</v>
      </c>
      <c r="F1812" s="53" t="s">
        <v>2882</v>
      </c>
      <c r="G1812" s="53" t="s">
        <v>2899</v>
      </c>
      <c r="H1812" s="53">
        <v>1.0</v>
      </c>
      <c r="I1812" s="53">
        <v>0.06993006993006994</v>
      </c>
      <c r="J1812" s="53">
        <v>10.0</v>
      </c>
      <c r="K1812" s="53" t="s">
        <v>53</v>
      </c>
      <c r="L1812" s="53" t="s">
        <v>53</v>
      </c>
    </row>
    <row r="1813" ht="15.75" customHeight="1">
      <c r="A1813" s="53" t="s">
        <v>411</v>
      </c>
      <c r="B1813" s="53" t="s">
        <v>2789</v>
      </c>
      <c r="D1813" s="53" t="s">
        <v>2885</v>
      </c>
      <c r="E1813" s="53" t="s">
        <v>3077</v>
      </c>
      <c r="F1813" s="53" t="s">
        <v>2882</v>
      </c>
      <c r="G1813" s="53" t="s">
        <v>2887</v>
      </c>
      <c r="H1813" s="53">
        <v>1.0</v>
      </c>
      <c r="I1813" s="53">
        <v>0.06993006993006994</v>
      </c>
      <c r="J1813" s="53">
        <v>5.0</v>
      </c>
      <c r="K1813" s="53" t="s">
        <v>53</v>
      </c>
      <c r="L1813" s="53" t="s">
        <v>53</v>
      </c>
    </row>
    <row r="1814" ht="15.75" customHeight="1">
      <c r="A1814" s="53" t="s">
        <v>411</v>
      </c>
      <c r="B1814" s="53" t="s">
        <v>2789</v>
      </c>
      <c r="D1814" s="53" t="s">
        <v>2885</v>
      </c>
      <c r="E1814" s="53" t="s">
        <v>3078</v>
      </c>
      <c r="F1814" s="53" t="s">
        <v>2882</v>
      </c>
      <c r="G1814" s="53" t="s">
        <v>2893</v>
      </c>
      <c r="H1814" s="53">
        <v>1.0</v>
      </c>
      <c r="I1814" s="53">
        <v>0.07534246575342465</v>
      </c>
      <c r="J1814" s="53">
        <v>2.0</v>
      </c>
      <c r="K1814" s="53" t="s">
        <v>53</v>
      </c>
      <c r="L1814" s="53" t="s">
        <v>53</v>
      </c>
    </row>
    <row r="1815" ht="15.75" customHeight="1">
      <c r="A1815" s="53" t="s">
        <v>411</v>
      </c>
      <c r="B1815" s="53" t="s">
        <v>2789</v>
      </c>
      <c r="D1815" s="53" t="s">
        <v>2885</v>
      </c>
      <c r="E1815" s="53" t="s">
        <v>3079</v>
      </c>
      <c r="F1815" s="53" t="s">
        <v>2882</v>
      </c>
      <c r="G1815" s="53" t="s">
        <v>2895</v>
      </c>
      <c r="H1815" s="53">
        <v>1.0</v>
      </c>
      <c r="I1815" s="53">
        <v>0.07586206896551724</v>
      </c>
      <c r="J1815" s="53">
        <v>6.0</v>
      </c>
      <c r="K1815" s="53" t="s">
        <v>53</v>
      </c>
      <c r="L1815" s="53" t="s">
        <v>53</v>
      </c>
    </row>
    <row r="1816" ht="15.75" customHeight="1">
      <c r="A1816" s="53" t="s">
        <v>411</v>
      </c>
      <c r="B1816" s="53" t="s">
        <v>2789</v>
      </c>
      <c r="D1816" s="53" t="s">
        <v>2885</v>
      </c>
      <c r="E1816" s="53" t="s">
        <v>3080</v>
      </c>
      <c r="F1816" s="53" t="s">
        <v>2882</v>
      </c>
      <c r="G1816" s="53" t="s">
        <v>2905</v>
      </c>
      <c r="H1816" s="53">
        <v>1.0</v>
      </c>
      <c r="I1816" s="53">
        <v>0.0763888888888889</v>
      </c>
      <c r="J1816" s="53">
        <v>13.0</v>
      </c>
      <c r="K1816" s="53" t="s">
        <v>53</v>
      </c>
      <c r="L1816" s="53" t="s">
        <v>53</v>
      </c>
    </row>
    <row r="1817" ht="15.75" customHeight="1">
      <c r="A1817" s="53" t="s">
        <v>411</v>
      </c>
      <c r="B1817" s="53" t="s">
        <v>2789</v>
      </c>
      <c r="D1817" s="53" t="s">
        <v>2885</v>
      </c>
      <c r="E1817" s="53" t="s">
        <v>3081</v>
      </c>
      <c r="F1817" s="53" t="s">
        <v>2882</v>
      </c>
      <c r="G1817" s="53" t="s">
        <v>2889</v>
      </c>
      <c r="H1817" s="53">
        <v>1.0</v>
      </c>
      <c r="I1817" s="53">
        <v>0.0763888888888889</v>
      </c>
      <c r="J1817" s="53">
        <v>8.0</v>
      </c>
      <c r="K1817" s="53" t="s">
        <v>53</v>
      </c>
      <c r="L1817" s="53" t="s">
        <v>53</v>
      </c>
    </row>
    <row r="1818" ht="15.75" customHeight="1">
      <c r="A1818" s="53" t="s">
        <v>411</v>
      </c>
      <c r="B1818" s="53" t="s">
        <v>2789</v>
      </c>
      <c r="D1818" s="53" t="s">
        <v>2885</v>
      </c>
      <c r="E1818" s="53" t="s">
        <v>3082</v>
      </c>
      <c r="F1818" s="53" t="s">
        <v>2882</v>
      </c>
      <c r="G1818" s="53" t="s">
        <v>2907</v>
      </c>
      <c r="H1818" s="53">
        <v>1.0</v>
      </c>
      <c r="I1818" s="53">
        <v>0.08163265306122448</v>
      </c>
      <c r="J1818" s="53">
        <v>28.0</v>
      </c>
      <c r="K1818" s="53" t="s">
        <v>53</v>
      </c>
      <c r="L1818" s="53" t="s">
        <v>53</v>
      </c>
    </row>
    <row r="1819" ht="15.75" customHeight="1">
      <c r="A1819" s="53" t="s">
        <v>411</v>
      </c>
      <c r="B1819" s="53" t="s">
        <v>2789</v>
      </c>
      <c r="D1819" s="53" t="s">
        <v>2885</v>
      </c>
      <c r="E1819" s="53" t="s">
        <v>3083</v>
      </c>
      <c r="F1819" s="53" t="s">
        <v>2882</v>
      </c>
      <c r="G1819" s="53" t="s">
        <v>2913</v>
      </c>
      <c r="H1819" s="53">
        <v>1.0</v>
      </c>
      <c r="I1819" s="53">
        <v>0.08666666666666667</v>
      </c>
      <c r="J1819" s="53">
        <v>9.0</v>
      </c>
      <c r="K1819" s="53" t="s">
        <v>53</v>
      </c>
      <c r="L1819" s="53" t="s">
        <v>53</v>
      </c>
    </row>
    <row r="1820" ht="15.75" customHeight="1">
      <c r="A1820" s="53" t="s">
        <v>411</v>
      </c>
      <c r="B1820" s="53" t="s">
        <v>2789</v>
      </c>
      <c r="D1820" s="53" t="s">
        <v>2885</v>
      </c>
      <c r="E1820" s="53" t="s">
        <v>3084</v>
      </c>
      <c r="F1820" s="53" t="s">
        <v>2882</v>
      </c>
      <c r="G1820" s="53" t="s">
        <v>2917</v>
      </c>
      <c r="H1820" s="53">
        <v>1.0</v>
      </c>
      <c r="I1820" s="53">
        <v>0.09271523178807947</v>
      </c>
      <c r="J1820" s="53">
        <v>29.0</v>
      </c>
      <c r="K1820" s="53" t="s">
        <v>53</v>
      </c>
      <c r="L1820" s="53" t="s">
        <v>53</v>
      </c>
    </row>
    <row r="1821" ht="15.75" customHeight="1">
      <c r="A1821" s="53" t="s">
        <v>411</v>
      </c>
      <c r="B1821" s="53" t="s">
        <v>2789</v>
      </c>
      <c r="D1821" s="53" t="s">
        <v>2885</v>
      </c>
      <c r="E1821" s="53" t="s">
        <v>3085</v>
      </c>
      <c r="F1821" s="53" t="s">
        <v>2882</v>
      </c>
      <c r="G1821" s="53" t="s">
        <v>2911</v>
      </c>
      <c r="H1821" s="53">
        <v>1.0</v>
      </c>
      <c r="I1821" s="53">
        <v>0.1</v>
      </c>
      <c r="J1821" s="53">
        <v>11.0</v>
      </c>
      <c r="K1821" s="53" t="s">
        <v>53</v>
      </c>
      <c r="L1821" s="53" t="s">
        <v>53</v>
      </c>
    </row>
    <row r="1822" ht="15.75" customHeight="1">
      <c r="A1822" s="53" t="s">
        <v>411</v>
      </c>
      <c r="B1822" s="53" t="s">
        <v>2789</v>
      </c>
      <c r="D1822" s="53" t="s">
        <v>2885</v>
      </c>
      <c r="E1822" s="53" t="s">
        <v>3086</v>
      </c>
      <c r="F1822" s="53" t="s">
        <v>2882</v>
      </c>
      <c r="G1822" s="53" t="s">
        <v>2915</v>
      </c>
      <c r="H1822" s="53">
        <v>1.0</v>
      </c>
      <c r="I1822" s="53">
        <v>0.11764705882352941</v>
      </c>
      <c r="J1822" s="53">
        <v>20.0</v>
      </c>
      <c r="K1822" s="53" t="s">
        <v>53</v>
      </c>
      <c r="L1822" s="53" t="s">
        <v>53</v>
      </c>
    </row>
    <row r="1823" ht="15.75" customHeight="1">
      <c r="A1823" s="53" t="s">
        <v>411</v>
      </c>
      <c r="B1823" s="53" t="s">
        <v>2789</v>
      </c>
      <c r="D1823" s="53" t="s">
        <v>2885</v>
      </c>
      <c r="E1823" s="53" t="s">
        <v>3087</v>
      </c>
      <c r="F1823" s="53" t="s">
        <v>2882</v>
      </c>
      <c r="G1823" s="53" t="s">
        <v>2923</v>
      </c>
      <c r="H1823" s="53">
        <v>1.0</v>
      </c>
      <c r="I1823" s="53">
        <v>0.12179487179487179</v>
      </c>
      <c r="J1823" s="53">
        <v>21.0</v>
      </c>
      <c r="K1823" s="53" t="s">
        <v>53</v>
      </c>
      <c r="L1823" s="53" t="s">
        <v>53</v>
      </c>
    </row>
    <row r="1824" ht="15.75" customHeight="1">
      <c r="A1824" s="53" t="s">
        <v>411</v>
      </c>
      <c r="B1824" s="53" t="s">
        <v>2789</v>
      </c>
      <c r="D1824" s="53" t="s">
        <v>2885</v>
      </c>
      <c r="E1824" s="53" t="s">
        <v>3088</v>
      </c>
      <c r="F1824" s="53" t="s">
        <v>2882</v>
      </c>
      <c r="G1824" s="53" t="s">
        <v>2927</v>
      </c>
      <c r="H1824" s="53">
        <v>1.0</v>
      </c>
      <c r="I1824" s="53">
        <v>0.14012738853503184</v>
      </c>
      <c r="J1824" s="53">
        <v>24.0</v>
      </c>
      <c r="K1824" s="53" t="s">
        <v>53</v>
      </c>
      <c r="L1824" s="53" t="s">
        <v>53</v>
      </c>
    </row>
    <row r="1825" ht="15.75" customHeight="1">
      <c r="A1825" s="53" t="s">
        <v>411</v>
      </c>
      <c r="B1825" s="53" t="s">
        <v>2789</v>
      </c>
      <c r="D1825" s="53" t="s">
        <v>2885</v>
      </c>
      <c r="E1825" s="53" t="s">
        <v>3089</v>
      </c>
      <c r="F1825" s="53" t="s">
        <v>2882</v>
      </c>
      <c r="G1825" s="53" t="s">
        <v>2931</v>
      </c>
      <c r="H1825" s="53">
        <v>1.0</v>
      </c>
      <c r="I1825" s="53">
        <v>0.14375</v>
      </c>
      <c r="J1825" s="53">
        <v>19.0</v>
      </c>
      <c r="K1825" s="53" t="s">
        <v>53</v>
      </c>
      <c r="L1825" s="53" t="s">
        <v>53</v>
      </c>
    </row>
    <row r="1826" ht="15.75" customHeight="1">
      <c r="A1826" s="53" t="s">
        <v>411</v>
      </c>
      <c r="B1826" s="53" t="s">
        <v>2789</v>
      </c>
      <c r="D1826" s="53" t="s">
        <v>2885</v>
      </c>
      <c r="E1826" s="53" t="s">
        <v>3090</v>
      </c>
      <c r="F1826" s="53" t="s">
        <v>2882</v>
      </c>
      <c r="G1826" s="53" t="s">
        <v>2921</v>
      </c>
      <c r="H1826" s="53">
        <v>1.0</v>
      </c>
      <c r="I1826" s="53">
        <v>0.1464968152866242</v>
      </c>
      <c r="J1826" s="53">
        <v>23.0</v>
      </c>
      <c r="K1826" s="53" t="s">
        <v>53</v>
      </c>
      <c r="L1826" s="53" t="s">
        <v>53</v>
      </c>
    </row>
    <row r="1827" ht="15.75" customHeight="1">
      <c r="A1827" s="53" t="s">
        <v>411</v>
      </c>
      <c r="B1827" s="53" t="s">
        <v>2789</v>
      </c>
      <c r="D1827" s="53" t="s">
        <v>2885</v>
      </c>
      <c r="E1827" s="53" t="s">
        <v>3091</v>
      </c>
      <c r="F1827" s="53" t="s">
        <v>2882</v>
      </c>
      <c r="G1827" s="53" t="s">
        <v>2925</v>
      </c>
      <c r="H1827" s="53">
        <v>1.0</v>
      </c>
      <c r="I1827" s="53">
        <v>0.1509433962264151</v>
      </c>
      <c r="J1827" s="53">
        <v>27.0</v>
      </c>
      <c r="K1827" s="53" t="s">
        <v>53</v>
      </c>
      <c r="L1827" s="53" t="s">
        <v>53</v>
      </c>
    </row>
    <row r="1828" ht="15.75" customHeight="1">
      <c r="A1828" s="53" t="s">
        <v>411</v>
      </c>
      <c r="B1828" s="53" t="s">
        <v>2789</v>
      </c>
      <c r="D1828" s="53" t="s">
        <v>2885</v>
      </c>
      <c r="E1828" s="53" t="s">
        <v>3092</v>
      </c>
      <c r="F1828" s="53" t="s">
        <v>2882</v>
      </c>
      <c r="G1828" s="53" t="s">
        <v>2919</v>
      </c>
      <c r="H1828" s="53">
        <v>1.0</v>
      </c>
      <c r="I1828" s="53">
        <v>0.15723270440251572</v>
      </c>
      <c r="J1828" s="53">
        <v>22.0</v>
      </c>
      <c r="K1828" s="53" t="s">
        <v>53</v>
      </c>
      <c r="L1828" s="53" t="s">
        <v>53</v>
      </c>
    </row>
    <row r="1829" ht="15.75" customHeight="1">
      <c r="A1829" s="53" t="s">
        <v>411</v>
      </c>
      <c r="B1829" s="53" t="s">
        <v>2789</v>
      </c>
      <c r="D1829" s="53" t="s">
        <v>2885</v>
      </c>
      <c r="E1829" s="53" t="s">
        <v>3093</v>
      </c>
      <c r="F1829" s="53" t="s">
        <v>2882</v>
      </c>
      <c r="G1829" s="53" t="s">
        <v>2929</v>
      </c>
      <c r="H1829" s="53">
        <v>1.0</v>
      </c>
      <c r="I1829" s="53">
        <v>0.16149068322981366</v>
      </c>
      <c r="J1829" s="53">
        <v>25.0</v>
      </c>
      <c r="K1829" s="53" t="s">
        <v>53</v>
      </c>
      <c r="L1829" s="53" t="s">
        <v>53</v>
      </c>
    </row>
    <row r="1830" ht="15.75" customHeight="1">
      <c r="A1830" s="53" t="s">
        <v>411</v>
      </c>
      <c r="B1830" s="53" t="s">
        <v>2789</v>
      </c>
      <c r="D1830" s="53" t="s">
        <v>2885</v>
      </c>
      <c r="E1830" s="53" t="s">
        <v>3094</v>
      </c>
      <c r="F1830" s="53" t="s">
        <v>2882</v>
      </c>
      <c r="G1830" s="53" t="s">
        <v>2935</v>
      </c>
      <c r="H1830" s="53">
        <v>1.0</v>
      </c>
      <c r="I1830" s="53">
        <v>0.18238993710691823</v>
      </c>
      <c r="J1830" s="53">
        <v>16.0</v>
      </c>
      <c r="K1830" s="53" t="s">
        <v>53</v>
      </c>
      <c r="L1830" s="53" t="s">
        <v>53</v>
      </c>
    </row>
    <row r="1831" ht="15.75" customHeight="1">
      <c r="A1831" s="53" t="s">
        <v>411</v>
      </c>
      <c r="B1831" s="53" t="s">
        <v>2789</v>
      </c>
      <c r="D1831" s="53" t="s">
        <v>2885</v>
      </c>
      <c r="E1831" s="53" t="s">
        <v>3095</v>
      </c>
      <c r="F1831" s="53" t="s">
        <v>2882</v>
      </c>
      <c r="G1831" s="53" t="s">
        <v>2940</v>
      </c>
      <c r="H1831" s="53">
        <v>1.0</v>
      </c>
      <c r="I1831" s="53">
        <v>0.1888111888111888</v>
      </c>
      <c r="J1831" s="53">
        <v>14.0</v>
      </c>
      <c r="K1831" s="53" t="s">
        <v>53</v>
      </c>
      <c r="L1831" s="53" t="s">
        <v>53</v>
      </c>
    </row>
    <row r="1832" ht="15.75" customHeight="1">
      <c r="A1832" s="53" t="s">
        <v>411</v>
      </c>
      <c r="B1832" s="53" t="s">
        <v>2789</v>
      </c>
      <c r="D1832" s="53" t="s">
        <v>2885</v>
      </c>
      <c r="E1832" s="53" t="s">
        <v>3096</v>
      </c>
      <c r="F1832" s="53" t="s">
        <v>2882</v>
      </c>
      <c r="G1832" s="53" t="s">
        <v>2933</v>
      </c>
      <c r="H1832" s="53">
        <v>1.0</v>
      </c>
      <c r="I1832" s="53">
        <v>0.19047619047619047</v>
      </c>
      <c r="J1832" s="53">
        <v>26.0</v>
      </c>
      <c r="K1832" s="53" t="s">
        <v>53</v>
      </c>
      <c r="L1832" s="53" t="s">
        <v>53</v>
      </c>
    </row>
    <row r="1833" ht="15.75" customHeight="1">
      <c r="A1833" s="53" t="s">
        <v>411</v>
      </c>
      <c r="B1833" s="53" t="s">
        <v>2789</v>
      </c>
      <c r="D1833" s="53" t="s">
        <v>2885</v>
      </c>
      <c r="E1833" s="53" t="s">
        <v>3097</v>
      </c>
      <c r="F1833" s="53" t="s">
        <v>2882</v>
      </c>
      <c r="G1833" s="53" t="s">
        <v>2937</v>
      </c>
      <c r="H1833" s="53">
        <v>1.0</v>
      </c>
      <c r="I1833" s="53">
        <v>0.19310344827586207</v>
      </c>
      <c r="J1833" s="53">
        <v>34.0</v>
      </c>
      <c r="K1833" s="53" t="s">
        <v>53</v>
      </c>
      <c r="L1833" s="53" t="s">
        <v>53</v>
      </c>
    </row>
    <row r="1834" ht="15.75" customHeight="1">
      <c r="A1834" s="53" t="s">
        <v>411</v>
      </c>
      <c r="B1834" s="53" t="s">
        <v>2789</v>
      </c>
      <c r="D1834" s="53" t="s">
        <v>2885</v>
      </c>
      <c r="E1834" s="53" t="s">
        <v>3098</v>
      </c>
      <c r="F1834" s="53" t="s">
        <v>2882</v>
      </c>
      <c r="G1834" s="53" t="s">
        <v>2950</v>
      </c>
      <c r="H1834" s="53">
        <v>1.0</v>
      </c>
      <c r="I1834" s="53">
        <v>0.2155688622754491</v>
      </c>
      <c r="J1834" s="53">
        <v>15.0</v>
      </c>
      <c r="K1834" s="53" t="s">
        <v>53</v>
      </c>
      <c r="L1834" s="53" t="s">
        <v>53</v>
      </c>
    </row>
    <row r="1835" ht="15.75" customHeight="1">
      <c r="A1835" s="53" t="s">
        <v>411</v>
      </c>
      <c r="B1835" s="53" t="s">
        <v>2789</v>
      </c>
      <c r="D1835" s="53" t="s">
        <v>2885</v>
      </c>
      <c r="E1835" s="53" t="s">
        <v>3099</v>
      </c>
      <c r="F1835" s="53" t="s">
        <v>2882</v>
      </c>
      <c r="G1835" s="53" t="s">
        <v>2942</v>
      </c>
      <c r="H1835" s="53">
        <v>1.0</v>
      </c>
      <c r="I1835" s="53">
        <v>0.21621621621621623</v>
      </c>
      <c r="J1835" s="53">
        <v>35.0</v>
      </c>
      <c r="K1835" s="53" t="s">
        <v>53</v>
      </c>
      <c r="L1835" s="53" t="s">
        <v>53</v>
      </c>
    </row>
    <row r="1836" ht="15.75" customHeight="1">
      <c r="A1836" s="53" t="s">
        <v>411</v>
      </c>
      <c r="B1836" s="53" t="s">
        <v>2789</v>
      </c>
      <c r="D1836" s="53" t="s">
        <v>2885</v>
      </c>
      <c r="E1836" s="53" t="s">
        <v>3100</v>
      </c>
      <c r="F1836" s="53" t="s">
        <v>2882</v>
      </c>
      <c r="G1836" s="53" t="s">
        <v>2946</v>
      </c>
      <c r="H1836" s="53">
        <v>1.0</v>
      </c>
      <c r="I1836" s="53">
        <v>0.21965317919075145</v>
      </c>
      <c r="J1836" s="53">
        <v>1.0</v>
      </c>
      <c r="K1836" s="53" t="s">
        <v>53</v>
      </c>
      <c r="L1836" s="53" t="s">
        <v>53</v>
      </c>
    </row>
    <row r="1837" ht="15.75" customHeight="1">
      <c r="A1837" s="53" t="s">
        <v>411</v>
      </c>
      <c r="B1837" s="53" t="s">
        <v>2789</v>
      </c>
      <c r="D1837" s="53" t="s">
        <v>2885</v>
      </c>
      <c r="E1837" s="53" t="s">
        <v>3101</v>
      </c>
      <c r="F1837" s="53" t="s">
        <v>2882</v>
      </c>
      <c r="G1837" s="53" t="s">
        <v>2948</v>
      </c>
      <c r="H1837" s="53">
        <v>1.0</v>
      </c>
      <c r="I1837" s="53">
        <v>0.22666666666666666</v>
      </c>
      <c r="J1837" s="53">
        <v>33.0</v>
      </c>
      <c r="K1837" s="53" t="s">
        <v>53</v>
      </c>
      <c r="L1837" s="53" t="s">
        <v>53</v>
      </c>
    </row>
    <row r="1838" ht="15.75" customHeight="1">
      <c r="A1838" s="53" t="s">
        <v>411</v>
      </c>
      <c r="B1838" s="53" t="s">
        <v>2789</v>
      </c>
      <c r="D1838" s="53" t="s">
        <v>2885</v>
      </c>
      <c r="E1838" s="53" t="s">
        <v>3102</v>
      </c>
      <c r="F1838" s="53" t="s">
        <v>2882</v>
      </c>
      <c r="G1838" s="53" t="s">
        <v>2944</v>
      </c>
      <c r="H1838" s="53">
        <v>1.0</v>
      </c>
      <c r="I1838" s="53">
        <v>0.23668639053254437</v>
      </c>
      <c r="J1838" s="53">
        <v>18.0</v>
      </c>
      <c r="K1838" s="53" t="s">
        <v>53</v>
      </c>
      <c r="L1838" s="53" t="s">
        <v>53</v>
      </c>
    </row>
    <row r="1839" ht="15.75" customHeight="1">
      <c r="A1839" s="53" t="s">
        <v>411</v>
      </c>
      <c r="B1839" s="53" t="s">
        <v>2789</v>
      </c>
      <c r="D1839" s="53" t="s">
        <v>2885</v>
      </c>
      <c r="E1839" s="53" t="s">
        <v>3103</v>
      </c>
      <c r="F1839" s="53" t="s">
        <v>2882</v>
      </c>
      <c r="G1839" s="53" t="s">
        <v>485</v>
      </c>
      <c r="H1839" s="53">
        <v>1.0</v>
      </c>
      <c r="I1839" s="53">
        <v>0.25</v>
      </c>
      <c r="J1839" s="53">
        <v>30.0</v>
      </c>
      <c r="K1839" s="53" t="s">
        <v>53</v>
      </c>
      <c r="L1839" s="53" t="s">
        <v>53</v>
      </c>
    </row>
    <row r="1840" ht="15.75" customHeight="1">
      <c r="A1840" s="53" t="s">
        <v>411</v>
      </c>
      <c r="B1840" s="53" t="s">
        <v>2789</v>
      </c>
      <c r="D1840" s="53" t="s">
        <v>2885</v>
      </c>
      <c r="E1840" s="53" t="s">
        <v>3104</v>
      </c>
      <c r="F1840" s="53" t="s">
        <v>2882</v>
      </c>
      <c r="G1840" s="53" t="s">
        <v>474</v>
      </c>
      <c r="H1840" s="53">
        <v>1.0</v>
      </c>
      <c r="I1840" s="53">
        <v>0.2532467532467532</v>
      </c>
      <c r="J1840" s="53">
        <v>31.0</v>
      </c>
      <c r="K1840" s="53" t="s">
        <v>53</v>
      </c>
      <c r="L1840" s="53" t="s">
        <v>53</v>
      </c>
    </row>
    <row r="1841" ht="15.75" customHeight="1">
      <c r="A1841" s="53" t="s">
        <v>411</v>
      </c>
      <c r="B1841" s="53" t="s">
        <v>2789</v>
      </c>
      <c r="D1841" s="53" t="s">
        <v>2885</v>
      </c>
      <c r="E1841" s="53" t="s">
        <v>3105</v>
      </c>
      <c r="F1841" s="53" t="s">
        <v>2882</v>
      </c>
      <c r="G1841" s="53" t="s">
        <v>2954</v>
      </c>
      <c r="H1841" s="53">
        <v>1.0</v>
      </c>
      <c r="I1841" s="53">
        <v>0.25333333333333335</v>
      </c>
      <c r="J1841" s="53">
        <v>12.0</v>
      </c>
      <c r="K1841" s="53" t="s">
        <v>53</v>
      </c>
      <c r="L1841" s="53" t="s">
        <v>53</v>
      </c>
    </row>
    <row r="1842" ht="15.75" customHeight="1">
      <c r="A1842" s="53" t="s">
        <v>411</v>
      </c>
      <c r="B1842" s="53" t="s">
        <v>2789</v>
      </c>
      <c r="D1842" s="53" t="s">
        <v>2885</v>
      </c>
      <c r="E1842" s="53" t="s">
        <v>3106</v>
      </c>
      <c r="F1842" s="53" t="s">
        <v>2882</v>
      </c>
      <c r="G1842" s="53" t="s">
        <v>495</v>
      </c>
      <c r="H1842" s="53">
        <v>1.0</v>
      </c>
      <c r="I1842" s="53">
        <v>0.2534246575342466</v>
      </c>
      <c r="J1842" s="53">
        <v>32.0</v>
      </c>
      <c r="K1842" s="53" t="s">
        <v>53</v>
      </c>
      <c r="L1842" s="53" t="s">
        <v>53</v>
      </c>
    </row>
    <row r="1843" ht="15.75" customHeight="1">
      <c r="A1843" s="53" t="s">
        <v>411</v>
      </c>
      <c r="B1843" s="53" t="s">
        <v>2789</v>
      </c>
      <c r="D1843" s="53" t="s">
        <v>2885</v>
      </c>
      <c r="E1843" s="53" t="s">
        <v>3107</v>
      </c>
      <c r="F1843" s="53" t="s">
        <v>2882</v>
      </c>
      <c r="G1843" s="53" t="s">
        <v>2957</v>
      </c>
      <c r="H1843" s="53">
        <v>1.0</v>
      </c>
      <c r="I1843" s="53">
        <v>0.2658959537572254</v>
      </c>
      <c r="J1843" s="53">
        <v>17.0</v>
      </c>
      <c r="K1843" s="53" t="s">
        <v>53</v>
      </c>
      <c r="L1843" s="53" t="s">
        <v>53</v>
      </c>
    </row>
    <row r="1844" ht="15.75" customHeight="1">
      <c r="A1844" s="53" t="s">
        <v>411</v>
      </c>
      <c r="B1844" s="53" t="s">
        <v>2789</v>
      </c>
      <c r="D1844" s="53" t="s">
        <v>2883</v>
      </c>
      <c r="E1844" s="53" t="s">
        <v>3108</v>
      </c>
      <c r="F1844" s="53" t="s">
        <v>2882</v>
      </c>
      <c r="G1844" s="53" t="s">
        <v>2887</v>
      </c>
      <c r="H1844" s="53">
        <v>1.0</v>
      </c>
      <c r="I1844" s="53">
        <v>0.04225352112676056</v>
      </c>
      <c r="J1844" s="53">
        <v>4.0</v>
      </c>
      <c r="K1844" s="53" t="s">
        <v>53</v>
      </c>
      <c r="L1844" s="53" t="s">
        <v>53</v>
      </c>
    </row>
    <row r="1845" ht="15.75" customHeight="1">
      <c r="A1845" s="53" t="s">
        <v>411</v>
      </c>
      <c r="B1845" s="53" t="s">
        <v>2789</v>
      </c>
      <c r="D1845" s="53" t="s">
        <v>2883</v>
      </c>
      <c r="E1845" s="53" t="s">
        <v>3109</v>
      </c>
      <c r="F1845" s="53" t="s">
        <v>2882</v>
      </c>
      <c r="G1845" s="53" t="s">
        <v>2897</v>
      </c>
      <c r="H1845" s="53">
        <v>1.0</v>
      </c>
      <c r="I1845" s="53">
        <v>0.04827586206896552</v>
      </c>
      <c r="J1845" s="53">
        <v>2.0</v>
      </c>
      <c r="K1845" s="53" t="s">
        <v>53</v>
      </c>
      <c r="L1845" s="53" t="s">
        <v>53</v>
      </c>
    </row>
    <row r="1846" ht="15.75" customHeight="1">
      <c r="A1846" s="53" t="s">
        <v>411</v>
      </c>
      <c r="B1846" s="53" t="s">
        <v>2789</v>
      </c>
      <c r="D1846" s="53" t="s">
        <v>2883</v>
      </c>
      <c r="E1846" s="53" t="s">
        <v>3110</v>
      </c>
      <c r="F1846" s="53" t="s">
        <v>2882</v>
      </c>
      <c r="G1846" s="53" t="s">
        <v>2891</v>
      </c>
      <c r="H1846" s="53">
        <v>1.0</v>
      </c>
      <c r="I1846" s="53">
        <v>0.0547945205479452</v>
      </c>
      <c r="J1846" s="53">
        <v>3.0</v>
      </c>
      <c r="K1846" s="53" t="s">
        <v>53</v>
      </c>
      <c r="L1846" s="53" t="s">
        <v>53</v>
      </c>
    </row>
    <row r="1847" ht="15.75" customHeight="1">
      <c r="A1847" s="53" t="s">
        <v>411</v>
      </c>
      <c r="B1847" s="53" t="s">
        <v>2789</v>
      </c>
      <c r="D1847" s="53" t="s">
        <v>2883</v>
      </c>
      <c r="E1847" s="53" t="s">
        <v>3111</v>
      </c>
      <c r="F1847" s="53" t="s">
        <v>2882</v>
      </c>
      <c r="G1847" s="53" t="s">
        <v>2893</v>
      </c>
      <c r="H1847" s="53">
        <v>1.0</v>
      </c>
      <c r="I1847" s="53">
        <v>0.0547945205479452</v>
      </c>
      <c r="J1847" s="53">
        <v>1.0</v>
      </c>
      <c r="K1847" s="53" t="s">
        <v>53</v>
      </c>
      <c r="L1847" s="53" t="s">
        <v>53</v>
      </c>
    </row>
    <row r="1848" ht="15.75" customHeight="1">
      <c r="A1848" s="53" t="s">
        <v>411</v>
      </c>
      <c r="B1848" s="53" t="s">
        <v>2789</v>
      </c>
      <c r="D1848" s="53" t="s">
        <v>2883</v>
      </c>
      <c r="E1848" s="53" t="s">
        <v>3112</v>
      </c>
      <c r="F1848" s="53" t="s">
        <v>2882</v>
      </c>
      <c r="G1848" s="53" t="s">
        <v>2889</v>
      </c>
      <c r="H1848" s="53">
        <v>1.0</v>
      </c>
      <c r="I1848" s="53">
        <v>0.0625</v>
      </c>
      <c r="J1848" s="53">
        <v>7.0</v>
      </c>
      <c r="K1848" s="53" t="s">
        <v>53</v>
      </c>
      <c r="L1848" s="53" t="s">
        <v>53</v>
      </c>
    </row>
    <row r="1849" ht="15.75" customHeight="1">
      <c r="A1849" s="53" t="s">
        <v>411</v>
      </c>
      <c r="B1849" s="53" t="s">
        <v>2789</v>
      </c>
      <c r="D1849" s="53" t="s">
        <v>2883</v>
      </c>
      <c r="E1849" s="53" t="s">
        <v>3113</v>
      </c>
      <c r="F1849" s="53" t="s">
        <v>2882</v>
      </c>
      <c r="G1849" s="53" t="s">
        <v>2901</v>
      </c>
      <c r="H1849" s="53">
        <v>1.0</v>
      </c>
      <c r="I1849" s="53">
        <v>0.06293706293706294</v>
      </c>
      <c r="J1849" s="53">
        <v>6.0</v>
      </c>
      <c r="K1849" s="53" t="s">
        <v>53</v>
      </c>
      <c r="L1849" s="53" t="s">
        <v>53</v>
      </c>
    </row>
    <row r="1850" ht="15.75" customHeight="1">
      <c r="A1850" s="53" t="s">
        <v>411</v>
      </c>
      <c r="B1850" s="53" t="s">
        <v>2789</v>
      </c>
      <c r="D1850" s="53" t="s">
        <v>2883</v>
      </c>
      <c r="E1850" s="53" t="s">
        <v>3114</v>
      </c>
      <c r="F1850" s="53" t="s">
        <v>2882</v>
      </c>
      <c r="G1850" s="53" t="s">
        <v>2895</v>
      </c>
      <c r="H1850" s="53">
        <v>1.0</v>
      </c>
      <c r="I1850" s="53">
        <v>0.06896551724137931</v>
      </c>
      <c r="J1850" s="53">
        <v>5.0</v>
      </c>
      <c r="K1850" s="53" t="s">
        <v>53</v>
      </c>
      <c r="L1850" s="53" t="s">
        <v>53</v>
      </c>
    </row>
    <row r="1851" ht="15.75" customHeight="1">
      <c r="A1851" s="53" t="s">
        <v>411</v>
      </c>
      <c r="B1851" s="53" t="s">
        <v>2789</v>
      </c>
      <c r="D1851" s="53" t="s">
        <v>2883</v>
      </c>
      <c r="E1851" s="53" t="s">
        <v>3115</v>
      </c>
      <c r="F1851" s="53" t="s">
        <v>2882</v>
      </c>
      <c r="G1851" s="53" t="s">
        <v>2905</v>
      </c>
      <c r="H1851" s="53">
        <v>1.0</v>
      </c>
      <c r="I1851" s="53">
        <v>0.06944444444444445</v>
      </c>
      <c r="J1851" s="53">
        <v>12.0</v>
      </c>
      <c r="K1851" s="53" t="s">
        <v>53</v>
      </c>
      <c r="L1851" s="53" t="s">
        <v>53</v>
      </c>
    </row>
    <row r="1852" ht="15.75" customHeight="1">
      <c r="A1852" s="53" t="s">
        <v>411</v>
      </c>
      <c r="B1852" s="53" t="s">
        <v>2789</v>
      </c>
      <c r="D1852" s="53" t="s">
        <v>2883</v>
      </c>
      <c r="E1852" s="53" t="s">
        <v>3116</v>
      </c>
      <c r="F1852" s="53" t="s">
        <v>2882</v>
      </c>
      <c r="G1852" s="53" t="s">
        <v>2899</v>
      </c>
      <c r="H1852" s="53">
        <v>1.0</v>
      </c>
      <c r="I1852" s="53">
        <v>0.07042253521126761</v>
      </c>
      <c r="J1852" s="53">
        <v>9.0</v>
      </c>
      <c r="K1852" s="53" t="s">
        <v>53</v>
      </c>
      <c r="L1852" s="53" t="s">
        <v>53</v>
      </c>
    </row>
    <row r="1853" ht="15.75" customHeight="1">
      <c r="A1853" s="53" t="s">
        <v>411</v>
      </c>
      <c r="B1853" s="53" t="s">
        <v>2789</v>
      </c>
      <c r="D1853" s="53" t="s">
        <v>2883</v>
      </c>
      <c r="E1853" s="53" t="s">
        <v>3117</v>
      </c>
      <c r="F1853" s="53" t="s">
        <v>2882</v>
      </c>
      <c r="G1853" s="53" t="s">
        <v>2907</v>
      </c>
      <c r="H1853" s="53">
        <v>1.0</v>
      </c>
      <c r="I1853" s="53">
        <v>0.08163265306122448</v>
      </c>
      <c r="J1853" s="53">
        <v>27.0</v>
      </c>
      <c r="K1853" s="53" t="s">
        <v>53</v>
      </c>
      <c r="L1853" s="53" t="s">
        <v>53</v>
      </c>
    </row>
    <row r="1854" ht="15.75" customHeight="1">
      <c r="A1854" s="53" t="s">
        <v>411</v>
      </c>
      <c r="B1854" s="53" t="s">
        <v>2789</v>
      </c>
      <c r="D1854" s="53" t="s">
        <v>2883</v>
      </c>
      <c r="E1854" s="53" t="s">
        <v>3118</v>
      </c>
      <c r="F1854" s="53" t="s">
        <v>2882</v>
      </c>
      <c r="G1854" s="53" t="s">
        <v>2917</v>
      </c>
      <c r="H1854" s="53">
        <v>1.0</v>
      </c>
      <c r="I1854" s="53">
        <v>0.09271523178807947</v>
      </c>
      <c r="J1854" s="53">
        <v>28.0</v>
      </c>
      <c r="K1854" s="53" t="s">
        <v>53</v>
      </c>
      <c r="L1854" s="53" t="s">
        <v>53</v>
      </c>
    </row>
    <row r="1855" ht="15.75" customHeight="1">
      <c r="A1855" s="53" t="s">
        <v>411</v>
      </c>
      <c r="B1855" s="53" t="s">
        <v>2789</v>
      </c>
      <c r="D1855" s="53" t="s">
        <v>2883</v>
      </c>
      <c r="E1855" s="53" t="s">
        <v>3119</v>
      </c>
      <c r="F1855" s="53" t="s">
        <v>2882</v>
      </c>
      <c r="G1855" s="53" t="s">
        <v>2913</v>
      </c>
      <c r="H1855" s="53">
        <v>1.0</v>
      </c>
      <c r="I1855" s="53">
        <v>0.09333333333333334</v>
      </c>
      <c r="J1855" s="53">
        <v>8.0</v>
      </c>
      <c r="K1855" s="53" t="s">
        <v>53</v>
      </c>
      <c r="L1855" s="53" t="s">
        <v>53</v>
      </c>
    </row>
    <row r="1856" ht="15.75" customHeight="1">
      <c r="A1856" s="53" t="s">
        <v>411</v>
      </c>
      <c r="B1856" s="53" t="s">
        <v>2789</v>
      </c>
      <c r="D1856" s="53" t="s">
        <v>2883</v>
      </c>
      <c r="E1856" s="53" t="s">
        <v>3120</v>
      </c>
      <c r="F1856" s="53" t="s">
        <v>2882</v>
      </c>
      <c r="G1856" s="53" t="s">
        <v>2911</v>
      </c>
      <c r="H1856" s="53">
        <v>1.0</v>
      </c>
      <c r="I1856" s="53">
        <v>0.10666666666666667</v>
      </c>
      <c r="J1856" s="53">
        <v>10.0</v>
      </c>
      <c r="K1856" s="53" t="s">
        <v>53</v>
      </c>
      <c r="L1856" s="53" t="s">
        <v>53</v>
      </c>
    </row>
    <row r="1857" ht="15.75" customHeight="1">
      <c r="A1857" s="53" t="s">
        <v>411</v>
      </c>
      <c r="B1857" s="53" t="s">
        <v>2789</v>
      </c>
      <c r="D1857" s="53" t="s">
        <v>2883</v>
      </c>
      <c r="E1857" s="53" t="s">
        <v>3121</v>
      </c>
      <c r="F1857" s="53" t="s">
        <v>2882</v>
      </c>
      <c r="G1857" s="53" t="s">
        <v>2915</v>
      </c>
      <c r="H1857" s="53">
        <v>1.0</v>
      </c>
      <c r="I1857" s="53">
        <v>0.1111111111111111</v>
      </c>
      <c r="J1857" s="53">
        <v>19.0</v>
      </c>
      <c r="K1857" s="53" t="s">
        <v>53</v>
      </c>
      <c r="L1857" s="53" t="s">
        <v>53</v>
      </c>
    </row>
    <row r="1858" ht="15.75" customHeight="1">
      <c r="A1858" s="53" t="s">
        <v>411</v>
      </c>
      <c r="B1858" s="53" t="s">
        <v>2789</v>
      </c>
      <c r="D1858" s="53" t="s">
        <v>2883</v>
      </c>
      <c r="E1858" s="53" t="s">
        <v>3122</v>
      </c>
      <c r="F1858" s="53" t="s">
        <v>2882</v>
      </c>
      <c r="G1858" s="53" t="s">
        <v>2923</v>
      </c>
      <c r="H1858" s="53">
        <v>1.0</v>
      </c>
      <c r="I1858" s="53">
        <v>0.11538461538461539</v>
      </c>
      <c r="J1858" s="53">
        <v>20.0</v>
      </c>
      <c r="K1858" s="53" t="s">
        <v>53</v>
      </c>
      <c r="L1858" s="53" t="s">
        <v>53</v>
      </c>
    </row>
    <row r="1859" ht="15.75" customHeight="1">
      <c r="A1859" s="53" t="s">
        <v>411</v>
      </c>
      <c r="B1859" s="53" t="s">
        <v>2789</v>
      </c>
      <c r="D1859" s="53" t="s">
        <v>2883</v>
      </c>
      <c r="E1859" s="53" t="s">
        <v>3123</v>
      </c>
      <c r="F1859" s="53" t="s">
        <v>2882</v>
      </c>
      <c r="G1859" s="53" t="s">
        <v>2927</v>
      </c>
      <c r="H1859" s="53">
        <v>1.0</v>
      </c>
      <c r="I1859" s="53">
        <v>0.12738853503184713</v>
      </c>
      <c r="J1859" s="53">
        <v>23.0</v>
      </c>
      <c r="K1859" s="53" t="s">
        <v>53</v>
      </c>
      <c r="L1859" s="53" t="s">
        <v>53</v>
      </c>
    </row>
    <row r="1860" ht="15.75" customHeight="1">
      <c r="A1860" s="53" t="s">
        <v>411</v>
      </c>
      <c r="B1860" s="53" t="s">
        <v>2789</v>
      </c>
      <c r="D1860" s="53" t="s">
        <v>2883</v>
      </c>
      <c r="E1860" s="53" t="s">
        <v>3124</v>
      </c>
      <c r="F1860" s="53" t="s">
        <v>2882</v>
      </c>
      <c r="G1860" s="53" t="s">
        <v>2921</v>
      </c>
      <c r="H1860" s="53">
        <v>1.0</v>
      </c>
      <c r="I1860" s="53">
        <v>0.1337579617834395</v>
      </c>
      <c r="J1860" s="53">
        <v>22.0</v>
      </c>
      <c r="K1860" s="53" t="s">
        <v>53</v>
      </c>
      <c r="L1860" s="53" t="s">
        <v>53</v>
      </c>
    </row>
    <row r="1861" ht="15.75" customHeight="1">
      <c r="A1861" s="53" t="s">
        <v>411</v>
      </c>
      <c r="B1861" s="53" t="s">
        <v>2789</v>
      </c>
      <c r="D1861" s="53" t="s">
        <v>2883</v>
      </c>
      <c r="E1861" s="53" t="s">
        <v>3125</v>
      </c>
      <c r="F1861" s="53" t="s">
        <v>2882</v>
      </c>
      <c r="G1861" s="53" t="s">
        <v>2931</v>
      </c>
      <c r="H1861" s="53">
        <v>1.0</v>
      </c>
      <c r="I1861" s="53">
        <v>0.1375</v>
      </c>
      <c r="J1861" s="53">
        <v>18.0</v>
      </c>
      <c r="K1861" s="53" t="s">
        <v>53</v>
      </c>
      <c r="L1861" s="53" t="s">
        <v>53</v>
      </c>
    </row>
    <row r="1862" ht="15.75" customHeight="1">
      <c r="A1862" s="53" t="s">
        <v>411</v>
      </c>
      <c r="B1862" s="53" t="s">
        <v>2789</v>
      </c>
      <c r="D1862" s="53" t="s">
        <v>2883</v>
      </c>
      <c r="E1862" s="53" t="s">
        <v>3126</v>
      </c>
      <c r="F1862" s="53" t="s">
        <v>2882</v>
      </c>
      <c r="G1862" s="53" t="s">
        <v>2925</v>
      </c>
      <c r="H1862" s="53">
        <v>1.0</v>
      </c>
      <c r="I1862" s="53">
        <v>0.13836477987421383</v>
      </c>
      <c r="J1862" s="53">
        <v>26.0</v>
      </c>
      <c r="K1862" s="53" t="s">
        <v>53</v>
      </c>
      <c r="L1862" s="53" t="s">
        <v>53</v>
      </c>
    </row>
    <row r="1863" ht="15.75" customHeight="1">
      <c r="A1863" s="53" t="s">
        <v>411</v>
      </c>
      <c r="B1863" s="53" t="s">
        <v>2789</v>
      </c>
      <c r="D1863" s="53" t="s">
        <v>2883</v>
      </c>
      <c r="E1863" s="53" t="s">
        <v>3127</v>
      </c>
      <c r="F1863" s="53" t="s">
        <v>2882</v>
      </c>
      <c r="G1863" s="53" t="s">
        <v>2929</v>
      </c>
      <c r="H1863" s="53">
        <v>1.0</v>
      </c>
      <c r="I1863" s="53">
        <v>0.14285714285714285</v>
      </c>
      <c r="J1863" s="53">
        <v>24.0</v>
      </c>
      <c r="K1863" s="53" t="s">
        <v>53</v>
      </c>
      <c r="L1863" s="53" t="s">
        <v>53</v>
      </c>
    </row>
    <row r="1864" ht="15.75" customHeight="1">
      <c r="A1864" s="53" t="s">
        <v>411</v>
      </c>
      <c r="B1864" s="53" t="s">
        <v>2789</v>
      </c>
      <c r="D1864" s="53" t="s">
        <v>2883</v>
      </c>
      <c r="E1864" s="53" t="s">
        <v>3128</v>
      </c>
      <c r="F1864" s="53" t="s">
        <v>2882</v>
      </c>
      <c r="G1864" s="53" t="s">
        <v>2919</v>
      </c>
      <c r="H1864" s="53">
        <v>1.0</v>
      </c>
      <c r="I1864" s="53">
        <v>0.1509433962264151</v>
      </c>
      <c r="J1864" s="53">
        <v>21.0</v>
      </c>
      <c r="K1864" s="53" t="s">
        <v>53</v>
      </c>
      <c r="L1864" s="53" t="s">
        <v>53</v>
      </c>
    </row>
    <row r="1865" ht="15.75" customHeight="1">
      <c r="A1865" s="53" t="s">
        <v>411</v>
      </c>
      <c r="B1865" s="53" t="s">
        <v>2789</v>
      </c>
      <c r="D1865" s="53" t="s">
        <v>2883</v>
      </c>
      <c r="E1865" s="53" t="s">
        <v>3129</v>
      </c>
      <c r="F1865" s="53" t="s">
        <v>2882</v>
      </c>
      <c r="G1865" s="53" t="s">
        <v>2935</v>
      </c>
      <c r="H1865" s="53">
        <v>1.0</v>
      </c>
      <c r="I1865" s="53">
        <v>0.16981132075471697</v>
      </c>
      <c r="J1865" s="53">
        <v>15.0</v>
      </c>
      <c r="K1865" s="53" t="s">
        <v>53</v>
      </c>
      <c r="L1865" s="53" t="s">
        <v>53</v>
      </c>
    </row>
    <row r="1866" ht="15.75" customHeight="1">
      <c r="A1866" s="53" t="s">
        <v>411</v>
      </c>
      <c r="B1866" s="53" t="s">
        <v>2789</v>
      </c>
      <c r="D1866" s="53" t="s">
        <v>2883</v>
      </c>
      <c r="E1866" s="53" t="s">
        <v>3130</v>
      </c>
      <c r="F1866" s="53" t="s">
        <v>2882</v>
      </c>
      <c r="G1866" s="53" t="s">
        <v>2933</v>
      </c>
      <c r="H1866" s="53">
        <v>1.0</v>
      </c>
      <c r="I1866" s="53">
        <v>0.17857142857142858</v>
      </c>
      <c r="J1866" s="53">
        <v>25.0</v>
      </c>
      <c r="K1866" s="53" t="s">
        <v>53</v>
      </c>
      <c r="L1866" s="53" t="s">
        <v>53</v>
      </c>
    </row>
    <row r="1867" ht="15.75" customHeight="1">
      <c r="A1867" s="53" t="s">
        <v>411</v>
      </c>
      <c r="B1867" s="53" t="s">
        <v>2789</v>
      </c>
      <c r="D1867" s="53" t="s">
        <v>2883</v>
      </c>
      <c r="E1867" s="53" t="s">
        <v>3131</v>
      </c>
      <c r="F1867" s="53" t="s">
        <v>2882</v>
      </c>
      <c r="G1867" s="53" t="s">
        <v>2937</v>
      </c>
      <c r="H1867" s="53">
        <v>1.0</v>
      </c>
      <c r="I1867" s="53">
        <v>0.18620689655172415</v>
      </c>
      <c r="J1867" s="53">
        <v>33.0</v>
      </c>
      <c r="K1867" s="53" t="s">
        <v>53</v>
      </c>
      <c r="L1867" s="53" t="s">
        <v>53</v>
      </c>
    </row>
    <row r="1868" ht="15.75" customHeight="1">
      <c r="A1868" s="53" t="s">
        <v>411</v>
      </c>
      <c r="B1868" s="53" t="s">
        <v>2789</v>
      </c>
      <c r="D1868" s="53" t="s">
        <v>2883</v>
      </c>
      <c r="E1868" s="53" t="s">
        <v>3132</v>
      </c>
      <c r="F1868" s="53" t="s">
        <v>2882</v>
      </c>
      <c r="G1868" s="53" t="s">
        <v>2940</v>
      </c>
      <c r="H1868" s="53">
        <v>1.0</v>
      </c>
      <c r="I1868" s="53">
        <v>0.19014084507042253</v>
      </c>
      <c r="J1868" s="53">
        <v>13.0</v>
      </c>
      <c r="K1868" s="53" t="s">
        <v>53</v>
      </c>
      <c r="L1868" s="53" t="s">
        <v>53</v>
      </c>
    </row>
    <row r="1869" ht="15.75" customHeight="1">
      <c r="A1869" s="53" t="s">
        <v>411</v>
      </c>
      <c r="B1869" s="53" t="s">
        <v>2789</v>
      </c>
      <c r="D1869" s="53" t="s">
        <v>2883</v>
      </c>
      <c r="E1869" s="53" t="s">
        <v>3133</v>
      </c>
      <c r="F1869" s="53" t="s">
        <v>2882</v>
      </c>
      <c r="G1869" s="53" t="s">
        <v>2942</v>
      </c>
      <c r="H1869" s="53">
        <v>1.0</v>
      </c>
      <c r="I1869" s="53">
        <v>0.20945945945945946</v>
      </c>
      <c r="J1869" s="53">
        <v>34.0</v>
      </c>
      <c r="K1869" s="53" t="s">
        <v>53</v>
      </c>
      <c r="L1869" s="53" t="s">
        <v>53</v>
      </c>
    </row>
    <row r="1870" ht="15.75" customHeight="1">
      <c r="A1870" s="53" t="s">
        <v>411</v>
      </c>
      <c r="B1870" s="53" t="s">
        <v>2789</v>
      </c>
      <c r="D1870" s="53" t="s">
        <v>2883</v>
      </c>
      <c r="E1870" s="53" t="s">
        <v>3134</v>
      </c>
      <c r="F1870" s="53" t="s">
        <v>2882</v>
      </c>
      <c r="G1870" s="53" t="s">
        <v>2946</v>
      </c>
      <c r="H1870" s="53">
        <v>1.0</v>
      </c>
      <c r="I1870" s="53">
        <v>0.2138728323699422</v>
      </c>
      <c r="J1870" s="53">
        <v>0.0</v>
      </c>
      <c r="K1870" s="53" t="s">
        <v>53</v>
      </c>
      <c r="L1870" s="53" t="s">
        <v>53</v>
      </c>
    </row>
    <row r="1871" ht="15.75" customHeight="1">
      <c r="A1871" s="53" t="s">
        <v>411</v>
      </c>
      <c r="B1871" s="53" t="s">
        <v>2789</v>
      </c>
      <c r="D1871" s="53" t="s">
        <v>2883</v>
      </c>
      <c r="E1871" s="53" t="s">
        <v>3135</v>
      </c>
      <c r="F1871" s="53" t="s">
        <v>2882</v>
      </c>
      <c r="G1871" s="53" t="s">
        <v>2950</v>
      </c>
      <c r="H1871" s="53">
        <v>1.0</v>
      </c>
      <c r="I1871" s="53">
        <v>0.2155688622754491</v>
      </c>
      <c r="J1871" s="53">
        <v>14.0</v>
      </c>
      <c r="K1871" s="53" t="s">
        <v>53</v>
      </c>
      <c r="L1871" s="53" t="s">
        <v>53</v>
      </c>
    </row>
    <row r="1872" ht="15.75" customHeight="1">
      <c r="A1872" s="53" t="s">
        <v>411</v>
      </c>
      <c r="B1872" s="53" t="s">
        <v>2789</v>
      </c>
      <c r="D1872" s="53" t="s">
        <v>2883</v>
      </c>
      <c r="E1872" s="53" t="s">
        <v>3136</v>
      </c>
      <c r="F1872" s="53" t="s">
        <v>2882</v>
      </c>
      <c r="G1872" s="53" t="s">
        <v>2948</v>
      </c>
      <c r="H1872" s="53">
        <v>1.0</v>
      </c>
      <c r="I1872" s="53">
        <v>0.22</v>
      </c>
      <c r="J1872" s="53">
        <v>32.0</v>
      </c>
      <c r="K1872" s="53" t="s">
        <v>53</v>
      </c>
      <c r="L1872" s="53" t="s">
        <v>53</v>
      </c>
    </row>
    <row r="1873" ht="15.75" customHeight="1">
      <c r="A1873" s="53" t="s">
        <v>411</v>
      </c>
      <c r="B1873" s="53" t="s">
        <v>2789</v>
      </c>
      <c r="D1873" s="53" t="s">
        <v>2883</v>
      </c>
      <c r="E1873" s="53" t="s">
        <v>3137</v>
      </c>
      <c r="F1873" s="53" t="s">
        <v>2882</v>
      </c>
      <c r="G1873" s="53" t="s">
        <v>2944</v>
      </c>
      <c r="H1873" s="53">
        <v>1.0</v>
      </c>
      <c r="I1873" s="53">
        <v>0.23076923076923078</v>
      </c>
      <c r="J1873" s="53">
        <v>17.0</v>
      </c>
      <c r="K1873" s="53" t="s">
        <v>53</v>
      </c>
      <c r="L1873" s="53" t="s">
        <v>53</v>
      </c>
    </row>
    <row r="1874" ht="15.75" customHeight="1">
      <c r="A1874" s="53" t="s">
        <v>411</v>
      </c>
      <c r="B1874" s="53" t="s">
        <v>2789</v>
      </c>
      <c r="D1874" s="53" t="s">
        <v>2883</v>
      </c>
      <c r="E1874" s="53" t="s">
        <v>3138</v>
      </c>
      <c r="F1874" s="53" t="s">
        <v>2882</v>
      </c>
      <c r="G1874" s="53" t="s">
        <v>495</v>
      </c>
      <c r="H1874" s="53">
        <v>1.0</v>
      </c>
      <c r="I1874" s="53">
        <v>0.2465753424657534</v>
      </c>
      <c r="J1874" s="53">
        <v>31.0</v>
      </c>
      <c r="K1874" s="53" t="s">
        <v>53</v>
      </c>
      <c r="L1874" s="53" t="s">
        <v>53</v>
      </c>
    </row>
    <row r="1875" ht="15.75" customHeight="1">
      <c r="A1875" s="53" t="s">
        <v>411</v>
      </c>
      <c r="B1875" s="53" t="s">
        <v>2789</v>
      </c>
      <c r="D1875" s="53" t="s">
        <v>2883</v>
      </c>
      <c r="E1875" s="53" t="s">
        <v>3139</v>
      </c>
      <c r="F1875" s="53" t="s">
        <v>2882</v>
      </c>
      <c r="G1875" s="53" t="s">
        <v>2954</v>
      </c>
      <c r="H1875" s="53">
        <v>1.0</v>
      </c>
      <c r="I1875" s="53">
        <v>0.24666666666666667</v>
      </c>
      <c r="J1875" s="53">
        <v>11.0</v>
      </c>
      <c r="K1875" s="53" t="s">
        <v>53</v>
      </c>
      <c r="L1875" s="53" t="s">
        <v>53</v>
      </c>
    </row>
    <row r="1876" ht="15.75" customHeight="1">
      <c r="A1876" s="53" t="s">
        <v>411</v>
      </c>
      <c r="B1876" s="53" t="s">
        <v>2789</v>
      </c>
      <c r="D1876" s="53" t="s">
        <v>2883</v>
      </c>
      <c r="E1876" s="53" t="s">
        <v>3140</v>
      </c>
      <c r="F1876" s="53" t="s">
        <v>2882</v>
      </c>
      <c r="G1876" s="53" t="s">
        <v>485</v>
      </c>
      <c r="H1876" s="53">
        <v>1.0</v>
      </c>
      <c r="I1876" s="53">
        <v>0.25</v>
      </c>
      <c r="J1876" s="53">
        <v>29.0</v>
      </c>
      <c r="K1876" s="53" t="s">
        <v>53</v>
      </c>
      <c r="L1876" s="53" t="s">
        <v>53</v>
      </c>
    </row>
    <row r="1877" ht="15.75" customHeight="1">
      <c r="A1877" s="53" t="s">
        <v>411</v>
      </c>
      <c r="B1877" s="53" t="s">
        <v>2789</v>
      </c>
      <c r="D1877" s="53" t="s">
        <v>2883</v>
      </c>
      <c r="E1877" s="53" t="s">
        <v>3141</v>
      </c>
      <c r="F1877" s="53" t="s">
        <v>2882</v>
      </c>
      <c r="G1877" s="53" t="s">
        <v>474</v>
      </c>
      <c r="H1877" s="53">
        <v>1.0</v>
      </c>
      <c r="I1877" s="53">
        <v>0.2532467532467532</v>
      </c>
      <c r="J1877" s="53">
        <v>30.0</v>
      </c>
      <c r="K1877" s="53" t="s">
        <v>53</v>
      </c>
      <c r="L1877" s="53" t="s">
        <v>53</v>
      </c>
    </row>
    <row r="1878" ht="15.75" customHeight="1">
      <c r="A1878" s="53" t="s">
        <v>411</v>
      </c>
      <c r="B1878" s="53" t="s">
        <v>2789</v>
      </c>
      <c r="D1878" s="53" t="s">
        <v>2883</v>
      </c>
      <c r="E1878" s="53" t="s">
        <v>3142</v>
      </c>
      <c r="F1878" s="53" t="s">
        <v>2882</v>
      </c>
      <c r="G1878" s="53" t="s">
        <v>2957</v>
      </c>
      <c r="H1878" s="53">
        <v>1.0</v>
      </c>
      <c r="I1878" s="53">
        <v>0.27167630057803466</v>
      </c>
      <c r="J1878" s="53">
        <v>16.0</v>
      </c>
      <c r="K1878" s="53" t="s">
        <v>53</v>
      </c>
      <c r="L1878" s="53" t="s">
        <v>53</v>
      </c>
    </row>
    <row r="1879" ht="15.75" customHeight="1">
      <c r="A1879" s="53" t="s">
        <v>411</v>
      </c>
      <c r="B1879" s="53" t="s">
        <v>2789</v>
      </c>
      <c r="D1879" s="53" t="s">
        <v>2946</v>
      </c>
      <c r="E1879" s="53" t="s">
        <v>3143</v>
      </c>
      <c r="F1879" s="53" t="s">
        <v>2882</v>
      </c>
      <c r="G1879" s="53" t="s">
        <v>2917</v>
      </c>
      <c r="H1879" s="53">
        <v>1.0</v>
      </c>
      <c r="I1879" s="53">
        <v>0.20809248554913296</v>
      </c>
      <c r="J1879" s="53">
        <v>27.0</v>
      </c>
      <c r="K1879" s="53" t="s">
        <v>53</v>
      </c>
      <c r="L1879" s="53" t="s">
        <v>53</v>
      </c>
    </row>
    <row r="1880" ht="15.75" customHeight="1">
      <c r="A1880" s="53" t="s">
        <v>411</v>
      </c>
      <c r="B1880" s="53" t="s">
        <v>2789</v>
      </c>
      <c r="D1880" s="53" t="s">
        <v>2946</v>
      </c>
      <c r="E1880" s="53" t="s">
        <v>3144</v>
      </c>
      <c r="F1880" s="53" t="s">
        <v>2882</v>
      </c>
      <c r="G1880" s="53" t="s">
        <v>2905</v>
      </c>
      <c r="H1880" s="53">
        <v>1.0</v>
      </c>
      <c r="I1880" s="53">
        <v>0.20809248554913296</v>
      </c>
      <c r="J1880" s="53">
        <v>11.0</v>
      </c>
      <c r="K1880" s="53" t="s">
        <v>53</v>
      </c>
      <c r="L1880" s="53" t="s">
        <v>53</v>
      </c>
    </row>
    <row r="1881" ht="15.75" customHeight="1">
      <c r="A1881" s="53" t="s">
        <v>411</v>
      </c>
      <c r="B1881" s="53" t="s">
        <v>2789</v>
      </c>
      <c r="D1881" s="53" t="s">
        <v>2946</v>
      </c>
      <c r="E1881" s="53" t="s">
        <v>3145</v>
      </c>
      <c r="F1881" s="53" t="s">
        <v>2882</v>
      </c>
      <c r="G1881" s="53" t="s">
        <v>2901</v>
      </c>
      <c r="H1881" s="53">
        <v>1.0</v>
      </c>
      <c r="I1881" s="53">
        <v>0.20809248554913296</v>
      </c>
      <c r="J1881" s="53">
        <v>5.0</v>
      </c>
      <c r="K1881" s="53" t="s">
        <v>53</v>
      </c>
      <c r="L1881" s="53" t="s">
        <v>53</v>
      </c>
    </row>
    <row r="1882" ht="15.75" customHeight="1">
      <c r="A1882" s="53" t="s">
        <v>411</v>
      </c>
      <c r="B1882" s="53" t="s">
        <v>2789</v>
      </c>
      <c r="D1882" s="53" t="s">
        <v>2946</v>
      </c>
      <c r="E1882" s="53" t="s">
        <v>3146</v>
      </c>
      <c r="F1882" s="53" t="s">
        <v>2882</v>
      </c>
      <c r="G1882" s="53" t="s">
        <v>2889</v>
      </c>
      <c r="H1882" s="53">
        <v>1.0</v>
      </c>
      <c r="I1882" s="53">
        <v>0.20809248554913296</v>
      </c>
      <c r="J1882" s="53">
        <v>6.0</v>
      </c>
      <c r="K1882" s="53" t="s">
        <v>53</v>
      </c>
      <c r="L1882" s="53" t="s">
        <v>53</v>
      </c>
    </row>
    <row r="1883" ht="15.75" customHeight="1">
      <c r="A1883" s="53" t="s">
        <v>411</v>
      </c>
      <c r="B1883" s="53" t="s">
        <v>2789</v>
      </c>
      <c r="D1883" s="53" t="s">
        <v>2946</v>
      </c>
      <c r="E1883" s="53" t="s">
        <v>3147</v>
      </c>
      <c r="F1883" s="53" t="s">
        <v>2882</v>
      </c>
      <c r="G1883" s="53" t="s">
        <v>2895</v>
      </c>
      <c r="H1883" s="53">
        <v>1.0</v>
      </c>
      <c r="I1883" s="53">
        <v>0.2138728323699422</v>
      </c>
      <c r="J1883" s="53">
        <v>4.0</v>
      </c>
      <c r="K1883" s="53" t="s">
        <v>53</v>
      </c>
      <c r="L1883" s="53" t="s">
        <v>53</v>
      </c>
    </row>
    <row r="1884" ht="15.75" customHeight="1">
      <c r="A1884" s="53" t="s">
        <v>411</v>
      </c>
      <c r="B1884" s="53" t="s">
        <v>2789</v>
      </c>
      <c r="D1884" s="53" t="s">
        <v>2946</v>
      </c>
      <c r="E1884" s="53" t="s">
        <v>3148</v>
      </c>
      <c r="F1884" s="53" t="s">
        <v>2882</v>
      </c>
      <c r="G1884" s="53" t="s">
        <v>2911</v>
      </c>
      <c r="H1884" s="53">
        <v>1.0</v>
      </c>
      <c r="I1884" s="53">
        <v>0.2138728323699422</v>
      </c>
      <c r="J1884" s="53">
        <v>9.0</v>
      </c>
      <c r="K1884" s="53" t="s">
        <v>53</v>
      </c>
      <c r="L1884" s="53" t="s">
        <v>53</v>
      </c>
    </row>
    <row r="1885" ht="15.75" customHeight="1">
      <c r="A1885" s="53" t="s">
        <v>411</v>
      </c>
      <c r="B1885" s="53" t="s">
        <v>2789</v>
      </c>
      <c r="D1885" s="53" t="s">
        <v>2946</v>
      </c>
      <c r="E1885" s="53" t="s">
        <v>3149</v>
      </c>
      <c r="F1885" s="53" t="s">
        <v>2882</v>
      </c>
      <c r="G1885" s="53" t="s">
        <v>2923</v>
      </c>
      <c r="H1885" s="53">
        <v>1.0</v>
      </c>
      <c r="I1885" s="53">
        <v>0.2138728323699422</v>
      </c>
      <c r="J1885" s="53">
        <v>19.0</v>
      </c>
      <c r="K1885" s="53" t="s">
        <v>53</v>
      </c>
      <c r="L1885" s="53" t="s">
        <v>53</v>
      </c>
    </row>
    <row r="1886" ht="15.75" customHeight="1">
      <c r="A1886" s="53" t="s">
        <v>411</v>
      </c>
      <c r="B1886" s="53" t="s">
        <v>2789</v>
      </c>
      <c r="D1886" s="53" t="s">
        <v>2946</v>
      </c>
      <c r="E1886" s="53" t="s">
        <v>3150</v>
      </c>
      <c r="F1886" s="53" t="s">
        <v>2882</v>
      </c>
      <c r="G1886" s="53" t="s">
        <v>2897</v>
      </c>
      <c r="H1886" s="53">
        <v>1.0</v>
      </c>
      <c r="I1886" s="53">
        <v>0.2138728323699422</v>
      </c>
      <c r="J1886" s="53">
        <v>1.0</v>
      </c>
      <c r="K1886" s="53" t="s">
        <v>53</v>
      </c>
      <c r="L1886" s="53" t="s">
        <v>53</v>
      </c>
    </row>
    <row r="1887" ht="15.75" customHeight="1">
      <c r="A1887" s="53" t="s">
        <v>411</v>
      </c>
      <c r="B1887" s="53" t="s">
        <v>2789</v>
      </c>
      <c r="D1887" s="53" t="s">
        <v>2946</v>
      </c>
      <c r="E1887" s="53" t="s">
        <v>3151</v>
      </c>
      <c r="F1887" s="53" t="s">
        <v>2882</v>
      </c>
      <c r="G1887" s="53" t="s">
        <v>2891</v>
      </c>
      <c r="H1887" s="53">
        <v>1.0</v>
      </c>
      <c r="I1887" s="53">
        <v>0.2138728323699422</v>
      </c>
      <c r="J1887" s="53">
        <v>2.0</v>
      </c>
      <c r="K1887" s="53" t="s">
        <v>53</v>
      </c>
      <c r="L1887" s="53" t="s">
        <v>53</v>
      </c>
    </row>
    <row r="1888" ht="15.75" customHeight="1">
      <c r="A1888" s="53" t="s">
        <v>411</v>
      </c>
      <c r="B1888" s="53" t="s">
        <v>2789</v>
      </c>
      <c r="D1888" s="53" t="s">
        <v>2946</v>
      </c>
      <c r="E1888" s="53" t="s">
        <v>3152</v>
      </c>
      <c r="F1888" s="53" t="s">
        <v>2882</v>
      </c>
      <c r="G1888" s="53" t="s">
        <v>2899</v>
      </c>
      <c r="H1888" s="53">
        <v>1.0</v>
      </c>
      <c r="I1888" s="53">
        <v>0.2138728323699422</v>
      </c>
      <c r="J1888" s="53">
        <v>8.0</v>
      </c>
      <c r="K1888" s="53" t="s">
        <v>53</v>
      </c>
      <c r="L1888" s="53" t="s">
        <v>53</v>
      </c>
    </row>
    <row r="1889" ht="15.75" customHeight="1">
      <c r="A1889" s="53" t="s">
        <v>411</v>
      </c>
      <c r="B1889" s="53" t="s">
        <v>2789</v>
      </c>
      <c r="D1889" s="53" t="s">
        <v>2946</v>
      </c>
      <c r="E1889" s="53" t="s">
        <v>3153</v>
      </c>
      <c r="F1889" s="53" t="s">
        <v>2882</v>
      </c>
      <c r="G1889" s="53" t="s">
        <v>2913</v>
      </c>
      <c r="H1889" s="53">
        <v>1.0</v>
      </c>
      <c r="I1889" s="53">
        <v>0.2138728323699422</v>
      </c>
      <c r="J1889" s="53">
        <v>7.0</v>
      </c>
      <c r="K1889" s="53" t="s">
        <v>53</v>
      </c>
      <c r="L1889" s="53" t="s">
        <v>53</v>
      </c>
    </row>
    <row r="1890" ht="15.75" customHeight="1">
      <c r="A1890" s="53" t="s">
        <v>411</v>
      </c>
      <c r="B1890" s="53" t="s">
        <v>2789</v>
      </c>
      <c r="D1890" s="53" t="s">
        <v>2946</v>
      </c>
      <c r="E1890" s="53" t="s">
        <v>3154</v>
      </c>
      <c r="F1890" s="53" t="s">
        <v>2882</v>
      </c>
      <c r="G1890" s="53" t="s">
        <v>2907</v>
      </c>
      <c r="H1890" s="53">
        <v>1.0</v>
      </c>
      <c r="I1890" s="53">
        <v>0.2138728323699422</v>
      </c>
      <c r="J1890" s="53">
        <v>26.0</v>
      </c>
      <c r="K1890" s="53" t="s">
        <v>53</v>
      </c>
      <c r="L1890" s="53" t="s">
        <v>53</v>
      </c>
    </row>
    <row r="1891" ht="15.75" customHeight="1">
      <c r="A1891" s="53" t="s">
        <v>411</v>
      </c>
      <c r="B1891" s="53" t="s">
        <v>2789</v>
      </c>
      <c r="D1891" s="53" t="s">
        <v>2946</v>
      </c>
      <c r="E1891" s="53" t="s">
        <v>3155</v>
      </c>
      <c r="F1891" s="53" t="s">
        <v>2882</v>
      </c>
      <c r="G1891" s="53" t="s">
        <v>2929</v>
      </c>
      <c r="H1891" s="53">
        <v>1.0</v>
      </c>
      <c r="I1891" s="53">
        <v>0.2138728323699422</v>
      </c>
      <c r="J1891" s="53">
        <v>23.0</v>
      </c>
      <c r="K1891" s="53" t="s">
        <v>53</v>
      </c>
      <c r="L1891" s="53" t="s">
        <v>53</v>
      </c>
    </row>
    <row r="1892" ht="15.75" customHeight="1">
      <c r="A1892" s="53" t="s">
        <v>411</v>
      </c>
      <c r="B1892" s="53" t="s">
        <v>2789</v>
      </c>
      <c r="D1892" s="53" t="s">
        <v>2946</v>
      </c>
      <c r="E1892" s="53" t="s">
        <v>3156</v>
      </c>
      <c r="F1892" s="53" t="s">
        <v>2882</v>
      </c>
      <c r="G1892" s="53" t="s">
        <v>2887</v>
      </c>
      <c r="H1892" s="53">
        <v>1.0</v>
      </c>
      <c r="I1892" s="53">
        <v>0.2138728323699422</v>
      </c>
      <c r="J1892" s="53">
        <v>3.0</v>
      </c>
      <c r="K1892" s="53" t="s">
        <v>53</v>
      </c>
      <c r="L1892" s="53" t="s">
        <v>53</v>
      </c>
    </row>
    <row r="1893" ht="15.75" customHeight="1">
      <c r="A1893" s="53" t="s">
        <v>411</v>
      </c>
      <c r="B1893" s="53" t="s">
        <v>2789</v>
      </c>
      <c r="D1893" s="53" t="s">
        <v>2946</v>
      </c>
      <c r="E1893" s="53" t="s">
        <v>3157</v>
      </c>
      <c r="F1893" s="53" t="s">
        <v>2882</v>
      </c>
      <c r="G1893" s="53" t="s">
        <v>2927</v>
      </c>
      <c r="H1893" s="53">
        <v>1.0</v>
      </c>
      <c r="I1893" s="53">
        <v>0.21965317919075145</v>
      </c>
      <c r="J1893" s="53">
        <v>22.0</v>
      </c>
      <c r="K1893" s="53" t="s">
        <v>53</v>
      </c>
      <c r="L1893" s="53" t="s">
        <v>53</v>
      </c>
    </row>
    <row r="1894" ht="15.75" customHeight="1">
      <c r="A1894" s="53" t="s">
        <v>411</v>
      </c>
      <c r="B1894" s="53" t="s">
        <v>2789</v>
      </c>
      <c r="D1894" s="53" t="s">
        <v>2946</v>
      </c>
      <c r="E1894" s="53" t="s">
        <v>3158</v>
      </c>
      <c r="F1894" s="53" t="s">
        <v>2882</v>
      </c>
      <c r="G1894" s="53" t="s">
        <v>2933</v>
      </c>
      <c r="H1894" s="53">
        <v>1.0</v>
      </c>
      <c r="I1894" s="53">
        <v>0.21965317919075145</v>
      </c>
      <c r="J1894" s="53">
        <v>24.0</v>
      </c>
      <c r="K1894" s="53" t="s">
        <v>53</v>
      </c>
      <c r="L1894" s="53" t="s">
        <v>53</v>
      </c>
    </row>
    <row r="1895" ht="15.75" customHeight="1">
      <c r="A1895" s="53" t="s">
        <v>411</v>
      </c>
      <c r="B1895" s="53" t="s">
        <v>2789</v>
      </c>
      <c r="D1895" s="53" t="s">
        <v>2946</v>
      </c>
      <c r="E1895" s="53" t="s">
        <v>3159</v>
      </c>
      <c r="F1895" s="53" t="s">
        <v>2882</v>
      </c>
      <c r="G1895" s="53" t="s">
        <v>2915</v>
      </c>
      <c r="H1895" s="53">
        <v>1.0</v>
      </c>
      <c r="I1895" s="53">
        <v>0.21965317919075145</v>
      </c>
      <c r="J1895" s="53">
        <v>18.0</v>
      </c>
      <c r="K1895" s="53" t="s">
        <v>53</v>
      </c>
      <c r="L1895" s="53" t="s">
        <v>53</v>
      </c>
    </row>
    <row r="1896" ht="15.75" customHeight="1">
      <c r="A1896" s="53" t="s">
        <v>411</v>
      </c>
      <c r="B1896" s="53" t="s">
        <v>2789</v>
      </c>
      <c r="D1896" s="53" t="s">
        <v>2946</v>
      </c>
      <c r="E1896" s="53" t="s">
        <v>3160</v>
      </c>
      <c r="F1896" s="53" t="s">
        <v>2882</v>
      </c>
      <c r="G1896" s="53" t="s">
        <v>2925</v>
      </c>
      <c r="H1896" s="53">
        <v>1.0</v>
      </c>
      <c r="I1896" s="53">
        <v>0.21965317919075145</v>
      </c>
      <c r="J1896" s="53">
        <v>25.0</v>
      </c>
      <c r="K1896" s="53" t="s">
        <v>53</v>
      </c>
      <c r="L1896" s="53" t="s">
        <v>53</v>
      </c>
    </row>
    <row r="1897" ht="15.75" customHeight="1">
      <c r="A1897" s="53" t="s">
        <v>411</v>
      </c>
      <c r="B1897" s="53" t="s">
        <v>2789</v>
      </c>
      <c r="D1897" s="53" t="s">
        <v>2946</v>
      </c>
      <c r="E1897" s="53" t="s">
        <v>3161</v>
      </c>
      <c r="F1897" s="53" t="s">
        <v>2882</v>
      </c>
      <c r="G1897" s="53" t="s">
        <v>2893</v>
      </c>
      <c r="H1897" s="53">
        <v>1.0</v>
      </c>
      <c r="I1897" s="53">
        <v>0.21965317919075145</v>
      </c>
      <c r="J1897" s="53">
        <v>0.0</v>
      </c>
      <c r="K1897" s="53" t="s">
        <v>53</v>
      </c>
      <c r="L1897" s="53" t="s">
        <v>53</v>
      </c>
    </row>
    <row r="1898" ht="15.75" customHeight="1">
      <c r="A1898" s="53" t="s">
        <v>411</v>
      </c>
      <c r="B1898" s="53" t="s">
        <v>2789</v>
      </c>
      <c r="D1898" s="53" t="s">
        <v>2946</v>
      </c>
      <c r="E1898" s="53" t="s">
        <v>3162</v>
      </c>
      <c r="F1898" s="53" t="s">
        <v>2882</v>
      </c>
      <c r="G1898" s="53" t="s">
        <v>2921</v>
      </c>
      <c r="H1898" s="53">
        <v>1.0</v>
      </c>
      <c r="I1898" s="53">
        <v>0.21965317919075145</v>
      </c>
      <c r="J1898" s="53">
        <v>21.0</v>
      </c>
      <c r="K1898" s="53" t="s">
        <v>53</v>
      </c>
      <c r="L1898" s="53" t="s">
        <v>53</v>
      </c>
    </row>
    <row r="1899" ht="15.75" customHeight="1">
      <c r="A1899" s="53" t="s">
        <v>411</v>
      </c>
      <c r="B1899" s="53" t="s">
        <v>2789</v>
      </c>
      <c r="D1899" s="53" t="s">
        <v>2946</v>
      </c>
      <c r="E1899" s="53" t="s">
        <v>3163</v>
      </c>
      <c r="F1899" s="53" t="s">
        <v>2882</v>
      </c>
      <c r="G1899" s="53" t="s">
        <v>2919</v>
      </c>
      <c r="H1899" s="53">
        <v>1.0</v>
      </c>
      <c r="I1899" s="53">
        <v>0.2254335260115607</v>
      </c>
      <c r="J1899" s="53">
        <v>20.0</v>
      </c>
      <c r="K1899" s="53" t="s">
        <v>53</v>
      </c>
      <c r="L1899" s="53" t="s">
        <v>53</v>
      </c>
    </row>
    <row r="1900" ht="15.75" customHeight="1">
      <c r="A1900" s="53" t="s">
        <v>411</v>
      </c>
      <c r="B1900" s="53" t="s">
        <v>2789</v>
      </c>
      <c r="D1900" s="53" t="s">
        <v>2946</v>
      </c>
      <c r="E1900" s="53" t="s">
        <v>3164</v>
      </c>
      <c r="F1900" s="53" t="s">
        <v>2882</v>
      </c>
      <c r="G1900" s="53" t="s">
        <v>2931</v>
      </c>
      <c r="H1900" s="53">
        <v>1.0</v>
      </c>
      <c r="I1900" s="53">
        <v>0.2254335260115607</v>
      </c>
      <c r="J1900" s="53">
        <v>17.0</v>
      </c>
      <c r="K1900" s="53" t="s">
        <v>53</v>
      </c>
      <c r="L1900" s="53" t="s">
        <v>53</v>
      </c>
    </row>
    <row r="1901" ht="15.75" customHeight="1">
      <c r="A1901" s="53" t="s">
        <v>411</v>
      </c>
      <c r="B1901" s="53" t="s">
        <v>2789</v>
      </c>
      <c r="D1901" s="53" t="s">
        <v>2946</v>
      </c>
      <c r="E1901" s="53" t="s">
        <v>3165</v>
      </c>
      <c r="F1901" s="53" t="s">
        <v>2882</v>
      </c>
      <c r="G1901" s="53" t="s">
        <v>2935</v>
      </c>
      <c r="H1901" s="53">
        <v>1.0</v>
      </c>
      <c r="I1901" s="53">
        <v>0.24277456647398843</v>
      </c>
      <c r="J1901" s="53">
        <v>14.0</v>
      </c>
      <c r="K1901" s="53" t="s">
        <v>53</v>
      </c>
      <c r="L1901" s="53" t="s">
        <v>53</v>
      </c>
    </row>
    <row r="1902" ht="15.75" customHeight="1">
      <c r="A1902" s="53" t="s">
        <v>411</v>
      </c>
      <c r="B1902" s="53" t="s">
        <v>2789</v>
      </c>
      <c r="D1902" s="53" t="s">
        <v>2946</v>
      </c>
      <c r="E1902" s="53" t="s">
        <v>3166</v>
      </c>
      <c r="F1902" s="53" t="s">
        <v>2882</v>
      </c>
      <c r="G1902" s="53" t="s">
        <v>2944</v>
      </c>
      <c r="H1902" s="53">
        <v>1.0</v>
      </c>
      <c r="I1902" s="53">
        <v>0.2543352601156069</v>
      </c>
      <c r="J1902" s="53">
        <v>16.0</v>
      </c>
      <c r="K1902" s="53" t="s">
        <v>53</v>
      </c>
      <c r="L1902" s="53" t="s">
        <v>53</v>
      </c>
    </row>
    <row r="1903" ht="15.75" customHeight="1">
      <c r="A1903" s="53" t="s">
        <v>411</v>
      </c>
      <c r="B1903" s="53" t="s">
        <v>2789</v>
      </c>
      <c r="D1903" s="53" t="s">
        <v>2946</v>
      </c>
      <c r="E1903" s="53" t="s">
        <v>3167</v>
      </c>
      <c r="F1903" s="53" t="s">
        <v>2882</v>
      </c>
      <c r="G1903" s="53" t="s">
        <v>2957</v>
      </c>
      <c r="H1903" s="53">
        <v>1.0</v>
      </c>
      <c r="I1903" s="53">
        <v>0.2832369942196532</v>
      </c>
      <c r="J1903" s="53">
        <v>15.0</v>
      </c>
      <c r="K1903" s="53" t="s">
        <v>53</v>
      </c>
      <c r="L1903" s="53" t="s">
        <v>53</v>
      </c>
    </row>
    <row r="1904" ht="15.75" customHeight="1">
      <c r="A1904" s="53" t="s">
        <v>411</v>
      </c>
      <c r="B1904" s="53" t="s">
        <v>2789</v>
      </c>
      <c r="D1904" s="53" t="s">
        <v>2946</v>
      </c>
      <c r="E1904" s="53" t="s">
        <v>3168</v>
      </c>
      <c r="F1904" s="53" t="s">
        <v>2882</v>
      </c>
      <c r="G1904" s="53" t="s">
        <v>2950</v>
      </c>
      <c r="H1904" s="53">
        <v>1.0</v>
      </c>
      <c r="I1904" s="53">
        <v>0.28901734104046245</v>
      </c>
      <c r="J1904" s="53">
        <v>13.0</v>
      </c>
      <c r="K1904" s="53" t="s">
        <v>53</v>
      </c>
      <c r="L1904" s="53" t="s">
        <v>53</v>
      </c>
    </row>
    <row r="1905" ht="15.75" customHeight="1">
      <c r="A1905" s="53" t="s">
        <v>411</v>
      </c>
      <c r="B1905" s="53" t="s">
        <v>2789</v>
      </c>
      <c r="D1905" s="53" t="s">
        <v>2946</v>
      </c>
      <c r="E1905" s="53" t="s">
        <v>3169</v>
      </c>
      <c r="F1905" s="53" t="s">
        <v>2882</v>
      </c>
      <c r="G1905" s="53" t="s">
        <v>2937</v>
      </c>
      <c r="H1905" s="53">
        <v>1.0</v>
      </c>
      <c r="I1905" s="53">
        <v>0.30057803468208094</v>
      </c>
      <c r="J1905" s="53">
        <v>32.0</v>
      </c>
      <c r="K1905" s="53" t="s">
        <v>53</v>
      </c>
      <c r="L1905" s="53" t="s">
        <v>53</v>
      </c>
    </row>
    <row r="1906" ht="15.75" customHeight="1">
      <c r="A1906" s="53" t="s">
        <v>411</v>
      </c>
      <c r="B1906" s="53" t="s">
        <v>2789</v>
      </c>
      <c r="D1906" s="53" t="s">
        <v>2946</v>
      </c>
      <c r="E1906" s="53" t="s">
        <v>3170</v>
      </c>
      <c r="F1906" s="53" t="s">
        <v>2882</v>
      </c>
      <c r="G1906" s="53" t="s">
        <v>2940</v>
      </c>
      <c r="H1906" s="53">
        <v>1.0</v>
      </c>
      <c r="I1906" s="53">
        <v>0.30057803468208094</v>
      </c>
      <c r="J1906" s="53">
        <v>12.0</v>
      </c>
      <c r="K1906" s="53" t="s">
        <v>53</v>
      </c>
      <c r="L1906" s="53" t="s">
        <v>53</v>
      </c>
    </row>
    <row r="1907" ht="15.75" customHeight="1">
      <c r="A1907" s="53" t="s">
        <v>411</v>
      </c>
      <c r="B1907" s="53" t="s">
        <v>2789</v>
      </c>
      <c r="D1907" s="53" t="s">
        <v>2946</v>
      </c>
      <c r="E1907" s="53" t="s">
        <v>3171</v>
      </c>
      <c r="F1907" s="53" t="s">
        <v>2882</v>
      </c>
      <c r="G1907" s="53" t="s">
        <v>474</v>
      </c>
      <c r="H1907" s="53">
        <v>1.0</v>
      </c>
      <c r="I1907" s="53">
        <v>0.30057803468208094</v>
      </c>
      <c r="J1907" s="53">
        <v>29.0</v>
      </c>
      <c r="K1907" s="53" t="s">
        <v>53</v>
      </c>
      <c r="L1907" s="53" t="s">
        <v>53</v>
      </c>
    </row>
    <row r="1908" ht="15.75" customHeight="1">
      <c r="A1908" s="53" t="s">
        <v>411</v>
      </c>
      <c r="B1908" s="53" t="s">
        <v>2789</v>
      </c>
      <c r="D1908" s="53" t="s">
        <v>2946</v>
      </c>
      <c r="E1908" s="53" t="s">
        <v>3172</v>
      </c>
      <c r="F1908" s="53" t="s">
        <v>2882</v>
      </c>
      <c r="G1908" s="53" t="s">
        <v>485</v>
      </c>
      <c r="H1908" s="53">
        <v>1.0</v>
      </c>
      <c r="I1908" s="53">
        <v>0.3063583815028902</v>
      </c>
      <c r="J1908" s="53">
        <v>28.0</v>
      </c>
      <c r="K1908" s="53" t="s">
        <v>53</v>
      </c>
      <c r="L1908" s="53" t="s">
        <v>53</v>
      </c>
    </row>
    <row r="1909" ht="15.75" customHeight="1">
      <c r="A1909" s="53" t="s">
        <v>411</v>
      </c>
      <c r="B1909" s="53" t="s">
        <v>2789</v>
      </c>
      <c r="D1909" s="53" t="s">
        <v>2946</v>
      </c>
      <c r="E1909" s="53" t="s">
        <v>3173</v>
      </c>
      <c r="F1909" s="53" t="s">
        <v>2882</v>
      </c>
      <c r="G1909" s="53" t="s">
        <v>2954</v>
      </c>
      <c r="H1909" s="53">
        <v>1.0</v>
      </c>
      <c r="I1909" s="53">
        <v>0.31213872832369943</v>
      </c>
      <c r="J1909" s="53">
        <v>10.0</v>
      </c>
      <c r="K1909" s="53" t="s">
        <v>53</v>
      </c>
      <c r="L1909" s="53" t="s">
        <v>53</v>
      </c>
    </row>
    <row r="1910" ht="15.75" customHeight="1">
      <c r="A1910" s="53" t="s">
        <v>411</v>
      </c>
      <c r="B1910" s="53" t="s">
        <v>2789</v>
      </c>
      <c r="D1910" s="53" t="s">
        <v>2946</v>
      </c>
      <c r="E1910" s="53" t="s">
        <v>3174</v>
      </c>
      <c r="F1910" s="53" t="s">
        <v>2882</v>
      </c>
      <c r="G1910" s="53" t="s">
        <v>2942</v>
      </c>
      <c r="H1910" s="53">
        <v>1.0</v>
      </c>
      <c r="I1910" s="53">
        <v>0.32947976878612717</v>
      </c>
      <c r="J1910" s="53">
        <v>33.0</v>
      </c>
      <c r="K1910" s="53" t="s">
        <v>53</v>
      </c>
      <c r="L1910" s="53" t="s">
        <v>53</v>
      </c>
    </row>
    <row r="1911" ht="15.75" customHeight="1">
      <c r="A1911" s="53" t="s">
        <v>411</v>
      </c>
      <c r="B1911" s="53" t="s">
        <v>2789</v>
      </c>
      <c r="D1911" s="53" t="s">
        <v>2946</v>
      </c>
      <c r="E1911" s="53" t="s">
        <v>3175</v>
      </c>
      <c r="F1911" s="53" t="s">
        <v>2882</v>
      </c>
      <c r="G1911" s="53" t="s">
        <v>2948</v>
      </c>
      <c r="H1911" s="53">
        <v>1.0</v>
      </c>
      <c r="I1911" s="53">
        <v>0.3352601156069364</v>
      </c>
      <c r="J1911" s="53">
        <v>31.0</v>
      </c>
      <c r="K1911" s="53" t="s">
        <v>53</v>
      </c>
      <c r="L1911" s="53" t="s">
        <v>53</v>
      </c>
    </row>
    <row r="1912" ht="15.75" customHeight="1">
      <c r="A1912" s="53" t="s">
        <v>411</v>
      </c>
      <c r="B1912" s="53" t="s">
        <v>2789</v>
      </c>
      <c r="D1912" s="53" t="s">
        <v>2946</v>
      </c>
      <c r="E1912" s="53" t="s">
        <v>3176</v>
      </c>
      <c r="F1912" s="53" t="s">
        <v>2882</v>
      </c>
      <c r="G1912" s="53" t="s">
        <v>495</v>
      </c>
      <c r="H1912" s="53">
        <v>1.0</v>
      </c>
      <c r="I1912" s="53">
        <v>0.3468208092485549</v>
      </c>
      <c r="J1912" s="53">
        <v>30.0</v>
      </c>
      <c r="K1912" s="53" t="s">
        <v>53</v>
      </c>
      <c r="L1912" s="53" t="s">
        <v>53</v>
      </c>
    </row>
    <row r="1913" ht="15.75" customHeight="1">
      <c r="A1913" s="53" t="s">
        <v>411</v>
      </c>
      <c r="B1913" s="53" t="s">
        <v>2789</v>
      </c>
      <c r="D1913" s="53" t="s">
        <v>2893</v>
      </c>
      <c r="E1913" s="53" t="s">
        <v>3177</v>
      </c>
      <c r="F1913" s="53" t="s">
        <v>2882</v>
      </c>
      <c r="G1913" s="53" t="s">
        <v>2891</v>
      </c>
      <c r="H1913" s="53">
        <v>1.0</v>
      </c>
      <c r="I1913" s="53">
        <v>0.0136986301369863</v>
      </c>
      <c r="J1913" s="53">
        <v>1.0</v>
      </c>
      <c r="K1913" s="53" t="s">
        <v>53</v>
      </c>
      <c r="L1913" s="53" t="s">
        <v>53</v>
      </c>
    </row>
    <row r="1914" ht="15.75" customHeight="1">
      <c r="A1914" s="53" t="s">
        <v>411</v>
      </c>
      <c r="B1914" s="53" t="s">
        <v>2789</v>
      </c>
      <c r="D1914" s="53" t="s">
        <v>2893</v>
      </c>
      <c r="E1914" s="53" t="s">
        <v>3178</v>
      </c>
      <c r="F1914" s="53" t="s">
        <v>2882</v>
      </c>
      <c r="G1914" s="53" t="s">
        <v>2897</v>
      </c>
      <c r="H1914" s="53">
        <v>1.0</v>
      </c>
      <c r="I1914" s="53">
        <v>0.0273972602739726</v>
      </c>
      <c r="J1914" s="53">
        <v>0.0</v>
      </c>
      <c r="K1914" s="53" t="s">
        <v>53</v>
      </c>
      <c r="L1914" s="53" t="s">
        <v>53</v>
      </c>
    </row>
    <row r="1915" ht="15.75" customHeight="1">
      <c r="A1915" s="53" t="s">
        <v>411</v>
      </c>
      <c r="B1915" s="53" t="s">
        <v>2789</v>
      </c>
      <c r="D1915" s="53" t="s">
        <v>2893</v>
      </c>
      <c r="E1915" s="53" t="s">
        <v>3179</v>
      </c>
      <c r="F1915" s="53" t="s">
        <v>2882</v>
      </c>
      <c r="G1915" s="53" t="s">
        <v>2889</v>
      </c>
      <c r="H1915" s="53">
        <v>1.0</v>
      </c>
      <c r="I1915" s="53">
        <v>0.06164383561643835</v>
      </c>
      <c r="J1915" s="53">
        <v>5.0</v>
      </c>
      <c r="K1915" s="53" t="s">
        <v>53</v>
      </c>
      <c r="L1915" s="53" t="s">
        <v>53</v>
      </c>
    </row>
    <row r="1916" ht="15.75" customHeight="1">
      <c r="A1916" s="53" t="s">
        <v>411</v>
      </c>
      <c r="B1916" s="53" t="s">
        <v>2789</v>
      </c>
      <c r="D1916" s="53" t="s">
        <v>2893</v>
      </c>
      <c r="E1916" s="53" t="s">
        <v>3180</v>
      </c>
      <c r="F1916" s="53" t="s">
        <v>2882</v>
      </c>
      <c r="G1916" s="53" t="s">
        <v>2907</v>
      </c>
      <c r="H1916" s="53">
        <v>1.0</v>
      </c>
      <c r="I1916" s="53">
        <v>0.06802721088435375</v>
      </c>
      <c r="J1916" s="53">
        <v>25.0</v>
      </c>
      <c r="K1916" s="53" t="s">
        <v>53</v>
      </c>
      <c r="L1916" s="53" t="s">
        <v>53</v>
      </c>
    </row>
    <row r="1917" ht="15.75" customHeight="1">
      <c r="A1917" s="53" t="s">
        <v>411</v>
      </c>
      <c r="B1917" s="53" t="s">
        <v>2789</v>
      </c>
      <c r="D1917" s="53" t="s">
        <v>2893</v>
      </c>
      <c r="E1917" s="53" t="s">
        <v>3181</v>
      </c>
      <c r="F1917" s="53" t="s">
        <v>2882</v>
      </c>
      <c r="G1917" s="53" t="s">
        <v>2887</v>
      </c>
      <c r="H1917" s="53">
        <v>1.0</v>
      </c>
      <c r="I1917" s="53">
        <v>0.0684931506849315</v>
      </c>
      <c r="J1917" s="53">
        <v>2.0</v>
      </c>
      <c r="K1917" s="53" t="s">
        <v>53</v>
      </c>
      <c r="L1917" s="53" t="s">
        <v>53</v>
      </c>
    </row>
    <row r="1918" ht="15.75" customHeight="1">
      <c r="A1918" s="53" t="s">
        <v>411</v>
      </c>
      <c r="B1918" s="53" t="s">
        <v>2789</v>
      </c>
      <c r="D1918" s="53" t="s">
        <v>2893</v>
      </c>
      <c r="E1918" s="53" t="s">
        <v>3182</v>
      </c>
      <c r="F1918" s="53" t="s">
        <v>2882</v>
      </c>
      <c r="G1918" s="53" t="s">
        <v>2899</v>
      </c>
      <c r="H1918" s="53">
        <v>1.0</v>
      </c>
      <c r="I1918" s="53">
        <v>0.07534246575342465</v>
      </c>
      <c r="J1918" s="53">
        <v>7.0</v>
      </c>
      <c r="K1918" s="53" t="s">
        <v>53</v>
      </c>
      <c r="L1918" s="53" t="s">
        <v>53</v>
      </c>
    </row>
    <row r="1919" ht="15.75" customHeight="1">
      <c r="A1919" s="53" t="s">
        <v>411</v>
      </c>
      <c r="B1919" s="53" t="s">
        <v>2789</v>
      </c>
      <c r="D1919" s="53" t="s">
        <v>2893</v>
      </c>
      <c r="E1919" s="53" t="s">
        <v>3183</v>
      </c>
      <c r="F1919" s="53" t="s">
        <v>2882</v>
      </c>
      <c r="G1919" s="53" t="s">
        <v>2895</v>
      </c>
      <c r="H1919" s="53">
        <v>1.0</v>
      </c>
      <c r="I1919" s="53">
        <v>0.08904109589041095</v>
      </c>
      <c r="J1919" s="53">
        <v>3.0</v>
      </c>
      <c r="K1919" s="53" t="s">
        <v>53</v>
      </c>
      <c r="L1919" s="53" t="s">
        <v>53</v>
      </c>
    </row>
    <row r="1920" ht="15.75" customHeight="1">
      <c r="A1920" s="53" t="s">
        <v>411</v>
      </c>
      <c r="B1920" s="53" t="s">
        <v>2789</v>
      </c>
      <c r="D1920" s="53" t="s">
        <v>2893</v>
      </c>
      <c r="E1920" s="53" t="s">
        <v>3184</v>
      </c>
      <c r="F1920" s="53" t="s">
        <v>2882</v>
      </c>
      <c r="G1920" s="53" t="s">
        <v>2905</v>
      </c>
      <c r="H1920" s="53">
        <v>1.0</v>
      </c>
      <c r="I1920" s="53">
        <v>0.08904109589041095</v>
      </c>
      <c r="J1920" s="53">
        <v>10.0</v>
      </c>
      <c r="K1920" s="53" t="s">
        <v>53</v>
      </c>
      <c r="L1920" s="53" t="s">
        <v>53</v>
      </c>
    </row>
    <row r="1921" ht="15.75" customHeight="1">
      <c r="A1921" s="53" t="s">
        <v>411</v>
      </c>
      <c r="B1921" s="53" t="s">
        <v>2789</v>
      </c>
      <c r="D1921" s="53" t="s">
        <v>2893</v>
      </c>
      <c r="E1921" s="53" t="s">
        <v>3185</v>
      </c>
      <c r="F1921" s="53" t="s">
        <v>2882</v>
      </c>
      <c r="G1921" s="53" t="s">
        <v>2901</v>
      </c>
      <c r="H1921" s="53">
        <v>1.0</v>
      </c>
      <c r="I1921" s="53">
        <v>0.08904109589041095</v>
      </c>
      <c r="J1921" s="53">
        <v>4.0</v>
      </c>
      <c r="K1921" s="53" t="s">
        <v>53</v>
      </c>
      <c r="L1921" s="53" t="s">
        <v>53</v>
      </c>
    </row>
    <row r="1922" ht="15.75" customHeight="1">
      <c r="A1922" s="53" t="s">
        <v>411</v>
      </c>
      <c r="B1922" s="53" t="s">
        <v>2789</v>
      </c>
      <c r="D1922" s="53" t="s">
        <v>2893</v>
      </c>
      <c r="E1922" s="53" t="s">
        <v>3186</v>
      </c>
      <c r="F1922" s="53" t="s">
        <v>2882</v>
      </c>
      <c r="G1922" s="53" t="s">
        <v>2917</v>
      </c>
      <c r="H1922" s="53">
        <v>1.0</v>
      </c>
      <c r="I1922" s="53">
        <v>0.09271523178807947</v>
      </c>
      <c r="J1922" s="53">
        <v>26.0</v>
      </c>
      <c r="K1922" s="53" t="s">
        <v>53</v>
      </c>
      <c r="L1922" s="53" t="s">
        <v>53</v>
      </c>
    </row>
    <row r="1923" ht="15.75" customHeight="1">
      <c r="A1923" s="53" t="s">
        <v>411</v>
      </c>
      <c r="B1923" s="53" t="s">
        <v>2789</v>
      </c>
      <c r="D1923" s="53" t="s">
        <v>2893</v>
      </c>
      <c r="E1923" s="53" t="s">
        <v>3187</v>
      </c>
      <c r="F1923" s="53" t="s">
        <v>2882</v>
      </c>
      <c r="G1923" s="53" t="s">
        <v>2913</v>
      </c>
      <c r="H1923" s="53">
        <v>1.0</v>
      </c>
      <c r="I1923" s="53">
        <v>0.1</v>
      </c>
      <c r="J1923" s="53">
        <v>6.0</v>
      </c>
      <c r="K1923" s="53" t="s">
        <v>53</v>
      </c>
      <c r="L1923" s="53" t="s">
        <v>53</v>
      </c>
    </row>
    <row r="1924" ht="15.75" customHeight="1">
      <c r="A1924" s="53" t="s">
        <v>411</v>
      </c>
      <c r="B1924" s="53" t="s">
        <v>2789</v>
      </c>
      <c r="D1924" s="53" t="s">
        <v>2893</v>
      </c>
      <c r="E1924" s="53" t="s">
        <v>3188</v>
      </c>
      <c r="F1924" s="53" t="s">
        <v>2882</v>
      </c>
      <c r="G1924" s="53" t="s">
        <v>2915</v>
      </c>
      <c r="H1924" s="53">
        <v>1.0</v>
      </c>
      <c r="I1924" s="53">
        <v>0.10457516339869281</v>
      </c>
      <c r="J1924" s="53">
        <v>17.0</v>
      </c>
      <c r="K1924" s="53" t="s">
        <v>53</v>
      </c>
      <c r="L1924" s="53" t="s">
        <v>53</v>
      </c>
    </row>
    <row r="1925" ht="15.75" customHeight="1">
      <c r="A1925" s="53" t="s">
        <v>411</v>
      </c>
      <c r="B1925" s="53" t="s">
        <v>2789</v>
      </c>
      <c r="D1925" s="53" t="s">
        <v>2893</v>
      </c>
      <c r="E1925" s="53" t="s">
        <v>3189</v>
      </c>
      <c r="F1925" s="53" t="s">
        <v>2882</v>
      </c>
      <c r="G1925" s="53" t="s">
        <v>2911</v>
      </c>
      <c r="H1925" s="53">
        <v>1.0</v>
      </c>
      <c r="I1925" s="53">
        <v>0.10666666666666667</v>
      </c>
      <c r="J1925" s="53">
        <v>8.0</v>
      </c>
      <c r="K1925" s="53" t="s">
        <v>53</v>
      </c>
      <c r="L1925" s="53" t="s">
        <v>53</v>
      </c>
    </row>
    <row r="1926" ht="15.75" customHeight="1">
      <c r="A1926" s="53" t="s">
        <v>411</v>
      </c>
      <c r="B1926" s="53" t="s">
        <v>2789</v>
      </c>
      <c r="D1926" s="53" t="s">
        <v>2893</v>
      </c>
      <c r="E1926" s="53" t="s">
        <v>3190</v>
      </c>
      <c r="F1926" s="53" t="s">
        <v>2882</v>
      </c>
      <c r="G1926" s="53" t="s">
        <v>2927</v>
      </c>
      <c r="H1926" s="53">
        <v>1.0</v>
      </c>
      <c r="I1926" s="53">
        <v>0.12101910828025478</v>
      </c>
      <c r="J1926" s="53">
        <v>21.0</v>
      </c>
      <c r="K1926" s="53" t="s">
        <v>53</v>
      </c>
      <c r="L1926" s="53" t="s">
        <v>53</v>
      </c>
    </row>
    <row r="1927" ht="15.75" customHeight="1">
      <c r="A1927" s="53" t="s">
        <v>411</v>
      </c>
      <c r="B1927" s="53" t="s">
        <v>2789</v>
      </c>
      <c r="D1927" s="53" t="s">
        <v>2893</v>
      </c>
      <c r="E1927" s="53" t="s">
        <v>3191</v>
      </c>
      <c r="F1927" s="53" t="s">
        <v>2882</v>
      </c>
      <c r="G1927" s="53" t="s">
        <v>2925</v>
      </c>
      <c r="H1927" s="53">
        <v>1.0</v>
      </c>
      <c r="I1927" s="53">
        <v>0.12578616352201258</v>
      </c>
      <c r="J1927" s="53">
        <v>24.0</v>
      </c>
      <c r="K1927" s="53" t="s">
        <v>53</v>
      </c>
      <c r="L1927" s="53" t="s">
        <v>53</v>
      </c>
    </row>
    <row r="1928" ht="15.75" customHeight="1">
      <c r="A1928" s="53" t="s">
        <v>411</v>
      </c>
      <c r="B1928" s="53" t="s">
        <v>2789</v>
      </c>
      <c r="D1928" s="53" t="s">
        <v>2893</v>
      </c>
      <c r="E1928" s="53" t="s">
        <v>3192</v>
      </c>
      <c r="F1928" s="53" t="s">
        <v>2882</v>
      </c>
      <c r="G1928" s="53" t="s">
        <v>2931</v>
      </c>
      <c r="H1928" s="53">
        <v>1.0</v>
      </c>
      <c r="I1928" s="53">
        <v>0.13125</v>
      </c>
      <c r="J1928" s="53">
        <v>16.0</v>
      </c>
      <c r="K1928" s="53" t="s">
        <v>53</v>
      </c>
      <c r="L1928" s="53" t="s">
        <v>53</v>
      </c>
    </row>
    <row r="1929" ht="15.75" customHeight="1">
      <c r="A1929" s="53" t="s">
        <v>411</v>
      </c>
      <c r="B1929" s="53" t="s">
        <v>2789</v>
      </c>
      <c r="D1929" s="53" t="s">
        <v>2893</v>
      </c>
      <c r="E1929" s="53" t="s">
        <v>3193</v>
      </c>
      <c r="F1929" s="53" t="s">
        <v>2882</v>
      </c>
      <c r="G1929" s="53" t="s">
        <v>2921</v>
      </c>
      <c r="H1929" s="53">
        <v>1.0</v>
      </c>
      <c r="I1929" s="53">
        <v>0.1337579617834395</v>
      </c>
      <c r="J1929" s="53">
        <v>20.0</v>
      </c>
      <c r="K1929" s="53" t="s">
        <v>53</v>
      </c>
      <c r="L1929" s="53" t="s">
        <v>53</v>
      </c>
    </row>
    <row r="1930" ht="15.75" customHeight="1">
      <c r="A1930" s="53" t="s">
        <v>411</v>
      </c>
      <c r="B1930" s="53" t="s">
        <v>2789</v>
      </c>
      <c r="D1930" s="53" t="s">
        <v>2893</v>
      </c>
      <c r="E1930" s="53" t="s">
        <v>3194</v>
      </c>
      <c r="F1930" s="53" t="s">
        <v>2882</v>
      </c>
      <c r="G1930" s="53" t="s">
        <v>2923</v>
      </c>
      <c r="H1930" s="53">
        <v>1.0</v>
      </c>
      <c r="I1930" s="53">
        <v>0.1346153846153846</v>
      </c>
      <c r="J1930" s="53">
        <v>18.0</v>
      </c>
      <c r="K1930" s="53" t="s">
        <v>53</v>
      </c>
      <c r="L1930" s="53" t="s">
        <v>53</v>
      </c>
    </row>
    <row r="1931" ht="15.75" customHeight="1">
      <c r="A1931" s="53" t="s">
        <v>411</v>
      </c>
      <c r="B1931" s="53" t="s">
        <v>2789</v>
      </c>
      <c r="D1931" s="53" t="s">
        <v>2893</v>
      </c>
      <c r="E1931" s="53" t="s">
        <v>3195</v>
      </c>
      <c r="F1931" s="53" t="s">
        <v>2882</v>
      </c>
      <c r="G1931" s="53" t="s">
        <v>2919</v>
      </c>
      <c r="H1931" s="53">
        <v>1.0</v>
      </c>
      <c r="I1931" s="53">
        <v>0.13836477987421383</v>
      </c>
      <c r="J1931" s="53">
        <v>19.0</v>
      </c>
      <c r="K1931" s="53" t="s">
        <v>53</v>
      </c>
      <c r="L1931" s="53" t="s">
        <v>53</v>
      </c>
    </row>
    <row r="1932" ht="15.75" customHeight="1">
      <c r="A1932" s="53" t="s">
        <v>411</v>
      </c>
      <c r="B1932" s="53" t="s">
        <v>2789</v>
      </c>
      <c r="D1932" s="53" t="s">
        <v>2893</v>
      </c>
      <c r="E1932" s="53" t="s">
        <v>3196</v>
      </c>
      <c r="F1932" s="53" t="s">
        <v>2882</v>
      </c>
      <c r="G1932" s="53" t="s">
        <v>2929</v>
      </c>
      <c r="H1932" s="53">
        <v>1.0</v>
      </c>
      <c r="I1932" s="53">
        <v>0.15527950310559005</v>
      </c>
      <c r="J1932" s="53">
        <v>22.0</v>
      </c>
      <c r="K1932" s="53" t="s">
        <v>53</v>
      </c>
      <c r="L1932" s="53" t="s">
        <v>53</v>
      </c>
    </row>
    <row r="1933" ht="15.75" customHeight="1">
      <c r="A1933" s="53" t="s">
        <v>411</v>
      </c>
      <c r="B1933" s="53" t="s">
        <v>2789</v>
      </c>
      <c r="D1933" s="53" t="s">
        <v>2893</v>
      </c>
      <c r="E1933" s="53" t="s">
        <v>3197</v>
      </c>
      <c r="F1933" s="53" t="s">
        <v>2882</v>
      </c>
      <c r="G1933" s="53" t="s">
        <v>2933</v>
      </c>
      <c r="H1933" s="53">
        <v>1.0</v>
      </c>
      <c r="I1933" s="53">
        <v>0.17261904761904762</v>
      </c>
      <c r="J1933" s="53">
        <v>23.0</v>
      </c>
      <c r="K1933" s="53" t="s">
        <v>53</v>
      </c>
      <c r="L1933" s="53" t="s">
        <v>53</v>
      </c>
    </row>
    <row r="1934" ht="15.75" customHeight="1">
      <c r="A1934" s="53" t="s">
        <v>411</v>
      </c>
      <c r="B1934" s="53" t="s">
        <v>2789</v>
      </c>
      <c r="D1934" s="53" t="s">
        <v>2893</v>
      </c>
      <c r="E1934" s="53" t="s">
        <v>3198</v>
      </c>
      <c r="F1934" s="53" t="s">
        <v>2882</v>
      </c>
      <c r="G1934" s="53" t="s">
        <v>2935</v>
      </c>
      <c r="H1934" s="53">
        <v>1.0</v>
      </c>
      <c r="I1934" s="53">
        <v>0.18238993710691823</v>
      </c>
      <c r="J1934" s="53">
        <v>13.0</v>
      </c>
      <c r="K1934" s="53" t="s">
        <v>53</v>
      </c>
      <c r="L1934" s="53" t="s">
        <v>53</v>
      </c>
    </row>
    <row r="1935" ht="15.75" customHeight="1">
      <c r="A1935" s="53" t="s">
        <v>411</v>
      </c>
      <c r="B1935" s="53" t="s">
        <v>2789</v>
      </c>
      <c r="D1935" s="53" t="s">
        <v>2893</v>
      </c>
      <c r="E1935" s="53" t="s">
        <v>3199</v>
      </c>
      <c r="F1935" s="53" t="s">
        <v>2882</v>
      </c>
      <c r="G1935" s="53" t="s">
        <v>2937</v>
      </c>
      <c r="H1935" s="53">
        <v>1.0</v>
      </c>
      <c r="I1935" s="53">
        <v>0.1917808219178082</v>
      </c>
      <c r="J1935" s="53">
        <v>31.0</v>
      </c>
      <c r="K1935" s="53" t="s">
        <v>53</v>
      </c>
      <c r="L1935" s="53" t="s">
        <v>53</v>
      </c>
    </row>
    <row r="1936" ht="15.75" customHeight="1">
      <c r="A1936" s="53" t="s">
        <v>411</v>
      </c>
      <c r="B1936" s="53" t="s">
        <v>2789</v>
      </c>
      <c r="D1936" s="53" t="s">
        <v>2893</v>
      </c>
      <c r="E1936" s="53" t="s">
        <v>3200</v>
      </c>
      <c r="F1936" s="53" t="s">
        <v>2882</v>
      </c>
      <c r="G1936" s="53" t="s">
        <v>2940</v>
      </c>
      <c r="H1936" s="53">
        <v>1.0</v>
      </c>
      <c r="I1936" s="53">
        <v>0.2054794520547945</v>
      </c>
      <c r="J1936" s="53">
        <v>11.0</v>
      </c>
      <c r="K1936" s="53" t="s">
        <v>53</v>
      </c>
      <c r="L1936" s="53" t="s">
        <v>53</v>
      </c>
    </row>
    <row r="1937" ht="15.75" customHeight="1">
      <c r="A1937" s="53" t="s">
        <v>411</v>
      </c>
      <c r="B1937" s="53" t="s">
        <v>2789</v>
      </c>
      <c r="D1937" s="53" t="s">
        <v>2893</v>
      </c>
      <c r="E1937" s="53" t="s">
        <v>3201</v>
      </c>
      <c r="F1937" s="53" t="s">
        <v>2882</v>
      </c>
      <c r="G1937" s="53" t="s">
        <v>2950</v>
      </c>
      <c r="H1937" s="53">
        <v>1.0</v>
      </c>
      <c r="I1937" s="53">
        <v>0.2215568862275449</v>
      </c>
      <c r="J1937" s="53">
        <v>12.0</v>
      </c>
      <c r="K1937" s="53" t="s">
        <v>53</v>
      </c>
      <c r="L1937" s="53" t="s">
        <v>53</v>
      </c>
    </row>
    <row r="1938" ht="15.75" customHeight="1">
      <c r="A1938" s="53" t="s">
        <v>411</v>
      </c>
      <c r="B1938" s="53" t="s">
        <v>2789</v>
      </c>
      <c r="D1938" s="53" t="s">
        <v>2893</v>
      </c>
      <c r="E1938" s="53" t="s">
        <v>3202</v>
      </c>
      <c r="F1938" s="53" t="s">
        <v>2882</v>
      </c>
      <c r="G1938" s="53" t="s">
        <v>2942</v>
      </c>
      <c r="H1938" s="53">
        <v>1.0</v>
      </c>
      <c r="I1938" s="53">
        <v>0.22297297297297297</v>
      </c>
      <c r="J1938" s="53">
        <v>32.0</v>
      </c>
      <c r="K1938" s="53" t="s">
        <v>53</v>
      </c>
      <c r="L1938" s="53" t="s">
        <v>53</v>
      </c>
    </row>
    <row r="1939" ht="15.75" customHeight="1">
      <c r="A1939" s="53" t="s">
        <v>411</v>
      </c>
      <c r="B1939" s="53" t="s">
        <v>2789</v>
      </c>
      <c r="D1939" s="53" t="s">
        <v>2893</v>
      </c>
      <c r="E1939" s="53" t="s">
        <v>3203</v>
      </c>
      <c r="F1939" s="53" t="s">
        <v>2882</v>
      </c>
      <c r="G1939" s="53" t="s">
        <v>2948</v>
      </c>
      <c r="H1939" s="53">
        <v>1.0</v>
      </c>
      <c r="I1939" s="53">
        <v>0.23333333333333334</v>
      </c>
      <c r="J1939" s="53">
        <v>30.0</v>
      </c>
      <c r="K1939" s="53" t="s">
        <v>53</v>
      </c>
      <c r="L1939" s="53" t="s">
        <v>53</v>
      </c>
    </row>
    <row r="1940" ht="15.75" customHeight="1">
      <c r="A1940" s="53" t="s">
        <v>411</v>
      </c>
      <c r="B1940" s="53" t="s">
        <v>2789</v>
      </c>
      <c r="D1940" s="53" t="s">
        <v>2893</v>
      </c>
      <c r="E1940" s="53" t="s">
        <v>3204</v>
      </c>
      <c r="F1940" s="53" t="s">
        <v>2882</v>
      </c>
      <c r="G1940" s="53" t="s">
        <v>2944</v>
      </c>
      <c r="H1940" s="53">
        <v>1.0</v>
      </c>
      <c r="I1940" s="53">
        <v>0.23668639053254437</v>
      </c>
      <c r="J1940" s="53">
        <v>15.0</v>
      </c>
      <c r="K1940" s="53" t="s">
        <v>53</v>
      </c>
      <c r="L1940" s="53" t="s">
        <v>53</v>
      </c>
    </row>
    <row r="1941" ht="15.75" customHeight="1">
      <c r="A1941" s="53" t="s">
        <v>411</v>
      </c>
      <c r="B1941" s="53" t="s">
        <v>2789</v>
      </c>
      <c r="D1941" s="53" t="s">
        <v>2893</v>
      </c>
      <c r="E1941" s="53" t="s">
        <v>3205</v>
      </c>
      <c r="F1941" s="53" t="s">
        <v>2882</v>
      </c>
      <c r="G1941" s="53" t="s">
        <v>2954</v>
      </c>
      <c r="H1941" s="53">
        <v>1.0</v>
      </c>
      <c r="I1941" s="53">
        <v>0.24666666666666667</v>
      </c>
      <c r="J1941" s="53">
        <v>9.0</v>
      </c>
      <c r="K1941" s="53" t="s">
        <v>53</v>
      </c>
      <c r="L1941" s="53" t="s">
        <v>53</v>
      </c>
    </row>
    <row r="1942" ht="15.75" customHeight="1">
      <c r="A1942" s="53" t="s">
        <v>411</v>
      </c>
      <c r="B1942" s="53" t="s">
        <v>2789</v>
      </c>
      <c r="D1942" s="53" t="s">
        <v>2893</v>
      </c>
      <c r="E1942" s="53" t="s">
        <v>3206</v>
      </c>
      <c r="F1942" s="53" t="s">
        <v>2882</v>
      </c>
      <c r="G1942" s="53" t="s">
        <v>485</v>
      </c>
      <c r="H1942" s="53">
        <v>1.0</v>
      </c>
      <c r="I1942" s="53">
        <v>0.25</v>
      </c>
      <c r="J1942" s="53">
        <v>27.0</v>
      </c>
      <c r="K1942" s="53" t="s">
        <v>53</v>
      </c>
      <c r="L1942" s="53" t="s">
        <v>53</v>
      </c>
    </row>
    <row r="1943" ht="15.75" customHeight="1">
      <c r="A1943" s="53" t="s">
        <v>411</v>
      </c>
      <c r="B1943" s="53" t="s">
        <v>2789</v>
      </c>
      <c r="D1943" s="53" t="s">
        <v>2893</v>
      </c>
      <c r="E1943" s="53" t="s">
        <v>3207</v>
      </c>
      <c r="F1943" s="53" t="s">
        <v>2882</v>
      </c>
      <c r="G1943" s="53" t="s">
        <v>474</v>
      </c>
      <c r="H1943" s="53">
        <v>1.0</v>
      </c>
      <c r="I1943" s="53">
        <v>0.2597402597402597</v>
      </c>
      <c r="J1943" s="53">
        <v>28.0</v>
      </c>
      <c r="K1943" s="53" t="s">
        <v>53</v>
      </c>
      <c r="L1943" s="53" t="s">
        <v>53</v>
      </c>
    </row>
    <row r="1944" ht="15.75" customHeight="1">
      <c r="A1944" s="53" t="s">
        <v>411</v>
      </c>
      <c r="B1944" s="53" t="s">
        <v>2789</v>
      </c>
      <c r="D1944" s="53" t="s">
        <v>2893</v>
      </c>
      <c r="E1944" s="53" t="s">
        <v>3208</v>
      </c>
      <c r="F1944" s="53" t="s">
        <v>2882</v>
      </c>
      <c r="G1944" s="53" t="s">
        <v>495</v>
      </c>
      <c r="H1944" s="53">
        <v>1.0</v>
      </c>
      <c r="I1944" s="53">
        <v>0.2671232876712329</v>
      </c>
      <c r="J1944" s="53">
        <v>29.0</v>
      </c>
      <c r="K1944" s="53" t="s">
        <v>53</v>
      </c>
      <c r="L1944" s="53" t="s">
        <v>53</v>
      </c>
    </row>
    <row r="1945" ht="15.75" customHeight="1">
      <c r="A1945" s="53" t="s">
        <v>411</v>
      </c>
      <c r="B1945" s="53" t="s">
        <v>2789</v>
      </c>
      <c r="D1945" s="53" t="s">
        <v>2893</v>
      </c>
      <c r="E1945" s="53" t="s">
        <v>3209</v>
      </c>
      <c r="F1945" s="53" t="s">
        <v>2882</v>
      </c>
      <c r="G1945" s="53" t="s">
        <v>2957</v>
      </c>
      <c r="H1945" s="53">
        <v>1.0</v>
      </c>
      <c r="I1945" s="53">
        <v>0.2774566473988439</v>
      </c>
      <c r="J1945" s="53">
        <v>14.0</v>
      </c>
      <c r="K1945" s="53" t="s">
        <v>53</v>
      </c>
      <c r="L1945" s="53" t="s">
        <v>53</v>
      </c>
    </row>
    <row r="1946" ht="15.75" customHeight="1">
      <c r="A1946" s="53" t="s">
        <v>411</v>
      </c>
      <c r="B1946" s="53" t="s">
        <v>2789</v>
      </c>
      <c r="D1946" s="53" t="s">
        <v>2897</v>
      </c>
      <c r="E1946" s="53" t="s">
        <v>3210</v>
      </c>
      <c r="F1946" s="53" t="s">
        <v>2882</v>
      </c>
      <c r="G1946" s="53" t="s">
        <v>2891</v>
      </c>
      <c r="H1946" s="53">
        <v>1.0</v>
      </c>
      <c r="I1946" s="53">
        <v>0.0136986301369863</v>
      </c>
      <c r="J1946" s="53">
        <v>0.0</v>
      </c>
      <c r="K1946" s="53" t="s">
        <v>53</v>
      </c>
      <c r="L1946" s="53" t="s">
        <v>53</v>
      </c>
    </row>
    <row r="1947" ht="15.75" customHeight="1">
      <c r="A1947" s="53" t="s">
        <v>411</v>
      </c>
      <c r="B1947" s="53" t="s">
        <v>2789</v>
      </c>
      <c r="D1947" s="53" t="s">
        <v>2897</v>
      </c>
      <c r="E1947" s="53" t="s">
        <v>3211</v>
      </c>
      <c r="F1947" s="53" t="s">
        <v>2882</v>
      </c>
      <c r="G1947" s="53" t="s">
        <v>2889</v>
      </c>
      <c r="H1947" s="53">
        <v>1.0</v>
      </c>
      <c r="I1947" s="53">
        <v>0.06206896551724138</v>
      </c>
      <c r="J1947" s="53">
        <v>4.0</v>
      </c>
      <c r="K1947" s="53" t="s">
        <v>53</v>
      </c>
      <c r="L1947" s="53" t="s">
        <v>53</v>
      </c>
    </row>
    <row r="1948" ht="15.75" customHeight="1">
      <c r="A1948" s="53" t="s">
        <v>411</v>
      </c>
      <c r="B1948" s="53" t="s">
        <v>2789</v>
      </c>
      <c r="D1948" s="53" t="s">
        <v>2897</v>
      </c>
      <c r="E1948" s="53" t="s">
        <v>3212</v>
      </c>
      <c r="F1948" s="53" t="s">
        <v>2882</v>
      </c>
      <c r="G1948" s="53" t="s">
        <v>2907</v>
      </c>
      <c r="H1948" s="53">
        <v>1.0</v>
      </c>
      <c r="I1948" s="53">
        <v>0.06802721088435375</v>
      </c>
      <c r="J1948" s="53">
        <v>24.0</v>
      </c>
      <c r="K1948" s="53" t="s">
        <v>53</v>
      </c>
      <c r="L1948" s="53" t="s">
        <v>53</v>
      </c>
    </row>
    <row r="1949" ht="15.75" customHeight="1">
      <c r="A1949" s="53" t="s">
        <v>411</v>
      </c>
      <c r="B1949" s="53" t="s">
        <v>2789</v>
      </c>
      <c r="D1949" s="53" t="s">
        <v>2897</v>
      </c>
      <c r="E1949" s="53" t="s">
        <v>3213</v>
      </c>
      <c r="F1949" s="53" t="s">
        <v>2882</v>
      </c>
      <c r="G1949" s="53" t="s">
        <v>2887</v>
      </c>
      <c r="H1949" s="53">
        <v>1.0</v>
      </c>
      <c r="I1949" s="53">
        <v>0.06896551724137931</v>
      </c>
      <c r="J1949" s="53">
        <v>1.0</v>
      </c>
      <c r="K1949" s="53" t="s">
        <v>53</v>
      </c>
      <c r="L1949" s="53" t="s">
        <v>53</v>
      </c>
    </row>
    <row r="1950" ht="15.75" customHeight="1">
      <c r="A1950" s="53" t="s">
        <v>411</v>
      </c>
      <c r="B1950" s="53" t="s">
        <v>2789</v>
      </c>
      <c r="D1950" s="53" t="s">
        <v>2897</v>
      </c>
      <c r="E1950" s="53" t="s">
        <v>3214</v>
      </c>
      <c r="F1950" s="53" t="s">
        <v>2882</v>
      </c>
      <c r="G1950" s="53" t="s">
        <v>2899</v>
      </c>
      <c r="H1950" s="53">
        <v>1.0</v>
      </c>
      <c r="I1950" s="53">
        <v>0.07586206896551724</v>
      </c>
      <c r="J1950" s="53">
        <v>6.0</v>
      </c>
      <c r="K1950" s="53" t="s">
        <v>53</v>
      </c>
      <c r="L1950" s="53" t="s">
        <v>53</v>
      </c>
    </row>
    <row r="1951" ht="15.75" customHeight="1">
      <c r="A1951" s="53" t="s">
        <v>411</v>
      </c>
      <c r="B1951" s="53" t="s">
        <v>2789</v>
      </c>
      <c r="D1951" s="53" t="s">
        <v>2897</v>
      </c>
      <c r="E1951" s="53" t="s">
        <v>3215</v>
      </c>
      <c r="F1951" s="53" t="s">
        <v>2882</v>
      </c>
      <c r="G1951" s="53" t="s">
        <v>2895</v>
      </c>
      <c r="H1951" s="53">
        <v>1.0</v>
      </c>
      <c r="I1951" s="53">
        <v>0.08275862068965517</v>
      </c>
      <c r="J1951" s="53">
        <v>2.0</v>
      </c>
      <c r="K1951" s="53" t="s">
        <v>53</v>
      </c>
      <c r="L1951" s="53" t="s">
        <v>53</v>
      </c>
    </row>
    <row r="1952" ht="15.75" customHeight="1">
      <c r="A1952" s="53" t="s">
        <v>411</v>
      </c>
      <c r="B1952" s="53" t="s">
        <v>2789</v>
      </c>
      <c r="D1952" s="53" t="s">
        <v>2897</v>
      </c>
      <c r="E1952" s="53" t="s">
        <v>3216</v>
      </c>
      <c r="F1952" s="53" t="s">
        <v>2882</v>
      </c>
      <c r="G1952" s="53" t="s">
        <v>2905</v>
      </c>
      <c r="H1952" s="53">
        <v>1.0</v>
      </c>
      <c r="I1952" s="53">
        <v>0.08275862068965517</v>
      </c>
      <c r="J1952" s="53">
        <v>9.0</v>
      </c>
      <c r="K1952" s="53" t="s">
        <v>53</v>
      </c>
      <c r="L1952" s="53" t="s">
        <v>53</v>
      </c>
    </row>
    <row r="1953" ht="15.75" customHeight="1">
      <c r="A1953" s="53" t="s">
        <v>411</v>
      </c>
      <c r="B1953" s="53" t="s">
        <v>2789</v>
      </c>
      <c r="D1953" s="53" t="s">
        <v>2897</v>
      </c>
      <c r="E1953" s="53" t="s">
        <v>3217</v>
      </c>
      <c r="F1953" s="53" t="s">
        <v>2882</v>
      </c>
      <c r="G1953" s="53" t="s">
        <v>2901</v>
      </c>
      <c r="H1953" s="53">
        <v>1.0</v>
      </c>
      <c r="I1953" s="53">
        <v>0.08275862068965517</v>
      </c>
      <c r="J1953" s="53">
        <v>3.0</v>
      </c>
      <c r="K1953" s="53" t="s">
        <v>53</v>
      </c>
      <c r="L1953" s="53" t="s">
        <v>53</v>
      </c>
    </row>
    <row r="1954" ht="15.75" customHeight="1">
      <c r="A1954" s="53" t="s">
        <v>411</v>
      </c>
      <c r="B1954" s="53" t="s">
        <v>2789</v>
      </c>
      <c r="D1954" s="53" t="s">
        <v>2897</v>
      </c>
      <c r="E1954" s="53" t="s">
        <v>3218</v>
      </c>
      <c r="F1954" s="53" t="s">
        <v>2882</v>
      </c>
      <c r="G1954" s="53" t="s">
        <v>2917</v>
      </c>
      <c r="H1954" s="53">
        <v>1.0</v>
      </c>
      <c r="I1954" s="53">
        <v>0.09271523178807947</v>
      </c>
      <c r="J1954" s="53">
        <v>25.0</v>
      </c>
      <c r="K1954" s="53" t="s">
        <v>53</v>
      </c>
      <c r="L1954" s="53" t="s">
        <v>53</v>
      </c>
    </row>
    <row r="1955" ht="15.75" customHeight="1">
      <c r="A1955" s="53" t="s">
        <v>411</v>
      </c>
      <c r="B1955" s="53" t="s">
        <v>2789</v>
      </c>
      <c r="D1955" s="53" t="s">
        <v>2897</v>
      </c>
      <c r="E1955" s="53" t="s">
        <v>3219</v>
      </c>
      <c r="F1955" s="53" t="s">
        <v>2882</v>
      </c>
      <c r="G1955" s="53" t="s">
        <v>2913</v>
      </c>
      <c r="H1955" s="53">
        <v>1.0</v>
      </c>
      <c r="I1955" s="53">
        <v>0.09333333333333334</v>
      </c>
      <c r="J1955" s="53">
        <v>5.0</v>
      </c>
      <c r="K1955" s="53" t="s">
        <v>53</v>
      </c>
      <c r="L1955" s="53" t="s">
        <v>53</v>
      </c>
    </row>
    <row r="1956" ht="15.75" customHeight="1">
      <c r="A1956" s="53" t="s">
        <v>411</v>
      </c>
      <c r="B1956" s="53" t="s">
        <v>2789</v>
      </c>
      <c r="D1956" s="53" t="s">
        <v>2897</v>
      </c>
      <c r="E1956" s="53" t="s">
        <v>3220</v>
      </c>
      <c r="F1956" s="53" t="s">
        <v>2882</v>
      </c>
      <c r="G1956" s="53" t="s">
        <v>2911</v>
      </c>
      <c r="H1956" s="53">
        <v>1.0</v>
      </c>
      <c r="I1956" s="53">
        <v>0.10666666666666667</v>
      </c>
      <c r="J1956" s="53">
        <v>7.0</v>
      </c>
      <c r="K1956" s="53" t="s">
        <v>53</v>
      </c>
      <c r="L1956" s="53" t="s">
        <v>53</v>
      </c>
    </row>
    <row r="1957" ht="15.75" customHeight="1">
      <c r="A1957" s="53" t="s">
        <v>411</v>
      </c>
      <c r="B1957" s="53" t="s">
        <v>2789</v>
      </c>
      <c r="D1957" s="53" t="s">
        <v>2897</v>
      </c>
      <c r="E1957" s="53" t="s">
        <v>3221</v>
      </c>
      <c r="F1957" s="53" t="s">
        <v>2882</v>
      </c>
      <c r="G1957" s="53" t="s">
        <v>2915</v>
      </c>
      <c r="H1957" s="53">
        <v>1.0</v>
      </c>
      <c r="I1957" s="53">
        <v>0.1111111111111111</v>
      </c>
      <c r="J1957" s="53">
        <v>16.0</v>
      </c>
      <c r="K1957" s="53" t="s">
        <v>53</v>
      </c>
      <c r="L1957" s="53" t="s">
        <v>53</v>
      </c>
    </row>
    <row r="1958" ht="15.75" customHeight="1">
      <c r="A1958" s="53" t="s">
        <v>411</v>
      </c>
      <c r="B1958" s="53" t="s">
        <v>2789</v>
      </c>
      <c r="D1958" s="53" t="s">
        <v>2897</v>
      </c>
      <c r="E1958" s="53" t="s">
        <v>3222</v>
      </c>
      <c r="F1958" s="53" t="s">
        <v>2882</v>
      </c>
      <c r="G1958" s="53" t="s">
        <v>2927</v>
      </c>
      <c r="H1958" s="53">
        <v>1.0</v>
      </c>
      <c r="I1958" s="53">
        <v>0.12738853503184713</v>
      </c>
      <c r="J1958" s="53">
        <v>20.0</v>
      </c>
      <c r="K1958" s="53" t="s">
        <v>53</v>
      </c>
      <c r="L1958" s="53" t="s">
        <v>53</v>
      </c>
    </row>
    <row r="1959" ht="15.75" customHeight="1">
      <c r="A1959" s="53" t="s">
        <v>411</v>
      </c>
      <c r="B1959" s="53" t="s">
        <v>2789</v>
      </c>
      <c r="D1959" s="53" t="s">
        <v>2897</v>
      </c>
      <c r="E1959" s="53" t="s">
        <v>3223</v>
      </c>
      <c r="F1959" s="53" t="s">
        <v>2882</v>
      </c>
      <c r="G1959" s="53" t="s">
        <v>2923</v>
      </c>
      <c r="H1959" s="53">
        <v>1.0</v>
      </c>
      <c r="I1959" s="53">
        <v>0.1282051282051282</v>
      </c>
      <c r="J1959" s="53">
        <v>17.0</v>
      </c>
      <c r="K1959" s="53" t="s">
        <v>53</v>
      </c>
      <c r="L1959" s="53" t="s">
        <v>53</v>
      </c>
    </row>
    <row r="1960" ht="15.75" customHeight="1">
      <c r="A1960" s="53" t="s">
        <v>411</v>
      </c>
      <c r="B1960" s="53" t="s">
        <v>2789</v>
      </c>
      <c r="D1960" s="53" t="s">
        <v>2897</v>
      </c>
      <c r="E1960" s="53" t="s">
        <v>3224</v>
      </c>
      <c r="F1960" s="53" t="s">
        <v>2882</v>
      </c>
      <c r="G1960" s="53" t="s">
        <v>2931</v>
      </c>
      <c r="H1960" s="53">
        <v>1.0</v>
      </c>
      <c r="I1960" s="53">
        <v>0.13125</v>
      </c>
      <c r="J1960" s="53">
        <v>15.0</v>
      </c>
      <c r="K1960" s="53" t="s">
        <v>53</v>
      </c>
      <c r="L1960" s="53" t="s">
        <v>53</v>
      </c>
    </row>
    <row r="1961" ht="15.75" customHeight="1">
      <c r="A1961" s="53" t="s">
        <v>411</v>
      </c>
      <c r="B1961" s="53" t="s">
        <v>2789</v>
      </c>
      <c r="D1961" s="53" t="s">
        <v>2897</v>
      </c>
      <c r="E1961" s="53" t="s">
        <v>3225</v>
      </c>
      <c r="F1961" s="53" t="s">
        <v>2882</v>
      </c>
      <c r="G1961" s="53" t="s">
        <v>2921</v>
      </c>
      <c r="H1961" s="53">
        <v>1.0</v>
      </c>
      <c r="I1961" s="53">
        <v>0.1337579617834395</v>
      </c>
      <c r="J1961" s="53">
        <v>19.0</v>
      </c>
      <c r="K1961" s="53" t="s">
        <v>53</v>
      </c>
      <c r="L1961" s="53" t="s">
        <v>53</v>
      </c>
    </row>
    <row r="1962" ht="15.75" customHeight="1">
      <c r="A1962" s="53" t="s">
        <v>411</v>
      </c>
      <c r="B1962" s="53" t="s">
        <v>2789</v>
      </c>
      <c r="D1962" s="53" t="s">
        <v>2897</v>
      </c>
      <c r="E1962" s="53" t="s">
        <v>3226</v>
      </c>
      <c r="F1962" s="53" t="s">
        <v>2882</v>
      </c>
      <c r="G1962" s="53" t="s">
        <v>2925</v>
      </c>
      <c r="H1962" s="53">
        <v>1.0</v>
      </c>
      <c r="I1962" s="53">
        <v>0.13836477987421383</v>
      </c>
      <c r="J1962" s="53">
        <v>23.0</v>
      </c>
      <c r="K1962" s="53" t="s">
        <v>53</v>
      </c>
      <c r="L1962" s="53" t="s">
        <v>53</v>
      </c>
    </row>
    <row r="1963" ht="15.75" customHeight="1">
      <c r="A1963" s="53" t="s">
        <v>411</v>
      </c>
      <c r="B1963" s="53" t="s">
        <v>2789</v>
      </c>
      <c r="D1963" s="53" t="s">
        <v>2897</v>
      </c>
      <c r="E1963" s="53" t="s">
        <v>3227</v>
      </c>
      <c r="F1963" s="53" t="s">
        <v>2882</v>
      </c>
      <c r="G1963" s="53" t="s">
        <v>2919</v>
      </c>
      <c r="H1963" s="53">
        <v>1.0</v>
      </c>
      <c r="I1963" s="53">
        <v>0.14465408805031446</v>
      </c>
      <c r="J1963" s="53">
        <v>18.0</v>
      </c>
      <c r="K1963" s="53" t="s">
        <v>53</v>
      </c>
      <c r="L1963" s="53" t="s">
        <v>53</v>
      </c>
    </row>
    <row r="1964" ht="15.75" customHeight="1">
      <c r="A1964" s="53" t="s">
        <v>411</v>
      </c>
      <c r="B1964" s="53" t="s">
        <v>2789</v>
      </c>
      <c r="D1964" s="53" t="s">
        <v>2897</v>
      </c>
      <c r="E1964" s="53" t="s">
        <v>3228</v>
      </c>
      <c r="F1964" s="53" t="s">
        <v>2882</v>
      </c>
      <c r="G1964" s="53" t="s">
        <v>2929</v>
      </c>
      <c r="H1964" s="53">
        <v>1.0</v>
      </c>
      <c r="I1964" s="53">
        <v>0.15527950310559005</v>
      </c>
      <c r="J1964" s="53">
        <v>21.0</v>
      </c>
      <c r="K1964" s="53" t="s">
        <v>53</v>
      </c>
      <c r="L1964" s="53" t="s">
        <v>53</v>
      </c>
    </row>
    <row r="1965" ht="15.75" customHeight="1">
      <c r="A1965" s="53" t="s">
        <v>411</v>
      </c>
      <c r="B1965" s="53" t="s">
        <v>2789</v>
      </c>
      <c r="D1965" s="53" t="s">
        <v>2897</v>
      </c>
      <c r="E1965" s="53" t="s">
        <v>3229</v>
      </c>
      <c r="F1965" s="53" t="s">
        <v>2882</v>
      </c>
      <c r="G1965" s="53" t="s">
        <v>2935</v>
      </c>
      <c r="H1965" s="53">
        <v>1.0</v>
      </c>
      <c r="I1965" s="53">
        <v>0.16981132075471697</v>
      </c>
      <c r="J1965" s="53">
        <v>12.0</v>
      </c>
      <c r="K1965" s="53" t="s">
        <v>53</v>
      </c>
      <c r="L1965" s="53" t="s">
        <v>53</v>
      </c>
    </row>
    <row r="1966" ht="15.75" customHeight="1">
      <c r="A1966" s="53" t="s">
        <v>411</v>
      </c>
      <c r="B1966" s="53" t="s">
        <v>2789</v>
      </c>
      <c r="D1966" s="53" t="s">
        <v>2897</v>
      </c>
      <c r="E1966" s="53" t="s">
        <v>3230</v>
      </c>
      <c r="F1966" s="53" t="s">
        <v>2882</v>
      </c>
      <c r="G1966" s="53" t="s">
        <v>2933</v>
      </c>
      <c r="H1966" s="53">
        <v>1.0</v>
      </c>
      <c r="I1966" s="53">
        <v>0.18452380952380953</v>
      </c>
      <c r="J1966" s="53">
        <v>22.0</v>
      </c>
      <c r="K1966" s="53" t="s">
        <v>53</v>
      </c>
      <c r="L1966" s="53" t="s">
        <v>53</v>
      </c>
    </row>
    <row r="1967" ht="15.75" customHeight="1">
      <c r="A1967" s="53" t="s">
        <v>411</v>
      </c>
      <c r="B1967" s="53" t="s">
        <v>2789</v>
      </c>
      <c r="D1967" s="53" t="s">
        <v>2897</v>
      </c>
      <c r="E1967" s="53" t="s">
        <v>3231</v>
      </c>
      <c r="F1967" s="53" t="s">
        <v>2882</v>
      </c>
      <c r="G1967" s="53" t="s">
        <v>2937</v>
      </c>
      <c r="H1967" s="53">
        <v>1.0</v>
      </c>
      <c r="I1967" s="53">
        <v>0.18620689655172415</v>
      </c>
      <c r="J1967" s="53">
        <v>30.0</v>
      </c>
      <c r="K1967" s="53" t="s">
        <v>53</v>
      </c>
      <c r="L1967" s="53" t="s">
        <v>53</v>
      </c>
    </row>
    <row r="1968" ht="15.75" customHeight="1">
      <c r="A1968" s="53" t="s">
        <v>411</v>
      </c>
      <c r="B1968" s="53" t="s">
        <v>2789</v>
      </c>
      <c r="D1968" s="53" t="s">
        <v>2897</v>
      </c>
      <c r="E1968" s="53" t="s">
        <v>3232</v>
      </c>
      <c r="F1968" s="53" t="s">
        <v>2882</v>
      </c>
      <c r="G1968" s="53" t="s">
        <v>2940</v>
      </c>
      <c r="H1968" s="53">
        <v>1.0</v>
      </c>
      <c r="I1968" s="53">
        <v>0.19310344827586207</v>
      </c>
      <c r="J1968" s="53">
        <v>10.0</v>
      </c>
      <c r="K1968" s="53" t="s">
        <v>53</v>
      </c>
      <c r="L1968" s="53" t="s">
        <v>53</v>
      </c>
    </row>
    <row r="1969" ht="15.75" customHeight="1">
      <c r="A1969" s="53" t="s">
        <v>411</v>
      </c>
      <c r="B1969" s="53" t="s">
        <v>2789</v>
      </c>
      <c r="D1969" s="53" t="s">
        <v>2897</v>
      </c>
      <c r="E1969" s="53" t="s">
        <v>3233</v>
      </c>
      <c r="F1969" s="53" t="s">
        <v>2882</v>
      </c>
      <c r="G1969" s="53" t="s">
        <v>2942</v>
      </c>
      <c r="H1969" s="53">
        <v>1.0</v>
      </c>
      <c r="I1969" s="53">
        <v>0.21621621621621623</v>
      </c>
      <c r="J1969" s="53">
        <v>31.0</v>
      </c>
      <c r="K1969" s="53" t="s">
        <v>53</v>
      </c>
      <c r="L1969" s="53" t="s">
        <v>53</v>
      </c>
    </row>
    <row r="1970" ht="15.75" customHeight="1">
      <c r="A1970" s="53" t="s">
        <v>411</v>
      </c>
      <c r="B1970" s="53" t="s">
        <v>2789</v>
      </c>
      <c r="D1970" s="53" t="s">
        <v>2897</v>
      </c>
      <c r="E1970" s="53" t="s">
        <v>3234</v>
      </c>
      <c r="F1970" s="53" t="s">
        <v>2882</v>
      </c>
      <c r="G1970" s="53" t="s">
        <v>2950</v>
      </c>
      <c r="H1970" s="53">
        <v>1.0</v>
      </c>
      <c r="I1970" s="53">
        <v>0.2215568862275449</v>
      </c>
      <c r="J1970" s="53">
        <v>11.0</v>
      </c>
      <c r="K1970" s="53" t="s">
        <v>53</v>
      </c>
      <c r="L1970" s="53" t="s">
        <v>53</v>
      </c>
    </row>
    <row r="1971" ht="15.75" customHeight="1">
      <c r="A1971" s="53" t="s">
        <v>411</v>
      </c>
      <c r="B1971" s="53" t="s">
        <v>2789</v>
      </c>
      <c r="D1971" s="53" t="s">
        <v>2897</v>
      </c>
      <c r="E1971" s="53" t="s">
        <v>3235</v>
      </c>
      <c r="F1971" s="53" t="s">
        <v>2882</v>
      </c>
      <c r="G1971" s="53" t="s">
        <v>2948</v>
      </c>
      <c r="H1971" s="53">
        <v>1.0</v>
      </c>
      <c r="I1971" s="53">
        <v>0.23333333333333334</v>
      </c>
      <c r="J1971" s="53">
        <v>29.0</v>
      </c>
      <c r="K1971" s="53" t="s">
        <v>53</v>
      </c>
      <c r="L1971" s="53" t="s">
        <v>53</v>
      </c>
    </row>
    <row r="1972" ht="15.75" customHeight="1">
      <c r="A1972" s="53" t="s">
        <v>411</v>
      </c>
      <c r="B1972" s="53" t="s">
        <v>2789</v>
      </c>
      <c r="D1972" s="53" t="s">
        <v>2897</v>
      </c>
      <c r="E1972" s="53" t="s">
        <v>3236</v>
      </c>
      <c r="F1972" s="53" t="s">
        <v>2882</v>
      </c>
      <c r="G1972" s="53" t="s">
        <v>2944</v>
      </c>
      <c r="H1972" s="53">
        <v>1.0</v>
      </c>
      <c r="I1972" s="53">
        <v>0.23668639053254437</v>
      </c>
      <c r="J1972" s="53">
        <v>14.0</v>
      </c>
      <c r="K1972" s="53" t="s">
        <v>53</v>
      </c>
      <c r="L1972" s="53" t="s">
        <v>53</v>
      </c>
    </row>
    <row r="1973" ht="15.75" customHeight="1">
      <c r="A1973" s="53" t="s">
        <v>411</v>
      </c>
      <c r="B1973" s="53" t="s">
        <v>2789</v>
      </c>
      <c r="D1973" s="53" t="s">
        <v>2897</v>
      </c>
      <c r="E1973" s="53" t="s">
        <v>3237</v>
      </c>
      <c r="F1973" s="53" t="s">
        <v>2882</v>
      </c>
      <c r="G1973" s="53" t="s">
        <v>2954</v>
      </c>
      <c r="H1973" s="53">
        <v>1.0</v>
      </c>
      <c r="I1973" s="53">
        <v>0.24666666666666667</v>
      </c>
      <c r="J1973" s="53">
        <v>8.0</v>
      </c>
      <c r="K1973" s="53" t="s">
        <v>53</v>
      </c>
      <c r="L1973" s="53" t="s">
        <v>53</v>
      </c>
    </row>
    <row r="1974" ht="15.75" customHeight="1">
      <c r="A1974" s="53" t="s">
        <v>411</v>
      </c>
      <c r="B1974" s="53" t="s">
        <v>2789</v>
      </c>
      <c r="D1974" s="53" t="s">
        <v>2897</v>
      </c>
      <c r="E1974" s="53" t="s">
        <v>3238</v>
      </c>
      <c r="F1974" s="53" t="s">
        <v>2882</v>
      </c>
      <c r="G1974" s="53" t="s">
        <v>485</v>
      </c>
      <c r="H1974" s="53">
        <v>1.0</v>
      </c>
      <c r="I1974" s="53">
        <v>0.25</v>
      </c>
      <c r="J1974" s="53">
        <v>26.0</v>
      </c>
      <c r="K1974" s="53" t="s">
        <v>53</v>
      </c>
      <c r="L1974" s="53" t="s">
        <v>53</v>
      </c>
    </row>
    <row r="1975" ht="15.75" customHeight="1">
      <c r="A1975" s="53" t="s">
        <v>411</v>
      </c>
      <c r="B1975" s="53" t="s">
        <v>2789</v>
      </c>
      <c r="D1975" s="53" t="s">
        <v>2897</v>
      </c>
      <c r="E1975" s="53" t="s">
        <v>3239</v>
      </c>
      <c r="F1975" s="53" t="s">
        <v>2882</v>
      </c>
      <c r="G1975" s="53" t="s">
        <v>474</v>
      </c>
      <c r="H1975" s="53">
        <v>1.0</v>
      </c>
      <c r="I1975" s="53">
        <v>0.2597402597402597</v>
      </c>
      <c r="J1975" s="53">
        <v>27.0</v>
      </c>
      <c r="K1975" s="53" t="s">
        <v>53</v>
      </c>
      <c r="L1975" s="53" t="s">
        <v>53</v>
      </c>
    </row>
    <row r="1976" ht="15.75" customHeight="1">
      <c r="A1976" s="53" t="s">
        <v>411</v>
      </c>
      <c r="B1976" s="53" t="s">
        <v>2789</v>
      </c>
      <c r="D1976" s="53" t="s">
        <v>2897</v>
      </c>
      <c r="E1976" s="53" t="s">
        <v>3240</v>
      </c>
      <c r="F1976" s="53" t="s">
        <v>2882</v>
      </c>
      <c r="G1976" s="53" t="s">
        <v>495</v>
      </c>
      <c r="H1976" s="53">
        <v>1.0</v>
      </c>
      <c r="I1976" s="53">
        <v>0.2602739726027397</v>
      </c>
      <c r="J1976" s="53">
        <v>28.0</v>
      </c>
      <c r="K1976" s="53" t="s">
        <v>53</v>
      </c>
      <c r="L1976" s="53" t="s">
        <v>53</v>
      </c>
    </row>
    <row r="1977" ht="15.75" customHeight="1">
      <c r="A1977" s="53" t="s">
        <v>411</v>
      </c>
      <c r="B1977" s="53" t="s">
        <v>2789</v>
      </c>
      <c r="D1977" s="53" t="s">
        <v>2897</v>
      </c>
      <c r="E1977" s="53" t="s">
        <v>3241</v>
      </c>
      <c r="F1977" s="53" t="s">
        <v>2882</v>
      </c>
      <c r="G1977" s="53" t="s">
        <v>2957</v>
      </c>
      <c r="H1977" s="53">
        <v>1.0</v>
      </c>
      <c r="I1977" s="53">
        <v>0.27167630057803466</v>
      </c>
      <c r="J1977" s="53">
        <v>13.0</v>
      </c>
      <c r="K1977" s="53" t="s">
        <v>53</v>
      </c>
      <c r="L1977" s="53" t="s">
        <v>53</v>
      </c>
    </row>
    <row r="1978" ht="15.75" customHeight="1">
      <c r="A1978" s="53" t="s">
        <v>411</v>
      </c>
      <c r="B1978" s="53" t="s">
        <v>2789</v>
      </c>
      <c r="D1978" s="53" t="s">
        <v>2891</v>
      </c>
      <c r="E1978" s="53" t="s">
        <v>3242</v>
      </c>
      <c r="F1978" s="53" t="s">
        <v>2882</v>
      </c>
      <c r="G1978" s="53" t="s">
        <v>2889</v>
      </c>
      <c r="H1978" s="53">
        <v>1.0</v>
      </c>
      <c r="I1978" s="53">
        <v>0.0547945205479452</v>
      </c>
      <c r="J1978" s="53">
        <v>3.0</v>
      </c>
      <c r="K1978" s="53" t="s">
        <v>53</v>
      </c>
      <c r="L1978" s="53" t="s">
        <v>53</v>
      </c>
    </row>
    <row r="1979" ht="15.75" customHeight="1">
      <c r="A1979" s="53" t="s">
        <v>411</v>
      </c>
      <c r="B1979" s="53" t="s">
        <v>2789</v>
      </c>
      <c r="D1979" s="53" t="s">
        <v>2891</v>
      </c>
      <c r="E1979" s="53" t="s">
        <v>3243</v>
      </c>
      <c r="F1979" s="53" t="s">
        <v>2882</v>
      </c>
      <c r="G1979" s="53" t="s">
        <v>2907</v>
      </c>
      <c r="H1979" s="53">
        <v>1.0</v>
      </c>
      <c r="I1979" s="53">
        <v>0.06802721088435375</v>
      </c>
      <c r="J1979" s="53">
        <v>23.0</v>
      </c>
      <c r="K1979" s="53" t="s">
        <v>53</v>
      </c>
      <c r="L1979" s="53" t="s">
        <v>53</v>
      </c>
    </row>
    <row r="1980" ht="15.75" customHeight="1">
      <c r="A1980" s="53" t="s">
        <v>411</v>
      </c>
      <c r="B1980" s="53" t="s">
        <v>2789</v>
      </c>
      <c r="D1980" s="53" t="s">
        <v>2891</v>
      </c>
      <c r="E1980" s="53" t="s">
        <v>3244</v>
      </c>
      <c r="F1980" s="53" t="s">
        <v>2882</v>
      </c>
      <c r="G1980" s="53" t="s">
        <v>2899</v>
      </c>
      <c r="H1980" s="53">
        <v>1.0</v>
      </c>
      <c r="I1980" s="53">
        <v>0.07534246575342465</v>
      </c>
      <c r="J1980" s="53">
        <v>5.0</v>
      </c>
      <c r="K1980" s="53" t="s">
        <v>53</v>
      </c>
      <c r="L1980" s="53" t="s">
        <v>53</v>
      </c>
    </row>
    <row r="1981" ht="15.75" customHeight="1">
      <c r="A1981" s="53" t="s">
        <v>411</v>
      </c>
      <c r="B1981" s="53" t="s">
        <v>2789</v>
      </c>
      <c r="D1981" s="53" t="s">
        <v>2891</v>
      </c>
      <c r="E1981" s="53" t="s">
        <v>3245</v>
      </c>
      <c r="F1981" s="53" t="s">
        <v>2882</v>
      </c>
      <c r="G1981" s="53" t="s">
        <v>2887</v>
      </c>
      <c r="H1981" s="53">
        <v>1.0</v>
      </c>
      <c r="I1981" s="53">
        <v>0.07534246575342465</v>
      </c>
      <c r="J1981" s="53">
        <v>0.0</v>
      </c>
      <c r="K1981" s="53" t="s">
        <v>53</v>
      </c>
      <c r="L1981" s="53" t="s">
        <v>53</v>
      </c>
    </row>
    <row r="1982" ht="15.75" customHeight="1">
      <c r="A1982" s="53" t="s">
        <v>411</v>
      </c>
      <c r="B1982" s="53" t="s">
        <v>2789</v>
      </c>
      <c r="D1982" s="53" t="s">
        <v>2891</v>
      </c>
      <c r="E1982" s="53" t="s">
        <v>3246</v>
      </c>
      <c r="F1982" s="53" t="s">
        <v>2882</v>
      </c>
      <c r="G1982" s="53" t="s">
        <v>2905</v>
      </c>
      <c r="H1982" s="53">
        <v>1.0</v>
      </c>
      <c r="I1982" s="53">
        <v>0.0821917808219178</v>
      </c>
      <c r="J1982" s="53">
        <v>8.0</v>
      </c>
      <c r="K1982" s="53" t="s">
        <v>53</v>
      </c>
      <c r="L1982" s="53" t="s">
        <v>53</v>
      </c>
    </row>
    <row r="1983" ht="15.75" customHeight="1">
      <c r="A1983" s="53" t="s">
        <v>411</v>
      </c>
      <c r="B1983" s="53" t="s">
        <v>2789</v>
      </c>
      <c r="D1983" s="53" t="s">
        <v>2891</v>
      </c>
      <c r="E1983" s="53" t="s">
        <v>3247</v>
      </c>
      <c r="F1983" s="53" t="s">
        <v>2882</v>
      </c>
      <c r="G1983" s="53" t="s">
        <v>2895</v>
      </c>
      <c r="H1983" s="53">
        <v>1.0</v>
      </c>
      <c r="I1983" s="53">
        <v>0.08904109589041095</v>
      </c>
      <c r="J1983" s="53">
        <v>1.0</v>
      </c>
      <c r="K1983" s="53" t="s">
        <v>53</v>
      </c>
      <c r="L1983" s="53" t="s">
        <v>53</v>
      </c>
    </row>
    <row r="1984" ht="15.75" customHeight="1">
      <c r="A1984" s="53" t="s">
        <v>411</v>
      </c>
      <c r="B1984" s="53" t="s">
        <v>2789</v>
      </c>
      <c r="D1984" s="53" t="s">
        <v>2891</v>
      </c>
      <c r="E1984" s="53" t="s">
        <v>3248</v>
      </c>
      <c r="F1984" s="53" t="s">
        <v>2882</v>
      </c>
      <c r="G1984" s="53" t="s">
        <v>2901</v>
      </c>
      <c r="H1984" s="53">
        <v>1.0</v>
      </c>
      <c r="I1984" s="53">
        <v>0.08904109589041095</v>
      </c>
      <c r="J1984" s="53">
        <v>2.0</v>
      </c>
      <c r="K1984" s="53" t="s">
        <v>53</v>
      </c>
      <c r="L1984" s="53" t="s">
        <v>53</v>
      </c>
    </row>
    <row r="1985" ht="15.75" customHeight="1">
      <c r="A1985" s="53" t="s">
        <v>411</v>
      </c>
      <c r="B1985" s="53" t="s">
        <v>2789</v>
      </c>
      <c r="D1985" s="53" t="s">
        <v>2891</v>
      </c>
      <c r="E1985" s="53" t="s">
        <v>3249</v>
      </c>
      <c r="F1985" s="53" t="s">
        <v>2882</v>
      </c>
      <c r="G1985" s="53" t="s">
        <v>2917</v>
      </c>
      <c r="H1985" s="53">
        <v>1.0</v>
      </c>
      <c r="I1985" s="53">
        <v>0.09271523178807947</v>
      </c>
      <c r="J1985" s="53">
        <v>24.0</v>
      </c>
      <c r="K1985" s="53" t="s">
        <v>53</v>
      </c>
      <c r="L1985" s="53" t="s">
        <v>53</v>
      </c>
    </row>
    <row r="1986" ht="15.75" customHeight="1">
      <c r="A1986" s="53" t="s">
        <v>411</v>
      </c>
      <c r="B1986" s="53" t="s">
        <v>2789</v>
      </c>
      <c r="D1986" s="53" t="s">
        <v>2891</v>
      </c>
      <c r="E1986" s="53" t="s">
        <v>3250</v>
      </c>
      <c r="F1986" s="53" t="s">
        <v>2882</v>
      </c>
      <c r="G1986" s="53" t="s">
        <v>2913</v>
      </c>
      <c r="H1986" s="53">
        <v>1.0</v>
      </c>
      <c r="I1986" s="53">
        <v>0.1</v>
      </c>
      <c r="J1986" s="53">
        <v>4.0</v>
      </c>
      <c r="K1986" s="53" t="s">
        <v>53</v>
      </c>
      <c r="L1986" s="53" t="s">
        <v>53</v>
      </c>
    </row>
    <row r="1987" ht="15.75" customHeight="1">
      <c r="A1987" s="53" t="s">
        <v>411</v>
      </c>
      <c r="B1987" s="53" t="s">
        <v>2789</v>
      </c>
      <c r="D1987" s="53" t="s">
        <v>2891</v>
      </c>
      <c r="E1987" s="53" t="s">
        <v>3251</v>
      </c>
      <c r="F1987" s="53" t="s">
        <v>2882</v>
      </c>
      <c r="G1987" s="53" t="s">
        <v>2911</v>
      </c>
      <c r="H1987" s="53">
        <v>1.0</v>
      </c>
      <c r="I1987" s="53">
        <v>0.10666666666666667</v>
      </c>
      <c r="J1987" s="53">
        <v>6.0</v>
      </c>
      <c r="K1987" s="53" t="s">
        <v>53</v>
      </c>
      <c r="L1987" s="53" t="s">
        <v>53</v>
      </c>
    </row>
    <row r="1988" ht="15.75" customHeight="1">
      <c r="A1988" s="53" t="s">
        <v>411</v>
      </c>
      <c r="B1988" s="53" t="s">
        <v>2789</v>
      </c>
      <c r="D1988" s="53" t="s">
        <v>2891</v>
      </c>
      <c r="E1988" s="53" t="s">
        <v>3252</v>
      </c>
      <c r="F1988" s="53" t="s">
        <v>2882</v>
      </c>
      <c r="G1988" s="53" t="s">
        <v>2915</v>
      </c>
      <c r="H1988" s="53">
        <v>1.0</v>
      </c>
      <c r="I1988" s="53">
        <v>0.1111111111111111</v>
      </c>
      <c r="J1988" s="53">
        <v>15.0</v>
      </c>
      <c r="K1988" s="53" t="s">
        <v>53</v>
      </c>
      <c r="L1988" s="53" t="s">
        <v>53</v>
      </c>
    </row>
    <row r="1989" ht="15.75" customHeight="1">
      <c r="A1989" s="53" t="s">
        <v>411</v>
      </c>
      <c r="B1989" s="53" t="s">
        <v>2789</v>
      </c>
      <c r="D1989" s="53" t="s">
        <v>2891</v>
      </c>
      <c r="E1989" s="53" t="s">
        <v>3253</v>
      </c>
      <c r="F1989" s="53" t="s">
        <v>2882</v>
      </c>
      <c r="G1989" s="53" t="s">
        <v>2927</v>
      </c>
      <c r="H1989" s="53">
        <v>1.0</v>
      </c>
      <c r="I1989" s="53">
        <v>0.12738853503184713</v>
      </c>
      <c r="J1989" s="53">
        <v>19.0</v>
      </c>
      <c r="K1989" s="53" t="s">
        <v>53</v>
      </c>
      <c r="L1989" s="53" t="s">
        <v>53</v>
      </c>
    </row>
    <row r="1990" ht="15.75" customHeight="1">
      <c r="A1990" s="53" t="s">
        <v>411</v>
      </c>
      <c r="B1990" s="53" t="s">
        <v>2789</v>
      </c>
      <c r="D1990" s="53" t="s">
        <v>2891</v>
      </c>
      <c r="E1990" s="53" t="s">
        <v>3254</v>
      </c>
      <c r="F1990" s="53" t="s">
        <v>2882</v>
      </c>
      <c r="G1990" s="53" t="s">
        <v>2923</v>
      </c>
      <c r="H1990" s="53">
        <v>1.0</v>
      </c>
      <c r="I1990" s="53">
        <v>0.1282051282051282</v>
      </c>
      <c r="J1990" s="53">
        <v>16.0</v>
      </c>
      <c r="K1990" s="53" t="s">
        <v>53</v>
      </c>
      <c r="L1990" s="53" t="s">
        <v>53</v>
      </c>
    </row>
    <row r="1991" ht="15.75" customHeight="1">
      <c r="A1991" s="53" t="s">
        <v>411</v>
      </c>
      <c r="B1991" s="53" t="s">
        <v>2789</v>
      </c>
      <c r="D1991" s="53" t="s">
        <v>2891</v>
      </c>
      <c r="E1991" s="53" t="s">
        <v>3255</v>
      </c>
      <c r="F1991" s="53" t="s">
        <v>2882</v>
      </c>
      <c r="G1991" s="53" t="s">
        <v>2931</v>
      </c>
      <c r="H1991" s="53">
        <v>1.0</v>
      </c>
      <c r="I1991" s="53">
        <v>0.13125</v>
      </c>
      <c r="J1991" s="53">
        <v>14.0</v>
      </c>
      <c r="K1991" s="53" t="s">
        <v>53</v>
      </c>
      <c r="L1991" s="53" t="s">
        <v>53</v>
      </c>
    </row>
    <row r="1992" ht="15.75" customHeight="1">
      <c r="A1992" s="53" t="s">
        <v>411</v>
      </c>
      <c r="B1992" s="53" t="s">
        <v>2789</v>
      </c>
      <c r="D1992" s="53" t="s">
        <v>2891</v>
      </c>
      <c r="E1992" s="53" t="s">
        <v>3256</v>
      </c>
      <c r="F1992" s="53" t="s">
        <v>2882</v>
      </c>
      <c r="G1992" s="53" t="s">
        <v>2925</v>
      </c>
      <c r="H1992" s="53">
        <v>1.0</v>
      </c>
      <c r="I1992" s="53">
        <v>0.1320754716981132</v>
      </c>
      <c r="J1992" s="53">
        <v>22.0</v>
      </c>
      <c r="K1992" s="53" t="s">
        <v>53</v>
      </c>
      <c r="L1992" s="53" t="s">
        <v>53</v>
      </c>
    </row>
    <row r="1993" ht="15.75" customHeight="1">
      <c r="A1993" s="53" t="s">
        <v>411</v>
      </c>
      <c r="B1993" s="53" t="s">
        <v>2789</v>
      </c>
      <c r="D1993" s="53" t="s">
        <v>2891</v>
      </c>
      <c r="E1993" s="53" t="s">
        <v>3257</v>
      </c>
      <c r="F1993" s="53" t="s">
        <v>2882</v>
      </c>
      <c r="G1993" s="53" t="s">
        <v>2921</v>
      </c>
      <c r="H1993" s="53">
        <v>1.0</v>
      </c>
      <c r="I1993" s="53">
        <v>0.1337579617834395</v>
      </c>
      <c r="J1993" s="53">
        <v>18.0</v>
      </c>
      <c r="K1993" s="53" t="s">
        <v>53</v>
      </c>
      <c r="L1993" s="53" t="s">
        <v>53</v>
      </c>
    </row>
    <row r="1994" ht="15.75" customHeight="1">
      <c r="A1994" s="53" t="s">
        <v>411</v>
      </c>
      <c r="B1994" s="53" t="s">
        <v>2789</v>
      </c>
      <c r="D1994" s="53" t="s">
        <v>2891</v>
      </c>
      <c r="E1994" s="53" t="s">
        <v>3258</v>
      </c>
      <c r="F1994" s="53" t="s">
        <v>2882</v>
      </c>
      <c r="G1994" s="53" t="s">
        <v>2919</v>
      </c>
      <c r="H1994" s="53">
        <v>1.0</v>
      </c>
      <c r="I1994" s="53">
        <v>0.14465408805031446</v>
      </c>
      <c r="J1994" s="53">
        <v>17.0</v>
      </c>
      <c r="K1994" s="53" t="s">
        <v>53</v>
      </c>
      <c r="L1994" s="53" t="s">
        <v>53</v>
      </c>
    </row>
    <row r="1995" ht="15.75" customHeight="1">
      <c r="A1995" s="53" t="s">
        <v>411</v>
      </c>
      <c r="B1995" s="53" t="s">
        <v>2789</v>
      </c>
      <c r="D1995" s="53" t="s">
        <v>2891</v>
      </c>
      <c r="E1995" s="53" t="s">
        <v>3259</v>
      </c>
      <c r="F1995" s="53" t="s">
        <v>2882</v>
      </c>
      <c r="G1995" s="53" t="s">
        <v>2929</v>
      </c>
      <c r="H1995" s="53">
        <v>1.0</v>
      </c>
      <c r="I1995" s="53">
        <v>0.15527950310559005</v>
      </c>
      <c r="J1995" s="53">
        <v>20.0</v>
      </c>
      <c r="K1995" s="53" t="s">
        <v>53</v>
      </c>
      <c r="L1995" s="53" t="s">
        <v>53</v>
      </c>
    </row>
    <row r="1996" ht="15.75" customHeight="1">
      <c r="A1996" s="53" t="s">
        <v>411</v>
      </c>
      <c r="B1996" s="53" t="s">
        <v>2789</v>
      </c>
      <c r="D1996" s="53" t="s">
        <v>2891</v>
      </c>
      <c r="E1996" s="53" t="s">
        <v>3260</v>
      </c>
      <c r="F1996" s="53" t="s">
        <v>2882</v>
      </c>
      <c r="G1996" s="53" t="s">
        <v>2935</v>
      </c>
      <c r="H1996" s="53">
        <v>1.0</v>
      </c>
      <c r="I1996" s="53">
        <v>0.1761006289308176</v>
      </c>
      <c r="J1996" s="53">
        <v>11.0</v>
      </c>
      <c r="K1996" s="53" t="s">
        <v>53</v>
      </c>
      <c r="L1996" s="53" t="s">
        <v>53</v>
      </c>
    </row>
    <row r="1997" ht="15.75" customHeight="1">
      <c r="A1997" s="53" t="s">
        <v>411</v>
      </c>
      <c r="B1997" s="53" t="s">
        <v>2789</v>
      </c>
      <c r="D1997" s="53" t="s">
        <v>2891</v>
      </c>
      <c r="E1997" s="53" t="s">
        <v>3261</v>
      </c>
      <c r="F1997" s="53" t="s">
        <v>2882</v>
      </c>
      <c r="G1997" s="53" t="s">
        <v>2933</v>
      </c>
      <c r="H1997" s="53">
        <v>1.0</v>
      </c>
      <c r="I1997" s="53">
        <v>0.17857142857142858</v>
      </c>
      <c r="J1997" s="53">
        <v>21.0</v>
      </c>
      <c r="K1997" s="53" t="s">
        <v>53</v>
      </c>
      <c r="L1997" s="53" t="s">
        <v>53</v>
      </c>
    </row>
    <row r="1998" ht="15.75" customHeight="1">
      <c r="A1998" s="53" t="s">
        <v>411</v>
      </c>
      <c r="B1998" s="53" t="s">
        <v>2789</v>
      </c>
      <c r="D1998" s="53" t="s">
        <v>2891</v>
      </c>
      <c r="E1998" s="53" t="s">
        <v>3262</v>
      </c>
      <c r="F1998" s="53" t="s">
        <v>2882</v>
      </c>
      <c r="G1998" s="53" t="s">
        <v>2937</v>
      </c>
      <c r="H1998" s="53">
        <v>1.0</v>
      </c>
      <c r="I1998" s="53">
        <v>0.18493150684931506</v>
      </c>
      <c r="J1998" s="53">
        <v>29.0</v>
      </c>
      <c r="K1998" s="53" t="s">
        <v>53</v>
      </c>
      <c r="L1998" s="53" t="s">
        <v>53</v>
      </c>
    </row>
    <row r="1999" ht="15.75" customHeight="1">
      <c r="A1999" s="53" t="s">
        <v>411</v>
      </c>
      <c r="B1999" s="53" t="s">
        <v>2789</v>
      </c>
      <c r="D1999" s="53" t="s">
        <v>2891</v>
      </c>
      <c r="E1999" s="53" t="s">
        <v>3263</v>
      </c>
      <c r="F1999" s="53" t="s">
        <v>2882</v>
      </c>
      <c r="G1999" s="53" t="s">
        <v>2940</v>
      </c>
      <c r="H1999" s="53">
        <v>1.0</v>
      </c>
      <c r="I1999" s="53">
        <v>0.19863013698630136</v>
      </c>
      <c r="J1999" s="53">
        <v>9.0</v>
      </c>
      <c r="K1999" s="53" t="s">
        <v>53</v>
      </c>
      <c r="L1999" s="53" t="s">
        <v>53</v>
      </c>
    </row>
    <row r="2000" ht="15.75" customHeight="1">
      <c r="A2000" s="53" t="s">
        <v>411</v>
      </c>
      <c r="B2000" s="53" t="s">
        <v>2789</v>
      </c>
      <c r="D2000" s="53" t="s">
        <v>2891</v>
      </c>
      <c r="E2000" s="53" t="s">
        <v>3264</v>
      </c>
      <c r="F2000" s="53" t="s">
        <v>2882</v>
      </c>
      <c r="G2000" s="53" t="s">
        <v>2942</v>
      </c>
      <c r="H2000" s="53">
        <v>1.0</v>
      </c>
      <c r="I2000" s="53">
        <v>0.21621621621621623</v>
      </c>
      <c r="J2000" s="53">
        <v>30.0</v>
      </c>
      <c r="K2000" s="53" t="s">
        <v>53</v>
      </c>
      <c r="L2000" s="53" t="s">
        <v>53</v>
      </c>
    </row>
    <row r="2001" ht="15.75" customHeight="1">
      <c r="A2001" s="53" t="s">
        <v>411</v>
      </c>
      <c r="B2001" s="53" t="s">
        <v>2789</v>
      </c>
      <c r="D2001" s="53" t="s">
        <v>2891</v>
      </c>
      <c r="E2001" s="53" t="s">
        <v>3265</v>
      </c>
      <c r="F2001" s="53" t="s">
        <v>2882</v>
      </c>
      <c r="G2001" s="53" t="s">
        <v>2950</v>
      </c>
      <c r="H2001" s="53">
        <v>1.0</v>
      </c>
      <c r="I2001" s="53">
        <v>0.2215568862275449</v>
      </c>
      <c r="J2001" s="53">
        <v>10.0</v>
      </c>
      <c r="K2001" s="53" t="s">
        <v>53</v>
      </c>
      <c r="L2001" s="53" t="s">
        <v>53</v>
      </c>
    </row>
    <row r="2002" ht="15.75" customHeight="1">
      <c r="A2002" s="53" t="s">
        <v>411</v>
      </c>
      <c r="B2002" s="53" t="s">
        <v>2789</v>
      </c>
      <c r="D2002" s="53" t="s">
        <v>2891</v>
      </c>
      <c r="E2002" s="53" t="s">
        <v>3266</v>
      </c>
      <c r="F2002" s="53" t="s">
        <v>2882</v>
      </c>
      <c r="G2002" s="53" t="s">
        <v>2944</v>
      </c>
      <c r="H2002" s="53">
        <v>1.0</v>
      </c>
      <c r="I2002" s="53">
        <v>0.23076923076923078</v>
      </c>
      <c r="J2002" s="53">
        <v>13.0</v>
      </c>
      <c r="K2002" s="53" t="s">
        <v>53</v>
      </c>
      <c r="L2002" s="53" t="s">
        <v>53</v>
      </c>
    </row>
    <row r="2003" ht="15.75" customHeight="1">
      <c r="A2003" s="53" t="s">
        <v>411</v>
      </c>
      <c r="B2003" s="53" t="s">
        <v>2789</v>
      </c>
      <c r="D2003" s="53" t="s">
        <v>2891</v>
      </c>
      <c r="E2003" s="53" t="s">
        <v>3267</v>
      </c>
      <c r="F2003" s="53" t="s">
        <v>2882</v>
      </c>
      <c r="G2003" s="53" t="s">
        <v>2948</v>
      </c>
      <c r="H2003" s="53">
        <v>1.0</v>
      </c>
      <c r="I2003" s="53">
        <v>0.23333333333333334</v>
      </c>
      <c r="J2003" s="53">
        <v>28.0</v>
      </c>
      <c r="K2003" s="53" t="s">
        <v>53</v>
      </c>
      <c r="L2003" s="53" t="s">
        <v>53</v>
      </c>
    </row>
    <row r="2004" ht="15.75" customHeight="1">
      <c r="A2004" s="53" t="s">
        <v>411</v>
      </c>
      <c r="B2004" s="53" t="s">
        <v>2789</v>
      </c>
      <c r="D2004" s="53" t="s">
        <v>2891</v>
      </c>
      <c r="E2004" s="53" t="s">
        <v>3268</v>
      </c>
      <c r="F2004" s="53" t="s">
        <v>2882</v>
      </c>
      <c r="G2004" s="53" t="s">
        <v>2954</v>
      </c>
      <c r="H2004" s="53">
        <v>1.0</v>
      </c>
      <c r="I2004" s="53">
        <v>0.24666666666666667</v>
      </c>
      <c r="J2004" s="53">
        <v>7.0</v>
      </c>
      <c r="K2004" s="53" t="s">
        <v>53</v>
      </c>
      <c r="L2004" s="53" t="s">
        <v>53</v>
      </c>
    </row>
    <row r="2005" ht="15.75" customHeight="1">
      <c r="A2005" s="53" t="s">
        <v>411</v>
      </c>
      <c r="B2005" s="53" t="s">
        <v>2789</v>
      </c>
      <c r="D2005" s="53" t="s">
        <v>2891</v>
      </c>
      <c r="E2005" s="53" t="s">
        <v>3269</v>
      </c>
      <c r="F2005" s="53" t="s">
        <v>2882</v>
      </c>
      <c r="G2005" s="53" t="s">
        <v>485</v>
      </c>
      <c r="H2005" s="53">
        <v>1.0</v>
      </c>
      <c r="I2005" s="53">
        <v>0.25</v>
      </c>
      <c r="J2005" s="53">
        <v>25.0</v>
      </c>
      <c r="K2005" s="53" t="s">
        <v>53</v>
      </c>
      <c r="L2005" s="53" t="s">
        <v>53</v>
      </c>
    </row>
    <row r="2006" ht="15.75" customHeight="1">
      <c r="A2006" s="53" t="s">
        <v>411</v>
      </c>
      <c r="B2006" s="53" t="s">
        <v>2789</v>
      </c>
      <c r="D2006" s="53" t="s">
        <v>2891</v>
      </c>
      <c r="E2006" s="53" t="s">
        <v>3270</v>
      </c>
      <c r="F2006" s="53" t="s">
        <v>2882</v>
      </c>
      <c r="G2006" s="53" t="s">
        <v>474</v>
      </c>
      <c r="H2006" s="53">
        <v>1.0</v>
      </c>
      <c r="I2006" s="53">
        <v>0.2597402597402597</v>
      </c>
      <c r="J2006" s="53">
        <v>26.0</v>
      </c>
      <c r="K2006" s="53" t="s">
        <v>53</v>
      </c>
      <c r="L2006" s="53" t="s">
        <v>53</v>
      </c>
    </row>
    <row r="2007" ht="15.75" customHeight="1">
      <c r="A2007" s="53" t="s">
        <v>411</v>
      </c>
      <c r="B2007" s="53" t="s">
        <v>2789</v>
      </c>
      <c r="D2007" s="53" t="s">
        <v>2891</v>
      </c>
      <c r="E2007" s="53" t="s">
        <v>3271</v>
      </c>
      <c r="F2007" s="53" t="s">
        <v>2882</v>
      </c>
      <c r="G2007" s="53" t="s">
        <v>495</v>
      </c>
      <c r="H2007" s="53">
        <v>1.0</v>
      </c>
      <c r="I2007" s="53">
        <v>0.2671232876712329</v>
      </c>
      <c r="J2007" s="53">
        <v>27.0</v>
      </c>
      <c r="K2007" s="53" t="s">
        <v>53</v>
      </c>
      <c r="L2007" s="53" t="s">
        <v>53</v>
      </c>
    </row>
    <row r="2008" ht="15.75" customHeight="1">
      <c r="A2008" s="53" t="s">
        <v>411</v>
      </c>
      <c r="B2008" s="53" t="s">
        <v>2789</v>
      </c>
      <c r="D2008" s="53" t="s">
        <v>2891</v>
      </c>
      <c r="E2008" s="53" t="s">
        <v>3272</v>
      </c>
      <c r="F2008" s="53" t="s">
        <v>2882</v>
      </c>
      <c r="G2008" s="53" t="s">
        <v>2957</v>
      </c>
      <c r="H2008" s="53">
        <v>1.0</v>
      </c>
      <c r="I2008" s="53">
        <v>0.27167630057803466</v>
      </c>
      <c r="J2008" s="53">
        <v>12.0</v>
      </c>
      <c r="K2008" s="53" t="s">
        <v>53</v>
      </c>
      <c r="L2008" s="53" t="s">
        <v>53</v>
      </c>
    </row>
    <row r="2009" ht="15.75" customHeight="1">
      <c r="A2009" s="53" t="s">
        <v>411</v>
      </c>
      <c r="B2009" s="53" t="s">
        <v>2789</v>
      </c>
      <c r="D2009" s="53" t="s">
        <v>2887</v>
      </c>
      <c r="E2009" s="53" t="s">
        <v>3273</v>
      </c>
      <c r="F2009" s="53" t="s">
        <v>2882</v>
      </c>
      <c r="G2009" s="53" t="s">
        <v>2899</v>
      </c>
      <c r="H2009" s="53">
        <v>1.0</v>
      </c>
      <c r="I2009" s="53">
        <v>0.056338028169014086</v>
      </c>
      <c r="J2009" s="53">
        <v>4.0</v>
      </c>
      <c r="K2009" s="53" t="s">
        <v>53</v>
      </c>
      <c r="L2009" s="53" t="s">
        <v>53</v>
      </c>
    </row>
    <row r="2010" ht="15.75" customHeight="1">
      <c r="A2010" s="53" t="s">
        <v>411</v>
      </c>
      <c r="B2010" s="53" t="s">
        <v>2789</v>
      </c>
      <c r="D2010" s="53" t="s">
        <v>2887</v>
      </c>
      <c r="E2010" s="53" t="s">
        <v>3274</v>
      </c>
      <c r="F2010" s="53" t="s">
        <v>2882</v>
      </c>
      <c r="G2010" s="53" t="s">
        <v>2905</v>
      </c>
      <c r="H2010" s="53">
        <v>1.0</v>
      </c>
      <c r="I2010" s="53">
        <v>0.0625</v>
      </c>
      <c r="J2010" s="53">
        <v>7.0</v>
      </c>
      <c r="K2010" s="53" t="s">
        <v>53</v>
      </c>
      <c r="L2010" s="53" t="s">
        <v>53</v>
      </c>
    </row>
    <row r="2011" ht="15.75" customHeight="1">
      <c r="A2011" s="53" t="s">
        <v>411</v>
      </c>
      <c r="B2011" s="53" t="s">
        <v>2789</v>
      </c>
      <c r="D2011" s="53" t="s">
        <v>2887</v>
      </c>
      <c r="E2011" s="53" t="s">
        <v>3275</v>
      </c>
      <c r="F2011" s="53" t="s">
        <v>2882</v>
      </c>
      <c r="G2011" s="53" t="s">
        <v>2895</v>
      </c>
      <c r="H2011" s="53">
        <v>1.0</v>
      </c>
      <c r="I2011" s="53">
        <v>0.06896551724137931</v>
      </c>
      <c r="J2011" s="53">
        <v>0.0</v>
      </c>
      <c r="K2011" s="53" t="s">
        <v>53</v>
      </c>
      <c r="L2011" s="53" t="s">
        <v>53</v>
      </c>
    </row>
    <row r="2012" ht="15.75" customHeight="1">
      <c r="A2012" s="53" t="s">
        <v>411</v>
      </c>
      <c r="B2012" s="53" t="s">
        <v>2789</v>
      </c>
      <c r="D2012" s="53" t="s">
        <v>2887</v>
      </c>
      <c r="E2012" s="53" t="s">
        <v>3276</v>
      </c>
      <c r="F2012" s="53" t="s">
        <v>2882</v>
      </c>
      <c r="G2012" s="53" t="s">
        <v>2889</v>
      </c>
      <c r="H2012" s="53">
        <v>1.0</v>
      </c>
      <c r="I2012" s="53">
        <v>0.06944444444444445</v>
      </c>
      <c r="J2012" s="53">
        <v>2.0</v>
      </c>
      <c r="K2012" s="53" t="s">
        <v>53</v>
      </c>
      <c r="L2012" s="53" t="s">
        <v>53</v>
      </c>
    </row>
    <row r="2013" ht="15.75" customHeight="1">
      <c r="A2013" s="53" t="s">
        <v>411</v>
      </c>
      <c r="B2013" s="53" t="s">
        <v>2789</v>
      </c>
      <c r="D2013" s="53" t="s">
        <v>2887</v>
      </c>
      <c r="E2013" s="53" t="s">
        <v>3277</v>
      </c>
      <c r="F2013" s="53" t="s">
        <v>2882</v>
      </c>
      <c r="G2013" s="53" t="s">
        <v>2901</v>
      </c>
      <c r="H2013" s="53">
        <v>1.0</v>
      </c>
      <c r="I2013" s="53">
        <v>0.06993006993006994</v>
      </c>
      <c r="J2013" s="53">
        <v>1.0</v>
      </c>
      <c r="K2013" s="53" t="s">
        <v>53</v>
      </c>
      <c r="L2013" s="53" t="s">
        <v>53</v>
      </c>
    </row>
    <row r="2014" ht="15.75" customHeight="1">
      <c r="A2014" s="53" t="s">
        <v>411</v>
      </c>
      <c r="B2014" s="53" t="s">
        <v>2789</v>
      </c>
      <c r="D2014" s="53" t="s">
        <v>2887</v>
      </c>
      <c r="E2014" s="53" t="s">
        <v>3278</v>
      </c>
      <c r="F2014" s="53" t="s">
        <v>2882</v>
      </c>
      <c r="G2014" s="53" t="s">
        <v>2907</v>
      </c>
      <c r="H2014" s="53">
        <v>1.0</v>
      </c>
      <c r="I2014" s="53">
        <v>0.08843537414965986</v>
      </c>
      <c r="J2014" s="53">
        <v>22.0</v>
      </c>
      <c r="K2014" s="53" t="s">
        <v>53</v>
      </c>
      <c r="L2014" s="53" t="s">
        <v>53</v>
      </c>
    </row>
    <row r="2015" ht="15.75" customHeight="1">
      <c r="A2015" s="53" t="s">
        <v>411</v>
      </c>
      <c r="B2015" s="53" t="s">
        <v>2789</v>
      </c>
      <c r="D2015" s="53" t="s">
        <v>2887</v>
      </c>
      <c r="E2015" s="53" t="s">
        <v>3279</v>
      </c>
      <c r="F2015" s="53" t="s">
        <v>2882</v>
      </c>
      <c r="G2015" s="53" t="s">
        <v>2913</v>
      </c>
      <c r="H2015" s="53">
        <v>1.0</v>
      </c>
      <c r="I2015" s="53">
        <v>0.09333333333333334</v>
      </c>
      <c r="J2015" s="53">
        <v>3.0</v>
      </c>
      <c r="K2015" s="53" t="s">
        <v>53</v>
      </c>
      <c r="L2015" s="53" t="s">
        <v>53</v>
      </c>
    </row>
    <row r="2016" ht="15.75" customHeight="1">
      <c r="A2016" s="53" t="s">
        <v>411</v>
      </c>
      <c r="B2016" s="53" t="s">
        <v>2789</v>
      </c>
      <c r="D2016" s="53" t="s">
        <v>2887</v>
      </c>
      <c r="E2016" s="53" t="s">
        <v>3280</v>
      </c>
      <c r="F2016" s="53" t="s">
        <v>2882</v>
      </c>
      <c r="G2016" s="53" t="s">
        <v>2911</v>
      </c>
      <c r="H2016" s="53">
        <v>1.0</v>
      </c>
      <c r="I2016" s="53">
        <v>0.1</v>
      </c>
      <c r="J2016" s="53">
        <v>5.0</v>
      </c>
      <c r="K2016" s="53" t="s">
        <v>53</v>
      </c>
      <c r="L2016" s="53" t="s">
        <v>53</v>
      </c>
    </row>
    <row r="2017" ht="15.75" customHeight="1">
      <c r="A2017" s="53" t="s">
        <v>411</v>
      </c>
      <c r="B2017" s="53" t="s">
        <v>2789</v>
      </c>
      <c r="D2017" s="53" t="s">
        <v>2887</v>
      </c>
      <c r="E2017" s="53" t="s">
        <v>3281</v>
      </c>
      <c r="F2017" s="53" t="s">
        <v>2882</v>
      </c>
      <c r="G2017" s="53" t="s">
        <v>2915</v>
      </c>
      <c r="H2017" s="53">
        <v>1.0</v>
      </c>
      <c r="I2017" s="53">
        <v>0.10457516339869281</v>
      </c>
      <c r="J2017" s="53">
        <v>14.0</v>
      </c>
      <c r="K2017" s="53" t="s">
        <v>53</v>
      </c>
      <c r="L2017" s="53" t="s">
        <v>53</v>
      </c>
    </row>
    <row r="2018" ht="15.75" customHeight="1">
      <c r="A2018" s="53" t="s">
        <v>411</v>
      </c>
      <c r="B2018" s="53" t="s">
        <v>2789</v>
      </c>
      <c r="D2018" s="53" t="s">
        <v>2887</v>
      </c>
      <c r="E2018" s="53" t="s">
        <v>3282</v>
      </c>
      <c r="F2018" s="53" t="s">
        <v>2882</v>
      </c>
      <c r="G2018" s="53" t="s">
        <v>2917</v>
      </c>
      <c r="H2018" s="53">
        <v>1.0</v>
      </c>
      <c r="I2018" s="53">
        <v>0.10596026490066225</v>
      </c>
      <c r="J2018" s="53">
        <v>23.0</v>
      </c>
      <c r="K2018" s="53" t="s">
        <v>53</v>
      </c>
      <c r="L2018" s="53" t="s">
        <v>53</v>
      </c>
    </row>
    <row r="2019" ht="15.75" customHeight="1">
      <c r="A2019" s="53" t="s">
        <v>411</v>
      </c>
      <c r="B2019" s="53" t="s">
        <v>2789</v>
      </c>
      <c r="D2019" s="53" t="s">
        <v>2887</v>
      </c>
      <c r="E2019" s="53" t="s">
        <v>3283</v>
      </c>
      <c r="F2019" s="53" t="s">
        <v>2882</v>
      </c>
      <c r="G2019" s="53" t="s">
        <v>2923</v>
      </c>
      <c r="H2019" s="53">
        <v>1.0</v>
      </c>
      <c r="I2019" s="53">
        <v>0.1282051282051282</v>
      </c>
      <c r="J2019" s="53">
        <v>15.0</v>
      </c>
      <c r="K2019" s="53" t="s">
        <v>53</v>
      </c>
      <c r="L2019" s="53" t="s">
        <v>53</v>
      </c>
    </row>
    <row r="2020" ht="15.75" customHeight="1">
      <c r="A2020" s="53" t="s">
        <v>411</v>
      </c>
      <c r="B2020" s="53" t="s">
        <v>2789</v>
      </c>
      <c r="D2020" s="53" t="s">
        <v>2887</v>
      </c>
      <c r="E2020" s="53" t="s">
        <v>3284</v>
      </c>
      <c r="F2020" s="53" t="s">
        <v>2882</v>
      </c>
      <c r="G2020" s="53" t="s">
        <v>2925</v>
      </c>
      <c r="H2020" s="53">
        <v>1.0</v>
      </c>
      <c r="I2020" s="53">
        <v>0.1320754716981132</v>
      </c>
      <c r="J2020" s="53">
        <v>21.0</v>
      </c>
      <c r="K2020" s="53" t="s">
        <v>53</v>
      </c>
      <c r="L2020" s="53" t="s">
        <v>53</v>
      </c>
    </row>
    <row r="2021" ht="15.75" customHeight="1">
      <c r="A2021" s="53" t="s">
        <v>411</v>
      </c>
      <c r="B2021" s="53" t="s">
        <v>2789</v>
      </c>
      <c r="D2021" s="53" t="s">
        <v>2887</v>
      </c>
      <c r="E2021" s="53" t="s">
        <v>3285</v>
      </c>
      <c r="F2021" s="53" t="s">
        <v>2882</v>
      </c>
      <c r="G2021" s="53" t="s">
        <v>2927</v>
      </c>
      <c r="H2021" s="53">
        <v>1.0</v>
      </c>
      <c r="I2021" s="53">
        <v>0.1337579617834395</v>
      </c>
      <c r="J2021" s="53">
        <v>18.0</v>
      </c>
      <c r="K2021" s="53" t="s">
        <v>53</v>
      </c>
      <c r="L2021" s="53" t="s">
        <v>53</v>
      </c>
    </row>
    <row r="2022" ht="15.75" customHeight="1">
      <c r="A2022" s="53" t="s">
        <v>411</v>
      </c>
      <c r="B2022" s="53" t="s">
        <v>2789</v>
      </c>
      <c r="D2022" s="53" t="s">
        <v>2887</v>
      </c>
      <c r="E2022" s="53" t="s">
        <v>3286</v>
      </c>
      <c r="F2022" s="53" t="s">
        <v>2882</v>
      </c>
      <c r="G2022" s="53" t="s">
        <v>2921</v>
      </c>
      <c r="H2022" s="53">
        <v>1.0</v>
      </c>
      <c r="I2022" s="53">
        <v>0.1337579617834395</v>
      </c>
      <c r="J2022" s="53">
        <v>17.0</v>
      </c>
      <c r="K2022" s="53" t="s">
        <v>53</v>
      </c>
      <c r="L2022" s="53" t="s">
        <v>53</v>
      </c>
    </row>
    <row r="2023" ht="15.75" customHeight="1">
      <c r="A2023" s="53" t="s">
        <v>411</v>
      </c>
      <c r="B2023" s="53" t="s">
        <v>2789</v>
      </c>
      <c r="D2023" s="53" t="s">
        <v>2887</v>
      </c>
      <c r="E2023" s="53" t="s">
        <v>3287</v>
      </c>
      <c r="F2023" s="53" t="s">
        <v>2882</v>
      </c>
      <c r="G2023" s="53" t="s">
        <v>2929</v>
      </c>
      <c r="H2023" s="53">
        <v>1.0</v>
      </c>
      <c r="I2023" s="53">
        <v>0.13664596273291926</v>
      </c>
      <c r="J2023" s="53">
        <v>19.0</v>
      </c>
      <c r="K2023" s="53" t="s">
        <v>53</v>
      </c>
      <c r="L2023" s="53" t="s">
        <v>53</v>
      </c>
    </row>
    <row r="2024" ht="15.75" customHeight="1">
      <c r="A2024" s="53" t="s">
        <v>411</v>
      </c>
      <c r="B2024" s="53" t="s">
        <v>2789</v>
      </c>
      <c r="D2024" s="53" t="s">
        <v>2887</v>
      </c>
      <c r="E2024" s="53" t="s">
        <v>3288</v>
      </c>
      <c r="F2024" s="53" t="s">
        <v>2882</v>
      </c>
      <c r="G2024" s="53" t="s">
        <v>2931</v>
      </c>
      <c r="H2024" s="53">
        <v>1.0</v>
      </c>
      <c r="I2024" s="53">
        <v>0.14375</v>
      </c>
      <c r="J2024" s="53">
        <v>13.0</v>
      </c>
      <c r="K2024" s="53" t="s">
        <v>53</v>
      </c>
      <c r="L2024" s="53" t="s">
        <v>53</v>
      </c>
    </row>
    <row r="2025" ht="15.75" customHeight="1">
      <c r="A2025" s="53" t="s">
        <v>411</v>
      </c>
      <c r="B2025" s="53" t="s">
        <v>2789</v>
      </c>
      <c r="D2025" s="53" t="s">
        <v>2887</v>
      </c>
      <c r="E2025" s="53" t="s">
        <v>3289</v>
      </c>
      <c r="F2025" s="53" t="s">
        <v>2882</v>
      </c>
      <c r="G2025" s="53" t="s">
        <v>2919</v>
      </c>
      <c r="H2025" s="53">
        <v>1.0</v>
      </c>
      <c r="I2025" s="53">
        <v>0.14465408805031446</v>
      </c>
      <c r="J2025" s="53">
        <v>16.0</v>
      </c>
      <c r="K2025" s="53" t="s">
        <v>53</v>
      </c>
      <c r="L2025" s="53" t="s">
        <v>53</v>
      </c>
    </row>
    <row r="2026" ht="15.75" customHeight="1">
      <c r="A2026" s="53" t="s">
        <v>411</v>
      </c>
      <c r="B2026" s="53" t="s">
        <v>2789</v>
      </c>
      <c r="D2026" s="53" t="s">
        <v>2887</v>
      </c>
      <c r="E2026" s="53" t="s">
        <v>3290</v>
      </c>
      <c r="F2026" s="53" t="s">
        <v>2882</v>
      </c>
      <c r="G2026" s="53" t="s">
        <v>2933</v>
      </c>
      <c r="H2026" s="53">
        <v>1.0</v>
      </c>
      <c r="I2026" s="53">
        <v>0.17857142857142858</v>
      </c>
      <c r="J2026" s="53">
        <v>20.0</v>
      </c>
      <c r="K2026" s="53" t="s">
        <v>53</v>
      </c>
      <c r="L2026" s="53" t="s">
        <v>53</v>
      </c>
    </row>
    <row r="2027" ht="15.75" customHeight="1">
      <c r="A2027" s="53" t="s">
        <v>411</v>
      </c>
      <c r="B2027" s="53" t="s">
        <v>2789</v>
      </c>
      <c r="D2027" s="53" t="s">
        <v>2887</v>
      </c>
      <c r="E2027" s="53" t="s">
        <v>3291</v>
      </c>
      <c r="F2027" s="53" t="s">
        <v>2882</v>
      </c>
      <c r="G2027" s="53" t="s">
        <v>2935</v>
      </c>
      <c r="H2027" s="53">
        <v>1.0</v>
      </c>
      <c r="I2027" s="53">
        <v>0.18238993710691823</v>
      </c>
      <c r="J2027" s="53">
        <v>10.0</v>
      </c>
      <c r="K2027" s="53" t="s">
        <v>53</v>
      </c>
      <c r="L2027" s="53" t="s">
        <v>53</v>
      </c>
    </row>
    <row r="2028" ht="15.75" customHeight="1">
      <c r="A2028" s="53" t="s">
        <v>411</v>
      </c>
      <c r="B2028" s="53" t="s">
        <v>2789</v>
      </c>
      <c r="D2028" s="53" t="s">
        <v>2887</v>
      </c>
      <c r="E2028" s="53" t="s">
        <v>3292</v>
      </c>
      <c r="F2028" s="53" t="s">
        <v>2882</v>
      </c>
      <c r="G2028" s="53" t="s">
        <v>2937</v>
      </c>
      <c r="H2028" s="53">
        <v>1.0</v>
      </c>
      <c r="I2028" s="53">
        <v>0.18620689655172415</v>
      </c>
      <c r="J2028" s="53">
        <v>28.0</v>
      </c>
      <c r="K2028" s="53" t="s">
        <v>53</v>
      </c>
      <c r="L2028" s="53" t="s">
        <v>53</v>
      </c>
    </row>
    <row r="2029" ht="15.75" customHeight="1">
      <c r="A2029" s="53" t="s">
        <v>411</v>
      </c>
      <c r="B2029" s="53" t="s">
        <v>2789</v>
      </c>
      <c r="D2029" s="53" t="s">
        <v>2887</v>
      </c>
      <c r="E2029" s="53" t="s">
        <v>3293</v>
      </c>
      <c r="F2029" s="53" t="s">
        <v>2882</v>
      </c>
      <c r="G2029" s="53" t="s">
        <v>2940</v>
      </c>
      <c r="H2029" s="53">
        <v>1.0</v>
      </c>
      <c r="I2029" s="53">
        <v>0.19014084507042253</v>
      </c>
      <c r="J2029" s="53">
        <v>8.0</v>
      </c>
      <c r="K2029" s="53" t="s">
        <v>53</v>
      </c>
      <c r="L2029" s="53" t="s">
        <v>53</v>
      </c>
    </row>
    <row r="2030" ht="15.75" customHeight="1">
      <c r="A2030" s="53" t="s">
        <v>411</v>
      </c>
      <c r="B2030" s="53" t="s">
        <v>2789</v>
      </c>
      <c r="D2030" s="53" t="s">
        <v>2887</v>
      </c>
      <c r="E2030" s="53" t="s">
        <v>3294</v>
      </c>
      <c r="F2030" s="53" t="s">
        <v>2882</v>
      </c>
      <c r="G2030" s="53" t="s">
        <v>2942</v>
      </c>
      <c r="H2030" s="53">
        <v>1.0</v>
      </c>
      <c r="I2030" s="53">
        <v>0.20945945945945946</v>
      </c>
      <c r="J2030" s="53">
        <v>29.0</v>
      </c>
      <c r="K2030" s="53" t="s">
        <v>53</v>
      </c>
      <c r="L2030" s="53" t="s">
        <v>53</v>
      </c>
    </row>
    <row r="2031" ht="15.75" customHeight="1">
      <c r="A2031" s="53" t="s">
        <v>411</v>
      </c>
      <c r="B2031" s="53" t="s">
        <v>2789</v>
      </c>
      <c r="D2031" s="53" t="s">
        <v>2887</v>
      </c>
      <c r="E2031" s="53" t="s">
        <v>3295</v>
      </c>
      <c r="F2031" s="53" t="s">
        <v>2882</v>
      </c>
      <c r="G2031" s="53" t="s">
        <v>2948</v>
      </c>
      <c r="H2031" s="53">
        <v>1.0</v>
      </c>
      <c r="I2031" s="53">
        <v>0.22</v>
      </c>
      <c r="J2031" s="53">
        <v>27.0</v>
      </c>
      <c r="K2031" s="53" t="s">
        <v>53</v>
      </c>
      <c r="L2031" s="53" t="s">
        <v>53</v>
      </c>
    </row>
    <row r="2032" ht="15.75" customHeight="1">
      <c r="A2032" s="53" t="s">
        <v>411</v>
      </c>
      <c r="B2032" s="53" t="s">
        <v>2789</v>
      </c>
      <c r="D2032" s="53" t="s">
        <v>2887</v>
      </c>
      <c r="E2032" s="53" t="s">
        <v>3296</v>
      </c>
      <c r="F2032" s="53" t="s">
        <v>2882</v>
      </c>
      <c r="G2032" s="53" t="s">
        <v>2950</v>
      </c>
      <c r="H2032" s="53">
        <v>1.0</v>
      </c>
      <c r="I2032" s="53">
        <v>0.2215568862275449</v>
      </c>
      <c r="J2032" s="53">
        <v>9.0</v>
      </c>
      <c r="K2032" s="53" t="s">
        <v>53</v>
      </c>
      <c r="L2032" s="53" t="s">
        <v>53</v>
      </c>
    </row>
    <row r="2033" ht="15.75" customHeight="1">
      <c r="A2033" s="53" t="s">
        <v>411</v>
      </c>
      <c r="B2033" s="53" t="s">
        <v>2789</v>
      </c>
      <c r="D2033" s="53" t="s">
        <v>2887</v>
      </c>
      <c r="E2033" s="53" t="s">
        <v>3297</v>
      </c>
      <c r="F2033" s="53" t="s">
        <v>2882</v>
      </c>
      <c r="G2033" s="53" t="s">
        <v>2944</v>
      </c>
      <c r="H2033" s="53">
        <v>1.0</v>
      </c>
      <c r="I2033" s="53">
        <v>0.23668639053254437</v>
      </c>
      <c r="J2033" s="53">
        <v>12.0</v>
      </c>
      <c r="K2033" s="53" t="s">
        <v>53</v>
      </c>
      <c r="L2033" s="53" t="s">
        <v>53</v>
      </c>
    </row>
    <row r="2034" ht="15.75" customHeight="1">
      <c r="A2034" s="53" t="s">
        <v>411</v>
      </c>
      <c r="B2034" s="53" t="s">
        <v>2789</v>
      </c>
      <c r="D2034" s="53" t="s">
        <v>2887</v>
      </c>
      <c r="E2034" s="53" t="s">
        <v>3298</v>
      </c>
      <c r="F2034" s="53" t="s">
        <v>2882</v>
      </c>
      <c r="G2034" s="53" t="s">
        <v>2954</v>
      </c>
      <c r="H2034" s="53">
        <v>1.0</v>
      </c>
      <c r="I2034" s="53">
        <v>0.24</v>
      </c>
      <c r="J2034" s="53">
        <v>6.0</v>
      </c>
      <c r="K2034" s="53" t="s">
        <v>53</v>
      </c>
      <c r="L2034" s="53" t="s">
        <v>53</v>
      </c>
    </row>
    <row r="2035" ht="15.75" customHeight="1">
      <c r="A2035" s="53" t="s">
        <v>411</v>
      </c>
      <c r="B2035" s="53" t="s">
        <v>2789</v>
      </c>
      <c r="D2035" s="53" t="s">
        <v>2887</v>
      </c>
      <c r="E2035" s="53" t="s">
        <v>3299</v>
      </c>
      <c r="F2035" s="53" t="s">
        <v>2882</v>
      </c>
      <c r="G2035" s="53" t="s">
        <v>485</v>
      </c>
      <c r="H2035" s="53">
        <v>1.0</v>
      </c>
      <c r="I2035" s="53">
        <v>0.24342105263157895</v>
      </c>
      <c r="J2035" s="53">
        <v>24.0</v>
      </c>
      <c r="K2035" s="53" t="s">
        <v>53</v>
      </c>
      <c r="L2035" s="53" t="s">
        <v>53</v>
      </c>
    </row>
    <row r="2036" ht="15.75" customHeight="1">
      <c r="A2036" s="53" t="s">
        <v>411</v>
      </c>
      <c r="B2036" s="53" t="s">
        <v>2789</v>
      </c>
      <c r="D2036" s="53" t="s">
        <v>2887</v>
      </c>
      <c r="E2036" s="53" t="s">
        <v>3300</v>
      </c>
      <c r="F2036" s="53" t="s">
        <v>2882</v>
      </c>
      <c r="G2036" s="53" t="s">
        <v>495</v>
      </c>
      <c r="H2036" s="53">
        <v>1.0</v>
      </c>
      <c r="I2036" s="53">
        <v>0.2465753424657534</v>
      </c>
      <c r="J2036" s="53">
        <v>26.0</v>
      </c>
      <c r="K2036" s="53" t="s">
        <v>53</v>
      </c>
      <c r="L2036" s="53" t="s">
        <v>53</v>
      </c>
    </row>
    <row r="2037" ht="15.75" customHeight="1">
      <c r="A2037" s="53" t="s">
        <v>411</v>
      </c>
      <c r="B2037" s="53" t="s">
        <v>2789</v>
      </c>
      <c r="D2037" s="53" t="s">
        <v>2887</v>
      </c>
      <c r="E2037" s="53" t="s">
        <v>3301</v>
      </c>
      <c r="F2037" s="53" t="s">
        <v>2882</v>
      </c>
      <c r="G2037" s="53" t="s">
        <v>474</v>
      </c>
      <c r="H2037" s="53">
        <v>1.0</v>
      </c>
      <c r="I2037" s="53">
        <v>0.2532467532467532</v>
      </c>
      <c r="J2037" s="53">
        <v>25.0</v>
      </c>
      <c r="K2037" s="53" t="s">
        <v>53</v>
      </c>
      <c r="L2037" s="53" t="s">
        <v>53</v>
      </c>
    </row>
    <row r="2038" ht="15.75" customHeight="1">
      <c r="A2038" s="53" t="s">
        <v>411</v>
      </c>
      <c r="B2038" s="53" t="s">
        <v>2789</v>
      </c>
      <c r="D2038" s="53" t="s">
        <v>2887</v>
      </c>
      <c r="E2038" s="53" t="s">
        <v>3302</v>
      </c>
      <c r="F2038" s="53" t="s">
        <v>2882</v>
      </c>
      <c r="G2038" s="53" t="s">
        <v>2957</v>
      </c>
      <c r="H2038" s="53">
        <v>1.0</v>
      </c>
      <c r="I2038" s="53">
        <v>0.2658959537572254</v>
      </c>
      <c r="J2038" s="53">
        <v>11.0</v>
      </c>
      <c r="K2038" s="53" t="s">
        <v>53</v>
      </c>
      <c r="L2038" s="53" t="s">
        <v>53</v>
      </c>
    </row>
    <row r="2039" ht="15.75" customHeight="1">
      <c r="A2039" s="53" t="s">
        <v>411</v>
      </c>
      <c r="B2039" s="53" t="s">
        <v>2789</v>
      </c>
      <c r="D2039" s="53" t="s">
        <v>2895</v>
      </c>
      <c r="E2039" s="53" t="s">
        <v>3303</v>
      </c>
      <c r="F2039" s="53" t="s">
        <v>2882</v>
      </c>
      <c r="G2039" s="53" t="s">
        <v>2905</v>
      </c>
      <c r="H2039" s="53">
        <v>1.0</v>
      </c>
      <c r="I2039" s="53">
        <v>0.07586206896551724</v>
      </c>
      <c r="J2039" s="53">
        <v>6.0</v>
      </c>
      <c r="K2039" s="53" t="s">
        <v>53</v>
      </c>
      <c r="L2039" s="53" t="s">
        <v>53</v>
      </c>
    </row>
    <row r="2040" ht="15.75" customHeight="1">
      <c r="A2040" s="53" t="s">
        <v>411</v>
      </c>
      <c r="B2040" s="53" t="s">
        <v>2789</v>
      </c>
      <c r="D2040" s="53" t="s">
        <v>2895</v>
      </c>
      <c r="E2040" s="53" t="s">
        <v>3304</v>
      </c>
      <c r="F2040" s="53" t="s">
        <v>2882</v>
      </c>
      <c r="G2040" s="53" t="s">
        <v>2901</v>
      </c>
      <c r="H2040" s="53">
        <v>1.0</v>
      </c>
      <c r="I2040" s="53">
        <v>0.07586206896551724</v>
      </c>
      <c r="J2040" s="53">
        <v>0.0</v>
      </c>
      <c r="K2040" s="53" t="s">
        <v>53</v>
      </c>
      <c r="L2040" s="53" t="s">
        <v>53</v>
      </c>
    </row>
    <row r="2041" ht="15.75" customHeight="1">
      <c r="A2041" s="53" t="s">
        <v>411</v>
      </c>
      <c r="B2041" s="53" t="s">
        <v>2789</v>
      </c>
      <c r="D2041" s="53" t="s">
        <v>2895</v>
      </c>
      <c r="E2041" s="53" t="s">
        <v>3305</v>
      </c>
      <c r="F2041" s="53" t="s">
        <v>2882</v>
      </c>
      <c r="G2041" s="53" t="s">
        <v>2889</v>
      </c>
      <c r="H2041" s="53">
        <v>1.0</v>
      </c>
      <c r="I2041" s="53">
        <v>0.08275862068965517</v>
      </c>
      <c r="J2041" s="53">
        <v>1.0</v>
      </c>
      <c r="K2041" s="53" t="s">
        <v>53</v>
      </c>
      <c r="L2041" s="53" t="s">
        <v>53</v>
      </c>
    </row>
    <row r="2042" ht="15.75" customHeight="1">
      <c r="A2042" s="53" t="s">
        <v>411</v>
      </c>
      <c r="B2042" s="53" t="s">
        <v>2789</v>
      </c>
      <c r="D2042" s="53" t="s">
        <v>2895</v>
      </c>
      <c r="E2042" s="53" t="s">
        <v>3306</v>
      </c>
      <c r="F2042" s="53" t="s">
        <v>2882</v>
      </c>
      <c r="G2042" s="53" t="s">
        <v>2899</v>
      </c>
      <c r="H2042" s="53">
        <v>1.0</v>
      </c>
      <c r="I2042" s="53">
        <v>0.0896551724137931</v>
      </c>
      <c r="J2042" s="53">
        <v>3.0</v>
      </c>
      <c r="K2042" s="53" t="s">
        <v>53</v>
      </c>
      <c r="L2042" s="53" t="s">
        <v>53</v>
      </c>
    </row>
    <row r="2043" ht="15.75" customHeight="1">
      <c r="A2043" s="53" t="s">
        <v>411</v>
      </c>
      <c r="B2043" s="53" t="s">
        <v>2789</v>
      </c>
      <c r="D2043" s="53" t="s">
        <v>2895</v>
      </c>
      <c r="E2043" s="53" t="s">
        <v>3307</v>
      </c>
      <c r="F2043" s="53" t="s">
        <v>2882</v>
      </c>
      <c r="G2043" s="53" t="s">
        <v>2907</v>
      </c>
      <c r="H2043" s="53">
        <v>1.0</v>
      </c>
      <c r="I2043" s="53">
        <v>0.09523809523809523</v>
      </c>
      <c r="J2043" s="53">
        <v>21.0</v>
      </c>
      <c r="K2043" s="53" t="s">
        <v>53</v>
      </c>
      <c r="L2043" s="53" t="s">
        <v>53</v>
      </c>
    </row>
    <row r="2044" ht="15.75" customHeight="1">
      <c r="A2044" s="53" t="s">
        <v>411</v>
      </c>
      <c r="B2044" s="53" t="s">
        <v>2789</v>
      </c>
      <c r="D2044" s="53" t="s">
        <v>2895</v>
      </c>
      <c r="E2044" s="53" t="s">
        <v>3308</v>
      </c>
      <c r="F2044" s="53" t="s">
        <v>2882</v>
      </c>
      <c r="G2044" s="53" t="s">
        <v>2917</v>
      </c>
      <c r="H2044" s="53">
        <v>1.0</v>
      </c>
      <c r="I2044" s="53">
        <v>0.09933774834437085</v>
      </c>
      <c r="J2044" s="53">
        <v>22.0</v>
      </c>
      <c r="K2044" s="53" t="s">
        <v>53</v>
      </c>
      <c r="L2044" s="53" t="s">
        <v>53</v>
      </c>
    </row>
    <row r="2045" ht="15.75" customHeight="1">
      <c r="A2045" s="53" t="s">
        <v>411</v>
      </c>
      <c r="B2045" s="53" t="s">
        <v>2789</v>
      </c>
      <c r="D2045" s="53" t="s">
        <v>2895</v>
      </c>
      <c r="E2045" s="53" t="s">
        <v>3309</v>
      </c>
      <c r="F2045" s="53" t="s">
        <v>2882</v>
      </c>
      <c r="G2045" s="53" t="s">
        <v>2913</v>
      </c>
      <c r="H2045" s="53">
        <v>1.0</v>
      </c>
      <c r="I2045" s="53">
        <v>0.1</v>
      </c>
      <c r="J2045" s="53">
        <v>2.0</v>
      </c>
      <c r="K2045" s="53" t="s">
        <v>53</v>
      </c>
      <c r="L2045" s="53" t="s">
        <v>53</v>
      </c>
    </row>
    <row r="2046" ht="15.75" customHeight="1">
      <c r="A2046" s="53" t="s">
        <v>411</v>
      </c>
      <c r="B2046" s="53" t="s">
        <v>2789</v>
      </c>
      <c r="D2046" s="53" t="s">
        <v>2895</v>
      </c>
      <c r="E2046" s="53" t="s">
        <v>3310</v>
      </c>
      <c r="F2046" s="53" t="s">
        <v>2882</v>
      </c>
      <c r="G2046" s="53" t="s">
        <v>2915</v>
      </c>
      <c r="H2046" s="53">
        <v>1.0</v>
      </c>
      <c r="I2046" s="53">
        <v>0.10457516339869281</v>
      </c>
      <c r="J2046" s="53">
        <v>13.0</v>
      </c>
      <c r="K2046" s="53" t="s">
        <v>53</v>
      </c>
      <c r="L2046" s="53" t="s">
        <v>53</v>
      </c>
    </row>
    <row r="2047" ht="15.75" customHeight="1">
      <c r="A2047" s="53" t="s">
        <v>411</v>
      </c>
      <c r="B2047" s="53" t="s">
        <v>2789</v>
      </c>
      <c r="D2047" s="53" t="s">
        <v>2895</v>
      </c>
      <c r="E2047" s="53" t="s">
        <v>3311</v>
      </c>
      <c r="F2047" s="53" t="s">
        <v>2882</v>
      </c>
      <c r="G2047" s="53" t="s">
        <v>2911</v>
      </c>
      <c r="H2047" s="53">
        <v>1.0</v>
      </c>
      <c r="I2047" s="53">
        <v>0.10666666666666667</v>
      </c>
      <c r="J2047" s="53">
        <v>4.0</v>
      </c>
      <c r="K2047" s="53" t="s">
        <v>53</v>
      </c>
      <c r="L2047" s="53" t="s">
        <v>53</v>
      </c>
    </row>
    <row r="2048" ht="15.75" customHeight="1">
      <c r="A2048" s="53" t="s">
        <v>411</v>
      </c>
      <c r="B2048" s="53" t="s">
        <v>2789</v>
      </c>
      <c r="D2048" s="53" t="s">
        <v>2895</v>
      </c>
      <c r="E2048" s="53" t="s">
        <v>3312</v>
      </c>
      <c r="F2048" s="53" t="s">
        <v>2882</v>
      </c>
      <c r="G2048" s="53" t="s">
        <v>2923</v>
      </c>
      <c r="H2048" s="53">
        <v>1.0</v>
      </c>
      <c r="I2048" s="53">
        <v>0.1282051282051282</v>
      </c>
      <c r="J2048" s="53">
        <v>14.0</v>
      </c>
      <c r="K2048" s="53" t="s">
        <v>53</v>
      </c>
      <c r="L2048" s="53" t="s">
        <v>53</v>
      </c>
    </row>
    <row r="2049" ht="15.75" customHeight="1">
      <c r="A2049" s="53" t="s">
        <v>411</v>
      </c>
      <c r="B2049" s="53" t="s">
        <v>2789</v>
      </c>
      <c r="D2049" s="53" t="s">
        <v>2895</v>
      </c>
      <c r="E2049" s="53" t="s">
        <v>3313</v>
      </c>
      <c r="F2049" s="53" t="s">
        <v>2882</v>
      </c>
      <c r="G2049" s="53" t="s">
        <v>2927</v>
      </c>
      <c r="H2049" s="53">
        <v>1.0</v>
      </c>
      <c r="I2049" s="53">
        <v>0.1337579617834395</v>
      </c>
      <c r="J2049" s="53">
        <v>17.0</v>
      </c>
      <c r="K2049" s="53" t="s">
        <v>53</v>
      </c>
      <c r="L2049" s="53" t="s">
        <v>53</v>
      </c>
    </row>
    <row r="2050" ht="15.75" customHeight="1">
      <c r="A2050" s="53" t="s">
        <v>411</v>
      </c>
      <c r="B2050" s="53" t="s">
        <v>2789</v>
      </c>
      <c r="D2050" s="53" t="s">
        <v>2895</v>
      </c>
      <c r="E2050" s="53" t="s">
        <v>3314</v>
      </c>
      <c r="F2050" s="53" t="s">
        <v>2882</v>
      </c>
      <c r="G2050" s="53" t="s">
        <v>2921</v>
      </c>
      <c r="H2050" s="53">
        <v>1.0</v>
      </c>
      <c r="I2050" s="53">
        <v>0.1337579617834395</v>
      </c>
      <c r="J2050" s="53">
        <v>16.0</v>
      </c>
      <c r="K2050" s="53" t="s">
        <v>53</v>
      </c>
      <c r="L2050" s="53" t="s">
        <v>53</v>
      </c>
    </row>
    <row r="2051" ht="15.75" customHeight="1">
      <c r="A2051" s="53" t="s">
        <v>411</v>
      </c>
      <c r="B2051" s="53" t="s">
        <v>2789</v>
      </c>
      <c r="D2051" s="53" t="s">
        <v>2895</v>
      </c>
      <c r="E2051" s="53" t="s">
        <v>3315</v>
      </c>
      <c r="F2051" s="53" t="s">
        <v>2882</v>
      </c>
      <c r="G2051" s="53" t="s">
        <v>2925</v>
      </c>
      <c r="H2051" s="53">
        <v>1.0</v>
      </c>
      <c r="I2051" s="53">
        <v>0.13836477987421383</v>
      </c>
      <c r="J2051" s="53">
        <v>20.0</v>
      </c>
      <c r="K2051" s="53" t="s">
        <v>53</v>
      </c>
      <c r="L2051" s="53" t="s">
        <v>53</v>
      </c>
    </row>
    <row r="2052" ht="15.75" customHeight="1">
      <c r="A2052" s="53" t="s">
        <v>411</v>
      </c>
      <c r="B2052" s="53" t="s">
        <v>2789</v>
      </c>
      <c r="D2052" s="53" t="s">
        <v>2895</v>
      </c>
      <c r="E2052" s="53" t="s">
        <v>3316</v>
      </c>
      <c r="F2052" s="53" t="s">
        <v>2882</v>
      </c>
      <c r="G2052" s="53" t="s">
        <v>2929</v>
      </c>
      <c r="H2052" s="53">
        <v>1.0</v>
      </c>
      <c r="I2052" s="53">
        <v>0.14285714285714285</v>
      </c>
      <c r="J2052" s="53">
        <v>18.0</v>
      </c>
      <c r="K2052" s="53" t="s">
        <v>53</v>
      </c>
      <c r="L2052" s="53" t="s">
        <v>53</v>
      </c>
    </row>
    <row r="2053" ht="15.75" customHeight="1">
      <c r="A2053" s="53" t="s">
        <v>411</v>
      </c>
      <c r="B2053" s="53" t="s">
        <v>2789</v>
      </c>
      <c r="D2053" s="53" t="s">
        <v>2895</v>
      </c>
      <c r="E2053" s="53" t="s">
        <v>3317</v>
      </c>
      <c r="F2053" s="53" t="s">
        <v>2882</v>
      </c>
      <c r="G2053" s="53" t="s">
        <v>2919</v>
      </c>
      <c r="H2053" s="53">
        <v>1.0</v>
      </c>
      <c r="I2053" s="53">
        <v>0.14465408805031446</v>
      </c>
      <c r="J2053" s="53">
        <v>15.0</v>
      </c>
      <c r="K2053" s="53" t="s">
        <v>53</v>
      </c>
      <c r="L2053" s="53" t="s">
        <v>53</v>
      </c>
    </row>
    <row r="2054" ht="15.75" customHeight="1">
      <c r="A2054" s="53" t="s">
        <v>411</v>
      </c>
      <c r="B2054" s="53" t="s">
        <v>2789</v>
      </c>
      <c r="D2054" s="53" t="s">
        <v>2895</v>
      </c>
      <c r="E2054" s="53" t="s">
        <v>3318</v>
      </c>
      <c r="F2054" s="53" t="s">
        <v>2882</v>
      </c>
      <c r="G2054" s="53" t="s">
        <v>2931</v>
      </c>
      <c r="H2054" s="53">
        <v>1.0</v>
      </c>
      <c r="I2054" s="53">
        <v>0.15</v>
      </c>
      <c r="J2054" s="53">
        <v>12.0</v>
      </c>
      <c r="K2054" s="53" t="s">
        <v>53</v>
      </c>
      <c r="L2054" s="53" t="s">
        <v>53</v>
      </c>
    </row>
    <row r="2055" ht="15.75" customHeight="1">
      <c r="A2055" s="53" t="s">
        <v>411</v>
      </c>
      <c r="B2055" s="53" t="s">
        <v>2789</v>
      </c>
      <c r="D2055" s="53" t="s">
        <v>2895</v>
      </c>
      <c r="E2055" s="53" t="s">
        <v>3319</v>
      </c>
      <c r="F2055" s="53" t="s">
        <v>2882</v>
      </c>
      <c r="G2055" s="53" t="s">
        <v>2933</v>
      </c>
      <c r="H2055" s="53">
        <v>1.0</v>
      </c>
      <c r="I2055" s="53">
        <v>0.17857142857142858</v>
      </c>
      <c r="J2055" s="53">
        <v>19.0</v>
      </c>
      <c r="K2055" s="53" t="s">
        <v>53</v>
      </c>
      <c r="L2055" s="53" t="s">
        <v>53</v>
      </c>
    </row>
    <row r="2056" ht="15.75" customHeight="1">
      <c r="A2056" s="53" t="s">
        <v>411</v>
      </c>
      <c r="B2056" s="53" t="s">
        <v>2789</v>
      </c>
      <c r="D2056" s="53" t="s">
        <v>2895</v>
      </c>
      <c r="E2056" s="53" t="s">
        <v>3320</v>
      </c>
      <c r="F2056" s="53" t="s">
        <v>2882</v>
      </c>
      <c r="G2056" s="53" t="s">
        <v>2935</v>
      </c>
      <c r="H2056" s="53">
        <v>1.0</v>
      </c>
      <c r="I2056" s="53">
        <v>0.18867924528301888</v>
      </c>
      <c r="J2056" s="53">
        <v>9.0</v>
      </c>
      <c r="K2056" s="53" t="s">
        <v>53</v>
      </c>
      <c r="L2056" s="53" t="s">
        <v>53</v>
      </c>
    </row>
    <row r="2057" ht="15.75" customHeight="1">
      <c r="A2057" s="53" t="s">
        <v>411</v>
      </c>
      <c r="B2057" s="53" t="s">
        <v>2789</v>
      </c>
      <c r="D2057" s="53" t="s">
        <v>2895</v>
      </c>
      <c r="E2057" s="53" t="s">
        <v>3321</v>
      </c>
      <c r="F2057" s="53" t="s">
        <v>2882</v>
      </c>
      <c r="G2057" s="53" t="s">
        <v>2937</v>
      </c>
      <c r="H2057" s="53">
        <v>1.0</v>
      </c>
      <c r="I2057" s="53">
        <v>0.2</v>
      </c>
      <c r="J2057" s="53">
        <v>27.0</v>
      </c>
      <c r="K2057" s="53" t="s">
        <v>53</v>
      </c>
      <c r="L2057" s="53" t="s">
        <v>53</v>
      </c>
    </row>
    <row r="2058" ht="15.75" customHeight="1">
      <c r="A2058" s="53" t="s">
        <v>411</v>
      </c>
      <c r="B2058" s="53" t="s">
        <v>2789</v>
      </c>
      <c r="D2058" s="53" t="s">
        <v>2895</v>
      </c>
      <c r="E2058" s="53" t="s">
        <v>3322</v>
      </c>
      <c r="F2058" s="53" t="s">
        <v>2882</v>
      </c>
      <c r="G2058" s="53" t="s">
        <v>2940</v>
      </c>
      <c r="H2058" s="53">
        <v>1.0</v>
      </c>
      <c r="I2058" s="53">
        <v>0.2</v>
      </c>
      <c r="J2058" s="53">
        <v>7.0</v>
      </c>
      <c r="K2058" s="53" t="s">
        <v>53</v>
      </c>
      <c r="L2058" s="53" t="s">
        <v>53</v>
      </c>
    </row>
    <row r="2059" ht="15.75" customHeight="1">
      <c r="A2059" s="53" t="s">
        <v>411</v>
      </c>
      <c r="B2059" s="53" t="s">
        <v>2789</v>
      </c>
      <c r="D2059" s="53" t="s">
        <v>2895</v>
      </c>
      <c r="E2059" s="53" t="s">
        <v>3323</v>
      </c>
      <c r="F2059" s="53" t="s">
        <v>2882</v>
      </c>
      <c r="G2059" s="53" t="s">
        <v>2944</v>
      </c>
      <c r="H2059" s="53">
        <v>1.0</v>
      </c>
      <c r="I2059" s="53">
        <v>0.21893491124260356</v>
      </c>
      <c r="J2059" s="53">
        <v>11.0</v>
      </c>
      <c r="K2059" s="53" t="s">
        <v>53</v>
      </c>
      <c r="L2059" s="53" t="s">
        <v>53</v>
      </c>
    </row>
    <row r="2060" ht="15.75" customHeight="1">
      <c r="A2060" s="53" t="s">
        <v>411</v>
      </c>
      <c r="B2060" s="53" t="s">
        <v>2789</v>
      </c>
      <c r="D2060" s="53" t="s">
        <v>2895</v>
      </c>
      <c r="E2060" s="53" t="s">
        <v>3324</v>
      </c>
      <c r="F2060" s="53" t="s">
        <v>2882</v>
      </c>
      <c r="G2060" s="53" t="s">
        <v>2950</v>
      </c>
      <c r="H2060" s="53">
        <v>1.0</v>
      </c>
      <c r="I2060" s="53">
        <v>0.2215568862275449</v>
      </c>
      <c r="J2060" s="53">
        <v>8.0</v>
      </c>
      <c r="K2060" s="53" t="s">
        <v>53</v>
      </c>
      <c r="L2060" s="53" t="s">
        <v>53</v>
      </c>
    </row>
    <row r="2061" ht="15.75" customHeight="1">
      <c r="A2061" s="53" t="s">
        <v>411</v>
      </c>
      <c r="B2061" s="53" t="s">
        <v>2789</v>
      </c>
      <c r="D2061" s="53" t="s">
        <v>2895</v>
      </c>
      <c r="E2061" s="53" t="s">
        <v>3325</v>
      </c>
      <c r="F2061" s="53" t="s">
        <v>2882</v>
      </c>
      <c r="G2061" s="53" t="s">
        <v>2948</v>
      </c>
      <c r="H2061" s="53">
        <v>1.0</v>
      </c>
      <c r="I2061" s="53">
        <v>0.22666666666666666</v>
      </c>
      <c r="J2061" s="53">
        <v>26.0</v>
      </c>
      <c r="K2061" s="53" t="s">
        <v>53</v>
      </c>
      <c r="L2061" s="53" t="s">
        <v>53</v>
      </c>
    </row>
    <row r="2062" ht="15.75" customHeight="1">
      <c r="A2062" s="53" t="s">
        <v>411</v>
      </c>
      <c r="B2062" s="53" t="s">
        <v>2789</v>
      </c>
      <c r="D2062" s="53" t="s">
        <v>2895</v>
      </c>
      <c r="E2062" s="53" t="s">
        <v>3326</v>
      </c>
      <c r="F2062" s="53" t="s">
        <v>2882</v>
      </c>
      <c r="G2062" s="53" t="s">
        <v>2942</v>
      </c>
      <c r="H2062" s="53">
        <v>1.0</v>
      </c>
      <c r="I2062" s="53">
        <v>0.22972972972972974</v>
      </c>
      <c r="J2062" s="53">
        <v>28.0</v>
      </c>
      <c r="K2062" s="53" t="s">
        <v>53</v>
      </c>
      <c r="L2062" s="53" t="s">
        <v>53</v>
      </c>
    </row>
    <row r="2063" ht="15.75" customHeight="1">
      <c r="A2063" s="53" t="s">
        <v>411</v>
      </c>
      <c r="B2063" s="53" t="s">
        <v>2789</v>
      </c>
      <c r="D2063" s="53" t="s">
        <v>2895</v>
      </c>
      <c r="E2063" s="53" t="s">
        <v>3327</v>
      </c>
      <c r="F2063" s="53" t="s">
        <v>2882</v>
      </c>
      <c r="G2063" s="53" t="s">
        <v>2954</v>
      </c>
      <c r="H2063" s="53">
        <v>1.0</v>
      </c>
      <c r="I2063" s="53">
        <v>0.24666666666666667</v>
      </c>
      <c r="J2063" s="53">
        <v>5.0</v>
      </c>
      <c r="K2063" s="53" t="s">
        <v>53</v>
      </c>
      <c r="L2063" s="53" t="s">
        <v>53</v>
      </c>
    </row>
    <row r="2064" ht="15.75" customHeight="1">
      <c r="A2064" s="53" t="s">
        <v>411</v>
      </c>
      <c r="B2064" s="53" t="s">
        <v>2789</v>
      </c>
      <c r="D2064" s="53" t="s">
        <v>2895</v>
      </c>
      <c r="E2064" s="53" t="s">
        <v>3328</v>
      </c>
      <c r="F2064" s="53" t="s">
        <v>2882</v>
      </c>
      <c r="G2064" s="53" t="s">
        <v>2957</v>
      </c>
      <c r="H2064" s="53">
        <v>1.0</v>
      </c>
      <c r="I2064" s="53">
        <v>0.24855491329479767</v>
      </c>
      <c r="J2064" s="53">
        <v>10.0</v>
      </c>
      <c r="K2064" s="53" t="s">
        <v>53</v>
      </c>
      <c r="L2064" s="53" t="s">
        <v>53</v>
      </c>
    </row>
    <row r="2065" ht="15.75" customHeight="1">
      <c r="A2065" s="53" t="s">
        <v>411</v>
      </c>
      <c r="B2065" s="53" t="s">
        <v>2789</v>
      </c>
      <c r="D2065" s="53" t="s">
        <v>2895</v>
      </c>
      <c r="E2065" s="53" t="s">
        <v>3329</v>
      </c>
      <c r="F2065" s="53" t="s">
        <v>2882</v>
      </c>
      <c r="G2065" s="53" t="s">
        <v>485</v>
      </c>
      <c r="H2065" s="53">
        <v>1.0</v>
      </c>
      <c r="I2065" s="53">
        <v>0.25</v>
      </c>
      <c r="J2065" s="53">
        <v>23.0</v>
      </c>
      <c r="K2065" s="53" t="s">
        <v>53</v>
      </c>
      <c r="L2065" s="53" t="s">
        <v>53</v>
      </c>
    </row>
    <row r="2066" ht="15.75" customHeight="1">
      <c r="A2066" s="53" t="s">
        <v>411</v>
      </c>
      <c r="B2066" s="53" t="s">
        <v>2789</v>
      </c>
      <c r="D2066" s="53" t="s">
        <v>2895</v>
      </c>
      <c r="E2066" s="53" t="s">
        <v>3330</v>
      </c>
      <c r="F2066" s="53" t="s">
        <v>2882</v>
      </c>
      <c r="G2066" s="53" t="s">
        <v>474</v>
      </c>
      <c r="H2066" s="53">
        <v>1.0</v>
      </c>
      <c r="I2066" s="53">
        <v>0.2532467532467532</v>
      </c>
      <c r="J2066" s="53">
        <v>24.0</v>
      </c>
      <c r="K2066" s="53" t="s">
        <v>53</v>
      </c>
      <c r="L2066" s="53" t="s">
        <v>53</v>
      </c>
    </row>
    <row r="2067" ht="15.75" customHeight="1">
      <c r="A2067" s="53" t="s">
        <v>411</v>
      </c>
      <c r="B2067" s="53" t="s">
        <v>2789</v>
      </c>
      <c r="D2067" s="53" t="s">
        <v>2895</v>
      </c>
      <c r="E2067" s="53" t="s">
        <v>3331</v>
      </c>
      <c r="F2067" s="53" t="s">
        <v>2882</v>
      </c>
      <c r="G2067" s="53" t="s">
        <v>495</v>
      </c>
      <c r="H2067" s="53">
        <v>1.0</v>
      </c>
      <c r="I2067" s="53">
        <v>0.2602739726027397</v>
      </c>
      <c r="J2067" s="53">
        <v>25.0</v>
      </c>
      <c r="K2067" s="53" t="s">
        <v>53</v>
      </c>
      <c r="L2067" s="53" t="s">
        <v>53</v>
      </c>
    </row>
    <row r="2068" ht="15.75" customHeight="1">
      <c r="A2068" s="53" t="s">
        <v>411</v>
      </c>
      <c r="B2068" s="53" t="s">
        <v>2789</v>
      </c>
      <c r="D2068" s="53" t="s">
        <v>2901</v>
      </c>
      <c r="E2068" s="53" t="s">
        <v>3332</v>
      </c>
      <c r="F2068" s="53" t="s">
        <v>2882</v>
      </c>
      <c r="G2068" s="53" t="s">
        <v>2899</v>
      </c>
      <c r="H2068" s="53">
        <v>1.0</v>
      </c>
      <c r="I2068" s="53">
        <v>0.06293706293706294</v>
      </c>
      <c r="J2068" s="53">
        <v>2.0</v>
      </c>
      <c r="K2068" s="53" t="s">
        <v>53</v>
      </c>
      <c r="L2068" s="53" t="s">
        <v>53</v>
      </c>
    </row>
    <row r="2069" ht="15.75" customHeight="1">
      <c r="A2069" s="53" t="s">
        <v>411</v>
      </c>
      <c r="B2069" s="53" t="s">
        <v>2789</v>
      </c>
      <c r="D2069" s="53" t="s">
        <v>2901</v>
      </c>
      <c r="E2069" s="53" t="s">
        <v>3333</v>
      </c>
      <c r="F2069" s="53" t="s">
        <v>2882</v>
      </c>
      <c r="G2069" s="53" t="s">
        <v>2905</v>
      </c>
      <c r="H2069" s="53">
        <v>1.0</v>
      </c>
      <c r="I2069" s="53">
        <v>0.06944444444444445</v>
      </c>
      <c r="J2069" s="53">
        <v>5.0</v>
      </c>
      <c r="K2069" s="53" t="s">
        <v>53</v>
      </c>
      <c r="L2069" s="53" t="s">
        <v>53</v>
      </c>
    </row>
    <row r="2070" ht="15.75" customHeight="1">
      <c r="A2070" s="53" t="s">
        <v>411</v>
      </c>
      <c r="B2070" s="53" t="s">
        <v>2789</v>
      </c>
      <c r="D2070" s="53" t="s">
        <v>2901</v>
      </c>
      <c r="E2070" s="53" t="s">
        <v>3334</v>
      </c>
      <c r="F2070" s="53" t="s">
        <v>2882</v>
      </c>
      <c r="G2070" s="53" t="s">
        <v>2889</v>
      </c>
      <c r="H2070" s="53">
        <v>1.0</v>
      </c>
      <c r="I2070" s="53">
        <v>0.06944444444444445</v>
      </c>
      <c r="J2070" s="53">
        <v>0.0</v>
      </c>
      <c r="K2070" s="53" t="s">
        <v>53</v>
      </c>
      <c r="L2070" s="53" t="s">
        <v>53</v>
      </c>
    </row>
    <row r="2071" ht="15.75" customHeight="1">
      <c r="A2071" s="53" t="s">
        <v>411</v>
      </c>
      <c r="B2071" s="53" t="s">
        <v>2789</v>
      </c>
      <c r="D2071" s="53" t="s">
        <v>2901</v>
      </c>
      <c r="E2071" s="53" t="s">
        <v>3335</v>
      </c>
      <c r="F2071" s="53" t="s">
        <v>2882</v>
      </c>
      <c r="G2071" s="53" t="s">
        <v>2907</v>
      </c>
      <c r="H2071" s="53">
        <v>1.0</v>
      </c>
      <c r="I2071" s="53">
        <v>0.08843537414965986</v>
      </c>
      <c r="J2071" s="53">
        <v>20.0</v>
      </c>
      <c r="K2071" s="53" t="s">
        <v>53</v>
      </c>
      <c r="L2071" s="53" t="s">
        <v>53</v>
      </c>
    </row>
    <row r="2072" ht="15.75" customHeight="1">
      <c r="A2072" s="53" t="s">
        <v>411</v>
      </c>
      <c r="B2072" s="53" t="s">
        <v>2789</v>
      </c>
      <c r="D2072" s="53" t="s">
        <v>2901</v>
      </c>
      <c r="E2072" s="53" t="s">
        <v>3336</v>
      </c>
      <c r="F2072" s="53" t="s">
        <v>2882</v>
      </c>
      <c r="G2072" s="53" t="s">
        <v>2917</v>
      </c>
      <c r="H2072" s="53">
        <v>1.0</v>
      </c>
      <c r="I2072" s="53">
        <v>0.09271523178807947</v>
      </c>
      <c r="J2072" s="53">
        <v>21.0</v>
      </c>
      <c r="K2072" s="53" t="s">
        <v>53</v>
      </c>
      <c r="L2072" s="53" t="s">
        <v>53</v>
      </c>
    </row>
    <row r="2073" ht="15.75" customHeight="1">
      <c r="A2073" s="53" t="s">
        <v>411</v>
      </c>
      <c r="B2073" s="53" t="s">
        <v>2789</v>
      </c>
      <c r="D2073" s="53" t="s">
        <v>2901</v>
      </c>
      <c r="E2073" s="53" t="s">
        <v>3337</v>
      </c>
      <c r="F2073" s="53" t="s">
        <v>2882</v>
      </c>
      <c r="G2073" s="53" t="s">
        <v>2913</v>
      </c>
      <c r="H2073" s="53">
        <v>1.0</v>
      </c>
      <c r="I2073" s="53">
        <v>0.1</v>
      </c>
      <c r="J2073" s="53">
        <v>1.0</v>
      </c>
      <c r="K2073" s="53" t="s">
        <v>53</v>
      </c>
      <c r="L2073" s="53" t="s">
        <v>53</v>
      </c>
    </row>
    <row r="2074" ht="15.75" customHeight="1">
      <c r="A2074" s="53" t="s">
        <v>411</v>
      </c>
      <c r="B2074" s="53" t="s">
        <v>2789</v>
      </c>
      <c r="D2074" s="53" t="s">
        <v>2901</v>
      </c>
      <c r="E2074" s="53" t="s">
        <v>3338</v>
      </c>
      <c r="F2074" s="53" t="s">
        <v>2882</v>
      </c>
      <c r="G2074" s="53" t="s">
        <v>2911</v>
      </c>
      <c r="H2074" s="53">
        <v>1.0</v>
      </c>
      <c r="I2074" s="53">
        <v>0.11333333333333333</v>
      </c>
      <c r="J2074" s="53">
        <v>3.0</v>
      </c>
      <c r="K2074" s="53" t="s">
        <v>53</v>
      </c>
      <c r="L2074" s="53" t="s">
        <v>53</v>
      </c>
    </row>
    <row r="2075" ht="15.75" customHeight="1">
      <c r="A2075" s="53" t="s">
        <v>411</v>
      </c>
      <c r="B2075" s="53" t="s">
        <v>2789</v>
      </c>
      <c r="D2075" s="53" t="s">
        <v>2901</v>
      </c>
      <c r="E2075" s="53" t="s">
        <v>3339</v>
      </c>
      <c r="F2075" s="53" t="s">
        <v>2882</v>
      </c>
      <c r="G2075" s="53" t="s">
        <v>2915</v>
      </c>
      <c r="H2075" s="53">
        <v>1.0</v>
      </c>
      <c r="I2075" s="53">
        <v>0.12418300653594772</v>
      </c>
      <c r="J2075" s="53">
        <v>12.0</v>
      </c>
      <c r="K2075" s="53" t="s">
        <v>53</v>
      </c>
      <c r="L2075" s="53" t="s">
        <v>53</v>
      </c>
    </row>
    <row r="2076" ht="15.75" customHeight="1">
      <c r="A2076" s="53" t="s">
        <v>411</v>
      </c>
      <c r="B2076" s="53" t="s">
        <v>2789</v>
      </c>
      <c r="D2076" s="53" t="s">
        <v>2901</v>
      </c>
      <c r="E2076" s="53" t="s">
        <v>3340</v>
      </c>
      <c r="F2076" s="53" t="s">
        <v>2882</v>
      </c>
      <c r="G2076" s="53" t="s">
        <v>2923</v>
      </c>
      <c r="H2076" s="53">
        <v>1.0</v>
      </c>
      <c r="I2076" s="53">
        <v>0.1282051282051282</v>
      </c>
      <c r="J2076" s="53">
        <v>13.0</v>
      </c>
      <c r="K2076" s="53" t="s">
        <v>53</v>
      </c>
      <c r="L2076" s="53" t="s">
        <v>53</v>
      </c>
    </row>
    <row r="2077" ht="15.75" customHeight="1">
      <c r="A2077" s="53" t="s">
        <v>411</v>
      </c>
      <c r="B2077" s="53" t="s">
        <v>2789</v>
      </c>
      <c r="D2077" s="53" t="s">
        <v>2901</v>
      </c>
      <c r="E2077" s="53" t="s">
        <v>3341</v>
      </c>
      <c r="F2077" s="53" t="s">
        <v>2882</v>
      </c>
      <c r="G2077" s="53" t="s">
        <v>2919</v>
      </c>
      <c r="H2077" s="53">
        <v>1.0</v>
      </c>
      <c r="I2077" s="53">
        <v>0.13836477987421383</v>
      </c>
      <c r="J2077" s="53">
        <v>14.0</v>
      </c>
      <c r="K2077" s="53" t="s">
        <v>53</v>
      </c>
      <c r="L2077" s="53" t="s">
        <v>53</v>
      </c>
    </row>
    <row r="2078" ht="15.75" customHeight="1">
      <c r="A2078" s="53" t="s">
        <v>411</v>
      </c>
      <c r="B2078" s="53" t="s">
        <v>2789</v>
      </c>
      <c r="D2078" s="53" t="s">
        <v>2901</v>
      </c>
      <c r="E2078" s="53" t="s">
        <v>3342</v>
      </c>
      <c r="F2078" s="53" t="s">
        <v>2882</v>
      </c>
      <c r="G2078" s="53" t="s">
        <v>2927</v>
      </c>
      <c r="H2078" s="53">
        <v>1.0</v>
      </c>
      <c r="I2078" s="53">
        <v>0.14012738853503184</v>
      </c>
      <c r="J2078" s="53">
        <v>16.0</v>
      </c>
      <c r="K2078" s="53" t="s">
        <v>53</v>
      </c>
      <c r="L2078" s="53" t="s">
        <v>53</v>
      </c>
    </row>
    <row r="2079" ht="15.75" customHeight="1">
      <c r="A2079" s="53" t="s">
        <v>411</v>
      </c>
      <c r="B2079" s="53" t="s">
        <v>2789</v>
      </c>
      <c r="D2079" s="53" t="s">
        <v>2901</v>
      </c>
      <c r="E2079" s="53" t="s">
        <v>3343</v>
      </c>
      <c r="F2079" s="53" t="s">
        <v>2882</v>
      </c>
      <c r="G2079" s="53" t="s">
        <v>2931</v>
      </c>
      <c r="H2079" s="53">
        <v>1.0</v>
      </c>
      <c r="I2079" s="53">
        <v>0.15</v>
      </c>
      <c r="J2079" s="53">
        <v>11.0</v>
      </c>
      <c r="K2079" s="53" t="s">
        <v>53</v>
      </c>
      <c r="L2079" s="53" t="s">
        <v>53</v>
      </c>
    </row>
    <row r="2080" ht="15.75" customHeight="1">
      <c r="A2080" s="53" t="s">
        <v>411</v>
      </c>
      <c r="B2080" s="53" t="s">
        <v>2789</v>
      </c>
      <c r="D2080" s="53" t="s">
        <v>2901</v>
      </c>
      <c r="E2080" s="53" t="s">
        <v>3344</v>
      </c>
      <c r="F2080" s="53" t="s">
        <v>2882</v>
      </c>
      <c r="G2080" s="53" t="s">
        <v>2921</v>
      </c>
      <c r="H2080" s="53">
        <v>1.0</v>
      </c>
      <c r="I2080" s="53">
        <v>0.15286624203821655</v>
      </c>
      <c r="J2080" s="53">
        <v>15.0</v>
      </c>
      <c r="K2080" s="53" t="s">
        <v>53</v>
      </c>
      <c r="L2080" s="53" t="s">
        <v>53</v>
      </c>
    </row>
    <row r="2081" ht="15.75" customHeight="1">
      <c r="A2081" s="53" t="s">
        <v>411</v>
      </c>
      <c r="B2081" s="53" t="s">
        <v>2789</v>
      </c>
      <c r="D2081" s="53" t="s">
        <v>2901</v>
      </c>
      <c r="E2081" s="53" t="s">
        <v>3345</v>
      </c>
      <c r="F2081" s="53" t="s">
        <v>2882</v>
      </c>
      <c r="G2081" s="53" t="s">
        <v>2925</v>
      </c>
      <c r="H2081" s="53">
        <v>1.0</v>
      </c>
      <c r="I2081" s="53">
        <v>0.15723270440251572</v>
      </c>
      <c r="J2081" s="53">
        <v>19.0</v>
      </c>
      <c r="K2081" s="53" t="s">
        <v>53</v>
      </c>
      <c r="L2081" s="53" t="s">
        <v>53</v>
      </c>
    </row>
    <row r="2082" ht="15.75" customHeight="1">
      <c r="A2082" s="53" t="s">
        <v>411</v>
      </c>
      <c r="B2082" s="53" t="s">
        <v>2789</v>
      </c>
      <c r="D2082" s="53" t="s">
        <v>2901</v>
      </c>
      <c r="E2082" s="53" t="s">
        <v>3346</v>
      </c>
      <c r="F2082" s="53" t="s">
        <v>2882</v>
      </c>
      <c r="G2082" s="53" t="s">
        <v>2929</v>
      </c>
      <c r="H2082" s="53">
        <v>1.0</v>
      </c>
      <c r="I2082" s="53">
        <v>0.16149068322981366</v>
      </c>
      <c r="J2082" s="53">
        <v>17.0</v>
      </c>
      <c r="K2082" s="53" t="s">
        <v>53</v>
      </c>
      <c r="L2082" s="53" t="s">
        <v>53</v>
      </c>
    </row>
    <row r="2083" ht="15.75" customHeight="1">
      <c r="A2083" s="53" t="s">
        <v>411</v>
      </c>
      <c r="B2083" s="53" t="s">
        <v>2789</v>
      </c>
      <c r="D2083" s="53" t="s">
        <v>2901</v>
      </c>
      <c r="E2083" s="53" t="s">
        <v>3347</v>
      </c>
      <c r="F2083" s="53" t="s">
        <v>2882</v>
      </c>
      <c r="G2083" s="53" t="s">
        <v>2933</v>
      </c>
      <c r="H2083" s="53">
        <v>1.0</v>
      </c>
      <c r="I2083" s="53">
        <v>0.17261904761904762</v>
      </c>
      <c r="J2083" s="53">
        <v>18.0</v>
      </c>
      <c r="K2083" s="53" t="s">
        <v>53</v>
      </c>
      <c r="L2083" s="53" t="s">
        <v>53</v>
      </c>
    </row>
    <row r="2084" ht="15.75" customHeight="1">
      <c r="A2084" s="53" t="s">
        <v>411</v>
      </c>
      <c r="B2084" s="53" t="s">
        <v>2789</v>
      </c>
      <c r="D2084" s="53" t="s">
        <v>2901</v>
      </c>
      <c r="E2084" s="53" t="s">
        <v>3348</v>
      </c>
      <c r="F2084" s="53" t="s">
        <v>2882</v>
      </c>
      <c r="G2084" s="53" t="s">
        <v>2950</v>
      </c>
      <c r="H2084" s="53">
        <v>1.0</v>
      </c>
      <c r="I2084" s="53">
        <v>0.17964071856287425</v>
      </c>
      <c r="J2084" s="53">
        <v>7.0</v>
      </c>
      <c r="K2084" s="53" t="s">
        <v>53</v>
      </c>
      <c r="L2084" s="53" t="s">
        <v>53</v>
      </c>
    </row>
    <row r="2085" ht="15.75" customHeight="1">
      <c r="A2085" s="53" t="s">
        <v>411</v>
      </c>
      <c r="B2085" s="53" t="s">
        <v>2789</v>
      </c>
      <c r="D2085" s="53" t="s">
        <v>2901</v>
      </c>
      <c r="E2085" s="53" t="s">
        <v>3349</v>
      </c>
      <c r="F2085" s="53" t="s">
        <v>2882</v>
      </c>
      <c r="G2085" s="53" t="s">
        <v>2935</v>
      </c>
      <c r="H2085" s="53">
        <v>1.0</v>
      </c>
      <c r="I2085" s="53">
        <v>0.18238993710691823</v>
      </c>
      <c r="J2085" s="53">
        <v>8.0</v>
      </c>
      <c r="K2085" s="53" t="s">
        <v>53</v>
      </c>
      <c r="L2085" s="53" t="s">
        <v>53</v>
      </c>
    </row>
    <row r="2086" ht="15.75" customHeight="1">
      <c r="A2086" s="53" t="s">
        <v>411</v>
      </c>
      <c r="B2086" s="53" t="s">
        <v>2789</v>
      </c>
      <c r="D2086" s="53" t="s">
        <v>2901</v>
      </c>
      <c r="E2086" s="53" t="s">
        <v>3350</v>
      </c>
      <c r="F2086" s="53" t="s">
        <v>2882</v>
      </c>
      <c r="G2086" s="53" t="s">
        <v>2937</v>
      </c>
      <c r="H2086" s="53">
        <v>1.0</v>
      </c>
      <c r="I2086" s="53">
        <v>0.19310344827586207</v>
      </c>
      <c r="J2086" s="53">
        <v>26.0</v>
      </c>
      <c r="K2086" s="53" t="s">
        <v>53</v>
      </c>
      <c r="L2086" s="53" t="s">
        <v>53</v>
      </c>
    </row>
    <row r="2087" ht="15.75" customHeight="1">
      <c r="A2087" s="53" t="s">
        <v>411</v>
      </c>
      <c r="B2087" s="53" t="s">
        <v>2789</v>
      </c>
      <c r="D2087" s="53" t="s">
        <v>2901</v>
      </c>
      <c r="E2087" s="53" t="s">
        <v>3351</v>
      </c>
      <c r="F2087" s="53" t="s">
        <v>2882</v>
      </c>
      <c r="G2087" s="53" t="s">
        <v>2940</v>
      </c>
      <c r="H2087" s="53">
        <v>1.0</v>
      </c>
      <c r="I2087" s="53">
        <v>0.1958041958041958</v>
      </c>
      <c r="J2087" s="53">
        <v>6.0</v>
      </c>
      <c r="K2087" s="53" t="s">
        <v>53</v>
      </c>
      <c r="L2087" s="53" t="s">
        <v>53</v>
      </c>
    </row>
    <row r="2088" ht="15.75" customHeight="1">
      <c r="A2088" s="53" t="s">
        <v>411</v>
      </c>
      <c r="B2088" s="53" t="s">
        <v>2789</v>
      </c>
      <c r="D2088" s="53" t="s">
        <v>2901</v>
      </c>
      <c r="E2088" s="53" t="s">
        <v>3352</v>
      </c>
      <c r="F2088" s="53" t="s">
        <v>2882</v>
      </c>
      <c r="G2088" s="53" t="s">
        <v>2942</v>
      </c>
      <c r="H2088" s="53">
        <v>1.0</v>
      </c>
      <c r="I2088" s="53">
        <v>0.21621621621621623</v>
      </c>
      <c r="J2088" s="53">
        <v>27.0</v>
      </c>
      <c r="K2088" s="53" t="s">
        <v>53</v>
      </c>
      <c r="L2088" s="53" t="s">
        <v>53</v>
      </c>
    </row>
    <row r="2089" ht="15.75" customHeight="1">
      <c r="A2089" s="53" t="s">
        <v>411</v>
      </c>
      <c r="B2089" s="53" t="s">
        <v>2789</v>
      </c>
      <c r="D2089" s="53" t="s">
        <v>2901</v>
      </c>
      <c r="E2089" s="53" t="s">
        <v>3353</v>
      </c>
      <c r="F2089" s="53" t="s">
        <v>2882</v>
      </c>
      <c r="G2089" s="53" t="s">
        <v>2944</v>
      </c>
      <c r="H2089" s="53">
        <v>1.0</v>
      </c>
      <c r="I2089" s="53">
        <v>0.22485207100591717</v>
      </c>
      <c r="J2089" s="53">
        <v>10.0</v>
      </c>
      <c r="K2089" s="53" t="s">
        <v>53</v>
      </c>
      <c r="L2089" s="53" t="s">
        <v>53</v>
      </c>
    </row>
    <row r="2090" ht="15.75" customHeight="1">
      <c r="A2090" s="53" t="s">
        <v>411</v>
      </c>
      <c r="B2090" s="53" t="s">
        <v>2789</v>
      </c>
      <c r="D2090" s="53" t="s">
        <v>2901</v>
      </c>
      <c r="E2090" s="53" t="s">
        <v>3354</v>
      </c>
      <c r="F2090" s="53" t="s">
        <v>2882</v>
      </c>
      <c r="G2090" s="53" t="s">
        <v>2948</v>
      </c>
      <c r="H2090" s="53">
        <v>1.0</v>
      </c>
      <c r="I2090" s="53">
        <v>0.22666666666666666</v>
      </c>
      <c r="J2090" s="53">
        <v>25.0</v>
      </c>
      <c r="K2090" s="53" t="s">
        <v>53</v>
      </c>
      <c r="L2090" s="53" t="s">
        <v>53</v>
      </c>
    </row>
    <row r="2091" ht="15.75" customHeight="1">
      <c r="A2091" s="53" t="s">
        <v>411</v>
      </c>
      <c r="B2091" s="53" t="s">
        <v>2789</v>
      </c>
      <c r="D2091" s="53" t="s">
        <v>2901</v>
      </c>
      <c r="E2091" s="53" t="s">
        <v>3355</v>
      </c>
      <c r="F2091" s="53" t="s">
        <v>2882</v>
      </c>
      <c r="G2091" s="53" t="s">
        <v>2954</v>
      </c>
      <c r="H2091" s="53">
        <v>1.0</v>
      </c>
      <c r="I2091" s="53">
        <v>0.25333333333333335</v>
      </c>
      <c r="J2091" s="53">
        <v>4.0</v>
      </c>
      <c r="K2091" s="53" t="s">
        <v>53</v>
      </c>
      <c r="L2091" s="53" t="s">
        <v>53</v>
      </c>
    </row>
    <row r="2092" ht="15.75" customHeight="1">
      <c r="A2092" s="53" t="s">
        <v>411</v>
      </c>
      <c r="B2092" s="53" t="s">
        <v>2789</v>
      </c>
      <c r="D2092" s="53" t="s">
        <v>2901</v>
      </c>
      <c r="E2092" s="53" t="s">
        <v>3356</v>
      </c>
      <c r="F2092" s="53" t="s">
        <v>2882</v>
      </c>
      <c r="G2092" s="53" t="s">
        <v>495</v>
      </c>
      <c r="H2092" s="53">
        <v>1.0</v>
      </c>
      <c r="I2092" s="53">
        <v>0.2534246575342466</v>
      </c>
      <c r="J2092" s="53">
        <v>24.0</v>
      </c>
      <c r="K2092" s="53" t="s">
        <v>53</v>
      </c>
      <c r="L2092" s="53" t="s">
        <v>53</v>
      </c>
    </row>
    <row r="2093" ht="15.75" customHeight="1">
      <c r="A2093" s="53" t="s">
        <v>411</v>
      </c>
      <c r="B2093" s="53" t="s">
        <v>2789</v>
      </c>
      <c r="D2093" s="53" t="s">
        <v>2901</v>
      </c>
      <c r="E2093" s="53" t="s">
        <v>3357</v>
      </c>
      <c r="F2093" s="53" t="s">
        <v>2882</v>
      </c>
      <c r="G2093" s="53" t="s">
        <v>485</v>
      </c>
      <c r="H2093" s="53">
        <v>1.0</v>
      </c>
      <c r="I2093" s="53">
        <v>0.2565789473684211</v>
      </c>
      <c r="J2093" s="53">
        <v>22.0</v>
      </c>
      <c r="K2093" s="53" t="s">
        <v>53</v>
      </c>
      <c r="L2093" s="53" t="s">
        <v>53</v>
      </c>
    </row>
    <row r="2094" ht="15.75" customHeight="1">
      <c r="A2094" s="53" t="s">
        <v>411</v>
      </c>
      <c r="B2094" s="53" t="s">
        <v>2789</v>
      </c>
      <c r="D2094" s="53" t="s">
        <v>2901</v>
      </c>
      <c r="E2094" s="53" t="s">
        <v>3358</v>
      </c>
      <c r="F2094" s="53" t="s">
        <v>2882</v>
      </c>
      <c r="G2094" s="53" t="s">
        <v>2957</v>
      </c>
      <c r="H2094" s="53">
        <v>1.0</v>
      </c>
      <c r="I2094" s="53">
        <v>0.26011560693641617</v>
      </c>
      <c r="J2094" s="53">
        <v>9.0</v>
      </c>
      <c r="K2094" s="53" t="s">
        <v>53</v>
      </c>
      <c r="L2094" s="53" t="s">
        <v>53</v>
      </c>
    </row>
    <row r="2095" ht="15.75" customHeight="1">
      <c r="A2095" s="53" t="s">
        <v>411</v>
      </c>
      <c r="B2095" s="53" t="s">
        <v>2789</v>
      </c>
      <c r="D2095" s="53" t="s">
        <v>2901</v>
      </c>
      <c r="E2095" s="53" t="s">
        <v>3359</v>
      </c>
      <c r="F2095" s="53" t="s">
        <v>2882</v>
      </c>
      <c r="G2095" s="53" t="s">
        <v>474</v>
      </c>
      <c r="H2095" s="53">
        <v>1.0</v>
      </c>
      <c r="I2095" s="53">
        <v>0.2662337662337662</v>
      </c>
      <c r="J2095" s="53">
        <v>23.0</v>
      </c>
      <c r="K2095" s="53" t="s">
        <v>53</v>
      </c>
      <c r="L2095" s="53" t="s">
        <v>53</v>
      </c>
    </row>
    <row r="2096" ht="15.75" customHeight="1">
      <c r="A2096" s="53" t="s">
        <v>411</v>
      </c>
      <c r="B2096" s="53" t="s">
        <v>2789</v>
      </c>
      <c r="D2096" s="53" t="s">
        <v>2889</v>
      </c>
      <c r="E2096" s="53" t="s">
        <v>3360</v>
      </c>
      <c r="F2096" s="53" t="s">
        <v>2882</v>
      </c>
      <c r="G2096" s="53" t="s">
        <v>2899</v>
      </c>
      <c r="H2096" s="53">
        <v>1.0</v>
      </c>
      <c r="I2096" s="53">
        <v>0.0625</v>
      </c>
      <c r="J2096" s="53">
        <v>1.0</v>
      </c>
      <c r="K2096" s="53" t="s">
        <v>53</v>
      </c>
      <c r="L2096" s="53" t="s">
        <v>53</v>
      </c>
    </row>
    <row r="2097" ht="15.75" customHeight="1">
      <c r="A2097" s="53" t="s">
        <v>411</v>
      </c>
      <c r="B2097" s="53" t="s">
        <v>2789</v>
      </c>
      <c r="D2097" s="53" t="s">
        <v>2889</v>
      </c>
      <c r="E2097" s="53" t="s">
        <v>3361</v>
      </c>
      <c r="F2097" s="53" t="s">
        <v>2882</v>
      </c>
      <c r="G2097" s="53" t="s">
        <v>2905</v>
      </c>
      <c r="H2097" s="53">
        <v>1.0</v>
      </c>
      <c r="I2097" s="53">
        <v>0.0625</v>
      </c>
      <c r="J2097" s="53">
        <v>4.0</v>
      </c>
      <c r="K2097" s="53" t="s">
        <v>53</v>
      </c>
      <c r="L2097" s="53" t="s">
        <v>53</v>
      </c>
    </row>
    <row r="2098" ht="15.75" customHeight="1">
      <c r="A2098" s="53" t="s">
        <v>411</v>
      </c>
      <c r="B2098" s="53" t="s">
        <v>2789</v>
      </c>
      <c r="D2098" s="53" t="s">
        <v>2889</v>
      </c>
      <c r="E2098" s="53" t="s">
        <v>3362</v>
      </c>
      <c r="F2098" s="53" t="s">
        <v>2882</v>
      </c>
      <c r="G2098" s="53" t="s">
        <v>2907</v>
      </c>
      <c r="H2098" s="53">
        <v>1.0</v>
      </c>
      <c r="I2098" s="53">
        <v>0.08843537414965986</v>
      </c>
      <c r="J2098" s="53">
        <v>19.0</v>
      </c>
      <c r="K2098" s="53" t="s">
        <v>53</v>
      </c>
      <c r="L2098" s="53" t="s">
        <v>53</v>
      </c>
    </row>
    <row r="2099" ht="15.75" customHeight="1">
      <c r="A2099" s="53" t="s">
        <v>411</v>
      </c>
      <c r="B2099" s="53" t="s">
        <v>2789</v>
      </c>
      <c r="D2099" s="53" t="s">
        <v>2889</v>
      </c>
      <c r="E2099" s="53" t="s">
        <v>3363</v>
      </c>
      <c r="F2099" s="53" t="s">
        <v>2882</v>
      </c>
      <c r="G2099" s="53" t="s">
        <v>2911</v>
      </c>
      <c r="H2099" s="53">
        <v>1.0</v>
      </c>
      <c r="I2099" s="53">
        <v>0.1</v>
      </c>
      <c r="J2099" s="53">
        <v>2.0</v>
      </c>
      <c r="K2099" s="53" t="s">
        <v>53</v>
      </c>
      <c r="L2099" s="53" t="s">
        <v>53</v>
      </c>
    </row>
    <row r="2100" ht="15.75" customHeight="1">
      <c r="A2100" s="53" t="s">
        <v>411</v>
      </c>
      <c r="B2100" s="53" t="s">
        <v>2789</v>
      </c>
      <c r="D2100" s="53" t="s">
        <v>2889</v>
      </c>
      <c r="E2100" s="53" t="s">
        <v>3364</v>
      </c>
      <c r="F2100" s="53" t="s">
        <v>2882</v>
      </c>
      <c r="G2100" s="53" t="s">
        <v>2913</v>
      </c>
      <c r="H2100" s="53">
        <v>1.0</v>
      </c>
      <c r="I2100" s="53">
        <v>0.1</v>
      </c>
      <c r="J2100" s="53">
        <v>0.0</v>
      </c>
      <c r="K2100" s="53" t="s">
        <v>53</v>
      </c>
      <c r="L2100" s="53" t="s">
        <v>53</v>
      </c>
    </row>
    <row r="2101" ht="15.75" customHeight="1">
      <c r="A2101" s="53" t="s">
        <v>411</v>
      </c>
      <c r="B2101" s="53" t="s">
        <v>2789</v>
      </c>
      <c r="D2101" s="53" t="s">
        <v>2889</v>
      </c>
      <c r="E2101" s="53" t="s">
        <v>3365</v>
      </c>
      <c r="F2101" s="53" t="s">
        <v>2882</v>
      </c>
      <c r="G2101" s="53" t="s">
        <v>2915</v>
      </c>
      <c r="H2101" s="53">
        <v>1.0</v>
      </c>
      <c r="I2101" s="53">
        <v>0.10457516339869281</v>
      </c>
      <c r="J2101" s="53">
        <v>11.0</v>
      </c>
      <c r="K2101" s="53" t="s">
        <v>53</v>
      </c>
      <c r="L2101" s="53" t="s">
        <v>53</v>
      </c>
    </row>
    <row r="2102" ht="15.75" customHeight="1">
      <c r="A2102" s="53" t="s">
        <v>411</v>
      </c>
      <c r="B2102" s="53" t="s">
        <v>2789</v>
      </c>
      <c r="D2102" s="53" t="s">
        <v>2889</v>
      </c>
      <c r="E2102" s="53" t="s">
        <v>3366</v>
      </c>
      <c r="F2102" s="53" t="s">
        <v>2882</v>
      </c>
      <c r="G2102" s="53" t="s">
        <v>2917</v>
      </c>
      <c r="H2102" s="53">
        <v>1.0</v>
      </c>
      <c r="I2102" s="53">
        <v>0.10596026490066225</v>
      </c>
      <c r="J2102" s="53">
        <v>20.0</v>
      </c>
      <c r="K2102" s="53" t="s">
        <v>53</v>
      </c>
      <c r="L2102" s="53" t="s">
        <v>53</v>
      </c>
    </row>
    <row r="2103" ht="15.75" customHeight="1">
      <c r="A2103" s="53" t="s">
        <v>411</v>
      </c>
      <c r="B2103" s="53" t="s">
        <v>2789</v>
      </c>
      <c r="D2103" s="53" t="s">
        <v>2889</v>
      </c>
      <c r="E2103" s="53" t="s">
        <v>3367</v>
      </c>
      <c r="F2103" s="53" t="s">
        <v>2882</v>
      </c>
      <c r="G2103" s="53" t="s">
        <v>2919</v>
      </c>
      <c r="H2103" s="53">
        <v>1.0</v>
      </c>
      <c r="I2103" s="53">
        <v>0.12578616352201258</v>
      </c>
      <c r="J2103" s="53">
        <v>13.0</v>
      </c>
      <c r="K2103" s="53" t="s">
        <v>53</v>
      </c>
      <c r="L2103" s="53" t="s">
        <v>53</v>
      </c>
    </row>
    <row r="2104" ht="15.75" customHeight="1">
      <c r="A2104" s="53" t="s">
        <v>411</v>
      </c>
      <c r="B2104" s="53" t="s">
        <v>2789</v>
      </c>
      <c r="D2104" s="53" t="s">
        <v>2889</v>
      </c>
      <c r="E2104" s="53" t="s">
        <v>3368</v>
      </c>
      <c r="F2104" s="53" t="s">
        <v>2882</v>
      </c>
      <c r="G2104" s="53" t="s">
        <v>2921</v>
      </c>
      <c r="H2104" s="53">
        <v>1.0</v>
      </c>
      <c r="I2104" s="53">
        <v>0.12738853503184713</v>
      </c>
      <c r="J2104" s="53">
        <v>14.0</v>
      </c>
      <c r="K2104" s="53" t="s">
        <v>53</v>
      </c>
      <c r="L2104" s="53" t="s">
        <v>53</v>
      </c>
    </row>
    <row r="2105" ht="15.75" customHeight="1">
      <c r="A2105" s="53" t="s">
        <v>411</v>
      </c>
      <c r="B2105" s="53" t="s">
        <v>2789</v>
      </c>
      <c r="D2105" s="53" t="s">
        <v>2889</v>
      </c>
      <c r="E2105" s="53" t="s">
        <v>3369</v>
      </c>
      <c r="F2105" s="53" t="s">
        <v>2882</v>
      </c>
      <c r="G2105" s="53" t="s">
        <v>2923</v>
      </c>
      <c r="H2105" s="53">
        <v>1.0</v>
      </c>
      <c r="I2105" s="53">
        <v>0.1282051282051282</v>
      </c>
      <c r="J2105" s="53">
        <v>12.0</v>
      </c>
      <c r="K2105" s="53" t="s">
        <v>53</v>
      </c>
      <c r="L2105" s="53" t="s">
        <v>53</v>
      </c>
    </row>
    <row r="2106" ht="15.75" customHeight="1">
      <c r="A2106" s="53" t="s">
        <v>411</v>
      </c>
      <c r="B2106" s="53" t="s">
        <v>2789</v>
      </c>
      <c r="D2106" s="53" t="s">
        <v>2889</v>
      </c>
      <c r="E2106" s="53" t="s">
        <v>3370</v>
      </c>
      <c r="F2106" s="53" t="s">
        <v>2882</v>
      </c>
      <c r="G2106" s="53" t="s">
        <v>2925</v>
      </c>
      <c r="H2106" s="53">
        <v>1.0</v>
      </c>
      <c r="I2106" s="53">
        <v>0.1320754716981132</v>
      </c>
      <c r="J2106" s="53">
        <v>18.0</v>
      </c>
      <c r="K2106" s="53" t="s">
        <v>53</v>
      </c>
      <c r="L2106" s="53" t="s">
        <v>53</v>
      </c>
    </row>
    <row r="2107" ht="15.75" customHeight="1">
      <c r="A2107" s="53" t="s">
        <v>411</v>
      </c>
      <c r="B2107" s="53" t="s">
        <v>2789</v>
      </c>
      <c r="D2107" s="53" t="s">
        <v>2889</v>
      </c>
      <c r="E2107" s="53" t="s">
        <v>3371</v>
      </c>
      <c r="F2107" s="53" t="s">
        <v>2882</v>
      </c>
      <c r="G2107" s="53" t="s">
        <v>2927</v>
      </c>
      <c r="H2107" s="53">
        <v>1.0</v>
      </c>
      <c r="I2107" s="53">
        <v>0.1337579617834395</v>
      </c>
      <c r="J2107" s="53">
        <v>15.0</v>
      </c>
      <c r="K2107" s="53" t="s">
        <v>53</v>
      </c>
      <c r="L2107" s="53" t="s">
        <v>53</v>
      </c>
    </row>
    <row r="2108" ht="15.75" customHeight="1">
      <c r="A2108" s="53" t="s">
        <v>411</v>
      </c>
      <c r="B2108" s="53" t="s">
        <v>2789</v>
      </c>
      <c r="D2108" s="53" t="s">
        <v>2889</v>
      </c>
      <c r="E2108" s="53" t="s">
        <v>3372</v>
      </c>
      <c r="F2108" s="53" t="s">
        <v>2882</v>
      </c>
      <c r="G2108" s="53" t="s">
        <v>2929</v>
      </c>
      <c r="H2108" s="53">
        <v>1.0</v>
      </c>
      <c r="I2108" s="53">
        <v>0.14285714285714285</v>
      </c>
      <c r="J2108" s="53">
        <v>16.0</v>
      </c>
      <c r="K2108" s="53" t="s">
        <v>53</v>
      </c>
      <c r="L2108" s="53" t="s">
        <v>53</v>
      </c>
    </row>
    <row r="2109" ht="15.75" customHeight="1">
      <c r="A2109" s="53" t="s">
        <v>411</v>
      </c>
      <c r="B2109" s="53" t="s">
        <v>2789</v>
      </c>
      <c r="D2109" s="53" t="s">
        <v>2889</v>
      </c>
      <c r="E2109" s="53" t="s">
        <v>3373</v>
      </c>
      <c r="F2109" s="53" t="s">
        <v>2882</v>
      </c>
      <c r="G2109" s="53" t="s">
        <v>2931</v>
      </c>
      <c r="H2109" s="53">
        <v>1.0</v>
      </c>
      <c r="I2109" s="53">
        <v>0.14375</v>
      </c>
      <c r="J2109" s="53">
        <v>10.0</v>
      </c>
      <c r="K2109" s="53" t="s">
        <v>53</v>
      </c>
      <c r="L2109" s="53" t="s">
        <v>53</v>
      </c>
    </row>
    <row r="2110" ht="15.75" customHeight="1">
      <c r="A2110" s="53" t="s">
        <v>411</v>
      </c>
      <c r="B2110" s="53" t="s">
        <v>2789</v>
      </c>
      <c r="D2110" s="53" t="s">
        <v>2889</v>
      </c>
      <c r="E2110" s="53" t="s">
        <v>3374</v>
      </c>
      <c r="F2110" s="53" t="s">
        <v>2882</v>
      </c>
      <c r="G2110" s="53" t="s">
        <v>2933</v>
      </c>
      <c r="H2110" s="53">
        <v>1.0</v>
      </c>
      <c r="I2110" s="53">
        <v>0.16071428571428573</v>
      </c>
      <c r="J2110" s="53">
        <v>17.0</v>
      </c>
      <c r="K2110" s="53" t="s">
        <v>53</v>
      </c>
      <c r="L2110" s="53" t="s">
        <v>53</v>
      </c>
    </row>
    <row r="2111" ht="15.75" customHeight="1">
      <c r="A2111" s="53" t="s">
        <v>411</v>
      </c>
      <c r="B2111" s="53" t="s">
        <v>2789</v>
      </c>
      <c r="D2111" s="53" t="s">
        <v>2889</v>
      </c>
      <c r="E2111" s="53" t="s">
        <v>3375</v>
      </c>
      <c r="F2111" s="53" t="s">
        <v>2882</v>
      </c>
      <c r="G2111" s="53" t="s">
        <v>2935</v>
      </c>
      <c r="H2111" s="53">
        <v>1.0</v>
      </c>
      <c r="I2111" s="53">
        <v>0.18238993710691823</v>
      </c>
      <c r="J2111" s="53">
        <v>7.0</v>
      </c>
      <c r="K2111" s="53" t="s">
        <v>53</v>
      </c>
      <c r="L2111" s="53" t="s">
        <v>53</v>
      </c>
    </row>
    <row r="2112" ht="15.75" customHeight="1">
      <c r="A2112" s="53" t="s">
        <v>411</v>
      </c>
      <c r="B2112" s="53" t="s">
        <v>2789</v>
      </c>
      <c r="D2112" s="53" t="s">
        <v>2889</v>
      </c>
      <c r="E2112" s="53" t="s">
        <v>3376</v>
      </c>
      <c r="F2112" s="53" t="s">
        <v>2882</v>
      </c>
      <c r="G2112" s="53" t="s">
        <v>2937</v>
      </c>
      <c r="H2112" s="53">
        <v>1.0</v>
      </c>
      <c r="I2112" s="53">
        <v>0.2</v>
      </c>
      <c r="J2112" s="53">
        <v>25.0</v>
      </c>
      <c r="K2112" s="53" t="s">
        <v>53</v>
      </c>
      <c r="L2112" s="53" t="s">
        <v>53</v>
      </c>
    </row>
    <row r="2113" ht="15.75" customHeight="1">
      <c r="A2113" s="53" t="s">
        <v>411</v>
      </c>
      <c r="B2113" s="53" t="s">
        <v>2789</v>
      </c>
      <c r="D2113" s="53" t="s">
        <v>2889</v>
      </c>
      <c r="E2113" s="53" t="s">
        <v>3377</v>
      </c>
      <c r="F2113" s="53" t="s">
        <v>2882</v>
      </c>
      <c r="G2113" s="53" t="s">
        <v>2940</v>
      </c>
      <c r="H2113" s="53">
        <v>1.0</v>
      </c>
      <c r="I2113" s="53">
        <v>0.2013888888888889</v>
      </c>
      <c r="J2113" s="53">
        <v>5.0</v>
      </c>
      <c r="K2113" s="53" t="s">
        <v>53</v>
      </c>
      <c r="L2113" s="53" t="s">
        <v>53</v>
      </c>
    </row>
    <row r="2114" ht="15.75" customHeight="1">
      <c r="A2114" s="53" t="s">
        <v>411</v>
      </c>
      <c r="B2114" s="53" t="s">
        <v>2789</v>
      </c>
      <c r="D2114" s="53" t="s">
        <v>2889</v>
      </c>
      <c r="E2114" s="53" t="s">
        <v>3378</v>
      </c>
      <c r="F2114" s="53" t="s">
        <v>2882</v>
      </c>
      <c r="G2114" s="53" t="s">
        <v>2950</v>
      </c>
      <c r="H2114" s="53">
        <v>1.0</v>
      </c>
      <c r="I2114" s="53">
        <v>0.2155688622754491</v>
      </c>
      <c r="J2114" s="53">
        <v>6.0</v>
      </c>
      <c r="K2114" s="53" t="s">
        <v>53</v>
      </c>
      <c r="L2114" s="53" t="s">
        <v>53</v>
      </c>
    </row>
    <row r="2115" ht="15.75" customHeight="1">
      <c r="A2115" s="53" t="s">
        <v>411</v>
      </c>
      <c r="B2115" s="53" t="s">
        <v>2789</v>
      </c>
      <c r="D2115" s="53" t="s">
        <v>2889</v>
      </c>
      <c r="E2115" s="53" t="s">
        <v>3379</v>
      </c>
      <c r="F2115" s="53" t="s">
        <v>2882</v>
      </c>
      <c r="G2115" s="53" t="s">
        <v>2942</v>
      </c>
      <c r="H2115" s="53">
        <v>1.0</v>
      </c>
      <c r="I2115" s="53">
        <v>0.22297297297297297</v>
      </c>
      <c r="J2115" s="53">
        <v>26.0</v>
      </c>
      <c r="K2115" s="53" t="s">
        <v>53</v>
      </c>
      <c r="L2115" s="53" t="s">
        <v>53</v>
      </c>
    </row>
    <row r="2116" ht="15.75" customHeight="1">
      <c r="A2116" s="53" t="s">
        <v>411</v>
      </c>
      <c r="B2116" s="53" t="s">
        <v>2789</v>
      </c>
      <c r="D2116" s="53" t="s">
        <v>2889</v>
      </c>
      <c r="E2116" s="53" t="s">
        <v>3380</v>
      </c>
      <c r="F2116" s="53" t="s">
        <v>2882</v>
      </c>
      <c r="G2116" s="53" t="s">
        <v>2944</v>
      </c>
      <c r="H2116" s="53">
        <v>1.0</v>
      </c>
      <c r="I2116" s="53">
        <v>0.22485207100591717</v>
      </c>
      <c r="J2116" s="53">
        <v>9.0</v>
      </c>
      <c r="K2116" s="53" t="s">
        <v>53</v>
      </c>
      <c r="L2116" s="53" t="s">
        <v>53</v>
      </c>
    </row>
    <row r="2117" ht="15.75" customHeight="1">
      <c r="A2117" s="53" t="s">
        <v>411</v>
      </c>
      <c r="B2117" s="53" t="s">
        <v>2789</v>
      </c>
      <c r="D2117" s="53" t="s">
        <v>2889</v>
      </c>
      <c r="E2117" s="53" t="s">
        <v>3381</v>
      </c>
      <c r="F2117" s="53" t="s">
        <v>2882</v>
      </c>
      <c r="G2117" s="53" t="s">
        <v>2948</v>
      </c>
      <c r="H2117" s="53">
        <v>1.0</v>
      </c>
      <c r="I2117" s="53">
        <v>0.22666666666666666</v>
      </c>
      <c r="J2117" s="53">
        <v>24.0</v>
      </c>
      <c r="K2117" s="53" t="s">
        <v>53</v>
      </c>
      <c r="L2117" s="53" t="s">
        <v>53</v>
      </c>
    </row>
    <row r="2118" ht="15.75" customHeight="1">
      <c r="A2118" s="53" t="s">
        <v>411</v>
      </c>
      <c r="B2118" s="53" t="s">
        <v>2789</v>
      </c>
      <c r="D2118" s="53" t="s">
        <v>2889</v>
      </c>
      <c r="E2118" s="53" t="s">
        <v>3382</v>
      </c>
      <c r="F2118" s="53" t="s">
        <v>2882</v>
      </c>
      <c r="G2118" s="53" t="s">
        <v>2954</v>
      </c>
      <c r="H2118" s="53">
        <v>1.0</v>
      </c>
      <c r="I2118" s="53">
        <v>0.24666666666666667</v>
      </c>
      <c r="J2118" s="53">
        <v>3.0</v>
      </c>
      <c r="K2118" s="53" t="s">
        <v>53</v>
      </c>
      <c r="L2118" s="53" t="s">
        <v>53</v>
      </c>
    </row>
    <row r="2119" ht="15.75" customHeight="1">
      <c r="A2119" s="53" t="s">
        <v>411</v>
      </c>
      <c r="B2119" s="53" t="s">
        <v>2789</v>
      </c>
      <c r="D2119" s="53" t="s">
        <v>2889</v>
      </c>
      <c r="E2119" s="53" t="s">
        <v>3383</v>
      </c>
      <c r="F2119" s="53" t="s">
        <v>2882</v>
      </c>
      <c r="G2119" s="53" t="s">
        <v>485</v>
      </c>
      <c r="H2119" s="53">
        <v>1.0</v>
      </c>
      <c r="I2119" s="53">
        <v>0.25</v>
      </c>
      <c r="J2119" s="53">
        <v>21.0</v>
      </c>
      <c r="K2119" s="53" t="s">
        <v>53</v>
      </c>
      <c r="L2119" s="53" t="s">
        <v>53</v>
      </c>
    </row>
    <row r="2120" ht="15.75" customHeight="1">
      <c r="A2120" s="53" t="s">
        <v>411</v>
      </c>
      <c r="B2120" s="53" t="s">
        <v>2789</v>
      </c>
      <c r="D2120" s="53" t="s">
        <v>2889</v>
      </c>
      <c r="E2120" s="53" t="s">
        <v>3384</v>
      </c>
      <c r="F2120" s="53" t="s">
        <v>2882</v>
      </c>
      <c r="G2120" s="53" t="s">
        <v>495</v>
      </c>
      <c r="H2120" s="53">
        <v>1.0</v>
      </c>
      <c r="I2120" s="53">
        <v>0.2534246575342466</v>
      </c>
      <c r="J2120" s="53">
        <v>23.0</v>
      </c>
      <c r="K2120" s="53" t="s">
        <v>53</v>
      </c>
      <c r="L2120" s="53" t="s">
        <v>53</v>
      </c>
    </row>
    <row r="2121" ht="15.75" customHeight="1">
      <c r="A2121" s="53" t="s">
        <v>411</v>
      </c>
      <c r="B2121" s="53" t="s">
        <v>2789</v>
      </c>
      <c r="D2121" s="53" t="s">
        <v>2889</v>
      </c>
      <c r="E2121" s="53" t="s">
        <v>3385</v>
      </c>
      <c r="F2121" s="53" t="s">
        <v>2882</v>
      </c>
      <c r="G2121" s="53" t="s">
        <v>474</v>
      </c>
      <c r="H2121" s="53">
        <v>1.0</v>
      </c>
      <c r="I2121" s="53">
        <v>0.2597402597402597</v>
      </c>
      <c r="J2121" s="53">
        <v>22.0</v>
      </c>
      <c r="K2121" s="53" t="s">
        <v>53</v>
      </c>
      <c r="L2121" s="53" t="s">
        <v>53</v>
      </c>
    </row>
    <row r="2122" ht="15.75" customHeight="1">
      <c r="A2122" s="53" t="s">
        <v>411</v>
      </c>
      <c r="B2122" s="53" t="s">
        <v>2789</v>
      </c>
      <c r="D2122" s="53" t="s">
        <v>2889</v>
      </c>
      <c r="E2122" s="53" t="s">
        <v>3386</v>
      </c>
      <c r="F2122" s="53" t="s">
        <v>2882</v>
      </c>
      <c r="G2122" s="53" t="s">
        <v>2957</v>
      </c>
      <c r="H2122" s="53">
        <v>1.0</v>
      </c>
      <c r="I2122" s="53">
        <v>0.27167630057803466</v>
      </c>
      <c r="J2122" s="53">
        <v>8.0</v>
      </c>
      <c r="K2122" s="53" t="s">
        <v>53</v>
      </c>
      <c r="L2122" s="53" t="s">
        <v>53</v>
      </c>
    </row>
    <row r="2123" ht="15.75" customHeight="1">
      <c r="A2123" s="53" t="s">
        <v>411</v>
      </c>
      <c r="B2123" s="53" t="s">
        <v>2789</v>
      </c>
      <c r="D2123" s="53" t="s">
        <v>2913</v>
      </c>
      <c r="E2123" s="53" t="s">
        <v>3387</v>
      </c>
      <c r="F2123" s="53" t="s">
        <v>2882</v>
      </c>
      <c r="G2123" s="53" t="s">
        <v>2905</v>
      </c>
      <c r="H2123" s="53">
        <v>1.0</v>
      </c>
      <c r="I2123" s="53">
        <v>0.08666666666666667</v>
      </c>
      <c r="J2123" s="53">
        <v>3.0</v>
      </c>
      <c r="K2123" s="53" t="s">
        <v>53</v>
      </c>
      <c r="L2123" s="53" t="s">
        <v>53</v>
      </c>
    </row>
    <row r="2124" ht="15.75" customHeight="1">
      <c r="A2124" s="53" t="s">
        <v>411</v>
      </c>
      <c r="B2124" s="53" t="s">
        <v>2789</v>
      </c>
      <c r="D2124" s="53" t="s">
        <v>2913</v>
      </c>
      <c r="E2124" s="53" t="s">
        <v>3388</v>
      </c>
      <c r="F2124" s="53" t="s">
        <v>2882</v>
      </c>
      <c r="G2124" s="53" t="s">
        <v>2899</v>
      </c>
      <c r="H2124" s="53">
        <v>1.0</v>
      </c>
      <c r="I2124" s="53">
        <v>0.1</v>
      </c>
      <c r="J2124" s="53">
        <v>0.0</v>
      </c>
      <c r="K2124" s="53" t="s">
        <v>53</v>
      </c>
      <c r="L2124" s="53" t="s">
        <v>53</v>
      </c>
    </row>
    <row r="2125" ht="15.75" customHeight="1">
      <c r="A2125" s="53" t="s">
        <v>411</v>
      </c>
      <c r="B2125" s="53" t="s">
        <v>2789</v>
      </c>
      <c r="D2125" s="53" t="s">
        <v>2913</v>
      </c>
      <c r="E2125" s="53" t="s">
        <v>3389</v>
      </c>
      <c r="F2125" s="53" t="s">
        <v>2882</v>
      </c>
      <c r="G2125" s="53" t="s">
        <v>2907</v>
      </c>
      <c r="H2125" s="53">
        <v>1.0</v>
      </c>
      <c r="I2125" s="53">
        <v>0.1</v>
      </c>
      <c r="J2125" s="53">
        <v>18.0</v>
      </c>
      <c r="K2125" s="53" t="s">
        <v>53</v>
      </c>
      <c r="L2125" s="53" t="s">
        <v>53</v>
      </c>
    </row>
    <row r="2126" ht="15.75" customHeight="1">
      <c r="A2126" s="53" t="s">
        <v>411</v>
      </c>
      <c r="B2126" s="53" t="s">
        <v>2789</v>
      </c>
      <c r="D2126" s="53" t="s">
        <v>2913</v>
      </c>
      <c r="E2126" s="53" t="s">
        <v>3390</v>
      </c>
      <c r="F2126" s="53" t="s">
        <v>2882</v>
      </c>
      <c r="G2126" s="53" t="s">
        <v>2911</v>
      </c>
      <c r="H2126" s="53">
        <v>1.0</v>
      </c>
      <c r="I2126" s="53">
        <v>0.10666666666666667</v>
      </c>
      <c r="J2126" s="53">
        <v>1.0</v>
      </c>
      <c r="K2126" s="53" t="s">
        <v>53</v>
      </c>
      <c r="L2126" s="53" t="s">
        <v>53</v>
      </c>
    </row>
    <row r="2127" ht="15.75" customHeight="1">
      <c r="A2127" s="53" t="s">
        <v>411</v>
      </c>
      <c r="B2127" s="53" t="s">
        <v>2789</v>
      </c>
      <c r="D2127" s="53" t="s">
        <v>2913</v>
      </c>
      <c r="E2127" s="53" t="s">
        <v>3391</v>
      </c>
      <c r="F2127" s="53" t="s">
        <v>2882</v>
      </c>
      <c r="G2127" s="53" t="s">
        <v>2917</v>
      </c>
      <c r="H2127" s="53">
        <v>1.0</v>
      </c>
      <c r="I2127" s="53">
        <v>0.11258278145695365</v>
      </c>
      <c r="J2127" s="53">
        <v>19.0</v>
      </c>
      <c r="K2127" s="53" t="s">
        <v>53</v>
      </c>
      <c r="L2127" s="53" t="s">
        <v>53</v>
      </c>
    </row>
    <row r="2128" ht="15.75" customHeight="1">
      <c r="A2128" s="53" t="s">
        <v>411</v>
      </c>
      <c r="B2128" s="53" t="s">
        <v>2789</v>
      </c>
      <c r="D2128" s="53" t="s">
        <v>2913</v>
      </c>
      <c r="E2128" s="53" t="s">
        <v>3392</v>
      </c>
      <c r="F2128" s="53" t="s">
        <v>2882</v>
      </c>
      <c r="G2128" s="53" t="s">
        <v>2915</v>
      </c>
      <c r="H2128" s="53">
        <v>1.0</v>
      </c>
      <c r="I2128" s="53">
        <v>0.11764705882352941</v>
      </c>
      <c r="J2128" s="53">
        <v>10.0</v>
      </c>
      <c r="K2128" s="53" t="s">
        <v>53</v>
      </c>
      <c r="L2128" s="53" t="s">
        <v>53</v>
      </c>
    </row>
    <row r="2129" ht="15.75" customHeight="1">
      <c r="A2129" s="53" t="s">
        <v>411</v>
      </c>
      <c r="B2129" s="53" t="s">
        <v>2789</v>
      </c>
      <c r="D2129" s="53" t="s">
        <v>2913</v>
      </c>
      <c r="E2129" s="53" t="s">
        <v>3393</v>
      </c>
      <c r="F2129" s="53" t="s">
        <v>2882</v>
      </c>
      <c r="G2129" s="53" t="s">
        <v>2927</v>
      </c>
      <c r="H2129" s="53">
        <v>1.0</v>
      </c>
      <c r="I2129" s="53">
        <v>0.1337579617834395</v>
      </c>
      <c r="J2129" s="53">
        <v>14.0</v>
      </c>
      <c r="K2129" s="53" t="s">
        <v>53</v>
      </c>
      <c r="L2129" s="53" t="s">
        <v>53</v>
      </c>
    </row>
    <row r="2130" ht="15.75" customHeight="1">
      <c r="A2130" s="53" t="s">
        <v>411</v>
      </c>
      <c r="B2130" s="53" t="s">
        <v>2789</v>
      </c>
      <c r="D2130" s="53" t="s">
        <v>2913</v>
      </c>
      <c r="E2130" s="53" t="s">
        <v>3394</v>
      </c>
      <c r="F2130" s="53" t="s">
        <v>2882</v>
      </c>
      <c r="G2130" s="53" t="s">
        <v>2923</v>
      </c>
      <c r="H2130" s="53">
        <v>1.0</v>
      </c>
      <c r="I2130" s="53">
        <v>0.1346153846153846</v>
      </c>
      <c r="J2130" s="53">
        <v>11.0</v>
      </c>
      <c r="K2130" s="53" t="s">
        <v>53</v>
      </c>
      <c r="L2130" s="53" t="s">
        <v>53</v>
      </c>
    </row>
    <row r="2131" ht="15.75" customHeight="1">
      <c r="A2131" s="53" t="s">
        <v>411</v>
      </c>
      <c r="B2131" s="53" t="s">
        <v>2789</v>
      </c>
      <c r="D2131" s="53" t="s">
        <v>2913</v>
      </c>
      <c r="E2131" s="53" t="s">
        <v>3395</v>
      </c>
      <c r="F2131" s="53" t="s">
        <v>2882</v>
      </c>
      <c r="G2131" s="53" t="s">
        <v>2925</v>
      </c>
      <c r="H2131" s="53">
        <v>1.0</v>
      </c>
      <c r="I2131" s="53">
        <v>0.13836477987421383</v>
      </c>
      <c r="J2131" s="53">
        <v>17.0</v>
      </c>
      <c r="K2131" s="53" t="s">
        <v>53</v>
      </c>
      <c r="L2131" s="53" t="s">
        <v>53</v>
      </c>
    </row>
    <row r="2132" ht="15.75" customHeight="1">
      <c r="A2132" s="53" t="s">
        <v>411</v>
      </c>
      <c r="B2132" s="53" t="s">
        <v>2789</v>
      </c>
      <c r="D2132" s="53" t="s">
        <v>2913</v>
      </c>
      <c r="E2132" s="53" t="s">
        <v>3396</v>
      </c>
      <c r="F2132" s="53" t="s">
        <v>2882</v>
      </c>
      <c r="G2132" s="53" t="s">
        <v>2921</v>
      </c>
      <c r="H2132" s="53">
        <v>1.0</v>
      </c>
      <c r="I2132" s="53">
        <v>0.14012738853503184</v>
      </c>
      <c r="J2132" s="53">
        <v>13.0</v>
      </c>
      <c r="K2132" s="53" t="s">
        <v>53</v>
      </c>
      <c r="L2132" s="53" t="s">
        <v>53</v>
      </c>
    </row>
    <row r="2133" ht="15.75" customHeight="1">
      <c r="A2133" s="53" t="s">
        <v>411</v>
      </c>
      <c r="B2133" s="53" t="s">
        <v>2789</v>
      </c>
      <c r="D2133" s="53" t="s">
        <v>2913</v>
      </c>
      <c r="E2133" s="53" t="s">
        <v>3397</v>
      </c>
      <c r="F2133" s="53" t="s">
        <v>2882</v>
      </c>
      <c r="G2133" s="53" t="s">
        <v>2931</v>
      </c>
      <c r="H2133" s="53">
        <v>1.0</v>
      </c>
      <c r="I2133" s="53">
        <v>0.15</v>
      </c>
      <c r="J2133" s="53">
        <v>9.0</v>
      </c>
      <c r="K2133" s="53" t="s">
        <v>53</v>
      </c>
      <c r="L2133" s="53" t="s">
        <v>53</v>
      </c>
    </row>
    <row r="2134" ht="15.75" customHeight="1">
      <c r="A2134" s="53" t="s">
        <v>411</v>
      </c>
      <c r="B2134" s="53" t="s">
        <v>2789</v>
      </c>
      <c r="D2134" s="53" t="s">
        <v>2913</v>
      </c>
      <c r="E2134" s="53" t="s">
        <v>3398</v>
      </c>
      <c r="F2134" s="53" t="s">
        <v>2882</v>
      </c>
      <c r="G2134" s="53" t="s">
        <v>2929</v>
      </c>
      <c r="H2134" s="53">
        <v>1.0</v>
      </c>
      <c r="I2134" s="53">
        <v>0.15527950310559005</v>
      </c>
      <c r="J2134" s="53">
        <v>15.0</v>
      </c>
      <c r="K2134" s="53" t="s">
        <v>53</v>
      </c>
      <c r="L2134" s="53" t="s">
        <v>53</v>
      </c>
    </row>
    <row r="2135" ht="15.75" customHeight="1">
      <c r="A2135" s="53" t="s">
        <v>411</v>
      </c>
      <c r="B2135" s="53" t="s">
        <v>2789</v>
      </c>
      <c r="D2135" s="53" t="s">
        <v>2913</v>
      </c>
      <c r="E2135" s="53" t="s">
        <v>3399</v>
      </c>
      <c r="F2135" s="53" t="s">
        <v>2882</v>
      </c>
      <c r="G2135" s="53" t="s">
        <v>2919</v>
      </c>
      <c r="H2135" s="53">
        <v>1.0</v>
      </c>
      <c r="I2135" s="53">
        <v>0.15723270440251572</v>
      </c>
      <c r="J2135" s="53">
        <v>12.0</v>
      </c>
      <c r="K2135" s="53" t="s">
        <v>53</v>
      </c>
      <c r="L2135" s="53" t="s">
        <v>53</v>
      </c>
    </row>
    <row r="2136" ht="15.75" customHeight="1">
      <c r="A2136" s="53" t="s">
        <v>411</v>
      </c>
      <c r="B2136" s="53" t="s">
        <v>2789</v>
      </c>
      <c r="D2136" s="53" t="s">
        <v>2913</v>
      </c>
      <c r="E2136" s="53" t="s">
        <v>3400</v>
      </c>
      <c r="F2136" s="53" t="s">
        <v>2882</v>
      </c>
      <c r="G2136" s="53" t="s">
        <v>2933</v>
      </c>
      <c r="H2136" s="53">
        <v>1.0</v>
      </c>
      <c r="I2136" s="53">
        <v>0.17261904761904762</v>
      </c>
      <c r="J2136" s="53">
        <v>16.0</v>
      </c>
      <c r="K2136" s="53" t="s">
        <v>53</v>
      </c>
      <c r="L2136" s="53" t="s">
        <v>53</v>
      </c>
    </row>
    <row r="2137" ht="15.75" customHeight="1">
      <c r="A2137" s="53" t="s">
        <v>411</v>
      </c>
      <c r="B2137" s="53" t="s">
        <v>2789</v>
      </c>
      <c r="D2137" s="53" t="s">
        <v>2913</v>
      </c>
      <c r="E2137" s="53" t="s">
        <v>3401</v>
      </c>
      <c r="F2137" s="53" t="s">
        <v>2882</v>
      </c>
      <c r="G2137" s="53" t="s">
        <v>2937</v>
      </c>
      <c r="H2137" s="53">
        <v>1.0</v>
      </c>
      <c r="I2137" s="53">
        <v>0.2</v>
      </c>
      <c r="J2137" s="53">
        <v>24.0</v>
      </c>
      <c r="K2137" s="53" t="s">
        <v>53</v>
      </c>
      <c r="L2137" s="53" t="s">
        <v>53</v>
      </c>
    </row>
    <row r="2138" ht="15.75" customHeight="1">
      <c r="A2138" s="53" t="s">
        <v>411</v>
      </c>
      <c r="B2138" s="53" t="s">
        <v>2789</v>
      </c>
      <c r="D2138" s="53" t="s">
        <v>2913</v>
      </c>
      <c r="E2138" s="53" t="s">
        <v>3402</v>
      </c>
      <c r="F2138" s="53" t="s">
        <v>2882</v>
      </c>
      <c r="G2138" s="53" t="s">
        <v>2940</v>
      </c>
      <c r="H2138" s="53">
        <v>1.0</v>
      </c>
      <c r="I2138" s="53">
        <v>0.2</v>
      </c>
      <c r="J2138" s="53">
        <v>4.0</v>
      </c>
      <c r="K2138" s="53" t="s">
        <v>53</v>
      </c>
      <c r="L2138" s="53" t="s">
        <v>53</v>
      </c>
    </row>
    <row r="2139" ht="15.75" customHeight="1">
      <c r="A2139" s="53" t="s">
        <v>411</v>
      </c>
      <c r="B2139" s="53" t="s">
        <v>2789</v>
      </c>
      <c r="D2139" s="53" t="s">
        <v>2913</v>
      </c>
      <c r="E2139" s="53" t="s">
        <v>3403</v>
      </c>
      <c r="F2139" s="53" t="s">
        <v>2882</v>
      </c>
      <c r="G2139" s="53" t="s">
        <v>2935</v>
      </c>
      <c r="H2139" s="53">
        <v>1.0</v>
      </c>
      <c r="I2139" s="53">
        <v>0.20125786163522014</v>
      </c>
      <c r="J2139" s="53">
        <v>6.0</v>
      </c>
      <c r="K2139" s="53" t="s">
        <v>53</v>
      </c>
      <c r="L2139" s="53" t="s">
        <v>53</v>
      </c>
    </row>
    <row r="2140" ht="15.75" customHeight="1">
      <c r="A2140" s="53" t="s">
        <v>411</v>
      </c>
      <c r="B2140" s="53" t="s">
        <v>2789</v>
      </c>
      <c r="D2140" s="53" t="s">
        <v>2913</v>
      </c>
      <c r="E2140" s="53" t="s">
        <v>3404</v>
      </c>
      <c r="F2140" s="53" t="s">
        <v>2882</v>
      </c>
      <c r="G2140" s="53" t="s">
        <v>2950</v>
      </c>
      <c r="H2140" s="53">
        <v>1.0</v>
      </c>
      <c r="I2140" s="53">
        <v>0.2155688622754491</v>
      </c>
      <c r="J2140" s="53">
        <v>5.0</v>
      </c>
      <c r="K2140" s="53" t="s">
        <v>53</v>
      </c>
      <c r="L2140" s="53" t="s">
        <v>53</v>
      </c>
    </row>
    <row r="2141" ht="15.75" customHeight="1">
      <c r="A2141" s="53" t="s">
        <v>411</v>
      </c>
      <c r="B2141" s="53" t="s">
        <v>2789</v>
      </c>
      <c r="D2141" s="53" t="s">
        <v>2913</v>
      </c>
      <c r="E2141" s="53" t="s">
        <v>3405</v>
      </c>
      <c r="F2141" s="53" t="s">
        <v>2882</v>
      </c>
      <c r="G2141" s="53" t="s">
        <v>2942</v>
      </c>
      <c r="H2141" s="53">
        <v>1.0</v>
      </c>
      <c r="I2141" s="53">
        <v>0.23333333333333334</v>
      </c>
      <c r="J2141" s="53">
        <v>25.0</v>
      </c>
      <c r="K2141" s="53" t="s">
        <v>53</v>
      </c>
      <c r="L2141" s="53" t="s">
        <v>53</v>
      </c>
    </row>
    <row r="2142" ht="15.75" customHeight="1">
      <c r="A2142" s="53" t="s">
        <v>411</v>
      </c>
      <c r="B2142" s="53" t="s">
        <v>2789</v>
      </c>
      <c r="D2142" s="53" t="s">
        <v>2913</v>
      </c>
      <c r="E2142" s="53" t="s">
        <v>3406</v>
      </c>
      <c r="F2142" s="53" t="s">
        <v>2882</v>
      </c>
      <c r="G2142" s="53" t="s">
        <v>2944</v>
      </c>
      <c r="H2142" s="53">
        <v>1.0</v>
      </c>
      <c r="I2142" s="53">
        <v>0.23668639053254437</v>
      </c>
      <c r="J2142" s="53">
        <v>8.0</v>
      </c>
      <c r="K2142" s="53" t="s">
        <v>53</v>
      </c>
      <c r="L2142" s="53" t="s">
        <v>53</v>
      </c>
    </row>
    <row r="2143" ht="15.75" customHeight="1">
      <c r="A2143" s="53" t="s">
        <v>411</v>
      </c>
      <c r="B2143" s="53" t="s">
        <v>2789</v>
      </c>
      <c r="D2143" s="53" t="s">
        <v>2913</v>
      </c>
      <c r="E2143" s="53" t="s">
        <v>3407</v>
      </c>
      <c r="F2143" s="53" t="s">
        <v>2882</v>
      </c>
      <c r="G2143" s="53" t="s">
        <v>2954</v>
      </c>
      <c r="H2143" s="53">
        <v>1.0</v>
      </c>
      <c r="I2143" s="53">
        <v>0.25333333333333335</v>
      </c>
      <c r="J2143" s="53">
        <v>2.0</v>
      </c>
      <c r="K2143" s="53" t="s">
        <v>53</v>
      </c>
      <c r="L2143" s="53" t="s">
        <v>53</v>
      </c>
    </row>
    <row r="2144" ht="15.75" customHeight="1">
      <c r="A2144" s="53" t="s">
        <v>411</v>
      </c>
      <c r="B2144" s="53" t="s">
        <v>2789</v>
      </c>
      <c r="D2144" s="53" t="s">
        <v>2913</v>
      </c>
      <c r="E2144" s="53" t="s">
        <v>3408</v>
      </c>
      <c r="F2144" s="53" t="s">
        <v>2882</v>
      </c>
      <c r="G2144" s="53" t="s">
        <v>2948</v>
      </c>
      <c r="H2144" s="53">
        <v>1.0</v>
      </c>
      <c r="I2144" s="53">
        <v>0.25333333333333335</v>
      </c>
      <c r="J2144" s="53">
        <v>23.0</v>
      </c>
      <c r="K2144" s="53" t="s">
        <v>53</v>
      </c>
      <c r="L2144" s="53" t="s">
        <v>53</v>
      </c>
    </row>
    <row r="2145" ht="15.75" customHeight="1">
      <c r="A2145" s="53" t="s">
        <v>411</v>
      </c>
      <c r="B2145" s="53" t="s">
        <v>2789</v>
      </c>
      <c r="D2145" s="53" t="s">
        <v>2913</v>
      </c>
      <c r="E2145" s="53" t="s">
        <v>3409</v>
      </c>
      <c r="F2145" s="53" t="s">
        <v>2882</v>
      </c>
      <c r="G2145" s="53" t="s">
        <v>485</v>
      </c>
      <c r="H2145" s="53">
        <v>1.0</v>
      </c>
      <c r="I2145" s="53">
        <v>0.2565789473684211</v>
      </c>
      <c r="J2145" s="53">
        <v>20.0</v>
      </c>
      <c r="K2145" s="53" t="s">
        <v>53</v>
      </c>
      <c r="L2145" s="53" t="s">
        <v>53</v>
      </c>
    </row>
    <row r="2146" ht="15.75" customHeight="1">
      <c r="A2146" s="53" t="s">
        <v>411</v>
      </c>
      <c r="B2146" s="53" t="s">
        <v>2789</v>
      </c>
      <c r="D2146" s="53" t="s">
        <v>2913</v>
      </c>
      <c r="E2146" s="53" t="s">
        <v>3410</v>
      </c>
      <c r="F2146" s="53" t="s">
        <v>2882</v>
      </c>
      <c r="G2146" s="53" t="s">
        <v>474</v>
      </c>
      <c r="H2146" s="53">
        <v>1.0</v>
      </c>
      <c r="I2146" s="53">
        <v>0.2597402597402597</v>
      </c>
      <c r="J2146" s="53">
        <v>21.0</v>
      </c>
      <c r="K2146" s="53" t="s">
        <v>53</v>
      </c>
      <c r="L2146" s="53" t="s">
        <v>53</v>
      </c>
    </row>
    <row r="2147" ht="15.75" customHeight="1">
      <c r="A2147" s="53" t="s">
        <v>411</v>
      </c>
      <c r="B2147" s="53" t="s">
        <v>2789</v>
      </c>
      <c r="D2147" s="53" t="s">
        <v>2913</v>
      </c>
      <c r="E2147" s="53" t="s">
        <v>3411</v>
      </c>
      <c r="F2147" s="53" t="s">
        <v>2882</v>
      </c>
      <c r="G2147" s="53" t="s">
        <v>2957</v>
      </c>
      <c r="H2147" s="53">
        <v>1.0</v>
      </c>
      <c r="I2147" s="53">
        <v>0.27167630057803466</v>
      </c>
      <c r="J2147" s="53">
        <v>7.0</v>
      </c>
      <c r="K2147" s="53" t="s">
        <v>53</v>
      </c>
      <c r="L2147" s="53" t="s">
        <v>53</v>
      </c>
    </row>
    <row r="2148" ht="15.75" customHeight="1">
      <c r="A2148" s="53" t="s">
        <v>411</v>
      </c>
      <c r="B2148" s="53" t="s">
        <v>2789</v>
      </c>
      <c r="D2148" s="53" t="s">
        <v>2913</v>
      </c>
      <c r="E2148" s="53" t="s">
        <v>3412</v>
      </c>
      <c r="F2148" s="53" t="s">
        <v>2882</v>
      </c>
      <c r="G2148" s="53" t="s">
        <v>495</v>
      </c>
      <c r="H2148" s="53">
        <v>1.0</v>
      </c>
      <c r="I2148" s="53">
        <v>0.28</v>
      </c>
      <c r="J2148" s="53">
        <v>22.0</v>
      </c>
      <c r="K2148" s="53" t="s">
        <v>53</v>
      </c>
      <c r="L2148" s="53" t="s">
        <v>53</v>
      </c>
    </row>
    <row r="2149" ht="15.75" customHeight="1">
      <c r="A2149" s="53" t="s">
        <v>411</v>
      </c>
      <c r="B2149" s="53" t="s">
        <v>2789</v>
      </c>
      <c r="D2149" s="53" t="s">
        <v>2899</v>
      </c>
      <c r="E2149" s="53" t="s">
        <v>3413</v>
      </c>
      <c r="F2149" s="53" t="s">
        <v>2882</v>
      </c>
      <c r="G2149" s="53" t="s">
        <v>2905</v>
      </c>
      <c r="H2149" s="53">
        <v>1.0</v>
      </c>
      <c r="I2149" s="53">
        <v>0.0763888888888889</v>
      </c>
      <c r="J2149" s="53">
        <v>2.0</v>
      </c>
      <c r="K2149" s="53" t="s">
        <v>53</v>
      </c>
      <c r="L2149" s="53" t="s">
        <v>53</v>
      </c>
    </row>
    <row r="2150" ht="15.75" customHeight="1">
      <c r="A2150" s="53" t="s">
        <v>411</v>
      </c>
      <c r="B2150" s="53" t="s">
        <v>2789</v>
      </c>
      <c r="D2150" s="53" t="s">
        <v>2899</v>
      </c>
      <c r="E2150" s="53" t="s">
        <v>3414</v>
      </c>
      <c r="F2150" s="53" t="s">
        <v>2882</v>
      </c>
      <c r="G2150" s="53" t="s">
        <v>2907</v>
      </c>
      <c r="H2150" s="53">
        <v>1.0</v>
      </c>
      <c r="I2150" s="53">
        <v>0.08163265306122448</v>
      </c>
      <c r="J2150" s="53">
        <v>17.0</v>
      </c>
      <c r="K2150" s="53" t="s">
        <v>53</v>
      </c>
      <c r="L2150" s="53" t="s">
        <v>53</v>
      </c>
    </row>
    <row r="2151" ht="15.75" customHeight="1">
      <c r="A2151" s="53" t="s">
        <v>411</v>
      </c>
      <c r="B2151" s="53" t="s">
        <v>2789</v>
      </c>
      <c r="D2151" s="53" t="s">
        <v>2899</v>
      </c>
      <c r="E2151" s="53" t="s">
        <v>3415</v>
      </c>
      <c r="F2151" s="53" t="s">
        <v>2882</v>
      </c>
      <c r="G2151" s="53" t="s">
        <v>2917</v>
      </c>
      <c r="H2151" s="53">
        <v>1.0</v>
      </c>
      <c r="I2151" s="53">
        <v>0.10596026490066225</v>
      </c>
      <c r="J2151" s="53">
        <v>18.0</v>
      </c>
      <c r="K2151" s="53" t="s">
        <v>53</v>
      </c>
      <c r="L2151" s="53" t="s">
        <v>53</v>
      </c>
    </row>
    <row r="2152" ht="15.75" customHeight="1">
      <c r="A2152" s="53" t="s">
        <v>411</v>
      </c>
      <c r="B2152" s="53" t="s">
        <v>2789</v>
      </c>
      <c r="D2152" s="53" t="s">
        <v>2899</v>
      </c>
      <c r="E2152" s="53" t="s">
        <v>3416</v>
      </c>
      <c r="F2152" s="53" t="s">
        <v>2882</v>
      </c>
      <c r="G2152" s="53" t="s">
        <v>2911</v>
      </c>
      <c r="H2152" s="53">
        <v>1.0</v>
      </c>
      <c r="I2152" s="53">
        <v>0.11333333333333333</v>
      </c>
      <c r="J2152" s="53">
        <v>0.0</v>
      </c>
      <c r="K2152" s="53" t="s">
        <v>53</v>
      </c>
      <c r="L2152" s="53" t="s">
        <v>53</v>
      </c>
    </row>
    <row r="2153" ht="15.75" customHeight="1">
      <c r="A2153" s="53" t="s">
        <v>411</v>
      </c>
      <c r="B2153" s="53" t="s">
        <v>2789</v>
      </c>
      <c r="D2153" s="53" t="s">
        <v>2899</v>
      </c>
      <c r="E2153" s="53" t="s">
        <v>3417</v>
      </c>
      <c r="F2153" s="53" t="s">
        <v>2882</v>
      </c>
      <c r="G2153" s="53" t="s">
        <v>2915</v>
      </c>
      <c r="H2153" s="53">
        <v>1.0</v>
      </c>
      <c r="I2153" s="53">
        <v>0.12418300653594772</v>
      </c>
      <c r="J2153" s="53">
        <v>9.0</v>
      </c>
      <c r="K2153" s="53" t="s">
        <v>53</v>
      </c>
      <c r="L2153" s="53" t="s">
        <v>53</v>
      </c>
    </row>
    <row r="2154" ht="15.75" customHeight="1">
      <c r="A2154" s="53" t="s">
        <v>411</v>
      </c>
      <c r="B2154" s="53" t="s">
        <v>2789</v>
      </c>
      <c r="D2154" s="53" t="s">
        <v>2899</v>
      </c>
      <c r="E2154" s="53" t="s">
        <v>3418</v>
      </c>
      <c r="F2154" s="53" t="s">
        <v>2882</v>
      </c>
      <c r="G2154" s="53" t="s">
        <v>2919</v>
      </c>
      <c r="H2154" s="53">
        <v>1.0</v>
      </c>
      <c r="I2154" s="53">
        <v>0.13836477987421383</v>
      </c>
      <c r="J2154" s="53">
        <v>11.0</v>
      </c>
      <c r="K2154" s="53" t="s">
        <v>53</v>
      </c>
      <c r="L2154" s="53" t="s">
        <v>53</v>
      </c>
    </row>
    <row r="2155" ht="15.75" customHeight="1">
      <c r="A2155" s="53" t="s">
        <v>411</v>
      </c>
      <c r="B2155" s="53" t="s">
        <v>2789</v>
      </c>
      <c r="D2155" s="53" t="s">
        <v>2899</v>
      </c>
      <c r="E2155" s="53" t="s">
        <v>3419</v>
      </c>
      <c r="F2155" s="53" t="s">
        <v>2882</v>
      </c>
      <c r="G2155" s="53" t="s">
        <v>2921</v>
      </c>
      <c r="H2155" s="53">
        <v>1.0</v>
      </c>
      <c r="I2155" s="53">
        <v>0.14012738853503184</v>
      </c>
      <c r="J2155" s="53">
        <v>12.0</v>
      </c>
      <c r="K2155" s="53" t="s">
        <v>53</v>
      </c>
      <c r="L2155" s="53" t="s">
        <v>53</v>
      </c>
    </row>
    <row r="2156" ht="15.75" customHeight="1">
      <c r="A2156" s="53" t="s">
        <v>411</v>
      </c>
      <c r="B2156" s="53" t="s">
        <v>2789</v>
      </c>
      <c r="D2156" s="53" t="s">
        <v>2899</v>
      </c>
      <c r="E2156" s="53" t="s">
        <v>3420</v>
      </c>
      <c r="F2156" s="53" t="s">
        <v>2882</v>
      </c>
      <c r="G2156" s="53" t="s">
        <v>2923</v>
      </c>
      <c r="H2156" s="53">
        <v>1.0</v>
      </c>
      <c r="I2156" s="53">
        <v>0.14102564102564102</v>
      </c>
      <c r="J2156" s="53">
        <v>10.0</v>
      </c>
      <c r="K2156" s="53" t="s">
        <v>53</v>
      </c>
      <c r="L2156" s="53" t="s">
        <v>53</v>
      </c>
    </row>
    <row r="2157" ht="15.75" customHeight="1">
      <c r="A2157" s="53" t="s">
        <v>411</v>
      </c>
      <c r="B2157" s="53" t="s">
        <v>2789</v>
      </c>
      <c r="D2157" s="53" t="s">
        <v>2899</v>
      </c>
      <c r="E2157" s="53" t="s">
        <v>3421</v>
      </c>
      <c r="F2157" s="53" t="s">
        <v>2882</v>
      </c>
      <c r="G2157" s="53" t="s">
        <v>2925</v>
      </c>
      <c r="H2157" s="53">
        <v>1.0</v>
      </c>
      <c r="I2157" s="53">
        <v>0.14465408805031446</v>
      </c>
      <c r="J2157" s="53">
        <v>16.0</v>
      </c>
      <c r="K2157" s="53" t="s">
        <v>53</v>
      </c>
      <c r="L2157" s="53" t="s">
        <v>53</v>
      </c>
    </row>
    <row r="2158" ht="15.75" customHeight="1">
      <c r="A2158" s="53" t="s">
        <v>411</v>
      </c>
      <c r="B2158" s="53" t="s">
        <v>2789</v>
      </c>
      <c r="D2158" s="53" t="s">
        <v>2899</v>
      </c>
      <c r="E2158" s="53" t="s">
        <v>3422</v>
      </c>
      <c r="F2158" s="53" t="s">
        <v>2882</v>
      </c>
      <c r="G2158" s="53" t="s">
        <v>2927</v>
      </c>
      <c r="H2158" s="53">
        <v>1.0</v>
      </c>
      <c r="I2158" s="53">
        <v>0.1464968152866242</v>
      </c>
      <c r="J2158" s="53">
        <v>13.0</v>
      </c>
      <c r="K2158" s="53" t="s">
        <v>53</v>
      </c>
      <c r="L2158" s="53" t="s">
        <v>53</v>
      </c>
    </row>
    <row r="2159" ht="15.75" customHeight="1">
      <c r="A2159" s="53" t="s">
        <v>411</v>
      </c>
      <c r="B2159" s="53" t="s">
        <v>2789</v>
      </c>
      <c r="D2159" s="53" t="s">
        <v>2899</v>
      </c>
      <c r="E2159" s="53" t="s">
        <v>3423</v>
      </c>
      <c r="F2159" s="53" t="s">
        <v>2882</v>
      </c>
      <c r="G2159" s="53" t="s">
        <v>2929</v>
      </c>
      <c r="H2159" s="53">
        <v>1.0</v>
      </c>
      <c r="I2159" s="53">
        <v>0.14906832298136646</v>
      </c>
      <c r="J2159" s="53">
        <v>14.0</v>
      </c>
      <c r="K2159" s="53" t="s">
        <v>53</v>
      </c>
      <c r="L2159" s="53" t="s">
        <v>53</v>
      </c>
    </row>
    <row r="2160" ht="15.75" customHeight="1">
      <c r="A2160" s="53" t="s">
        <v>411</v>
      </c>
      <c r="B2160" s="53" t="s">
        <v>2789</v>
      </c>
      <c r="D2160" s="53" t="s">
        <v>2899</v>
      </c>
      <c r="E2160" s="53" t="s">
        <v>3424</v>
      </c>
      <c r="F2160" s="53" t="s">
        <v>2882</v>
      </c>
      <c r="G2160" s="53" t="s">
        <v>2931</v>
      </c>
      <c r="H2160" s="53">
        <v>1.0</v>
      </c>
      <c r="I2160" s="53">
        <v>0.1625</v>
      </c>
      <c r="J2160" s="53">
        <v>8.0</v>
      </c>
      <c r="K2160" s="53" t="s">
        <v>53</v>
      </c>
      <c r="L2160" s="53" t="s">
        <v>53</v>
      </c>
    </row>
    <row r="2161" ht="15.75" customHeight="1">
      <c r="A2161" s="53" t="s">
        <v>411</v>
      </c>
      <c r="B2161" s="53" t="s">
        <v>2789</v>
      </c>
      <c r="D2161" s="53" t="s">
        <v>2899</v>
      </c>
      <c r="E2161" s="53" t="s">
        <v>3425</v>
      </c>
      <c r="F2161" s="53" t="s">
        <v>2882</v>
      </c>
      <c r="G2161" s="53" t="s">
        <v>2937</v>
      </c>
      <c r="H2161" s="53">
        <v>1.0</v>
      </c>
      <c r="I2161" s="53">
        <v>0.18620689655172415</v>
      </c>
      <c r="J2161" s="53">
        <v>23.0</v>
      </c>
      <c r="K2161" s="53" t="s">
        <v>53</v>
      </c>
      <c r="L2161" s="53" t="s">
        <v>53</v>
      </c>
    </row>
    <row r="2162" ht="15.75" customHeight="1">
      <c r="A2162" s="53" t="s">
        <v>411</v>
      </c>
      <c r="B2162" s="53" t="s">
        <v>2789</v>
      </c>
      <c r="D2162" s="53" t="s">
        <v>2899</v>
      </c>
      <c r="E2162" s="53" t="s">
        <v>3426</v>
      </c>
      <c r="F2162" s="53" t="s">
        <v>2882</v>
      </c>
      <c r="G2162" s="53" t="s">
        <v>2933</v>
      </c>
      <c r="H2162" s="53">
        <v>1.0</v>
      </c>
      <c r="I2162" s="53">
        <v>0.19047619047619047</v>
      </c>
      <c r="J2162" s="53">
        <v>15.0</v>
      </c>
      <c r="K2162" s="53" t="s">
        <v>53</v>
      </c>
      <c r="L2162" s="53" t="s">
        <v>53</v>
      </c>
    </row>
    <row r="2163" ht="15.75" customHeight="1">
      <c r="A2163" s="53" t="s">
        <v>411</v>
      </c>
      <c r="B2163" s="53" t="s">
        <v>2789</v>
      </c>
      <c r="D2163" s="53" t="s">
        <v>2899</v>
      </c>
      <c r="E2163" s="53" t="s">
        <v>3427</v>
      </c>
      <c r="F2163" s="53" t="s">
        <v>2882</v>
      </c>
      <c r="G2163" s="53" t="s">
        <v>2940</v>
      </c>
      <c r="H2163" s="53">
        <v>1.0</v>
      </c>
      <c r="I2163" s="53">
        <v>0.19718309859154928</v>
      </c>
      <c r="J2163" s="53">
        <v>3.0</v>
      </c>
      <c r="K2163" s="53" t="s">
        <v>53</v>
      </c>
      <c r="L2163" s="53" t="s">
        <v>53</v>
      </c>
    </row>
    <row r="2164" ht="15.75" customHeight="1">
      <c r="A2164" s="53" t="s">
        <v>411</v>
      </c>
      <c r="B2164" s="53" t="s">
        <v>2789</v>
      </c>
      <c r="D2164" s="53" t="s">
        <v>2899</v>
      </c>
      <c r="E2164" s="53" t="s">
        <v>3428</v>
      </c>
      <c r="F2164" s="53" t="s">
        <v>2882</v>
      </c>
      <c r="G2164" s="53" t="s">
        <v>2935</v>
      </c>
      <c r="H2164" s="53">
        <v>1.0</v>
      </c>
      <c r="I2164" s="53">
        <v>0.20125786163522014</v>
      </c>
      <c r="J2164" s="53">
        <v>5.0</v>
      </c>
      <c r="K2164" s="53" t="s">
        <v>53</v>
      </c>
      <c r="L2164" s="53" t="s">
        <v>53</v>
      </c>
    </row>
    <row r="2165" ht="15.75" customHeight="1">
      <c r="A2165" s="53" t="s">
        <v>411</v>
      </c>
      <c r="B2165" s="53" t="s">
        <v>2789</v>
      </c>
      <c r="D2165" s="53" t="s">
        <v>2899</v>
      </c>
      <c r="E2165" s="53" t="s">
        <v>3429</v>
      </c>
      <c r="F2165" s="53" t="s">
        <v>2882</v>
      </c>
      <c r="G2165" s="53" t="s">
        <v>2942</v>
      </c>
      <c r="H2165" s="53">
        <v>1.0</v>
      </c>
      <c r="I2165" s="53">
        <v>0.20945945945945946</v>
      </c>
      <c r="J2165" s="53">
        <v>24.0</v>
      </c>
      <c r="K2165" s="53" t="s">
        <v>53</v>
      </c>
      <c r="L2165" s="53" t="s">
        <v>53</v>
      </c>
    </row>
    <row r="2166" ht="15.75" customHeight="1">
      <c r="A2166" s="53" t="s">
        <v>411</v>
      </c>
      <c r="B2166" s="53" t="s">
        <v>2789</v>
      </c>
      <c r="D2166" s="53" t="s">
        <v>2899</v>
      </c>
      <c r="E2166" s="53" t="s">
        <v>3430</v>
      </c>
      <c r="F2166" s="53" t="s">
        <v>2882</v>
      </c>
      <c r="G2166" s="53" t="s">
        <v>2948</v>
      </c>
      <c r="H2166" s="53">
        <v>1.0</v>
      </c>
      <c r="I2166" s="53">
        <v>0.22</v>
      </c>
      <c r="J2166" s="53">
        <v>22.0</v>
      </c>
      <c r="K2166" s="53" t="s">
        <v>53</v>
      </c>
      <c r="L2166" s="53" t="s">
        <v>53</v>
      </c>
    </row>
    <row r="2167" ht="15.75" customHeight="1">
      <c r="A2167" s="53" t="s">
        <v>411</v>
      </c>
      <c r="B2167" s="53" t="s">
        <v>2789</v>
      </c>
      <c r="D2167" s="53" t="s">
        <v>2899</v>
      </c>
      <c r="E2167" s="53" t="s">
        <v>3431</v>
      </c>
      <c r="F2167" s="53" t="s">
        <v>2882</v>
      </c>
      <c r="G2167" s="53" t="s">
        <v>2950</v>
      </c>
      <c r="H2167" s="53">
        <v>1.0</v>
      </c>
      <c r="I2167" s="53">
        <v>0.2215568862275449</v>
      </c>
      <c r="J2167" s="53">
        <v>4.0</v>
      </c>
      <c r="K2167" s="53" t="s">
        <v>53</v>
      </c>
      <c r="L2167" s="53" t="s">
        <v>53</v>
      </c>
    </row>
    <row r="2168" ht="15.75" customHeight="1">
      <c r="A2168" s="53" t="s">
        <v>411</v>
      </c>
      <c r="B2168" s="53" t="s">
        <v>2789</v>
      </c>
      <c r="D2168" s="53" t="s">
        <v>2899</v>
      </c>
      <c r="E2168" s="53" t="s">
        <v>3432</v>
      </c>
      <c r="F2168" s="53" t="s">
        <v>2882</v>
      </c>
      <c r="G2168" s="53" t="s">
        <v>2944</v>
      </c>
      <c r="H2168" s="53">
        <v>1.0</v>
      </c>
      <c r="I2168" s="53">
        <v>0.23668639053254437</v>
      </c>
      <c r="J2168" s="53">
        <v>7.0</v>
      </c>
      <c r="K2168" s="53" t="s">
        <v>53</v>
      </c>
      <c r="L2168" s="53" t="s">
        <v>53</v>
      </c>
    </row>
    <row r="2169" ht="15.75" customHeight="1">
      <c r="A2169" s="53" t="s">
        <v>411</v>
      </c>
      <c r="B2169" s="53" t="s">
        <v>2789</v>
      </c>
      <c r="D2169" s="53" t="s">
        <v>2899</v>
      </c>
      <c r="E2169" s="53" t="s">
        <v>3433</v>
      </c>
      <c r="F2169" s="53" t="s">
        <v>2882</v>
      </c>
      <c r="G2169" s="53" t="s">
        <v>2954</v>
      </c>
      <c r="H2169" s="53">
        <v>1.0</v>
      </c>
      <c r="I2169" s="53">
        <v>0.24666666666666667</v>
      </c>
      <c r="J2169" s="53">
        <v>1.0</v>
      </c>
      <c r="K2169" s="53" t="s">
        <v>53</v>
      </c>
      <c r="L2169" s="53" t="s">
        <v>53</v>
      </c>
    </row>
    <row r="2170" ht="15.75" customHeight="1">
      <c r="A2170" s="53" t="s">
        <v>411</v>
      </c>
      <c r="B2170" s="53" t="s">
        <v>2789</v>
      </c>
      <c r="D2170" s="53" t="s">
        <v>2899</v>
      </c>
      <c r="E2170" s="53" t="s">
        <v>3434</v>
      </c>
      <c r="F2170" s="53" t="s">
        <v>2882</v>
      </c>
      <c r="G2170" s="53" t="s">
        <v>495</v>
      </c>
      <c r="H2170" s="53">
        <v>1.0</v>
      </c>
      <c r="I2170" s="53">
        <v>0.2534246575342466</v>
      </c>
      <c r="J2170" s="53">
        <v>21.0</v>
      </c>
      <c r="K2170" s="53" t="s">
        <v>53</v>
      </c>
      <c r="L2170" s="53" t="s">
        <v>53</v>
      </c>
    </row>
    <row r="2171" ht="15.75" customHeight="1">
      <c r="A2171" s="53" t="s">
        <v>411</v>
      </c>
      <c r="B2171" s="53" t="s">
        <v>2789</v>
      </c>
      <c r="D2171" s="53" t="s">
        <v>2899</v>
      </c>
      <c r="E2171" s="53" t="s">
        <v>3435</v>
      </c>
      <c r="F2171" s="53" t="s">
        <v>2882</v>
      </c>
      <c r="G2171" s="53" t="s">
        <v>485</v>
      </c>
      <c r="H2171" s="53">
        <v>1.0</v>
      </c>
      <c r="I2171" s="53">
        <v>0.2565789473684211</v>
      </c>
      <c r="J2171" s="53">
        <v>19.0</v>
      </c>
      <c r="K2171" s="53" t="s">
        <v>53</v>
      </c>
      <c r="L2171" s="53" t="s">
        <v>53</v>
      </c>
    </row>
    <row r="2172" ht="15.75" customHeight="1">
      <c r="A2172" s="53" t="s">
        <v>411</v>
      </c>
      <c r="B2172" s="53" t="s">
        <v>2789</v>
      </c>
      <c r="D2172" s="53" t="s">
        <v>2899</v>
      </c>
      <c r="E2172" s="53" t="s">
        <v>3436</v>
      </c>
      <c r="F2172" s="53" t="s">
        <v>2882</v>
      </c>
      <c r="G2172" s="53" t="s">
        <v>474</v>
      </c>
      <c r="H2172" s="53">
        <v>1.0</v>
      </c>
      <c r="I2172" s="53">
        <v>0.2662337662337662</v>
      </c>
      <c r="J2172" s="53">
        <v>20.0</v>
      </c>
      <c r="K2172" s="53" t="s">
        <v>53</v>
      </c>
      <c r="L2172" s="53" t="s">
        <v>53</v>
      </c>
    </row>
    <row r="2173" ht="15.75" customHeight="1">
      <c r="A2173" s="53" t="s">
        <v>411</v>
      </c>
      <c r="B2173" s="53" t="s">
        <v>2789</v>
      </c>
      <c r="D2173" s="53" t="s">
        <v>2899</v>
      </c>
      <c r="E2173" s="53" t="s">
        <v>3437</v>
      </c>
      <c r="F2173" s="53" t="s">
        <v>2882</v>
      </c>
      <c r="G2173" s="53" t="s">
        <v>2957</v>
      </c>
      <c r="H2173" s="53">
        <v>1.0</v>
      </c>
      <c r="I2173" s="53">
        <v>0.27167630057803466</v>
      </c>
      <c r="J2173" s="53">
        <v>6.0</v>
      </c>
      <c r="K2173" s="53" t="s">
        <v>53</v>
      </c>
      <c r="L2173" s="53" t="s">
        <v>53</v>
      </c>
    </row>
    <row r="2174" ht="15.75" customHeight="1">
      <c r="A2174" s="53" t="s">
        <v>411</v>
      </c>
      <c r="B2174" s="53" t="s">
        <v>2789</v>
      </c>
      <c r="D2174" s="53" t="s">
        <v>2911</v>
      </c>
      <c r="E2174" s="53" t="s">
        <v>3438</v>
      </c>
      <c r="F2174" s="53" t="s">
        <v>2882</v>
      </c>
      <c r="G2174" s="53" t="s">
        <v>2905</v>
      </c>
      <c r="H2174" s="53">
        <v>1.0</v>
      </c>
      <c r="I2174" s="53">
        <v>0.10666666666666667</v>
      </c>
      <c r="J2174" s="53">
        <v>1.0</v>
      </c>
      <c r="K2174" s="53" t="s">
        <v>53</v>
      </c>
      <c r="L2174" s="53" t="s">
        <v>53</v>
      </c>
    </row>
    <row r="2175" ht="15.75" customHeight="1">
      <c r="A2175" s="53" t="s">
        <v>411</v>
      </c>
      <c r="B2175" s="53" t="s">
        <v>2789</v>
      </c>
      <c r="D2175" s="53" t="s">
        <v>2911</v>
      </c>
      <c r="E2175" s="53" t="s">
        <v>3439</v>
      </c>
      <c r="F2175" s="53" t="s">
        <v>2882</v>
      </c>
      <c r="G2175" s="53" t="s">
        <v>2907</v>
      </c>
      <c r="H2175" s="53">
        <v>1.0</v>
      </c>
      <c r="I2175" s="53">
        <v>0.11333333333333333</v>
      </c>
      <c r="J2175" s="53">
        <v>16.0</v>
      </c>
      <c r="K2175" s="53" t="s">
        <v>53</v>
      </c>
      <c r="L2175" s="53" t="s">
        <v>53</v>
      </c>
    </row>
    <row r="2176" ht="15.75" customHeight="1">
      <c r="A2176" s="53" t="s">
        <v>411</v>
      </c>
      <c r="B2176" s="53" t="s">
        <v>2789</v>
      </c>
      <c r="D2176" s="53" t="s">
        <v>2911</v>
      </c>
      <c r="E2176" s="53" t="s">
        <v>3440</v>
      </c>
      <c r="F2176" s="53" t="s">
        <v>2882</v>
      </c>
      <c r="G2176" s="53" t="s">
        <v>2915</v>
      </c>
      <c r="H2176" s="53">
        <v>1.0</v>
      </c>
      <c r="I2176" s="53">
        <v>0.11764705882352941</v>
      </c>
      <c r="J2176" s="53">
        <v>8.0</v>
      </c>
      <c r="K2176" s="53" t="s">
        <v>53</v>
      </c>
      <c r="L2176" s="53" t="s">
        <v>53</v>
      </c>
    </row>
    <row r="2177" ht="15.75" customHeight="1">
      <c r="A2177" s="53" t="s">
        <v>411</v>
      </c>
      <c r="B2177" s="53" t="s">
        <v>2789</v>
      </c>
      <c r="D2177" s="53" t="s">
        <v>2911</v>
      </c>
      <c r="E2177" s="53" t="s">
        <v>3441</v>
      </c>
      <c r="F2177" s="53" t="s">
        <v>2882</v>
      </c>
      <c r="G2177" s="53" t="s">
        <v>2917</v>
      </c>
      <c r="H2177" s="53">
        <v>1.0</v>
      </c>
      <c r="I2177" s="53">
        <v>0.12582781456953643</v>
      </c>
      <c r="J2177" s="53">
        <v>17.0</v>
      </c>
      <c r="K2177" s="53" t="s">
        <v>53</v>
      </c>
      <c r="L2177" s="53" t="s">
        <v>53</v>
      </c>
    </row>
    <row r="2178" ht="15.75" customHeight="1">
      <c r="A2178" s="53" t="s">
        <v>411</v>
      </c>
      <c r="B2178" s="53" t="s">
        <v>2789</v>
      </c>
      <c r="D2178" s="53" t="s">
        <v>2911</v>
      </c>
      <c r="E2178" s="53" t="s">
        <v>3442</v>
      </c>
      <c r="F2178" s="53" t="s">
        <v>2882</v>
      </c>
      <c r="G2178" s="53" t="s">
        <v>2927</v>
      </c>
      <c r="H2178" s="53">
        <v>1.0</v>
      </c>
      <c r="I2178" s="53">
        <v>0.12738853503184713</v>
      </c>
      <c r="J2178" s="53">
        <v>12.0</v>
      </c>
      <c r="K2178" s="53" t="s">
        <v>53</v>
      </c>
      <c r="L2178" s="53" t="s">
        <v>53</v>
      </c>
    </row>
    <row r="2179" ht="15.75" customHeight="1">
      <c r="A2179" s="53" t="s">
        <v>411</v>
      </c>
      <c r="B2179" s="53" t="s">
        <v>2789</v>
      </c>
      <c r="D2179" s="53" t="s">
        <v>2911</v>
      </c>
      <c r="E2179" s="53" t="s">
        <v>3443</v>
      </c>
      <c r="F2179" s="53" t="s">
        <v>2882</v>
      </c>
      <c r="G2179" s="53" t="s">
        <v>2923</v>
      </c>
      <c r="H2179" s="53">
        <v>1.0</v>
      </c>
      <c r="I2179" s="53">
        <v>0.1282051282051282</v>
      </c>
      <c r="J2179" s="53">
        <v>9.0</v>
      </c>
      <c r="K2179" s="53" t="s">
        <v>53</v>
      </c>
      <c r="L2179" s="53" t="s">
        <v>53</v>
      </c>
    </row>
    <row r="2180" ht="15.75" customHeight="1">
      <c r="A2180" s="53" t="s">
        <v>411</v>
      </c>
      <c r="B2180" s="53" t="s">
        <v>2789</v>
      </c>
      <c r="D2180" s="53" t="s">
        <v>2911</v>
      </c>
      <c r="E2180" s="53" t="s">
        <v>3444</v>
      </c>
      <c r="F2180" s="53" t="s">
        <v>2882</v>
      </c>
      <c r="G2180" s="53" t="s">
        <v>2921</v>
      </c>
      <c r="H2180" s="53">
        <v>1.0</v>
      </c>
      <c r="I2180" s="53">
        <v>0.1337579617834395</v>
      </c>
      <c r="J2180" s="53">
        <v>11.0</v>
      </c>
      <c r="K2180" s="53" t="s">
        <v>53</v>
      </c>
      <c r="L2180" s="53" t="s">
        <v>53</v>
      </c>
    </row>
    <row r="2181" ht="15.75" customHeight="1">
      <c r="A2181" s="53" t="s">
        <v>411</v>
      </c>
      <c r="B2181" s="53" t="s">
        <v>2789</v>
      </c>
      <c r="D2181" s="53" t="s">
        <v>2911</v>
      </c>
      <c r="E2181" s="53" t="s">
        <v>3445</v>
      </c>
      <c r="F2181" s="53" t="s">
        <v>2882</v>
      </c>
      <c r="G2181" s="53" t="s">
        <v>2919</v>
      </c>
      <c r="H2181" s="53">
        <v>1.0</v>
      </c>
      <c r="I2181" s="53">
        <v>0.14465408805031446</v>
      </c>
      <c r="J2181" s="53">
        <v>10.0</v>
      </c>
      <c r="K2181" s="53" t="s">
        <v>53</v>
      </c>
      <c r="L2181" s="53" t="s">
        <v>53</v>
      </c>
    </row>
    <row r="2182" ht="15.75" customHeight="1">
      <c r="A2182" s="53" t="s">
        <v>411</v>
      </c>
      <c r="B2182" s="53" t="s">
        <v>2789</v>
      </c>
      <c r="D2182" s="53" t="s">
        <v>2911</v>
      </c>
      <c r="E2182" s="53" t="s">
        <v>3446</v>
      </c>
      <c r="F2182" s="53" t="s">
        <v>2882</v>
      </c>
      <c r="G2182" s="53" t="s">
        <v>2925</v>
      </c>
      <c r="H2182" s="53">
        <v>1.0</v>
      </c>
      <c r="I2182" s="53">
        <v>0.1509433962264151</v>
      </c>
      <c r="J2182" s="53">
        <v>15.0</v>
      </c>
      <c r="K2182" s="53" t="s">
        <v>53</v>
      </c>
      <c r="L2182" s="53" t="s">
        <v>53</v>
      </c>
    </row>
    <row r="2183" ht="15.75" customHeight="1">
      <c r="A2183" s="53" t="s">
        <v>411</v>
      </c>
      <c r="B2183" s="53" t="s">
        <v>2789</v>
      </c>
      <c r="D2183" s="53" t="s">
        <v>2911</v>
      </c>
      <c r="E2183" s="53" t="s">
        <v>3447</v>
      </c>
      <c r="F2183" s="53" t="s">
        <v>2882</v>
      </c>
      <c r="G2183" s="53" t="s">
        <v>2929</v>
      </c>
      <c r="H2183" s="53">
        <v>1.0</v>
      </c>
      <c r="I2183" s="53">
        <v>0.15527950310559005</v>
      </c>
      <c r="J2183" s="53">
        <v>13.0</v>
      </c>
      <c r="K2183" s="53" t="s">
        <v>53</v>
      </c>
      <c r="L2183" s="53" t="s">
        <v>53</v>
      </c>
    </row>
    <row r="2184" ht="15.75" customHeight="1">
      <c r="A2184" s="53" t="s">
        <v>411</v>
      </c>
      <c r="B2184" s="53" t="s">
        <v>2789</v>
      </c>
      <c r="D2184" s="53" t="s">
        <v>2911</v>
      </c>
      <c r="E2184" s="53" t="s">
        <v>3448</v>
      </c>
      <c r="F2184" s="53" t="s">
        <v>2882</v>
      </c>
      <c r="G2184" s="53" t="s">
        <v>2931</v>
      </c>
      <c r="H2184" s="53">
        <v>1.0</v>
      </c>
      <c r="I2184" s="53">
        <v>0.15625</v>
      </c>
      <c r="J2184" s="53">
        <v>7.0</v>
      </c>
      <c r="K2184" s="53" t="s">
        <v>53</v>
      </c>
      <c r="L2184" s="53" t="s">
        <v>53</v>
      </c>
    </row>
    <row r="2185" ht="15.75" customHeight="1">
      <c r="A2185" s="53" t="s">
        <v>411</v>
      </c>
      <c r="B2185" s="53" t="s">
        <v>2789</v>
      </c>
      <c r="D2185" s="53" t="s">
        <v>2911</v>
      </c>
      <c r="E2185" s="53" t="s">
        <v>3449</v>
      </c>
      <c r="F2185" s="53" t="s">
        <v>2882</v>
      </c>
      <c r="G2185" s="53" t="s">
        <v>2933</v>
      </c>
      <c r="H2185" s="53">
        <v>1.0</v>
      </c>
      <c r="I2185" s="53">
        <v>0.18452380952380953</v>
      </c>
      <c r="J2185" s="53">
        <v>14.0</v>
      </c>
      <c r="K2185" s="53" t="s">
        <v>53</v>
      </c>
      <c r="L2185" s="53" t="s">
        <v>53</v>
      </c>
    </row>
    <row r="2186" ht="15.75" customHeight="1">
      <c r="A2186" s="53" t="s">
        <v>411</v>
      </c>
      <c r="B2186" s="53" t="s">
        <v>2789</v>
      </c>
      <c r="D2186" s="53" t="s">
        <v>2911</v>
      </c>
      <c r="E2186" s="53" t="s">
        <v>3450</v>
      </c>
      <c r="F2186" s="53" t="s">
        <v>2882</v>
      </c>
      <c r="G2186" s="53" t="s">
        <v>2935</v>
      </c>
      <c r="H2186" s="53">
        <v>1.0</v>
      </c>
      <c r="I2186" s="53">
        <v>0.1949685534591195</v>
      </c>
      <c r="J2186" s="53">
        <v>4.0</v>
      </c>
      <c r="K2186" s="53" t="s">
        <v>53</v>
      </c>
      <c r="L2186" s="53" t="s">
        <v>53</v>
      </c>
    </row>
    <row r="2187" ht="15.75" customHeight="1">
      <c r="A2187" s="53" t="s">
        <v>411</v>
      </c>
      <c r="B2187" s="53" t="s">
        <v>2789</v>
      </c>
      <c r="D2187" s="53" t="s">
        <v>2911</v>
      </c>
      <c r="E2187" s="53" t="s">
        <v>3451</v>
      </c>
      <c r="F2187" s="53" t="s">
        <v>2882</v>
      </c>
      <c r="G2187" s="53" t="s">
        <v>2950</v>
      </c>
      <c r="H2187" s="53">
        <v>1.0</v>
      </c>
      <c r="I2187" s="53">
        <v>0.20958083832335328</v>
      </c>
      <c r="J2187" s="53">
        <v>3.0</v>
      </c>
      <c r="K2187" s="53" t="s">
        <v>53</v>
      </c>
      <c r="L2187" s="53" t="s">
        <v>53</v>
      </c>
    </row>
    <row r="2188" ht="15.75" customHeight="1">
      <c r="A2188" s="53" t="s">
        <v>411</v>
      </c>
      <c r="B2188" s="53" t="s">
        <v>2789</v>
      </c>
      <c r="D2188" s="53" t="s">
        <v>2911</v>
      </c>
      <c r="E2188" s="53" t="s">
        <v>3452</v>
      </c>
      <c r="F2188" s="53" t="s">
        <v>2882</v>
      </c>
      <c r="G2188" s="53" t="s">
        <v>2937</v>
      </c>
      <c r="H2188" s="53">
        <v>1.0</v>
      </c>
      <c r="I2188" s="53">
        <v>0.22</v>
      </c>
      <c r="J2188" s="53">
        <v>22.0</v>
      </c>
      <c r="K2188" s="53" t="s">
        <v>53</v>
      </c>
      <c r="L2188" s="53" t="s">
        <v>53</v>
      </c>
    </row>
    <row r="2189" ht="15.75" customHeight="1">
      <c r="A2189" s="53" t="s">
        <v>411</v>
      </c>
      <c r="B2189" s="53" t="s">
        <v>2789</v>
      </c>
      <c r="D2189" s="53" t="s">
        <v>2911</v>
      </c>
      <c r="E2189" s="53" t="s">
        <v>3453</v>
      </c>
      <c r="F2189" s="53" t="s">
        <v>2882</v>
      </c>
      <c r="G2189" s="53" t="s">
        <v>2940</v>
      </c>
      <c r="H2189" s="53">
        <v>1.0</v>
      </c>
      <c r="I2189" s="53">
        <v>0.22</v>
      </c>
      <c r="J2189" s="53">
        <v>2.0</v>
      </c>
      <c r="K2189" s="53" t="s">
        <v>53</v>
      </c>
      <c r="L2189" s="53" t="s">
        <v>53</v>
      </c>
    </row>
    <row r="2190" ht="15.75" customHeight="1">
      <c r="A2190" s="53" t="s">
        <v>411</v>
      </c>
      <c r="B2190" s="53" t="s">
        <v>2789</v>
      </c>
      <c r="D2190" s="53" t="s">
        <v>2911</v>
      </c>
      <c r="E2190" s="53" t="s">
        <v>3454</v>
      </c>
      <c r="F2190" s="53" t="s">
        <v>2882</v>
      </c>
      <c r="G2190" s="53" t="s">
        <v>2944</v>
      </c>
      <c r="H2190" s="53">
        <v>1.0</v>
      </c>
      <c r="I2190" s="53">
        <v>0.23076923076923078</v>
      </c>
      <c r="J2190" s="53">
        <v>6.0</v>
      </c>
      <c r="K2190" s="53" t="s">
        <v>53</v>
      </c>
      <c r="L2190" s="53" t="s">
        <v>53</v>
      </c>
    </row>
    <row r="2191" ht="15.75" customHeight="1">
      <c r="A2191" s="53" t="s">
        <v>411</v>
      </c>
      <c r="B2191" s="53" t="s">
        <v>2789</v>
      </c>
      <c r="D2191" s="53" t="s">
        <v>2911</v>
      </c>
      <c r="E2191" s="53" t="s">
        <v>3455</v>
      </c>
      <c r="F2191" s="53" t="s">
        <v>2882</v>
      </c>
      <c r="G2191" s="53" t="s">
        <v>2954</v>
      </c>
      <c r="H2191" s="53">
        <v>1.0</v>
      </c>
      <c r="I2191" s="53">
        <v>0.23333333333333334</v>
      </c>
      <c r="J2191" s="53">
        <v>0.0</v>
      </c>
      <c r="K2191" s="53" t="s">
        <v>53</v>
      </c>
      <c r="L2191" s="53" t="s">
        <v>53</v>
      </c>
    </row>
    <row r="2192" ht="15.75" customHeight="1">
      <c r="A2192" s="53" t="s">
        <v>411</v>
      </c>
      <c r="B2192" s="53" t="s">
        <v>2789</v>
      </c>
      <c r="D2192" s="53" t="s">
        <v>2911</v>
      </c>
      <c r="E2192" s="53" t="s">
        <v>3456</v>
      </c>
      <c r="F2192" s="53" t="s">
        <v>2882</v>
      </c>
      <c r="G2192" s="53" t="s">
        <v>485</v>
      </c>
      <c r="H2192" s="53">
        <v>1.0</v>
      </c>
      <c r="I2192" s="53">
        <v>0.23684210526315788</v>
      </c>
      <c r="J2192" s="53">
        <v>18.0</v>
      </c>
      <c r="K2192" s="53" t="s">
        <v>53</v>
      </c>
      <c r="L2192" s="53" t="s">
        <v>53</v>
      </c>
    </row>
    <row r="2193" ht="15.75" customHeight="1">
      <c r="A2193" s="53" t="s">
        <v>411</v>
      </c>
      <c r="B2193" s="53" t="s">
        <v>2789</v>
      </c>
      <c r="D2193" s="53" t="s">
        <v>2911</v>
      </c>
      <c r="E2193" s="53" t="s">
        <v>3457</v>
      </c>
      <c r="F2193" s="53" t="s">
        <v>2882</v>
      </c>
      <c r="G2193" s="53" t="s">
        <v>2942</v>
      </c>
      <c r="H2193" s="53">
        <v>1.0</v>
      </c>
      <c r="I2193" s="53">
        <v>0.24666666666666667</v>
      </c>
      <c r="J2193" s="53">
        <v>23.0</v>
      </c>
      <c r="K2193" s="53" t="s">
        <v>53</v>
      </c>
      <c r="L2193" s="53" t="s">
        <v>53</v>
      </c>
    </row>
    <row r="2194" ht="15.75" customHeight="1">
      <c r="A2194" s="53" t="s">
        <v>411</v>
      </c>
      <c r="B2194" s="53" t="s">
        <v>2789</v>
      </c>
      <c r="D2194" s="53" t="s">
        <v>2911</v>
      </c>
      <c r="E2194" s="53" t="s">
        <v>3458</v>
      </c>
      <c r="F2194" s="53" t="s">
        <v>2882</v>
      </c>
      <c r="G2194" s="53" t="s">
        <v>2948</v>
      </c>
      <c r="H2194" s="53">
        <v>1.0</v>
      </c>
      <c r="I2194" s="53">
        <v>0.24666666666666667</v>
      </c>
      <c r="J2194" s="53">
        <v>21.0</v>
      </c>
      <c r="K2194" s="53" t="s">
        <v>53</v>
      </c>
      <c r="L2194" s="53" t="s">
        <v>53</v>
      </c>
    </row>
    <row r="2195" ht="15.75" customHeight="1">
      <c r="A2195" s="53" t="s">
        <v>411</v>
      </c>
      <c r="B2195" s="53" t="s">
        <v>2789</v>
      </c>
      <c r="D2195" s="53" t="s">
        <v>2911</v>
      </c>
      <c r="E2195" s="53" t="s">
        <v>3459</v>
      </c>
      <c r="F2195" s="53" t="s">
        <v>2882</v>
      </c>
      <c r="G2195" s="53" t="s">
        <v>474</v>
      </c>
      <c r="H2195" s="53">
        <v>1.0</v>
      </c>
      <c r="I2195" s="53">
        <v>0.24675324675324675</v>
      </c>
      <c r="J2195" s="53">
        <v>19.0</v>
      </c>
      <c r="K2195" s="53" t="s">
        <v>53</v>
      </c>
      <c r="L2195" s="53" t="s">
        <v>53</v>
      </c>
    </row>
    <row r="2196" ht="15.75" customHeight="1">
      <c r="A2196" s="53" t="s">
        <v>411</v>
      </c>
      <c r="B2196" s="53" t="s">
        <v>2789</v>
      </c>
      <c r="D2196" s="53" t="s">
        <v>2911</v>
      </c>
      <c r="E2196" s="53" t="s">
        <v>3460</v>
      </c>
      <c r="F2196" s="53" t="s">
        <v>2882</v>
      </c>
      <c r="G2196" s="53" t="s">
        <v>2957</v>
      </c>
      <c r="H2196" s="53">
        <v>1.0</v>
      </c>
      <c r="I2196" s="53">
        <v>0.26011560693641617</v>
      </c>
      <c r="J2196" s="53">
        <v>5.0</v>
      </c>
      <c r="K2196" s="53" t="s">
        <v>53</v>
      </c>
      <c r="L2196" s="53" t="s">
        <v>53</v>
      </c>
    </row>
    <row r="2197" ht="15.75" customHeight="1">
      <c r="A2197" s="53" t="s">
        <v>411</v>
      </c>
      <c r="B2197" s="53" t="s">
        <v>2789</v>
      </c>
      <c r="D2197" s="53" t="s">
        <v>2911</v>
      </c>
      <c r="E2197" s="53" t="s">
        <v>3461</v>
      </c>
      <c r="F2197" s="53" t="s">
        <v>2882</v>
      </c>
      <c r="G2197" s="53" t="s">
        <v>495</v>
      </c>
      <c r="H2197" s="53">
        <v>1.0</v>
      </c>
      <c r="I2197" s="53">
        <v>0.2733333333333333</v>
      </c>
      <c r="J2197" s="53">
        <v>20.0</v>
      </c>
      <c r="K2197" s="53" t="s">
        <v>53</v>
      </c>
      <c r="L2197" s="53" t="s">
        <v>53</v>
      </c>
    </row>
    <row r="2198" ht="15.75" customHeight="1">
      <c r="A2198" s="53" t="s">
        <v>411</v>
      </c>
      <c r="B2198" s="53" t="s">
        <v>2789</v>
      </c>
      <c r="D2198" s="53" t="s">
        <v>2954</v>
      </c>
      <c r="E2198" s="53" t="s">
        <v>3462</v>
      </c>
      <c r="F2198" s="53" t="s">
        <v>2882</v>
      </c>
      <c r="G2198" s="53" t="s">
        <v>2940</v>
      </c>
      <c r="H2198" s="53">
        <v>1.0</v>
      </c>
      <c r="I2198" s="53">
        <v>0.15333333333333332</v>
      </c>
      <c r="J2198" s="53">
        <v>1.0</v>
      </c>
      <c r="K2198" s="53" t="s">
        <v>53</v>
      </c>
      <c r="L2198" s="53" t="s">
        <v>53</v>
      </c>
    </row>
    <row r="2199" ht="15.75" customHeight="1">
      <c r="A2199" s="53" t="s">
        <v>411</v>
      </c>
      <c r="B2199" s="53" t="s">
        <v>2789</v>
      </c>
      <c r="D2199" s="53" t="s">
        <v>2954</v>
      </c>
      <c r="E2199" s="53" t="s">
        <v>3463</v>
      </c>
      <c r="F2199" s="53" t="s">
        <v>2882</v>
      </c>
      <c r="G2199" s="53" t="s">
        <v>485</v>
      </c>
      <c r="H2199" s="53">
        <v>1.0</v>
      </c>
      <c r="I2199" s="53">
        <v>0.17763157894736842</v>
      </c>
      <c r="J2199" s="53">
        <v>17.0</v>
      </c>
      <c r="K2199" s="53" t="s">
        <v>53</v>
      </c>
      <c r="L2199" s="53" t="s">
        <v>53</v>
      </c>
    </row>
    <row r="2200" ht="15.75" customHeight="1">
      <c r="A2200" s="53" t="s">
        <v>411</v>
      </c>
      <c r="B2200" s="53" t="s">
        <v>2789</v>
      </c>
      <c r="D2200" s="53" t="s">
        <v>2954</v>
      </c>
      <c r="E2200" s="53" t="s">
        <v>3464</v>
      </c>
      <c r="F2200" s="53" t="s">
        <v>2882</v>
      </c>
      <c r="G2200" s="53" t="s">
        <v>474</v>
      </c>
      <c r="H2200" s="53">
        <v>1.0</v>
      </c>
      <c r="I2200" s="53">
        <v>0.18181818181818182</v>
      </c>
      <c r="J2200" s="53">
        <v>18.0</v>
      </c>
      <c r="K2200" s="53" t="s">
        <v>53</v>
      </c>
      <c r="L2200" s="53" t="s">
        <v>53</v>
      </c>
    </row>
    <row r="2201" ht="15.75" customHeight="1">
      <c r="A2201" s="53" t="s">
        <v>411</v>
      </c>
      <c r="B2201" s="53" t="s">
        <v>2789</v>
      </c>
      <c r="D2201" s="53" t="s">
        <v>2954</v>
      </c>
      <c r="E2201" s="53" t="s">
        <v>3465</v>
      </c>
      <c r="F2201" s="53" t="s">
        <v>2882</v>
      </c>
      <c r="G2201" s="53" t="s">
        <v>2942</v>
      </c>
      <c r="H2201" s="53">
        <v>1.0</v>
      </c>
      <c r="I2201" s="53">
        <v>0.22</v>
      </c>
      <c r="J2201" s="53">
        <v>22.0</v>
      </c>
      <c r="K2201" s="53" t="s">
        <v>53</v>
      </c>
      <c r="L2201" s="53" t="s">
        <v>53</v>
      </c>
    </row>
    <row r="2202" ht="15.75" customHeight="1">
      <c r="A2202" s="53" t="s">
        <v>411</v>
      </c>
      <c r="B2202" s="53" t="s">
        <v>2789</v>
      </c>
      <c r="D2202" s="53" t="s">
        <v>2954</v>
      </c>
      <c r="E2202" s="53" t="s">
        <v>3466</v>
      </c>
      <c r="F2202" s="53" t="s">
        <v>2882</v>
      </c>
      <c r="G2202" s="53" t="s">
        <v>495</v>
      </c>
      <c r="H2202" s="53">
        <v>1.0</v>
      </c>
      <c r="I2202" s="53">
        <v>0.22666666666666666</v>
      </c>
      <c r="J2202" s="53">
        <v>19.0</v>
      </c>
      <c r="K2202" s="53" t="s">
        <v>53</v>
      </c>
      <c r="L2202" s="53" t="s">
        <v>53</v>
      </c>
    </row>
    <row r="2203" ht="15.75" customHeight="1">
      <c r="A2203" s="53" t="s">
        <v>411</v>
      </c>
      <c r="B2203" s="53" t="s">
        <v>2789</v>
      </c>
      <c r="D2203" s="53" t="s">
        <v>2954</v>
      </c>
      <c r="E2203" s="53" t="s">
        <v>3467</v>
      </c>
      <c r="F2203" s="53" t="s">
        <v>2882</v>
      </c>
      <c r="G2203" s="53" t="s">
        <v>2937</v>
      </c>
      <c r="H2203" s="53">
        <v>1.0</v>
      </c>
      <c r="I2203" s="53">
        <v>0.24</v>
      </c>
      <c r="J2203" s="53">
        <v>21.0</v>
      </c>
      <c r="K2203" s="53" t="s">
        <v>53</v>
      </c>
      <c r="L2203" s="53" t="s">
        <v>53</v>
      </c>
    </row>
    <row r="2204" ht="15.75" customHeight="1">
      <c r="A2204" s="53" t="s">
        <v>411</v>
      </c>
      <c r="B2204" s="53" t="s">
        <v>2789</v>
      </c>
      <c r="D2204" s="53" t="s">
        <v>2954</v>
      </c>
      <c r="E2204" s="53" t="s">
        <v>3468</v>
      </c>
      <c r="F2204" s="53" t="s">
        <v>2882</v>
      </c>
      <c r="G2204" s="53" t="s">
        <v>2948</v>
      </c>
      <c r="H2204" s="53">
        <v>1.0</v>
      </c>
      <c r="I2204" s="53">
        <v>0.24</v>
      </c>
      <c r="J2204" s="53">
        <v>20.0</v>
      </c>
      <c r="K2204" s="53" t="s">
        <v>53</v>
      </c>
      <c r="L2204" s="53" t="s">
        <v>53</v>
      </c>
    </row>
    <row r="2205" ht="15.75" customHeight="1">
      <c r="A2205" s="53" t="s">
        <v>411</v>
      </c>
      <c r="B2205" s="53" t="s">
        <v>2789</v>
      </c>
      <c r="D2205" s="53" t="s">
        <v>2954</v>
      </c>
      <c r="E2205" s="53" t="s">
        <v>3469</v>
      </c>
      <c r="F2205" s="53" t="s">
        <v>2882</v>
      </c>
      <c r="G2205" s="53" t="s">
        <v>2915</v>
      </c>
      <c r="H2205" s="53">
        <v>1.0</v>
      </c>
      <c r="I2205" s="53">
        <v>0.24183006535947713</v>
      </c>
      <c r="J2205" s="53">
        <v>7.0</v>
      </c>
      <c r="K2205" s="53" t="s">
        <v>53</v>
      </c>
      <c r="L2205" s="53" t="s">
        <v>53</v>
      </c>
    </row>
    <row r="2206" ht="15.75" customHeight="1">
      <c r="A2206" s="53" t="s">
        <v>411</v>
      </c>
      <c r="B2206" s="53" t="s">
        <v>2789</v>
      </c>
      <c r="D2206" s="53" t="s">
        <v>2954</v>
      </c>
      <c r="E2206" s="53" t="s">
        <v>3470</v>
      </c>
      <c r="F2206" s="53" t="s">
        <v>2882</v>
      </c>
      <c r="G2206" s="53" t="s">
        <v>2931</v>
      </c>
      <c r="H2206" s="53">
        <v>1.0</v>
      </c>
      <c r="I2206" s="53">
        <v>0.24375</v>
      </c>
      <c r="J2206" s="53">
        <v>6.0</v>
      </c>
      <c r="K2206" s="53" t="s">
        <v>53</v>
      </c>
      <c r="L2206" s="53" t="s">
        <v>53</v>
      </c>
    </row>
    <row r="2207" ht="15.75" customHeight="1">
      <c r="A2207" s="53" t="s">
        <v>411</v>
      </c>
      <c r="B2207" s="53" t="s">
        <v>2789</v>
      </c>
      <c r="D2207" s="53" t="s">
        <v>2954</v>
      </c>
      <c r="E2207" s="53" t="s">
        <v>3471</v>
      </c>
      <c r="F2207" s="53" t="s">
        <v>2882</v>
      </c>
      <c r="G2207" s="53" t="s">
        <v>2935</v>
      </c>
      <c r="H2207" s="53">
        <v>1.0</v>
      </c>
      <c r="I2207" s="53">
        <v>0.24528301886792453</v>
      </c>
      <c r="J2207" s="53">
        <v>3.0</v>
      </c>
      <c r="K2207" s="53" t="s">
        <v>53</v>
      </c>
      <c r="L2207" s="53" t="s">
        <v>53</v>
      </c>
    </row>
    <row r="2208" ht="15.75" customHeight="1">
      <c r="A2208" s="53" t="s">
        <v>411</v>
      </c>
      <c r="B2208" s="53" t="s">
        <v>2789</v>
      </c>
      <c r="D2208" s="53" t="s">
        <v>2954</v>
      </c>
      <c r="E2208" s="53" t="s">
        <v>3472</v>
      </c>
      <c r="F2208" s="53" t="s">
        <v>2882</v>
      </c>
      <c r="G2208" s="53" t="s">
        <v>2925</v>
      </c>
      <c r="H2208" s="53">
        <v>1.0</v>
      </c>
      <c r="I2208" s="53">
        <v>0.24528301886792453</v>
      </c>
      <c r="J2208" s="53">
        <v>14.0</v>
      </c>
      <c r="K2208" s="53" t="s">
        <v>53</v>
      </c>
      <c r="L2208" s="53" t="s">
        <v>53</v>
      </c>
    </row>
    <row r="2209" ht="15.75" customHeight="1">
      <c r="A2209" s="53" t="s">
        <v>411</v>
      </c>
      <c r="B2209" s="53" t="s">
        <v>2789</v>
      </c>
      <c r="D2209" s="53" t="s">
        <v>2954</v>
      </c>
      <c r="E2209" s="53" t="s">
        <v>3473</v>
      </c>
      <c r="F2209" s="53" t="s">
        <v>2882</v>
      </c>
      <c r="G2209" s="53" t="s">
        <v>2907</v>
      </c>
      <c r="H2209" s="53">
        <v>1.0</v>
      </c>
      <c r="I2209" s="53">
        <v>0.24666666666666667</v>
      </c>
      <c r="J2209" s="53">
        <v>15.0</v>
      </c>
      <c r="K2209" s="53" t="s">
        <v>53</v>
      </c>
      <c r="L2209" s="53" t="s">
        <v>53</v>
      </c>
    </row>
    <row r="2210" ht="15.75" customHeight="1">
      <c r="A2210" s="53" t="s">
        <v>411</v>
      </c>
      <c r="B2210" s="53" t="s">
        <v>2789</v>
      </c>
      <c r="D2210" s="53" t="s">
        <v>2954</v>
      </c>
      <c r="E2210" s="53" t="s">
        <v>3474</v>
      </c>
      <c r="F2210" s="53" t="s">
        <v>2882</v>
      </c>
      <c r="G2210" s="53" t="s">
        <v>2905</v>
      </c>
      <c r="H2210" s="53">
        <v>1.0</v>
      </c>
      <c r="I2210" s="53">
        <v>0.24666666666666667</v>
      </c>
      <c r="J2210" s="53">
        <v>0.0</v>
      </c>
      <c r="K2210" s="53" t="s">
        <v>53</v>
      </c>
      <c r="L2210" s="53" t="s">
        <v>53</v>
      </c>
    </row>
    <row r="2211" ht="15.75" customHeight="1">
      <c r="A2211" s="53" t="s">
        <v>411</v>
      </c>
      <c r="B2211" s="53" t="s">
        <v>2789</v>
      </c>
      <c r="D2211" s="53" t="s">
        <v>2954</v>
      </c>
      <c r="E2211" s="53" t="s">
        <v>3475</v>
      </c>
      <c r="F2211" s="53" t="s">
        <v>2882</v>
      </c>
      <c r="G2211" s="53" t="s">
        <v>2957</v>
      </c>
      <c r="H2211" s="53">
        <v>1.0</v>
      </c>
      <c r="I2211" s="53">
        <v>0.24855491329479767</v>
      </c>
      <c r="J2211" s="53">
        <v>4.0</v>
      </c>
      <c r="K2211" s="53" t="s">
        <v>53</v>
      </c>
      <c r="L2211" s="53" t="s">
        <v>53</v>
      </c>
    </row>
    <row r="2212" ht="15.75" customHeight="1">
      <c r="A2212" s="53" t="s">
        <v>411</v>
      </c>
      <c r="B2212" s="53" t="s">
        <v>2789</v>
      </c>
      <c r="D2212" s="53" t="s">
        <v>2954</v>
      </c>
      <c r="E2212" s="53" t="s">
        <v>3476</v>
      </c>
      <c r="F2212" s="53" t="s">
        <v>2882</v>
      </c>
      <c r="G2212" s="53" t="s">
        <v>2923</v>
      </c>
      <c r="H2212" s="53">
        <v>1.0</v>
      </c>
      <c r="I2212" s="53">
        <v>0.25</v>
      </c>
      <c r="J2212" s="53">
        <v>8.0</v>
      </c>
      <c r="K2212" s="53" t="s">
        <v>53</v>
      </c>
      <c r="L2212" s="53" t="s">
        <v>53</v>
      </c>
    </row>
    <row r="2213" ht="15.75" customHeight="1">
      <c r="A2213" s="53" t="s">
        <v>411</v>
      </c>
      <c r="B2213" s="53" t="s">
        <v>2789</v>
      </c>
      <c r="D2213" s="53" t="s">
        <v>2954</v>
      </c>
      <c r="E2213" s="53" t="s">
        <v>3477</v>
      </c>
      <c r="F2213" s="53" t="s">
        <v>2882</v>
      </c>
      <c r="G2213" s="53" t="s">
        <v>2919</v>
      </c>
      <c r="H2213" s="53">
        <v>1.0</v>
      </c>
      <c r="I2213" s="53">
        <v>0.25157232704402516</v>
      </c>
      <c r="J2213" s="53">
        <v>9.0</v>
      </c>
      <c r="K2213" s="53" t="s">
        <v>53</v>
      </c>
      <c r="L2213" s="53" t="s">
        <v>53</v>
      </c>
    </row>
    <row r="2214" ht="15.75" customHeight="1">
      <c r="A2214" s="53" t="s">
        <v>411</v>
      </c>
      <c r="B2214" s="53" t="s">
        <v>2789</v>
      </c>
      <c r="D2214" s="53" t="s">
        <v>2954</v>
      </c>
      <c r="E2214" s="53" t="s">
        <v>3478</v>
      </c>
      <c r="F2214" s="53" t="s">
        <v>2882</v>
      </c>
      <c r="G2214" s="53" t="s">
        <v>2917</v>
      </c>
      <c r="H2214" s="53">
        <v>1.0</v>
      </c>
      <c r="I2214" s="53">
        <v>0.25165562913907286</v>
      </c>
      <c r="J2214" s="53">
        <v>16.0</v>
      </c>
      <c r="K2214" s="53" t="s">
        <v>53</v>
      </c>
      <c r="L2214" s="53" t="s">
        <v>53</v>
      </c>
    </row>
    <row r="2215" ht="15.75" customHeight="1">
      <c r="A2215" s="53" t="s">
        <v>411</v>
      </c>
      <c r="B2215" s="53" t="s">
        <v>2789</v>
      </c>
      <c r="D2215" s="53" t="s">
        <v>2954</v>
      </c>
      <c r="E2215" s="53" t="s">
        <v>3479</v>
      </c>
      <c r="F2215" s="53" t="s">
        <v>2882</v>
      </c>
      <c r="G2215" s="53" t="s">
        <v>2927</v>
      </c>
      <c r="H2215" s="53">
        <v>1.0</v>
      </c>
      <c r="I2215" s="53">
        <v>0.25477707006369427</v>
      </c>
      <c r="J2215" s="53">
        <v>11.0</v>
      </c>
      <c r="K2215" s="53" t="s">
        <v>53</v>
      </c>
      <c r="L2215" s="53" t="s">
        <v>53</v>
      </c>
    </row>
    <row r="2216" ht="15.75" customHeight="1">
      <c r="A2216" s="53" t="s">
        <v>411</v>
      </c>
      <c r="B2216" s="53" t="s">
        <v>2789</v>
      </c>
      <c r="D2216" s="53" t="s">
        <v>2954</v>
      </c>
      <c r="E2216" s="53" t="s">
        <v>3480</v>
      </c>
      <c r="F2216" s="53" t="s">
        <v>2882</v>
      </c>
      <c r="G2216" s="53" t="s">
        <v>2921</v>
      </c>
      <c r="H2216" s="53">
        <v>1.0</v>
      </c>
      <c r="I2216" s="53">
        <v>0.25477707006369427</v>
      </c>
      <c r="J2216" s="53">
        <v>10.0</v>
      </c>
      <c r="K2216" s="53" t="s">
        <v>53</v>
      </c>
      <c r="L2216" s="53" t="s">
        <v>53</v>
      </c>
    </row>
    <row r="2217" ht="15.75" customHeight="1">
      <c r="A2217" s="53" t="s">
        <v>411</v>
      </c>
      <c r="B2217" s="53" t="s">
        <v>2789</v>
      </c>
      <c r="D2217" s="53" t="s">
        <v>2954</v>
      </c>
      <c r="E2217" s="53" t="s">
        <v>3481</v>
      </c>
      <c r="F2217" s="53" t="s">
        <v>2882</v>
      </c>
      <c r="G2217" s="53" t="s">
        <v>2929</v>
      </c>
      <c r="H2217" s="53">
        <v>1.0</v>
      </c>
      <c r="I2217" s="53">
        <v>0.2608695652173913</v>
      </c>
      <c r="J2217" s="53">
        <v>12.0</v>
      </c>
      <c r="K2217" s="53" t="s">
        <v>53</v>
      </c>
      <c r="L2217" s="53" t="s">
        <v>53</v>
      </c>
    </row>
    <row r="2218" ht="15.75" customHeight="1">
      <c r="A2218" s="53" t="s">
        <v>411</v>
      </c>
      <c r="B2218" s="53" t="s">
        <v>2789</v>
      </c>
      <c r="D2218" s="53" t="s">
        <v>2954</v>
      </c>
      <c r="E2218" s="53" t="s">
        <v>3482</v>
      </c>
      <c r="F2218" s="53" t="s">
        <v>2882</v>
      </c>
      <c r="G2218" s="53" t="s">
        <v>2950</v>
      </c>
      <c r="H2218" s="53">
        <v>1.0</v>
      </c>
      <c r="I2218" s="53">
        <v>0.2754491017964072</v>
      </c>
      <c r="J2218" s="53">
        <v>2.0</v>
      </c>
      <c r="K2218" s="53" t="s">
        <v>53</v>
      </c>
      <c r="L2218" s="53" t="s">
        <v>53</v>
      </c>
    </row>
    <row r="2219" ht="15.75" customHeight="1">
      <c r="A2219" s="53" t="s">
        <v>411</v>
      </c>
      <c r="B2219" s="53" t="s">
        <v>2789</v>
      </c>
      <c r="D2219" s="53" t="s">
        <v>2954</v>
      </c>
      <c r="E2219" s="53" t="s">
        <v>3483</v>
      </c>
      <c r="F2219" s="53" t="s">
        <v>2882</v>
      </c>
      <c r="G2219" s="53" t="s">
        <v>2933</v>
      </c>
      <c r="H2219" s="53">
        <v>1.0</v>
      </c>
      <c r="I2219" s="53">
        <v>0.27976190476190477</v>
      </c>
      <c r="J2219" s="53">
        <v>13.0</v>
      </c>
      <c r="K2219" s="53" t="s">
        <v>53</v>
      </c>
      <c r="L2219" s="53" t="s">
        <v>53</v>
      </c>
    </row>
    <row r="2220" ht="15.75" customHeight="1">
      <c r="A2220" s="53" t="s">
        <v>411</v>
      </c>
      <c r="B2220" s="53" t="s">
        <v>2789</v>
      </c>
      <c r="D2220" s="53" t="s">
        <v>2954</v>
      </c>
      <c r="E2220" s="53" t="s">
        <v>3484</v>
      </c>
      <c r="F2220" s="53" t="s">
        <v>2882</v>
      </c>
      <c r="G2220" s="53" t="s">
        <v>2944</v>
      </c>
      <c r="H2220" s="53">
        <v>1.0</v>
      </c>
      <c r="I2220" s="53">
        <v>0.28994082840236685</v>
      </c>
      <c r="J2220" s="53">
        <v>5.0</v>
      </c>
      <c r="K2220" s="53" t="s">
        <v>53</v>
      </c>
      <c r="L2220" s="53" t="s">
        <v>53</v>
      </c>
    </row>
    <row r="2221" ht="15.75" customHeight="1">
      <c r="A2221" s="53" t="s">
        <v>411</v>
      </c>
      <c r="B2221" s="53" t="s">
        <v>2789</v>
      </c>
      <c r="D2221" s="53" t="s">
        <v>2905</v>
      </c>
      <c r="E2221" s="53" t="s">
        <v>3485</v>
      </c>
      <c r="F2221" s="53" t="s">
        <v>2882</v>
      </c>
      <c r="G2221" s="53" t="s">
        <v>2907</v>
      </c>
      <c r="H2221" s="53">
        <v>1.0</v>
      </c>
      <c r="I2221" s="53">
        <v>0.09523809523809523</v>
      </c>
      <c r="J2221" s="53">
        <v>14.0</v>
      </c>
      <c r="K2221" s="53" t="s">
        <v>53</v>
      </c>
      <c r="L2221" s="53" t="s">
        <v>53</v>
      </c>
    </row>
    <row r="2222" ht="15.75" customHeight="1">
      <c r="A2222" s="53" t="s">
        <v>411</v>
      </c>
      <c r="B2222" s="53" t="s">
        <v>2789</v>
      </c>
      <c r="D2222" s="53" t="s">
        <v>2905</v>
      </c>
      <c r="E2222" s="53" t="s">
        <v>3486</v>
      </c>
      <c r="F2222" s="53" t="s">
        <v>2882</v>
      </c>
      <c r="G2222" s="53" t="s">
        <v>2917</v>
      </c>
      <c r="H2222" s="53">
        <v>1.0</v>
      </c>
      <c r="I2222" s="53">
        <v>0.11258278145695365</v>
      </c>
      <c r="J2222" s="53">
        <v>15.0</v>
      </c>
      <c r="K2222" s="53" t="s">
        <v>53</v>
      </c>
      <c r="L2222" s="53" t="s">
        <v>53</v>
      </c>
    </row>
    <row r="2223" ht="15.75" customHeight="1">
      <c r="A2223" s="53" t="s">
        <v>411</v>
      </c>
      <c r="B2223" s="53" t="s">
        <v>2789</v>
      </c>
      <c r="D2223" s="53" t="s">
        <v>2905</v>
      </c>
      <c r="E2223" s="53" t="s">
        <v>3487</v>
      </c>
      <c r="F2223" s="53" t="s">
        <v>2882</v>
      </c>
      <c r="G2223" s="53" t="s">
        <v>2915</v>
      </c>
      <c r="H2223" s="53">
        <v>1.0</v>
      </c>
      <c r="I2223" s="53">
        <v>0.11764705882352941</v>
      </c>
      <c r="J2223" s="53">
        <v>6.0</v>
      </c>
      <c r="K2223" s="53" t="s">
        <v>53</v>
      </c>
      <c r="L2223" s="53" t="s">
        <v>53</v>
      </c>
    </row>
    <row r="2224" ht="15.75" customHeight="1">
      <c r="A2224" s="53" t="s">
        <v>411</v>
      </c>
      <c r="B2224" s="53" t="s">
        <v>2789</v>
      </c>
      <c r="D2224" s="53" t="s">
        <v>2905</v>
      </c>
      <c r="E2224" s="53" t="s">
        <v>3488</v>
      </c>
      <c r="F2224" s="53" t="s">
        <v>2882</v>
      </c>
      <c r="G2224" s="53" t="s">
        <v>2923</v>
      </c>
      <c r="H2224" s="53">
        <v>1.0</v>
      </c>
      <c r="I2224" s="53">
        <v>0.1282051282051282</v>
      </c>
      <c r="J2224" s="53">
        <v>7.0</v>
      </c>
      <c r="K2224" s="53" t="s">
        <v>53</v>
      </c>
      <c r="L2224" s="53" t="s">
        <v>53</v>
      </c>
    </row>
    <row r="2225" ht="15.75" customHeight="1">
      <c r="A2225" s="53" t="s">
        <v>411</v>
      </c>
      <c r="B2225" s="53" t="s">
        <v>2789</v>
      </c>
      <c r="D2225" s="53" t="s">
        <v>2905</v>
      </c>
      <c r="E2225" s="53" t="s">
        <v>3489</v>
      </c>
      <c r="F2225" s="53" t="s">
        <v>2882</v>
      </c>
      <c r="G2225" s="53" t="s">
        <v>2927</v>
      </c>
      <c r="H2225" s="53">
        <v>1.0</v>
      </c>
      <c r="I2225" s="53">
        <v>0.14012738853503184</v>
      </c>
      <c r="J2225" s="53">
        <v>10.0</v>
      </c>
      <c r="K2225" s="53" t="s">
        <v>53</v>
      </c>
      <c r="L2225" s="53" t="s">
        <v>53</v>
      </c>
    </row>
    <row r="2226" ht="15.75" customHeight="1">
      <c r="A2226" s="53" t="s">
        <v>411</v>
      </c>
      <c r="B2226" s="53" t="s">
        <v>2789</v>
      </c>
      <c r="D2226" s="53" t="s">
        <v>2905</v>
      </c>
      <c r="E2226" s="53" t="s">
        <v>3490</v>
      </c>
      <c r="F2226" s="53" t="s">
        <v>2882</v>
      </c>
      <c r="G2226" s="53" t="s">
        <v>2929</v>
      </c>
      <c r="H2226" s="53">
        <v>1.0</v>
      </c>
      <c r="I2226" s="53">
        <v>0.14285714285714285</v>
      </c>
      <c r="J2226" s="53">
        <v>11.0</v>
      </c>
      <c r="K2226" s="53" t="s">
        <v>53</v>
      </c>
      <c r="L2226" s="53" t="s">
        <v>53</v>
      </c>
    </row>
    <row r="2227" ht="15.75" customHeight="1">
      <c r="A2227" s="53" t="s">
        <v>411</v>
      </c>
      <c r="B2227" s="53" t="s">
        <v>2789</v>
      </c>
      <c r="D2227" s="53" t="s">
        <v>2905</v>
      </c>
      <c r="E2227" s="53" t="s">
        <v>3491</v>
      </c>
      <c r="F2227" s="53" t="s">
        <v>2882</v>
      </c>
      <c r="G2227" s="53" t="s">
        <v>2919</v>
      </c>
      <c r="H2227" s="53">
        <v>1.0</v>
      </c>
      <c r="I2227" s="53">
        <v>0.14465408805031446</v>
      </c>
      <c r="J2227" s="53">
        <v>8.0</v>
      </c>
      <c r="K2227" s="53" t="s">
        <v>53</v>
      </c>
      <c r="L2227" s="53" t="s">
        <v>53</v>
      </c>
    </row>
    <row r="2228" ht="15.75" customHeight="1">
      <c r="A2228" s="53" t="s">
        <v>411</v>
      </c>
      <c r="B2228" s="53" t="s">
        <v>2789</v>
      </c>
      <c r="D2228" s="53" t="s">
        <v>2905</v>
      </c>
      <c r="E2228" s="53" t="s">
        <v>3492</v>
      </c>
      <c r="F2228" s="53" t="s">
        <v>2882</v>
      </c>
      <c r="G2228" s="53" t="s">
        <v>2921</v>
      </c>
      <c r="H2228" s="53">
        <v>1.0</v>
      </c>
      <c r="I2228" s="53">
        <v>0.1464968152866242</v>
      </c>
      <c r="J2228" s="53">
        <v>9.0</v>
      </c>
      <c r="K2228" s="53" t="s">
        <v>53</v>
      </c>
      <c r="L2228" s="53" t="s">
        <v>53</v>
      </c>
    </row>
    <row r="2229" ht="15.75" customHeight="1">
      <c r="A2229" s="53" t="s">
        <v>411</v>
      </c>
      <c r="B2229" s="53" t="s">
        <v>2789</v>
      </c>
      <c r="D2229" s="53" t="s">
        <v>2905</v>
      </c>
      <c r="E2229" s="53" t="s">
        <v>3493</v>
      </c>
      <c r="F2229" s="53" t="s">
        <v>2882</v>
      </c>
      <c r="G2229" s="53" t="s">
        <v>2925</v>
      </c>
      <c r="H2229" s="53">
        <v>1.0</v>
      </c>
      <c r="I2229" s="53">
        <v>0.1509433962264151</v>
      </c>
      <c r="J2229" s="53">
        <v>13.0</v>
      </c>
      <c r="K2229" s="53" t="s">
        <v>53</v>
      </c>
      <c r="L2229" s="53" t="s">
        <v>53</v>
      </c>
    </row>
    <row r="2230" ht="15.75" customHeight="1">
      <c r="A2230" s="53" t="s">
        <v>411</v>
      </c>
      <c r="B2230" s="53" t="s">
        <v>2789</v>
      </c>
      <c r="D2230" s="53" t="s">
        <v>2905</v>
      </c>
      <c r="E2230" s="53" t="s">
        <v>3494</v>
      </c>
      <c r="F2230" s="53" t="s">
        <v>2882</v>
      </c>
      <c r="G2230" s="53" t="s">
        <v>2931</v>
      </c>
      <c r="H2230" s="53">
        <v>1.0</v>
      </c>
      <c r="I2230" s="53">
        <v>0.15625</v>
      </c>
      <c r="J2230" s="53">
        <v>5.0</v>
      </c>
      <c r="K2230" s="53" t="s">
        <v>53</v>
      </c>
      <c r="L2230" s="53" t="s">
        <v>53</v>
      </c>
    </row>
    <row r="2231" ht="15.75" customHeight="1">
      <c r="A2231" s="53" t="s">
        <v>411</v>
      </c>
      <c r="B2231" s="53" t="s">
        <v>2789</v>
      </c>
      <c r="D2231" s="53" t="s">
        <v>2905</v>
      </c>
      <c r="E2231" s="53" t="s">
        <v>3495</v>
      </c>
      <c r="F2231" s="53" t="s">
        <v>2882</v>
      </c>
      <c r="G2231" s="53" t="s">
        <v>2933</v>
      </c>
      <c r="H2231" s="53">
        <v>1.0</v>
      </c>
      <c r="I2231" s="53">
        <v>0.18452380952380953</v>
      </c>
      <c r="J2231" s="53">
        <v>12.0</v>
      </c>
      <c r="K2231" s="53" t="s">
        <v>53</v>
      </c>
      <c r="L2231" s="53" t="s">
        <v>53</v>
      </c>
    </row>
    <row r="2232" ht="15.75" customHeight="1">
      <c r="A2232" s="53" t="s">
        <v>411</v>
      </c>
      <c r="B2232" s="53" t="s">
        <v>2789</v>
      </c>
      <c r="D2232" s="53" t="s">
        <v>2905</v>
      </c>
      <c r="E2232" s="53" t="s">
        <v>3496</v>
      </c>
      <c r="F2232" s="53" t="s">
        <v>2882</v>
      </c>
      <c r="G2232" s="53" t="s">
        <v>2940</v>
      </c>
      <c r="H2232" s="53">
        <v>1.0</v>
      </c>
      <c r="I2232" s="53">
        <v>0.1875</v>
      </c>
      <c r="J2232" s="53">
        <v>0.0</v>
      </c>
      <c r="K2232" s="53" t="s">
        <v>53</v>
      </c>
      <c r="L2232" s="53" t="s">
        <v>53</v>
      </c>
    </row>
    <row r="2233" ht="15.75" customHeight="1">
      <c r="A2233" s="53" t="s">
        <v>411</v>
      </c>
      <c r="B2233" s="53" t="s">
        <v>2789</v>
      </c>
      <c r="D2233" s="53" t="s">
        <v>2905</v>
      </c>
      <c r="E2233" s="53" t="s">
        <v>3497</v>
      </c>
      <c r="F2233" s="53" t="s">
        <v>2882</v>
      </c>
      <c r="G2233" s="53" t="s">
        <v>2935</v>
      </c>
      <c r="H2233" s="53">
        <v>1.0</v>
      </c>
      <c r="I2233" s="53">
        <v>0.1949685534591195</v>
      </c>
      <c r="J2233" s="53">
        <v>2.0</v>
      </c>
      <c r="K2233" s="53" t="s">
        <v>53</v>
      </c>
      <c r="L2233" s="53" t="s">
        <v>53</v>
      </c>
    </row>
    <row r="2234" ht="15.75" customHeight="1">
      <c r="A2234" s="53" t="s">
        <v>411</v>
      </c>
      <c r="B2234" s="53" t="s">
        <v>2789</v>
      </c>
      <c r="D2234" s="53" t="s">
        <v>2905</v>
      </c>
      <c r="E2234" s="53" t="s">
        <v>3498</v>
      </c>
      <c r="F2234" s="53" t="s">
        <v>2882</v>
      </c>
      <c r="G2234" s="53" t="s">
        <v>2937</v>
      </c>
      <c r="H2234" s="53">
        <v>1.0</v>
      </c>
      <c r="I2234" s="53">
        <v>0.2</v>
      </c>
      <c r="J2234" s="53">
        <v>20.0</v>
      </c>
      <c r="K2234" s="53" t="s">
        <v>53</v>
      </c>
      <c r="L2234" s="53" t="s">
        <v>53</v>
      </c>
    </row>
    <row r="2235" ht="15.75" customHeight="1">
      <c r="A2235" s="53" t="s">
        <v>411</v>
      </c>
      <c r="B2235" s="53" t="s">
        <v>2789</v>
      </c>
      <c r="D2235" s="53" t="s">
        <v>2905</v>
      </c>
      <c r="E2235" s="53" t="s">
        <v>3499</v>
      </c>
      <c r="F2235" s="53" t="s">
        <v>2882</v>
      </c>
      <c r="G2235" s="53" t="s">
        <v>2950</v>
      </c>
      <c r="H2235" s="53">
        <v>1.0</v>
      </c>
      <c r="I2235" s="53">
        <v>0.2155688622754491</v>
      </c>
      <c r="J2235" s="53">
        <v>1.0</v>
      </c>
      <c r="K2235" s="53" t="s">
        <v>53</v>
      </c>
      <c r="L2235" s="53" t="s">
        <v>53</v>
      </c>
    </row>
    <row r="2236" ht="15.75" customHeight="1">
      <c r="A2236" s="53" t="s">
        <v>411</v>
      </c>
      <c r="B2236" s="53" t="s">
        <v>2789</v>
      </c>
      <c r="D2236" s="53" t="s">
        <v>2905</v>
      </c>
      <c r="E2236" s="53" t="s">
        <v>3500</v>
      </c>
      <c r="F2236" s="53" t="s">
        <v>2882</v>
      </c>
      <c r="G2236" s="53" t="s">
        <v>2942</v>
      </c>
      <c r="H2236" s="53">
        <v>1.0</v>
      </c>
      <c r="I2236" s="53">
        <v>0.22297297297297297</v>
      </c>
      <c r="J2236" s="53">
        <v>21.0</v>
      </c>
      <c r="K2236" s="53" t="s">
        <v>53</v>
      </c>
      <c r="L2236" s="53" t="s">
        <v>53</v>
      </c>
    </row>
    <row r="2237" ht="15.75" customHeight="1">
      <c r="A2237" s="53" t="s">
        <v>411</v>
      </c>
      <c r="B2237" s="53" t="s">
        <v>2789</v>
      </c>
      <c r="D2237" s="53" t="s">
        <v>2905</v>
      </c>
      <c r="E2237" s="53" t="s">
        <v>3501</v>
      </c>
      <c r="F2237" s="53" t="s">
        <v>2882</v>
      </c>
      <c r="G2237" s="53" t="s">
        <v>2948</v>
      </c>
      <c r="H2237" s="53">
        <v>1.0</v>
      </c>
      <c r="I2237" s="53">
        <v>0.23333333333333334</v>
      </c>
      <c r="J2237" s="53">
        <v>19.0</v>
      </c>
      <c r="K2237" s="53" t="s">
        <v>53</v>
      </c>
      <c r="L2237" s="53" t="s">
        <v>53</v>
      </c>
    </row>
    <row r="2238" ht="15.75" customHeight="1">
      <c r="A2238" s="53" t="s">
        <v>411</v>
      </c>
      <c r="B2238" s="53" t="s">
        <v>2789</v>
      </c>
      <c r="D2238" s="53" t="s">
        <v>2905</v>
      </c>
      <c r="E2238" s="53" t="s">
        <v>3502</v>
      </c>
      <c r="F2238" s="53" t="s">
        <v>2882</v>
      </c>
      <c r="G2238" s="53" t="s">
        <v>2944</v>
      </c>
      <c r="H2238" s="53">
        <v>1.0</v>
      </c>
      <c r="I2238" s="53">
        <v>0.23668639053254437</v>
      </c>
      <c r="J2238" s="53">
        <v>4.0</v>
      </c>
      <c r="K2238" s="53" t="s">
        <v>53</v>
      </c>
      <c r="L2238" s="53" t="s">
        <v>53</v>
      </c>
    </row>
    <row r="2239" ht="15.75" customHeight="1">
      <c r="A2239" s="53" t="s">
        <v>411</v>
      </c>
      <c r="B2239" s="53" t="s">
        <v>2789</v>
      </c>
      <c r="D2239" s="53" t="s">
        <v>2905</v>
      </c>
      <c r="E2239" s="53" t="s">
        <v>3503</v>
      </c>
      <c r="F2239" s="53" t="s">
        <v>2882</v>
      </c>
      <c r="G2239" s="53" t="s">
        <v>485</v>
      </c>
      <c r="H2239" s="53">
        <v>1.0</v>
      </c>
      <c r="I2239" s="53">
        <v>0.25</v>
      </c>
      <c r="J2239" s="53">
        <v>16.0</v>
      </c>
      <c r="K2239" s="53" t="s">
        <v>53</v>
      </c>
      <c r="L2239" s="53" t="s">
        <v>53</v>
      </c>
    </row>
    <row r="2240" ht="15.75" customHeight="1">
      <c r="A2240" s="53" t="s">
        <v>411</v>
      </c>
      <c r="B2240" s="53" t="s">
        <v>2789</v>
      </c>
      <c r="D2240" s="53" t="s">
        <v>2905</v>
      </c>
      <c r="E2240" s="53" t="s">
        <v>3504</v>
      </c>
      <c r="F2240" s="53" t="s">
        <v>2882</v>
      </c>
      <c r="G2240" s="53" t="s">
        <v>474</v>
      </c>
      <c r="H2240" s="53">
        <v>1.0</v>
      </c>
      <c r="I2240" s="53">
        <v>0.2597402597402597</v>
      </c>
      <c r="J2240" s="53">
        <v>17.0</v>
      </c>
      <c r="K2240" s="53" t="s">
        <v>53</v>
      </c>
      <c r="L2240" s="53" t="s">
        <v>53</v>
      </c>
    </row>
    <row r="2241" ht="15.75" customHeight="1">
      <c r="A2241" s="53" t="s">
        <v>411</v>
      </c>
      <c r="B2241" s="53" t="s">
        <v>2789</v>
      </c>
      <c r="D2241" s="53" t="s">
        <v>2905</v>
      </c>
      <c r="E2241" s="53" t="s">
        <v>3505</v>
      </c>
      <c r="F2241" s="53" t="s">
        <v>2882</v>
      </c>
      <c r="G2241" s="53" t="s">
        <v>495</v>
      </c>
      <c r="H2241" s="53">
        <v>1.0</v>
      </c>
      <c r="I2241" s="53">
        <v>0.2602739726027397</v>
      </c>
      <c r="J2241" s="53">
        <v>18.0</v>
      </c>
      <c r="K2241" s="53" t="s">
        <v>53</v>
      </c>
      <c r="L2241" s="53" t="s">
        <v>53</v>
      </c>
    </row>
    <row r="2242" ht="15.75" customHeight="1">
      <c r="A2242" s="53" t="s">
        <v>411</v>
      </c>
      <c r="B2242" s="53" t="s">
        <v>2789</v>
      </c>
      <c r="D2242" s="53" t="s">
        <v>2905</v>
      </c>
      <c r="E2242" s="53" t="s">
        <v>3506</v>
      </c>
      <c r="F2242" s="53" t="s">
        <v>2882</v>
      </c>
      <c r="G2242" s="53" t="s">
        <v>2957</v>
      </c>
      <c r="H2242" s="53">
        <v>1.0</v>
      </c>
      <c r="I2242" s="53">
        <v>0.27167630057803466</v>
      </c>
      <c r="J2242" s="53">
        <v>3.0</v>
      </c>
      <c r="K2242" s="53" t="s">
        <v>53</v>
      </c>
      <c r="L2242" s="53" t="s">
        <v>53</v>
      </c>
    </row>
    <row r="2243" ht="15.75" customHeight="1">
      <c r="A2243" s="53" t="s">
        <v>411</v>
      </c>
      <c r="B2243" s="53" t="s">
        <v>2789</v>
      </c>
      <c r="D2243" s="53" t="s">
        <v>2940</v>
      </c>
      <c r="E2243" s="53" t="s">
        <v>3507</v>
      </c>
      <c r="F2243" s="53" t="s">
        <v>2882</v>
      </c>
      <c r="G2243" s="53" t="s">
        <v>2942</v>
      </c>
      <c r="H2243" s="53">
        <v>1.0</v>
      </c>
      <c r="I2243" s="53">
        <v>0.1891891891891892</v>
      </c>
      <c r="J2243" s="53">
        <v>20.0</v>
      </c>
      <c r="K2243" s="53" t="s">
        <v>53</v>
      </c>
      <c r="L2243" s="53" t="s">
        <v>53</v>
      </c>
    </row>
    <row r="2244" ht="15.75" customHeight="1">
      <c r="A2244" s="53" t="s">
        <v>411</v>
      </c>
      <c r="B2244" s="53" t="s">
        <v>2789</v>
      </c>
      <c r="D2244" s="53" t="s">
        <v>2940</v>
      </c>
      <c r="E2244" s="53" t="s">
        <v>3508</v>
      </c>
      <c r="F2244" s="53" t="s">
        <v>2882</v>
      </c>
      <c r="G2244" s="53" t="s">
        <v>485</v>
      </c>
      <c r="H2244" s="53">
        <v>1.0</v>
      </c>
      <c r="I2244" s="53">
        <v>0.19736842105263158</v>
      </c>
      <c r="J2244" s="53">
        <v>15.0</v>
      </c>
      <c r="K2244" s="53" t="s">
        <v>53</v>
      </c>
      <c r="L2244" s="53" t="s">
        <v>53</v>
      </c>
    </row>
    <row r="2245" ht="15.75" customHeight="1">
      <c r="A2245" s="53" t="s">
        <v>411</v>
      </c>
      <c r="B2245" s="53" t="s">
        <v>2789</v>
      </c>
      <c r="D2245" s="53" t="s">
        <v>2940</v>
      </c>
      <c r="E2245" s="53" t="s">
        <v>3509</v>
      </c>
      <c r="F2245" s="53" t="s">
        <v>2882</v>
      </c>
      <c r="G2245" s="53" t="s">
        <v>2948</v>
      </c>
      <c r="H2245" s="53">
        <v>1.0</v>
      </c>
      <c r="I2245" s="53">
        <v>0.2</v>
      </c>
      <c r="J2245" s="53">
        <v>18.0</v>
      </c>
      <c r="K2245" s="53" t="s">
        <v>53</v>
      </c>
      <c r="L2245" s="53" t="s">
        <v>53</v>
      </c>
    </row>
    <row r="2246" ht="15.75" customHeight="1">
      <c r="A2246" s="53" t="s">
        <v>411</v>
      </c>
      <c r="B2246" s="53" t="s">
        <v>2789</v>
      </c>
      <c r="D2246" s="53" t="s">
        <v>2940</v>
      </c>
      <c r="E2246" s="53" t="s">
        <v>3510</v>
      </c>
      <c r="F2246" s="53" t="s">
        <v>2882</v>
      </c>
      <c r="G2246" s="53" t="s">
        <v>474</v>
      </c>
      <c r="H2246" s="53">
        <v>1.0</v>
      </c>
      <c r="I2246" s="53">
        <v>0.2012987012987013</v>
      </c>
      <c r="J2246" s="53">
        <v>16.0</v>
      </c>
      <c r="K2246" s="53" t="s">
        <v>53</v>
      </c>
      <c r="L2246" s="53" t="s">
        <v>53</v>
      </c>
    </row>
    <row r="2247" ht="15.75" customHeight="1">
      <c r="A2247" s="53" t="s">
        <v>411</v>
      </c>
      <c r="B2247" s="53" t="s">
        <v>2789</v>
      </c>
      <c r="D2247" s="53" t="s">
        <v>2940</v>
      </c>
      <c r="E2247" s="53" t="s">
        <v>3511</v>
      </c>
      <c r="F2247" s="53" t="s">
        <v>2882</v>
      </c>
      <c r="G2247" s="53" t="s">
        <v>2907</v>
      </c>
      <c r="H2247" s="53">
        <v>1.0</v>
      </c>
      <c r="I2247" s="53">
        <v>0.20408163265306123</v>
      </c>
      <c r="J2247" s="53">
        <v>13.0</v>
      </c>
      <c r="K2247" s="53" t="s">
        <v>53</v>
      </c>
      <c r="L2247" s="53" t="s">
        <v>53</v>
      </c>
    </row>
    <row r="2248" ht="15.75" customHeight="1">
      <c r="A2248" s="53" t="s">
        <v>411</v>
      </c>
      <c r="B2248" s="53" t="s">
        <v>2789</v>
      </c>
      <c r="D2248" s="53" t="s">
        <v>2940</v>
      </c>
      <c r="E2248" s="53" t="s">
        <v>3512</v>
      </c>
      <c r="F2248" s="53" t="s">
        <v>2882</v>
      </c>
      <c r="G2248" s="53" t="s">
        <v>2915</v>
      </c>
      <c r="H2248" s="53">
        <v>1.0</v>
      </c>
      <c r="I2248" s="53">
        <v>0.20915032679738563</v>
      </c>
      <c r="J2248" s="53">
        <v>5.0</v>
      </c>
      <c r="K2248" s="53" t="s">
        <v>53</v>
      </c>
      <c r="L2248" s="53" t="s">
        <v>53</v>
      </c>
    </row>
    <row r="2249" ht="15.75" customHeight="1">
      <c r="A2249" s="53" t="s">
        <v>411</v>
      </c>
      <c r="B2249" s="53" t="s">
        <v>2789</v>
      </c>
      <c r="D2249" s="53" t="s">
        <v>2940</v>
      </c>
      <c r="E2249" s="53" t="s">
        <v>3513</v>
      </c>
      <c r="F2249" s="53" t="s">
        <v>2882</v>
      </c>
      <c r="G2249" s="53" t="s">
        <v>495</v>
      </c>
      <c r="H2249" s="53">
        <v>1.0</v>
      </c>
      <c r="I2249" s="53">
        <v>0.21232876712328766</v>
      </c>
      <c r="J2249" s="53">
        <v>17.0</v>
      </c>
      <c r="K2249" s="53" t="s">
        <v>53</v>
      </c>
      <c r="L2249" s="53" t="s">
        <v>53</v>
      </c>
    </row>
    <row r="2250" ht="15.75" customHeight="1">
      <c r="A2250" s="53" t="s">
        <v>411</v>
      </c>
      <c r="B2250" s="53" t="s">
        <v>2789</v>
      </c>
      <c r="D2250" s="53" t="s">
        <v>2940</v>
      </c>
      <c r="E2250" s="53" t="s">
        <v>3514</v>
      </c>
      <c r="F2250" s="53" t="s">
        <v>2882</v>
      </c>
      <c r="G2250" s="53" t="s">
        <v>2937</v>
      </c>
      <c r="H2250" s="53">
        <v>1.0</v>
      </c>
      <c r="I2250" s="53">
        <v>0.21379310344827587</v>
      </c>
      <c r="J2250" s="53">
        <v>19.0</v>
      </c>
      <c r="K2250" s="53" t="s">
        <v>53</v>
      </c>
      <c r="L2250" s="53" t="s">
        <v>53</v>
      </c>
    </row>
    <row r="2251" ht="15.75" customHeight="1">
      <c r="A2251" s="53" t="s">
        <v>411</v>
      </c>
      <c r="B2251" s="53" t="s">
        <v>2789</v>
      </c>
      <c r="D2251" s="53" t="s">
        <v>2940</v>
      </c>
      <c r="E2251" s="53" t="s">
        <v>3515</v>
      </c>
      <c r="F2251" s="53" t="s">
        <v>2882</v>
      </c>
      <c r="G2251" s="53" t="s">
        <v>2917</v>
      </c>
      <c r="H2251" s="53">
        <v>1.0</v>
      </c>
      <c r="I2251" s="53">
        <v>0.2185430463576159</v>
      </c>
      <c r="J2251" s="53">
        <v>14.0</v>
      </c>
      <c r="K2251" s="53" t="s">
        <v>53</v>
      </c>
      <c r="L2251" s="53" t="s">
        <v>53</v>
      </c>
    </row>
    <row r="2252" ht="15.75" customHeight="1">
      <c r="A2252" s="53" t="s">
        <v>411</v>
      </c>
      <c r="B2252" s="53" t="s">
        <v>2789</v>
      </c>
      <c r="D2252" s="53" t="s">
        <v>2940</v>
      </c>
      <c r="E2252" s="53" t="s">
        <v>3516</v>
      </c>
      <c r="F2252" s="53" t="s">
        <v>2882</v>
      </c>
      <c r="G2252" s="53" t="s">
        <v>2923</v>
      </c>
      <c r="H2252" s="53">
        <v>1.0</v>
      </c>
      <c r="I2252" s="53">
        <v>0.22435897435897437</v>
      </c>
      <c r="J2252" s="53">
        <v>6.0</v>
      </c>
      <c r="K2252" s="53" t="s">
        <v>53</v>
      </c>
      <c r="L2252" s="53" t="s">
        <v>53</v>
      </c>
    </row>
    <row r="2253" ht="15.75" customHeight="1">
      <c r="A2253" s="53" t="s">
        <v>411</v>
      </c>
      <c r="B2253" s="53" t="s">
        <v>2789</v>
      </c>
      <c r="D2253" s="53" t="s">
        <v>2940</v>
      </c>
      <c r="E2253" s="53" t="s">
        <v>3517</v>
      </c>
      <c r="F2253" s="53" t="s">
        <v>2882</v>
      </c>
      <c r="G2253" s="53" t="s">
        <v>2927</v>
      </c>
      <c r="H2253" s="53">
        <v>1.0</v>
      </c>
      <c r="I2253" s="53">
        <v>0.2356687898089172</v>
      </c>
      <c r="J2253" s="53">
        <v>9.0</v>
      </c>
      <c r="K2253" s="53" t="s">
        <v>53</v>
      </c>
      <c r="L2253" s="53" t="s">
        <v>53</v>
      </c>
    </row>
    <row r="2254" ht="15.75" customHeight="1">
      <c r="A2254" s="53" t="s">
        <v>411</v>
      </c>
      <c r="B2254" s="53" t="s">
        <v>2789</v>
      </c>
      <c r="D2254" s="53" t="s">
        <v>2940</v>
      </c>
      <c r="E2254" s="53" t="s">
        <v>3518</v>
      </c>
      <c r="F2254" s="53" t="s">
        <v>2882</v>
      </c>
      <c r="G2254" s="53" t="s">
        <v>2935</v>
      </c>
      <c r="H2254" s="53">
        <v>1.0</v>
      </c>
      <c r="I2254" s="53">
        <v>0.24528301886792453</v>
      </c>
      <c r="J2254" s="53">
        <v>1.0</v>
      </c>
      <c r="K2254" s="53" t="s">
        <v>53</v>
      </c>
      <c r="L2254" s="53" t="s">
        <v>53</v>
      </c>
    </row>
    <row r="2255" ht="15.75" customHeight="1">
      <c r="A2255" s="53" t="s">
        <v>411</v>
      </c>
      <c r="B2255" s="53" t="s">
        <v>2789</v>
      </c>
      <c r="D2255" s="53" t="s">
        <v>2940</v>
      </c>
      <c r="E2255" s="53" t="s">
        <v>3519</v>
      </c>
      <c r="F2255" s="53" t="s">
        <v>2882</v>
      </c>
      <c r="G2255" s="53" t="s">
        <v>2925</v>
      </c>
      <c r="H2255" s="53">
        <v>1.0</v>
      </c>
      <c r="I2255" s="53">
        <v>0.24528301886792453</v>
      </c>
      <c r="J2255" s="53">
        <v>12.0</v>
      </c>
      <c r="K2255" s="53" t="s">
        <v>53</v>
      </c>
      <c r="L2255" s="53" t="s">
        <v>53</v>
      </c>
    </row>
    <row r="2256" ht="15.75" customHeight="1">
      <c r="A2256" s="53" t="s">
        <v>411</v>
      </c>
      <c r="B2256" s="53" t="s">
        <v>2789</v>
      </c>
      <c r="D2256" s="53" t="s">
        <v>2940</v>
      </c>
      <c r="E2256" s="53" t="s">
        <v>3520</v>
      </c>
      <c r="F2256" s="53" t="s">
        <v>2882</v>
      </c>
      <c r="G2256" s="53" t="s">
        <v>2921</v>
      </c>
      <c r="H2256" s="53">
        <v>1.0</v>
      </c>
      <c r="I2256" s="53">
        <v>0.2484076433121019</v>
      </c>
      <c r="J2256" s="53">
        <v>8.0</v>
      </c>
      <c r="K2256" s="53" t="s">
        <v>53</v>
      </c>
      <c r="L2256" s="53" t="s">
        <v>53</v>
      </c>
    </row>
    <row r="2257" ht="15.75" customHeight="1">
      <c r="A2257" s="53" t="s">
        <v>411</v>
      </c>
      <c r="B2257" s="53" t="s">
        <v>2789</v>
      </c>
      <c r="D2257" s="53" t="s">
        <v>2940</v>
      </c>
      <c r="E2257" s="53" t="s">
        <v>3521</v>
      </c>
      <c r="F2257" s="53" t="s">
        <v>2882</v>
      </c>
      <c r="G2257" s="53" t="s">
        <v>2957</v>
      </c>
      <c r="H2257" s="53">
        <v>1.0</v>
      </c>
      <c r="I2257" s="53">
        <v>0.24855491329479767</v>
      </c>
      <c r="J2257" s="53">
        <v>2.0</v>
      </c>
      <c r="K2257" s="53" t="s">
        <v>53</v>
      </c>
      <c r="L2257" s="53" t="s">
        <v>53</v>
      </c>
    </row>
    <row r="2258" ht="15.75" customHeight="1">
      <c r="A2258" s="53" t="s">
        <v>411</v>
      </c>
      <c r="B2258" s="53" t="s">
        <v>2789</v>
      </c>
      <c r="D2258" s="53" t="s">
        <v>2940</v>
      </c>
      <c r="E2258" s="53" t="s">
        <v>3522</v>
      </c>
      <c r="F2258" s="53" t="s">
        <v>2882</v>
      </c>
      <c r="G2258" s="53" t="s">
        <v>2931</v>
      </c>
      <c r="H2258" s="53">
        <v>1.0</v>
      </c>
      <c r="I2258" s="53">
        <v>0.25</v>
      </c>
      <c r="J2258" s="53">
        <v>4.0</v>
      </c>
      <c r="K2258" s="53" t="s">
        <v>53</v>
      </c>
      <c r="L2258" s="53" t="s">
        <v>53</v>
      </c>
    </row>
    <row r="2259" ht="15.75" customHeight="1">
      <c r="A2259" s="53" t="s">
        <v>411</v>
      </c>
      <c r="B2259" s="53" t="s">
        <v>2789</v>
      </c>
      <c r="D2259" s="53" t="s">
        <v>2940</v>
      </c>
      <c r="E2259" s="53" t="s">
        <v>3523</v>
      </c>
      <c r="F2259" s="53" t="s">
        <v>2882</v>
      </c>
      <c r="G2259" s="53" t="s">
        <v>2929</v>
      </c>
      <c r="H2259" s="53">
        <v>1.0</v>
      </c>
      <c r="I2259" s="53">
        <v>0.2546583850931677</v>
      </c>
      <c r="J2259" s="53">
        <v>10.0</v>
      </c>
      <c r="K2259" s="53" t="s">
        <v>53</v>
      </c>
      <c r="L2259" s="53" t="s">
        <v>53</v>
      </c>
    </row>
    <row r="2260" ht="15.75" customHeight="1">
      <c r="A2260" s="53" t="s">
        <v>411</v>
      </c>
      <c r="B2260" s="53" t="s">
        <v>2789</v>
      </c>
      <c r="D2260" s="53" t="s">
        <v>2940</v>
      </c>
      <c r="E2260" s="53" t="s">
        <v>3524</v>
      </c>
      <c r="F2260" s="53" t="s">
        <v>2882</v>
      </c>
      <c r="G2260" s="53" t="s">
        <v>2950</v>
      </c>
      <c r="H2260" s="53">
        <v>1.0</v>
      </c>
      <c r="I2260" s="53">
        <v>0.25748502994011974</v>
      </c>
      <c r="J2260" s="53">
        <v>0.0</v>
      </c>
      <c r="K2260" s="53" t="s">
        <v>53</v>
      </c>
      <c r="L2260" s="53" t="s">
        <v>53</v>
      </c>
    </row>
    <row r="2261" ht="15.75" customHeight="1">
      <c r="A2261" s="53" t="s">
        <v>411</v>
      </c>
      <c r="B2261" s="53" t="s">
        <v>2789</v>
      </c>
      <c r="D2261" s="53" t="s">
        <v>2940</v>
      </c>
      <c r="E2261" s="53" t="s">
        <v>3525</v>
      </c>
      <c r="F2261" s="53" t="s">
        <v>2882</v>
      </c>
      <c r="G2261" s="53" t="s">
        <v>2919</v>
      </c>
      <c r="H2261" s="53">
        <v>1.0</v>
      </c>
      <c r="I2261" s="53">
        <v>0.2578616352201258</v>
      </c>
      <c r="J2261" s="53">
        <v>7.0</v>
      </c>
      <c r="K2261" s="53" t="s">
        <v>53</v>
      </c>
      <c r="L2261" s="53" t="s">
        <v>53</v>
      </c>
    </row>
    <row r="2262" ht="15.75" customHeight="1">
      <c r="A2262" s="53" t="s">
        <v>411</v>
      </c>
      <c r="B2262" s="53" t="s">
        <v>2789</v>
      </c>
      <c r="D2262" s="53" t="s">
        <v>2940</v>
      </c>
      <c r="E2262" s="53" t="s">
        <v>3526</v>
      </c>
      <c r="F2262" s="53" t="s">
        <v>2882</v>
      </c>
      <c r="G2262" s="53" t="s">
        <v>2933</v>
      </c>
      <c r="H2262" s="53">
        <v>1.0</v>
      </c>
      <c r="I2262" s="53">
        <v>0.27976190476190477</v>
      </c>
      <c r="J2262" s="53">
        <v>11.0</v>
      </c>
      <c r="K2262" s="53" t="s">
        <v>53</v>
      </c>
      <c r="L2262" s="53" t="s">
        <v>53</v>
      </c>
    </row>
    <row r="2263" ht="15.75" customHeight="1">
      <c r="A2263" s="53" t="s">
        <v>411</v>
      </c>
      <c r="B2263" s="53" t="s">
        <v>2789</v>
      </c>
      <c r="D2263" s="53" t="s">
        <v>2940</v>
      </c>
      <c r="E2263" s="53" t="s">
        <v>3527</v>
      </c>
      <c r="F2263" s="53" t="s">
        <v>2882</v>
      </c>
      <c r="G2263" s="53" t="s">
        <v>2944</v>
      </c>
      <c r="H2263" s="53">
        <v>1.0</v>
      </c>
      <c r="I2263" s="53">
        <v>0.28994082840236685</v>
      </c>
      <c r="J2263" s="53">
        <v>3.0</v>
      </c>
      <c r="K2263" s="53" t="s">
        <v>53</v>
      </c>
      <c r="L2263" s="53" t="s">
        <v>53</v>
      </c>
    </row>
    <row r="2264" ht="15.75" customHeight="1">
      <c r="A2264" s="53" t="s">
        <v>411</v>
      </c>
      <c r="B2264" s="53" t="s">
        <v>2789</v>
      </c>
      <c r="D2264" s="53" t="s">
        <v>2950</v>
      </c>
      <c r="E2264" s="53" t="s">
        <v>3528</v>
      </c>
      <c r="F2264" s="53" t="s">
        <v>2882</v>
      </c>
      <c r="G2264" s="53" t="s">
        <v>2923</v>
      </c>
      <c r="H2264" s="53">
        <v>1.0</v>
      </c>
      <c r="I2264" s="53">
        <v>0.19161676646706588</v>
      </c>
      <c r="J2264" s="53">
        <v>5.0</v>
      </c>
      <c r="K2264" s="53" t="s">
        <v>53</v>
      </c>
      <c r="L2264" s="53" t="s">
        <v>53</v>
      </c>
    </row>
    <row r="2265" ht="15.75" customHeight="1">
      <c r="A2265" s="53" t="s">
        <v>411</v>
      </c>
      <c r="B2265" s="53" t="s">
        <v>2789</v>
      </c>
      <c r="D2265" s="53" t="s">
        <v>2950</v>
      </c>
      <c r="E2265" s="53" t="s">
        <v>3529</v>
      </c>
      <c r="F2265" s="53" t="s">
        <v>2882</v>
      </c>
      <c r="G2265" s="53" t="s">
        <v>2915</v>
      </c>
      <c r="H2265" s="53">
        <v>1.0</v>
      </c>
      <c r="I2265" s="53">
        <v>0.19161676646706588</v>
      </c>
      <c r="J2265" s="53">
        <v>4.0</v>
      </c>
      <c r="K2265" s="53" t="s">
        <v>53</v>
      </c>
      <c r="L2265" s="53" t="s">
        <v>53</v>
      </c>
    </row>
    <row r="2266" ht="15.75" customHeight="1">
      <c r="A2266" s="53" t="s">
        <v>411</v>
      </c>
      <c r="B2266" s="53" t="s">
        <v>2789</v>
      </c>
      <c r="D2266" s="53" t="s">
        <v>2950</v>
      </c>
      <c r="E2266" s="53" t="s">
        <v>3530</v>
      </c>
      <c r="F2266" s="53" t="s">
        <v>2882</v>
      </c>
      <c r="G2266" s="53" t="s">
        <v>2919</v>
      </c>
      <c r="H2266" s="53">
        <v>1.0</v>
      </c>
      <c r="I2266" s="53">
        <v>0.20958083832335328</v>
      </c>
      <c r="J2266" s="53">
        <v>6.0</v>
      </c>
      <c r="K2266" s="53" t="s">
        <v>53</v>
      </c>
      <c r="L2266" s="53" t="s">
        <v>53</v>
      </c>
    </row>
    <row r="2267" ht="15.75" customHeight="1">
      <c r="A2267" s="53" t="s">
        <v>411</v>
      </c>
      <c r="B2267" s="53" t="s">
        <v>2789</v>
      </c>
      <c r="D2267" s="53" t="s">
        <v>2950</v>
      </c>
      <c r="E2267" s="53" t="s">
        <v>3531</v>
      </c>
      <c r="F2267" s="53" t="s">
        <v>2882</v>
      </c>
      <c r="G2267" s="53" t="s">
        <v>2927</v>
      </c>
      <c r="H2267" s="53">
        <v>1.0</v>
      </c>
      <c r="I2267" s="53">
        <v>0.20958083832335328</v>
      </c>
      <c r="J2267" s="53">
        <v>8.0</v>
      </c>
      <c r="K2267" s="53" t="s">
        <v>53</v>
      </c>
      <c r="L2267" s="53" t="s">
        <v>53</v>
      </c>
    </row>
    <row r="2268" ht="15.75" customHeight="1">
      <c r="A2268" s="53" t="s">
        <v>411</v>
      </c>
      <c r="B2268" s="53" t="s">
        <v>2789</v>
      </c>
      <c r="D2268" s="53" t="s">
        <v>2950</v>
      </c>
      <c r="E2268" s="53" t="s">
        <v>3532</v>
      </c>
      <c r="F2268" s="53" t="s">
        <v>2882</v>
      </c>
      <c r="G2268" s="53" t="s">
        <v>2942</v>
      </c>
      <c r="H2268" s="53">
        <v>1.0</v>
      </c>
      <c r="I2268" s="53">
        <v>0.20958083832335328</v>
      </c>
      <c r="J2268" s="53">
        <v>19.0</v>
      </c>
      <c r="K2268" s="53" t="s">
        <v>53</v>
      </c>
      <c r="L2268" s="53" t="s">
        <v>53</v>
      </c>
    </row>
    <row r="2269" ht="15.75" customHeight="1">
      <c r="A2269" s="53" t="s">
        <v>411</v>
      </c>
      <c r="B2269" s="53" t="s">
        <v>2789</v>
      </c>
      <c r="D2269" s="53" t="s">
        <v>2950</v>
      </c>
      <c r="E2269" s="53" t="s">
        <v>3533</v>
      </c>
      <c r="F2269" s="53" t="s">
        <v>2882</v>
      </c>
      <c r="G2269" s="53" t="s">
        <v>2921</v>
      </c>
      <c r="H2269" s="53">
        <v>1.0</v>
      </c>
      <c r="I2269" s="53">
        <v>0.20958083832335328</v>
      </c>
      <c r="J2269" s="53">
        <v>7.0</v>
      </c>
      <c r="K2269" s="53" t="s">
        <v>53</v>
      </c>
      <c r="L2269" s="53" t="s">
        <v>53</v>
      </c>
    </row>
    <row r="2270" ht="15.75" customHeight="1">
      <c r="A2270" s="53" t="s">
        <v>411</v>
      </c>
      <c r="B2270" s="53" t="s">
        <v>2789</v>
      </c>
      <c r="D2270" s="53" t="s">
        <v>2950</v>
      </c>
      <c r="E2270" s="53" t="s">
        <v>3534</v>
      </c>
      <c r="F2270" s="53" t="s">
        <v>2882</v>
      </c>
      <c r="G2270" s="53" t="s">
        <v>2931</v>
      </c>
      <c r="H2270" s="53">
        <v>1.0</v>
      </c>
      <c r="I2270" s="53">
        <v>0.2155688622754491</v>
      </c>
      <c r="J2270" s="53">
        <v>3.0</v>
      </c>
      <c r="K2270" s="53" t="s">
        <v>53</v>
      </c>
      <c r="L2270" s="53" t="s">
        <v>53</v>
      </c>
    </row>
    <row r="2271" ht="15.75" customHeight="1">
      <c r="A2271" s="53" t="s">
        <v>411</v>
      </c>
      <c r="B2271" s="53" t="s">
        <v>2789</v>
      </c>
      <c r="D2271" s="53" t="s">
        <v>2950</v>
      </c>
      <c r="E2271" s="53" t="s">
        <v>3535</v>
      </c>
      <c r="F2271" s="53" t="s">
        <v>2882</v>
      </c>
      <c r="G2271" s="53" t="s">
        <v>2917</v>
      </c>
      <c r="H2271" s="53">
        <v>1.0</v>
      </c>
      <c r="I2271" s="53">
        <v>0.2155688622754491</v>
      </c>
      <c r="J2271" s="53">
        <v>13.0</v>
      </c>
      <c r="K2271" s="53" t="s">
        <v>53</v>
      </c>
      <c r="L2271" s="53" t="s">
        <v>53</v>
      </c>
    </row>
    <row r="2272" ht="15.75" customHeight="1">
      <c r="A2272" s="53" t="s">
        <v>411</v>
      </c>
      <c r="B2272" s="53" t="s">
        <v>2789</v>
      </c>
      <c r="D2272" s="53" t="s">
        <v>2950</v>
      </c>
      <c r="E2272" s="53" t="s">
        <v>3536</v>
      </c>
      <c r="F2272" s="53" t="s">
        <v>2882</v>
      </c>
      <c r="G2272" s="53" t="s">
        <v>2925</v>
      </c>
      <c r="H2272" s="53">
        <v>1.0</v>
      </c>
      <c r="I2272" s="53">
        <v>0.2155688622754491</v>
      </c>
      <c r="J2272" s="53">
        <v>11.0</v>
      </c>
      <c r="K2272" s="53" t="s">
        <v>53</v>
      </c>
      <c r="L2272" s="53" t="s">
        <v>53</v>
      </c>
    </row>
    <row r="2273" ht="15.75" customHeight="1">
      <c r="A2273" s="53" t="s">
        <v>411</v>
      </c>
      <c r="B2273" s="53" t="s">
        <v>2789</v>
      </c>
      <c r="D2273" s="53" t="s">
        <v>2950</v>
      </c>
      <c r="E2273" s="53" t="s">
        <v>3537</v>
      </c>
      <c r="F2273" s="53" t="s">
        <v>2882</v>
      </c>
      <c r="G2273" s="53" t="s">
        <v>2907</v>
      </c>
      <c r="H2273" s="53">
        <v>1.0</v>
      </c>
      <c r="I2273" s="53">
        <v>0.2215568862275449</v>
      </c>
      <c r="J2273" s="53">
        <v>12.0</v>
      </c>
      <c r="K2273" s="53" t="s">
        <v>53</v>
      </c>
      <c r="L2273" s="53" t="s">
        <v>53</v>
      </c>
    </row>
    <row r="2274" ht="15.75" customHeight="1">
      <c r="A2274" s="53" t="s">
        <v>411</v>
      </c>
      <c r="B2274" s="53" t="s">
        <v>2789</v>
      </c>
      <c r="D2274" s="53" t="s">
        <v>2950</v>
      </c>
      <c r="E2274" s="53" t="s">
        <v>3538</v>
      </c>
      <c r="F2274" s="53" t="s">
        <v>2882</v>
      </c>
      <c r="G2274" s="53" t="s">
        <v>2929</v>
      </c>
      <c r="H2274" s="53">
        <v>1.0</v>
      </c>
      <c r="I2274" s="53">
        <v>0.2215568862275449</v>
      </c>
      <c r="J2274" s="53">
        <v>9.0</v>
      </c>
      <c r="K2274" s="53" t="s">
        <v>53</v>
      </c>
      <c r="L2274" s="53" t="s">
        <v>53</v>
      </c>
    </row>
    <row r="2275" ht="15.75" customHeight="1">
      <c r="A2275" s="53" t="s">
        <v>411</v>
      </c>
      <c r="B2275" s="53" t="s">
        <v>2789</v>
      </c>
      <c r="D2275" s="53" t="s">
        <v>2950</v>
      </c>
      <c r="E2275" s="53" t="s">
        <v>3539</v>
      </c>
      <c r="F2275" s="53" t="s">
        <v>2882</v>
      </c>
      <c r="G2275" s="53" t="s">
        <v>2948</v>
      </c>
      <c r="H2275" s="53">
        <v>1.0</v>
      </c>
      <c r="I2275" s="53">
        <v>0.2275449101796407</v>
      </c>
      <c r="J2275" s="53">
        <v>17.0</v>
      </c>
      <c r="K2275" s="53" t="s">
        <v>53</v>
      </c>
      <c r="L2275" s="53" t="s">
        <v>53</v>
      </c>
    </row>
    <row r="2276" ht="15.75" customHeight="1">
      <c r="A2276" s="53" t="s">
        <v>411</v>
      </c>
      <c r="B2276" s="53" t="s">
        <v>2789</v>
      </c>
      <c r="D2276" s="53" t="s">
        <v>2950</v>
      </c>
      <c r="E2276" s="53" t="s">
        <v>3540</v>
      </c>
      <c r="F2276" s="53" t="s">
        <v>2882</v>
      </c>
      <c r="G2276" s="53" t="s">
        <v>2937</v>
      </c>
      <c r="H2276" s="53">
        <v>1.0</v>
      </c>
      <c r="I2276" s="53">
        <v>0.23353293413173654</v>
      </c>
      <c r="J2276" s="53">
        <v>18.0</v>
      </c>
      <c r="K2276" s="53" t="s">
        <v>53</v>
      </c>
      <c r="L2276" s="53" t="s">
        <v>53</v>
      </c>
    </row>
    <row r="2277" ht="15.75" customHeight="1">
      <c r="A2277" s="53" t="s">
        <v>411</v>
      </c>
      <c r="B2277" s="53" t="s">
        <v>2789</v>
      </c>
      <c r="D2277" s="53" t="s">
        <v>2950</v>
      </c>
      <c r="E2277" s="53" t="s">
        <v>3541</v>
      </c>
      <c r="F2277" s="53" t="s">
        <v>2882</v>
      </c>
      <c r="G2277" s="53" t="s">
        <v>2935</v>
      </c>
      <c r="H2277" s="53">
        <v>1.0</v>
      </c>
      <c r="I2277" s="53">
        <v>0.23952095808383234</v>
      </c>
      <c r="J2277" s="53">
        <v>0.0</v>
      </c>
      <c r="K2277" s="53" t="s">
        <v>53</v>
      </c>
      <c r="L2277" s="53" t="s">
        <v>53</v>
      </c>
    </row>
    <row r="2278" ht="15.75" customHeight="1">
      <c r="A2278" s="53" t="s">
        <v>411</v>
      </c>
      <c r="B2278" s="53" t="s">
        <v>2789</v>
      </c>
      <c r="D2278" s="53" t="s">
        <v>2950</v>
      </c>
      <c r="E2278" s="53" t="s">
        <v>3542</v>
      </c>
      <c r="F2278" s="53" t="s">
        <v>2882</v>
      </c>
      <c r="G2278" s="53" t="s">
        <v>485</v>
      </c>
      <c r="H2278" s="53">
        <v>1.0</v>
      </c>
      <c r="I2278" s="53">
        <v>0.23952095808383234</v>
      </c>
      <c r="J2278" s="53">
        <v>14.0</v>
      </c>
      <c r="K2278" s="53" t="s">
        <v>53</v>
      </c>
      <c r="L2278" s="53" t="s">
        <v>53</v>
      </c>
    </row>
    <row r="2279" ht="15.75" customHeight="1">
      <c r="A2279" s="53" t="s">
        <v>411</v>
      </c>
      <c r="B2279" s="53" t="s">
        <v>2789</v>
      </c>
      <c r="D2279" s="53" t="s">
        <v>2950</v>
      </c>
      <c r="E2279" s="53" t="s">
        <v>3543</v>
      </c>
      <c r="F2279" s="53" t="s">
        <v>2882</v>
      </c>
      <c r="G2279" s="53" t="s">
        <v>2957</v>
      </c>
      <c r="H2279" s="53">
        <v>1.0</v>
      </c>
      <c r="I2279" s="53">
        <v>0.24855491329479767</v>
      </c>
      <c r="J2279" s="53">
        <v>1.0</v>
      </c>
      <c r="K2279" s="53" t="s">
        <v>53</v>
      </c>
      <c r="L2279" s="53" t="s">
        <v>53</v>
      </c>
    </row>
    <row r="2280" ht="15.75" customHeight="1">
      <c r="A2280" s="53" t="s">
        <v>411</v>
      </c>
      <c r="B2280" s="53" t="s">
        <v>2789</v>
      </c>
      <c r="D2280" s="53" t="s">
        <v>2950</v>
      </c>
      <c r="E2280" s="53" t="s">
        <v>3544</v>
      </c>
      <c r="F2280" s="53" t="s">
        <v>2882</v>
      </c>
      <c r="G2280" s="53" t="s">
        <v>2933</v>
      </c>
      <c r="H2280" s="53">
        <v>1.0</v>
      </c>
      <c r="I2280" s="53">
        <v>0.25</v>
      </c>
      <c r="J2280" s="53">
        <v>10.0</v>
      </c>
      <c r="K2280" s="53" t="s">
        <v>53</v>
      </c>
      <c r="L2280" s="53" t="s">
        <v>53</v>
      </c>
    </row>
    <row r="2281" ht="15.75" customHeight="1">
      <c r="A2281" s="53" t="s">
        <v>411</v>
      </c>
      <c r="B2281" s="53" t="s">
        <v>2789</v>
      </c>
      <c r="D2281" s="53" t="s">
        <v>2950</v>
      </c>
      <c r="E2281" s="53" t="s">
        <v>3545</v>
      </c>
      <c r="F2281" s="53" t="s">
        <v>2882</v>
      </c>
      <c r="G2281" s="53" t="s">
        <v>474</v>
      </c>
      <c r="H2281" s="53">
        <v>1.0</v>
      </c>
      <c r="I2281" s="53">
        <v>0.25149700598802394</v>
      </c>
      <c r="J2281" s="53">
        <v>15.0</v>
      </c>
      <c r="K2281" s="53" t="s">
        <v>53</v>
      </c>
      <c r="L2281" s="53" t="s">
        <v>53</v>
      </c>
    </row>
    <row r="2282" ht="15.75" customHeight="1">
      <c r="A2282" s="53" t="s">
        <v>411</v>
      </c>
      <c r="B2282" s="53" t="s">
        <v>2789</v>
      </c>
      <c r="D2282" s="53" t="s">
        <v>2950</v>
      </c>
      <c r="E2282" s="53" t="s">
        <v>3546</v>
      </c>
      <c r="F2282" s="53" t="s">
        <v>2882</v>
      </c>
      <c r="G2282" s="53" t="s">
        <v>2944</v>
      </c>
      <c r="H2282" s="53">
        <v>1.0</v>
      </c>
      <c r="I2282" s="53">
        <v>0.27218934911242604</v>
      </c>
      <c r="J2282" s="53">
        <v>2.0</v>
      </c>
      <c r="K2282" s="53" t="s">
        <v>53</v>
      </c>
      <c r="L2282" s="53" t="s">
        <v>53</v>
      </c>
    </row>
    <row r="2283" ht="15.75" customHeight="1">
      <c r="A2283" s="53" t="s">
        <v>411</v>
      </c>
      <c r="B2283" s="53" t="s">
        <v>2789</v>
      </c>
      <c r="D2283" s="53" t="s">
        <v>2950</v>
      </c>
      <c r="E2283" s="53" t="s">
        <v>3547</v>
      </c>
      <c r="F2283" s="53" t="s">
        <v>2882</v>
      </c>
      <c r="G2283" s="53" t="s">
        <v>495</v>
      </c>
      <c r="H2283" s="53">
        <v>1.0</v>
      </c>
      <c r="I2283" s="53">
        <v>0.2874251497005988</v>
      </c>
      <c r="J2283" s="53">
        <v>16.0</v>
      </c>
      <c r="K2283" s="53" t="s">
        <v>53</v>
      </c>
      <c r="L2283" s="53" t="s">
        <v>53</v>
      </c>
    </row>
    <row r="2284" ht="15.75" customHeight="1">
      <c r="A2284" s="53" t="s">
        <v>411</v>
      </c>
      <c r="B2284" s="53" t="s">
        <v>2789</v>
      </c>
      <c r="D2284" s="53" t="s">
        <v>2935</v>
      </c>
      <c r="E2284" s="53" t="s">
        <v>3548</v>
      </c>
      <c r="F2284" s="53" t="s">
        <v>2882</v>
      </c>
      <c r="G2284" s="53" t="s">
        <v>2929</v>
      </c>
      <c r="H2284" s="53">
        <v>1.0</v>
      </c>
      <c r="I2284" s="53">
        <v>0.13664596273291926</v>
      </c>
      <c r="J2284" s="53">
        <v>8.0</v>
      </c>
      <c r="K2284" s="53" t="s">
        <v>53</v>
      </c>
      <c r="L2284" s="53" t="s">
        <v>53</v>
      </c>
    </row>
    <row r="2285" ht="15.75" customHeight="1">
      <c r="A2285" s="53" t="s">
        <v>411</v>
      </c>
      <c r="B2285" s="53" t="s">
        <v>2789</v>
      </c>
      <c r="D2285" s="53" t="s">
        <v>2935</v>
      </c>
      <c r="E2285" s="53" t="s">
        <v>3549</v>
      </c>
      <c r="F2285" s="53" t="s">
        <v>2882</v>
      </c>
      <c r="G2285" s="53" t="s">
        <v>2931</v>
      </c>
      <c r="H2285" s="53">
        <v>1.0</v>
      </c>
      <c r="I2285" s="53">
        <v>0.1375</v>
      </c>
      <c r="J2285" s="53">
        <v>2.0</v>
      </c>
      <c r="K2285" s="53" t="s">
        <v>53</v>
      </c>
      <c r="L2285" s="53" t="s">
        <v>53</v>
      </c>
    </row>
    <row r="2286" ht="15.75" customHeight="1">
      <c r="A2286" s="53" t="s">
        <v>411</v>
      </c>
      <c r="B2286" s="53" t="s">
        <v>2789</v>
      </c>
      <c r="D2286" s="53" t="s">
        <v>2935</v>
      </c>
      <c r="E2286" s="53" t="s">
        <v>3550</v>
      </c>
      <c r="F2286" s="53" t="s">
        <v>2882</v>
      </c>
      <c r="G2286" s="53" t="s">
        <v>2927</v>
      </c>
      <c r="H2286" s="53">
        <v>1.0</v>
      </c>
      <c r="I2286" s="53">
        <v>0.13836477987421383</v>
      </c>
      <c r="J2286" s="53">
        <v>7.0</v>
      </c>
      <c r="K2286" s="53" t="s">
        <v>53</v>
      </c>
      <c r="L2286" s="53" t="s">
        <v>53</v>
      </c>
    </row>
    <row r="2287" ht="15.75" customHeight="1">
      <c r="A2287" s="53" t="s">
        <v>411</v>
      </c>
      <c r="B2287" s="53" t="s">
        <v>2789</v>
      </c>
      <c r="D2287" s="53" t="s">
        <v>2935</v>
      </c>
      <c r="E2287" s="53" t="s">
        <v>3551</v>
      </c>
      <c r="F2287" s="53" t="s">
        <v>2882</v>
      </c>
      <c r="G2287" s="53" t="s">
        <v>2923</v>
      </c>
      <c r="H2287" s="53">
        <v>1.0</v>
      </c>
      <c r="I2287" s="53">
        <v>0.13836477987421383</v>
      </c>
      <c r="J2287" s="53">
        <v>4.0</v>
      </c>
      <c r="K2287" s="53" t="s">
        <v>53</v>
      </c>
      <c r="L2287" s="53" t="s">
        <v>53</v>
      </c>
    </row>
    <row r="2288" ht="15.75" customHeight="1">
      <c r="A2288" s="53" t="s">
        <v>411</v>
      </c>
      <c r="B2288" s="53" t="s">
        <v>2789</v>
      </c>
      <c r="D2288" s="53" t="s">
        <v>2935</v>
      </c>
      <c r="E2288" s="53" t="s">
        <v>3552</v>
      </c>
      <c r="F2288" s="53" t="s">
        <v>2882</v>
      </c>
      <c r="G2288" s="53" t="s">
        <v>2915</v>
      </c>
      <c r="H2288" s="53">
        <v>1.0</v>
      </c>
      <c r="I2288" s="53">
        <v>0.13836477987421383</v>
      </c>
      <c r="J2288" s="53">
        <v>3.0</v>
      </c>
      <c r="K2288" s="53" t="s">
        <v>53</v>
      </c>
      <c r="L2288" s="53" t="s">
        <v>53</v>
      </c>
    </row>
    <row r="2289" ht="15.75" customHeight="1">
      <c r="A2289" s="53" t="s">
        <v>411</v>
      </c>
      <c r="B2289" s="53" t="s">
        <v>2789</v>
      </c>
      <c r="D2289" s="53" t="s">
        <v>2935</v>
      </c>
      <c r="E2289" s="53" t="s">
        <v>3553</v>
      </c>
      <c r="F2289" s="53" t="s">
        <v>2882</v>
      </c>
      <c r="G2289" s="53" t="s">
        <v>2925</v>
      </c>
      <c r="H2289" s="53">
        <v>1.0</v>
      </c>
      <c r="I2289" s="53">
        <v>0.13836477987421383</v>
      </c>
      <c r="J2289" s="53">
        <v>10.0</v>
      </c>
      <c r="K2289" s="53" t="s">
        <v>53</v>
      </c>
      <c r="L2289" s="53" t="s">
        <v>53</v>
      </c>
    </row>
    <row r="2290" ht="15.75" customHeight="1">
      <c r="A2290" s="53" t="s">
        <v>411</v>
      </c>
      <c r="B2290" s="53" t="s">
        <v>2789</v>
      </c>
      <c r="D2290" s="53" t="s">
        <v>2935</v>
      </c>
      <c r="E2290" s="53" t="s">
        <v>3554</v>
      </c>
      <c r="F2290" s="53" t="s">
        <v>2882</v>
      </c>
      <c r="G2290" s="53" t="s">
        <v>2944</v>
      </c>
      <c r="H2290" s="53">
        <v>1.0</v>
      </c>
      <c r="I2290" s="53">
        <v>0.14201183431952663</v>
      </c>
      <c r="J2290" s="53">
        <v>1.0</v>
      </c>
      <c r="K2290" s="53" t="s">
        <v>53</v>
      </c>
      <c r="L2290" s="53" t="s">
        <v>53</v>
      </c>
    </row>
    <row r="2291" ht="15.75" customHeight="1">
      <c r="A2291" s="53" t="s">
        <v>411</v>
      </c>
      <c r="B2291" s="53" t="s">
        <v>2789</v>
      </c>
      <c r="D2291" s="53" t="s">
        <v>2935</v>
      </c>
      <c r="E2291" s="53" t="s">
        <v>3555</v>
      </c>
      <c r="F2291" s="53" t="s">
        <v>2882</v>
      </c>
      <c r="G2291" s="53" t="s">
        <v>2919</v>
      </c>
      <c r="H2291" s="53">
        <v>1.0</v>
      </c>
      <c r="I2291" s="53">
        <v>0.14465408805031446</v>
      </c>
      <c r="J2291" s="53">
        <v>5.0</v>
      </c>
      <c r="K2291" s="53" t="s">
        <v>53</v>
      </c>
      <c r="L2291" s="53" t="s">
        <v>53</v>
      </c>
    </row>
    <row r="2292" ht="15.75" customHeight="1">
      <c r="A2292" s="53" t="s">
        <v>411</v>
      </c>
      <c r="B2292" s="53" t="s">
        <v>2789</v>
      </c>
      <c r="D2292" s="53" t="s">
        <v>2935</v>
      </c>
      <c r="E2292" s="53" t="s">
        <v>3556</v>
      </c>
      <c r="F2292" s="53" t="s">
        <v>2882</v>
      </c>
      <c r="G2292" s="53" t="s">
        <v>2933</v>
      </c>
      <c r="H2292" s="53">
        <v>1.0</v>
      </c>
      <c r="I2292" s="53">
        <v>0.1488095238095238</v>
      </c>
      <c r="J2292" s="53">
        <v>9.0</v>
      </c>
      <c r="K2292" s="53" t="s">
        <v>53</v>
      </c>
      <c r="L2292" s="53" t="s">
        <v>53</v>
      </c>
    </row>
    <row r="2293" ht="15.75" customHeight="1">
      <c r="A2293" s="53" t="s">
        <v>411</v>
      </c>
      <c r="B2293" s="53" t="s">
        <v>2789</v>
      </c>
      <c r="D2293" s="53" t="s">
        <v>2935</v>
      </c>
      <c r="E2293" s="53" t="s">
        <v>3557</v>
      </c>
      <c r="F2293" s="53" t="s">
        <v>2882</v>
      </c>
      <c r="G2293" s="53" t="s">
        <v>2921</v>
      </c>
      <c r="H2293" s="53">
        <v>1.0</v>
      </c>
      <c r="I2293" s="53">
        <v>0.1509433962264151</v>
      </c>
      <c r="J2293" s="53">
        <v>6.0</v>
      </c>
      <c r="K2293" s="53" t="s">
        <v>53</v>
      </c>
      <c r="L2293" s="53" t="s">
        <v>53</v>
      </c>
    </row>
    <row r="2294" ht="15.75" customHeight="1">
      <c r="A2294" s="53" t="s">
        <v>411</v>
      </c>
      <c r="B2294" s="53" t="s">
        <v>2789</v>
      </c>
      <c r="D2294" s="53" t="s">
        <v>2935</v>
      </c>
      <c r="E2294" s="53" t="s">
        <v>3558</v>
      </c>
      <c r="F2294" s="53" t="s">
        <v>2882</v>
      </c>
      <c r="G2294" s="53" t="s">
        <v>2917</v>
      </c>
      <c r="H2294" s="53">
        <v>1.0</v>
      </c>
      <c r="I2294" s="53">
        <v>0.18238993710691823</v>
      </c>
      <c r="J2294" s="53">
        <v>12.0</v>
      </c>
      <c r="K2294" s="53" t="s">
        <v>53</v>
      </c>
      <c r="L2294" s="53" t="s">
        <v>53</v>
      </c>
    </row>
    <row r="2295" ht="15.75" customHeight="1">
      <c r="A2295" s="53" t="s">
        <v>411</v>
      </c>
      <c r="B2295" s="53" t="s">
        <v>2789</v>
      </c>
      <c r="D2295" s="53" t="s">
        <v>2935</v>
      </c>
      <c r="E2295" s="53" t="s">
        <v>3559</v>
      </c>
      <c r="F2295" s="53" t="s">
        <v>2882</v>
      </c>
      <c r="G2295" s="53" t="s">
        <v>2957</v>
      </c>
      <c r="H2295" s="53">
        <v>1.0</v>
      </c>
      <c r="I2295" s="53">
        <v>0.1907514450867052</v>
      </c>
      <c r="J2295" s="53">
        <v>0.0</v>
      </c>
      <c r="K2295" s="53" t="s">
        <v>53</v>
      </c>
      <c r="L2295" s="53" t="s">
        <v>53</v>
      </c>
    </row>
    <row r="2296" ht="15.75" customHeight="1">
      <c r="A2296" s="53" t="s">
        <v>411</v>
      </c>
      <c r="B2296" s="53" t="s">
        <v>2789</v>
      </c>
      <c r="D2296" s="53" t="s">
        <v>2935</v>
      </c>
      <c r="E2296" s="53" t="s">
        <v>3560</v>
      </c>
      <c r="F2296" s="53" t="s">
        <v>2882</v>
      </c>
      <c r="G2296" s="53" t="s">
        <v>2907</v>
      </c>
      <c r="H2296" s="53">
        <v>1.0</v>
      </c>
      <c r="I2296" s="53">
        <v>0.1949685534591195</v>
      </c>
      <c r="J2296" s="53">
        <v>11.0</v>
      </c>
      <c r="K2296" s="53" t="s">
        <v>53</v>
      </c>
      <c r="L2296" s="53" t="s">
        <v>53</v>
      </c>
    </row>
    <row r="2297" ht="15.75" customHeight="1">
      <c r="A2297" s="53" t="s">
        <v>411</v>
      </c>
      <c r="B2297" s="53" t="s">
        <v>2789</v>
      </c>
      <c r="D2297" s="53" t="s">
        <v>2935</v>
      </c>
      <c r="E2297" s="53" t="s">
        <v>3561</v>
      </c>
      <c r="F2297" s="53" t="s">
        <v>2882</v>
      </c>
      <c r="G2297" s="53" t="s">
        <v>485</v>
      </c>
      <c r="H2297" s="53">
        <v>1.0</v>
      </c>
      <c r="I2297" s="53">
        <v>0.20754716981132076</v>
      </c>
      <c r="J2297" s="53">
        <v>13.0</v>
      </c>
      <c r="K2297" s="53" t="s">
        <v>53</v>
      </c>
      <c r="L2297" s="53" t="s">
        <v>53</v>
      </c>
    </row>
    <row r="2298" ht="15.75" customHeight="1">
      <c r="A2298" s="53" t="s">
        <v>411</v>
      </c>
      <c r="B2298" s="53" t="s">
        <v>2789</v>
      </c>
      <c r="D2298" s="53" t="s">
        <v>2935</v>
      </c>
      <c r="E2298" s="53" t="s">
        <v>3562</v>
      </c>
      <c r="F2298" s="53" t="s">
        <v>2882</v>
      </c>
      <c r="G2298" s="53" t="s">
        <v>474</v>
      </c>
      <c r="H2298" s="53">
        <v>1.0</v>
      </c>
      <c r="I2298" s="53">
        <v>0.20754716981132076</v>
      </c>
      <c r="J2298" s="53">
        <v>14.0</v>
      </c>
      <c r="K2298" s="53" t="s">
        <v>53</v>
      </c>
      <c r="L2298" s="53" t="s">
        <v>53</v>
      </c>
    </row>
    <row r="2299" ht="15.75" customHeight="1">
      <c r="A2299" s="53" t="s">
        <v>411</v>
      </c>
      <c r="B2299" s="53" t="s">
        <v>2789</v>
      </c>
      <c r="D2299" s="53" t="s">
        <v>2935</v>
      </c>
      <c r="E2299" s="53" t="s">
        <v>3563</v>
      </c>
      <c r="F2299" s="53" t="s">
        <v>2882</v>
      </c>
      <c r="G2299" s="53" t="s">
        <v>2937</v>
      </c>
      <c r="H2299" s="53">
        <v>1.0</v>
      </c>
      <c r="I2299" s="53">
        <v>0.2138364779874214</v>
      </c>
      <c r="J2299" s="53">
        <v>17.0</v>
      </c>
      <c r="K2299" s="53" t="s">
        <v>53</v>
      </c>
      <c r="L2299" s="53" t="s">
        <v>53</v>
      </c>
    </row>
    <row r="2300" ht="15.75" customHeight="1">
      <c r="A2300" s="53" t="s">
        <v>411</v>
      </c>
      <c r="B2300" s="53" t="s">
        <v>2789</v>
      </c>
      <c r="D2300" s="53" t="s">
        <v>2935</v>
      </c>
      <c r="E2300" s="53" t="s">
        <v>3564</v>
      </c>
      <c r="F2300" s="53" t="s">
        <v>2882</v>
      </c>
      <c r="G2300" s="53" t="s">
        <v>2948</v>
      </c>
      <c r="H2300" s="53">
        <v>1.0</v>
      </c>
      <c r="I2300" s="53">
        <v>0.23270440251572327</v>
      </c>
      <c r="J2300" s="53">
        <v>16.0</v>
      </c>
      <c r="K2300" s="53" t="s">
        <v>53</v>
      </c>
      <c r="L2300" s="53" t="s">
        <v>53</v>
      </c>
    </row>
    <row r="2301" ht="15.75" customHeight="1">
      <c r="A2301" s="53" t="s">
        <v>411</v>
      </c>
      <c r="B2301" s="53" t="s">
        <v>2789</v>
      </c>
      <c r="D2301" s="53" t="s">
        <v>2935</v>
      </c>
      <c r="E2301" s="53" t="s">
        <v>3565</v>
      </c>
      <c r="F2301" s="53" t="s">
        <v>2882</v>
      </c>
      <c r="G2301" s="53" t="s">
        <v>2942</v>
      </c>
      <c r="H2301" s="53">
        <v>1.0</v>
      </c>
      <c r="I2301" s="53">
        <v>0.24528301886792453</v>
      </c>
      <c r="J2301" s="53">
        <v>18.0</v>
      </c>
      <c r="K2301" s="53" t="s">
        <v>53</v>
      </c>
      <c r="L2301" s="53" t="s">
        <v>53</v>
      </c>
    </row>
    <row r="2302" ht="15.75" customHeight="1">
      <c r="A2302" s="53" t="s">
        <v>411</v>
      </c>
      <c r="B2302" s="53" t="s">
        <v>2789</v>
      </c>
      <c r="D2302" s="53" t="s">
        <v>2935</v>
      </c>
      <c r="E2302" s="53" t="s">
        <v>3566</v>
      </c>
      <c r="F2302" s="53" t="s">
        <v>2882</v>
      </c>
      <c r="G2302" s="53" t="s">
        <v>495</v>
      </c>
      <c r="H2302" s="53">
        <v>1.0</v>
      </c>
      <c r="I2302" s="53">
        <v>0.27044025157232704</v>
      </c>
      <c r="J2302" s="53">
        <v>15.0</v>
      </c>
      <c r="K2302" s="53" t="s">
        <v>53</v>
      </c>
      <c r="L2302" s="53" t="s">
        <v>53</v>
      </c>
    </row>
    <row r="2303" ht="15.75" customHeight="1">
      <c r="A2303" s="53" t="s">
        <v>411</v>
      </c>
      <c r="B2303" s="53" t="s">
        <v>2789</v>
      </c>
      <c r="D2303" s="53" t="s">
        <v>2957</v>
      </c>
      <c r="E2303" s="53" t="s">
        <v>3567</v>
      </c>
      <c r="F2303" s="53" t="s">
        <v>2882</v>
      </c>
      <c r="G2303" s="53" t="s">
        <v>2944</v>
      </c>
      <c r="H2303" s="53">
        <v>1.0</v>
      </c>
      <c r="I2303" s="53">
        <v>0.14450867052023122</v>
      </c>
      <c r="J2303" s="53">
        <v>0.0</v>
      </c>
      <c r="K2303" s="53" t="s">
        <v>53</v>
      </c>
      <c r="L2303" s="53" t="s">
        <v>53</v>
      </c>
    </row>
    <row r="2304" ht="15.75" customHeight="1">
      <c r="A2304" s="53" t="s">
        <v>411</v>
      </c>
      <c r="B2304" s="53" t="s">
        <v>2789</v>
      </c>
      <c r="D2304" s="53" t="s">
        <v>2957</v>
      </c>
      <c r="E2304" s="53" t="s">
        <v>3568</v>
      </c>
      <c r="F2304" s="53" t="s">
        <v>2882</v>
      </c>
      <c r="G2304" s="53" t="s">
        <v>2923</v>
      </c>
      <c r="H2304" s="53">
        <v>1.0</v>
      </c>
      <c r="I2304" s="53">
        <v>0.2138728323699422</v>
      </c>
      <c r="J2304" s="53">
        <v>3.0</v>
      </c>
      <c r="K2304" s="53" t="s">
        <v>53</v>
      </c>
      <c r="L2304" s="53" t="s">
        <v>53</v>
      </c>
    </row>
    <row r="2305" ht="15.75" customHeight="1">
      <c r="A2305" s="53" t="s">
        <v>411</v>
      </c>
      <c r="B2305" s="53" t="s">
        <v>2789</v>
      </c>
      <c r="D2305" s="53" t="s">
        <v>2957</v>
      </c>
      <c r="E2305" s="53" t="s">
        <v>3569</v>
      </c>
      <c r="F2305" s="53" t="s">
        <v>2882</v>
      </c>
      <c r="G2305" s="53" t="s">
        <v>474</v>
      </c>
      <c r="H2305" s="53">
        <v>1.0</v>
      </c>
      <c r="I2305" s="53">
        <v>0.2138728323699422</v>
      </c>
      <c r="J2305" s="53">
        <v>13.0</v>
      </c>
      <c r="K2305" s="53" t="s">
        <v>53</v>
      </c>
      <c r="L2305" s="53" t="s">
        <v>53</v>
      </c>
    </row>
    <row r="2306" ht="15.75" customHeight="1">
      <c r="A2306" s="53" t="s">
        <v>411</v>
      </c>
      <c r="B2306" s="53" t="s">
        <v>2789</v>
      </c>
      <c r="D2306" s="53" t="s">
        <v>2957</v>
      </c>
      <c r="E2306" s="53" t="s">
        <v>3570</v>
      </c>
      <c r="F2306" s="53" t="s">
        <v>2882</v>
      </c>
      <c r="G2306" s="53" t="s">
        <v>2919</v>
      </c>
      <c r="H2306" s="53">
        <v>1.0</v>
      </c>
      <c r="I2306" s="53">
        <v>0.2254335260115607</v>
      </c>
      <c r="J2306" s="53">
        <v>4.0</v>
      </c>
      <c r="K2306" s="53" t="s">
        <v>53</v>
      </c>
      <c r="L2306" s="53" t="s">
        <v>53</v>
      </c>
    </row>
    <row r="2307" ht="15.75" customHeight="1">
      <c r="A2307" s="53" t="s">
        <v>411</v>
      </c>
      <c r="B2307" s="53" t="s">
        <v>2789</v>
      </c>
      <c r="D2307" s="53" t="s">
        <v>2957</v>
      </c>
      <c r="E2307" s="53" t="s">
        <v>3571</v>
      </c>
      <c r="F2307" s="53" t="s">
        <v>2882</v>
      </c>
      <c r="G2307" s="53" t="s">
        <v>2927</v>
      </c>
      <c r="H2307" s="53">
        <v>1.0</v>
      </c>
      <c r="I2307" s="53">
        <v>0.2254335260115607</v>
      </c>
      <c r="J2307" s="53">
        <v>6.0</v>
      </c>
      <c r="K2307" s="53" t="s">
        <v>53</v>
      </c>
      <c r="L2307" s="53" t="s">
        <v>53</v>
      </c>
    </row>
    <row r="2308" ht="15.75" customHeight="1">
      <c r="A2308" s="53" t="s">
        <v>411</v>
      </c>
      <c r="B2308" s="53" t="s">
        <v>2789</v>
      </c>
      <c r="D2308" s="53" t="s">
        <v>2957</v>
      </c>
      <c r="E2308" s="53" t="s">
        <v>3572</v>
      </c>
      <c r="F2308" s="53" t="s">
        <v>2882</v>
      </c>
      <c r="G2308" s="53" t="s">
        <v>2915</v>
      </c>
      <c r="H2308" s="53">
        <v>1.0</v>
      </c>
      <c r="I2308" s="53">
        <v>0.2254335260115607</v>
      </c>
      <c r="J2308" s="53">
        <v>2.0</v>
      </c>
      <c r="K2308" s="53" t="s">
        <v>53</v>
      </c>
      <c r="L2308" s="53" t="s">
        <v>53</v>
      </c>
    </row>
    <row r="2309" ht="15.75" customHeight="1">
      <c r="A2309" s="53" t="s">
        <v>411</v>
      </c>
      <c r="B2309" s="53" t="s">
        <v>2789</v>
      </c>
      <c r="D2309" s="53" t="s">
        <v>2957</v>
      </c>
      <c r="E2309" s="53" t="s">
        <v>3573</v>
      </c>
      <c r="F2309" s="53" t="s">
        <v>2882</v>
      </c>
      <c r="G2309" s="53" t="s">
        <v>2925</v>
      </c>
      <c r="H2309" s="53">
        <v>1.0</v>
      </c>
      <c r="I2309" s="53">
        <v>0.2254335260115607</v>
      </c>
      <c r="J2309" s="53">
        <v>9.0</v>
      </c>
      <c r="K2309" s="53" t="s">
        <v>53</v>
      </c>
      <c r="L2309" s="53" t="s">
        <v>53</v>
      </c>
    </row>
    <row r="2310" ht="15.75" customHeight="1">
      <c r="A2310" s="53" t="s">
        <v>411</v>
      </c>
      <c r="B2310" s="53" t="s">
        <v>2789</v>
      </c>
      <c r="D2310" s="53" t="s">
        <v>2957</v>
      </c>
      <c r="E2310" s="53" t="s">
        <v>3574</v>
      </c>
      <c r="F2310" s="53" t="s">
        <v>2882</v>
      </c>
      <c r="G2310" s="53" t="s">
        <v>485</v>
      </c>
      <c r="H2310" s="53">
        <v>1.0</v>
      </c>
      <c r="I2310" s="53">
        <v>0.2254335260115607</v>
      </c>
      <c r="J2310" s="53">
        <v>12.0</v>
      </c>
      <c r="K2310" s="53" t="s">
        <v>53</v>
      </c>
      <c r="L2310" s="53" t="s">
        <v>53</v>
      </c>
    </row>
    <row r="2311" ht="15.75" customHeight="1">
      <c r="A2311" s="53" t="s">
        <v>411</v>
      </c>
      <c r="B2311" s="53" t="s">
        <v>2789</v>
      </c>
      <c r="D2311" s="53" t="s">
        <v>2957</v>
      </c>
      <c r="E2311" s="53" t="s">
        <v>3575</v>
      </c>
      <c r="F2311" s="53" t="s">
        <v>2882</v>
      </c>
      <c r="G2311" s="53" t="s">
        <v>2931</v>
      </c>
      <c r="H2311" s="53">
        <v>1.0</v>
      </c>
      <c r="I2311" s="53">
        <v>0.23121387283236994</v>
      </c>
      <c r="J2311" s="53">
        <v>1.0</v>
      </c>
      <c r="K2311" s="53" t="s">
        <v>53</v>
      </c>
      <c r="L2311" s="53" t="s">
        <v>53</v>
      </c>
    </row>
    <row r="2312" ht="15.75" customHeight="1">
      <c r="A2312" s="53" t="s">
        <v>411</v>
      </c>
      <c r="B2312" s="53" t="s">
        <v>2789</v>
      </c>
      <c r="D2312" s="53" t="s">
        <v>2957</v>
      </c>
      <c r="E2312" s="53" t="s">
        <v>3576</v>
      </c>
      <c r="F2312" s="53" t="s">
        <v>2882</v>
      </c>
      <c r="G2312" s="53" t="s">
        <v>2948</v>
      </c>
      <c r="H2312" s="53">
        <v>1.0</v>
      </c>
      <c r="I2312" s="53">
        <v>0.23121387283236994</v>
      </c>
      <c r="J2312" s="53">
        <v>15.0</v>
      </c>
      <c r="K2312" s="53" t="s">
        <v>53</v>
      </c>
      <c r="L2312" s="53" t="s">
        <v>53</v>
      </c>
    </row>
    <row r="2313" ht="15.75" customHeight="1">
      <c r="A2313" s="53" t="s">
        <v>411</v>
      </c>
      <c r="B2313" s="53" t="s">
        <v>2789</v>
      </c>
      <c r="D2313" s="53" t="s">
        <v>2957</v>
      </c>
      <c r="E2313" s="53" t="s">
        <v>3577</v>
      </c>
      <c r="F2313" s="53" t="s">
        <v>2882</v>
      </c>
      <c r="G2313" s="53" t="s">
        <v>2929</v>
      </c>
      <c r="H2313" s="53">
        <v>1.0</v>
      </c>
      <c r="I2313" s="53">
        <v>0.23121387283236994</v>
      </c>
      <c r="J2313" s="53">
        <v>7.0</v>
      </c>
      <c r="K2313" s="53" t="s">
        <v>53</v>
      </c>
      <c r="L2313" s="53" t="s">
        <v>53</v>
      </c>
    </row>
    <row r="2314" ht="15.75" customHeight="1">
      <c r="A2314" s="53" t="s">
        <v>411</v>
      </c>
      <c r="B2314" s="53" t="s">
        <v>2789</v>
      </c>
      <c r="D2314" s="53" t="s">
        <v>2957</v>
      </c>
      <c r="E2314" s="53" t="s">
        <v>3578</v>
      </c>
      <c r="F2314" s="53" t="s">
        <v>2882</v>
      </c>
      <c r="G2314" s="53" t="s">
        <v>2933</v>
      </c>
      <c r="H2314" s="53">
        <v>1.0</v>
      </c>
      <c r="I2314" s="53">
        <v>0.23699421965317918</v>
      </c>
      <c r="J2314" s="53">
        <v>8.0</v>
      </c>
      <c r="K2314" s="53" t="s">
        <v>53</v>
      </c>
      <c r="L2314" s="53" t="s">
        <v>53</v>
      </c>
    </row>
    <row r="2315" ht="15.75" customHeight="1">
      <c r="A2315" s="53" t="s">
        <v>411</v>
      </c>
      <c r="B2315" s="53" t="s">
        <v>2789</v>
      </c>
      <c r="D2315" s="53" t="s">
        <v>2957</v>
      </c>
      <c r="E2315" s="53" t="s">
        <v>3579</v>
      </c>
      <c r="F2315" s="53" t="s">
        <v>2882</v>
      </c>
      <c r="G2315" s="53" t="s">
        <v>2921</v>
      </c>
      <c r="H2315" s="53">
        <v>1.0</v>
      </c>
      <c r="I2315" s="53">
        <v>0.23699421965317918</v>
      </c>
      <c r="J2315" s="53">
        <v>5.0</v>
      </c>
      <c r="K2315" s="53" t="s">
        <v>53</v>
      </c>
      <c r="L2315" s="53" t="s">
        <v>53</v>
      </c>
    </row>
    <row r="2316" ht="15.75" customHeight="1">
      <c r="A2316" s="53" t="s">
        <v>411</v>
      </c>
      <c r="B2316" s="53" t="s">
        <v>2789</v>
      </c>
      <c r="D2316" s="53" t="s">
        <v>2957</v>
      </c>
      <c r="E2316" s="53" t="s">
        <v>3580</v>
      </c>
      <c r="F2316" s="53" t="s">
        <v>2882</v>
      </c>
      <c r="G2316" s="53" t="s">
        <v>2942</v>
      </c>
      <c r="H2316" s="53">
        <v>1.0</v>
      </c>
      <c r="I2316" s="53">
        <v>0.2543352601156069</v>
      </c>
      <c r="J2316" s="53">
        <v>17.0</v>
      </c>
      <c r="K2316" s="53" t="s">
        <v>53</v>
      </c>
      <c r="L2316" s="53" t="s">
        <v>53</v>
      </c>
    </row>
    <row r="2317" ht="15.75" customHeight="1">
      <c r="A2317" s="53" t="s">
        <v>411</v>
      </c>
      <c r="B2317" s="53" t="s">
        <v>2789</v>
      </c>
      <c r="D2317" s="53" t="s">
        <v>2957</v>
      </c>
      <c r="E2317" s="53" t="s">
        <v>3581</v>
      </c>
      <c r="F2317" s="53" t="s">
        <v>2882</v>
      </c>
      <c r="G2317" s="53" t="s">
        <v>2917</v>
      </c>
      <c r="H2317" s="53">
        <v>1.0</v>
      </c>
      <c r="I2317" s="53">
        <v>0.2543352601156069</v>
      </c>
      <c r="J2317" s="53">
        <v>11.0</v>
      </c>
      <c r="K2317" s="53" t="s">
        <v>53</v>
      </c>
      <c r="L2317" s="53" t="s">
        <v>53</v>
      </c>
    </row>
    <row r="2318" ht="15.75" customHeight="1">
      <c r="A2318" s="53" t="s">
        <v>411</v>
      </c>
      <c r="B2318" s="53" t="s">
        <v>2789</v>
      </c>
      <c r="D2318" s="53" t="s">
        <v>2957</v>
      </c>
      <c r="E2318" s="53" t="s">
        <v>3582</v>
      </c>
      <c r="F2318" s="53" t="s">
        <v>2882</v>
      </c>
      <c r="G2318" s="53" t="s">
        <v>2907</v>
      </c>
      <c r="H2318" s="53">
        <v>1.0</v>
      </c>
      <c r="I2318" s="53">
        <v>0.2774566473988439</v>
      </c>
      <c r="J2318" s="53">
        <v>10.0</v>
      </c>
      <c r="K2318" s="53" t="s">
        <v>53</v>
      </c>
      <c r="L2318" s="53" t="s">
        <v>53</v>
      </c>
    </row>
    <row r="2319" ht="15.75" customHeight="1">
      <c r="A2319" s="53" t="s">
        <v>411</v>
      </c>
      <c r="B2319" s="53" t="s">
        <v>2789</v>
      </c>
      <c r="D2319" s="53" t="s">
        <v>2957</v>
      </c>
      <c r="E2319" s="53" t="s">
        <v>3583</v>
      </c>
      <c r="F2319" s="53" t="s">
        <v>2882</v>
      </c>
      <c r="G2319" s="53" t="s">
        <v>2937</v>
      </c>
      <c r="H2319" s="53">
        <v>1.0</v>
      </c>
      <c r="I2319" s="53">
        <v>0.28901734104046245</v>
      </c>
      <c r="J2319" s="53">
        <v>16.0</v>
      </c>
      <c r="K2319" s="53" t="s">
        <v>53</v>
      </c>
      <c r="L2319" s="53" t="s">
        <v>53</v>
      </c>
    </row>
    <row r="2320" ht="15.75" customHeight="1">
      <c r="A2320" s="53" t="s">
        <v>411</v>
      </c>
      <c r="B2320" s="53" t="s">
        <v>2789</v>
      </c>
      <c r="D2320" s="53" t="s">
        <v>2957</v>
      </c>
      <c r="E2320" s="53" t="s">
        <v>3584</v>
      </c>
      <c r="F2320" s="53" t="s">
        <v>2882</v>
      </c>
      <c r="G2320" s="53" t="s">
        <v>495</v>
      </c>
      <c r="H2320" s="53">
        <v>1.0</v>
      </c>
      <c r="I2320" s="53">
        <v>0.2947976878612717</v>
      </c>
      <c r="J2320" s="53">
        <v>14.0</v>
      </c>
      <c r="K2320" s="53" t="s">
        <v>53</v>
      </c>
      <c r="L2320" s="53" t="s">
        <v>53</v>
      </c>
    </row>
    <row r="2321" ht="15.75" customHeight="1">
      <c r="A2321" s="53" t="s">
        <v>411</v>
      </c>
      <c r="B2321" s="53" t="s">
        <v>2789</v>
      </c>
      <c r="D2321" s="53" t="s">
        <v>2944</v>
      </c>
      <c r="E2321" s="53" t="s">
        <v>3585</v>
      </c>
      <c r="F2321" s="53" t="s">
        <v>2882</v>
      </c>
      <c r="G2321" s="53" t="s">
        <v>2923</v>
      </c>
      <c r="H2321" s="53">
        <v>1.0</v>
      </c>
      <c r="I2321" s="53">
        <v>0.16568047337278108</v>
      </c>
      <c r="J2321" s="53">
        <v>2.0</v>
      </c>
      <c r="K2321" s="53" t="s">
        <v>53</v>
      </c>
      <c r="L2321" s="53" t="s">
        <v>53</v>
      </c>
    </row>
    <row r="2322" ht="15.75" customHeight="1">
      <c r="A2322" s="53" t="s">
        <v>411</v>
      </c>
      <c r="B2322" s="53" t="s">
        <v>2789</v>
      </c>
      <c r="D2322" s="53" t="s">
        <v>2944</v>
      </c>
      <c r="E2322" s="53" t="s">
        <v>3586</v>
      </c>
      <c r="F2322" s="53" t="s">
        <v>2882</v>
      </c>
      <c r="G2322" s="53" t="s">
        <v>2925</v>
      </c>
      <c r="H2322" s="53">
        <v>1.0</v>
      </c>
      <c r="I2322" s="53">
        <v>0.1834319526627219</v>
      </c>
      <c r="J2322" s="53">
        <v>8.0</v>
      </c>
      <c r="K2322" s="53" t="s">
        <v>53</v>
      </c>
      <c r="L2322" s="53" t="s">
        <v>53</v>
      </c>
    </row>
    <row r="2323" ht="15.75" customHeight="1">
      <c r="A2323" s="53" t="s">
        <v>411</v>
      </c>
      <c r="B2323" s="53" t="s">
        <v>2789</v>
      </c>
      <c r="D2323" s="53" t="s">
        <v>2944</v>
      </c>
      <c r="E2323" s="53" t="s">
        <v>3587</v>
      </c>
      <c r="F2323" s="53" t="s">
        <v>2882</v>
      </c>
      <c r="G2323" s="53" t="s">
        <v>2919</v>
      </c>
      <c r="H2323" s="53">
        <v>1.0</v>
      </c>
      <c r="I2323" s="53">
        <v>0.1893491124260355</v>
      </c>
      <c r="J2323" s="53">
        <v>3.0</v>
      </c>
      <c r="K2323" s="53" t="s">
        <v>53</v>
      </c>
      <c r="L2323" s="53" t="s">
        <v>53</v>
      </c>
    </row>
    <row r="2324" ht="15.75" customHeight="1">
      <c r="A2324" s="53" t="s">
        <v>411</v>
      </c>
      <c r="B2324" s="53" t="s">
        <v>2789</v>
      </c>
      <c r="D2324" s="53" t="s">
        <v>2944</v>
      </c>
      <c r="E2324" s="53" t="s">
        <v>3588</v>
      </c>
      <c r="F2324" s="53" t="s">
        <v>2882</v>
      </c>
      <c r="G2324" s="53" t="s">
        <v>2915</v>
      </c>
      <c r="H2324" s="53">
        <v>1.0</v>
      </c>
      <c r="I2324" s="53">
        <v>0.1893491124260355</v>
      </c>
      <c r="J2324" s="53">
        <v>1.0</v>
      </c>
      <c r="K2324" s="53" t="s">
        <v>53</v>
      </c>
      <c r="L2324" s="53" t="s">
        <v>53</v>
      </c>
    </row>
    <row r="2325" ht="15.75" customHeight="1">
      <c r="A2325" s="53" t="s">
        <v>411</v>
      </c>
      <c r="B2325" s="53" t="s">
        <v>2789</v>
      </c>
      <c r="D2325" s="53" t="s">
        <v>2944</v>
      </c>
      <c r="E2325" s="53" t="s">
        <v>3589</v>
      </c>
      <c r="F2325" s="53" t="s">
        <v>2882</v>
      </c>
      <c r="G2325" s="53" t="s">
        <v>2929</v>
      </c>
      <c r="H2325" s="53">
        <v>1.0</v>
      </c>
      <c r="I2325" s="53">
        <v>0.1893491124260355</v>
      </c>
      <c r="J2325" s="53">
        <v>6.0</v>
      </c>
      <c r="K2325" s="53" t="s">
        <v>53</v>
      </c>
      <c r="L2325" s="53" t="s">
        <v>53</v>
      </c>
    </row>
    <row r="2326" ht="15.75" customHeight="1">
      <c r="A2326" s="53" t="s">
        <v>411</v>
      </c>
      <c r="B2326" s="53" t="s">
        <v>2789</v>
      </c>
      <c r="D2326" s="53" t="s">
        <v>2944</v>
      </c>
      <c r="E2326" s="53" t="s">
        <v>3590</v>
      </c>
      <c r="F2326" s="53" t="s">
        <v>2882</v>
      </c>
      <c r="G2326" s="53" t="s">
        <v>2921</v>
      </c>
      <c r="H2326" s="53">
        <v>1.0</v>
      </c>
      <c r="I2326" s="53">
        <v>0.1893491124260355</v>
      </c>
      <c r="J2326" s="53">
        <v>4.0</v>
      </c>
      <c r="K2326" s="53" t="s">
        <v>53</v>
      </c>
      <c r="L2326" s="53" t="s">
        <v>53</v>
      </c>
    </row>
    <row r="2327" ht="15.75" customHeight="1">
      <c r="A2327" s="53" t="s">
        <v>411</v>
      </c>
      <c r="B2327" s="53" t="s">
        <v>2789</v>
      </c>
      <c r="D2327" s="53" t="s">
        <v>2944</v>
      </c>
      <c r="E2327" s="53" t="s">
        <v>3591</v>
      </c>
      <c r="F2327" s="53" t="s">
        <v>2882</v>
      </c>
      <c r="G2327" s="53" t="s">
        <v>2931</v>
      </c>
      <c r="H2327" s="53">
        <v>1.0</v>
      </c>
      <c r="I2327" s="53">
        <v>0.1952662721893491</v>
      </c>
      <c r="J2327" s="53">
        <v>0.0</v>
      </c>
      <c r="K2327" s="53" t="s">
        <v>53</v>
      </c>
      <c r="L2327" s="53" t="s">
        <v>53</v>
      </c>
    </row>
    <row r="2328" ht="15.75" customHeight="1">
      <c r="A2328" s="53" t="s">
        <v>411</v>
      </c>
      <c r="B2328" s="53" t="s">
        <v>2789</v>
      </c>
      <c r="D2328" s="53" t="s">
        <v>2944</v>
      </c>
      <c r="E2328" s="53" t="s">
        <v>3592</v>
      </c>
      <c r="F2328" s="53" t="s">
        <v>2882</v>
      </c>
      <c r="G2328" s="53" t="s">
        <v>2927</v>
      </c>
      <c r="H2328" s="53">
        <v>1.0</v>
      </c>
      <c r="I2328" s="53">
        <v>0.20118343195266272</v>
      </c>
      <c r="J2328" s="53">
        <v>5.0</v>
      </c>
      <c r="K2328" s="53" t="s">
        <v>53</v>
      </c>
      <c r="L2328" s="53" t="s">
        <v>53</v>
      </c>
    </row>
    <row r="2329" ht="15.75" customHeight="1">
      <c r="A2329" s="53" t="s">
        <v>411</v>
      </c>
      <c r="B2329" s="53" t="s">
        <v>2789</v>
      </c>
      <c r="D2329" s="53" t="s">
        <v>2944</v>
      </c>
      <c r="E2329" s="53" t="s">
        <v>3593</v>
      </c>
      <c r="F2329" s="53" t="s">
        <v>2882</v>
      </c>
      <c r="G2329" s="53" t="s">
        <v>2933</v>
      </c>
      <c r="H2329" s="53">
        <v>1.0</v>
      </c>
      <c r="I2329" s="53">
        <v>0.20118343195266272</v>
      </c>
      <c r="J2329" s="53">
        <v>7.0</v>
      </c>
      <c r="K2329" s="53" t="s">
        <v>53</v>
      </c>
      <c r="L2329" s="53" t="s">
        <v>53</v>
      </c>
    </row>
    <row r="2330" ht="15.75" customHeight="1">
      <c r="A2330" s="53" t="s">
        <v>411</v>
      </c>
      <c r="B2330" s="53" t="s">
        <v>2789</v>
      </c>
      <c r="D2330" s="53" t="s">
        <v>2944</v>
      </c>
      <c r="E2330" s="53" t="s">
        <v>3594</v>
      </c>
      <c r="F2330" s="53" t="s">
        <v>2882</v>
      </c>
      <c r="G2330" s="53" t="s">
        <v>2917</v>
      </c>
      <c r="H2330" s="53">
        <v>1.0</v>
      </c>
      <c r="I2330" s="53">
        <v>0.21893491124260356</v>
      </c>
      <c r="J2330" s="53">
        <v>10.0</v>
      </c>
      <c r="K2330" s="53" t="s">
        <v>53</v>
      </c>
      <c r="L2330" s="53" t="s">
        <v>53</v>
      </c>
    </row>
    <row r="2331" ht="15.75" customHeight="1">
      <c r="A2331" s="53" t="s">
        <v>411</v>
      </c>
      <c r="B2331" s="53" t="s">
        <v>2789</v>
      </c>
      <c r="D2331" s="53" t="s">
        <v>2944</v>
      </c>
      <c r="E2331" s="53" t="s">
        <v>3595</v>
      </c>
      <c r="F2331" s="53" t="s">
        <v>2882</v>
      </c>
      <c r="G2331" s="53" t="s">
        <v>485</v>
      </c>
      <c r="H2331" s="53">
        <v>1.0</v>
      </c>
      <c r="I2331" s="53">
        <v>0.23076923076923078</v>
      </c>
      <c r="J2331" s="53">
        <v>11.0</v>
      </c>
      <c r="K2331" s="53" t="s">
        <v>53</v>
      </c>
      <c r="L2331" s="53" t="s">
        <v>53</v>
      </c>
    </row>
    <row r="2332" ht="15.75" customHeight="1">
      <c r="A2332" s="53" t="s">
        <v>411</v>
      </c>
      <c r="B2332" s="53" t="s">
        <v>2789</v>
      </c>
      <c r="D2332" s="53" t="s">
        <v>2944</v>
      </c>
      <c r="E2332" s="53" t="s">
        <v>3596</v>
      </c>
      <c r="F2332" s="53" t="s">
        <v>2882</v>
      </c>
      <c r="G2332" s="53" t="s">
        <v>474</v>
      </c>
      <c r="H2332" s="53">
        <v>1.0</v>
      </c>
      <c r="I2332" s="53">
        <v>0.23668639053254437</v>
      </c>
      <c r="J2332" s="53">
        <v>12.0</v>
      </c>
      <c r="K2332" s="53" t="s">
        <v>53</v>
      </c>
      <c r="L2332" s="53" t="s">
        <v>53</v>
      </c>
    </row>
    <row r="2333" ht="15.75" customHeight="1">
      <c r="A2333" s="53" t="s">
        <v>411</v>
      </c>
      <c r="B2333" s="53" t="s">
        <v>2789</v>
      </c>
      <c r="D2333" s="53" t="s">
        <v>2944</v>
      </c>
      <c r="E2333" s="53" t="s">
        <v>3597</v>
      </c>
      <c r="F2333" s="53" t="s">
        <v>2882</v>
      </c>
      <c r="G2333" s="53" t="s">
        <v>2907</v>
      </c>
      <c r="H2333" s="53">
        <v>1.0</v>
      </c>
      <c r="I2333" s="53">
        <v>0.24260355029585798</v>
      </c>
      <c r="J2333" s="53">
        <v>9.0</v>
      </c>
      <c r="K2333" s="53" t="s">
        <v>53</v>
      </c>
      <c r="L2333" s="53" t="s">
        <v>53</v>
      </c>
    </row>
    <row r="2334" ht="15.75" customHeight="1">
      <c r="A2334" s="53" t="s">
        <v>411</v>
      </c>
      <c r="B2334" s="53" t="s">
        <v>2789</v>
      </c>
      <c r="D2334" s="53" t="s">
        <v>2944</v>
      </c>
      <c r="E2334" s="53" t="s">
        <v>3598</v>
      </c>
      <c r="F2334" s="53" t="s">
        <v>2882</v>
      </c>
      <c r="G2334" s="53" t="s">
        <v>2937</v>
      </c>
      <c r="H2334" s="53">
        <v>1.0</v>
      </c>
      <c r="I2334" s="53">
        <v>0.25443786982248523</v>
      </c>
      <c r="J2334" s="53">
        <v>15.0</v>
      </c>
      <c r="K2334" s="53" t="s">
        <v>53</v>
      </c>
      <c r="L2334" s="53" t="s">
        <v>53</v>
      </c>
    </row>
    <row r="2335" ht="15.75" customHeight="1">
      <c r="A2335" s="53" t="s">
        <v>411</v>
      </c>
      <c r="B2335" s="53" t="s">
        <v>2789</v>
      </c>
      <c r="D2335" s="53" t="s">
        <v>2944</v>
      </c>
      <c r="E2335" s="53" t="s">
        <v>3599</v>
      </c>
      <c r="F2335" s="53" t="s">
        <v>2882</v>
      </c>
      <c r="G2335" s="53" t="s">
        <v>2948</v>
      </c>
      <c r="H2335" s="53">
        <v>1.0</v>
      </c>
      <c r="I2335" s="53">
        <v>0.2603550295857988</v>
      </c>
      <c r="J2335" s="53">
        <v>14.0</v>
      </c>
      <c r="K2335" s="53" t="s">
        <v>53</v>
      </c>
      <c r="L2335" s="53" t="s">
        <v>53</v>
      </c>
    </row>
    <row r="2336" ht="15.75" customHeight="1">
      <c r="A2336" s="53" t="s">
        <v>411</v>
      </c>
      <c r="B2336" s="53" t="s">
        <v>2789</v>
      </c>
      <c r="D2336" s="53" t="s">
        <v>2944</v>
      </c>
      <c r="E2336" s="53" t="s">
        <v>3600</v>
      </c>
      <c r="F2336" s="53" t="s">
        <v>2882</v>
      </c>
      <c r="G2336" s="53" t="s">
        <v>2942</v>
      </c>
      <c r="H2336" s="53">
        <v>1.0</v>
      </c>
      <c r="I2336" s="53">
        <v>0.28402366863905326</v>
      </c>
      <c r="J2336" s="53">
        <v>16.0</v>
      </c>
      <c r="K2336" s="53" t="s">
        <v>53</v>
      </c>
      <c r="L2336" s="53" t="s">
        <v>53</v>
      </c>
    </row>
    <row r="2337" ht="15.75" customHeight="1">
      <c r="A2337" s="53" t="s">
        <v>411</v>
      </c>
      <c r="B2337" s="53" t="s">
        <v>2789</v>
      </c>
      <c r="D2337" s="53" t="s">
        <v>2944</v>
      </c>
      <c r="E2337" s="53" t="s">
        <v>3601</v>
      </c>
      <c r="F2337" s="53" t="s">
        <v>2882</v>
      </c>
      <c r="G2337" s="53" t="s">
        <v>495</v>
      </c>
      <c r="H2337" s="53">
        <v>1.0</v>
      </c>
      <c r="I2337" s="53">
        <v>0.3136094674556213</v>
      </c>
      <c r="J2337" s="53">
        <v>13.0</v>
      </c>
      <c r="K2337" s="53" t="s">
        <v>53</v>
      </c>
      <c r="L2337" s="53" t="s">
        <v>53</v>
      </c>
    </row>
    <row r="2338" ht="15.75" customHeight="1">
      <c r="A2338" s="53" t="s">
        <v>411</v>
      </c>
      <c r="B2338" s="53" t="s">
        <v>2789</v>
      </c>
      <c r="D2338" s="53" t="s">
        <v>2931</v>
      </c>
      <c r="E2338" s="53" t="s">
        <v>3602</v>
      </c>
      <c r="F2338" s="53" t="s">
        <v>2882</v>
      </c>
      <c r="G2338" s="53" t="s">
        <v>2923</v>
      </c>
      <c r="H2338" s="53">
        <v>1.0</v>
      </c>
      <c r="I2338" s="53">
        <v>0.1</v>
      </c>
      <c r="J2338" s="53">
        <v>1.0</v>
      </c>
      <c r="K2338" s="53" t="s">
        <v>53</v>
      </c>
      <c r="L2338" s="53" t="s">
        <v>53</v>
      </c>
    </row>
    <row r="2339" ht="15.75" customHeight="1">
      <c r="A2339" s="53" t="s">
        <v>411</v>
      </c>
      <c r="B2339" s="53" t="s">
        <v>2789</v>
      </c>
      <c r="D2339" s="53" t="s">
        <v>2931</v>
      </c>
      <c r="E2339" s="53" t="s">
        <v>3603</v>
      </c>
      <c r="F2339" s="53" t="s">
        <v>2882</v>
      </c>
      <c r="G2339" s="53" t="s">
        <v>2915</v>
      </c>
      <c r="H2339" s="53">
        <v>1.0</v>
      </c>
      <c r="I2339" s="53">
        <v>0.1</v>
      </c>
      <c r="J2339" s="53">
        <v>0.0</v>
      </c>
      <c r="K2339" s="53" t="s">
        <v>53</v>
      </c>
      <c r="L2339" s="53" t="s">
        <v>53</v>
      </c>
    </row>
    <row r="2340" ht="15.75" customHeight="1">
      <c r="A2340" s="53" t="s">
        <v>411</v>
      </c>
      <c r="B2340" s="53" t="s">
        <v>2789</v>
      </c>
      <c r="D2340" s="53" t="s">
        <v>2931</v>
      </c>
      <c r="E2340" s="53" t="s">
        <v>3604</v>
      </c>
      <c r="F2340" s="53" t="s">
        <v>2882</v>
      </c>
      <c r="G2340" s="53" t="s">
        <v>2921</v>
      </c>
      <c r="H2340" s="53">
        <v>1.0</v>
      </c>
      <c r="I2340" s="53">
        <v>0.1</v>
      </c>
      <c r="J2340" s="53">
        <v>3.0</v>
      </c>
      <c r="K2340" s="53" t="s">
        <v>53</v>
      </c>
      <c r="L2340" s="53" t="s">
        <v>53</v>
      </c>
    </row>
    <row r="2341" ht="15.75" customHeight="1">
      <c r="A2341" s="53" t="s">
        <v>411</v>
      </c>
      <c r="B2341" s="53" t="s">
        <v>2789</v>
      </c>
      <c r="D2341" s="53" t="s">
        <v>2931</v>
      </c>
      <c r="E2341" s="53" t="s">
        <v>3605</v>
      </c>
      <c r="F2341" s="53" t="s">
        <v>2882</v>
      </c>
      <c r="G2341" s="53" t="s">
        <v>2925</v>
      </c>
      <c r="H2341" s="53">
        <v>1.0</v>
      </c>
      <c r="I2341" s="53">
        <v>0.10625</v>
      </c>
      <c r="J2341" s="53">
        <v>7.0</v>
      </c>
      <c r="K2341" s="53" t="s">
        <v>53</v>
      </c>
      <c r="L2341" s="53" t="s">
        <v>53</v>
      </c>
    </row>
    <row r="2342" ht="15.75" customHeight="1">
      <c r="A2342" s="53" t="s">
        <v>411</v>
      </c>
      <c r="B2342" s="53" t="s">
        <v>2789</v>
      </c>
      <c r="D2342" s="53" t="s">
        <v>2931</v>
      </c>
      <c r="E2342" s="53" t="s">
        <v>3606</v>
      </c>
      <c r="F2342" s="53" t="s">
        <v>2882</v>
      </c>
      <c r="G2342" s="53" t="s">
        <v>2919</v>
      </c>
      <c r="H2342" s="53">
        <v>1.0</v>
      </c>
      <c r="I2342" s="53">
        <v>0.1125</v>
      </c>
      <c r="J2342" s="53">
        <v>2.0</v>
      </c>
      <c r="K2342" s="53" t="s">
        <v>53</v>
      </c>
      <c r="L2342" s="53" t="s">
        <v>53</v>
      </c>
    </row>
    <row r="2343" ht="15.75" customHeight="1">
      <c r="A2343" s="53" t="s">
        <v>411</v>
      </c>
      <c r="B2343" s="53" t="s">
        <v>2789</v>
      </c>
      <c r="D2343" s="53" t="s">
        <v>2931</v>
      </c>
      <c r="E2343" s="53" t="s">
        <v>3607</v>
      </c>
      <c r="F2343" s="53" t="s">
        <v>2882</v>
      </c>
      <c r="G2343" s="53" t="s">
        <v>2927</v>
      </c>
      <c r="H2343" s="53">
        <v>1.0</v>
      </c>
      <c r="I2343" s="53">
        <v>0.1125</v>
      </c>
      <c r="J2343" s="53">
        <v>4.0</v>
      </c>
      <c r="K2343" s="53" t="s">
        <v>53</v>
      </c>
      <c r="L2343" s="53" t="s">
        <v>53</v>
      </c>
    </row>
    <row r="2344" ht="15.75" customHeight="1">
      <c r="A2344" s="53" t="s">
        <v>411</v>
      </c>
      <c r="B2344" s="53" t="s">
        <v>2789</v>
      </c>
      <c r="D2344" s="53" t="s">
        <v>2931</v>
      </c>
      <c r="E2344" s="53" t="s">
        <v>3608</v>
      </c>
      <c r="F2344" s="53" t="s">
        <v>2882</v>
      </c>
      <c r="G2344" s="53" t="s">
        <v>2929</v>
      </c>
      <c r="H2344" s="53">
        <v>1.0</v>
      </c>
      <c r="I2344" s="53">
        <v>0.12422360248447205</v>
      </c>
      <c r="J2344" s="53">
        <v>5.0</v>
      </c>
      <c r="K2344" s="53" t="s">
        <v>53</v>
      </c>
      <c r="L2344" s="53" t="s">
        <v>53</v>
      </c>
    </row>
    <row r="2345" ht="15.75" customHeight="1">
      <c r="A2345" s="53" t="s">
        <v>411</v>
      </c>
      <c r="B2345" s="53" t="s">
        <v>2789</v>
      </c>
      <c r="D2345" s="53" t="s">
        <v>2931</v>
      </c>
      <c r="E2345" s="53" t="s">
        <v>3609</v>
      </c>
      <c r="F2345" s="53" t="s">
        <v>2882</v>
      </c>
      <c r="G2345" s="53" t="s">
        <v>2907</v>
      </c>
      <c r="H2345" s="53">
        <v>1.0</v>
      </c>
      <c r="I2345" s="53">
        <v>0.1375</v>
      </c>
      <c r="J2345" s="53">
        <v>8.0</v>
      </c>
      <c r="K2345" s="53" t="s">
        <v>53</v>
      </c>
      <c r="L2345" s="53" t="s">
        <v>53</v>
      </c>
    </row>
    <row r="2346" ht="15.75" customHeight="1">
      <c r="A2346" s="53" t="s">
        <v>411</v>
      </c>
      <c r="B2346" s="53" t="s">
        <v>2789</v>
      </c>
      <c r="D2346" s="53" t="s">
        <v>2931</v>
      </c>
      <c r="E2346" s="53" t="s">
        <v>3610</v>
      </c>
      <c r="F2346" s="53" t="s">
        <v>2882</v>
      </c>
      <c r="G2346" s="53" t="s">
        <v>2933</v>
      </c>
      <c r="H2346" s="53">
        <v>1.0</v>
      </c>
      <c r="I2346" s="53">
        <v>0.14285714285714285</v>
      </c>
      <c r="J2346" s="53">
        <v>6.0</v>
      </c>
      <c r="K2346" s="53" t="s">
        <v>53</v>
      </c>
      <c r="L2346" s="53" t="s">
        <v>53</v>
      </c>
    </row>
    <row r="2347" ht="15.75" customHeight="1">
      <c r="A2347" s="53" t="s">
        <v>411</v>
      </c>
      <c r="B2347" s="53" t="s">
        <v>2789</v>
      </c>
      <c r="D2347" s="53" t="s">
        <v>2931</v>
      </c>
      <c r="E2347" s="53" t="s">
        <v>3611</v>
      </c>
      <c r="F2347" s="53" t="s">
        <v>2882</v>
      </c>
      <c r="G2347" s="53" t="s">
        <v>2917</v>
      </c>
      <c r="H2347" s="53">
        <v>1.0</v>
      </c>
      <c r="I2347" s="53">
        <v>0.15</v>
      </c>
      <c r="J2347" s="53">
        <v>9.0</v>
      </c>
      <c r="K2347" s="53" t="s">
        <v>53</v>
      </c>
      <c r="L2347" s="53" t="s">
        <v>53</v>
      </c>
    </row>
    <row r="2348" ht="15.75" customHeight="1">
      <c r="A2348" s="53" t="s">
        <v>411</v>
      </c>
      <c r="B2348" s="53" t="s">
        <v>2789</v>
      </c>
      <c r="D2348" s="53" t="s">
        <v>2931</v>
      </c>
      <c r="E2348" s="53" t="s">
        <v>3612</v>
      </c>
      <c r="F2348" s="53" t="s">
        <v>2882</v>
      </c>
      <c r="G2348" s="53" t="s">
        <v>485</v>
      </c>
      <c r="H2348" s="53">
        <v>1.0</v>
      </c>
      <c r="I2348" s="53">
        <v>0.2</v>
      </c>
      <c r="J2348" s="53">
        <v>10.0</v>
      </c>
      <c r="K2348" s="53" t="s">
        <v>53</v>
      </c>
      <c r="L2348" s="53" t="s">
        <v>53</v>
      </c>
    </row>
    <row r="2349" ht="15.75" customHeight="1">
      <c r="A2349" s="53" t="s">
        <v>411</v>
      </c>
      <c r="B2349" s="53" t="s">
        <v>2789</v>
      </c>
      <c r="D2349" s="53" t="s">
        <v>2931</v>
      </c>
      <c r="E2349" s="53" t="s">
        <v>3613</v>
      </c>
      <c r="F2349" s="53" t="s">
        <v>2882</v>
      </c>
      <c r="G2349" s="53" t="s">
        <v>474</v>
      </c>
      <c r="H2349" s="53">
        <v>1.0</v>
      </c>
      <c r="I2349" s="53">
        <v>0.20625</v>
      </c>
      <c r="J2349" s="53">
        <v>11.0</v>
      </c>
      <c r="K2349" s="53" t="s">
        <v>53</v>
      </c>
      <c r="L2349" s="53" t="s">
        <v>53</v>
      </c>
    </row>
    <row r="2350" ht="15.75" customHeight="1">
      <c r="A2350" s="53" t="s">
        <v>411</v>
      </c>
      <c r="B2350" s="53" t="s">
        <v>2789</v>
      </c>
      <c r="D2350" s="53" t="s">
        <v>2931</v>
      </c>
      <c r="E2350" s="53" t="s">
        <v>3614</v>
      </c>
      <c r="F2350" s="53" t="s">
        <v>2882</v>
      </c>
      <c r="G2350" s="53" t="s">
        <v>2937</v>
      </c>
      <c r="H2350" s="53">
        <v>1.0</v>
      </c>
      <c r="I2350" s="53">
        <v>0.21875</v>
      </c>
      <c r="J2350" s="53">
        <v>14.0</v>
      </c>
      <c r="K2350" s="53" t="s">
        <v>53</v>
      </c>
      <c r="L2350" s="53" t="s">
        <v>53</v>
      </c>
    </row>
    <row r="2351" ht="15.75" customHeight="1">
      <c r="A2351" s="53" t="s">
        <v>411</v>
      </c>
      <c r="B2351" s="53" t="s">
        <v>2789</v>
      </c>
      <c r="D2351" s="53" t="s">
        <v>2931</v>
      </c>
      <c r="E2351" s="53" t="s">
        <v>3615</v>
      </c>
      <c r="F2351" s="53" t="s">
        <v>2882</v>
      </c>
      <c r="G2351" s="53" t="s">
        <v>2948</v>
      </c>
      <c r="H2351" s="53">
        <v>1.0</v>
      </c>
      <c r="I2351" s="53">
        <v>0.225</v>
      </c>
      <c r="J2351" s="53">
        <v>13.0</v>
      </c>
      <c r="K2351" s="53" t="s">
        <v>53</v>
      </c>
      <c r="L2351" s="53" t="s">
        <v>53</v>
      </c>
    </row>
    <row r="2352" ht="15.75" customHeight="1">
      <c r="A2352" s="53" t="s">
        <v>411</v>
      </c>
      <c r="B2352" s="53" t="s">
        <v>2789</v>
      </c>
      <c r="D2352" s="53" t="s">
        <v>2931</v>
      </c>
      <c r="E2352" s="53" t="s">
        <v>3616</v>
      </c>
      <c r="F2352" s="53" t="s">
        <v>2882</v>
      </c>
      <c r="G2352" s="53" t="s">
        <v>2942</v>
      </c>
      <c r="H2352" s="53">
        <v>1.0</v>
      </c>
      <c r="I2352" s="53">
        <v>0.2375</v>
      </c>
      <c r="J2352" s="53">
        <v>15.0</v>
      </c>
      <c r="K2352" s="53" t="s">
        <v>53</v>
      </c>
      <c r="L2352" s="53" t="s">
        <v>53</v>
      </c>
    </row>
    <row r="2353" ht="15.75" customHeight="1">
      <c r="A2353" s="53" t="s">
        <v>411</v>
      </c>
      <c r="B2353" s="53" t="s">
        <v>2789</v>
      </c>
      <c r="D2353" s="53" t="s">
        <v>2931</v>
      </c>
      <c r="E2353" s="53" t="s">
        <v>3617</v>
      </c>
      <c r="F2353" s="53" t="s">
        <v>2882</v>
      </c>
      <c r="G2353" s="53" t="s">
        <v>495</v>
      </c>
      <c r="H2353" s="53">
        <v>1.0</v>
      </c>
      <c r="I2353" s="53">
        <v>0.26875</v>
      </c>
      <c r="J2353" s="53">
        <v>12.0</v>
      </c>
      <c r="K2353" s="53" t="s">
        <v>53</v>
      </c>
      <c r="L2353" s="53" t="s">
        <v>53</v>
      </c>
    </row>
    <row r="2354" ht="15.75" customHeight="1">
      <c r="A2354" s="53" t="s">
        <v>411</v>
      </c>
      <c r="B2354" s="53" t="s">
        <v>2789</v>
      </c>
      <c r="D2354" s="53" t="s">
        <v>2915</v>
      </c>
      <c r="E2354" s="53" t="s">
        <v>3618</v>
      </c>
      <c r="F2354" s="53" t="s">
        <v>2882</v>
      </c>
      <c r="G2354" s="53" t="s">
        <v>2927</v>
      </c>
      <c r="H2354" s="53">
        <v>1.0</v>
      </c>
      <c r="I2354" s="53">
        <v>0.08917197452229299</v>
      </c>
      <c r="J2354" s="53">
        <v>3.0</v>
      </c>
      <c r="K2354" s="53" t="s">
        <v>53</v>
      </c>
      <c r="L2354" s="53" t="s">
        <v>53</v>
      </c>
    </row>
    <row r="2355" ht="15.75" customHeight="1">
      <c r="A2355" s="53" t="s">
        <v>411</v>
      </c>
      <c r="B2355" s="53" t="s">
        <v>2789</v>
      </c>
      <c r="D2355" s="53" t="s">
        <v>2915</v>
      </c>
      <c r="E2355" s="53" t="s">
        <v>3619</v>
      </c>
      <c r="F2355" s="53" t="s">
        <v>2882</v>
      </c>
      <c r="G2355" s="53" t="s">
        <v>2923</v>
      </c>
      <c r="H2355" s="53">
        <v>1.0</v>
      </c>
      <c r="I2355" s="53">
        <v>0.08974358974358974</v>
      </c>
      <c r="J2355" s="53">
        <v>0.0</v>
      </c>
      <c r="K2355" s="53" t="s">
        <v>53</v>
      </c>
      <c r="L2355" s="53" t="s">
        <v>53</v>
      </c>
    </row>
    <row r="2356" ht="15.75" customHeight="1">
      <c r="A2356" s="53" t="s">
        <v>411</v>
      </c>
      <c r="B2356" s="53" t="s">
        <v>2789</v>
      </c>
      <c r="D2356" s="53" t="s">
        <v>2915</v>
      </c>
      <c r="E2356" s="53" t="s">
        <v>3620</v>
      </c>
      <c r="F2356" s="53" t="s">
        <v>2882</v>
      </c>
      <c r="G2356" s="53" t="s">
        <v>2921</v>
      </c>
      <c r="H2356" s="53">
        <v>1.0</v>
      </c>
      <c r="I2356" s="53">
        <v>0.09554140127388536</v>
      </c>
      <c r="J2356" s="53">
        <v>2.0</v>
      </c>
      <c r="K2356" s="53" t="s">
        <v>53</v>
      </c>
      <c r="L2356" s="53" t="s">
        <v>53</v>
      </c>
    </row>
    <row r="2357" ht="15.75" customHeight="1">
      <c r="A2357" s="53" t="s">
        <v>411</v>
      </c>
      <c r="B2357" s="53" t="s">
        <v>2789</v>
      </c>
      <c r="D2357" s="53" t="s">
        <v>2915</v>
      </c>
      <c r="E2357" s="53" t="s">
        <v>3621</v>
      </c>
      <c r="F2357" s="53" t="s">
        <v>2882</v>
      </c>
      <c r="G2357" s="53" t="s">
        <v>2925</v>
      </c>
      <c r="H2357" s="53">
        <v>1.0</v>
      </c>
      <c r="I2357" s="53">
        <v>0.10062893081761007</v>
      </c>
      <c r="J2357" s="53">
        <v>6.0</v>
      </c>
      <c r="K2357" s="53" t="s">
        <v>53</v>
      </c>
      <c r="L2357" s="53" t="s">
        <v>53</v>
      </c>
    </row>
    <row r="2358" ht="15.75" customHeight="1">
      <c r="A2358" s="53" t="s">
        <v>411</v>
      </c>
      <c r="B2358" s="53" t="s">
        <v>2789</v>
      </c>
      <c r="D2358" s="53" t="s">
        <v>2915</v>
      </c>
      <c r="E2358" s="53" t="s">
        <v>3622</v>
      </c>
      <c r="F2358" s="53" t="s">
        <v>2882</v>
      </c>
      <c r="G2358" s="53" t="s">
        <v>2929</v>
      </c>
      <c r="H2358" s="53">
        <v>1.0</v>
      </c>
      <c r="I2358" s="53">
        <v>0.10559006211180125</v>
      </c>
      <c r="J2358" s="53">
        <v>4.0</v>
      </c>
      <c r="K2358" s="53" t="s">
        <v>53</v>
      </c>
      <c r="L2358" s="53" t="s">
        <v>53</v>
      </c>
    </row>
    <row r="2359" ht="15.75" customHeight="1">
      <c r="A2359" s="53" t="s">
        <v>411</v>
      </c>
      <c r="B2359" s="53" t="s">
        <v>2789</v>
      </c>
      <c r="D2359" s="53" t="s">
        <v>2915</v>
      </c>
      <c r="E2359" s="53" t="s">
        <v>3623</v>
      </c>
      <c r="F2359" s="53" t="s">
        <v>2882</v>
      </c>
      <c r="G2359" s="53" t="s">
        <v>2919</v>
      </c>
      <c r="H2359" s="53">
        <v>1.0</v>
      </c>
      <c r="I2359" s="53">
        <v>0.11320754716981132</v>
      </c>
      <c r="J2359" s="53">
        <v>1.0</v>
      </c>
      <c r="K2359" s="53" t="s">
        <v>53</v>
      </c>
      <c r="L2359" s="53" t="s">
        <v>53</v>
      </c>
    </row>
    <row r="2360" ht="15.75" customHeight="1">
      <c r="A2360" s="53" t="s">
        <v>411</v>
      </c>
      <c r="B2360" s="53" t="s">
        <v>2789</v>
      </c>
      <c r="D2360" s="53" t="s">
        <v>2915</v>
      </c>
      <c r="E2360" s="53" t="s">
        <v>3624</v>
      </c>
      <c r="F2360" s="53" t="s">
        <v>2882</v>
      </c>
      <c r="G2360" s="53" t="s">
        <v>2917</v>
      </c>
      <c r="H2360" s="53">
        <v>1.0</v>
      </c>
      <c r="I2360" s="53">
        <v>0.11764705882352941</v>
      </c>
      <c r="J2360" s="53">
        <v>8.0</v>
      </c>
      <c r="K2360" s="53" t="s">
        <v>53</v>
      </c>
      <c r="L2360" s="53" t="s">
        <v>53</v>
      </c>
    </row>
    <row r="2361" ht="15.75" customHeight="1">
      <c r="A2361" s="53" t="s">
        <v>411</v>
      </c>
      <c r="B2361" s="53" t="s">
        <v>2789</v>
      </c>
      <c r="D2361" s="53" t="s">
        <v>2915</v>
      </c>
      <c r="E2361" s="53" t="s">
        <v>3625</v>
      </c>
      <c r="F2361" s="53" t="s">
        <v>2882</v>
      </c>
      <c r="G2361" s="53" t="s">
        <v>2933</v>
      </c>
      <c r="H2361" s="53">
        <v>1.0</v>
      </c>
      <c r="I2361" s="53">
        <v>0.125</v>
      </c>
      <c r="J2361" s="53">
        <v>5.0</v>
      </c>
      <c r="K2361" s="53" t="s">
        <v>53</v>
      </c>
      <c r="L2361" s="53" t="s">
        <v>53</v>
      </c>
    </row>
    <row r="2362" ht="15.75" customHeight="1">
      <c r="A2362" s="53" t="s">
        <v>411</v>
      </c>
      <c r="B2362" s="53" t="s">
        <v>2789</v>
      </c>
      <c r="D2362" s="53" t="s">
        <v>2915</v>
      </c>
      <c r="E2362" s="53" t="s">
        <v>3626</v>
      </c>
      <c r="F2362" s="53" t="s">
        <v>2882</v>
      </c>
      <c r="G2362" s="53" t="s">
        <v>2907</v>
      </c>
      <c r="H2362" s="53">
        <v>1.0</v>
      </c>
      <c r="I2362" s="53">
        <v>0.13071895424836602</v>
      </c>
      <c r="J2362" s="53">
        <v>7.0</v>
      </c>
      <c r="K2362" s="53" t="s">
        <v>53</v>
      </c>
      <c r="L2362" s="53" t="s">
        <v>53</v>
      </c>
    </row>
    <row r="2363" ht="15.75" customHeight="1">
      <c r="A2363" s="53" t="s">
        <v>411</v>
      </c>
      <c r="B2363" s="53" t="s">
        <v>2789</v>
      </c>
      <c r="D2363" s="53" t="s">
        <v>2915</v>
      </c>
      <c r="E2363" s="53" t="s">
        <v>3627</v>
      </c>
      <c r="F2363" s="53" t="s">
        <v>2882</v>
      </c>
      <c r="G2363" s="53" t="s">
        <v>2937</v>
      </c>
      <c r="H2363" s="53">
        <v>1.0</v>
      </c>
      <c r="I2363" s="53">
        <v>0.20261437908496732</v>
      </c>
      <c r="J2363" s="53">
        <v>13.0</v>
      </c>
      <c r="K2363" s="53" t="s">
        <v>53</v>
      </c>
      <c r="L2363" s="53" t="s">
        <v>53</v>
      </c>
    </row>
    <row r="2364" ht="15.75" customHeight="1">
      <c r="A2364" s="53" t="s">
        <v>411</v>
      </c>
      <c r="B2364" s="53" t="s">
        <v>2789</v>
      </c>
      <c r="D2364" s="53" t="s">
        <v>2915</v>
      </c>
      <c r="E2364" s="53" t="s">
        <v>3628</v>
      </c>
      <c r="F2364" s="53" t="s">
        <v>2882</v>
      </c>
      <c r="G2364" s="53" t="s">
        <v>2948</v>
      </c>
      <c r="H2364" s="53">
        <v>1.0</v>
      </c>
      <c r="I2364" s="53">
        <v>0.20261437908496732</v>
      </c>
      <c r="J2364" s="53">
        <v>12.0</v>
      </c>
      <c r="K2364" s="53" t="s">
        <v>53</v>
      </c>
      <c r="L2364" s="53" t="s">
        <v>53</v>
      </c>
    </row>
    <row r="2365" ht="15.75" customHeight="1">
      <c r="A2365" s="53" t="s">
        <v>411</v>
      </c>
      <c r="B2365" s="53" t="s">
        <v>2789</v>
      </c>
      <c r="D2365" s="53" t="s">
        <v>2915</v>
      </c>
      <c r="E2365" s="53" t="s">
        <v>3629</v>
      </c>
      <c r="F2365" s="53" t="s">
        <v>2882</v>
      </c>
      <c r="G2365" s="53" t="s">
        <v>485</v>
      </c>
      <c r="H2365" s="53">
        <v>1.0</v>
      </c>
      <c r="I2365" s="53">
        <v>0.20261437908496732</v>
      </c>
      <c r="J2365" s="53">
        <v>9.0</v>
      </c>
      <c r="K2365" s="53" t="s">
        <v>53</v>
      </c>
      <c r="L2365" s="53" t="s">
        <v>53</v>
      </c>
    </row>
    <row r="2366" ht="15.75" customHeight="1">
      <c r="A2366" s="53" t="s">
        <v>411</v>
      </c>
      <c r="B2366" s="53" t="s">
        <v>2789</v>
      </c>
      <c r="D2366" s="53" t="s">
        <v>2915</v>
      </c>
      <c r="E2366" s="53" t="s">
        <v>3630</v>
      </c>
      <c r="F2366" s="53" t="s">
        <v>2882</v>
      </c>
      <c r="G2366" s="53" t="s">
        <v>474</v>
      </c>
      <c r="H2366" s="53">
        <v>1.0</v>
      </c>
      <c r="I2366" s="53">
        <v>0.21428571428571427</v>
      </c>
      <c r="J2366" s="53">
        <v>10.0</v>
      </c>
      <c r="K2366" s="53" t="s">
        <v>53</v>
      </c>
      <c r="L2366" s="53" t="s">
        <v>53</v>
      </c>
    </row>
    <row r="2367" ht="15.75" customHeight="1">
      <c r="A2367" s="53" t="s">
        <v>411</v>
      </c>
      <c r="B2367" s="53" t="s">
        <v>2789</v>
      </c>
      <c r="D2367" s="53" t="s">
        <v>2915</v>
      </c>
      <c r="E2367" s="53" t="s">
        <v>3631</v>
      </c>
      <c r="F2367" s="53" t="s">
        <v>2882</v>
      </c>
      <c r="G2367" s="53" t="s">
        <v>2942</v>
      </c>
      <c r="H2367" s="53">
        <v>1.0</v>
      </c>
      <c r="I2367" s="53">
        <v>0.22875816993464052</v>
      </c>
      <c r="J2367" s="53">
        <v>14.0</v>
      </c>
      <c r="K2367" s="53" t="s">
        <v>53</v>
      </c>
      <c r="L2367" s="53" t="s">
        <v>53</v>
      </c>
    </row>
    <row r="2368" ht="15.75" customHeight="1">
      <c r="A2368" s="53" t="s">
        <v>411</v>
      </c>
      <c r="B2368" s="53" t="s">
        <v>2789</v>
      </c>
      <c r="D2368" s="53" t="s">
        <v>2915</v>
      </c>
      <c r="E2368" s="53" t="s">
        <v>3632</v>
      </c>
      <c r="F2368" s="53" t="s">
        <v>2882</v>
      </c>
      <c r="G2368" s="53" t="s">
        <v>495</v>
      </c>
      <c r="H2368" s="53">
        <v>1.0</v>
      </c>
      <c r="I2368" s="53">
        <v>0.24836601307189543</v>
      </c>
      <c r="J2368" s="53">
        <v>11.0</v>
      </c>
      <c r="K2368" s="53" t="s">
        <v>53</v>
      </c>
      <c r="L2368" s="53" t="s">
        <v>53</v>
      </c>
    </row>
    <row r="2369" ht="15.75" customHeight="1">
      <c r="A2369" s="53" t="s">
        <v>411</v>
      </c>
      <c r="B2369" s="53" t="s">
        <v>2789</v>
      </c>
      <c r="D2369" s="53" t="s">
        <v>2923</v>
      </c>
      <c r="E2369" s="53" t="s">
        <v>3633</v>
      </c>
      <c r="F2369" s="53" t="s">
        <v>2882</v>
      </c>
      <c r="G2369" s="53" t="s">
        <v>2925</v>
      </c>
      <c r="H2369" s="53">
        <v>1.0</v>
      </c>
      <c r="I2369" s="53">
        <v>0.10062893081761007</v>
      </c>
      <c r="J2369" s="53">
        <v>5.0</v>
      </c>
      <c r="K2369" s="53" t="s">
        <v>53</v>
      </c>
      <c r="L2369" s="53" t="s">
        <v>53</v>
      </c>
    </row>
    <row r="2370" ht="15.75" customHeight="1">
      <c r="A2370" s="53" t="s">
        <v>411</v>
      </c>
      <c r="B2370" s="53" t="s">
        <v>2789</v>
      </c>
      <c r="D2370" s="53" t="s">
        <v>2923</v>
      </c>
      <c r="E2370" s="53" t="s">
        <v>3634</v>
      </c>
      <c r="F2370" s="53" t="s">
        <v>2882</v>
      </c>
      <c r="G2370" s="53" t="s">
        <v>2927</v>
      </c>
      <c r="H2370" s="53">
        <v>1.0</v>
      </c>
      <c r="I2370" s="53">
        <v>0.10191082802547771</v>
      </c>
      <c r="J2370" s="53">
        <v>2.0</v>
      </c>
      <c r="K2370" s="53" t="s">
        <v>53</v>
      </c>
      <c r="L2370" s="53" t="s">
        <v>53</v>
      </c>
    </row>
    <row r="2371" ht="15.75" customHeight="1">
      <c r="A2371" s="53" t="s">
        <v>411</v>
      </c>
      <c r="B2371" s="53" t="s">
        <v>2789</v>
      </c>
      <c r="D2371" s="53" t="s">
        <v>2923</v>
      </c>
      <c r="E2371" s="53" t="s">
        <v>3635</v>
      </c>
      <c r="F2371" s="53" t="s">
        <v>2882</v>
      </c>
      <c r="G2371" s="53" t="s">
        <v>2921</v>
      </c>
      <c r="H2371" s="53">
        <v>1.0</v>
      </c>
      <c r="I2371" s="53">
        <v>0.10191082802547771</v>
      </c>
      <c r="J2371" s="53">
        <v>1.0</v>
      </c>
      <c r="K2371" s="53" t="s">
        <v>53</v>
      </c>
      <c r="L2371" s="53" t="s">
        <v>53</v>
      </c>
    </row>
    <row r="2372" ht="15.75" customHeight="1">
      <c r="A2372" s="53" t="s">
        <v>411</v>
      </c>
      <c r="B2372" s="53" t="s">
        <v>2789</v>
      </c>
      <c r="D2372" s="53" t="s">
        <v>2923</v>
      </c>
      <c r="E2372" s="53" t="s">
        <v>3636</v>
      </c>
      <c r="F2372" s="53" t="s">
        <v>2882</v>
      </c>
      <c r="G2372" s="53" t="s">
        <v>2929</v>
      </c>
      <c r="H2372" s="53">
        <v>1.0</v>
      </c>
      <c r="I2372" s="53">
        <v>0.10559006211180125</v>
      </c>
      <c r="J2372" s="53">
        <v>3.0</v>
      </c>
      <c r="K2372" s="53" t="s">
        <v>53</v>
      </c>
      <c r="L2372" s="53" t="s">
        <v>53</v>
      </c>
    </row>
    <row r="2373" ht="15.75" customHeight="1">
      <c r="A2373" s="53" t="s">
        <v>411</v>
      </c>
      <c r="B2373" s="53" t="s">
        <v>2789</v>
      </c>
      <c r="D2373" s="53" t="s">
        <v>2923</v>
      </c>
      <c r="E2373" s="53" t="s">
        <v>3637</v>
      </c>
      <c r="F2373" s="53" t="s">
        <v>2882</v>
      </c>
      <c r="G2373" s="53" t="s">
        <v>2919</v>
      </c>
      <c r="H2373" s="53">
        <v>1.0</v>
      </c>
      <c r="I2373" s="53">
        <v>0.11320754716981132</v>
      </c>
      <c r="J2373" s="53">
        <v>0.0</v>
      </c>
      <c r="K2373" s="53" t="s">
        <v>53</v>
      </c>
      <c r="L2373" s="53" t="s">
        <v>53</v>
      </c>
    </row>
    <row r="2374" ht="15.75" customHeight="1">
      <c r="A2374" s="53" t="s">
        <v>411</v>
      </c>
      <c r="B2374" s="53" t="s">
        <v>2789</v>
      </c>
      <c r="D2374" s="53" t="s">
        <v>2923</v>
      </c>
      <c r="E2374" s="53" t="s">
        <v>3638</v>
      </c>
      <c r="F2374" s="53" t="s">
        <v>2882</v>
      </c>
      <c r="G2374" s="53" t="s">
        <v>2917</v>
      </c>
      <c r="H2374" s="53">
        <v>1.0</v>
      </c>
      <c r="I2374" s="53">
        <v>0.1346153846153846</v>
      </c>
      <c r="J2374" s="53">
        <v>7.0</v>
      </c>
      <c r="K2374" s="53" t="s">
        <v>53</v>
      </c>
      <c r="L2374" s="53" t="s">
        <v>53</v>
      </c>
    </row>
    <row r="2375" ht="15.75" customHeight="1">
      <c r="A2375" s="53" t="s">
        <v>411</v>
      </c>
      <c r="B2375" s="53" t="s">
        <v>2789</v>
      </c>
      <c r="D2375" s="53" t="s">
        <v>2923</v>
      </c>
      <c r="E2375" s="53" t="s">
        <v>3639</v>
      </c>
      <c r="F2375" s="53" t="s">
        <v>2882</v>
      </c>
      <c r="G2375" s="53" t="s">
        <v>2907</v>
      </c>
      <c r="H2375" s="53">
        <v>1.0</v>
      </c>
      <c r="I2375" s="53">
        <v>0.1346153846153846</v>
      </c>
      <c r="J2375" s="53">
        <v>6.0</v>
      </c>
      <c r="K2375" s="53" t="s">
        <v>53</v>
      </c>
      <c r="L2375" s="53" t="s">
        <v>53</v>
      </c>
    </row>
    <row r="2376" ht="15.75" customHeight="1">
      <c r="A2376" s="53" t="s">
        <v>411</v>
      </c>
      <c r="B2376" s="53" t="s">
        <v>2789</v>
      </c>
      <c r="D2376" s="53" t="s">
        <v>2923</v>
      </c>
      <c r="E2376" s="53" t="s">
        <v>3640</v>
      </c>
      <c r="F2376" s="53" t="s">
        <v>2882</v>
      </c>
      <c r="G2376" s="53" t="s">
        <v>2933</v>
      </c>
      <c r="H2376" s="53">
        <v>1.0</v>
      </c>
      <c r="I2376" s="53">
        <v>0.13690476190476192</v>
      </c>
      <c r="J2376" s="53">
        <v>4.0</v>
      </c>
      <c r="K2376" s="53" t="s">
        <v>53</v>
      </c>
      <c r="L2376" s="53" t="s">
        <v>53</v>
      </c>
    </row>
    <row r="2377" ht="15.75" customHeight="1">
      <c r="A2377" s="53" t="s">
        <v>411</v>
      </c>
      <c r="B2377" s="53" t="s">
        <v>2789</v>
      </c>
      <c r="D2377" s="53" t="s">
        <v>2923</v>
      </c>
      <c r="E2377" s="53" t="s">
        <v>3641</v>
      </c>
      <c r="F2377" s="53" t="s">
        <v>2882</v>
      </c>
      <c r="G2377" s="53" t="s">
        <v>485</v>
      </c>
      <c r="H2377" s="53">
        <v>1.0</v>
      </c>
      <c r="I2377" s="53">
        <v>0.1987179487179487</v>
      </c>
      <c r="J2377" s="53">
        <v>8.0</v>
      </c>
      <c r="K2377" s="53" t="s">
        <v>53</v>
      </c>
      <c r="L2377" s="53" t="s">
        <v>53</v>
      </c>
    </row>
    <row r="2378" ht="15.75" customHeight="1">
      <c r="A2378" s="53" t="s">
        <v>411</v>
      </c>
      <c r="B2378" s="53" t="s">
        <v>2789</v>
      </c>
      <c r="D2378" s="53" t="s">
        <v>2923</v>
      </c>
      <c r="E2378" s="53" t="s">
        <v>3642</v>
      </c>
      <c r="F2378" s="53" t="s">
        <v>2882</v>
      </c>
      <c r="G2378" s="53" t="s">
        <v>2937</v>
      </c>
      <c r="H2378" s="53">
        <v>1.0</v>
      </c>
      <c r="I2378" s="53">
        <v>0.20512820512820512</v>
      </c>
      <c r="J2378" s="53">
        <v>12.0</v>
      </c>
      <c r="K2378" s="53" t="s">
        <v>53</v>
      </c>
      <c r="L2378" s="53" t="s">
        <v>53</v>
      </c>
    </row>
    <row r="2379" ht="15.75" customHeight="1">
      <c r="A2379" s="53" t="s">
        <v>411</v>
      </c>
      <c r="B2379" s="53" t="s">
        <v>2789</v>
      </c>
      <c r="D2379" s="53" t="s">
        <v>2923</v>
      </c>
      <c r="E2379" s="53" t="s">
        <v>3643</v>
      </c>
      <c r="F2379" s="53" t="s">
        <v>2882</v>
      </c>
      <c r="G2379" s="53" t="s">
        <v>2948</v>
      </c>
      <c r="H2379" s="53">
        <v>1.0</v>
      </c>
      <c r="I2379" s="53">
        <v>0.20512820512820512</v>
      </c>
      <c r="J2379" s="53">
        <v>11.0</v>
      </c>
      <c r="K2379" s="53" t="s">
        <v>53</v>
      </c>
      <c r="L2379" s="53" t="s">
        <v>53</v>
      </c>
    </row>
    <row r="2380" ht="15.75" customHeight="1">
      <c r="A2380" s="53" t="s">
        <v>411</v>
      </c>
      <c r="B2380" s="53" t="s">
        <v>2789</v>
      </c>
      <c r="D2380" s="53" t="s">
        <v>2923</v>
      </c>
      <c r="E2380" s="53" t="s">
        <v>3644</v>
      </c>
      <c r="F2380" s="53" t="s">
        <v>2882</v>
      </c>
      <c r="G2380" s="53" t="s">
        <v>474</v>
      </c>
      <c r="H2380" s="53">
        <v>1.0</v>
      </c>
      <c r="I2380" s="53">
        <v>0.21153846153846154</v>
      </c>
      <c r="J2380" s="53">
        <v>9.0</v>
      </c>
      <c r="K2380" s="53" t="s">
        <v>53</v>
      </c>
      <c r="L2380" s="53" t="s">
        <v>53</v>
      </c>
    </row>
    <row r="2381" ht="15.75" customHeight="1">
      <c r="A2381" s="53" t="s">
        <v>411</v>
      </c>
      <c r="B2381" s="53" t="s">
        <v>2789</v>
      </c>
      <c r="D2381" s="53" t="s">
        <v>2923</v>
      </c>
      <c r="E2381" s="53" t="s">
        <v>3645</v>
      </c>
      <c r="F2381" s="53" t="s">
        <v>2882</v>
      </c>
      <c r="G2381" s="53" t="s">
        <v>2942</v>
      </c>
      <c r="H2381" s="53">
        <v>1.0</v>
      </c>
      <c r="I2381" s="53">
        <v>0.23717948717948717</v>
      </c>
      <c r="J2381" s="53">
        <v>13.0</v>
      </c>
      <c r="K2381" s="53" t="s">
        <v>53</v>
      </c>
      <c r="L2381" s="53" t="s">
        <v>53</v>
      </c>
    </row>
    <row r="2382" ht="15.75" customHeight="1">
      <c r="A2382" s="53" t="s">
        <v>411</v>
      </c>
      <c r="B2382" s="53" t="s">
        <v>2789</v>
      </c>
      <c r="D2382" s="53" t="s">
        <v>2923</v>
      </c>
      <c r="E2382" s="53" t="s">
        <v>3646</v>
      </c>
      <c r="F2382" s="53" t="s">
        <v>2882</v>
      </c>
      <c r="G2382" s="53" t="s">
        <v>495</v>
      </c>
      <c r="H2382" s="53">
        <v>1.0</v>
      </c>
      <c r="I2382" s="53">
        <v>0.2564102564102564</v>
      </c>
      <c r="J2382" s="53">
        <v>10.0</v>
      </c>
      <c r="K2382" s="53" t="s">
        <v>53</v>
      </c>
      <c r="L2382" s="53" t="s">
        <v>53</v>
      </c>
    </row>
    <row r="2383" ht="15.75" customHeight="1">
      <c r="A2383" s="53" t="s">
        <v>411</v>
      </c>
      <c r="B2383" s="53" t="s">
        <v>2789</v>
      </c>
      <c r="D2383" s="53" t="s">
        <v>2919</v>
      </c>
      <c r="E2383" s="53" t="s">
        <v>3647</v>
      </c>
      <c r="F2383" s="53" t="s">
        <v>2882</v>
      </c>
      <c r="G2383" s="53" t="s">
        <v>2929</v>
      </c>
      <c r="H2383" s="53">
        <v>1.0</v>
      </c>
      <c r="I2383" s="53">
        <v>0.07453416149068323</v>
      </c>
      <c r="J2383" s="53">
        <v>2.0</v>
      </c>
      <c r="K2383" s="53" t="s">
        <v>53</v>
      </c>
      <c r="L2383" s="53" t="s">
        <v>53</v>
      </c>
    </row>
    <row r="2384" ht="15.75" customHeight="1">
      <c r="A2384" s="53" t="s">
        <v>411</v>
      </c>
      <c r="B2384" s="53" t="s">
        <v>2789</v>
      </c>
      <c r="D2384" s="53" t="s">
        <v>2919</v>
      </c>
      <c r="E2384" s="53" t="s">
        <v>3648</v>
      </c>
      <c r="F2384" s="53" t="s">
        <v>2882</v>
      </c>
      <c r="G2384" s="53" t="s">
        <v>2921</v>
      </c>
      <c r="H2384" s="53">
        <v>1.0</v>
      </c>
      <c r="I2384" s="53">
        <v>0.09433962264150944</v>
      </c>
      <c r="J2384" s="53">
        <v>0.0</v>
      </c>
      <c r="K2384" s="53" t="s">
        <v>53</v>
      </c>
      <c r="L2384" s="53" t="s">
        <v>53</v>
      </c>
    </row>
    <row r="2385" ht="15.75" customHeight="1">
      <c r="A2385" s="53" t="s">
        <v>411</v>
      </c>
      <c r="B2385" s="53" t="s">
        <v>2789</v>
      </c>
      <c r="D2385" s="53" t="s">
        <v>2919</v>
      </c>
      <c r="E2385" s="53" t="s">
        <v>3649</v>
      </c>
      <c r="F2385" s="53" t="s">
        <v>2882</v>
      </c>
      <c r="G2385" s="53" t="s">
        <v>2933</v>
      </c>
      <c r="H2385" s="53">
        <v>1.0</v>
      </c>
      <c r="I2385" s="53">
        <v>0.09523809523809523</v>
      </c>
      <c r="J2385" s="53">
        <v>3.0</v>
      </c>
      <c r="K2385" s="53" t="s">
        <v>53</v>
      </c>
      <c r="L2385" s="53" t="s">
        <v>53</v>
      </c>
    </row>
    <row r="2386" ht="15.75" customHeight="1">
      <c r="A2386" s="53" t="s">
        <v>411</v>
      </c>
      <c r="B2386" s="53" t="s">
        <v>2789</v>
      </c>
      <c r="D2386" s="53" t="s">
        <v>2919</v>
      </c>
      <c r="E2386" s="53" t="s">
        <v>3650</v>
      </c>
      <c r="F2386" s="53" t="s">
        <v>2882</v>
      </c>
      <c r="G2386" s="53" t="s">
        <v>2927</v>
      </c>
      <c r="H2386" s="53">
        <v>1.0</v>
      </c>
      <c r="I2386" s="53">
        <v>0.1069182389937107</v>
      </c>
      <c r="J2386" s="53">
        <v>1.0</v>
      </c>
      <c r="K2386" s="53" t="s">
        <v>53</v>
      </c>
      <c r="L2386" s="53" t="s">
        <v>53</v>
      </c>
    </row>
    <row r="2387" ht="15.75" customHeight="1">
      <c r="A2387" s="53" t="s">
        <v>411</v>
      </c>
      <c r="B2387" s="53" t="s">
        <v>2789</v>
      </c>
      <c r="D2387" s="53" t="s">
        <v>2919</v>
      </c>
      <c r="E2387" s="53" t="s">
        <v>3651</v>
      </c>
      <c r="F2387" s="53" t="s">
        <v>2882</v>
      </c>
      <c r="G2387" s="53" t="s">
        <v>2925</v>
      </c>
      <c r="H2387" s="53">
        <v>1.0</v>
      </c>
      <c r="I2387" s="53">
        <v>0.11320754716981132</v>
      </c>
      <c r="J2387" s="53">
        <v>4.0</v>
      </c>
      <c r="K2387" s="53" t="s">
        <v>53</v>
      </c>
      <c r="L2387" s="53" t="s">
        <v>53</v>
      </c>
    </row>
    <row r="2388" ht="15.75" customHeight="1">
      <c r="A2388" s="53" t="s">
        <v>411</v>
      </c>
      <c r="B2388" s="53" t="s">
        <v>2789</v>
      </c>
      <c r="D2388" s="53" t="s">
        <v>2919</v>
      </c>
      <c r="E2388" s="53" t="s">
        <v>3652</v>
      </c>
      <c r="F2388" s="53" t="s">
        <v>2882</v>
      </c>
      <c r="G2388" s="53" t="s">
        <v>2917</v>
      </c>
      <c r="H2388" s="53">
        <v>1.0</v>
      </c>
      <c r="I2388" s="53">
        <v>0.14465408805031446</v>
      </c>
      <c r="J2388" s="53">
        <v>6.0</v>
      </c>
      <c r="K2388" s="53" t="s">
        <v>53</v>
      </c>
      <c r="L2388" s="53" t="s">
        <v>53</v>
      </c>
    </row>
    <row r="2389" ht="15.75" customHeight="1">
      <c r="A2389" s="53" t="s">
        <v>411</v>
      </c>
      <c r="B2389" s="53" t="s">
        <v>2789</v>
      </c>
      <c r="D2389" s="53" t="s">
        <v>2919</v>
      </c>
      <c r="E2389" s="53" t="s">
        <v>3653</v>
      </c>
      <c r="F2389" s="53" t="s">
        <v>2882</v>
      </c>
      <c r="G2389" s="53" t="s">
        <v>2907</v>
      </c>
      <c r="H2389" s="53">
        <v>1.0</v>
      </c>
      <c r="I2389" s="53">
        <v>0.1509433962264151</v>
      </c>
      <c r="J2389" s="53">
        <v>5.0</v>
      </c>
      <c r="K2389" s="53" t="s">
        <v>53</v>
      </c>
      <c r="L2389" s="53" t="s">
        <v>53</v>
      </c>
    </row>
    <row r="2390" ht="15.75" customHeight="1">
      <c r="A2390" s="53" t="s">
        <v>411</v>
      </c>
      <c r="B2390" s="53" t="s">
        <v>2789</v>
      </c>
      <c r="D2390" s="53" t="s">
        <v>2919</v>
      </c>
      <c r="E2390" s="53" t="s">
        <v>3654</v>
      </c>
      <c r="F2390" s="53" t="s">
        <v>2882</v>
      </c>
      <c r="G2390" s="53" t="s">
        <v>485</v>
      </c>
      <c r="H2390" s="53">
        <v>1.0</v>
      </c>
      <c r="I2390" s="53">
        <v>0.2138364779874214</v>
      </c>
      <c r="J2390" s="53">
        <v>7.0</v>
      </c>
      <c r="K2390" s="53" t="s">
        <v>53</v>
      </c>
      <c r="L2390" s="53" t="s">
        <v>53</v>
      </c>
    </row>
    <row r="2391" ht="15.75" customHeight="1">
      <c r="A2391" s="53" t="s">
        <v>411</v>
      </c>
      <c r="B2391" s="53" t="s">
        <v>2789</v>
      </c>
      <c r="D2391" s="53" t="s">
        <v>2919</v>
      </c>
      <c r="E2391" s="53" t="s">
        <v>3655</v>
      </c>
      <c r="F2391" s="53" t="s">
        <v>2882</v>
      </c>
      <c r="G2391" s="53" t="s">
        <v>2937</v>
      </c>
      <c r="H2391" s="53">
        <v>1.0</v>
      </c>
      <c r="I2391" s="53">
        <v>0.22012578616352202</v>
      </c>
      <c r="J2391" s="53">
        <v>11.0</v>
      </c>
      <c r="K2391" s="53" t="s">
        <v>53</v>
      </c>
      <c r="L2391" s="53" t="s">
        <v>53</v>
      </c>
    </row>
    <row r="2392" ht="15.75" customHeight="1">
      <c r="A2392" s="53" t="s">
        <v>411</v>
      </c>
      <c r="B2392" s="53" t="s">
        <v>2789</v>
      </c>
      <c r="D2392" s="53" t="s">
        <v>2919</v>
      </c>
      <c r="E2392" s="53" t="s">
        <v>3656</v>
      </c>
      <c r="F2392" s="53" t="s">
        <v>2882</v>
      </c>
      <c r="G2392" s="53" t="s">
        <v>474</v>
      </c>
      <c r="H2392" s="53">
        <v>1.0</v>
      </c>
      <c r="I2392" s="53">
        <v>0.22012578616352202</v>
      </c>
      <c r="J2392" s="53">
        <v>8.0</v>
      </c>
      <c r="K2392" s="53" t="s">
        <v>53</v>
      </c>
      <c r="L2392" s="53" t="s">
        <v>53</v>
      </c>
    </row>
    <row r="2393" ht="15.75" customHeight="1">
      <c r="A2393" s="53" t="s">
        <v>411</v>
      </c>
      <c r="B2393" s="53" t="s">
        <v>2789</v>
      </c>
      <c r="D2393" s="53" t="s">
        <v>2919</v>
      </c>
      <c r="E2393" s="53" t="s">
        <v>3657</v>
      </c>
      <c r="F2393" s="53" t="s">
        <v>2882</v>
      </c>
      <c r="G2393" s="53" t="s">
        <v>2948</v>
      </c>
      <c r="H2393" s="53">
        <v>1.0</v>
      </c>
      <c r="I2393" s="53">
        <v>0.2389937106918239</v>
      </c>
      <c r="J2393" s="53">
        <v>10.0</v>
      </c>
      <c r="K2393" s="53" t="s">
        <v>53</v>
      </c>
      <c r="L2393" s="53" t="s">
        <v>53</v>
      </c>
    </row>
    <row r="2394" ht="15.75" customHeight="1">
      <c r="A2394" s="53" t="s">
        <v>411</v>
      </c>
      <c r="B2394" s="53" t="s">
        <v>2789</v>
      </c>
      <c r="D2394" s="53" t="s">
        <v>2919</v>
      </c>
      <c r="E2394" s="53" t="s">
        <v>3658</v>
      </c>
      <c r="F2394" s="53" t="s">
        <v>2882</v>
      </c>
      <c r="G2394" s="53" t="s">
        <v>2942</v>
      </c>
      <c r="H2394" s="53">
        <v>1.0</v>
      </c>
      <c r="I2394" s="53">
        <v>0.25157232704402516</v>
      </c>
      <c r="J2394" s="53">
        <v>12.0</v>
      </c>
      <c r="K2394" s="53" t="s">
        <v>53</v>
      </c>
      <c r="L2394" s="53" t="s">
        <v>53</v>
      </c>
    </row>
    <row r="2395" ht="15.75" customHeight="1">
      <c r="A2395" s="53" t="s">
        <v>411</v>
      </c>
      <c r="B2395" s="53" t="s">
        <v>2789</v>
      </c>
      <c r="D2395" s="53" t="s">
        <v>2919</v>
      </c>
      <c r="E2395" s="53" t="s">
        <v>3659</v>
      </c>
      <c r="F2395" s="53" t="s">
        <v>2882</v>
      </c>
      <c r="G2395" s="53" t="s">
        <v>495</v>
      </c>
      <c r="H2395" s="53">
        <v>1.0</v>
      </c>
      <c r="I2395" s="53">
        <v>0.27672955974842767</v>
      </c>
      <c r="J2395" s="53">
        <v>9.0</v>
      </c>
      <c r="K2395" s="53" t="s">
        <v>53</v>
      </c>
      <c r="L2395" s="53" t="s">
        <v>53</v>
      </c>
    </row>
    <row r="2396" ht="15.75" customHeight="1">
      <c r="A2396" s="53" t="s">
        <v>411</v>
      </c>
      <c r="B2396" s="53" t="s">
        <v>2789</v>
      </c>
      <c r="D2396" s="53" t="s">
        <v>2921</v>
      </c>
      <c r="E2396" s="53" t="s">
        <v>3660</v>
      </c>
      <c r="F2396" s="53" t="s">
        <v>2882</v>
      </c>
      <c r="G2396" s="53" t="s">
        <v>2927</v>
      </c>
      <c r="H2396" s="53">
        <v>1.0</v>
      </c>
      <c r="I2396" s="53">
        <v>0.08917197452229299</v>
      </c>
      <c r="J2396" s="53">
        <v>0.0</v>
      </c>
      <c r="K2396" s="53" t="s">
        <v>53</v>
      </c>
      <c r="L2396" s="53" t="s">
        <v>53</v>
      </c>
    </row>
    <row r="2397" ht="15.75" customHeight="1">
      <c r="A2397" s="53" t="s">
        <v>411</v>
      </c>
      <c r="B2397" s="53" t="s">
        <v>2789</v>
      </c>
      <c r="D2397" s="53" t="s">
        <v>2921</v>
      </c>
      <c r="E2397" s="53" t="s">
        <v>3661</v>
      </c>
      <c r="F2397" s="53" t="s">
        <v>2882</v>
      </c>
      <c r="G2397" s="53" t="s">
        <v>2929</v>
      </c>
      <c r="H2397" s="53">
        <v>1.0</v>
      </c>
      <c r="I2397" s="53">
        <v>0.09937888198757763</v>
      </c>
      <c r="J2397" s="53">
        <v>1.0</v>
      </c>
      <c r="K2397" s="53" t="s">
        <v>53</v>
      </c>
      <c r="L2397" s="53" t="s">
        <v>53</v>
      </c>
    </row>
    <row r="2398" ht="15.75" customHeight="1">
      <c r="A2398" s="53" t="s">
        <v>411</v>
      </c>
      <c r="B2398" s="53" t="s">
        <v>2789</v>
      </c>
      <c r="D2398" s="53" t="s">
        <v>2921</v>
      </c>
      <c r="E2398" s="53" t="s">
        <v>3662</v>
      </c>
      <c r="F2398" s="53" t="s">
        <v>2882</v>
      </c>
      <c r="G2398" s="53" t="s">
        <v>2925</v>
      </c>
      <c r="H2398" s="53">
        <v>1.0</v>
      </c>
      <c r="I2398" s="53">
        <v>0.1069182389937107</v>
      </c>
      <c r="J2398" s="53">
        <v>3.0</v>
      </c>
      <c r="K2398" s="53" t="s">
        <v>53</v>
      </c>
      <c r="L2398" s="53" t="s">
        <v>53</v>
      </c>
    </row>
    <row r="2399" ht="15.75" customHeight="1">
      <c r="A2399" s="53" t="s">
        <v>411</v>
      </c>
      <c r="B2399" s="53" t="s">
        <v>2789</v>
      </c>
      <c r="D2399" s="53" t="s">
        <v>2921</v>
      </c>
      <c r="E2399" s="53" t="s">
        <v>3663</v>
      </c>
      <c r="F2399" s="53" t="s">
        <v>2882</v>
      </c>
      <c r="G2399" s="53" t="s">
        <v>2907</v>
      </c>
      <c r="H2399" s="53">
        <v>1.0</v>
      </c>
      <c r="I2399" s="53">
        <v>0.14012738853503184</v>
      </c>
      <c r="J2399" s="53">
        <v>4.0</v>
      </c>
      <c r="K2399" s="53" t="s">
        <v>53</v>
      </c>
      <c r="L2399" s="53" t="s">
        <v>53</v>
      </c>
    </row>
    <row r="2400" ht="15.75" customHeight="1">
      <c r="A2400" s="53" t="s">
        <v>411</v>
      </c>
      <c r="B2400" s="53" t="s">
        <v>2789</v>
      </c>
      <c r="D2400" s="53" t="s">
        <v>2921</v>
      </c>
      <c r="E2400" s="53" t="s">
        <v>3664</v>
      </c>
      <c r="F2400" s="53" t="s">
        <v>2882</v>
      </c>
      <c r="G2400" s="53" t="s">
        <v>2933</v>
      </c>
      <c r="H2400" s="53">
        <v>1.0</v>
      </c>
      <c r="I2400" s="53">
        <v>0.14285714285714285</v>
      </c>
      <c r="J2400" s="53">
        <v>2.0</v>
      </c>
      <c r="K2400" s="53" t="s">
        <v>53</v>
      </c>
      <c r="L2400" s="53" t="s">
        <v>53</v>
      </c>
    </row>
    <row r="2401" ht="15.75" customHeight="1">
      <c r="A2401" s="53" t="s">
        <v>411</v>
      </c>
      <c r="B2401" s="53" t="s">
        <v>2789</v>
      </c>
      <c r="D2401" s="53" t="s">
        <v>2921</v>
      </c>
      <c r="E2401" s="53" t="s">
        <v>3665</v>
      </c>
      <c r="F2401" s="53" t="s">
        <v>2882</v>
      </c>
      <c r="G2401" s="53" t="s">
        <v>2917</v>
      </c>
      <c r="H2401" s="53">
        <v>1.0</v>
      </c>
      <c r="I2401" s="53">
        <v>0.15286624203821655</v>
      </c>
      <c r="J2401" s="53">
        <v>5.0</v>
      </c>
      <c r="K2401" s="53" t="s">
        <v>53</v>
      </c>
      <c r="L2401" s="53" t="s">
        <v>53</v>
      </c>
    </row>
    <row r="2402" ht="15.75" customHeight="1">
      <c r="A2402" s="53" t="s">
        <v>411</v>
      </c>
      <c r="B2402" s="53" t="s">
        <v>2789</v>
      </c>
      <c r="D2402" s="53" t="s">
        <v>2921</v>
      </c>
      <c r="E2402" s="53" t="s">
        <v>3666</v>
      </c>
      <c r="F2402" s="53" t="s">
        <v>2882</v>
      </c>
      <c r="G2402" s="53" t="s">
        <v>485</v>
      </c>
      <c r="H2402" s="53">
        <v>1.0</v>
      </c>
      <c r="I2402" s="53">
        <v>0.20382165605095542</v>
      </c>
      <c r="J2402" s="53">
        <v>6.0</v>
      </c>
      <c r="K2402" s="53" t="s">
        <v>53</v>
      </c>
      <c r="L2402" s="53" t="s">
        <v>53</v>
      </c>
    </row>
    <row r="2403" ht="15.75" customHeight="1">
      <c r="A2403" s="53" t="s">
        <v>411</v>
      </c>
      <c r="B2403" s="53" t="s">
        <v>2789</v>
      </c>
      <c r="D2403" s="53" t="s">
        <v>2921</v>
      </c>
      <c r="E2403" s="53" t="s">
        <v>3667</v>
      </c>
      <c r="F2403" s="53" t="s">
        <v>2882</v>
      </c>
      <c r="G2403" s="53" t="s">
        <v>2937</v>
      </c>
      <c r="H2403" s="53">
        <v>1.0</v>
      </c>
      <c r="I2403" s="53">
        <v>0.21656050955414013</v>
      </c>
      <c r="J2403" s="53">
        <v>10.0</v>
      </c>
      <c r="K2403" s="53" t="s">
        <v>53</v>
      </c>
      <c r="L2403" s="53" t="s">
        <v>53</v>
      </c>
    </row>
    <row r="2404" ht="15.75" customHeight="1">
      <c r="A2404" s="53" t="s">
        <v>411</v>
      </c>
      <c r="B2404" s="53" t="s">
        <v>2789</v>
      </c>
      <c r="D2404" s="53" t="s">
        <v>2921</v>
      </c>
      <c r="E2404" s="53" t="s">
        <v>3668</v>
      </c>
      <c r="F2404" s="53" t="s">
        <v>2882</v>
      </c>
      <c r="G2404" s="53" t="s">
        <v>474</v>
      </c>
      <c r="H2404" s="53">
        <v>1.0</v>
      </c>
      <c r="I2404" s="53">
        <v>0.21656050955414013</v>
      </c>
      <c r="J2404" s="53">
        <v>7.0</v>
      </c>
      <c r="K2404" s="53" t="s">
        <v>53</v>
      </c>
      <c r="L2404" s="53" t="s">
        <v>53</v>
      </c>
    </row>
    <row r="2405" ht="15.75" customHeight="1">
      <c r="A2405" s="53" t="s">
        <v>411</v>
      </c>
      <c r="B2405" s="53" t="s">
        <v>2789</v>
      </c>
      <c r="D2405" s="53" t="s">
        <v>2921</v>
      </c>
      <c r="E2405" s="53" t="s">
        <v>3669</v>
      </c>
      <c r="F2405" s="53" t="s">
        <v>2882</v>
      </c>
      <c r="G2405" s="53" t="s">
        <v>2948</v>
      </c>
      <c r="H2405" s="53">
        <v>1.0</v>
      </c>
      <c r="I2405" s="53">
        <v>0.2229299363057325</v>
      </c>
      <c r="J2405" s="53">
        <v>9.0</v>
      </c>
      <c r="K2405" s="53" t="s">
        <v>53</v>
      </c>
      <c r="L2405" s="53" t="s">
        <v>53</v>
      </c>
    </row>
    <row r="2406" ht="15.75" customHeight="1">
      <c r="A2406" s="53" t="s">
        <v>411</v>
      </c>
      <c r="B2406" s="53" t="s">
        <v>2789</v>
      </c>
      <c r="D2406" s="53" t="s">
        <v>2921</v>
      </c>
      <c r="E2406" s="53" t="s">
        <v>3670</v>
      </c>
      <c r="F2406" s="53" t="s">
        <v>2882</v>
      </c>
      <c r="G2406" s="53" t="s">
        <v>2942</v>
      </c>
      <c r="H2406" s="53">
        <v>1.0</v>
      </c>
      <c r="I2406" s="53">
        <v>0.24203821656050956</v>
      </c>
      <c r="J2406" s="53">
        <v>11.0</v>
      </c>
      <c r="K2406" s="53" t="s">
        <v>53</v>
      </c>
      <c r="L2406" s="53" t="s">
        <v>53</v>
      </c>
    </row>
    <row r="2407" ht="15.75" customHeight="1">
      <c r="A2407" s="53" t="s">
        <v>411</v>
      </c>
      <c r="B2407" s="53" t="s">
        <v>2789</v>
      </c>
      <c r="D2407" s="53" t="s">
        <v>2921</v>
      </c>
      <c r="E2407" s="53" t="s">
        <v>3671</v>
      </c>
      <c r="F2407" s="53" t="s">
        <v>2882</v>
      </c>
      <c r="G2407" s="53" t="s">
        <v>495</v>
      </c>
      <c r="H2407" s="53">
        <v>1.0</v>
      </c>
      <c r="I2407" s="53">
        <v>0.267515923566879</v>
      </c>
      <c r="J2407" s="53">
        <v>8.0</v>
      </c>
      <c r="K2407" s="53" t="s">
        <v>53</v>
      </c>
      <c r="L2407" s="53" t="s">
        <v>53</v>
      </c>
    </row>
    <row r="2408" ht="15.75" customHeight="1">
      <c r="A2408" s="53" t="s">
        <v>411</v>
      </c>
      <c r="B2408" s="53" t="s">
        <v>2789</v>
      </c>
      <c r="D2408" s="53" t="s">
        <v>2927</v>
      </c>
      <c r="E2408" s="53" t="s">
        <v>3672</v>
      </c>
      <c r="F2408" s="53" t="s">
        <v>2882</v>
      </c>
      <c r="G2408" s="53" t="s">
        <v>2925</v>
      </c>
      <c r="H2408" s="53">
        <v>1.0</v>
      </c>
      <c r="I2408" s="53">
        <v>0.10062893081761007</v>
      </c>
      <c r="J2408" s="53">
        <v>2.0</v>
      </c>
      <c r="K2408" s="53" t="s">
        <v>53</v>
      </c>
      <c r="L2408" s="53" t="s">
        <v>53</v>
      </c>
    </row>
    <row r="2409" ht="15.75" customHeight="1">
      <c r="A2409" s="53" t="s">
        <v>411</v>
      </c>
      <c r="B2409" s="53" t="s">
        <v>2789</v>
      </c>
      <c r="D2409" s="53" t="s">
        <v>2927</v>
      </c>
      <c r="E2409" s="53" t="s">
        <v>3673</v>
      </c>
      <c r="F2409" s="53" t="s">
        <v>2882</v>
      </c>
      <c r="G2409" s="53" t="s">
        <v>2929</v>
      </c>
      <c r="H2409" s="53">
        <v>1.0</v>
      </c>
      <c r="I2409" s="53">
        <v>0.10559006211180125</v>
      </c>
      <c r="J2409" s="53">
        <v>0.0</v>
      </c>
      <c r="K2409" s="53" t="s">
        <v>53</v>
      </c>
      <c r="L2409" s="53" t="s">
        <v>53</v>
      </c>
    </row>
    <row r="2410" ht="15.75" customHeight="1">
      <c r="A2410" s="53" t="s">
        <v>411</v>
      </c>
      <c r="B2410" s="53" t="s">
        <v>2789</v>
      </c>
      <c r="D2410" s="53" t="s">
        <v>2927</v>
      </c>
      <c r="E2410" s="53" t="s">
        <v>3674</v>
      </c>
      <c r="F2410" s="53" t="s">
        <v>2882</v>
      </c>
      <c r="G2410" s="53" t="s">
        <v>2907</v>
      </c>
      <c r="H2410" s="53">
        <v>1.0</v>
      </c>
      <c r="I2410" s="53">
        <v>0.12738853503184713</v>
      </c>
      <c r="J2410" s="53">
        <v>3.0</v>
      </c>
      <c r="K2410" s="53" t="s">
        <v>53</v>
      </c>
      <c r="L2410" s="53" t="s">
        <v>53</v>
      </c>
    </row>
    <row r="2411" ht="15.75" customHeight="1">
      <c r="A2411" s="53" t="s">
        <v>411</v>
      </c>
      <c r="B2411" s="53" t="s">
        <v>2789</v>
      </c>
      <c r="D2411" s="53" t="s">
        <v>2927</v>
      </c>
      <c r="E2411" s="53" t="s">
        <v>3675</v>
      </c>
      <c r="F2411" s="53" t="s">
        <v>2882</v>
      </c>
      <c r="G2411" s="53" t="s">
        <v>2917</v>
      </c>
      <c r="H2411" s="53">
        <v>1.0</v>
      </c>
      <c r="I2411" s="53">
        <v>0.14012738853503184</v>
      </c>
      <c r="J2411" s="53">
        <v>4.0</v>
      </c>
      <c r="K2411" s="53" t="s">
        <v>53</v>
      </c>
      <c r="L2411" s="53" t="s">
        <v>53</v>
      </c>
    </row>
    <row r="2412" ht="15.75" customHeight="1">
      <c r="A2412" s="53" t="s">
        <v>411</v>
      </c>
      <c r="B2412" s="53" t="s">
        <v>2789</v>
      </c>
      <c r="D2412" s="53" t="s">
        <v>2927</v>
      </c>
      <c r="E2412" s="53" t="s">
        <v>3676</v>
      </c>
      <c r="F2412" s="53" t="s">
        <v>2882</v>
      </c>
      <c r="G2412" s="53" t="s">
        <v>2933</v>
      </c>
      <c r="H2412" s="53">
        <v>1.0</v>
      </c>
      <c r="I2412" s="53">
        <v>0.14285714285714285</v>
      </c>
      <c r="J2412" s="53">
        <v>1.0</v>
      </c>
      <c r="K2412" s="53" t="s">
        <v>53</v>
      </c>
      <c r="L2412" s="53" t="s">
        <v>53</v>
      </c>
    </row>
    <row r="2413" ht="15.75" customHeight="1">
      <c r="A2413" s="53" t="s">
        <v>411</v>
      </c>
      <c r="B2413" s="53" t="s">
        <v>2789</v>
      </c>
      <c r="D2413" s="53" t="s">
        <v>2927</v>
      </c>
      <c r="E2413" s="53" t="s">
        <v>3677</v>
      </c>
      <c r="F2413" s="53" t="s">
        <v>2882</v>
      </c>
      <c r="G2413" s="53" t="s">
        <v>2937</v>
      </c>
      <c r="H2413" s="53">
        <v>1.0</v>
      </c>
      <c r="I2413" s="53">
        <v>0.20382165605095542</v>
      </c>
      <c r="J2413" s="53">
        <v>9.0</v>
      </c>
      <c r="K2413" s="53" t="s">
        <v>53</v>
      </c>
      <c r="L2413" s="53" t="s">
        <v>53</v>
      </c>
    </row>
    <row r="2414" ht="15.75" customHeight="1">
      <c r="A2414" s="53" t="s">
        <v>411</v>
      </c>
      <c r="B2414" s="53" t="s">
        <v>2789</v>
      </c>
      <c r="D2414" s="53" t="s">
        <v>2927</v>
      </c>
      <c r="E2414" s="53" t="s">
        <v>3678</v>
      </c>
      <c r="F2414" s="53" t="s">
        <v>2882</v>
      </c>
      <c r="G2414" s="53" t="s">
        <v>485</v>
      </c>
      <c r="H2414" s="53">
        <v>1.0</v>
      </c>
      <c r="I2414" s="53">
        <v>0.21019108280254778</v>
      </c>
      <c r="J2414" s="53">
        <v>5.0</v>
      </c>
      <c r="K2414" s="53" t="s">
        <v>53</v>
      </c>
      <c r="L2414" s="53" t="s">
        <v>53</v>
      </c>
    </row>
    <row r="2415" ht="15.75" customHeight="1">
      <c r="A2415" s="53" t="s">
        <v>411</v>
      </c>
      <c r="B2415" s="53" t="s">
        <v>2789</v>
      </c>
      <c r="D2415" s="53" t="s">
        <v>2927</v>
      </c>
      <c r="E2415" s="53" t="s">
        <v>3679</v>
      </c>
      <c r="F2415" s="53" t="s">
        <v>2882</v>
      </c>
      <c r="G2415" s="53" t="s">
        <v>2948</v>
      </c>
      <c r="H2415" s="53">
        <v>1.0</v>
      </c>
      <c r="I2415" s="53">
        <v>0.21656050955414013</v>
      </c>
      <c r="J2415" s="53">
        <v>8.0</v>
      </c>
      <c r="K2415" s="53" t="s">
        <v>53</v>
      </c>
      <c r="L2415" s="53" t="s">
        <v>53</v>
      </c>
    </row>
    <row r="2416" ht="15.75" customHeight="1">
      <c r="A2416" s="53" t="s">
        <v>411</v>
      </c>
      <c r="B2416" s="53" t="s">
        <v>2789</v>
      </c>
      <c r="D2416" s="53" t="s">
        <v>2927</v>
      </c>
      <c r="E2416" s="53" t="s">
        <v>3680</v>
      </c>
      <c r="F2416" s="53" t="s">
        <v>2882</v>
      </c>
      <c r="G2416" s="53" t="s">
        <v>474</v>
      </c>
      <c r="H2416" s="53">
        <v>1.0</v>
      </c>
      <c r="I2416" s="53">
        <v>0.2229299363057325</v>
      </c>
      <c r="J2416" s="53">
        <v>6.0</v>
      </c>
      <c r="K2416" s="53" t="s">
        <v>53</v>
      </c>
      <c r="L2416" s="53" t="s">
        <v>53</v>
      </c>
    </row>
    <row r="2417" ht="15.75" customHeight="1">
      <c r="A2417" s="53" t="s">
        <v>411</v>
      </c>
      <c r="B2417" s="53" t="s">
        <v>2789</v>
      </c>
      <c r="D2417" s="53" t="s">
        <v>2927</v>
      </c>
      <c r="E2417" s="53" t="s">
        <v>3681</v>
      </c>
      <c r="F2417" s="53" t="s">
        <v>2882</v>
      </c>
      <c r="G2417" s="53" t="s">
        <v>2942</v>
      </c>
      <c r="H2417" s="53">
        <v>1.0</v>
      </c>
      <c r="I2417" s="53">
        <v>0.2356687898089172</v>
      </c>
      <c r="J2417" s="53">
        <v>10.0</v>
      </c>
      <c r="K2417" s="53" t="s">
        <v>53</v>
      </c>
      <c r="L2417" s="53" t="s">
        <v>53</v>
      </c>
    </row>
    <row r="2418" ht="15.75" customHeight="1">
      <c r="A2418" s="53" t="s">
        <v>411</v>
      </c>
      <c r="B2418" s="53" t="s">
        <v>2789</v>
      </c>
      <c r="D2418" s="53" t="s">
        <v>2927</v>
      </c>
      <c r="E2418" s="53" t="s">
        <v>3682</v>
      </c>
      <c r="F2418" s="53" t="s">
        <v>2882</v>
      </c>
      <c r="G2418" s="53" t="s">
        <v>495</v>
      </c>
      <c r="H2418" s="53">
        <v>1.0</v>
      </c>
      <c r="I2418" s="53">
        <v>0.267515923566879</v>
      </c>
      <c r="J2418" s="53">
        <v>7.0</v>
      </c>
      <c r="K2418" s="53" t="s">
        <v>53</v>
      </c>
      <c r="L2418" s="53" t="s">
        <v>53</v>
      </c>
    </row>
    <row r="2419" ht="15.75" customHeight="1">
      <c r="A2419" s="53" t="s">
        <v>411</v>
      </c>
      <c r="B2419" s="53" t="s">
        <v>2789</v>
      </c>
      <c r="D2419" s="53" t="s">
        <v>2929</v>
      </c>
      <c r="E2419" s="53" t="s">
        <v>3683</v>
      </c>
      <c r="F2419" s="53" t="s">
        <v>2882</v>
      </c>
      <c r="G2419" s="53" t="s">
        <v>2925</v>
      </c>
      <c r="H2419" s="53">
        <v>1.0</v>
      </c>
      <c r="I2419" s="53">
        <v>0.10559006211180125</v>
      </c>
      <c r="J2419" s="53">
        <v>1.0</v>
      </c>
      <c r="K2419" s="53" t="s">
        <v>53</v>
      </c>
      <c r="L2419" s="53" t="s">
        <v>53</v>
      </c>
    </row>
    <row r="2420" ht="15.75" customHeight="1">
      <c r="A2420" s="53" t="s">
        <v>411</v>
      </c>
      <c r="B2420" s="53" t="s">
        <v>2789</v>
      </c>
      <c r="D2420" s="53" t="s">
        <v>2929</v>
      </c>
      <c r="E2420" s="53" t="s">
        <v>3684</v>
      </c>
      <c r="F2420" s="53" t="s">
        <v>2882</v>
      </c>
      <c r="G2420" s="53" t="s">
        <v>2933</v>
      </c>
      <c r="H2420" s="53">
        <v>1.0</v>
      </c>
      <c r="I2420" s="53">
        <v>0.125</v>
      </c>
      <c r="J2420" s="53">
        <v>0.0</v>
      </c>
      <c r="K2420" s="53" t="s">
        <v>53</v>
      </c>
      <c r="L2420" s="53" t="s">
        <v>53</v>
      </c>
    </row>
    <row r="2421" ht="15.75" customHeight="1">
      <c r="A2421" s="53" t="s">
        <v>411</v>
      </c>
      <c r="B2421" s="53" t="s">
        <v>2789</v>
      </c>
      <c r="D2421" s="53" t="s">
        <v>2929</v>
      </c>
      <c r="E2421" s="53" t="s">
        <v>3685</v>
      </c>
      <c r="F2421" s="53" t="s">
        <v>2882</v>
      </c>
      <c r="G2421" s="53" t="s">
        <v>2917</v>
      </c>
      <c r="H2421" s="53">
        <v>1.0</v>
      </c>
      <c r="I2421" s="53">
        <v>0.16149068322981366</v>
      </c>
      <c r="J2421" s="53">
        <v>3.0</v>
      </c>
      <c r="K2421" s="53" t="s">
        <v>53</v>
      </c>
      <c r="L2421" s="53" t="s">
        <v>53</v>
      </c>
    </row>
    <row r="2422" ht="15.75" customHeight="1">
      <c r="A2422" s="53" t="s">
        <v>411</v>
      </c>
      <c r="B2422" s="53" t="s">
        <v>2789</v>
      </c>
      <c r="D2422" s="53" t="s">
        <v>2929</v>
      </c>
      <c r="E2422" s="53" t="s">
        <v>3686</v>
      </c>
      <c r="F2422" s="53" t="s">
        <v>2882</v>
      </c>
      <c r="G2422" s="53" t="s">
        <v>2907</v>
      </c>
      <c r="H2422" s="53">
        <v>1.0</v>
      </c>
      <c r="I2422" s="53">
        <v>0.16770186335403728</v>
      </c>
      <c r="J2422" s="53">
        <v>2.0</v>
      </c>
      <c r="K2422" s="53" t="s">
        <v>53</v>
      </c>
      <c r="L2422" s="53" t="s">
        <v>53</v>
      </c>
    </row>
    <row r="2423" ht="15.75" customHeight="1">
      <c r="A2423" s="53" t="s">
        <v>411</v>
      </c>
      <c r="B2423" s="53" t="s">
        <v>2789</v>
      </c>
      <c r="D2423" s="53" t="s">
        <v>2929</v>
      </c>
      <c r="E2423" s="53" t="s">
        <v>3687</v>
      </c>
      <c r="F2423" s="53" t="s">
        <v>2882</v>
      </c>
      <c r="G2423" s="53" t="s">
        <v>485</v>
      </c>
      <c r="H2423" s="53">
        <v>1.0</v>
      </c>
      <c r="I2423" s="53">
        <v>0.21739130434782608</v>
      </c>
      <c r="J2423" s="53">
        <v>4.0</v>
      </c>
      <c r="K2423" s="53" t="s">
        <v>53</v>
      </c>
      <c r="L2423" s="53" t="s">
        <v>53</v>
      </c>
    </row>
    <row r="2424" ht="15.75" customHeight="1">
      <c r="A2424" s="53" t="s">
        <v>411</v>
      </c>
      <c r="B2424" s="53" t="s">
        <v>2789</v>
      </c>
      <c r="D2424" s="53" t="s">
        <v>2929</v>
      </c>
      <c r="E2424" s="53" t="s">
        <v>3688</v>
      </c>
      <c r="F2424" s="53" t="s">
        <v>2882</v>
      </c>
      <c r="G2424" s="53" t="s">
        <v>2937</v>
      </c>
      <c r="H2424" s="53">
        <v>1.0</v>
      </c>
      <c r="I2424" s="53">
        <v>0.2236024844720497</v>
      </c>
      <c r="J2424" s="53">
        <v>8.0</v>
      </c>
      <c r="K2424" s="53" t="s">
        <v>53</v>
      </c>
      <c r="L2424" s="53" t="s">
        <v>53</v>
      </c>
    </row>
    <row r="2425" ht="15.75" customHeight="1">
      <c r="A2425" s="53" t="s">
        <v>411</v>
      </c>
      <c r="B2425" s="53" t="s">
        <v>2789</v>
      </c>
      <c r="D2425" s="53" t="s">
        <v>2929</v>
      </c>
      <c r="E2425" s="53" t="s">
        <v>3689</v>
      </c>
      <c r="F2425" s="53" t="s">
        <v>2882</v>
      </c>
      <c r="G2425" s="53" t="s">
        <v>474</v>
      </c>
      <c r="H2425" s="53">
        <v>1.0</v>
      </c>
      <c r="I2425" s="53">
        <v>0.22981366459627328</v>
      </c>
      <c r="J2425" s="53">
        <v>5.0</v>
      </c>
      <c r="K2425" s="53" t="s">
        <v>53</v>
      </c>
      <c r="L2425" s="53" t="s">
        <v>53</v>
      </c>
    </row>
    <row r="2426" ht="15.75" customHeight="1">
      <c r="A2426" s="53" t="s">
        <v>411</v>
      </c>
      <c r="B2426" s="53" t="s">
        <v>2789</v>
      </c>
      <c r="D2426" s="53" t="s">
        <v>2929</v>
      </c>
      <c r="E2426" s="53" t="s">
        <v>3690</v>
      </c>
      <c r="F2426" s="53" t="s">
        <v>2882</v>
      </c>
      <c r="G2426" s="53" t="s">
        <v>2948</v>
      </c>
      <c r="H2426" s="53">
        <v>1.0</v>
      </c>
      <c r="I2426" s="53">
        <v>0.2422360248447205</v>
      </c>
      <c r="J2426" s="53">
        <v>7.0</v>
      </c>
      <c r="K2426" s="53" t="s">
        <v>53</v>
      </c>
      <c r="L2426" s="53" t="s">
        <v>53</v>
      </c>
    </row>
    <row r="2427" ht="15.75" customHeight="1">
      <c r="A2427" s="53" t="s">
        <v>411</v>
      </c>
      <c r="B2427" s="53" t="s">
        <v>2789</v>
      </c>
      <c r="D2427" s="53" t="s">
        <v>2929</v>
      </c>
      <c r="E2427" s="53" t="s">
        <v>3691</v>
      </c>
      <c r="F2427" s="53" t="s">
        <v>2882</v>
      </c>
      <c r="G2427" s="53" t="s">
        <v>2942</v>
      </c>
      <c r="H2427" s="53">
        <v>1.0</v>
      </c>
      <c r="I2427" s="53">
        <v>0.2546583850931677</v>
      </c>
      <c r="J2427" s="53">
        <v>9.0</v>
      </c>
      <c r="K2427" s="53" t="s">
        <v>53</v>
      </c>
      <c r="L2427" s="53" t="s">
        <v>53</v>
      </c>
    </row>
    <row r="2428" ht="15.75" customHeight="1">
      <c r="A2428" s="53" t="s">
        <v>411</v>
      </c>
      <c r="B2428" s="53" t="s">
        <v>2789</v>
      </c>
      <c r="D2428" s="53" t="s">
        <v>2929</v>
      </c>
      <c r="E2428" s="53" t="s">
        <v>3692</v>
      </c>
      <c r="F2428" s="53" t="s">
        <v>2882</v>
      </c>
      <c r="G2428" s="53" t="s">
        <v>495</v>
      </c>
      <c r="H2428" s="53">
        <v>1.0</v>
      </c>
      <c r="I2428" s="53">
        <v>0.2795031055900621</v>
      </c>
      <c r="J2428" s="53">
        <v>6.0</v>
      </c>
      <c r="K2428" s="53" t="s">
        <v>53</v>
      </c>
      <c r="L2428" s="53" t="s">
        <v>53</v>
      </c>
    </row>
    <row r="2429" ht="15.75" customHeight="1">
      <c r="A2429" s="53" t="s">
        <v>411</v>
      </c>
      <c r="B2429" s="53" t="s">
        <v>2789</v>
      </c>
      <c r="D2429" s="53" t="s">
        <v>2933</v>
      </c>
      <c r="E2429" s="53" t="s">
        <v>3693</v>
      </c>
      <c r="F2429" s="53" t="s">
        <v>2882</v>
      </c>
      <c r="G2429" s="53" t="s">
        <v>2925</v>
      </c>
      <c r="H2429" s="53">
        <v>1.0</v>
      </c>
      <c r="I2429" s="53">
        <v>0.14285714285714285</v>
      </c>
      <c r="J2429" s="53">
        <v>0.0</v>
      </c>
      <c r="K2429" s="53" t="s">
        <v>53</v>
      </c>
      <c r="L2429" s="53" t="s">
        <v>53</v>
      </c>
    </row>
    <row r="2430" ht="15.75" customHeight="1">
      <c r="A2430" s="53" t="s">
        <v>411</v>
      </c>
      <c r="B2430" s="53" t="s">
        <v>2789</v>
      </c>
      <c r="D2430" s="53" t="s">
        <v>2933</v>
      </c>
      <c r="E2430" s="53" t="s">
        <v>3694</v>
      </c>
      <c r="F2430" s="53" t="s">
        <v>2882</v>
      </c>
      <c r="G2430" s="53" t="s">
        <v>2917</v>
      </c>
      <c r="H2430" s="53">
        <v>1.0</v>
      </c>
      <c r="I2430" s="53">
        <v>0.16666666666666666</v>
      </c>
      <c r="J2430" s="53">
        <v>2.0</v>
      </c>
      <c r="K2430" s="53" t="s">
        <v>53</v>
      </c>
      <c r="L2430" s="53" t="s">
        <v>53</v>
      </c>
    </row>
    <row r="2431" ht="15.75" customHeight="1">
      <c r="A2431" s="53" t="s">
        <v>411</v>
      </c>
      <c r="B2431" s="53" t="s">
        <v>2789</v>
      </c>
      <c r="D2431" s="53" t="s">
        <v>2933</v>
      </c>
      <c r="E2431" s="53" t="s">
        <v>3695</v>
      </c>
      <c r="F2431" s="53" t="s">
        <v>2882</v>
      </c>
      <c r="G2431" s="53" t="s">
        <v>2907</v>
      </c>
      <c r="H2431" s="53">
        <v>1.0</v>
      </c>
      <c r="I2431" s="53">
        <v>0.17261904761904762</v>
      </c>
      <c r="J2431" s="53">
        <v>1.0</v>
      </c>
      <c r="K2431" s="53" t="s">
        <v>53</v>
      </c>
      <c r="L2431" s="53" t="s">
        <v>53</v>
      </c>
    </row>
    <row r="2432" ht="15.75" customHeight="1">
      <c r="A2432" s="53" t="s">
        <v>411</v>
      </c>
      <c r="B2432" s="53" t="s">
        <v>2789</v>
      </c>
      <c r="D2432" s="53" t="s">
        <v>2933</v>
      </c>
      <c r="E2432" s="53" t="s">
        <v>3696</v>
      </c>
      <c r="F2432" s="53" t="s">
        <v>2882</v>
      </c>
      <c r="G2432" s="53" t="s">
        <v>485</v>
      </c>
      <c r="H2432" s="53">
        <v>1.0</v>
      </c>
      <c r="I2432" s="53">
        <v>0.24404761904761904</v>
      </c>
      <c r="J2432" s="53">
        <v>3.0</v>
      </c>
      <c r="K2432" s="53" t="s">
        <v>53</v>
      </c>
      <c r="L2432" s="53" t="s">
        <v>53</v>
      </c>
    </row>
    <row r="2433" ht="15.75" customHeight="1">
      <c r="A2433" s="53" t="s">
        <v>411</v>
      </c>
      <c r="B2433" s="53" t="s">
        <v>2789</v>
      </c>
      <c r="D2433" s="53" t="s">
        <v>2933</v>
      </c>
      <c r="E2433" s="53" t="s">
        <v>3697</v>
      </c>
      <c r="F2433" s="53" t="s">
        <v>2882</v>
      </c>
      <c r="G2433" s="53" t="s">
        <v>2937</v>
      </c>
      <c r="H2433" s="53">
        <v>1.0</v>
      </c>
      <c r="I2433" s="53">
        <v>0.25</v>
      </c>
      <c r="J2433" s="53">
        <v>7.0</v>
      </c>
      <c r="K2433" s="53" t="s">
        <v>53</v>
      </c>
      <c r="L2433" s="53" t="s">
        <v>53</v>
      </c>
    </row>
    <row r="2434" ht="15.75" customHeight="1">
      <c r="A2434" s="53" t="s">
        <v>411</v>
      </c>
      <c r="B2434" s="53" t="s">
        <v>2789</v>
      </c>
      <c r="D2434" s="53" t="s">
        <v>2933</v>
      </c>
      <c r="E2434" s="53" t="s">
        <v>3698</v>
      </c>
      <c r="F2434" s="53" t="s">
        <v>2882</v>
      </c>
      <c r="G2434" s="53" t="s">
        <v>474</v>
      </c>
      <c r="H2434" s="53">
        <v>1.0</v>
      </c>
      <c r="I2434" s="53">
        <v>0.25</v>
      </c>
      <c r="J2434" s="53">
        <v>4.0</v>
      </c>
      <c r="K2434" s="53" t="s">
        <v>53</v>
      </c>
      <c r="L2434" s="53" t="s">
        <v>53</v>
      </c>
    </row>
    <row r="2435" ht="15.75" customHeight="1">
      <c r="A2435" s="53" t="s">
        <v>411</v>
      </c>
      <c r="B2435" s="53" t="s">
        <v>2789</v>
      </c>
      <c r="D2435" s="53" t="s">
        <v>2933</v>
      </c>
      <c r="E2435" s="53" t="s">
        <v>3699</v>
      </c>
      <c r="F2435" s="53" t="s">
        <v>2882</v>
      </c>
      <c r="G2435" s="53" t="s">
        <v>2948</v>
      </c>
      <c r="H2435" s="53">
        <v>1.0</v>
      </c>
      <c r="I2435" s="53">
        <v>0.27380952380952384</v>
      </c>
      <c r="J2435" s="53">
        <v>6.0</v>
      </c>
      <c r="K2435" s="53" t="s">
        <v>53</v>
      </c>
      <c r="L2435" s="53" t="s">
        <v>53</v>
      </c>
    </row>
    <row r="2436" ht="15.75" customHeight="1">
      <c r="A2436" s="53" t="s">
        <v>411</v>
      </c>
      <c r="B2436" s="53" t="s">
        <v>2789</v>
      </c>
      <c r="D2436" s="53" t="s">
        <v>2933</v>
      </c>
      <c r="E2436" s="53" t="s">
        <v>3700</v>
      </c>
      <c r="F2436" s="53" t="s">
        <v>2882</v>
      </c>
      <c r="G2436" s="53" t="s">
        <v>2942</v>
      </c>
      <c r="H2436" s="53">
        <v>1.0</v>
      </c>
      <c r="I2436" s="53">
        <v>0.27976190476190477</v>
      </c>
      <c r="J2436" s="53">
        <v>8.0</v>
      </c>
      <c r="K2436" s="53" t="s">
        <v>53</v>
      </c>
      <c r="L2436" s="53" t="s">
        <v>53</v>
      </c>
    </row>
    <row r="2437" ht="15.75" customHeight="1">
      <c r="A2437" s="53" t="s">
        <v>411</v>
      </c>
      <c r="B2437" s="53" t="s">
        <v>2789</v>
      </c>
      <c r="D2437" s="53" t="s">
        <v>2933</v>
      </c>
      <c r="E2437" s="53" t="s">
        <v>3701</v>
      </c>
      <c r="F2437" s="53" t="s">
        <v>2882</v>
      </c>
      <c r="G2437" s="53" t="s">
        <v>495</v>
      </c>
      <c r="H2437" s="53">
        <v>1.0</v>
      </c>
      <c r="I2437" s="53">
        <v>0.30357142857142855</v>
      </c>
      <c r="J2437" s="53">
        <v>5.0</v>
      </c>
      <c r="K2437" s="53" t="s">
        <v>53</v>
      </c>
      <c r="L2437" s="53" t="s">
        <v>53</v>
      </c>
    </row>
    <row r="2438" ht="15.75" customHeight="1">
      <c r="A2438" s="53" t="s">
        <v>411</v>
      </c>
      <c r="B2438" s="53" t="s">
        <v>2789</v>
      </c>
      <c r="D2438" s="53" t="s">
        <v>2925</v>
      </c>
      <c r="E2438" s="53" t="s">
        <v>3702</v>
      </c>
      <c r="F2438" s="53" t="s">
        <v>2882</v>
      </c>
      <c r="G2438" s="53" t="s">
        <v>2907</v>
      </c>
      <c r="H2438" s="53">
        <v>1.0</v>
      </c>
      <c r="I2438" s="53">
        <v>0.1320754716981132</v>
      </c>
      <c r="J2438" s="53">
        <v>0.0</v>
      </c>
      <c r="K2438" s="53" t="s">
        <v>53</v>
      </c>
      <c r="L2438" s="53" t="s">
        <v>53</v>
      </c>
    </row>
    <row r="2439" ht="15.75" customHeight="1">
      <c r="A2439" s="53" t="s">
        <v>411</v>
      </c>
      <c r="B2439" s="53" t="s">
        <v>2789</v>
      </c>
      <c r="D2439" s="53" t="s">
        <v>2925</v>
      </c>
      <c r="E2439" s="53" t="s">
        <v>3703</v>
      </c>
      <c r="F2439" s="53" t="s">
        <v>2882</v>
      </c>
      <c r="G2439" s="53" t="s">
        <v>2917</v>
      </c>
      <c r="H2439" s="53">
        <v>1.0</v>
      </c>
      <c r="I2439" s="53">
        <v>0.14465408805031446</v>
      </c>
      <c r="J2439" s="53">
        <v>1.0</v>
      </c>
      <c r="K2439" s="53" t="s">
        <v>53</v>
      </c>
      <c r="L2439" s="53" t="s">
        <v>53</v>
      </c>
    </row>
    <row r="2440" ht="15.75" customHeight="1">
      <c r="A2440" s="53" t="s">
        <v>411</v>
      </c>
      <c r="B2440" s="53" t="s">
        <v>2789</v>
      </c>
      <c r="D2440" s="53" t="s">
        <v>2925</v>
      </c>
      <c r="E2440" s="53" t="s">
        <v>3704</v>
      </c>
      <c r="F2440" s="53" t="s">
        <v>2882</v>
      </c>
      <c r="G2440" s="53" t="s">
        <v>485</v>
      </c>
      <c r="H2440" s="53">
        <v>1.0</v>
      </c>
      <c r="I2440" s="53">
        <v>0.2138364779874214</v>
      </c>
      <c r="J2440" s="53">
        <v>2.0</v>
      </c>
      <c r="K2440" s="53" t="s">
        <v>53</v>
      </c>
      <c r="L2440" s="53" t="s">
        <v>53</v>
      </c>
    </row>
    <row r="2441" ht="15.75" customHeight="1">
      <c r="A2441" s="53" t="s">
        <v>411</v>
      </c>
      <c r="B2441" s="53" t="s">
        <v>2789</v>
      </c>
      <c r="D2441" s="53" t="s">
        <v>2925</v>
      </c>
      <c r="E2441" s="53" t="s">
        <v>3705</v>
      </c>
      <c r="F2441" s="53" t="s">
        <v>2882</v>
      </c>
      <c r="G2441" s="53" t="s">
        <v>2937</v>
      </c>
      <c r="H2441" s="53">
        <v>1.0</v>
      </c>
      <c r="I2441" s="53">
        <v>0.22012578616352202</v>
      </c>
      <c r="J2441" s="53">
        <v>6.0</v>
      </c>
      <c r="K2441" s="53" t="s">
        <v>53</v>
      </c>
      <c r="L2441" s="53" t="s">
        <v>53</v>
      </c>
    </row>
    <row r="2442" ht="15.75" customHeight="1">
      <c r="A2442" s="53" t="s">
        <v>411</v>
      </c>
      <c r="B2442" s="53" t="s">
        <v>2789</v>
      </c>
      <c r="D2442" s="53" t="s">
        <v>2925</v>
      </c>
      <c r="E2442" s="53" t="s">
        <v>3706</v>
      </c>
      <c r="F2442" s="53" t="s">
        <v>2882</v>
      </c>
      <c r="G2442" s="53" t="s">
        <v>474</v>
      </c>
      <c r="H2442" s="53">
        <v>1.0</v>
      </c>
      <c r="I2442" s="53">
        <v>0.22641509433962265</v>
      </c>
      <c r="J2442" s="53">
        <v>3.0</v>
      </c>
      <c r="K2442" s="53" t="s">
        <v>53</v>
      </c>
      <c r="L2442" s="53" t="s">
        <v>53</v>
      </c>
    </row>
    <row r="2443" ht="15.75" customHeight="1">
      <c r="A2443" s="53" t="s">
        <v>411</v>
      </c>
      <c r="B2443" s="53" t="s">
        <v>2789</v>
      </c>
      <c r="D2443" s="53" t="s">
        <v>2925</v>
      </c>
      <c r="E2443" s="53" t="s">
        <v>3707</v>
      </c>
      <c r="F2443" s="53" t="s">
        <v>2882</v>
      </c>
      <c r="G2443" s="53" t="s">
        <v>2948</v>
      </c>
      <c r="H2443" s="53">
        <v>1.0</v>
      </c>
      <c r="I2443" s="53">
        <v>0.23270440251572327</v>
      </c>
      <c r="J2443" s="53">
        <v>5.0</v>
      </c>
      <c r="K2443" s="53" t="s">
        <v>53</v>
      </c>
      <c r="L2443" s="53" t="s">
        <v>53</v>
      </c>
    </row>
    <row r="2444" ht="15.75" customHeight="1">
      <c r="A2444" s="53" t="s">
        <v>411</v>
      </c>
      <c r="B2444" s="53" t="s">
        <v>2789</v>
      </c>
      <c r="D2444" s="53" t="s">
        <v>2925</v>
      </c>
      <c r="E2444" s="53" t="s">
        <v>3708</v>
      </c>
      <c r="F2444" s="53" t="s">
        <v>2882</v>
      </c>
      <c r="G2444" s="53" t="s">
        <v>2942</v>
      </c>
      <c r="H2444" s="53">
        <v>1.0</v>
      </c>
      <c r="I2444" s="53">
        <v>0.2389937106918239</v>
      </c>
      <c r="J2444" s="53">
        <v>7.0</v>
      </c>
      <c r="K2444" s="53" t="s">
        <v>53</v>
      </c>
      <c r="L2444" s="53" t="s">
        <v>53</v>
      </c>
    </row>
    <row r="2445" ht="15.75" customHeight="1">
      <c r="A2445" s="53" t="s">
        <v>411</v>
      </c>
      <c r="B2445" s="53" t="s">
        <v>2789</v>
      </c>
      <c r="D2445" s="53" t="s">
        <v>2925</v>
      </c>
      <c r="E2445" s="53" t="s">
        <v>3709</v>
      </c>
      <c r="F2445" s="53" t="s">
        <v>2882</v>
      </c>
      <c r="G2445" s="53" t="s">
        <v>495</v>
      </c>
      <c r="H2445" s="53">
        <v>1.0</v>
      </c>
      <c r="I2445" s="53">
        <v>0.27672955974842767</v>
      </c>
      <c r="J2445" s="53">
        <v>4.0</v>
      </c>
      <c r="K2445" s="53" t="s">
        <v>53</v>
      </c>
      <c r="L2445" s="53" t="s">
        <v>53</v>
      </c>
    </row>
    <row r="2446" ht="15.75" customHeight="1">
      <c r="A2446" s="53" t="s">
        <v>411</v>
      </c>
      <c r="B2446" s="53" t="s">
        <v>2789</v>
      </c>
      <c r="D2446" s="53" t="s">
        <v>2907</v>
      </c>
      <c r="E2446" s="53" t="s">
        <v>3710</v>
      </c>
      <c r="F2446" s="53" t="s">
        <v>2882</v>
      </c>
      <c r="G2446" s="53" t="s">
        <v>2917</v>
      </c>
      <c r="H2446" s="53">
        <v>1.0</v>
      </c>
      <c r="I2446" s="53">
        <v>0.10596026490066225</v>
      </c>
      <c r="J2446" s="53">
        <v>0.0</v>
      </c>
      <c r="K2446" s="53" t="s">
        <v>53</v>
      </c>
      <c r="L2446" s="53" t="s">
        <v>53</v>
      </c>
    </row>
    <row r="2447" ht="15.75" customHeight="1">
      <c r="A2447" s="53" t="s">
        <v>411</v>
      </c>
      <c r="B2447" s="53" t="s">
        <v>2789</v>
      </c>
      <c r="D2447" s="53" t="s">
        <v>2907</v>
      </c>
      <c r="E2447" s="53" t="s">
        <v>3711</v>
      </c>
      <c r="F2447" s="53" t="s">
        <v>2882</v>
      </c>
      <c r="G2447" s="53" t="s">
        <v>2937</v>
      </c>
      <c r="H2447" s="53">
        <v>1.0</v>
      </c>
      <c r="I2447" s="53">
        <v>0.20408163265306123</v>
      </c>
      <c r="J2447" s="53">
        <v>5.0</v>
      </c>
      <c r="K2447" s="53" t="s">
        <v>53</v>
      </c>
      <c r="L2447" s="53" t="s">
        <v>53</v>
      </c>
    </row>
    <row r="2448" ht="15.75" customHeight="1">
      <c r="A2448" s="53" t="s">
        <v>411</v>
      </c>
      <c r="B2448" s="53" t="s">
        <v>2789</v>
      </c>
      <c r="D2448" s="53" t="s">
        <v>2907</v>
      </c>
      <c r="E2448" s="53" t="s">
        <v>3712</v>
      </c>
      <c r="F2448" s="53" t="s">
        <v>2882</v>
      </c>
      <c r="G2448" s="53" t="s">
        <v>2942</v>
      </c>
      <c r="H2448" s="53">
        <v>1.0</v>
      </c>
      <c r="I2448" s="53">
        <v>0.22972972972972974</v>
      </c>
      <c r="J2448" s="53">
        <v>6.0</v>
      </c>
      <c r="K2448" s="53" t="s">
        <v>53</v>
      </c>
      <c r="L2448" s="53" t="s">
        <v>53</v>
      </c>
    </row>
    <row r="2449" ht="15.75" customHeight="1">
      <c r="A2449" s="53" t="s">
        <v>411</v>
      </c>
      <c r="B2449" s="53" t="s">
        <v>2789</v>
      </c>
      <c r="D2449" s="53" t="s">
        <v>2907</v>
      </c>
      <c r="E2449" s="53" t="s">
        <v>3713</v>
      </c>
      <c r="F2449" s="53" t="s">
        <v>2882</v>
      </c>
      <c r="G2449" s="53" t="s">
        <v>2948</v>
      </c>
      <c r="H2449" s="53">
        <v>1.0</v>
      </c>
      <c r="I2449" s="53">
        <v>0.24</v>
      </c>
      <c r="J2449" s="53">
        <v>4.0</v>
      </c>
      <c r="K2449" s="53" t="s">
        <v>53</v>
      </c>
      <c r="L2449" s="53" t="s">
        <v>53</v>
      </c>
    </row>
    <row r="2450" ht="15.75" customHeight="1">
      <c r="A2450" s="53" t="s">
        <v>411</v>
      </c>
      <c r="B2450" s="53" t="s">
        <v>2789</v>
      </c>
      <c r="D2450" s="53" t="s">
        <v>2907</v>
      </c>
      <c r="E2450" s="53" t="s">
        <v>3714</v>
      </c>
      <c r="F2450" s="53" t="s">
        <v>2882</v>
      </c>
      <c r="G2450" s="53" t="s">
        <v>485</v>
      </c>
      <c r="H2450" s="53">
        <v>1.0</v>
      </c>
      <c r="I2450" s="53">
        <v>0.2565789473684211</v>
      </c>
      <c r="J2450" s="53">
        <v>1.0</v>
      </c>
      <c r="K2450" s="53" t="s">
        <v>53</v>
      </c>
      <c r="L2450" s="53" t="s">
        <v>53</v>
      </c>
    </row>
    <row r="2451" ht="15.75" customHeight="1">
      <c r="A2451" s="53" t="s">
        <v>411</v>
      </c>
      <c r="B2451" s="53" t="s">
        <v>2789</v>
      </c>
      <c r="D2451" s="53" t="s">
        <v>2907</v>
      </c>
      <c r="E2451" s="53" t="s">
        <v>3715</v>
      </c>
      <c r="F2451" s="53" t="s">
        <v>2882</v>
      </c>
      <c r="G2451" s="53" t="s">
        <v>474</v>
      </c>
      <c r="H2451" s="53">
        <v>1.0</v>
      </c>
      <c r="I2451" s="53">
        <v>0.2662337662337662</v>
      </c>
      <c r="J2451" s="53">
        <v>2.0</v>
      </c>
      <c r="K2451" s="53" t="s">
        <v>53</v>
      </c>
      <c r="L2451" s="53" t="s">
        <v>53</v>
      </c>
    </row>
    <row r="2452" ht="15.75" customHeight="1">
      <c r="A2452" s="53" t="s">
        <v>411</v>
      </c>
      <c r="B2452" s="53" t="s">
        <v>2789</v>
      </c>
      <c r="D2452" s="53" t="s">
        <v>2907</v>
      </c>
      <c r="E2452" s="53" t="s">
        <v>3716</v>
      </c>
      <c r="F2452" s="53" t="s">
        <v>2882</v>
      </c>
      <c r="G2452" s="53" t="s">
        <v>495</v>
      </c>
      <c r="H2452" s="53">
        <v>1.0</v>
      </c>
      <c r="I2452" s="53">
        <v>0.2789115646258503</v>
      </c>
      <c r="J2452" s="53">
        <v>3.0</v>
      </c>
      <c r="K2452" s="53" t="s">
        <v>53</v>
      </c>
      <c r="L2452" s="53" t="s">
        <v>53</v>
      </c>
    </row>
    <row r="2453" ht="15.75" customHeight="1">
      <c r="A2453" s="53" t="s">
        <v>411</v>
      </c>
      <c r="B2453" s="53" t="s">
        <v>2789</v>
      </c>
      <c r="D2453" s="53" t="s">
        <v>2917</v>
      </c>
      <c r="E2453" s="53" t="s">
        <v>3717</v>
      </c>
      <c r="F2453" s="53" t="s">
        <v>2882</v>
      </c>
      <c r="G2453" s="53" t="s">
        <v>2937</v>
      </c>
      <c r="H2453" s="53">
        <v>1.0</v>
      </c>
      <c r="I2453" s="53">
        <v>0.2119205298013245</v>
      </c>
      <c r="J2453" s="53">
        <v>4.0</v>
      </c>
      <c r="K2453" s="53" t="s">
        <v>53</v>
      </c>
      <c r="L2453" s="53" t="s">
        <v>53</v>
      </c>
    </row>
    <row r="2454" ht="15.75" customHeight="1">
      <c r="A2454" s="53" t="s">
        <v>411</v>
      </c>
      <c r="B2454" s="53" t="s">
        <v>2789</v>
      </c>
      <c r="D2454" s="53" t="s">
        <v>2917</v>
      </c>
      <c r="E2454" s="53" t="s">
        <v>3718</v>
      </c>
      <c r="F2454" s="53" t="s">
        <v>2882</v>
      </c>
      <c r="G2454" s="53" t="s">
        <v>2942</v>
      </c>
      <c r="H2454" s="53">
        <v>1.0</v>
      </c>
      <c r="I2454" s="53">
        <v>0.24503311258278146</v>
      </c>
      <c r="J2454" s="53">
        <v>5.0</v>
      </c>
      <c r="K2454" s="53" t="s">
        <v>53</v>
      </c>
      <c r="L2454" s="53" t="s">
        <v>53</v>
      </c>
    </row>
    <row r="2455" ht="15.75" customHeight="1">
      <c r="A2455" s="53" t="s">
        <v>411</v>
      </c>
      <c r="B2455" s="53" t="s">
        <v>2789</v>
      </c>
      <c r="D2455" s="53" t="s">
        <v>2917</v>
      </c>
      <c r="E2455" s="53" t="s">
        <v>3719</v>
      </c>
      <c r="F2455" s="53" t="s">
        <v>2882</v>
      </c>
      <c r="G2455" s="53" t="s">
        <v>2948</v>
      </c>
      <c r="H2455" s="53">
        <v>1.0</v>
      </c>
      <c r="I2455" s="53">
        <v>0.25165562913907286</v>
      </c>
      <c r="J2455" s="53">
        <v>3.0</v>
      </c>
      <c r="K2455" s="53" t="s">
        <v>53</v>
      </c>
      <c r="L2455" s="53" t="s">
        <v>53</v>
      </c>
    </row>
    <row r="2456" ht="15.75" customHeight="1">
      <c r="A2456" s="53" t="s">
        <v>411</v>
      </c>
      <c r="B2456" s="53" t="s">
        <v>2789</v>
      </c>
      <c r="D2456" s="53" t="s">
        <v>2917</v>
      </c>
      <c r="E2456" s="53" t="s">
        <v>3720</v>
      </c>
      <c r="F2456" s="53" t="s">
        <v>2882</v>
      </c>
      <c r="G2456" s="53" t="s">
        <v>485</v>
      </c>
      <c r="H2456" s="53">
        <v>1.0</v>
      </c>
      <c r="I2456" s="53">
        <v>0.2565789473684211</v>
      </c>
      <c r="J2456" s="53">
        <v>0.0</v>
      </c>
      <c r="K2456" s="53" t="s">
        <v>53</v>
      </c>
      <c r="L2456" s="53" t="s">
        <v>53</v>
      </c>
    </row>
    <row r="2457" ht="15.75" customHeight="1">
      <c r="A2457" s="53" t="s">
        <v>411</v>
      </c>
      <c r="B2457" s="53" t="s">
        <v>2789</v>
      </c>
      <c r="D2457" s="53" t="s">
        <v>2917</v>
      </c>
      <c r="E2457" s="53" t="s">
        <v>3721</v>
      </c>
      <c r="F2457" s="53" t="s">
        <v>2882</v>
      </c>
      <c r="G2457" s="53" t="s">
        <v>474</v>
      </c>
      <c r="H2457" s="53">
        <v>1.0</v>
      </c>
      <c r="I2457" s="53">
        <v>0.2662337662337662</v>
      </c>
      <c r="J2457" s="53">
        <v>1.0</v>
      </c>
      <c r="K2457" s="53" t="s">
        <v>53</v>
      </c>
      <c r="L2457" s="53" t="s">
        <v>53</v>
      </c>
    </row>
    <row r="2458" ht="15.75" customHeight="1">
      <c r="A2458" s="53" t="s">
        <v>411</v>
      </c>
      <c r="B2458" s="53" t="s">
        <v>2789</v>
      </c>
      <c r="D2458" s="53" t="s">
        <v>2917</v>
      </c>
      <c r="E2458" s="53" t="s">
        <v>3722</v>
      </c>
      <c r="F2458" s="53" t="s">
        <v>2882</v>
      </c>
      <c r="G2458" s="53" t="s">
        <v>495</v>
      </c>
      <c r="H2458" s="53">
        <v>1.0</v>
      </c>
      <c r="I2458" s="53">
        <v>0.2781456953642384</v>
      </c>
      <c r="J2458" s="53">
        <v>2.0</v>
      </c>
      <c r="K2458" s="53" t="s">
        <v>53</v>
      </c>
      <c r="L2458" s="53" t="s">
        <v>53</v>
      </c>
    </row>
    <row r="2459" ht="15.75" customHeight="1">
      <c r="A2459" s="53" t="s">
        <v>411</v>
      </c>
      <c r="B2459" s="53" t="s">
        <v>2789</v>
      </c>
      <c r="D2459" s="53" t="s">
        <v>485</v>
      </c>
      <c r="E2459" s="53" t="s">
        <v>3723</v>
      </c>
      <c r="F2459" s="53" t="s">
        <v>2882</v>
      </c>
      <c r="G2459" s="53" t="s">
        <v>474</v>
      </c>
      <c r="H2459" s="53">
        <v>1.0</v>
      </c>
      <c r="I2459" s="53">
        <v>0.012987012987012988</v>
      </c>
      <c r="J2459" s="53">
        <v>0.0</v>
      </c>
      <c r="K2459" s="53" t="s">
        <v>53</v>
      </c>
      <c r="L2459" s="53" t="s">
        <v>53</v>
      </c>
    </row>
    <row r="2460" ht="15.75" customHeight="1">
      <c r="A2460" s="53" t="s">
        <v>411</v>
      </c>
      <c r="B2460" s="53" t="s">
        <v>2789</v>
      </c>
      <c r="D2460" s="53" t="s">
        <v>485</v>
      </c>
      <c r="E2460" s="53" t="s">
        <v>3724</v>
      </c>
      <c r="F2460" s="53" t="s">
        <v>2882</v>
      </c>
      <c r="G2460" s="53" t="s">
        <v>495</v>
      </c>
      <c r="H2460" s="53">
        <v>1.0</v>
      </c>
      <c r="I2460" s="53">
        <v>0.13815789473684212</v>
      </c>
      <c r="J2460" s="53">
        <v>1.0</v>
      </c>
      <c r="K2460" s="53" t="s">
        <v>53</v>
      </c>
      <c r="L2460" s="53" t="s">
        <v>53</v>
      </c>
    </row>
    <row r="2461" ht="15.75" customHeight="1">
      <c r="A2461" s="53" t="s">
        <v>411</v>
      </c>
      <c r="B2461" s="53" t="s">
        <v>2789</v>
      </c>
      <c r="D2461" s="53" t="s">
        <v>485</v>
      </c>
      <c r="E2461" s="53" t="s">
        <v>3725</v>
      </c>
      <c r="F2461" s="53" t="s">
        <v>2882</v>
      </c>
      <c r="G2461" s="53" t="s">
        <v>2948</v>
      </c>
      <c r="H2461" s="53">
        <v>1.0</v>
      </c>
      <c r="I2461" s="53">
        <v>0.1513157894736842</v>
      </c>
      <c r="J2461" s="53">
        <v>2.0</v>
      </c>
      <c r="K2461" s="53" t="s">
        <v>53</v>
      </c>
      <c r="L2461" s="53" t="s">
        <v>53</v>
      </c>
    </row>
    <row r="2462" ht="15.75" customHeight="1">
      <c r="A2462" s="53" t="s">
        <v>411</v>
      </c>
      <c r="B2462" s="53" t="s">
        <v>2789</v>
      </c>
      <c r="D2462" s="53" t="s">
        <v>485</v>
      </c>
      <c r="E2462" s="53" t="s">
        <v>3726</v>
      </c>
      <c r="F2462" s="53" t="s">
        <v>2882</v>
      </c>
      <c r="G2462" s="53" t="s">
        <v>2942</v>
      </c>
      <c r="H2462" s="53">
        <v>1.0</v>
      </c>
      <c r="I2462" s="53">
        <v>0.20394736842105263</v>
      </c>
      <c r="J2462" s="53">
        <v>4.0</v>
      </c>
      <c r="K2462" s="53" t="s">
        <v>53</v>
      </c>
      <c r="L2462" s="53" t="s">
        <v>53</v>
      </c>
    </row>
    <row r="2463" ht="15.75" customHeight="1">
      <c r="A2463" s="53" t="s">
        <v>411</v>
      </c>
      <c r="B2463" s="53" t="s">
        <v>2789</v>
      </c>
      <c r="D2463" s="53" t="s">
        <v>485</v>
      </c>
      <c r="E2463" s="53" t="s">
        <v>3727</v>
      </c>
      <c r="F2463" s="53" t="s">
        <v>2882</v>
      </c>
      <c r="G2463" s="53" t="s">
        <v>2937</v>
      </c>
      <c r="H2463" s="53">
        <v>1.0</v>
      </c>
      <c r="I2463" s="53">
        <v>0.21710526315789475</v>
      </c>
      <c r="J2463" s="53">
        <v>3.0</v>
      </c>
      <c r="K2463" s="53" t="s">
        <v>53</v>
      </c>
      <c r="L2463" s="53" t="s">
        <v>53</v>
      </c>
    </row>
    <row r="2464" ht="15.75" customHeight="1">
      <c r="A2464" s="53" t="s">
        <v>411</v>
      </c>
      <c r="B2464" s="53" t="s">
        <v>2789</v>
      </c>
      <c r="D2464" s="53" t="s">
        <v>474</v>
      </c>
      <c r="E2464" s="53" t="s">
        <v>3728</v>
      </c>
      <c r="F2464" s="53" t="s">
        <v>2882</v>
      </c>
      <c r="G2464" s="53" t="s">
        <v>495</v>
      </c>
      <c r="H2464" s="53">
        <v>1.0</v>
      </c>
      <c r="I2464" s="53">
        <v>0.14285714285714285</v>
      </c>
      <c r="J2464" s="53">
        <v>0.0</v>
      </c>
      <c r="K2464" s="53" t="s">
        <v>53</v>
      </c>
      <c r="L2464" s="53" t="s">
        <v>53</v>
      </c>
    </row>
    <row r="2465" ht="15.75" customHeight="1">
      <c r="A2465" s="53" t="s">
        <v>411</v>
      </c>
      <c r="B2465" s="53" t="s">
        <v>2789</v>
      </c>
      <c r="D2465" s="53" t="s">
        <v>474</v>
      </c>
      <c r="E2465" s="53" t="s">
        <v>3729</v>
      </c>
      <c r="F2465" s="53" t="s">
        <v>2882</v>
      </c>
      <c r="G2465" s="53" t="s">
        <v>2948</v>
      </c>
      <c r="H2465" s="53">
        <v>1.0</v>
      </c>
      <c r="I2465" s="53">
        <v>0.16233766233766234</v>
      </c>
      <c r="J2465" s="53">
        <v>1.0</v>
      </c>
      <c r="K2465" s="53" t="s">
        <v>53</v>
      </c>
      <c r="L2465" s="53" t="s">
        <v>53</v>
      </c>
    </row>
    <row r="2466" ht="15.75" customHeight="1">
      <c r="A2466" s="53" t="s">
        <v>411</v>
      </c>
      <c r="B2466" s="53" t="s">
        <v>2789</v>
      </c>
      <c r="D2466" s="53" t="s">
        <v>474</v>
      </c>
      <c r="E2466" s="53" t="s">
        <v>3730</v>
      </c>
      <c r="F2466" s="53" t="s">
        <v>2882</v>
      </c>
      <c r="G2466" s="53" t="s">
        <v>2942</v>
      </c>
      <c r="H2466" s="53">
        <v>1.0</v>
      </c>
      <c r="I2466" s="53">
        <v>0.19480519480519481</v>
      </c>
      <c r="J2466" s="53">
        <v>3.0</v>
      </c>
      <c r="K2466" s="53" t="s">
        <v>53</v>
      </c>
      <c r="L2466" s="53" t="s">
        <v>53</v>
      </c>
    </row>
    <row r="2467" ht="15.75" customHeight="1">
      <c r="A2467" s="53" t="s">
        <v>411</v>
      </c>
      <c r="B2467" s="53" t="s">
        <v>2789</v>
      </c>
      <c r="D2467" s="53" t="s">
        <v>474</v>
      </c>
      <c r="E2467" s="53" t="s">
        <v>3731</v>
      </c>
      <c r="F2467" s="53" t="s">
        <v>2882</v>
      </c>
      <c r="G2467" s="53" t="s">
        <v>2937</v>
      </c>
      <c r="H2467" s="53">
        <v>1.0</v>
      </c>
      <c r="I2467" s="53">
        <v>0.22727272727272727</v>
      </c>
      <c r="J2467" s="53">
        <v>2.0</v>
      </c>
      <c r="K2467" s="53" t="s">
        <v>53</v>
      </c>
      <c r="L2467" s="53" t="s">
        <v>53</v>
      </c>
    </row>
    <row r="2468" ht="15.75" customHeight="1">
      <c r="A2468" s="53" t="s">
        <v>411</v>
      </c>
      <c r="B2468" s="53" t="s">
        <v>2789</v>
      </c>
      <c r="D2468" s="53" t="s">
        <v>495</v>
      </c>
      <c r="E2468" s="53" t="s">
        <v>3732</v>
      </c>
      <c r="F2468" s="53" t="s">
        <v>2882</v>
      </c>
      <c r="G2468" s="53" t="s">
        <v>2948</v>
      </c>
      <c r="H2468" s="53">
        <v>1.0</v>
      </c>
      <c r="I2468" s="53">
        <v>0.20666666666666667</v>
      </c>
      <c r="J2468" s="53">
        <v>0.0</v>
      </c>
      <c r="K2468" s="53" t="s">
        <v>53</v>
      </c>
      <c r="L2468" s="53" t="s">
        <v>53</v>
      </c>
    </row>
    <row r="2469" ht="15.75" customHeight="1">
      <c r="A2469" s="53" t="s">
        <v>411</v>
      </c>
      <c r="B2469" s="53" t="s">
        <v>2789</v>
      </c>
      <c r="D2469" s="53" t="s">
        <v>495</v>
      </c>
      <c r="E2469" s="53" t="s">
        <v>3733</v>
      </c>
      <c r="F2469" s="53" t="s">
        <v>2882</v>
      </c>
      <c r="G2469" s="53" t="s">
        <v>2942</v>
      </c>
      <c r="H2469" s="53">
        <v>1.0</v>
      </c>
      <c r="I2469" s="53">
        <v>0.22972972972972974</v>
      </c>
      <c r="J2469" s="53">
        <v>2.0</v>
      </c>
      <c r="K2469" s="53" t="s">
        <v>53</v>
      </c>
      <c r="L2469" s="53" t="s">
        <v>53</v>
      </c>
    </row>
    <row r="2470" ht="15.75" customHeight="1">
      <c r="A2470" s="53" t="s">
        <v>411</v>
      </c>
      <c r="B2470" s="53" t="s">
        <v>2789</v>
      </c>
      <c r="D2470" s="53" t="s">
        <v>495</v>
      </c>
      <c r="E2470" s="53" t="s">
        <v>3734</v>
      </c>
      <c r="F2470" s="53" t="s">
        <v>2882</v>
      </c>
      <c r="G2470" s="53" t="s">
        <v>2937</v>
      </c>
      <c r="H2470" s="53">
        <v>1.0</v>
      </c>
      <c r="I2470" s="53">
        <v>0.2602739726027397</v>
      </c>
      <c r="J2470" s="53">
        <v>1.0</v>
      </c>
      <c r="K2470" s="53" t="s">
        <v>53</v>
      </c>
      <c r="L2470" s="53" t="s">
        <v>53</v>
      </c>
    </row>
    <row r="2471" ht="15.75" customHeight="1">
      <c r="A2471" s="53" t="s">
        <v>411</v>
      </c>
      <c r="B2471" s="53" t="s">
        <v>2789</v>
      </c>
      <c r="D2471" s="53" t="s">
        <v>2948</v>
      </c>
      <c r="E2471" s="53" t="s">
        <v>3735</v>
      </c>
      <c r="F2471" s="53" t="s">
        <v>2882</v>
      </c>
      <c r="G2471" s="53" t="s">
        <v>2942</v>
      </c>
      <c r="H2471" s="53">
        <v>1.0</v>
      </c>
      <c r="I2471" s="53">
        <v>0.09333333333333334</v>
      </c>
      <c r="J2471" s="53">
        <v>1.0</v>
      </c>
      <c r="K2471" s="53" t="s">
        <v>53</v>
      </c>
      <c r="L2471" s="53" t="s">
        <v>53</v>
      </c>
    </row>
    <row r="2472" ht="15.75" customHeight="1">
      <c r="A2472" s="53" t="s">
        <v>411</v>
      </c>
      <c r="B2472" s="53" t="s">
        <v>2789</v>
      </c>
      <c r="D2472" s="53" t="s">
        <v>2948</v>
      </c>
      <c r="E2472" s="53" t="s">
        <v>3736</v>
      </c>
      <c r="F2472" s="53" t="s">
        <v>2882</v>
      </c>
      <c r="G2472" s="53" t="s">
        <v>2937</v>
      </c>
      <c r="H2472" s="53">
        <v>1.0</v>
      </c>
      <c r="I2472" s="53">
        <v>0.12666666666666668</v>
      </c>
      <c r="J2472" s="53">
        <v>0.0</v>
      </c>
      <c r="K2472" s="53" t="s">
        <v>53</v>
      </c>
      <c r="L2472" s="53" t="s">
        <v>53</v>
      </c>
    </row>
    <row r="2473" ht="15.75" customHeight="1">
      <c r="A2473" s="53" t="s">
        <v>411</v>
      </c>
      <c r="B2473" s="53" t="s">
        <v>2789</v>
      </c>
      <c r="D2473" s="53" t="s">
        <v>2937</v>
      </c>
      <c r="E2473" s="53" t="s">
        <v>3737</v>
      </c>
      <c r="F2473" s="53" t="s">
        <v>2882</v>
      </c>
      <c r="G2473" s="53" t="s">
        <v>2942</v>
      </c>
      <c r="H2473" s="53">
        <v>1.0</v>
      </c>
      <c r="I2473" s="53">
        <v>0.06756756756756757</v>
      </c>
      <c r="J2473" s="53">
        <v>0.0</v>
      </c>
      <c r="K2473" s="53" t="s">
        <v>53</v>
      </c>
      <c r="L2473" s="53" t="s">
        <v>53</v>
      </c>
    </row>
    <row r="2474" ht="15.75" customHeight="1">
      <c r="A2474" s="53" t="s">
        <v>411</v>
      </c>
      <c r="B2474" s="53" t="s">
        <v>412</v>
      </c>
      <c r="C2474" s="53" t="s">
        <v>413</v>
      </c>
      <c r="D2474" s="53" t="s">
        <v>3738</v>
      </c>
      <c r="E2474" s="53" t="s">
        <v>3739</v>
      </c>
      <c r="F2474" s="53" t="s">
        <v>3740</v>
      </c>
      <c r="G2474" s="53" t="s">
        <v>3741</v>
      </c>
      <c r="H2474" s="53">
        <v>1.0</v>
      </c>
      <c r="I2474" s="53">
        <v>0.0821917808219178</v>
      </c>
      <c r="J2474" s="53">
        <v>0.0</v>
      </c>
      <c r="K2474" s="53" t="s">
        <v>3742</v>
      </c>
      <c r="L2474" s="53" t="s">
        <v>53</v>
      </c>
    </row>
    <row r="2475" ht="15.75" customHeight="1">
      <c r="A2475" s="53" t="s">
        <v>411</v>
      </c>
      <c r="B2475" s="53" t="s">
        <v>423</v>
      </c>
      <c r="C2475" s="53" t="s">
        <v>424</v>
      </c>
      <c r="D2475" s="53" t="s">
        <v>431</v>
      </c>
      <c r="E2475" s="53" t="s">
        <v>3743</v>
      </c>
      <c r="F2475" s="53" t="s">
        <v>429</v>
      </c>
      <c r="G2475" s="53" t="s">
        <v>466</v>
      </c>
      <c r="H2475" s="53">
        <v>1.0</v>
      </c>
      <c r="I2475" s="53">
        <v>0.023076923076923078</v>
      </c>
      <c r="J2475" s="53">
        <v>8.0</v>
      </c>
      <c r="K2475" s="53" t="s">
        <v>3744</v>
      </c>
      <c r="L2475" s="53" t="s">
        <v>53</v>
      </c>
    </row>
    <row r="2476" ht="15.75" customHeight="1">
      <c r="A2476" s="53" t="s">
        <v>411</v>
      </c>
      <c r="B2476" s="53" t="s">
        <v>423</v>
      </c>
      <c r="C2476" s="53" t="s">
        <v>424</v>
      </c>
      <c r="D2476" s="53" t="s">
        <v>431</v>
      </c>
      <c r="E2476" s="53" t="s">
        <v>3745</v>
      </c>
      <c r="F2476" s="53" t="s">
        <v>429</v>
      </c>
      <c r="G2476" s="53" t="s">
        <v>458</v>
      </c>
      <c r="H2476" s="53">
        <v>1.0</v>
      </c>
      <c r="I2476" s="53">
        <v>0.023255813953488372</v>
      </c>
      <c r="J2476" s="53">
        <v>6.0</v>
      </c>
      <c r="K2476" s="53" t="s">
        <v>3744</v>
      </c>
      <c r="L2476" s="53" t="s">
        <v>53</v>
      </c>
    </row>
    <row r="2477" ht="15.75" customHeight="1">
      <c r="A2477" s="53" t="s">
        <v>411</v>
      </c>
      <c r="B2477" s="53" t="s">
        <v>423</v>
      </c>
      <c r="C2477" s="53" t="s">
        <v>424</v>
      </c>
      <c r="D2477" s="53" t="s">
        <v>431</v>
      </c>
      <c r="E2477" s="53" t="s">
        <v>3746</v>
      </c>
      <c r="F2477" s="53" t="s">
        <v>429</v>
      </c>
      <c r="G2477" s="53" t="s">
        <v>450</v>
      </c>
      <c r="H2477" s="53">
        <v>1.0</v>
      </c>
      <c r="I2477" s="53">
        <v>0.0234375</v>
      </c>
      <c r="J2477" s="53">
        <v>4.0</v>
      </c>
      <c r="K2477" s="53" t="s">
        <v>3744</v>
      </c>
      <c r="L2477" s="53" t="s">
        <v>53</v>
      </c>
    </row>
    <row r="2478" ht="15.75" customHeight="1">
      <c r="A2478" s="53" t="s">
        <v>411</v>
      </c>
      <c r="B2478" s="53" t="s">
        <v>423</v>
      </c>
      <c r="C2478" s="53" t="s">
        <v>424</v>
      </c>
      <c r="D2478" s="53" t="s">
        <v>431</v>
      </c>
      <c r="E2478" s="53" t="s">
        <v>3747</v>
      </c>
      <c r="F2478" s="53" t="s">
        <v>429</v>
      </c>
      <c r="G2478" s="53" t="s">
        <v>436</v>
      </c>
      <c r="H2478" s="53">
        <v>1.0</v>
      </c>
      <c r="I2478" s="53">
        <v>0.0234375</v>
      </c>
      <c r="J2478" s="53">
        <v>1.0</v>
      </c>
      <c r="K2478" s="53" t="s">
        <v>3744</v>
      </c>
      <c r="L2478" s="53" t="s">
        <v>53</v>
      </c>
    </row>
    <row r="2479" ht="15.75" customHeight="1">
      <c r="A2479" s="53" t="s">
        <v>411</v>
      </c>
      <c r="B2479" s="53" t="s">
        <v>423</v>
      </c>
      <c r="C2479" s="53" t="s">
        <v>424</v>
      </c>
      <c r="D2479" s="53" t="s">
        <v>431</v>
      </c>
      <c r="E2479" s="53" t="s">
        <v>3748</v>
      </c>
      <c r="F2479" s="53" t="s">
        <v>429</v>
      </c>
      <c r="G2479" s="53" t="s">
        <v>454</v>
      </c>
      <c r="H2479" s="53">
        <v>1.0</v>
      </c>
      <c r="I2479" s="53">
        <v>0.0234375</v>
      </c>
      <c r="J2479" s="53">
        <v>5.0</v>
      </c>
      <c r="K2479" s="53" t="s">
        <v>3744</v>
      </c>
      <c r="L2479" s="53" t="s">
        <v>53</v>
      </c>
    </row>
    <row r="2480" ht="15.75" customHeight="1">
      <c r="A2480" s="53" t="s">
        <v>411</v>
      </c>
      <c r="B2480" s="53" t="s">
        <v>423</v>
      </c>
      <c r="C2480" s="53" t="s">
        <v>424</v>
      </c>
      <c r="D2480" s="53" t="s">
        <v>431</v>
      </c>
      <c r="E2480" s="53" t="s">
        <v>3749</v>
      </c>
      <c r="F2480" s="53" t="s">
        <v>429</v>
      </c>
      <c r="G2480" s="53" t="s">
        <v>444</v>
      </c>
      <c r="H2480" s="53">
        <v>1.0</v>
      </c>
      <c r="I2480" s="53">
        <v>0.0234375</v>
      </c>
      <c r="J2480" s="53">
        <v>3.0</v>
      </c>
      <c r="K2480" s="53" t="s">
        <v>3744</v>
      </c>
      <c r="L2480" s="53" t="s">
        <v>53</v>
      </c>
    </row>
    <row r="2481" ht="15.75" customHeight="1">
      <c r="A2481" s="53" t="s">
        <v>411</v>
      </c>
      <c r="B2481" s="53" t="s">
        <v>423</v>
      </c>
      <c r="C2481" s="53" t="s">
        <v>424</v>
      </c>
      <c r="D2481" s="53" t="s">
        <v>431</v>
      </c>
      <c r="E2481" s="53" t="s">
        <v>3750</v>
      </c>
      <c r="F2481" s="53" t="s">
        <v>429</v>
      </c>
      <c r="G2481" s="53" t="s">
        <v>462</v>
      </c>
      <c r="H2481" s="53">
        <v>1.0</v>
      </c>
      <c r="I2481" s="53">
        <v>0.03076923076923077</v>
      </c>
      <c r="J2481" s="53">
        <v>7.0</v>
      </c>
      <c r="K2481" s="53" t="s">
        <v>3744</v>
      </c>
      <c r="L2481" s="53" t="s">
        <v>53</v>
      </c>
    </row>
    <row r="2482" ht="15.75" customHeight="1">
      <c r="A2482" s="53" t="s">
        <v>411</v>
      </c>
      <c r="B2482" s="53" t="s">
        <v>423</v>
      </c>
      <c r="C2482" s="53" t="s">
        <v>424</v>
      </c>
      <c r="D2482" s="53" t="s">
        <v>431</v>
      </c>
      <c r="E2482" s="53" t="s">
        <v>3751</v>
      </c>
      <c r="F2482" s="53" t="s">
        <v>429</v>
      </c>
      <c r="G2482" s="53" t="s">
        <v>440</v>
      </c>
      <c r="H2482" s="53">
        <v>1.0</v>
      </c>
      <c r="I2482" s="53">
        <v>0.031007751937984496</v>
      </c>
      <c r="J2482" s="53">
        <v>2.0</v>
      </c>
      <c r="K2482" s="53" t="s">
        <v>3744</v>
      </c>
      <c r="L2482" s="53" t="s">
        <v>53</v>
      </c>
    </row>
    <row r="2483" ht="15.75" customHeight="1">
      <c r="A2483" s="53" t="s">
        <v>411</v>
      </c>
      <c r="B2483" s="53" t="s">
        <v>423</v>
      </c>
      <c r="C2483" s="53" t="s">
        <v>424</v>
      </c>
      <c r="D2483" s="53" t="s">
        <v>436</v>
      </c>
      <c r="E2483" s="53" t="s">
        <v>3752</v>
      </c>
      <c r="F2483" s="53" t="s">
        <v>429</v>
      </c>
      <c r="G2483" s="53" t="s">
        <v>440</v>
      </c>
      <c r="H2483" s="53">
        <v>1.0</v>
      </c>
      <c r="I2483" s="53">
        <v>0.007751937984496124</v>
      </c>
      <c r="J2483" s="53">
        <v>0.0</v>
      </c>
      <c r="K2483" s="53" t="s">
        <v>3744</v>
      </c>
      <c r="L2483" s="53" t="s">
        <v>53</v>
      </c>
    </row>
    <row r="2484" ht="15.75" customHeight="1">
      <c r="A2484" s="53" t="s">
        <v>411</v>
      </c>
      <c r="B2484" s="53" t="s">
        <v>423</v>
      </c>
      <c r="C2484" s="53" t="s">
        <v>424</v>
      </c>
      <c r="D2484" s="53" t="s">
        <v>436</v>
      </c>
      <c r="E2484" s="53" t="s">
        <v>3753</v>
      </c>
      <c r="F2484" s="53" t="s">
        <v>429</v>
      </c>
      <c r="G2484" s="53" t="s">
        <v>450</v>
      </c>
      <c r="H2484" s="53">
        <v>1.0</v>
      </c>
      <c r="I2484" s="53">
        <v>0.0078125</v>
      </c>
      <c r="J2484" s="53">
        <v>2.0</v>
      </c>
      <c r="K2484" s="53" t="s">
        <v>3744</v>
      </c>
      <c r="L2484" s="53" t="s">
        <v>53</v>
      </c>
    </row>
    <row r="2485" ht="15.75" customHeight="1">
      <c r="A2485" s="53" t="s">
        <v>411</v>
      </c>
      <c r="B2485" s="53" t="s">
        <v>423</v>
      </c>
      <c r="C2485" s="53" t="s">
        <v>424</v>
      </c>
      <c r="D2485" s="53" t="s">
        <v>436</v>
      </c>
      <c r="E2485" s="53" t="s">
        <v>3754</v>
      </c>
      <c r="F2485" s="53" t="s">
        <v>429</v>
      </c>
      <c r="G2485" s="53" t="s">
        <v>444</v>
      </c>
      <c r="H2485" s="53">
        <v>1.0</v>
      </c>
      <c r="I2485" s="53">
        <v>0.0078125</v>
      </c>
      <c r="J2485" s="53">
        <v>1.0</v>
      </c>
      <c r="K2485" s="53" t="s">
        <v>3744</v>
      </c>
      <c r="L2485" s="53" t="s">
        <v>53</v>
      </c>
    </row>
    <row r="2486" ht="15.75" customHeight="1">
      <c r="A2486" s="53" t="s">
        <v>411</v>
      </c>
      <c r="B2486" s="53" t="s">
        <v>423</v>
      </c>
      <c r="C2486" s="53" t="s">
        <v>424</v>
      </c>
      <c r="D2486" s="53" t="s">
        <v>436</v>
      </c>
      <c r="E2486" s="53" t="s">
        <v>3755</v>
      </c>
      <c r="F2486" s="53" t="s">
        <v>429</v>
      </c>
      <c r="G2486" s="53" t="s">
        <v>454</v>
      </c>
      <c r="H2486" s="53">
        <v>1.0</v>
      </c>
      <c r="I2486" s="53">
        <v>0.015625</v>
      </c>
      <c r="J2486" s="53">
        <v>3.0</v>
      </c>
      <c r="K2486" s="53" t="s">
        <v>3744</v>
      </c>
      <c r="L2486" s="53" t="s">
        <v>53</v>
      </c>
    </row>
    <row r="2487" ht="15.75" customHeight="1">
      <c r="A2487" s="53" t="s">
        <v>411</v>
      </c>
      <c r="B2487" s="53" t="s">
        <v>423</v>
      </c>
      <c r="C2487" s="53" t="s">
        <v>424</v>
      </c>
      <c r="D2487" s="53" t="s">
        <v>436</v>
      </c>
      <c r="E2487" s="53" t="s">
        <v>3756</v>
      </c>
      <c r="F2487" s="53" t="s">
        <v>429</v>
      </c>
      <c r="G2487" s="53" t="s">
        <v>458</v>
      </c>
      <c r="H2487" s="53">
        <v>1.0</v>
      </c>
      <c r="I2487" s="53">
        <v>0.023255813953488372</v>
      </c>
      <c r="J2487" s="53">
        <v>4.0</v>
      </c>
      <c r="K2487" s="53" t="s">
        <v>3744</v>
      </c>
      <c r="L2487" s="53" t="s">
        <v>53</v>
      </c>
    </row>
    <row r="2488" ht="15.75" customHeight="1">
      <c r="A2488" s="53" t="s">
        <v>411</v>
      </c>
      <c r="B2488" s="53" t="s">
        <v>423</v>
      </c>
      <c r="C2488" s="53" t="s">
        <v>424</v>
      </c>
      <c r="D2488" s="53" t="s">
        <v>436</v>
      </c>
      <c r="E2488" s="53" t="s">
        <v>3757</v>
      </c>
      <c r="F2488" s="53" t="s">
        <v>429</v>
      </c>
      <c r="G2488" s="53" t="s">
        <v>462</v>
      </c>
      <c r="H2488" s="53">
        <v>1.0</v>
      </c>
      <c r="I2488" s="53">
        <v>0.03076923076923077</v>
      </c>
      <c r="J2488" s="53">
        <v>5.0</v>
      </c>
      <c r="K2488" s="53" t="s">
        <v>3744</v>
      </c>
      <c r="L2488" s="53" t="s">
        <v>53</v>
      </c>
    </row>
    <row r="2489" ht="15.75" customHeight="1">
      <c r="A2489" s="53" t="s">
        <v>411</v>
      </c>
      <c r="B2489" s="53" t="s">
        <v>423</v>
      </c>
      <c r="C2489" s="53" t="s">
        <v>424</v>
      </c>
      <c r="D2489" s="53" t="s">
        <v>436</v>
      </c>
      <c r="E2489" s="53" t="s">
        <v>3758</v>
      </c>
      <c r="F2489" s="53" t="s">
        <v>429</v>
      </c>
      <c r="G2489" s="53" t="s">
        <v>466</v>
      </c>
      <c r="H2489" s="53">
        <v>1.0</v>
      </c>
      <c r="I2489" s="53">
        <v>0.038461538461538464</v>
      </c>
      <c r="J2489" s="53">
        <v>6.0</v>
      </c>
      <c r="K2489" s="53" t="s">
        <v>3744</v>
      </c>
      <c r="L2489" s="53" t="s">
        <v>53</v>
      </c>
    </row>
    <row r="2490" ht="15.75" customHeight="1">
      <c r="A2490" s="53" t="s">
        <v>411</v>
      </c>
      <c r="B2490" s="53" t="s">
        <v>423</v>
      </c>
      <c r="C2490" s="53" t="s">
        <v>424</v>
      </c>
      <c r="D2490" s="53" t="s">
        <v>440</v>
      </c>
      <c r="E2490" s="53" t="s">
        <v>3759</v>
      </c>
      <c r="F2490" s="53" t="s">
        <v>429</v>
      </c>
      <c r="G2490" s="53" t="s">
        <v>450</v>
      </c>
      <c r="H2490" s="53">
        <v>1.0</v>
      </c>
      <c r="I2490" s="53">
        <v>0.015503875968992248</v>
      </c>
      <c r="J2490" s="53">
        <v>1.0</v>
      </c>
      <c r="K2490" s="53" t="s">
        <v>3744</v>
      </c>
      <c r="L2490" s="53" t="s">
        <v>53</v>
      </c>
    </row>
    <row r="2491" ht="15.75" customHeight="1">
      <c r="A2491" s="53" t="s">
        <v>411</v>
      </c>
      <c r="B2491" s="53" t="s">
        <v>423</v>
      </c>
      <c r="C2491" s="53" t="s">
        <v>424</v>
      </c>
      <c r="D2491" s="53" t="s">
        <v>440</v>
      </c>
      <c r="E2491" s="53" t="s">
        <v>3760</v>
      </c>
      <c r="F2491" s="53" t="s">
        <v>429</v>
      </c>
      <c r="G2491" s="53" t="s">
        <v>444</v>
      </c>
      <c r="H2491" s="53">
        <v>1.0</v>
      </c>
      <c r="I2491" s="53">
        <v>0.015503875968992248</v>
      </c>
      <c r="J2491" s="53">
        <v>0.0</v>
      </c>
      <c r="K2491" s="53" t="s">
        <v>3744</v>
      </c>
      <c r="L2491" s="53" t="s">
        <v>53</v>
      </c>
    </row>
    <row r="2492" ht="15.75" customHeight="1">
      <c r="A2492" s="53" t="s">
        <v>411</v>
      </c>
      <c r="B2492" s="53" t="s">
        <v>423</v>
      </c>
      <c r="C2492" s="53" t="s">
        <v>424</v>
      </c>
      <c r="D2492" s="53" t="s">
        <v>440</v>
      </c>
      <c r="E2492" s="53" t="s">
        <v>3761</v>
      </c>
      <c r="F2492" s="53" t="s">
        <v>429</v>
      </c>
      <c r="G2492" s="53" t="s">
        <v>454</v>
      </c>
      <c r="H2492" s="53">
        <v>1.0</v>
      </c>
      <c r="I2492" s="53">
        <v>0.023255813953488372</v>
      </c>
      <c r="J2492" s="53">
        <v>2.0</v>
      </c>
      <c r="K2492" s="53" t="s">
        <v>3744</v>
      </c>
      <c r="L2492" s="53" t="s">
        <v>53</v>
      </c>
    </row>
    <row r="2493" ht="15.75" customHeight="1">
      <c r="A2493" s="53" t="s">
        <v>411</v>
      </c>
      <c r="B2493" s="53" t="s">
        <v>423</v>
      </c>
      <c r="C2493" s="53" t="s">
        <v>424</v>
      </c>
      <c r="D2493" s="53" t="s">
        <v>440</v>
      </c>
      <c r="E2493" s="53" t="s">
        <v>3762</v>
      </c>
      <c r="F2493" s="53" t="s">
        <v>429</v>
      </c>
      <c r="G2493" s="53" t="s">
        <v>458</v>
      </c>
      <c r="H2493" s="53">
        <v>1.0</v>
      </c>
      <c r="I2493" s="53">
        <v>0.031007751937984496</v>
      </c>
      <c r="J2493" s="53">
        <v>3.0</v>
      </c>
      <c r="K2493" s="53" t="s">
        <v>3744</v>
      </c>
      <c r="L2493" s="53" t="s">
        <v>53</v>
      </c>
    </row>
    <row r="2494" ht="15.75" customHeight="1">
      <c r="A2494" s="53" t="s">
        <v>411</v>
      </c>
      <c r="B2494" s="53" t="s">
        <v>423</v>
      </c>
      <c r="C2494" s="53" t="s">
        <v>424</v>
      </c>
      <c r="D2494" s="53" t="s">
        <v>440</v>
      </c>
      <c r="E2494" s="53" t="s">
        <v>3763</v>
      </c>
      <c r="F2494" s="53" t="s">
        <v>429</v>
      </c>
      <c r="G2494" s="53" t="s">
        <v>462</v>
      </c>
      <c r="H2494" s="53">
        <v>1.0</v>
      </c>
      <c r="I2494" s="53">
        <v>0.038461538461538464</v>
      </c>
      <c r="J2494" s="53">
        <v>4.0</v>
      </c>
      <c r="K2494" s="53" t="s">
        <v>3744</v>
      </c>
      <c r="L2494" s="53" t="s">
        <v>53</v>
      </c>
    </row>
    <row r="2495" ht="15.75" customHeight="1">
      <c r="A2495" s="53" t="s">
        <v>411</v>
      </c>
      <c r="B2495" s="53" t="s">
        <v>423</v>
      </c>
      <c r="C2495" s="53" t="s">
        <v>424</v>
      </c>
      <c r="D2495" s="53" t="s">
        <v>440</v>
      </c>
      <c r="E2495" s="53" t="s">
        <v>3764</v>
      </c>
      <c r="F2495" s="53" t="s">
        <v>429</v>
      </c>
      <c r="G2495" s="53" t="s">
        <v>466</v>
      </c>
      <c r="H2495" s="53">
        <v>1.0</v>
      </c>
      <c r="I2495" s="53">
        <v>0.046153846153846156</v>
      </c>
      <c r="J2495" s="53">
        <v>5.0</v>
      </c>
      <c r="K2495" s="53" t="s">
        <v>3744</v>
      </c>
      <c r="L2495" s="53" t="s">
        <v>53</v>
      </c>
    </row>
    <row r="2496" ht="15.75" customHeight="1">
      <c r="A2496" s="53" t="s">
        <v>411</v>
      </c>
      <c r="B2496" s="53" t="s">
        <v>423</v>
      </c>
      <c r="C2496" s="53" t="s">
        <v>424</v>
      </c>
      <c r="D2496" s="53" t="s">
        <v>444</v>
      </c>
      <c r="E2496" s="53" t="s">
        <v>3765</v>
      </c>
      <c r="F2496" s="53" t="s">
        <v>429</v>
      </c>
      <c r="G2496" s="53" t="s">
        <v>450</v>
      </c>
      <c r="H2496" s="53">
        <v>1.0</v>
      </c>
      <c r="I2496" s="53">
        <v>0.0078125</v>
      </c>
      <c r="J2496" s="53">
        <v>0.0</v>
      </c>
      <c r="K2496" s="53" t="s">
        <v>3744</v>
      </c>
      <c r="L2496" s="53" t="s">
        <v>53</v>
      </c>
    </row>
    <row r="2497" ht="15.75" customHeight="1">
      <c r="A2497" s="53" t="s">
        <v>411</v>
      </c>
      <c r="B2497" s="53" t="s">
        <v>423</v>
      </c>
      <c r="C2497" s="53" t="s">
        <v>424</v>
      </c>
      <c r="D2497" s="53" t="s">
        <v>444</v>
      </c>
      <c r="E2497" s="53" t="s">
        <v>3766</v>
      </c>
      <c r="F2497" s="53" t="s">
        <v>429</v>
      </c>
      <c r="G2497" s="53" t="s">
        <v>454</v>
      </c>
      <c r="H2497" s="53">
        <v>1.0</v>
      </c>
      <c r="I2497" s="53">
        <v>0.015625</v>
      </c>
      <c r="J2497" s="53">
        <v>1.0</v>
      </c>
      <c r="K2497" s="53" t="s">
        <v>3744</v>
      </c>
      <c r="L2497" s="53" t="s">
        <v>53</v>
      </c>
    </row>
    <row r="2498" ht="15.75" customHeight="1">
      <c r="A2498" s="53" t="s">
        <v>411</v>
      </c>
      <c r="B2498" s="53" t="s">
        <v>423</v>
      </c>
      <c r="C2498" s="53" t="s">
        <v>424</v>
      </c>
      <c r="D2498" s="53" t="s">
        <v>444</v>
      </c>
      <c r="E2498" s="53" t="s">
        <v>3767</v>
      </c>
      <c r="F2498" s="53" t="s">
        <v>429</v>
      </c>
      <c r="G2498" s="53" t="s">
        <v>458</v>
      </c>
      <c r="H2498" s="53">
        <v>1.0</v>
      </c>
      <c r="I2498" s="53">
        <v>0.023255813953488372</v>
      </c>
      <c r="J2498" s="53">
        <v>2.0</v>
      </c>
      <c r="K2498" s="53" t="s">
        <v>3744</v>
      </c>
      <c r="L2498" s="53" t="s">
        <v>53</v>
      </c>
    </row>
    <row r="2499" ht="15.75" customHeight="1">
      <c r="A2499" s="53" t="s">
        <v>411</v>
      </c>
      <c r="B2499" s="53" t="s">
        <v>423</v>
      </c>
      <c r="C2499" s="53" t="s">
        <v>424</v>
      </c>
      <c r="D2499" s="53" t="s">
        <v>444</v>
      </c>
      <c r="E2499" s="53" t="s">
        <v>3768</v>
      </c>
      <c r="F2499" s="53" t="s">
        <v>429</v>
      </c>
      <c r="G2499" s="53" t="s">
        <v>462</v>
      </c>
      <c r="H2499" s="53">
        <v>1.0</v>
      </c>
      <c r="I2499" s="53">
        <v>0.03076923076923077</v>
      </c>
      <c r="J2499" s="53">
        <v>3.0</v>
      </c>
      <c r="K2499" s="53" t="s">
        <v>3744</v>
      </c>
      <c r="L2499" s="53" t="s">
        <v>53</v>
      </c>
    </row>
    <row r="2500" ht="15.75" customHeight="1">
      <c r="A2500" s="53" t="s">
        <v>411</v>
      </c>
      <c r="B2500" s="53" t="s">
        <v>423</v>
      </c>
      <c r="C2500" s="53" t="s">
        <v>424</v>
      </c>
      <c r="D2500" s="53" t="s">
        <v>444</v>
      </c>
      <c r="E2500" s="53" t="s">
        <v>3769</v>
      </c>
      <c r="F2500" s="53" t="s">
        <v>429</v>
      </c>
      <c r="G2500" s="53" t="s">
        <v>466</v>
      </c>
      <c r="H2500" s="53">
        <v>1.0</v>
      </c>
      <c r="I2500" s="53">
        <v>0.038461538461538464</v>
      </c>
      <c r="J2500" s="53">
        <v>4.0</v>
      </c>
      <c r="K2500" s="53" t="s">
        <v>3744</v>
      </c>
      <c r="L2500" s="53" t="s">
        <v>53</v>
      </c>
    </row>
    <row r="2501" ht="15.75" customHeight="1">
      <c r="A2501" s="53" t="s">
        <v>411</v>
      </c>
      <c r="B2501" s="53" t="s">
        <v>423</v>
      </c>
      <c r="C2501" s="53" t="s">
        <v>424</v>
      </c>
      <c r="D2501" s="53" t="s">
        <v>450</v>
      </c>
      <c r="E2501" s="53" t="s">
        <v>3770</v>
      </c>
      <c r="F2501" s="53" t="s">
        <v>429</v>
      </c>
      <c r="G2501" s="53" t="s">
        <v>454</v>
      </c>
      <c r="H2501" s="53">
        <v>1.0</v>
      </c>
      <c r="I2501" s="53">
        <v>0.015625</v>
      </c>
      <c r="J2501" s="53">
        <v>0.0</v>
      </c>
      <c r="K2501" s="53" t="s">
        <v>3744</v>
      </c>
      <c r="L2501" s="53" t="s">
        <v>53</v>
      </c>
    </row>
    <row r="2502" ht="15.75" customHeight="1">
      <c r="A2502" s="53" t="s">
        <v>411</v>
      </c>
      <c r="B2502" s="53" t="s">
        <v>423</v>
      </c>
      <c r="C2502" s="53" t="s">
        <v>424</v>
      </c>
      <c r="D2502" s="53" t="s">
        <v>450</v>
      </c>
      <c r="E2502" s="53" t="s">
        <v>3771</v>
      </c>
      <c r="F2502" s="53" t="s">
        <v>429</v>
      </c>
      <c r="G2502" s="53" t="s">
        <v>458</v>
      </c>
      <c r="H2502" s="53">
        <v>1.0</v>
      </c>
      <c r="I2502" s="53">
        <v>0.023255813953488372</v>
      </c>
      <c r="J2502" s="53">
        <v>1.0</v>
      </c>
      <c r="K2502" s="53" t="s">
        <v>3744</v>
      </c>
      <c r="L2502" s="53" t="s">
        <v>53</v>
      </c>
    </row>
    <row r="2503" ht="15.75" customHeight="1">
      <c r="A2503" s="53" t="s">
        <v>411</v>
      </c>
      <c r="B2503" s="53" t="s">
        <v>423</v>
      </c>
      <c r="C2503" s="53" t="s">
        <v>424</v>
      </c>
      <c r="D2503" s="53" t="s">
        <v>450</v>
      </c>
      <c r="E2503" s="53" t="s">
        <v>3772</v>
      </c>
      <c r="F2503" s="53" t="s">
        <v>429</v>
      </c>
      <c r="G2503" s="53" t="s">
        <v>462</v>
      </c>
      <c r="H2503" s="53">
        <v>1.0</v>
      </c>
      <c r="I2503" s="53">
        <v>0.03076923076923077</v>
      </c>
      <c r="J2503" s="53">
        <v>2.0</v>
      </c>
      <c r="K2503" s="53" t="s">
        <v>3744</v>
      </c>
      <c r="L2503" s="53" t="s">
        <v>53</v>
      </c>
    </row>
    <row r="2504" ht="15.75" customHeight="1">
      <c r="A2504" s="53" t="s">
        <v>411</v>
      </c>
      <c r="B2504" s="53" t="s">
        <v>423</v>
      </c>
      <c r="C2504" s="53" t="s">
        <v>424</v>
      </c>
      <c r="D2504" s="53" t="s">
        <v>450</v>
      </c>
      <c r="E2504" s="53" t="s">
        <v>3773</v>
      </c>
      <c r="F2504" s="53" t="s">
        <v>429</v>
      </c>
      <c r="G2504" s="53" t="s">
        <v>466</v>
      </c>
      <c r="H2504" s="53">
        <v>1.0</v>
      </c>
      <c r="I2504" s="53">
        <v>0.038461538461538464</v>
      </c>
      <c r="J2504" s="53">
        <v>3.0</v>
      </c>
      <c r="K2504" s="53" t="s">
        <v>3744</v>
      </c>
      <c r="L2504" s="53" t="s">
        <v>53</v>
      </c>
    </row>
    <row r="2505" ht="15.75" customHeight="1">
      <c r="A2505" s="53" t="s">
        <v>411</v>
      </c>
      <c r="B2505" s="53" t="s">
        <v>423</v>
      </c>
      <c r="C2505" s="53" t="s">
        <v>424</v>
      </c>
      <c r="D2505" s="53" t="s">
        <v>454</v>
      </c>
      <c r="E2505" s="53" t="s">
        <v>3774</v>
      </c>
      <c r="F2505" s="53" t="s">
        <v>429</v>
      </c>
      <c r="G2505" s="53" t="s">
        <v>458</v>
      </c>
      <c r="H2505" s="53">
        <v>1.0</v>
      </c>
      <c r="I2505" s="53">
        <v>0.015503875968992248</v>
      </c>
      <c r="J2505" s="53">
        <v>0.0</v>
      </c>
      <c r="K2505" s="53" t="s">
        <v>3744</v>
      </c>
      <c r="L2505" s="53" t="s">
        <v>53</v>
      </c>
    </row>
    <row r="2506" ht="15.75" customHeight="1">
      <c r="A2506" s="53" t="s">
        <v>411</v>
      </c>
      <c r="B2506" s="53" t="s">
        <v>423</v>
      </c>
      <c r="C2506" s="53" t="s">
        <v>424</v>
      </c>
      <c r="D2506" s="53" t="s">
        <v>454</v>
      </c>
      <c r="E2506" s="53" t="s">
        <v>3775</v>
      </c>
      <c r="F2506" s="53" t="s">
        <v>429</v>
      </c>
      <c r="G2506" s="53" t="s">
        <v>462</v>
      </c>
      <c r="H2506" s="53">
        <v>1.0</v>
      </c>
      <c r="I2506" s="53">
        <v>0.023076923076923078</v>
      </c>
      <c r="J2506" s="53">
        <v>1.0</v>
      </c>
      <c r="K2506" s="53" t="s">
        <v>3744</v>
      </c>
      <c r="L2506" s="53" t="s">
        <v>53</v>
      </c>
    </row>
    <row r="2507" ht="15.75" customHeight="1">
      <c r="A2507" s="53" t="s">
        <v>411</v>
      </c>
      <c r="B2507" s="53" t="s">
        <v>423</v>
      </c>
      <c r="C2507" s="53" t="s">
        <v>424</v>
      </c>
      <c r="D2507" s="53" t="s">
        <v>454</v>
      </c>
      <c r="E2507" s="53" t="s">
        <v>3776</v>
      </c>
      <c r="F2507" s="53" t="s">
        <v>429</v>
      </c>
      <c r="G2507" s="53" t="s">
        <v>466</v>
      </c>
      <c r="H2507" s="53">
        <v>1.0</v>
      </c>
      <c r="I2507" s="53">
        <v>0.038461538461538464</v>
      </c>
      <c r="J2507" s="53">
        <v>2.0</v>
      </c>
      <c r="K2507" s="53" t="s">
        <v>3744</v>
      </c>
      <c r="L2507" s="53" t="s">
        <v>53</v>
      </c>
    </row>
    <row r="2508" ht="15.75" customHeight="1">
      <c r="A2508" s="53" t="s">
        <v>411</v>
      </c>
      <c r="B2508" s="53" t="s">
        <v>423</v>
      </c>
      <c r="C2508" s="53" t="s">
        <v>424</v>
      </c>
      <c r="D2508" s="53" t="s">
        <v>458</v>
      </c>
      <c r="E2508" s="53" t="s">
        <v>3777</v>
      </c>
      <c r="F2508" s="53" t="s">
        <v>429</v>
      </c>
      <c r="G2508" s="53" t="s">
        <v>462</v>
      </c>
      <c r="H2508" s="53">
        <v>1.0</v>
      </c>
      <c r="I2508" s="53">
        <v>0.015384615384615385</v>
      </c>
      <c r="J2508" s="53">
        <v>0.0</v>
      </c>
      <c r="K2508" s="53" t="s">
        <v>3744</v>
      </c>
      <c r="L2508" s="53" t="s">
        <v>53</v>
      </c>
    </row>
    <row r="2509" ht="15.75" customHeight="1">
      <c r="A2509" s="53" t="s">
        <v>411</v>
      </c>
      <c r="B2509" s="53" t="s">
        <v>423</v>
      </c>
      <c r="C2509" s="53" t="s">
        <v>424</v>
      </c>
      <c r="D2509" s="53" t="s">
        <v>458</v>
      </c>
      <c r="E2509" s="53" t="s">
        <v>3778</v>
      </c>
      <c r="F2509" s="53" t="s">
        <v>429</v>
      </c>
      <c r="G2509" s="53" t="s">
        <v>466</v>
      </c>
      <c r="H2509" s="53">
        <v>1.0</v>
      </c>
      <c r="I2509" s="53">
        <v>0.03076923076923077</v>
      </c>
      <c r="J2509" s="53">
        <v>1.0</v>
      </c>
      <c r="K2509" s="53" t="s">
        <v>3744</v>
      </c>
      <c r="L2509" s="53" t="s">
        <v>53</v>
      </c>
    </row>
    <row r="2510" ht="15.75" customHeight="1">
      <c r="A2510" s="53" t="s">
        <v>411</v>
      </c>
      <c r="B2510" s="53" t="s">
        <v>423</v>
      </c>
      <c r="C2510" s="53" t="s">
        <v>424</v>
      </c>
      <c r="D2510" s="53" t="s">
        <v>462</v>
      </c>
      <c r="E2510" s="53" t="s">
        <v>3779</v>
      </c>
      <c r="F2510" s="53" t="s">
        <v>429</v>
      </c>
      <c r="G2510" s="53" t="s">
        <v>466</v>
      </c>
      <c r="H2510" s="53">
        <v>1.0</v>
      </c>
      <c r="I2510" s="53">
        <v>0.023076923076923078</v>
      </c>
      <c r="J2510" s="53">
        <v>0.0</v>
      </c>
      <c r="K2510" s="53" t="s">
        <v>3744</v>
      </c>
      <c r="L2510" s="53" t="s">
        <v>53</v>
      </c>
    </row>
    <row r="2511" ht="15.75" customHeight="1">
      <c r="A2511" s="53" t="s">
        <v>411</v>
      </c>
      <c r="B2511" s="53" t="s">
        <v>423</v>
      </c>
      <c r="C2511" s="53" t="s">
        <v>424</v>
      </c>
      <c r="D2511" s="53" t="s">
        <v>480</v>
      </c>
      <c r="E2511" s="53" t="s">
        <v>3780</v>
      </c>
      <c r="F2511" s="53" t="s">
        <v>478</v>
      </c>
      <c r="G2511" s="53" t="s">
        <v>484</v>
      </c>
      <c r="H2511" s="53">
        <v>1.0</v>
      </c>
      <c r="I2511" s="53">
        <v>0.0392156862745098</v>
      </c>
      <c r="J2511" s="53">
        <v>0.0</v>
      </c>
      <c r="K2511" s="53" t="s">
        <v>3744</v>
      </c>
      <c r="L2511" s="53" t="s">
        <v>53</v>
      </c>
    </row>
    <row r="2512" ht="15.75" customHeight="1">
      <c r="A2512" s="53" t="s">
        <v>411</v>
      </c>
      <c r="B2512" s="53" t="s">
        <v>423</v>
      </c>
      <c r="C2512" s="53" t="s">
        <v>424</v>
      </c>
      <c r="D2512" s="53" t="s">
        <v>480</v>
      </c>
      <c r="E2512" s="53" t="s">
        <v>3781</v>
      </c>
      <c r="F2512" s="53" t="s">
        <v>478</v>
      </c>
      <c r="G2512" s="53" t="s">
        <v>490</v>
      </c>
      <c r="H2512" s="53">
        <v>1.0</v>
      </c>
      <c r="I2512" s="53">
        <v>0.05161290322580645</v>
      </c>
      <c r="J2512" s="53">
        <v>1.0</v>
      </c>
      <c r="K2512" s="53" t="s">
        <v>3744</v>
      </c>
      <c r="L2512" s="53" t="s">
        <v>53</v>
      </c>
    </row>
    <row r="2513" ht="15.75" customHeight="1">
      <c r="A2513" s="53" t="s">
        <v>411</v>
      </c>
      <c r="B2513" s="53" t="s">
        <v>423</v>
      </c>
      <c r="C2513" s="53" t="s">
        <v>424</v>
      </c>
      <c r="D2513" s="53" t="s">
        <v>480</v>
      </c>
      <c r="E2513" s="53" t="s">
        <v>3782</v>
      </c>
      <c r="F2513" s="53" t="s">
        <v>478</v>
      </c>
      <c r="G2513" s="53" t="s">
        <v>500</v>
      </c>
      <c r="H2513" s="53">
        <v>1.0</v>
      </c>
      <c r="I2513" s="53">
        <v>0.06535947712418301</v>
      </c>
      <c r="J2513" s="53">
        <v>3.0</v>
      </c>
      <c r="K2513" s="53" t="s">
        <v>3744</v>
      </c>
      <c r="L2513" s="53" t="s">
        <v>53</v>
      </c>
    </row>
    <row r="2514" ht="15.75" customHeight="1">
      <c r="A2514" s="53" t="s">
        <v>411</v>
      </c>
      <c r="B2514" s="53" t="s">
        <v>423</v>
      </c>
      <c r="C2514" s="53" t="s">
        <v>424</v>
      </c>
      <c r="D2514" s="53" t="s">
        <v>480</v>
      </c>
      <c r="E2514" s="53" t="s">
        <v>3783</v>
      </c>
      <c r="F2514" s="53" t="s">
        <v>478</v>
      </c>
      <c r="G2514" s="53" t="s">
        <v>494</v>
      </c>
      <c r="H2514" s="53">
        <v>1.0</v>
      </c>
      <c r="I2514" s="53">
        <v>0.09090909090909091</v>
      </c>
      <c r="J2514" s="53">
        <v>2.0</v>
      </c>
      <c r="K2514" s="53" t="s">
        <v>3744</v>
      </c>
      <c r="L2514" s="53" t="s">
        <v>53</v>
      </c>
    </row>
    <row r="2515" ht="15.75" customHeight="1">
      <c r="A2515" s="53" t="s">
        <v>411</v>
      </c>
      <c r="B2515" s="53" t="s">
        <v>423</v>
      </c>
      <c r="C2515" s="53" t="s">
        <v>424</v>
      </c>
      <c r="D2515" s="53" t="s">
        <v>480</v>
      </c>
      <c r="E2515" s="53" t="s">
        <v>3784</v>
      </c>
      <c r="F2515" s="53" t="s">
        <v>478</v>
      </c>
      <c r="G2515" s="53" t="s">
        <v>508</v>
      </c>
      <c r="H2515" s="53">
        <v>1.0</v>
      </c>
      <c r="I2515" s="53">
        <v>0.10256410256410256</v>
      </c>
      <c r="J2515" s="53">
        <v>5.0</v>
      </c>
      <c r="K2515" s="53" t="s">
        <v>3744</v>
      </c>
      <c r="L2515" s="53" t="s">
        <v>53</v>
      </c>
    </row>
    <row r="2516" ht="15.75" customHeight="1">
      <c r="A2516" s="53" t="s">
        <v>411</v>
      </c>
      <c r="B2516" s="53" t="s">
        <v>423</v>
      </c>
      <c r="C2516" s="53" t="s">
        <v>424</v>
      </c>
      <c r="D2516" s="53" t="s">
        <v>480</v>
      </c>
      <c r="E2516" s="53" t="s">
        <v>3785</v>
      </c>
      <c r="F2516" s="53" t="s">
        <v>478</v>
      </c>
      <c r="G2516" s="53" t="s">
        <v>504</v>
      </c>
      <c r="H2516" s="53">
        <v>1.0</v>
      </c>
      <c r="I2516" s="53">
        <v>0.10457516339869281</v>
      </c>
      <c r="J2516" s="53">
        <v>4.0</v>
      </c>
      <c r="K2516" s="53" t="s">
        <v>3744</v>
      </c>
      <c r="L2516" s="53" t="s">
        <v>53</v>
      </c>
    </row>
    <row r="2517" ht="15.75" customHeight="1">
      <c r="A2517" s="53" t="s">
        <v>411</v>
      </c>
      <c r="B2517" s="53" t="s">
        <v>423</v>
      </c>
      <c r="C2517" s="53" t="s">
        <v>424</v>
      </c>
      <c r="D2517" s="53" t="s">
        <v>480</v>
      </c>
      <c r="E2517" s="53" t="s">
        <v>3786</v>
      </c>
      <c r="F2517" s="53" t="s">
        <v>478</v>
      </c>
      <c r="G2517" s="53" t="s">
        <v>514</v>
      </c>
      <c r="H2517" s="53">
        <v>1.0</v>
      </c>
      <c r="I2517" s="53">
        <v>0.1437908496732026</v>
      </c>
      <c r="J2517" s="53">
        <v>6.0</v>
      </c>
      <c r="K2517" s="53" t="s">
        <v>3744</v>
      </c>
      <c r="L2517" s="53" t="s">
        <v>53</v>
      </c>
    </row>
    <row r="2518" ht="15.75" customHeight="1">
      <c r="A2518" s="53" t="s">
        <v>411</v>
      </c>
      <c r="B2518" s="53" t="s">
        <v>423</v>
      </c>
      <c r="C2518" s="53" t="s">
        <v>424</v>
      </c>
      <c r="D2518" s="53" t="s">
        <v>484</v>
      </c>
      <c r="E2518" s="53" t="s">
        <v>3787</v>
      </c>
      <c r="F2518" s="53" t="s">
        <v>478</v>
      </c>
      <c r="G2518" s="53" t="s">
        <v>494</v>
      </c>
      <c r="H2518" s="53">
        <v>1.0</v>
      </c>
      <c r="I2518" s="53">
        <v>0.05194805194805195</v>
      </c>
      <c r="J2518" s="53">
        <v>1.0</v>
      </c>
      <c r="K2518" s="53" t="s">
        <v>3744</v>
      </c>
      <c r="L2518" s="53" t="s">
        <v>53</v>
      </c>
    </row>
    <row r="2519" ht="15.75" customHeight="1">
      <c r="A2519" s="53" t="s">
        <v>411</v>
      </c>
      <c r="B2519" s="53" t="s">
        <v>423</v>
      </c>
      <c r="C2519" s="53" t="s">
        <v>424</v>
      </c>
      <c r="D2519" s="53" t="s">
        <v>484</v>
      </c>
      <c r="E2519" s="53" t="s">
        <v>3788</v>
      </c>
      <c r="F2519" s="53" t="s">
        <v>478</v>
      </c>
      <c r="G2519" s="53" t="s">
        <v>508</v>
      </c>
      <c r="H2519" s="53">
        <v>1.0</v>
      </c>
      <c r="I2519" s="53">
        <v>0.0641025641025641</v>
      </c>
      <c r="J2519" s="53">
        <v>4.0</v>
      </c>
      <c r="K2519" s="53" t="s">
        <v>3744</v>
      </c>
      <c r="L2519" s="53" t="s">
        <v>53</v>
      </c>
    </row>
    <row r="2520" ht="15.75" customHeight="1">
      <c r="A2520" s="53" t="s">
        <v>411</v>
      </c>
      <c r="B2520" s="53" t="s">
        <v>423</v>
      </c>
      <c r="C2520" s="53" t="s">
        <v>424</v>
      </c>
      <c r="D2520" s="53" t="s">
        <v>484</v>
      </c>
      <c r="E2520" s="53" t="s">
        <v>3789</v>
      </c>
      <c r="F2520" s="53" t="s">
        <v>478</v>
      </c>
      <c r="G2520" s="53" t="s">
        <v>504</v>
      </c>
      <c r="H2520" s="53">
        <v>1.0</v>
      </c>
      <c r="I2520" s="53">
        <v>0.06578947368421052</v>
      </c>
      <c r="J2520" s="53">
        <v>3.0</v>
      </c>
      <c r="K2520" s="53" t="s">
        <v>3744</v>
      </c>
      <c r="L2520" s="53" t="s">
        <v>53</v>
      </c>
    </row>
    <row r="2521" ht="15.75" customHeight="1">
      <c r="A2521" s="53" t="s">
        <v>411</v>
      </c>
      <c r="B2521" s="53" t="s">
        <v>423</v>
      </c>
      <c r="C2521" s="53" t="s">
        <v>424</v>
      </c>
      <c r="D2521" s="53" t="s">
        <v>484</v>
      </c>
      <c r="E2521" s="53" t="s">
        <v>3790</v>
      </c>
      <c r="F2521" s="53" t="s">
        <v>478</v>
      </c>
      <c r="G2521" s="53" t="s">
        <v>490</v>
      </c>
      <c r="H2521" s="53">
        <v>1.0</v>
      </c>
      <c r="I2521" s="53">
        <v>0.09032258064516129</v>
      </c>
      <c r="J2521" s="53">
        <v>0.0</v>
      </c>
      <c r="K2521" s="53" t="s">
        <v>3744</v>
      </c>
      <c r="L2521" s="53" t="s">
        <v>53</v>
      </c>
    </row>
    <row r="2522" ht="15.75" customHeight="1">
      <c r="A2522" s="53" t="s">
        <v>411</v>
      </c>
      <c r="B2522" s="53" t="s">
        <v>423</v>
      </c>
      <c r="C2522" s="53" t="s">
        <v>424</v>
      </c>
      <c r="D2522" s="53" t="s">
        <v>484</v>
      </c>
      <c r="E2522" s="53" t="s">
        <v>3791</v>
      </c>
      <c r="F2522" s="53" t="s">
        <v>478</v>
      </c>
      <c r="G2522" s="53" t="s">
        <v>500</v>
      </c>
      <c r="H2522" s="53">
        <v>1.0</v>
      </c>
      <c r="I2522" s="53">
        <v>0.10526315789473684</v>
      </c>
      <c r="J2522" s="53">
        <v>2.0</v>
      </c>
      <c r="K2522" s="53" t="s">
        <v>3744</v>
      </c>
      <c r="L2522" s="53" t="s">
        <v>53</v>
      </c>
    </row>
    <row r="2523" ht="15.75" customHeight="1">
      <c r="A2523" s="53" t="s">
        <v>411</v>
      </c>
      <c r="B2523" s="53" t="s">
        <v>423</v>
      </c>
      <c r="C2523" s="53" t="s">
        <v>424</v>
      </c>
      <c r="D2523" s="53" t="s">
        <v>484</v>
      </c>
      <c r="E2523" s="53" t="s">
        <v>3792</v>
      </c>
      <c r="F2523" s="53" t="s">
        <v>478</v>
      </c>
      <c r="G2523" s="53" t="s">
        <v>514</v>
      </c>
      <c r="H2523" s="53">
        <v>1.0</v>
      </c>
      <c r="I2523" s="53">
        <v>0.13815789473684212</v>
      </c>
      <c r="J2523" s="53">
        <v>5.0</v>
      </c>
      <c r="K2523" s="53" t="s">
        <v>3744</v>
      </c>
      <c r="L2523" s="53" t="s">
        <v>53</v>
      </c>
    </row>
    <row r="2524" ht="15.75" customHeight="1">
      <c r="A2524" s="53" t="s">
        <v>411</v>
      </c>
      <c r="B2524" s="53" t="s">
        <v>423</v>
      </c>
      <c r="C2524" s="53" t="s">
        <v>424</v>
      </c>
      <c r="D2524" s="53" t="s">
        <v>490</v>
      </c>
      <c r="E2524" s="53" t="s">
        <v>3793</v>
      </c>
      <c r="F2524" s="53" t="s">
        <v>478</v>
      </c>
      <c r="G2524" s="53" t="s">
        <v>494</v>
      </c>
      <c r="H2524" s="53">
        <v>1.0</v>
      </c>
      <c r="I2524" s="53">
        <v>0.03870967741935484</v>
      </c>
      <c r="J2524" s="53">
        <v>0.0</v>
      </c>
      <c r="K2524" s="53" t="s">
        <v>3744</v>
      </c>
      <c r="L2524" s="53" t="s">
        <v>53</v>
      </c>
    </row>
    <row r="2525" ht="15.75" customHeight="1">
      <c r="A2525" s="53" t="s">
        <v>411</v>
      </c>
      <c r="B2525" s="53" t="s">
        <v>423</v>
      </c>
      <c r="C2525" s="53" t="s">
        <v>424</v>
      </c>
      <c r="D2525" s="53" t="s">
        <v>490</v>
      </c>
      <c r="E2525" s="53" t="s">
        <v>3794</v>
      </c>
      <c r="F2525" s="53" t="s">
        <v>478</v>
      </c>
      <c r="G2525" s="53" t="s">
        <v>508</v>
      </c>
      <c r="H2525" s="53">
        <v>1.0</v>
      </c>
      <c r="I2525" s="53">
        <v>0.07692307692307693</v>
      </c>
      <c r="J2525" s="53">
        <v>3.0</v>
      </c>
      <c r="K2525" s="53" t="s">
        <v>3744</v>
      </c>
      <c r="L2525" s="53" t="s">
        <v>53</v>
      </c>
    </row>
    <row r="2526" ht="15.75" customHeight="1">
      <c r="A2526" s="53" t="s">
        <v>411</v>
      </c>
      <c r="B2526" s="53" t="s">
        <v>423</v>
      </c>
      <c r="C2526" s="53" t="s">
        <v>424</v>
      </c>
      <c r="D2526" s="53" t="s">
        <v>490</v>
      </c>
      <c r="E2526" s="53" t="s">
        <v>3795</v>
      </c>
      <c r="F2526" s="53" t="s">
        <v>478</v>
      </c>
      <c r="G2526" s="53" t="s">
        <v>500</v>
      </c>
      <c r="H2526" s="53">
        <v>1.0</v>
      </c>
      <c r="I2526" s="53">
        <v>0.07741935483870968</v>
      </c>
      <c r="J2526" s="53">
        <v>1.0</v>
      </c>
      <c r="K2526" s="53" t="s">
        <v>3744</v>
      </c>
      <c r="L2526" s="53" t="s">
        <v>53</v>
      </c>
    </row>
    <row r="2527" ht="15.75" customHeight="1">
      <c r="A2527" s="53" t="s">
        <v>411</v>
      </c>
      <c r="B2527" s="53" t="s">
        <v>423</v>
      </c>
      <c r="C2527" s="53" t="s">
        <v>424</v>
      </c>
      <c r="D2527" s="53" t="s">
        <v>490</v>
      </c>
      <c r="E2527" s="53" t="s">
        <v>3796</v>
      </c>
      <c r="F2527" s="53" t="s">
        <v>478</v>
      </c>
      <c r="G2527" s="53" t="s">
        <v>504</v>
      </c>
      <c r="H2527" s="53">
        <v>1.0</v>
      </c>
      <c r="I2527" s="53">
        <v>0.11612903225806452</v>
      </c>
      <c r="J2527" s="53">
        <v>2.0</v>
      </c>
      <c r="K2527" s="53" t="s">
        <v>3744</v>
      </c>
      <c r="L2527" s="53" t="s">
        <v>53</v>
      </c>
    </row>
    <row r="2528" ht="15.75" customHeight="1">
      <c r="A2528" s="53" t="s">
        <v>411</v>
      </c>
      <c r="B2528" s="53" t="s">
        <v>423</v>
      </c>
      <c r="C2528" s="53" t="s">
        <v>424</v>
      </c>
      <c r="D2528" s="53" t="s">
        <v>490</v>
      </c>
      <c r="E2528" s="53" t="s">
        <v>3797</v>
      </c>
      <c r="F2528" s="53" t="s">
        <v>478</v>
      </c>
      <c r="G2528" s="53" t="s">
        <v>514</v>
      </c>
      <c r="H2528" s="53">
        <v>1.0</v>
      </c>
      <c r="I2528" s="53">
        <v>0.11612903225806452</v>
      </c>
      <c r="J2528" s="53">
        <v>4.0</v>
      </c>
      <c r="K2528" s="53" t="s">
        <v>3744</v>
      </c>
      <c r="L2528" s="53" t="s">
        <v>53</v>
      </c>
    </row>
    <row r="2529" ht="15.75" customHeight="1">
      <c r="A2529" s="53" t="s">
        <v>411</v>
      </c>
      <c r="B2529" s="53" t="s">
        <v>423</v>
      </c>
      <c r="C2529" s="53" t="s">
        <v>424</v>
      </c>
      <c r="D2529" s="53" t="s">
        <v>494</v>
      </c>
      <c r="E2529" s="53" t="s">
        <v>3798</v>
      </c>
      <c r="F2529" s="53" t="s">
        <v>478</v>
      </c>
      <c r="G2529" s="53" t="s">
        <v>508</v>
      </c>
      <c r="H2529" s="53">
        <v>1.0</v>
      </c>
      <c r="I2529" s="53">
        <v>0.038461538461538464</v>
      </c>
      <c r="J2529" s="53">
        <v>2.0</v>
      </c>
      <c r="K2529" s="53" t="s">
        <v>3744</v>
      </c>
      <c r="L2529" s="53" t="s">
        <v>53</v>
      </c>
    </row>
    <row r="2530" ht="15.75" customHeight="1">
      <c r="A2530" s="53" t="s">
        <v>411</v>
      </c>
      <c r="B2530" s="53" t="s">
        <v>423</v>
      </c>
      <c r="C2530" s="53" t="s">
        <v>424</v>
      </c>
      <c r="D2530" s="53" t="s">
        <v>494</v>
      </c>
      <c r="E2530" s="53" t="s">
        <v>3799</v>
      </c>
      <c r="F2530" s="53" t="s">
        <v>478</v>
      </c>
      <c r="G2530" s="53" t="s">
        <v>504</v>
      </c>
      <c r="H2530" s="53">
        <v>1.0</v>
      </c>
      <c r="I2530" s="53">
        <v>0.07792207792207792</v>
      </c>
      <c r="J2530" s="53">
        <v>1.0</v>
      </c>
      <c r="K2530" s="53" t="s">
        <v>3744</v>
      </c>
      <c r="L2530" s="53" t="s">
        <v>53</v>
      </c>
    </row>
    <row r="2531" ht="15.75" customHeight="1">
      <c r="A2531" s="53" t="s">
        <v>411</v>
      </c>
      <c r="B2531" s="53" t="s">
        <v>423</v>
      </c>
      <c r="C2531" s="53" t="s">
        <v>424</v>
      </c>
      <c r="D2531" s="53" t="s">
        <v>494</v>
      </c>
      <c r="E2531" s="53" t="s">
        <v>3800</v>
      </c>
      <c r="F2531" s="53" t="s">
        <v>478</v>
      </c>
      <c r="G2531" s="53" t="s">
        <v>500</v>
      </c>
      <c r="H2531" s="53">
        <v>1.0</v>
      </c>
      <c r="I2531" s="53">
        <v>0.11688311688311688</v>
      </c>
      <c r="J2531" s="53">
        <v>0.0</v>
      </c>
      <c r="K2531" s="53" t="s">
        <v>3744</v>
      </c>
      <c r="L2531" s="53" t="s">
        <v>53</v>
      </c>
    </row>
    <row r="2532" ht="15.75" customHeight="1">
      <c r="A2532" s="53" t="s">
        <v>411</v>
      </c>
      <c r="B2532" s="53" t="s">
        <v>423</v>
      </c>
      <c r="C2532" s="53" t="s">
        <v>424</v>
      </c>
      <c r="D2532" s="53" t="s">
        <v>494</v>
      </c>
      <c r="E2532" s="53" t="s">
        <v>3801</v>
      </c>
      <c r="F2532" s="53" t="s">
        <v>478</v>
      </c>
      <c r="G2532" s="53" t="s">
        <v>514</v>
      </c>
      <c r="H2532" s="53">
        <v>1.0</v>
      </c>
      <c r="I2532" s="53">
        <v>0.14285714285714285</v>
      </c>
      <c r="J2532" s="53">
        <v>3.0</v>
      </c>
      <c r="K2532" s="53" t="s">
        <v>3744</v>
      </c>
      <c r="L2532" s="53" t="s">
        <v>53</v>
      </c>
    </row>
    <row r="2533" ht="15.75" customHeight="1">
      <c r="A2533" s="53" t="s">
        <v>411</v>
      </c>
      <c r="B2533" s="53" t="s">
        <v>423</v>
      </c>
      <c r="C2533" s="53" t="s">
        <v>424</v>
      </c>
      <c r="D2533" s="53" t="s">
        <v>500</v>
      </c>
      <c r="E2533" s="53" t="s">
        <v>3802</v>
      </c>
      <c r="F2533" s="53" t="s">
        <v>478</v>
      </c>
      <c r="G2533" s="53" t="s">
        <v>504</v>
      </c>
      <c r="H2533" s="53">
        <v>1.0</v>
      </c>
      <c r="I2533" s="53">
        <v>0.09271523178807947</v>
      </c>
      <c r="J2533" s="53">
        <v>0.0</v>
      </c>
      <c r="K2533" s="53" t="s">
        <v>3744</v>
      </c>
      <c r="L2533" s="53" t="s">
        <v>53</v>
      </c>
    </row>
    <row r="2534" ht="15.75" customHeight="1">
      <c r="A2534" s="53" t="s">
        <v>411</v>
      </c>
      <c r="B2534" s="53" t="s">
        <v>423</v>
      </c>
      <c r="C2534" s="53" t="s">
        <v>424</v>
      </c>
      <c r="D2534" s="53" t="s">
        <v>500</v>
      </c>
      <c r="E2534" s="53" t="s">
        <v>3803</v>
      </c>
      <c r="F2534" s="53" t="s">
        <v>478</v>
      </c>
      <c r="G2534" s="53" t="s">
        <v>508</v>
      </c>
      <c r="H2534" s="53">
        <v>1.0</v>
      </c>
      <c r="I2534" s="53">
        <v>0.1282051282051282</v>
      </c>
      <c r="J2534" s="53">
        <v>1.0</v>
      </c>
      <c r="K2534" s="53" t="s">
        <v>3744</v>
      </c>
      <c r="L2534" s="53" t="s">
        <v>53</v>
      </c>
    </row>
    <row r="2535" ht="15.75" customHeight="1">
      <c r="A2535" s="53" t="s">
        <v>411</v>
      </c>
      <c r="B2535" s="53" t="s">
        <v>423</v>
      </c>
      <c r="C2535" s="53" t="s">
        <v>424</v>
      </c>
      <c r="D2535" s="53" t="s">
        <v>500</v>
      </c>
      <c r="E2535" s="53" t="s">
        <v>3804</v>
      </c>
      <c r="F2535" s="53" t="s">
        <v>478</v>
      </c>
      <c r="G2535" s="53" t="s">
        <v>514</v>
      </c>
      <c r="H2535" s="53">
        <v>1.0</v>
      </c>
      <c r="I2535" s="53">
        <v>0.17218543046357615</v>
      </c>
      <c r="J2535" s="53">
        <v>2.0</v>
      </c>
      <c r="K2535" s="53" t="s">
        <v>3744</v>
      </c>
      <c r="L2535" s="53" t="s">
        <v>53</v>
      </c>
    </row>
    <row r="2536" ht="15.75" customHeight="1">
      <c r="A2536" s="53" t="s">
        <v>411</v>
      </c>
      <c r="B2536" s="53" t="s">
        <v>423</v>
      </c>
      <c r="C2536" s="53" t="s">
        <v>424</v>
      </c>
      <c r="D2536" s="53" t="s">
        <v>504</v>
      </c>
      <c r="E2536" s="53" t="s">
        <v>3805</v>
      </c>
      <c r="F2536" s="53" t="s">
        <v>478</v>
      </c>
      <c r="G2536" s="53" t="s">
        <v>508</v>
      </c>
      <c r="H2536" s="53">
        <v>1.0</v>
      </c>
      <c r="I2536" s="53">
        <v>0.08974358974358974</v>
      </c>
      <c r="J2536" s="53">
        <v>0.0</v>
      </c>
      <c r="K2536" s="53" t="s">
        <v>3744</v>
      </c>
      <c r="L2536" s="53" t="s">
        <v>53</v>
      </c>
    </row>
    <row r="2537" ht="15.75" customHeight="1">
      <c r="A2537" s="53" t="s">
        <v>411</v>
      </c>
      <c r="B2537" s="53" t="s">
        <v>423</v>
      </c>
      <c r="C2537" s="53" t="s">
        <v>424</v>
      </c>
      <c r="D2537" s="53" t="s">
        <v>504</v>
      </c>
      <c r="E2537" s="53" t="s">
        <v>3806</v>
      </c>
      <c r="F2537" s="53" t="s">
        <v>478</v>
      </c>
      <c r="G2537" s="53" t="s">
        <v>514</v>
      </c>
      <c r="H2537" s="53">
        <v>1.0</v>
      </c>
      <c r="I2537" s="53">
        <v>0.15333333333333332</v>
      </c>
      <c r="J2537" s="53">
        <v>1.0</v>
      </c>
      <c r="K2537" s="53" t="s">
        <v>3744</v>
      </c>
      <c r="L2537" s="53" t="s">
        <v>53</v>
      </c>
    </row>
    <row r="2538" ht="15.75" customHeight="1">
      <c r="A2538" s="53" t="s">
        <v>411</v>
      </c>
      <c r="B2538" s="53" t="s">
        <v>423</v>
      </c>
      <c r="C2538" s="53" t="s">
        <v>424</v>
      </c>
      <c r="D2538" s="53" t="s">
        <v>508</v>
      </c>
      <c r="E2538" s="53" t="s">
        <v>3807</v>
      </c>
      <c r="F2538" s="53" t="s">
        <v>478</v>
      </c>
      <c r="G2538" s="53" t="s">
        <v>514</v>
      </c>
      <c r="H2538" s="53">
        <v>1.0</v>
      </c>
      <c r="I2538" s="53">
        <v>0.10256410256410256</v>
      </c>
      <c r="J2538" s="53">
        <v>0.0</v>
      </c>
      <c r="K2538" s="53" t="s">
        <v>3744</v>
      </c>
      <c r="L2538" s="53" t="s">
        <v>53</v>
      </c>
    </row>
    <row r="2539" ht="15.75" customHeight="1">
      <c r="A2539" s="53" t="s">
        <v>924</v>
      </c>
      <c r="B2539" s="53" t="s">
        <v>3808</v>
      </c>
      <c r="D2539" s="53" t="s">
        <v>933</v>
      </c>
      <c r="E2539" s="53" t="s">
        <v>3809</v>
      </c>
      <c r="F2539" s="53" t="s">
        <v>3810</v>
      </c>
      <c r="G2539" s="53" t="s">
        <v>3811</v>
      </c>
      <c r="H2539" s="53">
        <v>1.0</v>
      </c>
      <c r="I2539" s="53">
        <v>0.14655172413793102</v>
      </c>
      <c r="J2539" s="53">
        <v>12.0</v>
      </c>
      <c r="K2539" s="53" t="s">
        <v>53</v>
      </c>
      <c r="L2539" s="53" t="s">
        <v>53</v>
      </c>
    </row>
    <row r="2540" ht="15.75" customHeight="1">
      <c r="A2540" s="53" t="s">
        <v>924</v>
      </c>
      <c r="B2540" s="53" t="s">
        <v>3808</v>
      </c>
      <c r="D2540" s="53" t="s">
        <v>925</v>
      </c>
      <c r="E2540" s="53" t="s">
        <v>3812</v>
      </c>
      <c r="F2540" s="53" t="s">
        <v>3813</v>
      </c>
      <c r="G2540" s="53" t="s">
        <v>3814</v>
      </c>
      <c r="H2540" s="53">
        <v>0.8</v>
      </c>
      <c r="I2540" s="53">
        <v>0.06666666666666667</v>
      </c>
      <c r="J2540" s="53">
        <v>1.0</v>
      </c>
      <c r="K2540" s="53" t="s">
        <v>53</v>
      </c>
      <c r="L2540" s="53" t="s">
        <v>1527</v>
      </c>
    </row>
    <row r="2541" ht="15.75" customHeight="1">
      <c r="A2541" s="53" t="s">
        <v>924</v>
      </c>
      <c r="B2541" s="53" t="s">
        <v>3808</v>
      </c>
      <c r="D2541" s="53" t="s">
        <v>925</v>
      </c>
      <c r="E2541" s="53" t="s">
        <v>3815</v>
      </c>
      <c r="F2541" s="53" t="s">
        <v>929</v>
      </c>
      <c r="G2541" s="53" t="s">
        <v>3816</v>
      </c>
      <c r="H2541" s="53">
        <v>0.8333333333333334</v>
      </c>
      <c r="I2541" s="53">
        <v>0.14527845036319612</v>
      </c>
      <c r="J2541" s="53">
        <v>0.0</v>
      </c>
      <c r="K2541" s="53" t="s">
        <v>53</v>
      </c>
      <c r="L2541" s="53" t="s">
        <v>3817</v>
      </c>
    </row>
    <row r="2542" ht="15.75" customHeight="1">
      <c r="A2542" s="53" t="s">
        <v>924</v>
      </c>
      <c r="B2542" s="53" t="s">
        <v>3808</v>
      </c>
      <c r="D2542" s="53" t="s">
        <v>3818</v>
      </c>
      <c r="E2542" s="53" t="s">
        <v>3819</v>
      </c>
      <c r="F2542" s="53" t="s">
        <v>3820</v>
      </c>
      <c r="G2542" s="53" t="s">
        <v>3821</v>
      </c>
      <c r="H2542" s="53">
        <v>1.0</v>
      </c>
      <c r="I2542" s="53">
        <v>0.19318181818181818</v>
      </c>
      <c r="J2542" s="53">
        <v>0.0</v>
      </c>
      <c r="K2542" s="53" t="s">
        <v>53</v>
      </c>
      <c r="L2542" s="53" t="s">
        <v>53</v>
      </c>
    </row>
    <row r="2543" ht="15.75" customHeight="1">
      <c r="A2543" s="53" t="s">
        <v>924</v>
      </c>
      <c r="B2543" s="53" t="s">
        <v>3808</v>
      </c>
      <c r="D2543" s="53" t="s">
        <v>3822</v>
      </c>
      <c r="E2543" s="53" t="s">
        <v>3823</v>
      </c>
      <c r="F2543" s="53" t="s">
        <v>3824</v>
      </c>
      <c r="G2543" s="53" t="s">
        <v>3825</v>
      </c>
      <c r="H2543" s="53">
        <v>0.2</v>
      </c>
      <c r="I2543" s="53">
        <v>0.06419753086419754</v>
      </c>
      <c r="J2543" s="53">
        <v>3.0</v>
      </c>
      <c r="K2543" s="53" t="s">
        <v>53</v>
      </c>
      <c r="L2543" s="53" t="s">
        <v>3826</v>
      </c>
    </row>
    <row r="2544" ht="15.75" customHeight="1">
      <c r="A2544" s="53" t="s">
        <v>924</v>
      </c>
      <c r="B2544" s="53" t="s">
        <v>3808</v>
      </c>
      <c r="D2544" s="53" t="s">
        <v>3822</v>
      </c>
      <c r="E2544" s="53" t="s">
        <v>3827</v>
      </c>
      <c r="F2544" s="53" t="s">
        <v>3828</v>
      </c>
      <c r="G2544" s="53" t="s">
        <v>3829</v>
      </c>
      <c r="H2544" s="53">
        <v>0.2</v>
      </c>
      <c r="I2544" s="53">
        <v>0.07775119617224881</v>
      </c>
      <c r="J2544" s="53">
        <v>5.0</v>
      </c>
      <c r="K2544" s="53" t="s">
        <v>53</v>
      </c>
      <c r="L2544" s="53" t="s">
        <v>3830</v>
      </c>
    </row>
    <row r="2545" ht="15.75" customHeight="1">
      <c r="A2545" s="53" t="s">
        <v>924</v>
      </c>
      <c r="B2545" s="53" t="s">
        <v>3808</v>
      </c>
      <c r="D2545" s="53" t="s">
        <v>3822</v>
      </c>
      <c r="E2545" s="53" t="s">
        <v>3831</v>
      </c>
      <c r="F2545" s="53" t="s">
        <v>3832</v>
      </c>
      <c r="G2545" s="53" t="s">
        <v>3833</v>
      </c>
      <c r="H2545" s="53">
        <v>0.2</v>
      </c>
      <c r="I2545" s="53">
        <v>0.07775119617224881</v>
      </c>
      <c r="J2545" s="53">
        <v>9.0</v>
      </c>
      <c r="K2545" s="53" t="s">
        <v>53</v>
      </c>
      <c r="L2545" s="53" t="s">
        <v>3834</v>
      </c>
    </row>
    <row r="2546" ht="15.75" customHeight="1">
      <c r="A2546" s="53" t="s">
        <v>924</v>
      </c>
      <c r="B2546" s="53" t="s">
        <v>3808</v>
      </c>
      <c r="D2546" s="53" t="s">
        <v>3822</v>
      </c>
      <c r="E2546" s="53" t="s">
        <v>3835</v>
      </c>
      <c r="F2546" s="53" t="s">
        <v>3836</v>
      </c>
      <c r="G2546" s="53" t="s">
        <v>3837</v>
      </c>
      <c r="H2546" s="53">
        <v>0.2</v>
      </c>
      <c r="I2546" s="53">
        <v>0.09330143540669857</v>
      </c>
      <c r="J2546" s="53">
        <v>7.0</v>
      </c>
      <c r="K2546" s="53" t="s">
        <v>53</v>
      </c>
      <c r="L2546" s="53" t="s">
        <v>3838</v>
      </c>
    </row>
    <row r="2547" ht="15.75" customHeight="1">
      <c r="A2547" s="53" t="s">
        <v>924</v>
      </c>
      <c r="B2547" s="53" t="s">
        <v>3808</v>
      </c>
      <c r="D2547" s="53" t="s">
        <v>3839</v>
      </c>
      <c r="E2547" s="53" t="s">
        <v>3840</v>
      </c>
      <c r="F2547" s="53" t="s">
        <v>3841</v>
      </c>
      <c r="G2547" s="53" t="s">
        <v>3842</v>
      </c>
      <c r="H2547" s="53">
        <v>0.0</v>
      </c>
      <c r="I2547" s="53">
        <v>0.05</v>
      </c>
      <c r="J2547" s="53">
        <v>3.0</v>
      </c>
      <c r="K2547" s="53" t="s">
        <v>53</v>
      </c>
      <c r="L2547" s="53" t="s">
        <v>3843</v>
      </c>
    </row>
    <row r="2548" ht="15.75" customHeight="1">
      <c r="A2548" s="53" t="s">
        <v>924</v>
      </c>
      <c r="B2548" s="53" t="s">
        <v>3808</v>
      </c>
      <c r="D2548" s="53" t="s">
        <v>3839</v>
      </c>
      <c r="E2548" s="53" t="s">
        <v>3844</v>
      </c>
      <c r="F2548" s="53" t="s">
        <v>3845</v>
      </c>
      <c r="G2548" s="53" t="s">
        <v>3846</v>
      </c>
      <c r="H2548" s="53">
        <v>0.0</v>
      </c>
      <c r="I2548" s="53">
        <v>0.06097560975609756</v>
      </c>
      <c r="J2548" s="53">
        <v>9.0</v>
      </c>
      <c r="K2548" s="53" t="s">
        <v>53</v>
      </c>
      <c r="L2548" s="53" t="s">
        <v>3847</v>
      </c>
    </row>
    <row r="2549" ht="15.75" customHeight="1">
      <c r="A2549" s="53" t="s">
        <v>924</v>
      </c>
      <c r="B2549" s="53" t="s">
        <v>3808</v>
      </c>
      <c r="D2549" s="53" t="s">
        <v>3839</v>
      </c>
      <c r="E2549" s="53" t="s">
        <v>3848</v>
      </c>
      <c r="F2549" s="53" t="s">
        <v>3849</v>
      </c>
      <c r="G2549" s="53" t="s">
        <v>3850</v>
      </c>
      <c r="H2549" s="53">
        <v>0.0</v>
      </c>
      <c r="I2549" s="53">
        <v>0.06097560975609756</v>
      </c>
      <c r="J2549" s="53">
        <v>5.0</v>
      </c>
      <c r="K2549" s="53" t="s">
        <v>53</v>
      </c>
      <c r="L2549" s="53" t="s">
        <v>3851</v>
      </c>
    </row>
    <row r="2550" ht="15.75" customHeight="1">
      <c r="A2550" s="53" t="s">
        <v>924</v>
      </c>
      <c r="B2550" s="53" t="s">
        <v>3808</v>
      </c>
      <c r="D2550" s="53" t="s">
        <v>3839</v>
      </c>
      <c r="E2550" s="53" t="s">
        <v>3852</v>
      </c>
      <c r="F2550" s="53" t="s">
        <v>3853</v>
      </c>
      <c r="G2550" s="53" t="s">
        <v>3854</v>
      </c>
      <c r="H2550" s="53">
        <v>0.0</v>
      </c>
      <c r="I2550" s="53">
        <v>0.07317073170731707</v>
      </c>
      <c r="J2550" s="53">
        <v>7.0</v>
      </c>
      <c r="K2550" s="53" t="s">
        <v>53</v>
      </c>
      <c r="L2550" s="53" t="s">
        <v>3855</v>
      </c>
    </row>
    <row r="2551" ht="15.75" customHeight="1">
      <c r="A2551" s="53" t="s">
        <v>924</v>
      </c>
      <c r="B2551" s="53" t="s">
        <v>3808</v>
      </c>
      <c r="D2551" s="53" t="s">
        <v>3825</v>
      </c>
      <c r="E2551" s="53" t="s">
        <v>3856</v>
      </c>
      <c r="F2551" s="53" t="s">
        <v>3857</v>
      </c>
      <c r="G2551" s="53" t="s">
        <v>3833</v>
      </c>
      <c r="H2551" s="53">
        <v>0.2</v>
      </c>
      <c r="I2551" s="53">
        <v>0.03110047846889952</v>
      </c>
      <c r="J2551" s="53">
        <v>5.0</v>
      </c>
      <c r="K2551" s="53" t="s">
        <v>53</v>
      </c>
      <c r="L2551" s="53" t="s">
        <v>3858</v>
      </c>
    </row>
    <row r="2552" ht="15.75" customHeight="1">
      <c r="A2552" s="53" t="s">
        <v>924</v>
      </c>
      <c r="B2552" s="53" t="s">
        <v>3808</v>
      </c>
      <c r="D2552" s="53" t="s">
        <v>3825</v>
      </c>
      <c r="E2552" s="53" t="s">
        <v>3859</v>
      </c>
      <c r="F2552" s="53" t="s">
        <v>3860</v>
      </c>
      <c r="G2552" s="53" t="s">
        <v>3837</v>
      </c>
      <c r="H2552" s="53">
        <v>0.2</v>
      </c>
      <c r="I2552" s="53">
        <v>0.04665071770334928</v>
      </c>
      <c r="J2552" s="53">
        <v>3.0</v>
      </c>
      <c r="K2552" s="53" t="s">
        <v>53</v>
      </c>
      <c r="L2552" s="53" t="s">
        <v>3861</v>
      </c>
    </row>
    <row r="2553" ht="15.75" customHeight="1">
      <c r="A2553" s="53" t="s">
        <v>924</v>
      </c>
      <c r="B2553" s="53" t="s">
        <v>3808</v>
      </c>
      <c r="D2553" s="53" t="s">
        <v>3825</v>
      </c>
      <c r="E2553" s="53" t="s">
        <v>3862</v>
      </c>
      <c r="F2553" s="53" t="s">
        <v>3863</v>
      </c>
      <c r="G2553" s="53" t="s">
        <v>3829</v>
      </c>
      <c r="H2553" s="53">
        <v>0.2</v>
      </c>
      <c r="I2553" s="53">
        <v>0.04665071770334928</v>
      </c>
      <c r="J2553" s="53">
        <v>1.0</v>
      </c>
      <c r="K2553" s="53" t="s">
        <v>53</v>
      </c>
      <c r="L2553" s="53" t="s">
        <v>3864</v>
      </c>
    </row>
    <row r="2554" ht="15.75" customHeight="1">
      <c r="A2554" s="53" t="s">
        <v>924</v>
      </c>
      <c r="B2554" s="53" t="s">
        <v>3808</v>
      </c>
      <c r="D2554" s="53" t="s">
        <v>3842</v>
      </c>
      <c r="E2554" s="53" t="s">
        <v>3865</v>
      </c>
      <c r="F2554" s="53" t="s">
        <v>3866</v>
      </c>
      <c r="G2554" s="53" t="s">
        <v>3846</v>
      </c>
      <c r="H2554" s="53">
        <v>0.0</v>
      </c>
      <c r="I2554" s="53">
        <v>0.024390243902439025</v>
      </c>
      <c r="J2554" s="53">
        <v>5.0</v>
      </c>
      <c r="K2554" s="53" t="s">
        <v>53</v>
      </c>
      <c r="L2554" s="53" t="s">
        <v>3867</v>
      </c>
    </row>
    <row r="2555" ht="15.75" customHeight="1">
      <c r="A2555" s="53" t="s">
        <v>924</v>
      </c>
      <c r="B2555" s="53" t="s">
        <v>3808</v>
      </c>
      <c r="D2555" s="53" t="s">
        <v>3842</v>
      </c>
      <c r="E2555" s="53" t="s">
        <v>3868</v>
      </c>
      <c r="F2555" s="53" t="s">
        <v>3869</v>
      </c>
      <c r="G2555" s="53" t="s">
        <v>3854</v>
      </c>
      <c r="H2555" s="53">
        <v>0.0</v>
      </c>
      <c r="I2555" s="53">
        <v>0.036585365853658534</v>
      </c>
      <c r="J2555" s="53">
        <v>3.0</v>
      </c>
      <c r="K2555" s="53" t="s">
        <v>53</v>
      </c>
      <c r="L2555" s="53" t="s">
        <v>3870</v>
      </c>
    </row>
    <row r="2556" ht="15.75" customHeight="1">
      <c r="A2556" s="53" t="s">
        <v>924</v>
      </c>
      <c r="B2556" s="53" t="s">
        <v>3808</v>
      </c>
      <c r="D2556" s="53" t="s">
        <v>3842</v>
      </c>
      <c r="E2556" s="53" t="s">
        <v>3871</v>
      </c>
      <c r="F2556" s="53" t="s">
        <v>3872</v>
      </c>
      <c r="G2556" s="53" t="s">
        <v>3850</v>
      </c>
      <c r="H2556" s="53">
        <v>0.0</v>
      </c>
      <c r="I2556" s="53">
        <v>0.036585365853658534</v>
      </c>
      <c r="J2556" s="53">
        <v>1.0</v>
      </c>
      <c r="K2556" s="53" t="s">
        <v>53</v>
      </c>
      <c r="L2556" s="53" t="s">
        <v>3873</v>
      </c>
    </row>
    <row r="2557" ht="15.75" customHeight="1">
      <c r="A2557" s="53" t="s">
        <v>924</v>
      </c>
      <c r="B2557" s="53" t="s">
        <v>3808</v>
      </c>
      <c r="D2557" s="53" t="s">
        <v>3829</v>
      </c>
      <c r="E2557" s="53" t="s">
        <v>3874</v>
      </c>
      <c r="F2557" s="53" t="s">
        <v>3875</v>
      </c>
      <c r="G2557" s="53" t="s">
        <v>3837</v>
      </c>
      <c r="H2557" s="53">
        <v>0.2</v>
      </c>
      <c r="I2557" s="53">
        <v>0.04665071770334928</v>
      </c>
      <c r="J2557" s="53">
        <v>1.0</v>
      </c>
      <c r="K2557" s="53" t="s">
        <v>53</v>
      </c>
      <c r="L2557" s="53" t="s">
        <v>3876</v>
      </c>
    </row>
    <row r="2558" ht="15.75" customHeight="1">
      <c r="A2558" s="53" t="s">
        <v>924</v>
      </c>
      <c r="B2558" s="53" t="s">
        <v>3808</v>
      </c>
      <c r="D2558" s="53" t="s">
        <v>3829</v>
      </c>
      <c r="E2558" s="53" t="s">
        <v>3877</v>
      </c>
      <c r="F2558" s="53" t="s">
        <v>3878</v>
      </c>
      <c r="G2558" s="53" t="s">
        <v>3833</v>
      </c>
      <c r="H2558" s="53">
        <v>0.2</v>
      </c>
      <c r="I2558" s="53">
        <v>0.04665071770334928</v>
      </c>
      <c r="J2558" s="53">
        <v>3.0</v>
      </c>
      <c r="K2558" s="53" t="s">
        <v>53</v>
      </c>
      <c r="L2558" s="53" t="s">
        <v>3879</v>
      </c>
    </row>
    <row r="2559" ht="15.75" customHeight="1">
      <c r="A2559" s="53" t="s">
        <v>924</v>
      </c>
      <c r="B2559" s="53" t="s">
        <v>3808</v>
      </c>
      <c r="D2559" s="53" t="s">
        <v>3850</v>
      </c>
      <c r="E2559" s="53" t="s">
        <v>3880</v>
      </c>
      <c r="F2559" s="53" t="s">
        <v>3881</v>
      </c>
      <c r="G2559" s="53" t="s">
        <v>3854</v>
      </c>
      <c r="H2559" s="53">
        <v>0.0</v>
      </c>
      <c r="I2559" s="53">
        <v>0.036585365853658534</v>
      </c>
      <c r="J2559" s="53">
        <v>1.0</v>
      </c>
      <c r="K2559" s="53" t="s">
        <v>53</v>
      </c>
      <c r="L2559" s="53" t="s">
        <v>3882</v>
      </c>
    </row>
    <row r="2560" ht="15.75" customHeight="1">
      <c r="A2560" s="53" t="s">
        <v>924</v>
      </c>
      <c r="B2560" s="53" t="s">
        <v>3808</v>
      </c>
      <c r="D2560" s="53" t="s">
        <v>3850</v>
      </c>
      <c r="E2560" s="53" t="s">
        <v>3883</v>
      </c>
      <c r="F2560" s="53" t="s">
        <v>3884</v>
      </c>
      <c r="G2560" s="53" t="s">
        <v>3846</v>
      </c>
      <c r="H2560" s="53">
        <v>0.0</v>
      </c>
      <c r="I2560" s="53">
        <v>0.036585365853658534</v>
      </c>
      <c r="J2560" s="53">
        <v>3.0</v>
      </c>
      <c r="K2560" s="53" t="s">
        <v>53</v>
      </c>
      <c r="L2560" s="53" t="s">
        <v>3885</v>
      </c>
    </row>
    <row r="2561" ht="15.75" customHeight="1">
      <c r="A2561" s="53" t="s">
        <v>924</v>
      </c>
      <c r="B2561" s="53" t="s">
        <v>3808</v>
      </c>
      <c r="D2561" s="53" t="s">
        <v>3837</v>
      </c>
      <c r="E2561" s="53" t="s">
        <v>3886</v>
      </c>
      <c r="F2561" s="53" t="s">
        <v>3887</v>
      </c>
      <c r="G2561" s="53" t="s">
        <v>3833</v>
      </c>
      <c r="H2561" s="53">
        <v>0.2</v>
      </c>
      <c r="I2561" s="53">
        <v>0.04665071770334928</v>
      </c>
      <c r="J2561" s="53">
        <v>1.0</v>
      </c>
      <c r="K2561" s="53" t="s">
        <v>53</v>
      </c>
      <c r="L2561" s="53" t="s">
        <v>3888</v>
      </c>
    </row>
    <row r="2562" ht="15.75" customHeight="1">
      <c r="A2562" s="53" t="s">
        <v>924</v>
      </c>
      <c r="B2562" s="53" t="s">
        <v>3808</v>
      </c>
      <c r="D2562" s="53" t="s">
        <v>3854</v>
      </c>
      <c r="E2562" s="53" t="s">
        <v>3889</v>
      </c>
      <c r="F2562" s="53" t="s">
        <v>3890</v>
      </c>
      <c r="G2562" s="53" t="s">
        <v>3846</v>
      </c>
      <c r="H2562" s="53">
        <v>0.0</v>
      </c>
      <c r="I2562" s="53">
        <v>0.036585365853658534</v>
      </c>
      <c r="J2562" s="53">
        <v>1.0</v>
      </c>
      <c r="K2562" s="53" t="s">
        <v>53</v>
      </c>
      <c r="L2562" s="53" t="s">
        <v>3891</v>
      </c>
    </row>
    <row r="2563" ht="15.75" customHeight="1">
      <c r="A2563" s="53" t="s">
        <v>3892</v>
      </c>
      <c r="B2563" s="53" t="s">
        <v>3893</v>
      </c>
      <c r="D2563" s="53" t="s">
        <v>3894</v>
      </c>
      <c r="E2563" s="53" t="s">
        <v>3895</v>
      </c>
      <c r="F2563" s="53" t="s">
        <v>3896</v>
      </c>
      <c r="G2563" s="53" t="s">
        <v>3897</v>
      </c>
      <c r="H2563" s="53">
        <v>1.0</v>
      </c>
      <c r="I2563" s="53">
        <v>0.3035294117647059</v>
      </c>
      <c r="J2563" s="53">
        <v>7.0</v>
      </c>
      <c r="K2563" s="53" t="s">
        <v>53</v>
      </c>
      <c r="L2563" s="53" t="s">
        <v>53</v>
      </c>
    </row>
    <row r="2564" ht="15.75" customHeight="1">
      <c r="A2564" s="53" t="s">
        <v>3892</v>
      </c>
      <c r="B2564" s="53" t="s">
        <v>3893</v>
      </c>
      <c r="D2564" s="53" t="s">
        <v>3894</v>
      </c>
      <c r="E2564" s="53" t="s">
        <v>3898</v>
      </c>
      <c r="F2564" s="53" t="s">
        <v>3899</v>
      </c>
      <c r="G2564" s="53" t="s">
        <v>3900</v>
      </c>
      <c r="H2564" s="53">
        <v>1.0</v>
      </c>
      <c r="I2564" s="53">
        <v>0.45454545454545453</v>
      </c>
      <c r="J2564" s="53">
        <v>8.0</v>
      </c>
      <c r="K2564" s="53" t="s">
        <v>53</v>
      </c>
      <c r="L2564" s="53" t="s">
        <v>53</v>
      </c>
    </row>
    <row r="2565" ht="15.75" customHeight="1">
      <c r="A2565" s="53" t="s">
        <v>3892</v>
      </c>
      <c r="B2565" s="53" t="s">
        <v>3893</v>
      </c>
      <c r="D2565" s="53" t="s">
        <v>3894</v>
      </c>
      <c r="E2565" s="53" t="s">
        <v>3901</v>
      </c>
      <c r="F2565" s="53" t="s">
        <v>3902</v>
      </c>
      <c r="G2565" s="53" t="s">
        <v>3903</v>
      </c>
      <c r="H2565" s="53">
        <v>1.0</v>
      </c>
      <c r="I2565" s="53">
        <v>0.45750452079566006</v>
      </c>
      <c r="J2565" s="53">
        <v>6.0</v>
      </c>
      <c r="K2565" s="53" t="s">
        <v>53</v>
      </c>
      <c r="L2565" s="53" t="s">
        <v>53</v>
      </c>
    </row>
    <row r="2566" ht="15.75" customHeight="1">
      <c r="A2566" s="53" t="s">
        <v>3892</v>
      </c>
      <c r="B2566" s="53" t="s">
        <v>3893</v>
      </c>
      <c r="D2566" s="53" t="s">
        <v>3894</v>
      </c>
      <c r="E2566" s="53" t="s">
        <v>3904</v>
      </c>
      <c r="F2566" s="53" t="s">
        <v>3899</v>
      </c>
      <c r="G2566" s="53" t="s">
        <v>3905</v>
      </c>
      <c r="H2566" s="53">
        <v>1.0</v>
      </c>
      <c r="I2566" s="53">
        <v>0.461038961038961</v>
      </c>
      <c r="J2566" s="53">
        <v>0.0</v>
      </c>
      <c r="K2566" s="53" t="s">
        <v>53</v>
      </c>
      <c r="L2566" s="53" t="s">
        <v>53</v>
      </c>
    </row>
    <row r="2567" ht="15.75" customHeight="1">
      <c r="A2567" s="53" t="s">
        <v>3892</v>
      </c>
      <c r="B2567" s="53" t="s">
        <v>3893</v>
      </c>
      <c r="D2567" s="53" t="s">
        <v>3894</v>
      </c>
      <c r="E2567" s="53" t="s">
        <v>3906</v>
      </c>
      <c r="F2567" s="53" t="s">
        <v>3907</v>
      </c>
      <c r="G2567" s="53" t="s">
        <v>3908</v>
      </c>
      <c r="H2567" s="53">
        <v>1.0</v>
      </c>
      <c r="I2567" s="53">
        <v>0.7296099290780141</v>
      </c>
      <c r="J2567" s="53">
        <v>5.0</v>
      </c>
      <c r="K2567" s="53" t="s">
        <v>53</v>
      </c>
      <c r="L2567" s="53" t="s">
        <v>53</v>
      </c>
    </row>
    <row r="2568" ht="15.75" customHeight="1">
      <c r="A2568" s="53" t="s">
        <v>3892</v>
      </c>
      <c r="B2568" s="53" t="s">
        <v>3893</v>
      </c>
      <c r="D2568" s="53" t="s">
        <v>3905</v>
      </c>
      <c r="E2568" s="53" t="s">
        <v>3909</v>
      </c>
      <c r="F2568" s="53" t="s">
        <v>3910</v>
      </c>
      <c r="G2568" s="53" t="s">
        <v>3900</v>
      </c>
      <c r="H2568" s="53">
        <v>1.0</v>
      </c>
      <c r="I2568" s="53">
        <v>0.11049723756906077</v>
      </c>
      <c r="J2568" s="53">
        <v>7.0</v>
      </c>
      <c r="K2568" s="53" t="s">
        <v>53</v>
      </c>
      <c r="L2568" s="53" t="s">
        <v>53</v>
      </c>
    </row>
    <row r="2569" ht="15.75" customHeight="1">
      <c r="A2569" s="53" t="s">
        <v>3892</v>
      </c>
      <c r="B2569" s="53" t="s">
        <v>3893</v>
      </c>
      <c r="D2569" s="53" t="s">
        <v>3905</v>
      </c>
      <c r="E2569" s="53" t="s">
        <v>3911</v>
      </c>
      <c r="F2569" s="53" t="s">
        <v>3912</v>
      </c>
      <c r="G2569" s="53" t="s">
        <v>3897</v>
      </c>
      <c r="H2569" s="53">
        <v>1.0</v>
      </c>
      <c r="I2569" s="53">
        <v>0.6094117647058823</v>
      </c>
      <c r="J2569" s="53">
        <v>6.0</v>
      </c>
      <c r="K2569" s="53" t="s">
        <v>53</v>
      </c>
      <c r="L2569" s="53" t="s">
        <v>53</v>
      </c>
    </row>
    <row r="2570" ht="15.75" customHeight="1">
      <c r="A2570" s="53" t="s">
        <v>3892</v>
      </c>
      <c r="B2570" s="53" t="s">
        <v>3893</v>
      </c>
      <c r="D2570" s="53" t="s">
        <v>3905</v>
      </c>
      <c r="E2570" s="53" t="s">
        <v>3913</v>
      </c>
      <c r="F2570" s="53" t="s">
        <v>3914</v>
      </c>
      <c r="G2570" s="53" t="s">
        <v>3903</v>
      </c>
      <c r="H2570" s="53">
        <v>1.0</v>
      </c>
      <c r="I2570" s="53">
        <v>0.6998191681735986</v>
      </c>
      <c r="J2570" s="53">
        <v>5.0</v>
      </c>
      <c r="K2570" s="53" t="s">
        <v>53</v>
      </c>
      <c r="L2570" s="53" t="s">
        <v>53</v>
      </c>
    </row>
    <row r="2571" ht="15.75" customHeight="1">
      <c r="A2571" s="53" t="s">
        <v>3892</v>
      </c>
      <c r="B2571" s="53" t="s">
        <v>3893</v>
      </c>
      <c r="D2571" s="53" t="s">
        <v>3905</v>
      </c>
      <c r="E2571" s="53" t="s">
        <v>3915</v>
      </c>
      <c r="F2571" s="53" t="s">
        <v>3916</v>
      </c>
      <c r="G2571" s="53" t="s">
        <v>3908</v>
      </c>
      <c r="H2571" s="53">
        <v>1.0</v>
      </c>
      <c r="I2571" s="53">
        <v>0.8528368794326241</v>
      </c>
      <c r="J2571" s="53">
        <v>4.0</v>
      </c>
      <c r="K2571" s="53" t="s">
        <v>53</v>
      </c>
      <c r="L2571" s="53" t="s">
        <v>53</v>
      </c>
    </row>
    <row r="2572" ht="15.75" customHeight="1">
      <c r="A2572" s="53" t="s">
        <v>3892</v>
      </c>
      <c r="B2572" s="53" t="s">
        <v>3893</v>
      </c>
      <c r="D2572" s="53" t="s">
        <v>2320</v>
      </c>
      <c r="E2572" s="53" t="s">
        <v>3917</v>
      </c>
      <c r="F2572" s="53" t="s">
        <v>3918</v>
      </c>
      <c r="G2572" s="53" t="s">
        <v>3903</v>
      </c>
      <c r="H2572" s="53">
        <v>0.3333333333333333</v>
      </c>
      <c r="I2572" s="53">
        <v>0.09403254972875226</v>
      </c>
      <c r="J2572" s="53">
        <v>4.0</v>
      </c>
      <c r="K2572" s="53" t="s">
        <v>53</v>
      </c>
      <c r="L2572" s="53" t="s">
        <v>3919</v>
      </c>
    </row>
    <row r="2573" ht="15.75" customHeight="1">
      <c r="A2573" s="53" t="s">
        <v>3892</v>
      </c>
      <c r="B2573" s="53" t="s">
        <v>3893</v>
      </c>
      <c r="D2573" s="53" t="s">
        <v>2320</v>
      </c>
      <c r="E2573" s="53" t="s">
        <v>3920</v>
      </c>
      <c r="F2573" s="53" t="s">
        <v>3921</v>
      </c>
      <c r="G2573" s="53" t="s">
        <v>2303</v>
      </c>
      <c r="H2573" s="53">
        <v>1.0</v>
      </c>
      <c r="I2573" s="53">
        <v>0.6983240223463687</v>
      </c>
      <c r="J2573" s="53">
        <v>2.0</v>
      </c>
      <c r="K2573" s="53" t="s">
        <v>53</v>
      </c>
      <c r="L2573" s="53" t="s">
        <v>53</v>
      </c>
    </row>
    <row r="2574" ht="15.75" customHeight="1">
      <c r="A2574" s="53" t="s">
        <v>3892</v>
      </c>
      <c r="B2574" s="53" t="s">
        <v>3893</v>
      </c>
      <c r="D2574" s="53" t="s">
        <v>2297</v>
      </c>
      <c r="E2574" s="53" t="s">
        <v>3922</v>
      </c>
      <c r="F2574" s="53" t="s">
        <v>741</v>
      </c>
      <c r="G2574" s="53" t="s">
        <v>2293</v>
      </c>
      <c r="H2574" s="53">
        <v>1.0</v>
      </c>
      <c r="I2574" s="53">
        <v>0.12921348314606743</v>
      </c>
      <c r="J2574" s="53">
        <v>0.0</v>
      </c>
      <c r="K2574" s="53" t="s">
        <v>53</v>
      </c>
      <c r="L2574" s="53" t="s">
        <v>53</v>
      </c>
    </row>
    <row r="2575" ht="15.75" customHeight="1">
      <c r="A2575" s="53" t="s">
        <v>3892</v>
      </c>
      <c r="B2575" s="53" t="s">
        <v>3893</v>
      </c>
      <c r="D2575" s="53" t="s">
        <v>3908</v>
      </c>
      <c r="E2575" s="53" t="s">
        <v>3923</v>
      </c>
      <c r="F2575" s="53" t="s">
        <v>3924</v>
      </c>
      <c r="G2575" s="53" t="s">
        <v>3903</v>
      </c>
      <c r="H2575" s="53">
        <v>1.0</v>
      </c>
      <c r="I2575" s="53">
        <v>0.5115248226950354</v>
      </c>
      <c r="J2575" s="53">
        <v>0.0</v>
      </c>
      <c r="K2575" s="53" t="s">
        <v>53</v>
      </c>
      <c r="L2575" s="53" t="s">
        <v>53</v>
      </c>
    </row>
    <row r="2576" ht="15.75" customHeight="1">
      <c r="A2576" s="53" t="s">
        <v>3892</v>
      </c>
      <c r="B2576" s="53" t="s">
        <v>3893</v>
      </c>
      <c r="D2576" s="53" t="s">
        <v>3908</v>
      </c>
      <c r="E2576" s="53" t="s">
        <v>3925</v>
      </c>
      <c r="F2576" s="53" t="s">
        <v>3926</v>
      </c>
      <c r="G2576" s="53" t="s">
        <v>3897</v>
      </c>
      <c r="H2576" s="53">
        <v>1.0</v>
      </c>
      <c r="I2576" s="53">
        <v>0.625</v>
      </c>
      <c r="J2576" s="53">
        <v>1.0</v>
      </c>
      <c r="K2576" s="53" t="s">
        <v>53</v>
      </c>
      <c r="L2576" s="53" t="s">
        <v>53</v>
      </c>
    </row>
    <row r="2577" ht="15.75" customHeight="1">
      <c r="A2577" s="53" t="s">
        <v>3892</v>
      </c>
      <c r="B2577" s="53" t="s">
        <v>3893</v>
      </c>
      <c r="D2577" s="53" t="s">
        <v>3908</v>
      </c>
      <c r="E2577" s="53" t="s">
        <v>3927</v>
      </c>
      <c r="F2577" s="53" t="s">
        <v>3928</v>
      </c>
      <c r="G2577" s="53" t="s">
        <v>3900</v>
      </c>
      <c r="H2577" s="53">
        <v>1.0</v>
      </c>
      <c r="I2577" s="53">
        <v>0.8439716312056738</v>
      </c>
      <c r="J2577" s="53">
        <v>2.0</v>
      </c>
      <c r="K2577" s="53" t="s">
        <v>53</v>
      </c>
      <c r="L2577" s="53" t="s">
        <v>53</v>
      </c>
    </row>
    <row r="2578" ht="15.75" customHeight="1">
      <c r="A2578" s="53" t="s">
        <v>3892</v>
      </c>
      <c r="B2578" s="53" t="s">
        <v>3893</v>
      </c>
      <c r="D2578" s="53" t="s">
        <v>3903</v>
      </c>
      <c r="E2578" s="53" t="s">
        <v>3929</v>
      </c>
      <c r="F2578" s="53" t="s">
        <v>3930</v>
      </c>
      <c r="G2578" s="53" t="s">
        <v>3897</v>
      </c>
      <c r="H2578" s="53">
        <v>1.0</v>
      </c>
      <c r="I2578" s="53">
        <v>0.2332730560578662</v>
      </c>
      <c r="J2578" s="53">
        <v>0.0</v>
      </c>
      <c r="K2578" s="53" t="s">
        <v>53</v>
      </c>
      <c r="L2578" s="53" t="s">
        <v>53</v>
      </c>
    </row>
    <row r="2579" ht="15.75" customHeight="1">
      <c r="A2579" s="53" t="s">
        <v>3892</v>
      </c>
      <c r="B2579" s="53" t="s">
        <v>3893</v>
      </c>
      <c r="D2579" s="53" t="s">
        <v>3903</v>
      </c>
      <c r="E2579" s="53" t="s">
        <v>3931</v>
      </c>
      <c r="F2579" s="53" t="s">
        <v>3932</v>
      </c>
      <c r="G2579" s="53" t="s">
        <v>3900</v>
      </c>
      <c r="H2579" s="53">
        <v>1.0</v>
      </c>
      <c r="I2579" s="53">
        <v>0.6871609403254972</v>
      </c>
      <c r="J2579" s="53">
        <v>1.0</v>
      </c>
      <c r="K2579" s="53" t="s">
        <v>53</v>
      </c>
      <c r="L2579" s="53" t="s">
        <v>53</v>
      </c>
    </row>
    <row r="2580" ht="15.75" customHeight="1">
      <c r="A2580" s="53" t="s">
        <v>3892</v>
      </c>
      <c r="B2580" s="53" t="s">
        <v>3893</v>
      </c>
      <c r="D2580" s="53" t="s">
        <v>3897</v>
      </c>
      <c r="E2580" s="53" t="s">
        <v>3933</v>
      </c>
      <c r="F2580" s="53" t="s">
        <v>3934</v>
      </c>
      <c r="G2580" s="53" t="s">
        <v>3900</v>
      </c>
      <c r="H2580" s="53">
        <v>1.0</v>
      </c>
      <c r="I2580" s="53">
        <v>0.5976470588235294</v>
      </c>
      <c r="J2580" s="53">
        <v>0.0</v>
      </c>
      <c r="K2580" s="53" t="s">
        <v>53</v>
      </c>
      <c r="L2580" s="53" t="s">
        <v>53</v>
      </c>
    </row>
    <row r="2581" ht="15.75" customHeight="1">
      <c r="A2581" s="53" t="s">
        <v>229</v>
      </c>
      <c r="B2581" s="53" t="s">
        <v>538</v>
      </c>
      <c r="C2581" s="53" t="s">
        <v>517</v>
      </c>
      <c r="D2581" s="53" t="s">
        <v>248</v>
      </c>
      <c r="E2581" s="53" t="s">
        <v>3935</v>
      </c>
      <c r="F2581" s="53" t="s">
        <v>2637</v>
      </c>
      <c r="G2581" s="53" t="s">
        <v>255</v>
      </c>
      <c r="H2581" s="53">
        <v>1.0</v>
      </c>
      <c r="I2581" s="53">
        <v>0.3688888888888889</v>
      </c>
      <c r="J2581" s="53">
        <v>0.0</v>
      </c>
      <c r="K2581" s="53" t="s">
        <v>2638</v>
      </c>
      <c r="L2581" s="53" t="s">
        <v>53</v>
      </c>
    </row>
    <row r="2582" ht="15.75" customHeight="1">
      <c r="A2582" s="53" t="s">
        <v>229</v>
      </c>
      <c r="B2582" s="53" t="s">
        <v>538</v>
      </c>
      <c r="C2582" s="53" t="s">
        <v>517</v>
      </c>
      <c r="D2582" s="53" t="s">
        <v>248</v>
      </c>
      <c r="E2582" s="53" t="s">
        <v>3936</v>
      </c>
      <c r="F2582" s="53" t="s">
        <v>2640</v>
      </c>
      <c r="G2582" s="53" t="s">
        <v>259</v>
      </c>
      <c r="H2582" s="53">
        <v>1.0</v>
      </c>
      <c r="I2582" s="53">
        <v>0.5135135135135135</v>
      </c>
      <c r="J2582" s="53">
        <v>1.0</v>
      </c>
      <c r="K2582" s="53" t="s">
        <v>2638</v>
      </c>
      <c r="L2582" s="53" t="s">
        <v>53</v>
      </c>
    </row>
    <row r="2583" ht="15.75" customHeight="1">
      <c r="A2583" s="53" t="s">
        <v>229</v>
      </c>
      <c r="B2583" s="53" t="s">
        <v>538</v>
      </c>
      <c r="C2583" s="53" t="s">
        <v>517</v>
      </c>
      <c r="D2583" s="53" t="s">
        <v>255</v>
      </c>
      <c r="E2583" s="53" t="s">
        <v>3937</v>
      </c>
      <c r="F2583" s="53" t="s">
        <v>2642</v>
      </c>
      <c r="G2583" s="53" t="s">
        <v>259</v>
      </c>
      <c r="H2583" s="53">
        <v>1.0</v>
      </c>
      <c r="I2583" s="53">
        <v>0.6511111111111111</v>
      </c>
      <c r="J2583" s="53">
        <v>0.0</v>
      </c>
      <c r="K2583" s="53" t="s">
        <v>2638</v>
      </c>
      <c r="L2583" s="53" t="s">
        <v>53</v>
      </c>
    </row>
    <row r="2584" ht="15.75" customHeight="1">
      <c r="A2584" s="53" t="s">
        <v>563</v>
      </c>
      <c r="B2584" s="53" t="s">
        <v>3938</v>
      </c>
      <c r="C2584" s="53" t="s">
        <v>564</v>
      </c>
      <c r="D2584" s="53" t="s">
        <v>3939</v>
      </c>
      <c r="E2584" s="53" t="s">
        <v>3940</v>
      </c>
      <c r="F2584" s="53" t="s">
        <v>3941</v>
      </c>
      <c r="G2584" s="53" t="s">
        <v>3942</v>
      </c>
      <c r="H2584" s="53">
        <v>1.0</v>
      </c>
      <c r="I2584" s="53">
        <v>0.0825</v>
      </c>
      <c r="J2584" s="53">
        <v>0.0</v>
      </c>
      <c r="K2584" s="53" t="s">
        <v>3943</v>
      </c>
      <c r="L2584" s="53" t="s">
        <v>53</v>
      </c>
    </row>
    <row r="2585" ht="15.75" customHeight="1">
      <c r="A2585" s="53" t="s">
        <v>563</v>
      </c>
      <c r="B2585" s="53" t="s">
        <v>577</v>
      </c>
      <c r="C2585" s="53" t="s">
        <v>3944</v>
      </c>
      <c r="D2585" s="53" t="s">
        <v>701</v>
      </c>
      <c r="E2585" s="53" t="s">
        <v>3945</v>
      </c>
      <c r="F2585" s="53" t="s">
        <v>705</v>
      </c>
      <c r="G2585" s="53" t="s">
        <v>3946</v>
      </c>
      <c r="H2585" s="53">
        <v>1.0</v>
      </c>
      <c r="I2585" s="53">
        <v>0.0859375</v>
      </c>
      <c r="J2585" s="53">
        <v>0.0</v>
      </c>
      <c r="K2585" s="53" t="s">
        <v>3947</v>
      </c>
      <c r="L2585" s="53" t="s">
        <v>53</v>
      </c>
    </row>
    <row r="2586" ht="15.75" customHeight="1">
      <c r="A2586" s="53" t="s">
        <v>563</v>
      </c>
      <c r="B2586" s="53" t="s">
        <v>577</v>
      </c>
      <c r="C2586" s="53" t="s">
        <v>3944</v>
      </c>
      <c r="D2586" s="53" t="s">
        <v>701</v>
      </c>
      <c r="E2586" s="53" t="s">
        <v>3948</v>
      </c>
      <c r="F2586" s="53" t="s">
        <v>705</v>
      </c>
      <c r="G2586" s="53" t="s">
        <v>3949</v>
      </c>
      <c r="H2586" s="53">
        <v>1.0</v>
      </c>
      <c r="I2586" s="53">
        <v>0.15217391304347827</v>
      </c>
      <c r="J2586" s="53">
        <v>1.0</v>
      </c>
      <c r="K2586" s="53" t="s">
        <v>3947</v>
      </c>
      <c r="L2586" s="53" t="s">
        <v>53</v>
      </c>
    </row>
    <row r="2587" ht="15.75" customHeight="1">
      <c r="A2587" s="53" t="s">
        <v>563</v>
      </c>
      <c r="B2587" s="53" t="s">
        <v>577</v>
      </c>
      <c r="C2587" s="53" t="s">
        <v>3944</v>
      </c>
      <c r="D2587" s="53" t="s">
        <v>3946</v>
      </c>
      <c r="E2587" s="53" t="s">
        <v>3950</v>
      </c>
      <c r="F2587" s="53" t="s">
        <v>705</v>
      </c>
      <c r="G2587" s="53" t="s">
        <v>3949</v>
      </c>
      <c r="H2587" s="53">
        <v>1.0</v>
      </c>
      <c r="I2587" s="53">
        <v>0.07971014492753623</v>
      </c>
      <c r="J2587" s="53">
        <v>0.0</v>
      </c>
      <c r="K2587" s="53" t="s">
        <v>3947</v>
      </c>
      <c r="L2587" s="53" t="s">
        <v>53</v>
      </c>
    </row>
    <row r="2588" ht="15.75" customHeight="1">
      <c r="A2588" s="53" t="s">
        <v>563</v>
      </c>
      <c r="B2588" s="53" t="s">
        <v>597</v>
      </c>
      <c r="C2588" s="53" t="s">
        <v>588</v>
      </c>
      <c r="D2588" s="53" t="s">
        <v>636</v>
      </c>
      <c r="E2588" s="53" t="s">
        <v>3951</v>
      </c>
      <c r="F2588" s="53" t="s">
        <v>3941</v>
      </c>
      <c r="G2588" s="53" t="s">
        <v>645</v>
      </c>
      <c r="H2588" s="53">
        <v>1.0</v>
      </c>
      <c r="I2588" s="53">
        <v>0.08168316831683169</v>
      </c>
      <c r="J2588" s="53">
        <v>0.0</v>
      </c>
      <c r="K2588" s="53" t="s">
        <v>3952</v>
      </c>
      <c r="L2588" s="53" t="s">
        <v>53</v>
      </c>
    </row>
    <row r="2589" ht="15.75" customHeight="1">
      <c r="A2589" s="53" t="s">
        <v>563</v>
      </c>
      <c r="B2589" s="53" t="s">
        <v>613</v>
      </c>
      <c r="C2589" s="53" t="s">
        <v>614</v>
      </c>
      <c r="D2589" s="53" t="s">
        <v>620</v>
      </c>
      <c r="E2589" s="53" t="s">
        <v>3953</v>
      </c>
      <c r="F2589" s="53" t="s">
        <v>3954</v>
      </c>
      <c r="G2589" s="53" t="s">
        <v>832</v>
      </c>
      <c r="H2589" s="53">
        <v>0.6</v>
      </c>
      <c r="I2589" s="53">
        <v>0.03870967741935484</v>
      </c>
      <c r="J2589" s="53">
        <v>26.0</v>
      </c>
      <c r="K2589" s="53" t="s">
        <v>3955</v>
      </c>
      <c r="L2589" s="53" t="s">
        <v>1523</v>
      </c>
    </row>
    <row r="2590" ht="15.75" customHeight="1">
      <c r="A2590" s="53" t="s">
        <v>563</v>
      </c>
      <c r="B2590" s="53" t="s">
        <v>613</v>
      </c>
      <c r="C2590" s="53" t="s">
        <v>614</v>
      </c>
      <c r="D2590" s="53" t="s">
        <v>620</v>
      </c>
      <c r="E2590" s="53" t="s">
        <v>3956</v>
      </c>
      <c r="F2590" s="53" t="s">
        <v>3957</v>
      </c>
      <c r="G2590" s="53" t="s">
        <v>3958</v>
      </c>
      <c r="H2590" s="53">
        <v>1.0</v>
      </c>
      <c r="I2590" s="53">
        <v>0.1340782122905028</v>
      </c>
      <c r="J2590" s="53">
        <v>10.0</v>
      </c>
      <c r="K2590" s="53" t="s">
        <v>3955</v>
      </c>
      <c r="L2590" s="53" t="s">
        <v>53</v>
      </c>
    </row>
    <row r="2591" ht="15.75" customHeight="1">
      <c r="A2591" s="53" t="s">
        <v>563</v>
      </c>
      <c r="B2591" s="53" t="s">
        <v>613</v>
      </c>
      <c r="C2591" s="53" t="s">
        <v>614</v>
      </c>
      <c r="D2591" s="53" t="s">
        <v>628</v>
      </c>
      <c r="E2591" s="53" t="s">
        <v>3959</v>
      </c>
      <c r="F2591" s="53" t="s">
        <v>654</v>
      </c>
      <c r="G2591" s="53" t="s">
        <v>662</v>
      </c>
      <c r="H2591" s="53">
        <v>0.5</v>
      </c>
      <c r="I2591" s="53">
        <v>0.08383233532934131</v>
      </c>
      <c r="J2591" s="53">
        <v>15.0</v>
      </c>
      <c r="K2591" s="53" t="s">
        <v>3955</v>
      </c>
      <c r="L2591" s="53" t="s">
        <v>1523</v>
      </c>
    </row>
    <row r="2592" ht="15.75" customHeight="1">
      <c r="A2592" s="53" t="s">
        <v>563</v>
      </c>
      <c r="B2592" s="53" t="s">
        <v>613</v>
      </c>
      <c r="C2592" s="53" t="s">
        <v>614</v>
      </c>
      <c r="D2592" s="53" t="s">
        <v>628</v>
      </c>
      <c r="E2592" s="53" t="s">
        <v>3960</v>
      </c>
      <c r="F2592" s="53" t="s">
        <v>618</v>
      </c>
      <c r="G2592" s="53" t="s">
        <v>3958</v>
      </c>
      <c r="H2592" s="53">
        <v>0.75</v>
      </c>
      <c r="I2592" s="53">
        <v>0.1340782122905028</v>
      </c>
      <c r="J2592" s="53">
        <v>0.0</v>
      </c>
      <c r="K2592" s="53" t="s">
        <v>3955</v>
      </c>
      <c r="L2592" s="53" t="s">
        <v>3961</v>
      </c>
    </row>
    <row r="2593" ht="15.75" customHeight="1">
      <c r="A2593" s="53" t="s">
        <v>563</v>
      </c>
      <c r="B2593" s="53" t="s">
        <v>613</v>
      </c>
      <c r="C2593" s="53" t="s">
        <v>614</v>
      </c>
      <c r="D2593" s="53" t="s">
        <v>3958</v>
      </c>
      <c r="E2593" s="53" t="s">
        <v>3962</v>
      </c>
      <c r="F2593" s="53" t="s">
        <v>3954</v>
      </c>
      <c r="G2593" s="53" t="s">
        <v>3963</v>
      </c>
      <c r="H2593" s="53">
        <v>0.6</v>
      </c>
      <c r="I2593" s="53">
        <v>0.0782122905027933</v>
      </c>
      <c r="J2593" s="53">
        <v>16.0</v>
      </c>
      <c r="K2593" s="53" t="s">
        <v>3955</v>
      </c>
      <c r="L2593" s="53" t="s">
        <v>1523</v>
      </c>
    </row>
    <row r="2594" ht="15.75" customHeight="1">
      <c r="A2594" s="53" t="s">
        <v>563</v>
      </c>
      <c r="B2594" s="53" t="s">
        <v>613</v>
      </c>
      <c r="C2594" s="53" t="s">
        <v>614</v>
      </c>
      <c r="D2594" s="53" t="s">
        <v>635</v>
      </c>
      <c r="E2594" s="53" t="s">
        <v>3964</v>
      </c>
      <c r="F2594" s="53" t="s">
        <v>3965</v>
      </c>
      <c r="G2594" s="53" t="s">
        <v>832</v>
      </c>
      <c r="H2594" s="53">
        <v>0.8</v>
      </c>
      <c r="I2594" s="53">
        <v>0.3459915611814346</v>
      </c>
      <c r="J2594" s="53">
        <v>11.0</v>
      </c>
      <c r="K2594" s="53" t="s">
        <v>3955</v>
      </c>
      <c r="L2594" s="53" t="s">
        <v>3966</v>
      </c>
    </row>
    <row r="2595" ht="15.75" customHeight="1">
      <c r="A2595" s="53" t="s">
        <v>563</v>
      </c>
      <c r="B2595" s="53" t="s">
        <v>613</v>
      </c>
      <c r="C2595" s="53" t="s">
        <v>614</v>
      </c>
      <c r="D2595" s="53" t="s">
        <v>635</v>
      </c>
      <c r="E2595" s="53" t="s">
        <v>3967</v>
      </c>
      <c r="F2595" s="53" t="s">
        <v>3965</v>
      </c>
      <c r="G2595" s="53" t="s">
        <v>3963</v>
      </c>
      <c r="H2595" s="53">
        <v>0.8</v>
      </c>
      <c r="I2595" s="53">
        <v>0.379746835443038</v>
      </c>
      <c r="J2595" s="53">
        <v>12.0</v>
      </c>
      <c r="K2595" s="53" t="s">
        <v>3955</v>
      </c>
      <c r="L2595" s="53" t="s">
        <v>3966</v>
      </c>
    </row>
    <row r="2596" ht="15.75" customHeight="1">
      <c r="A2596" s="53" t="s">
        <v>563</v>
      </c>
      <c r="B2596" s="53" t="s">
        <v>613</v>
      </c>
      <c r="C2596" s="53" t="s">
        <v>614</v>
      </c>
      <c r="D2596" s="53" t="s">
        <v>642</v>
      </c>
      <c r="E2596" s="53" t="s">
        <v>3968</v>
      </c>
      <c r="F2596" s="53" t="s">
        <v>3969</v>
      </c>
      <c r="G2596" s="53" t="s">
        <v>651</v>
      </c>
      <c r="H2596" s="53">
        <v>1.0</v>
      </c>
      <c r="I2596" s="53">
        <v>0.07971014492753623</v>
      </c>
      <c r="J2596" s="53">
        <v>1.0</v>
      </c>
      <c r="K2596" s="53" t="s">
        <v>3955</v>
      </c>
      <c r="L2596" s="53" t="s">
        <v>53</v>
      </c>
    </row>
    <row r="2597" ht="15.75" customHeight="1">
      <c r="A2597" s="53" t="s">
        <v>563</v>
      </c>
      <c r="B2597" s="53" t="s">
        <v>613</v>
      </c>
      <c r="C2597" s="53" t="s">
        <v>614</v>
      </c>
      <c r="D2597" s="53" t="s">
        <v>3970</v>
      </c>
      <c r="E2597" s="53" t="s">
        <v>3971</v>
      </c>
      <c r="F2597" s="53" t="s">
        <v>3972</v>
      </c>
      <c r="G2597" s="53" t="s">
        <v>3973</v>
      </c>
      <c r="H2597" s="53">
        <v>0.25</v>
      </c>
      <c r="I2597" s="53">
        <v>0.08241758241758242</v>
      </c>
      <c r="J2597" s="53">
        <v>0.0</v>
      </c>
      <c r="K2597" s="53" t="s">
        <v>3955</v>
      </c>
      <c r="L2597" s="53" t="s">
        <v>3974</v>
      </c>
    </row>
    <row r="2598" ht="15.75" customHeight="1">
      <c r="A2598" s="53" t="s">
        <v>563</v>
      </c>
      <c r="B2598" s="53" t="s">
        <v>613</v>
      </c>
      <c r="C2598" s="53" t="s">
        <v>614</v>
      </c>
      <c r="D2598" s="53" t="s">
        <v>656</v>
      </c>
      <c r="E2598" s="53" t="s">
        <v>3975</v>
      </c>
      <c r="F2598" s="53" t="s">
        <v>3976</v>
      </c>
      <c r="G2598" s="53" t="s">
        <v>832</v>
      </c>
      <c r="H2598" s="53">
        <v>0.75</v>
      </c>
      <c r="I2598" s="53">
        <v>0.15483870967741936</v>
      </c>
      <c r="J2598" s="53">
        <v>1.0</v>
      </c>
      <c r="K2598" s="53" t="s">
        <v>3955</v>
      </c>
      <c r="L2598" s="53" t="s">
        <v>3961</v>
      </c>
    </row>
    <row r="2599" ht="15.75" customHeight="1">
      <c r="A2599" s="53" t="s">
        <v>563</v>
      </c>
      <c r="B2599" s="53" t="s">
        <v>613</v>
      </c>
      <c r="C2599" s="53" t="s">
        <v>614</v>
      </c>
      <c r="D2599" s="53" t="s">
        <v>656</v>
      </c>
      <c r="E2599" s="53" t="s">
        <v>3977</v>
      </c>
      <c r="F2599" s="53" t="s">
        <v>660</v>
      </c>
      <c r="G2599" s="53" t="s">
        <v>662</v>
      </c>
      <c r="H2599" s="53">
        <v>1.0</v>
      </c>
      <c r="I2599" s="53">
        <v>0.16766467065868262</v>
      </c>
      <c r="J2599" s="53">
        <v>0.0</v>
      </c>
      <c r="K2599" s="53" t="s">
        <v>3955</v>
      </c>
      <c r="L2599" s="53" t="s">
        <v>53</v>
      </c>
    </row>
    <row r="2600" ht="15.75" customHeight="1">
      <c r="A2600" s="53" t="s">
        <v>563</v>
      </c>
      <c r="B2600" s="53" t="s">
        <v>613</v>
      </c>
      <c r="C2600" s="53" t="s">
        <v>614</v>
      </c>
      <c r="D2600" s="53" t="s">
        <v>662</v>
      </c>
      <c r="E2600" s="53" t="s">
        <v>3978</v>
      </c>
      <c r="F2600" s="53" t="s">
        <v>3976</v>
      </c>
      <c r="G2600" s="53" t="s">
        <v>3963</v>
      </c>
      <c r="H2600" s="53">
        <v>0.75</v>
      </c>
      <c r="I2600" s="53">
        <v>0.1340782122905028</v>
      </c>
      <c r="J2600" s="53">
        <v>1.0</v>
      </c>
      <c r="K2600" s="53" t="s">
        <v>3955</v>
      </c>
      <c r="L2600" s="53" t="s">
        <v>3961</v>
      </c>
    </row>
    <row r="2601" ht="15.75" customHeight="1">
      <c r="A2601" s="53" t="s">
        <v>563</v>
      </c>
      <c r="B2601" s="53" t="s">
        <v>613</v>
      </c>
      <c r="C2601" s="53" t="s">
        <v>614</v>
      </c>
      <c r="D2601" s="53" t="s">
        <v>832</v>
      </c>
      <c r="E2601" s="53" t="s">
        <v>3979</v>
      </c>
      <c r="F2601" s="53" t="s">
        <v>3980</v>
      </c>
      <c r="G2601" s="53" t="s">
        <v>3963</v>
      </c>
      <c r="H2601" s="53">
        <v>1.0</v>
      </c>
      <c r="I2601" s="53">
        <v>0.1564245810055866</v>
      </c>
      <c r="J2601" s="53">
        <v>0.0</v>
      </c>
      <c r="K2601" s="53" t="s">
        <v>3955</v>
      </c>
      <c r="L2601" s="53" t="s">
        <v>53</v>
      </c>
    </row>
    <row r="2602" ht="15.75" customHeight="1">
      <c r="A2602" s="53" t="s">
        <v>352</v>
      </c>
      <c r="B2602" s="53" t="s">
        <v>663</v>
      </c>
      <c r="C2602" s="53" t="s">
        <v>664</v>
      </c>
      <c r="D2602" s="53" t="s">
        <v>669</v>
      </c>
      <c r="E2602" s="53" t="s">
        <v>3981</v>
      </c>
      <c r="F2602" s="53" t="s">
        <v>3982</v>
      </c>
      <c r="G2602" s="53" t="s">
        <v>3983</v>
      </c>
      <c r="H2602" s="53">
        <v>0.5</v>
      </c>
      <c r="I2602" s="53">
        <v>0.06741573033707865</v>
      </c>
      <c r="J2602" s="53">
        <v>0.0</v>
      </c>
      <c r="K2602" s="53" t="s">
        <v>3984</v>
      </c>
      <c r="L2602" s="53" t="s">
        <v>3985</v>
      </c>
    </row>
    <row r="2603" ht="15.75" customHeight="1">
      <c r="A2603" s="53" t="s">
        <v>352</v>
      </c>
      <c r="B2603" s="53" t="s">
        <v>663</v>
      </c>
      <c r="C2603" s="53" t="s">
        <v>664</v>
      </c>
      <c r="D2603" s="53" t="s">
        <v>669</v>
      </c>
      <c r="E2603" s="53" t="s">
        <v>3986</v>
      </c>
      <c r="F2603" s="53" t="s">
        <v>3987</v>
      </c>
      <c r="G2603" s="53" t="s">
        <v>676</v>
      </c>
      <c r="H2603" s="53">
        <v>0.25</v>
      </c>
      <c r="I2603" s="53">
        <v>0.07539682539682539</v>
      </c>
      <c r="J2603" s="53">
        <v>1.0</v>
      </c>
      <c r="K2603" s="53" t="s">
        <v>3984</v>
      </c>
      <c r="L2603" s="53" t="s">
        <v>2527</v>
      </c>
    </row>
    <row r="2604" ht="15.75" customHeight="1">
      <c r="A2604" s="53" t="s">
        <v>352</v>
      </c>
      <c r="B2604" s="53" t="s">
        <v>663</v>
      </c>
      <c r="C2604" s="53" t="s">
        <v>664</v>
      </c>
      <c r="D2604" s="53" t="s">
        <v>3983</v>
      </c>
      <c r="E2604" s="53" t="s">
        <v>3988</v>
      </c>
      <c r="F2604" s="53" t="s">
        <v>3989</v>
      </c>
      <c r="G2604" s="53" t="s">
        <v>3990</v>
      </c>
      <c r="H2604" s="53">
        <v>0.25</v>
      </c>
      <c r="I2604" s="53">
        <v>0.07116104868913857</v>
      </c>
      <c r="J2604" s="53">
        <v>1.0</v>
      </c>
      <c r="K2604" s="53" t="s">
        <v>3984</v>
      </c>
      <c r="L2604" s="53" t="s">
        <v>2527</v>
      </c>
    </row>
    <row r="2605" ht="15.75" customHeight="1">
      <c r="A2605" s="53" t="s">
        <v>352</v>
      </c>
      <c r="B2605" s="53" t="s">
        <v>663</v>
      </c>
      <c r="C2605" s="53" t="s">
        <v>664</v>
      </c>
      <c r="D2605" s="53" t="s">
        <v>676</v>
      </c>
      <c r="E2605" s="53" t="s">
        <v>3991</v>
      </c>
      <c r="F2605" s="53" t="s">
        <v>3992</v>
      </c>
      <c r="G2605" s="53" t="s">
        <v>3990</v>
      </c>
      <c r="H2605" s="53">
        <v>0.3333333333333333</v>
      </c>
      <c r="I2605" s="53">
        <v>0.07086614173228346</v>
      </c>
      <c r="J2605" s="53">
        <v>0.0</v>
      </c>
      <c r="K2605" s="53" t="s">
        <v>3984</v>
      </c>
      <c r="L2605" s="53" t="s">
        <v>3985</v>
      </c>
    </row>
    <row r="2606" ht="15.75" customHeight="1">
      <c r="A2606" s="53" t="s">
        <v>808</v>
      </c>
      <c r="B2606" s="53" t="s">
        <v>3993</v>
      </c>
      <c r="C2606" s="53" t="s">
        <v>3994</v>
      </c>
      <c r="D2606" s="53" t="s">
        <v>3995</v>
      </c>
      <c r="E2606" s="53" t="s">
        <v>3996</v>
      </c>
      <c r="F2606" s="53" t="s">
        <v>3997</v>
      </c>
      <c r="G2606" s="53" t="s">
        <v>3998</v>
      </c>
      <c r="H2606" s="53">
        <v>1.0</v>
      </c>
      <c r="I2606" s="53">
        <v>0.0684931506849315</v>
      </c>
      <c r="J2606" s="53">
        <v>0.0</v>
      </c>
      <c r="K2606" s="53" t="s">
        <v>3999</v>
      </c>
      <c r="L2606" s="53" t="s">
        <v>53</v>
      </c>
    </row>
    <row r="2607" ht="15.75" customHeight="1">
      <c r="A2607" s="53" t="s">
        <v>808</v>
      </c>
      <c r="B2607" s="53" t="s">
        <v>3993</v>
      </c>
      <c r="C2607" s="53" t="s">
        <v>3994</v>
      </c>
      <c r="D2607" s="53" t="s">
        <v>3995</v>
      </c>
      <c r="E2607" s="53" t="s">
        <v>4000</v>
      </c>
      <c r="F2607" s="53" t="s">
        <v>3997</v>
      </c>
      <c r="G2607" s="53" t="s">
        <v>4001</v>
      </c>
      <c r="H2607" s="53">
        <v>1.0</v>
      </c>
      <c r="I2607" s="53">
        <v>0.08108108108108109</v>
      </c>
      <c r="J2607" s="53">
        <v>1.0</v>
      </c>
      <c r="K2607" s="53" t="s">
        <v>3999</v>
      </c>
      <c r="L2607" s="53" t="s">
        <v>53</v>
      </c>
    </row>
    <row r="2608" ht="15.75" customHeight="1">
      <c r="A2608" s="53" t="s">
        <v>808</v>
      </c>
      <c r="B2608" s="53" t="s">
        <v>3993</v>
      </c>
      <c r="C2608" s="53" t="s">
        <v>3994</v>
      </c>
      <c r="D2608" s="53" t="s">
        <v>3998</v>
      </c>
      <c r="E2608" s="53" t="s">
        <v>4002</v>
      </c>
      <c r="F2608" s="53" t="s">
        <v>3997</v>
      </c>
      <c r="G2608" s="53" t="s">
        <v>4001</v>
      </c>
      <c r="H2608" s="53">
        <v>1.0</v>
      </c>
      <c r="I2608" s="53">
        <v>0.06756756756756757</v>
      </c>
      <c r="J2608" s="53">
        <v>0.0</v>
      </c>
      <c r="K2608" s="53" t="s">
        <v>3999</v>
      </c>
      <c r="L2608" s="53" t="s">
        <v>53</v>
      </c>
    </row>
    <row r="2609" ht="15.75" customHeight="1">
      <c r="A2609" s="53" t="s">
        <v>515</v>
      </c>
      <c r="B2609" s="53" t="s">
        <v>3993</v>
      </c>
      <c r="C2609" s="53" t="s">
        <v>4003</v>
      </c>
      <c r="D2609" s="53" t="s">
        <v>3995</v>
      </c>
      <c r="E2609" s="53" t="s">
        <v>3996</v>
      </c>
      <c r="F2609" s="53" t="s">
        <v>3997</v>
      </c>
      <c r="G2609" s="53" t="s">
        <v>3998</v>
      </c>
      <c r="H2609" s="53">
        <v>1.0</v>
      </c>
      <c r="I2609" s="53">
        <v>0.0684931506849315</v>
      </c>
      <c r="J2609" s="53">
        <v>0.0</v>
      </c>
      <c r="K2609" s="53" t="s">
        <v>3999</v>
      </c>
      <c r="L2609" s="53" t="s">
        <v>53</v>
      </c>
    </row>
    <row r="2610" ht="15.75" customHeight="1">
      <c r="A2610" s="53" t="s">
        <v>515</v>
      </c>
      <c r="B2610" s="53" t="s">
        <v>3993</v>
      </c>
      <c r="C2610" s="53" t="s">
        <v>4003</v>
      </c>
      <c r="D2610" s="53" t="s">
        <v>3995</v>
      </c>
      <c r="E2610" s="53" t="s">
        <v>4000</v>
      </c>
      <c r="F2610" s="53" t="s">
        <v>3997</v>
      </c>
      <c r="G2610" s="53" t="s">
        <v>4001</v>
      </c>
      <c r="H2610" s="53">
        <v>1.0</v>
      </c>
      <c r="I2610" s="53">
        <v>0.08108108108108109</v>
      </c>
      <c r="J2610" s="53">
        <v>1.0</v>
      </c>
      <c r="K2610" s="53" t="s">
        <v>3999</v>
      </c>
      <c r="L2610" s="53" t="s">
        <v>53</v>
      </c>
    </row>
    <row r="2611" ht="15.75" customHeight="1">
      <c r="A2611" s="53" t="s">
        <v>515</v>
      </c>
      <c r="B2611" s="53" t="s">
        <v>3993</v>
      </c>
      <c r="C2611" s="53" t="s">
        <v>4003</v>
      </c>
      <c r="D2611" s="53" t="s">
        <v>3998</v>
      </c>
      <c r="E2611" s="53" t="s">
        <v>4002</v>
      </c>
      <c r="F2611" s="53" t="s">
        <v>3997</v>
      </c>
      <c r="G2611" s="53" t="s">
        <v>4001</v>
      </c>
      <c r="H2611" s="53">
        <v>1.0</v>
      </c>
      <c r="I2611" s="53">
        <v>0.06756756756756757</v>
      </c>
      <c r="J2611" s="53">
        <v>0.0</v>
      </c>
      <c r="K2611" s="53" t="s">
        <v>3999</v>
      </c>
      <c r="L2611" s="53" t="s">
        <v>53</v>
      </c>
    </row>
    <row r="2612" ht="15.75" customHeight="1">
      <c r="A2612" s="53" t="s">
        <v>563</v>
      </c>
      <c r="B2612" s="53" t="s">
        <v>699</v>
      </c>
      <c r="C2612" s="53" t="s">
        <v>700</v>
      </c>
      <c r="D2612" s="53" t="s">
        <v>4004</v>
      </c>
      <c r="E2612" s="53" t="s">
        <v>4005</v>
      </c>
      <c r="F2612" s="53" t="s">
        <v>4006</v>
      </c>
      <c r="G2612" s="53" t="s">
        <v>4007</v>
      </c>
      <c r="H2612" s="53">
        <v>1.0</v>
      </c>
      <c r="I2612" s="53">
        <v>0.13286713286713286</v>
      </c>
      <c r="J2612" s="53">
        <v>0.0</v>
      </c>
      <c r="K2612" s="53" t="s">
        <v>4008</v>
      </c>
      <c r="L2612" s="53" t="s">
        <v>53</v>
      </c>
    </row>
    <row r="2613" ht="15.75" customHeight="1">
      <c r="A2613" s="53" t="s">
        <v>352</v>
      </c>
      <c r="B2613" s="53" t="s">
        <v>4009</v>
      </c>
      <c r="C2613" s="53" t="s">
        <v>4010</v>
      </c>
      <c r="D2613" s="53" t="s">
        <v>4011</v>
      </c>
      <c r="E2613" s="53" t="s">
        <v>4012</v>
      </c>
      <c r="F2613" s="53" t="s">
        <v>4013</v>
      </c>
      <c r="G2613" s="53" t="s">
        <v>4014</v>
      </c>
      <c r="H2613" s="53">
        <v>0.0</v>
      </c>
      <c r="I2613" s="53">
        <v>0.022900763358778626</v>
      </c>
      <c r="J2613" s="53">
        <v>3.0</v>
      </c>
      <c r="K2613" s="53" t="s">
        <v>4015</v>
      </c>
      <c r="L2613" s="53" t="s">
        <v>4016</v>
      </c>
    </row>
    <row r="2614" ht="15.75" customHeight="1">
      <c r="A2614" s="53" t="s">
        <v>352</v>
      </c>
      <c r="B2614" s="53" t="s">
        <v>4009</v>
      </c>
      <c r="C2614" s="53" t="s">
        <v>4010</v>
      </c>
      <c r="D2614" s="53" t="s">
        <v>4011</v>
      </c>
      <c r="E2614" s="53" t="s">
        <v>4017</v>
      </c>
      <c r="F2614" s="53" t="s">
        <v>4018</v>
      </c>
      <c r="G2614" s="53" t="s">
        <v>4019</v>
      </c>
      <c r="H2614" s="53">
        <v>0.0</v>
      </c>
      <c r="I2614" s="53">
        <v>0.08955223880597014</v>
      </c>
      <c r="J2614" s="53">
        <v>9.0</v>
      </c>
      <c r="K2614" s="53" t="s">
        <v>4015</v>
      </c>
      <c r="L2614" s="53" t="s">
        <v>4020</v>
      </c>
    </row>
    <row r="2615" ht="15.75" customHeight="1">
      <c r="A2615" s="53" t="s">
        <v>352</v>
      </c>
      <c r="B2615" s="53" t="s">
        <v>4009</v>
      </c>
      <c r="C2615" s="53" t="s">
        <v>4010</v>
      </c>
      <c r="D2615" s="53" t="s">
        <v>4014</v>
      </c>
      <c r="E2615" s="53" t="s">
        <v>4021</v>
      </c>
      <c r="F2615" s="53" t="s">
        <v>4022</v>
      </c>
      <c r="G2615" s="53" t="s">
        <v>4019</v>
      </c>
      <c r="H2615" s="53">
        <v>0.0</v>
      </c>
      <c r="I2615" s="53">
        <v>0.08955223880597014</v>
      </c>
      <c r="J2615" s="53">
        <v>5.0</v>
      </c>
      <c r="K2615" s="53" t="s">
        <v>4015</v>
      </c>
      <c r="L2615" s="53" t="s">
        <v>4023</v>
      </c>
    </row>
    <row r="2616" ht="15.75" customHeight="1">
      <c r="A2616" s="53" t="s">
        <v>352</v>
      </c>
      <c r="B2616" s="53" t="s">
        <v>4009</v>
      </c>
      <c r="C2616" s="53" t="s">
        <v>4010</v>
      </c>
      <c r="D2616" s="53" t="s">
        <v>4019</v>
      </c>
      <c r="E2616" s="53" t="s">
        <v>4024</v>
      </c>
      <c r="F2616" s="53" t="s">
        <v>4025</v>
      </c>
      <c r="G2616" s="53" t="s">
        <v>4026</v>
      </c>
      <c r="H2616" s="53">
        <v>0.0</v>
      </c>
      <c r="I2616" s="53">
        <v>0.04285714285714286</v>
      </c>
      <c r="J2616" s="53">
        <v>11.0</v>
      </c>
      <c r="K2616" s="53" t="s">
        <v>4015</v>
      </c>
      <c r="L2616" s="53" t="s">
        <v>4027</v>
      </c>
    </row>
    <row r="2617" ht="15.75" customHeight="1">
      <c r="A2617" s="53" t="s">
        <v>352</v>
      </c>
      <c r="B2617" s="53" t="s">
        <v>4009</v>
      </c>
      <c r="C2617" s="53" t="s">
        <v>4010</v>
      </c>
      <c r="D2617" s="53" t="s">
        <v>4019</v>
      </c>
      <c r="E2617" s="53" t="s">
        <v>4028</v>
      </c>
      <c r="F2617" s="53" t="s">
        <v>4029</v>
      </c>
      <c r="G2617" s="53" t="s">
        <v>4030</v>
      </c>
      <c r="H2617" s="53">
        <v>0.0</v>
      </c>
      <c r="I2617" s="53">
        <v>0.06428571428571428</v>
      </c>
      <c r="J2617" s="53">
        <v>6.0</v>
      </c>
      <c r="K2617" s="53" t="s">
        <v>4015</v>
      </c>
      <c r="L2617" s="53" t="s">
        <v>4031</v>
      </c>
    </row>
    <row r="2618" ht="15.75" customHeight="1">
      <c r="A2618" s="53" t="s">
        <v>352</v>
      </c>
      <c r="B2618" s="53" t="s">
        <v>4009</v>
      </c>
      <c r="C2618" s="53" t="s">
        <v>4010</v>
      </c>
      <c r="D2618" s="53" t="s">
        <v>4019</v>
      </c>
      <c r="E2618" s="53" t="s">
        <v>4032</v>
      </c>
      <c r="F2618" s="53" t="s">
        <v>4033</v>
      </c>
      <c r="G2618" s="53" t="s">
        <v>4034</v>
      </c>
      <c r="H2618" s="53">
        <v>0.0</v>
      </c>
      <c r="I2618" s="53">
        <v>0.06428571428571428</v>
      </c>
      <c r="J2618" s="53">
        <v>8.0</v>
      </c>
      <c r="K2618" s="53" t="s">
        <v>4015</v>
      </c>
      <c r="L2618" s="53" t="s">
        <v>4035</v>
      </c>
    </row>
    <row r="2619" ht="15.75" customHeight="1">
      <c r="A2619" s="53" t="s">
        <v>352</v>
      </c>
      <c r="B2619" s="53" t="s">
        <v>4009</v>
      </c>
      <c r="C2619" s="53" t="s">
        <v>4010</v>
      </c>
      <c r="D2619" s="53" t="s">
        <v>4030</v>
      </c>
      <c r="E2619" s="53" t="s">
        <v>4036</v>
      </c>
      <c r="F2619" s="53" t="s">
        <v>4037</v>
      </c>
      <c r="G2619" s="53" t="s">
        <v>4034</v>
      </c>
      <c r="H2619" s="53">
        <v>0.0</v>
      </c>
      <c r="I2619" s="53">
        <v>0.06428571428571428</v>
      </c>
      <c r="J2619" s="53">
        <v>1.0</v>
      </c>
      <c r="K2619" s="53" t="s">
        <v>4015</v>
      </c>
      <c r="L2619" s="53" t="s">
        <v>4038</v>
      </c>
    </row>
    <row r="2620" ht="15.75" customHeight="1">
      <c r="A2620" s="53" t="s">
        <v>352</v>
      </c>
      <c r="B2620" s="53" t="s">
        <v>4009</v>
      </c>
      <c r="C2620" s="53" t="s">
        <v>4010</v>
      </c>
      <c r="D2620" s="53" t="s">
        <v>4030</v>
      </c>
      <c r="E2620" s="53" t="s">
        <v>4039</v>
      </c>
      <c r="F2620" s="53" t="s">
        <v>4040</v>
      </c>
      <c r="G2620" s="53" t="s">
        <v>4026</v>
      </c>
      <c r="H2620" s="53">
        <v>0.0</v>
      </c>
      <c r="I2620" s="53">
        <v>0.06428571428571428</v>
      </c>
      <c r="J2620" s="53">
        <v>4.0</v>
      </c>
      <c r="K2620" s="53" t="s">
        <v>4015</v>
      </c>
      <c r="L2620" s="53" t="s">
        <v>4041</v>
      </c>
    </row>
    <row r="2621" ht="15.75" customHeight="1">
      <c r="A2621" s="53" t="s">
        <v>352</v>
      </c>
      <c r="B2621" s="53" t="s">
        <v>4009</v>
      </c>
      <c r="C2621" s="53" t="s">
        <v>4010</v>
      </c>
      <c r="D2621" s="53" t="s">
        <v>4034</v>
      </c>
      <c r="E2621" s="53" t="s">
        <v>4042</v>
      </c>
      <c r="F2621" s="53" t="s">
        <v>4043</v>
      </c>
      <c r="G2621" s="53" t="s">
        <v>4026</v>
      </c>
      <c r="H2621" s="53">
        <v>0.0</v>
      </c>
      <c r="I2621" s="53">
        <v>0.06428571428571428</v>
      </c>
      <c r="J2621" s="53">
        <v>2.0</v>
      </c>
      <c r="K2621" s="53" t="s">
        <v>4015</v>
      </c>
      <c r="L2621" s="53" t="s">
        <v>2531</v>
      </c>
    </row>
    <row r="2622" ht="15.75" customHeight="1">
      <c r="A2622" s="53" t="s">
        <v>4044</v>
      </c>
      <c r="B2622" s="53" t="s">
        <v>4045</v>
      </c>
      <c r="D2622" s="53" t="s">
        <v>4046</v>
      </c>
      <c r="E2622" s="53" t="s">
        <v>4047</v>
      </c>
      <c r="F2622" s="53" t="s">
        <v>4048</v>
      </c>
      <c r="G2622" s="53" t="s">
        <v>4049</v>
      </c>
      <c r="H2622" s="53">
        <v>0.75</v>
      </c>
      <c r="I2622" s="53">
        <v>0.04833836858006042</v>
      </c>
      <c r="J2622" s="53">
        <v>1.0</v>
      </c>
      <c r="K2622" s="53" t="s">
        <v>53</v>
      </c>
      <c r="L2622" s="53" t="s">
        <v>4050</v>
      </c>
    </row>
    <row r="2623" ht="15.75" customHeight="1">
      <c r="A2623" s="53" t="s">
        <v>4044</v>
      </c>
      <c r="B2623" s="53" t="s">
        <v>4045</v>
      </c>
      <c r="D2623" s="53" t="s">
        <v>4046</v>
      </c>
      <c r="E2623" s="53" t="s">
        <v>4051</v>
      </c>
      <c r="F2623" s="53" t="s">
        <v>4052</v>
      </c>
      <c r="G2623" s="53" t="s">
        <v>4053</v>
      </c>
      <c r="H2623" s="53">
        <v>0.875</v>
      </c>
      <c r="I2623" s="53">
        <v>0.1092896174863388</v>
      </c>
      <c r="J2623" s="53">
        <v>0.0</v>
      </c>
      <c r="K2623" s="53" t="s">
        <v>53</v>
      </c>
      <c r="L2623" s="53" t="s">
        <v>4054</v>
      </c>
    </row>
    <row r="2624" ht="15.75" customHeight="1">
      <c r="A2624" s="53" t="s">
        <v>4044</v>
      </c>
      <c r="B2624" s="53" t="s">
        <v>4045</v>
      </c>
      <c r="D2624" s="53" t="s">
        <v>4046</v>
      </c>
      <c r="E2624" s="53" t="s">
        <v>4055</v>
      </c>
      <c r="F2624" s="53" t="s">
        <v>4056</v>
      </c>
      <c r="G2624" s="53" t="s">
        <v>4057</v>
      </c>
      <c r="H2624" s="53">
        <v>0.875</v>
      </c>
      <c r="I2624" s="53">
        <v>0.15584415584415584</v>
      </c>
      <c r="J2624" s="53">
        <v>2.0</v>
      </c>
      <c r="K2624" s="53" t="s">
        <v>53</v>
      </c>
      <c r="L2624" s="53" t="s">
        <v>3817</v>
      </c>
    </row>
    <row r="2625" ht="15.75" customHeight="1">
      <c r="A2625" s="53" t="s">
        <v>4044</v>
      </c>
      <c r="B2625" s="53" t="s">
        <v>4045</v>
      </c>
      <c r="D2625" s="53" t="s">
        <v>4053</v>
      </c>
      <c r="E2625" s="53" t="s">
        <v>4058</v>
      </c>
      <c r="F2625" s="53" t="s">
        <v>4059</v>
      </c>
      <c r="G2625" s="53" t="s">
        <v>4057</v>
      </c>
      <c r="H2625" s="53">
        <v>0.7777777777777778</v>
      </c>
      <c r="I2625" s="53">
        <v>0.11948051948051948</v>
      </c>
      <c r="J2625" s="53">
        <v>1.0</v>
      </c>
      <c r="K2625" s="53" t="s">
        <v>53</v>
      </c>
      <c r="L2625" s="53" t="s">
        <v>4060</v>
      </c>
    </row>
    <row r="2626" ht="15.75" customHeight="1">
      <c r="A2626" s="53" t="s">
        <v>4061</v>
      </c>
      <c r="B2626" s="53" t="s">
        <v>4062</v>
      </c>
      <c r="D2626" s="53" t="s">
        <v>4063</v>
      </c>
      <c r="E2626" s="53" t="s">
        <v>4064</v>
      </c>
      <c r="F2626" s="53" t="s">
        <v>4065</v>
      </c>
      <c r="G2626" s="53" t="s">
        <v>4066</v>
      </c>
      <c r="H2626" s="53">
        <v>1.0</v>
      </c>
      <c r="I2626" s="53">
        <v>0.16535433070866143</v>
      </c>
      <c r="J2626" s="53">
        <v>0.0</v>
      </c>
      <c r="K2626" s="53" t="s">
        <v>53</v>
      </c>
      <c r="L2626" s="53" t="s">
        <v>53</v>
      </c>
    </row>
    <row r="2627" ht="15.75" customHeight="1">
      <c r="A2627" s="53" t="s">
        <v>4061</v>
      </c>
      <c r="B2627" s="53" t="s">
        <v>4062</v>
      </c>
      <c r="D2627" s="53" t="s">
        <v>4067</v>
      </c>
      <c r="E2627" s="53" t="s">
        <v>4068</v>
      </c>
      <c r="F2627" s="53" t="s">
        <v>4069</v>
      </c>
      <c r="G2627" s="53" t="s">
        <v>4070</v>
      </c>
      <c r="H2627" s="53">
        <v>0.0</v>
      </c>
      <c r="I2627" s="53">
        <v>0.03508771929824561</v>
      </c>
      <c r="J2627" s="53">
        <v>2.0</v>
      </c>
      <c r="K2627" s="53" t="s">
        <v>53</v>
      </c>
      <c r="L2627" s="53" t="s">
        <v>4071</v>
      </c>
    </row>
    <row r="2628" ht="15.75" customHeight="1">
      <c r="A2628" s="53" t="s">
        <v>4061</v>
      </c>
      <c r="B2628" s="53" t="s">
        <v>4062</v>
      </c>
      <c r="D2628" s="53" t="s">
        <v>4067</v>
      </c>
      <c r="E2628" s="53" t="s">
        <v>4072</v>
      </c>
      <c r="F2628" s="53" t="s">
        <v>4073</v>
      </c>
      <c r="G2628" s="53" t="s">
        <v>4074</v>
      </c>
      <c r="H2628" s="53">
        <v>1.0</v>
      </c>
      <c r="I2628" s="53">
        <v>0.11515151515151516</v>
      </c>
      <c r="J2628" s="53">
        <v>1.0</v>
      </c>
      <c r="K2628" s="53" t="s">
        <v>53</v>
      </c>
      <c r="L2628" s="53" t="s">
        <v>53</v>
      </c>
    </row>
    <row r="2629" ht="15.75" customHeight="1">
      <c r="A2629" s="53" t="s">
        <v>4061</v>
      </c>
      <c r="B2629" s="53" t="s">
        <v>4062</v>
      </c>
      <c r="D2629" s="53" t="s">
        <v>4067</v>
      </c>
      <c r="E2629" s="53" t="s">
        <v>4075</v>
      </c>
      <c r="F2629" s="53" t="s">
        <v>4073</v>
      </c>
      <c r="G2629" s="53" t="s">
        <v>4076</v>
      </c>
      <c r="H2629" s="53">
        <v>1.0</v>
      </c>
      <c r="I2629" s="53">
        <v>0.6331360946745562</v>
      </c>
      <c r="J2629" s="53">
        <v>6.0</v>
      </c>
      <c r="K2629" s="53" t="s">
        <v>53</v>
      </c>
      <c r="L2629" s="53" t="s">
        <v>53</v>
      </c>
    </row>
    <row r="2630" ht="15.75" customHeight="1">
      <c r="A2630" s="53" t="s">
        <v>4061</v>
      </c>
      <c r="B2630" s="53" t="s">
        <v>4062</v>
      </c>
      <c r="D2630" s="53" t="s">
        <v>4077</v>
      </c>
      <c r="E2630" s="53" t="s">
        <v>4078</v>
      </c>
      <c r="F2630" s="53" t="s">
        <v>4079</v>
      </c>
      <c r="G2630" s="53" t="s">
        <v>4080</v>
      </c>
      <c r="H2630" s="53">
        <v>0.3333333333333333</v>
      </c>
      <c r="I2630" s="53">
        <v>0.03015075376884422</v>
      </c>
      <c r="J2630" s="53">
        <v>2.0</v>
      </c>
      <c r="K2630" s="53" t="s">
        <v>53</v>
      </c>
      <c r="L2630" s="53" t="s">
        <v>4081</v>
      </c>
    </row>
    <row r="2631" ht="15.75" customHeight="1">
      <c r="A2631" s="53" t="s">
        <v>4061</v>
      </c>
      <c r="B2631" s="53" t="s">
        <v>4062</v>
      </c>
      <c r="D2631" s="53" t="s">
        <v>4077</v>
      </c>
      <c r="E2631" s="53" t="s">
        <v>4082</v>
      </c>
      <c r="F2631" s="53" t="s">
        <v>4083</v>
      </c>
      <c r="G2631" s="53" t="s">
        <v>4084</v>
      </c>
      <c r="H2631" s="53">
        <v>1.0</v>
      </c>
      <c r="I2631" s="53">
        <v>0.5583756345177665</v>
      </c>
      <c r="J2631" s="53">
        <v>9.0</v>
      </c>
      <c r="K2631" s="53" t="s">
        <v>53</v>
      </c>
      <c r="L2631" s="53" t="s">
        <v>53</v>
      </c>
    </row>
    <row r="2632" ht="15.75" customHeight="1">
      <c r="A2632" s="53" t="s">
        <v>4061</v>
      </c>
      <c r="B2632" s="53" t="s">
        <v>4062</v>
      </c>
      <c r="D2632" s="53" t="s">
        <v>4074</v>
      </c>
      <c r="E2632" s="53" t="s">
        <v>4085</v>
      </c>
      <c r="F2632" s="53" t="s">
        <v>4069</v>
      </c>
      <c r="G2632" s="53" t="s">
        <v>4086</v>
      </c>
      <c r="H2632" s="53">
        <v>0.0</v>
      </c>
      <c r="I2632" s="53">
        <v>0.03550295857988166</v>
      </c>
      <c r="J2632" s="53">
        <v>2.0</v>
      </c>
      <c r="K2632" s="53" t="s">
        <v>53</v>
      </c>
      <c r="L2632" s="53" t="s">
        <v>4071</v>
      </c>
    </row>
    <row r="2633" ht="15.75" customHeight="1">
      <c r="A2633" s="53" t="s">
        <v>4061</v>
      </c>
      <c r="B2633" s="53" t="s">
        <v>4062</v>
      </c>
      <c r="D2633" s="53" t="s">
        <v>4074</v>
      </c>
      <c r="E2633" s="53" t="s">
        <v>4087</v>
      </c>
      <c r="F2633" s="53" t="s">
        <v>4073</v>
      </c>
      <c r="G2633" s="53" t="s">
        <v>4076</v>
      </c>
      <c r="H2633" s="53">
        <v>1.0</v>
      </c>
      <c r="I2633" s="53">
        <v>0.6686390532544378</v>
      </c>
      <c r="J2633" s="53">
        <v>4.0</v>
      </c>
      <c r="K2633" s="53" t="s">
        <v>53</v>
      </c>
      <c r="L2633" s="53" t="s">
        <v>53</v>
      </c>
    </row>
    <row r="2634" ht="15.75" customHeight="1">
      <c r="A2634" s="53" t="s">
        <v>4061</v>
      </c>
      <c r="B2634" s="53" t="s">
        <v>4062</v>
      </c>
      <c r="D2634" s="53" t="s">
        <v>4070</v>
      </c>
      <c r="E2634" s="53" t="s">
        <v>4088</v>
      </c>
      <c r="F2634" s="53" t="s">
        <v>4089</v>
      </c>
      <c r="G2634" s="53" t="s">
        <v>4086</v>
      </c>
      <c r="H2634" s="53">
        <v>1.0</v>
      </c>
      <c r="I2634" s="53">
        <v>0.1111111111111111</v>
      </c>
      <c r="J2634" s="53">
        <v>1.0</v>
      </c>
      <c r="K2634" s="53" t="s">
        <v>53</v>
      </c>
      <c r="L2634" s="53" t="s">
        <v>53</v>
      </c>
    </row>
    <row r="2635" ht="15.75" customHeight="1">
      <c r="A2635" s="53" t="s">
        <v>4061</v>
      </c>
      <c r="B2635" s="53" t="s">
        <v>4062</v>
      </c>
      <c r="D2635" s="53" t="s">
        <v>4070</v>
      </c>
      <c r="E2635" s="53" t="s">
        <v>4090</v>
      </c>
      <c r="F2635" s="53" t="s">
        <v>4089</v>
      </c>
      <c r="G2635" s="53" t="s">
        <v>4091</v>
      </c>
      <c r="H2635" s="53">
        <v>1.0</v>
      </c>
      <c r="I2635" s="53">
        <v>0.6374269005847953</v>
      </c>
      <c r="J2635" s="53">
        <v>4.0</v>
      </c>
      <c r="K2635" s="53" t="s">
        <v>53</v>
      </c>
      <c r="L2635" s="53" t="s">
        <v>53</v>
      </c>
    </row>
    <row r="2636" ht="15.75" customHeight="1">
      <c r="A2636" s="53" t="s">
        <v>4061</v>
      </c>
      <c r="B2636" s="53" t="s">
        <v>4062</v>
      </c>
      <c r="D2636" s="53" t="s">
        <v>4070</v>
      </c>
      <c r="E2636" s="53" t="s">
        <v>4092</v>
      </c>
      <c r="F2636" s="53" t="s">
        <v>4089</v>
      </c>
      <c r="G2636" s="53" t="s">
        <v>4093</v>
      </c>
      <c r="H2636" s="53">
        <v>1.0</v>
      </c>
      <c r="I2636" s="53">
        <v>0.672514619883041</v>
      </c>
      <c r="J2636" s="53">
        <v>6.0</v>
      </c>
      <c r="K2636" s="53" t="s">
        <v>53</v>
      </c>
      <c r="L2636" s="53" t="s">
        <v>53</v>
      </c>
    </row>
    <row r="2637" ht="15.75" customHeight="1">
      <c r="A2637" s="53" t="s">
        <v>4061</v>
      </c>
      <c r="B2637" s="53" t="s">
        <v>4062</v>
      </c>
      <c r="D2637" s="53" t="s">
        <v>4080</v>
      </c>
      <c r="E2637" s="53" t="s">
        <v>4094</v>
      </c>
      <c r="F2637" s="53" t="s">
        <v>4095</v>
      </c>
      <c r="G2637" s="53" t="s">
        <v>4096</v>
      </c>
      <c r="H2637" s="53">
        <v>1.0</v>
      </c>
      <c r="I2637" s="53">
        <v>0.5527638190954773</v>
      </c>
      <c r="J2637" s="53">
        <v>4.0</v>
      </c>
      <c r="K2637" s="53" t="s">
        <v>53</v>
      </c>
      <c r="L2637" s="53" t="s">
        <v>53</v>
      </c>
    </row>
    <row r="2638" ht="15.75" customHeight="1">
      <c r="A2638" s="53" t="s">
        <v>4061</v>
      </c>
      <c r="B2638" s="53" t="s">
        <v>4062</v>
      </c>
      <c r="D2638" s="53" t="s">
        <v>4086</v>
      </c>
      <c r="E2638" s="53" t="s">
        <v>4097</v>
      </c>
      <c r="F2638" s="53" t="s">
        <v>4089</v>
      </c>
      <c r="G2638" s="53" t="s">
        <v>4093</v>
      </c>
      <c r="H2638" s="53">
        <v>1.0</v>
      </c>
      <c r="I2638" s="53">
        <v>0.6294117647058823</v>
      </c>
      <c r="J2638" s="53">
        <v>4.0</v>
      </c>
      <c r="K2638" s="53" t="s">
        <v>53</v>
      </c>
      <c r="L2638" s="53" t="s">
        <v>53</v>
      </c>
    </row>
    <row r="2639" ht="15.75" customHeight="1">
      <c r="A2639" s="53" t="s">
        <v>4061</v>
      </c>
      <c r="B2639" s="53" t="s">
        <v>4062</v>
      </c>
      <c r="D2639" s="53" t="s">
        <v>4086</v>
      </c>
      <c r="E2639" s="53" t="s">
        <v>4098</v>
      </c>
      <c r="F2639" s="53" t="s">
        <v>4089</v>
      </c>
      <c r="G2639" s="53" t="s">
        <v>4091</v>
      </c>
      <c r="H2639" s="53">
        <v>1.0</v>
      </c>
      <c r="I2639" s="53">
        <v>0.6549707602339181</v>
      </c>
      <c r="J2639" s="53">
        <v>2.0</v>
      </c>
      <c r="K2639" s="53" t="s">
        <v>53</v>
      </c>
      <c r="L2639" s="53" t="s">
        <v>53</v>
      </c>
    </row>
    <row r="2640" ht="15.75" customHeight="1">
      <c r="A2640" s="53" t="s">
        <v>4061</v>
      </c>
      <c r="B2640" s="53" t="s">
        <v>4062</v>
      </c>
      <c r="D2640" s="53" t="s">
        <v>4091</v>
      </c>
      <c r="E2640" s="53" t="s">
        <v>4099</v>
      </c>
      <c r="F2640" s="53" t="s">
        <v>4089</v>
      </c>
      <c r="G2640" s="53" t="s">
        <v>4093</v>
      </c>
      <c r="H2640" s="53">
        <v>1.0</v>
      </c>
      <c r="I2640" s="53">
        <v>0.1111111111111111</v>
      </c>
      <c r="J2640" s="53">
        <v>1.0</v>
      </c>
      <c r="K2640" s="53" t="s">
        <v>53</v>
      </c>
      <c r="L2640" s="53" t="s">
        <v>53</v>
      </c>
    </row>
    <row r="2641" ht="15.75" customHeight="1">
      <c r="A2641" s="53" t="s">
        <v>4061</v>
      </c>
      <c r="B2641" s="53" t="s">
        <v>4062</v>
      </c>
      <c r="D2641" s="53" t="s">
        <v>4096</v>
      </c>
      <c r="E2641" s="53" t="s">
        <v>4100</v>
      </c>
      <c r="F2641" s="53" t="s">
        <v>4101</v>
      </c>
      <c r="G2641" s="53" t="s">
        <v>4084</v>
      </c>
      <c r="H2641" s="53">
        <v>0.3333333333333333</v>
      </c>
      <c r="I2641" s="53">
        <v>0.08542713567839195</v>
      </c>
      <c r="J2641" s="53">
        <v>1.0</v>
      </c>
      <c r="K2641" s="53" t="s">
        <v>53</v>
      </c>
      <c r="L2641" s="53" t="s">
        <v>4081</v>
      </c>
    </row>
    <row r="2642" ht="15.75" customHeight="1">
      <c r="A2642" s="53" t="s">
        <v>4061</v>
      </c>
      <c r="B2642" s="53" t="s">
        <v>4062</v>
      </c>
      <c r="D2642" s="53" t="s">
        <v>4093</v>
      </c>
      <c r="E2642" s="53" t="s">
        <v>4102</v>
      </c>
      <c r="F2642" s="53" t="s">
        <v>4103</v>
      </c>
      <c r="G2642" s="53" t="s">
        <v>4104</v>
      </c>
      <c r="H2642" s="53">
        <v>0.0</v>
      </c>
      <c r="I2642" s="53">
        <v>0.1</v>
      </c>
      <c r="J2642" s="53">
        <v>1.0</v>
      </c>
      <c r="K2642" s="53" t="s">
        <v>53</v>
      </c>
      <c r="L2642" s="53" t="s">
        <v>4105</v>
      </c>
    </row>
    <row r="2643" ht="15.75" customHeight="1">
      <c r="A2643" s="53" t="s">
        <v>4044</v>
      </c>
      <c r="B2643" s="53" t="s">
        <v>4106</v>
      </c>
      <c r="C2643" s="53" t="s">
        <v>4107</v>
      </c>
      <c r="D2643" s="53" t="s">
        <v>4108</v>
      </c>
      <c r="E2643" s="53" t="s">
        <v>4109</v>
      </c>
      <c r="F2643" s="53" t="s">
        <v>4110</v>
      </c>
      <c r="G2643" s="53" t="s">
        <v>4111</v>
      </c>
      <c r="H2643" s="53">
        <v>0.6666666666666666</v>
      </c>
      <c r="I2643" s="53">
        <v>0.056338028169014086</v>
      </c>
      <c r="J2643" s="53">
        <v>3.0</v>
      </c>
      <c r="K2643" s="53" t="s">
        <v>4112</v>
      </c>
      <c r="L2643" s="53" t="s">
        <v>4050</v>
      </c>
    </row>
    <row r="2644" ht="15.75" customHeight="1">
      <c r="A2644" s="53" t="s">
        <v>4044</v>
      </c>
      <c r="B2644" s="53" t="s">
        <v>4106</v>
      </c>
      <c r="C2644" s="53" t="s">
        <v>4107</v>
      </c>
      <c r="D2644" s="53" t="s">
        <v>4108</v>
      </c>
      <c r="E2644" s="53" t="s">
        <v>4113</v>
      </c>
      <c r="F2644" s="53" t="s">
        <v>4114</v>
      </c>
      <c r="G2644" s="53" t="s">
        <v>4115</v>
      </c>
      <c r="H2644" s="53">
        <v>0.8333333333333334</v>
      </c>
      <c r="I2644" s="53">
        <v>0.09956709956709957</v>
      </c>
      <c r="J2644" s="53">
        <v>1.0</v>
      </c>
      <c r="K2644" s="53" t="s">
        <v>4112</v>
      </c>
      <c r="L2644" s="53" t="s">
        <v>4054</v>
      </c>
    </row>
    <row r="2645" ht="15.75" customHeight="1">
      <c r="A2645" s="53" t="s">
        <v>4044</v>
      </c>
      <c r="B2645" s="53" t="s">
        <v>4106</v>
      </c>
      <c r="C2645" s="53" t="s">
        <v>4107</v>
      </c>
      <c r="D2645" s="53" t="s">
        <v>4108</v>
      </c>
      <c r="E2645" s="53" t="s">
        <v>4116</v>
      </c>
      <c r="F2645" s="53" t="s">
        <v>4117</v>
      </c>
      <c r="G2645" s="53" t="s">
        <v>4118</v>
      </c>
      <c r="H2645" s="53">
        <v>0.8333333333333334</v>
      </c>
      <c r="I2645" s="53">
        <v>0.14107883817427386</v>
      </c>
      <c r="J2645" s="53">
        <v>5.0</v>
      </c>
      <c r="K2645" s="53" t="s">
        <v>4112</v>
      </c>
      <c r="L2645" s="53" t="s">
        <v>3817</v>
      </c>
    </row>
    <row r="2646" ht="15.75" customHeight="1">
      <c r="A2646" s="53" t="s">
        <v>4044</v>
      </c>
      <c r="B2646" s="53" t="s">
        <v>4106</v>
      </c>
      <c r="C2646" s="53" t="s">
        <v>4107</v>
      </c>
      <c r="D2646" s="53" t="s">
        <v>4115</v>
      </c>
      <c r="E2646" s="53" t="s">
        <v>4119</v>
      </c>
      <c r="F2646" s="53" t="s">
        <v>4120</v>
      </c>
      <c r="G2646" s="53" t="s">
        <v>4118</v>
      </c>
      <c r="H2646" s="53">
        <v>0.7142857142857143</v>
      </c>
      <c r="I2646" s="53">
        <v>0.11618257261410789</v>
      </c>
      <c r="J2646" s="53">
        <v>3.0</v>
      </c>
      <c r="K2646" s="53" t="s">
        <v>4112</v>
      </c>
      <c r="L2646" s="53" t="s">
        <v>4060</v>
      </c>
    </row>
    <row r="2647" ht="15.75" customHeight="1">
      <c r="A2647" s="53" t="s">
        <v>4121</v>
      </c>
      <c r="B2647" s="53" t="s">
        <v>4122</v>
      </c>
      <c r="D2647" s="53" t="s">
        <v>4123</v>
      </c>
      <c r="E2647" s="53" t="s">
        <v>4124</v>
      </c>
      <c r="F2647" s="53" t="s">
        <v>4125</v>
      </c>
      <c r="G2647" s="53" t="s">
        <v>4126</v>
      </c>
      <c r="H2647" s="53">
        <v>1.0</v>
      </c>
      <c r="I2647" s="53">
        <v>0.0380952380952381</v>
      </c>
      <c r="J2647" s="53">
        <v>0.0</v>
      </c>
      <c r="K2647" s="53" t="s">
        <v>53</v>
      </c>
      <c r="L2647" s="53" t="s">
        <v>53</v>
      </c>
    </row>
    <row r="2648" ht="15.75" customHeight="1">
      <c r="A2648" s="53" t="s">
        <v>4121</v>
      </c>
      <c r="B2648" s="53" t="s">
        <v>4122</v>
      </c>
      <c r="D2648" s="53" t="s">
        <v>4123</v>
      </c>
      <c r="E2648" s="53" t="s">
        <v>4127</v>
      </c>
      <c r="F2648" s="53" t="s">
        <v>4125</v>
      </c>
      <c r="G2648" s="53" t="s">
        <v>4128</v>
      </c>
      <c r="H2648" s="53">
        <v>1.0</v>
      </c>
      <c r="I2648" s="53">
        <v>0.08181818181818182</v>
      </c>
      <c r="J2648" s="53">
        <v>1.0</v>
      </c>
      <c r="K2648" s="53" t="s">
        <v>53</v>
      </c>
      <c r="L2648" s="53" t="s">
        <v>53</v>
      </c>
    </row>
    <row r="2649" ht="15.75" customHeight="1">
      <c r="A2649" s="53" t="s">
        <v>4121</v>
      </c>
      <c r="B2649" s="53" t="s">
        <v>4122</v>
      </c>
      <c r="D2649" s="53" t="s">
        <v>4123</v>
      </c>
      <c r="E2649" s="53" t="s">
        <v>4129</v>
      </c>
      <c r="F2649" s="53" t="s">
        <v>4125</v>
      </c>
      <c r="G2649" s="53" t="s">
        <v>4130</v>
      </c>
      <c r="H2649" s="53">
        <v>1.0</v>
      </c>
      <c r="I2649" s="53">
        <v>0.11206896551724138</v>
      </c>
      <c r="J2649" s="53">
        <v>2.0</v>
      </c>
      <c r="K2649" s="53" t="s">
        <v>53</v>
      </c>
      <c r="L2649" s="53" t="s">
        <v>53</v>
      </c>
    </row>
    <row r="2650" ht="15.75" customHeight="1">
      <c r="A2650" s="53" t="s">
        <v>4121</v>
      </c>
      <c r="B2650" s="53" t="s">
        <v>4122</v>
      </c>
      <c r="D2650" s="53" t="s">
        <v>4126</v>
      </c>
      <c r="E2650" s="53" t="s">
        <v>4131</v>
      </c>
      <c r="F2650" s="53" t="s">
        <v>4125</v>
      </c>
      <c r="G2650" s="53" t="s">
        <v>4128</v>
      </c>
      <c r="H2650" s="53">
        <v>1.0</v>
      </c>
      <c r="I2650" s="53">
        <v>0.07272727272727272</v>
      </c>
      <c r="J2650" s="53">
        <v>0.0</v>
      </c>
      <c r="K2650" s="53" t="s">
        <v>53</v>
      </c>
      <c r="L2650" s="53" t="s">
        <v>53</v>
      </c>
    </row>
    <row r="2651" ht="15.75" customHeight="1">
      <c r="A2651" s="53" t="s">
        <v>4121</v>
      </c>
      <c r="B2651" s="53" t="s">
        <v>4122</v>
      </c>
      <c r="D2651" s="53" t="s">
        <v>4126</v>
      </c>
      <c r="E2651" s="53" t="s">
        <v>4132</v>
      </c>
      <c r="F2651" s="53" t="s">
        <v>4125</v>
      </c>
      <c r="G2651" s="53" t="s">
        <v>4130</v>
      </c>
      <c r="H2651" s="53">
        <v>1.0</v>
      </c>
      <c r="I2651" s="53">
        <v>0.1206896551724138</v>
      </c>
      <c r="J2651" s="53">
        <v>1.0</v>
      </c>
      <c r="K2651" s="53" t="s">
        <v>53</v>
      </c>
      <c r="L2651" s="53" t="s">
        <v>53</v>
      </c>
    </row>
    <row r="2652" ht="15.75" customHeight="1">
      <c r="A2652" s="53" t="s">
        <v>4121</v>
      </c>
      <c r="B2652" s="53" t="s">
        <v>4122</v>
      </c>
      <c r="D2652" s="53" t="s">
        <v>4128</v>
      </c>
      <c r="E2652" s="53" t="s">
        <v>4133</v>
      </c>
      <c r="F2652" s="53" t="s">
        <v>4125</v>
      </c>
      <c r="G2652" s="53" t="s">
        <v>4130</v>
      </c>
      <c r="H2652" s="53">
        <v>1.0</v>
      </c>
      <c r="I2652" s="53">
        <v>0.06896551724137931</v>
      </c>
      <c r="J2652" s="53">
        <v>0.0</v>
      </c>
      <c r="K2652" s="53" t="s">
        <v>53</v>
      </c>
      <c r="L2652" s="53" t="s">
        <v>53</v>
      </c>
    </row>
    <row r="2653" ht="15.75" customHeight="1">
      <c r="A2653" s="53" t="s">
        <v>563</v>
      </c>
      <c r="B2653" s="53" t="s">
        <v>709</v>
      </c>
      <c r="C2653" s="53" t="s">
        <v>710</v>
      </c>
      <c r="D2653" s="53" t="s">
        <v>717</v>
      </c>
      <c r="E2653" s="53" t="s">
        <v>4134</v>
      </c>
      <c r="F2653" s="53" t="s">
        <v>715</v>
      </c>
      <c r="G2653" s="53" t="s">
        <v>723</v>
      </c>
      <c r="H2653" s="53">
        <v>1.0</v>
      </c>
      <c r="I2653" s="53">
        <v>0.02127659574468085</v>
      </c>
      <c r="J2653" s="53">
        <v>0.0</v>
      </c>
      <c r="K2653" s="53" t="s">
        <v>4135</v>
      </c>
      <c r="L2653" s="53" t="s">
        <v>53</v>
      </c>
    </row>
    <row r="2654" ht="15.75" customHeight="1">
      <c r="A2654" s="53" t="s">
        <v>563</v>
      </c>
      <c r="B2654" s="53" t="s">
        <v>709</v>
      </c>
      <c r="C2654" s="53" t="s">
        <v>710</v>
      </c>
      <c r="D2654" s="53" t="s">
        <v>4136</v>
      </c>
      <c r="E2654" s="53" t="s">
        <v>4137</v>
      </c>
      <c r="F2654" s="53" t="s">
        <v>4138</v>
      </c>
      <c r="G2654" s="53" t="s">
        <v>4139</v>
      </c>
      <c r="H2654" s="53">
        <v>1.0</v>
      </c>
      <c r="I2654" s="53">
        <v>0.018867924528301886</v>
      </c>
      <c r="J2654" s="53">
        <v>0.0</v>
      </c>
      <c r="K2654" s="53" t="s">
        <v>4135</v>
      </c>
      <c r="L2654" s="53" t="s">
        <v>53</v>
      </c>
    </row>
    <row r="2655" ht="15.75" customHeight="1">
      <c r="A2655" s="53" t="s">
        <v>2616</v>
      </c>
      <c r="B2655" s="53" t="s">
        <v>4140</v>
      </c>
      <c r="C2655" s="53" t="s">
        <v>4141</v>
      </c>
      <c r="D2655" s="53" t="s">
        <v>4142</v>
      </c>
      <c r="E2655" s="53" t="s">
        <v>4143</v>
      </c>
      <c r="F2655" s="53" t="s">
        <v>4144</v>
      </c>
      <c r="G2655" s="53" t="s">
        <v>4145</v>
      </c>
      <c r="H2655" s="53">
        <v>1.0</v>
      </c>
      <c r="I2655" s="53">
        <v>0.4109848484848485</v>
      </c>
      <c r="J2655" s="53">
        <v>0.0</v>
      </c>
      <c r="K2655" s="53" t="s">
        <v>4146</v>
      </c>
      <c r="L2655" s="53" t="s">
        <v>53</v>
      </c>
    </row>
    <row r="2656" ht="15.75" customHeight="1">
      <c r="A2656" s="53" t="s">
        <v>686</v>
      </c>
      <c r="B2656" s="53" t="s">
        <v>4147</v>
      </c>
      <c r="C2656" s="53" t="s">
        <v>4148</v>
      </c>
      <c r="D2656" s="53" t="s">
        <v>4149</v>
      </c>
      <c r="E2656" s="53" t="s">
        <v>4150</v>
      </c>
      <c r="F2656" s="53" t="s">
        <v>4151</v>
      </c>
      <c r="G2656" s="53" t="s">
        <v>4152</v>
      </c>
      <c r="H2656" s="53">
        <v>1.0</v>
      </c>
      <c r="I2656" s="53">
        <v>0.15384615384615385</v>
      </c>
      <c r="J2656" s="53">
        <v>0.0</v>
      </c>
      <c r="K2656" s="53" t="s">
        <v>4153</v>
      </c>
      <c r="L2656" s="53" t="s">
        <v>53</v>
      </c>
    </row>
    <row r="2657" ht="15.75" customHeight="1">
      <c r="A2657" s="53" t="s">
        <v>515</v>
      </c>
      <c r="B2657" s="53" t="s">
        <v>4154</v>
      </c>
      <c r="C2657" s="53" t="s">
        <v>4155</v>
      </c>
      <c r="D2657" s="53" t="s">
        <v>4156</v>
      </c>
      <c r="E2657" s="53" t="s">
        <v>4157</v>
      </c>
      <c r="F2657" s="53" t="s">
        <v>4158</v>
      </c>
      <c r="G2657" s="53" t="s">
        <v>4159</v>
      </c>
      <c r="H2657" s="53">
        <v>0.75</v>
      </c>
      <c r="I2657" s="53">
        <v>0.08679245283018867</v>
      </c>
      <c r="J2657" s="53">
        <v>0.0</v>
      </c>
      <c r="K2657" s="53" t="s">
        <v>4160</v>
      </c>
      <c r="L2657" s="53" t="s">
        <v>4161</v>
      </c>
    </row>
    <row r="2658" ht="15.75" customHeight="1">
      <c r="A2658" s="53" t="s">
        <v>4162</v>
      </c>
      <c r="B2658" s="53" t="s">
        <v>4163</v>
      </c>
      <c r="D2658" s="53" t="s">
        <v>1736</v>
      </c>
      <c r="E2658" s="53" t="s">
        <v>4164</v>
      </c>
      <c r="F2658" s="53" t="s">
        <v>4165</v>
      </c>
      <c r="G2658" s="53" t="s">
        <v>4166</v>
      </c>
      <c r="H2658" s="53">
        <v>1.0</v>
      </c>
      <c r="I2658" s="53">
        <v>0.03225806451612903</v>
      </c>
      <c r="J2658" s="53">
        <v>1.0</v>
      </c>
      <c r="K2658" s="53" t="s">
        <v>53</v>
      </c>
      <c r="L2658" s="53" t="s">
        <v>53</v>
      </c>
    </row>
    <row r="2659" ht="15.75" customHeight="1">
      <c r="A2659" s="53" t="s">
        <v>4162</v>
      </c>
      <c r="B2659" s="53" t="s">
        <v>4163</v>
      </c>
      <c r="D2659" s="53" t="s">
        <v>1736</v>
      </c>
      <c r="E2659" s="53" t="s">
        <v>4167</v>
      </c>
      <c r="F2659" s="53" t="s">
        <v>4165</v>
      </c>
      <c r="G2659" s="53" t="s">
        <v>4168</v>
      </c>
      <c r="H2659" s="53">
        <v>1.0</v>
      </c>
      <c r="I2659" s="53">
        <v>0.12761506276150628</v>
      </c>
      <c r="J2659" s="53">
        <v>0.0</v>
      </c>
      <c r="K2659" s="53" t="s">
        <v>53</v>
      </c>
      <c r="L2659" s="53" t="s">
        <v>53</v>
      </c>
    </row>
    <row r="2660" ht="15.75" customHeight="1">
      <c r="A2660" s="53" t="s">
        <v>4162</v>
      </c>
      <c r="B2660" s="53" t="s">
        <v>4163</v>
      </c>
      <c r="D2660" s="53" t="s">
        <v>1736</v>
      </c>
      <c r="E2660" s="53" t="s">
        <v>4169</v>
      </c>
      <c r="F2660" s="53" t="s">
        <v>4170</v>
      </c>
      <c r="G2660" s="53" t="s">
        <v>4171</v>
      </c>
      <c r="H2660" s="53">
        <v>1.0</v>
      </c>
      <c r="I2660" s="53">
        <v>0.39631336405529954</v>
      </c>
      <c r="J2660" s="53">
        <v>2.0</v>
      </c>
      <c r="K2660" s="53" t="s">
        <v>53</v>
      </c>
      <c r="L2660" s="53" t="s">
        <v>4172</v>
      </c>
    </row>
    <row r="2661" ht="15.75" customHeight="1">
      <c r="A2661" s="53" t="s">
        <v>4162</v>
      </c>
      <c r="B2661" s="53" t="s">
        <v>4163</v>
      </c>
      <c r="D2661" s="53" t="s">
        <v>1736</v>
      </c>
      <c r="E2661" s="53" t="s">
        <v>4173</v>
      </c>
      <c r="F2661" s="53" t="s">
        <v>4165</v>
      </c>
      <c r="G2661" s="53" t="s">
        <v>4174</v>
      </c>
      <c r="H2661" s="53">
        <v>1.0</v>
      </c>
      <c r="I2661" s="53">
        <v>0.4222737819025522</v>
      </c>
      <c r="J2661" s="53">
        <v>4.0</v>
      </c>
      <c r="K2661" s="53" t="s">
        <v>53</v>
      </c>
      <c r="L2661" s="53" t="s">
        <v>53</v>
      </c>
    </row>
    <row r="2662" ht="15.75" customHeight="1">
      <c r="A2662" s="53" t="s">
        <v>4162</v>
      </c>
      <c r="B2662" s="53" t="s">
        <v>4163</v>
      </c>
      <c r="D2662" s="53" t="s">
        <v>4168</v>
      </c>
      <c r="E2662" s="53" t="s">
        <v>4175</v>
      </c>
      <c r="F2662" s="53" t="s">
        <v>4165</v>
      </c>
      <c r="G2662" s="53" t="s">
        <v>4166</v>
      </c>
      <c r="H2662" s="53">
        <v>1.0</v>
      </c>
      <c r="I2662" s="53">
        <v>0.1297071129707113</v>
      </c>
      <c r="J2662" s="53">
        <v>0.0</v>
      </c>
      <c r="K2662" s="53" t="s">
        <v>53</v>
      </c>
      <c r="L2662" s="53" t="s">
        <v>53</v>
      </c>
    </row>
    <row r="2663" ht="15.75" customHeight="1">
      <c r="A2663" s="53" t="s">
        <v>4162</v>
      </c>
      <c r="B2663" s="53" t="s">
        <v>4163</v>
      </c>
      <c r="D2663" s="53" t="s">
        <v>4168</v>
      </c>
      <c r="E2663" s="53" t="s">
        <v>4176</v>
      </c>
      <c r="F2663" s="53" t="s">
        <v>4165</v>
      </c>
      <c r="G2663" s="53" t="s">
        <v>4174</v>
      </c>
      <c r="H2663" s="53">
        <v>1.0</v>
      </c>
      <c r="I2663" s="53">
        <v>0.44142259414225943</v>
      </c>
      <c r="J2663" s="53">
        <v>3.0</v>
      </c>
      <c r="K2663" s="53" t="s">
        <v>53</v>
      </c>
      <c r="L2663" s="53" t="s">
        <v>53</v>
      </c>
    </row>
    <row r="2664" ht="15.75" customHeight="1">
      <c r="A2664" s="53" t="s">
        <v>4162</v>
      </c>
      <c r="B2664" s="53" t="s">
        <v>4163</v>
      </c>
      <c r="D2664" s="53" t="s">
        <v>4168</v>
      </c>
      <c r="E2664" s="53" t="s">
        <v>4177</v>
      </c>
      <c r="F2664" s="53" t="s">
        <v>4170</v>
      </c>
      <c r="G2664" s="53" t="s">
        <v>4171</v>
      </c>
      <c r="H2664" s="53">
        <v>1.0</v>
      </c>
      <c r="I2664" s="53">
        <v>0.4456066945606695</v>
      </c>
      <c r="J2664" s="53">
        <v>1.0</v>
      </c>
      <c r="K2664" s="53" t="s">
        <v>53</v>
      </c>
      <c r="L2664" s="53" t="s">
        <v>4172</v>
      </c>
    </row>
    <row r="2665" ht="15.75" customHeight="1">
      <c r="A2665" s="53" t="s">
        <v>4162</v>
      </c>
      <c r="B2665" s="53" t="s">
        <v>4163</v>
      </c>
      <c r="D2665" s="53" t="s">
        <v>4166</v>
      </c>
      <c r="E2665" s="53" t="s">
        <v>4178</v>
      </c>
      <c r="F2665" s="53" t="s">
        <v>4170</v>
      </c>
      <c r="G2665" s="53" t="s">
        <v>4171</v>
      </c>
      <c r="H2665" s="53">
        <v>1.0</v>
      </c>
      <c r="I2665" s="53">
        <v>0.3986175115207373</v>
      </c>
      <c r="J2665" s="53">
        <v>0.0</v>
      </c>
      <c r="K2665" s="53" t="s">
        <v>53</v>
      </c>
      <c r="L2665" s="53" t="s">
        <v>4172</v>
      </c>
    </row>
    <row r="2666" ht="15.75" customHeight="1">
      <c r="A2666" s="53" t="s">
        <v>4162</v>
      </c>
      <c r="B2666" s="53" t="s">
        <v>4163</v>
      </c>
      <c r="D2666" s="53" t="s">
        <v>4166</v>
      </c>
      <c r="E2666" s="53" t="s">
        <v>4179</v>
      </c>
      <c r="F2666" s="53" t="s">
        <v>4165</v>
      </c>
      <c r="G2666" s="53" t="s">
        <v>4174</v>
      </c>
      <c r="H2666" s="53">
        <v>1.0</v>
      </c>
      <c r="I2666" s="53">
        <v>0.423963133640553</v>
      </c>
      <c r="J2666" s="53">
        <v>2.0</v>
      </c>
      <c r="K2666" s="53" t="s">
        <v>53</v>
      </c>
      <c r="L2666" s="53" t="s">
        <v>53</v>
      </c>
    </row>
    <row r="2667" ht="15.75" customHeight="1">
      <c r="A2667" s="53" t="s">
        <v>4162</v>
      </c>
      <c r="B2667" s="53" t="s">
        <v>4163</v>
      </c>
      <c r="D2667" s="53" t="s">
        <v>4171</v>
      </c>
      <c r="E2667" s="53" t="s">
        <v>4180</v>
      </c>
      <c r="F2667" s="53" t="s">
        <v>4181</v>
      </c>
      <c r="G2667" s="53" t="s">
        <v>4174</v>
      </c>
      <c r="H2667" s="53">
        <v>1.0</v>
      </c>
      <c r="I2667" s="53">
        <v>0.1313364055299539</v>
      </c>
      <c r="J2667" s="53">
        <v>1.0</v>
      </c>
      <c r="K2667" s="53" t="s">
        <v>53</v>
      </c>
      <c r="L2667" s="53" t="s">
        <v>4172</v>
      </c>
    </row>
    <row r="2668" ht="15.75" customHeight="1">
      <c r="A2668" s="53" t="s">
        <v>4162</v>
      </c>
      <c r="B2668" s="53" t="s">
        <v>4163</v>
      </c>
      <c r="D2668" s="53" t="s">
        <v>4182</v>
      </c>
      <c r="E2668" s="53" t="s">
        <v>4183</v>
      </c>
      <c r="F2668" s="53" t="s">
        <v>4184</v>
      </c>
      <c r="G2668" s="53" t="s">
        <v>4185</v>
      </c>
      <c r="H2668" s="53">
        <v>0.3333333333333333</v>
      </c>
      <c r="I2668" s="53">
        <v>0.03389830508474576</v>
      </c>
      <c r="J2668" s="53">
        <v>1.0</v>
      </c>
      <c r="K2668" s="53" t="s">
        <v>53</v>
      </c>
      <c r="L2668" s="53" t="s">
        <v>4186</v>
      </c>
    </row>
    <row r="2669" ht="15.75" customHeight="1">
      <c r="A2669" s="53" t="s">
        <v>4162</v>
      </c>
      <c r="B2669" s="53" t="s">
        <v>4163</v>
      </c>
      <c r="D2669" s="53" t="s">
        <v>4182</v>
      </c>
      <c r="E2669" s="53" t="s">
        <v>4187</v>
      </c>
      <c r="F2669" s="53" t="s">
        <v>4188</v>
      </c>
      <c r="G2669" s="53" t="s">
        <v>4189</v>
      </c>
      <c r="H2669" s="53">
        <v>1.0</v>
      </c>
      <c r="I2669" s="53">
        <v>0.4406779661016949</v>
      </c>
      <c r="J2669" s="53">
        <v>0.0</v>
      </c>
      <c r="K2669" s="53" t="s">
        <v>53</v>
      </c>
      <c r="L2669" s="53" t="s">
        <v>53</v>
      </c>
    </row>
    <row r="2670" ht="15.75" customHeight="1">
      <c r="A2670" s="53" t="s">
        <v>4162</v>
      </c>
      <c r="B2670" s="53" t="s">
        <v>4163</v>
      </c>
      <c r="D2670" s="53" t="s">
        <v>4189</v>
      </c>
      <c r="E2670" s="53" t="s">
        <v>4190</v>
      </c>
      <c r="F2670" s="53" t="s">
        <v>4184</v>
      </c>
      <c r="G2670" s="53" t="s">
        <v>4191</v>
      </c>
      <c r="H2670" s="53">
        <v>0.3333333333333333</v>
      </c>
      <c r="I2670" s="53">
        <v>0.024242424242424242</v>
      </c>
      <c r="J2670" s="53">
        <v>1.0</v>
      </c>
      <c r="K2670" s="53" t="s">
        <v>53</v>
      </c>
      <c r="L2670" s="53" t="s">
        <v>4186</v>
      </c>
    </row>
    <row r="2671" ht="15.75" customHeight="1">
      <c r="A2671" s="53" t="s">
        <v>4162</v>
      </c>
      <c r="B2671" s="53" t="s">
        <v>4163</v>
      </c>
      <c r="D2671" s="53" t="s">
        <v>4185</v>
      </c>
      <c r="E2671" s="53" t="s">
        <v>4192</v>
      </c>
      <c r="F2671" s="53" t="s">
        <v>4193</v>
      </c>
      <c r="G2671" s="53" t="s">
        <v>4191</v>
      </c>
      <c r="H2671" s="53">
        <v>1.0</v>
      </c>
      <c r="I2671" s="53">
        <v>0.4406779661016949</v>
      </c>
      <c r="J2671" s="53">
        <v>0.0</v>
      </c>
      <c r="K2671" s="53" t="s">
        <v>53</v>
      </c>
      <c r="L2671" s="53" t="s">
        <v>53</v>
      </c>
    </row>
    <row r="2672" ht="15.75" customHeight="1">
      <c r="A2672" s="53" t="s">
        <v>352</v>
      </c>
      <c r="B2672" s="53" t="s">
        <v>745</v>
      </c>
      <c r="C2672" s="53" t="s">
        <v>746</v>
      </c>
      <c r="D2672" s="53" t="s">
        <v>4194</v>
      </c>
      <c r="E2672" s="53" t="s">
        <v>4195</v>
      </c>
      <c r="F2672" s="53" t="s">
        <v>4196</v>
      </c>
      <c r="G2672" s="53" t="s">
        <v>4197</v>
      </c>
      <c r="H2672" s="53">
        <v>0.3333333333333333</v>
      </c>
      <c r="I2672" s="53">
        <v>0.04</v>
      </c>
      <c r="J2672" s="53">
        <v>1.0</v>
      </c>
      <c r="K2672" s="53" t="s">
        <v>4198</v>
      </c>
      <c r="L2672" s="53" t="s">
        <v>4199</v>
      </c>
    </row>
    <row r="2673" ht="15.75" customHeight="1">
      <c r="A2673" s="53" t="s">
        <v>352</v>
      </c>
      <c r="B2673" s="53" t="s">
        <v>745</v>
      </c>
      <c r="C2673" s="53" t="s">
        <v>746</v>
      </c>
      <c r="D2673" s="53" t="s">
        <v>4194</v>
      </c>
      <c r="E2673" s="53" t="s">
        <v>4200</v>
      </c>
      <c r="F2673" s="53" t="s">
        <v>4201</v>
      </c>
      <c r="G2673" s="53" t="s">
        <v>4202</v>
      </c>
      <c r="H2673" s="53">
        <v>0.3333333333333333</v>
      </c>
      <c r="I2673" s="53">
        <v>0.04</v>
      </c>
      <c r="J2673" s="53">
        <v>0.0</v>
      </c>
      <c r="K2673" s="53" t="s">
        <v>4198</v>
      </c>
      <c r="L2673" s="53" t="s">
        <v>4203</v>
      </c>
    </row>
    <row r="2674" ht="15.75" customHeight="1">
      <c r="A2674" s="53" t="s">
        <v>352</v>
      </c>
      <c r="B2674" s="53" t="s">
        <v>745</v>
      </c>
      <c r="C2674" s="53" t="s">
        <v>746</v>
      </c>
      <c r="D2674" s="53" t="s">
        <v>4194</v>
      </c>
      <c r="E2674" s="53" t="s">
        <v>4204</v>
      </c>
      <c r="F2674" s="53" t="s">
        <v>4205</v>
      </c>
      <c r="G2674" s="53" t="s">
        <v>4206</v>
      </c>
      <c r="H2674" s="53">
        <v>0.3333333333333333</v>
      </c>
      <c r="I2674" s="53">
        <v>0.06</v>
      </c>
      <c r="J2674" s="53">
        <v>2.0</v>
      </c>
      <c r="K2674" s="53" t="s">
        <v>4198</v>
      </c>
      <c r="L2674" s="53" t="s">
        <v>4207</v>
      </c>
    </row>
    <row r="2675" ht="15.75" customHeight="1">
      <c r="A2675" s="53" t="s">
        <v>352</v>
      </c>
      <c r="B2675" s="53" t="s">
        <v>745</v>
      </c>
      <c r="C2675" s="53" t="s">
        <v>746</v>
      </c>
      <c r="D2675" s="53" t="s">
        <v>4202</v>
      </c>
      <c r="E2675" s="53" t="s">
        <v>4208</v>
      </c>
      <c r="F2675" s="53" t="s">
        <v>4209</v>
      </c>
      <c r="G2675" s="53" t="s">
        <v>4206</v>
      </c>
      <c r="H2675" s="53">
        <v>0.3333333333333333</v>
      </c>
      <c r="I2675" s="53">
        <v>0.06</v>
      </c>
      <c r="J2675" s="53">
        <v>1.0</v>
      </c>
      <c r="K2675" s="53" t="s">
        <v>4198</v>
      </c>
      <c r="L2675" s="53" t="s">
        <v>4210</v>
      </c>
    </row>
    <row r="2676" ht="15.75" customHeight="1">
      <c r="A2676" s="53" t="s">
        <v>352</v>
      </c>
      <c r="B2676" s="53" t="s">
        <v>745</v>
      </c>
      <c r="C2676" s="53" t="s">
        <v>746</v>
      </c>
      <c r="D2676" s="53" t="s">
        <v>4202</v>
      </c>
      <c r="E2676" s="53" t="s">
        <v>4211</v>
      </c>
      <c r="F2676" s="53" t="s">
        <v>4212</v>
      </c>
      <c r="G2676" s="53" t="s">
        <v>4197</v>
      </c>
      <c r="H2676" s="53">
        <v>0.3333333333333333</v>
      </c>
      <c r="I2676" s="53">
        <v>0.06</v>
      </c>
      <c r="J2676" s="53">
        <v>0.0</v>
      </c>
      <c r="K2676" s="53" t="s">
        <v>4198</v>
      </c>
      <c r="L2676" s="53" t="s">
        <v>4213</v>
      </c>
    </row>
    <row r="2677" ht="15.75" customHeight="1">
      <c r="A2677" s="53" t="s">
        <v>352</v>
      </c>
      <c r="B2677" s="53" t="s">
        <v>745</v>
      </c>
      <c r="C2677" s="53" t="s">
        <v>746</v>
      </c>
      <c r="D2677" s="53" t="s">
        <v>4197</v>
      </c>
      <c r="E2677" s="53" t="s">
        <v>4214</v>
      </c>
      <c r="F2677" s="53" t="s">
        <v>4215</v>
      </c>
      <c r="G2677" s="53" t="s">
        <v>4206</v>
      </c>
      <c r="H2677" s="53">
        <v>0.3333333333333333</v>
      </c>
      <c r="I2677" s="53">
        <v>0.06</v>
      </c>
      <c r="J2677" s="53">
        <v>0.0</v>
      </c>
      <c r="K2677" s="53" t="s">
        <v>4198</v>
      </c>
      <c r="L2677" s="53" t="s">
        <v>4216</v>
      </c>
    </row>
    <row r="2678" ht="15.75" customHeight="1">
      <c r="A2678" s="53" t="s">
        <v>352</v>
      </c>
      <c r="B2678" s="53" t="s">
        <v>745</v>
      </c>
      <c r="C2678" s="53" t="s">
        <v>746</v>
      </c>
      <c r="D2678" s="53" t="s">
        <v>753</v>
      </c>
      <c r="E2678" s="53" t="s">
        <v>4217</v>
      </c>
      <c r="F2678" s="53" t="s">
        <v>4218</v>
      </c>
      <c r="G2678" s="53" t="s">
        <v>760</v>
      </c>
      <c r="H2678" s="53">
        <v>0.3333333333333333</v>
      </c>
      <c r="I2678" s="53">
        <v>0.05202312138728324</v>
      </c>
      <c r="J2678" s="53">
        <v>0.0</v>
      </c>
      <c r="K2678" s="53" t="s">
        <v>4198</v>
      </c>
      <c r="L2678" s="53" t="s">
        <v>4038</v>
      </c>
    </row>
    <row r="2679" ht="15.75" customHeight="1">
      <c r="A2679" s="53" t="s">
        <v>352</v>
      </c>
      <c r="B2679" s="53" t="s">
        <v>745</v>
      </c>
      <c r="C2679" s="53" t="s">
        <v>746</v>
      </c>
      <c r="D2679" s="53" t="s">
        <v>4219</v>
      </c>
      <c r="E2679" s="53" t="s">
        <v>4220</v>
      </c>
      <c r="F2679" s="53" t="s">
        <v>4221</v>
      </c>
      <c r="G2679" s="53" t="s">
        <v>4222</v>
      </c>
      <c r="H2679" s="53">
        <v>0.5</v>
      </c>
      <c r="I2679" s="53">
        <v>0.030927835051546393</v>
      </c>
      <c r="J2679" s="53">
        <v>1.0</v>
      </c>
      <c r="K2679" s="53" t="s">
        <v>4198</v>
      </c>
      <c r="L2679" s="53" t="s">
        <v>4199</v>
      </c>
    </row>
    <row r="2680" ht="15.75" customHeight="1">
      <c r="A2680" s="53" t="s">
        <v>352</v>
      </c>
      <c r="B2680" s="53" t="s">
        <v>745</v>
      </c>
      <c r="C2680" s="53" t="s">
        <v>746</v>
      </c>
      <c r="D2680" s="53" t="s">
        <v>4219</v>
      </c>
      <c r="E2680" s="53" t="s">
        <v>4223</v>
      </c>
      <c r="F2680" s="53" t="s">
        <v>4224</v>
      </c>
      <c r="G2680" s="53" t="s">
        <v>4225</v>
      </c>
      <c r="H2680" s="53">
        <v>0.5</v>
      </c>
      <c r="I2680" s="53">
        <v>0.030927835051546393</v>
      </c>
      <c r="J2680" s="53">
        <v>0.0</v>
      </c>
      <c r="K2680" s="53" t="s">
        <v>4198</v>
      </c>
      <c r="L2680" s="53" t="s">
        <v>4203</v>
      </c>
    </row>
    <row r="2681" ht="15.75" customHeight="1">
      <c r="A2681" s="53" t="s">
        <v>352</v>
      </c>
      <c r="B2681" s="53" t="s">
        <v>745</v>
      </c>
      <c r="C2681" s="53" t="s">
        <v>746</v>
      </c>
      <c r="D2681" s="53" t="s">
        <v>4219</v>
      </c>
      <c r="E2681" s="53" t="s">
        <v>4226</v>
      </c>
      <c r="F2681" s="53" t="s">
        <v>4227</v>
      </c>
      <c r="G2681" s="53" t="s">
        <v>4228</v>
      </c>
      <c r="H2681" s="53">
        <v>0.5</v>
      </c>
      <c r="I2681" s="53">
        <v>0.04639175257731959</v>
      </c>
      <c r="J2681" s="53">
        <v>2.0</v>
      </c>
      <c r="K2681" s="53" t="s">
        <v>4198</v>
      </c>
      <c r="L2681" s="53" t="s">
        <v>4207</v>
      </c>
    </row>
    <row r="2682" ht="15.75" customHeight="1">
      <c r="A2682" s="53" t="s">
        <v>352</v>
      </c>
      <c r="B2682" s="53" t="s">
        <v>745</v>
      </c>
      <c r="C2682" s="53" t="s">
        <v>746</v>
      </c>
      <c r="D2682" s="53" t="s">
        <v>4225</v>
      </c>
      <c r="E2682" s="53" t="s">
        <v>4229</v>
      </c>
      <c r="F2682" s="53" t="s">
        <v>4230</v>
      </c>
      <c r="G2682" s="53" t="s">
        <v>4222</v>
      </c>
      <c r="H2682" s="53">
        <v>0.5</v>
      </c>
      <c r="I2682" s="53">
        <v>0.04639175257731959</v>
      </c>
      <c r="J2682" s="53">
        <v>0.0</v>
      </c>
      <c r="K2682" s="53" t="s">
        <v>4198</v>
      </c>
      <c r="L2682" s="53" t="s">
        <v>4213</v>
      </c>
    </row>
    <row r="2683" ht="15.75" customHeight="1">
      <c r="A2683" s="53" t="s">
        <v>352</v>
      </c>
      <c r="B2683" s="53" t="s">
        <v>745</v>
      </c>
      <c r="C2683" s="53" t="s">
        <v>746</v>
      </c>
      <c r="D2683" s="53" t="s">
        <v>4225</v>
      </c>
      <c r="E2683" s="53" t="s">
        <v>4231</v>
      </c>
      <c r="F2683" s="53" t="s">
        <v>4232</v>
      </c>
      <c r="G2683" s="53" t="s">
        <v>4228</v>
      </c>
      <c r="H2683" s="53">
        <v>0.5</v>
      </c>
      <c r="I2683" s="53">
        <v>0.04639175257731959</v>
      </c>
      <c r="J2683" s="53">
        <v>1.0</v>
      </c>
      <c r="K2683" s="53" t="s">
        <v>4198</v>
      </c>
      <c r="L2683" s="53" t="s">
        <v>4210</v>
      </c>
    </row>
    <row r="2684" ht="15.75" customHeight="1">
      <c r="A2684" s="53" t="s">
        <v>352</v>
      </c>
      <c r="B2684" s="53" t="s">
        <v>745</v>
      </c>
      <c r="C2684" s="53" t="s">
        <v>746</v>
      </c>
      <c r="D2684" s="53" t="s">
        <v>4222</v>
      </c>
      <c r="E2684" s="53" t="s">
        <v>4233</v>
      </c>
      <c r="F2684" s="53" t="s">
        <v>4234</v>
      </c>
      <c r="G2684" s="53" t="s">
        <v>4228</v>
      </c>
      <c r="H2684" s="53">
        <v>0.5</v>
      </c>
      <c r="I2684" s="53">
        <v>0.04639175257731959</v>
      </c>
      <c r="J2684" s="53">
        <v>0.0</v>
      </c>
      <c r="K2684" s="53" t="s">
        <v>4198</v>
      </c>
      <c r="L2684" s="53" t="s">
        <v>4216</v>
      </c>
    </row>
    <row r="2685" ht="15.75" customHeight="1">
      <c r="A2685" s="53" t="s">
        <v>989</v>
      </c>
      <c r="B2685" s="53" t="s">
        <v>4235</v>
      </c>
      <c r="D2685" s="53" t="s">
        <v>4236</v>
      </c>
      <c r="E2685" s="53" t="s">
        <v>4237</v>
      </c>
      <c r="F2685" s="53" t="s">
        <v>4238</v>
      </c>
      <c r="G2685" s="53" t="s">
        <v>4239</v>
      </c>
      <c r="H2685" s="53">
        <v>1.0</v>
      </c>
      <c r="I2685" s="53">
        <v>0.16326530612244897</v>
      </c>
      <c r="J2685" s="53">
        <v>0.0</v>
      </c>
      <c r="K2685" s="53" t="s">
        <v>53</v>
      </c>
      <c r="L2685" s="53" t="s">
        <v>53</v>
      </c>
    </row>
    <row r="2686" ht="15.75" customHeight="1">
      <c r="A2686" s="53" t="s">
        <v>1084</v>
      </c>
      <c r="B2686" s="53" t="s">
        <v>4235</v>
      </c>
      <c r="D2686" s="53" t="s">
        <v>4240</v>
      </c>
      <c r="E2686" s="53" t="s">
        <v>4241</v>
      </c>
      <c r="F2686" s="53" t="s">
        <v>4242</v>
      </c>
      <c r="G2686" s="53" t="s">
        <v>4243</v>
      </c>
      <c r="H2686" s="53">
        <v>1.0</v>
      </c>
      <c r="I2686" s="53">
        <v>0.7220338983050848</v>
      </c>
      <c r="J2686" s="53">
        <v>3.0</v>
      </c>
      <c r="K2686" s="53" t="s">
        <v>53</v>
      </c>
      <c r="L2686" s="53" t="s">
        <v>4244</v>
      </c>
    </row>
    <row r="2687" ht="15.75" customHeight="1">
      <c r="A2687" s="53" t="s">
        <v>1002</v>
      </c>
      <c r="B2687" s="53" t="s">
        <v>4235</v>
      </c>
      <c r="D2687" s="53" t="s">
        <v>4245</v>
      </c>
      <c r="E2687" s="53" t="s">
        <v>4246</v>
      </c>
      <c r="F2687" s="53" t="s">
        <v>4247</v>
      </c>
      <c r="G2687" s="53" t="s">
        <v>4248</v>
      </c>
      <c r="H2687" s="53">
        <v>1.0</v>
      </c>
      <c r="I2687" s="53">
        <v>0.6715328467153284</v>
      </c>
      <c r="J2687" s="53">
        <v>3.0</v>
      </c>
      <c r="K2687" s="53" t="s">
        <v>53</v>
      </c>
      <c r="L2687" s="53" t="s">
        <v>1527</v>
      </c>
    </row>
    <row r="2688" ht="15.75" customHeight="1">
      <c r="A2688" s="53" t="s">
        <v>2739</v>
      </c>
      <c r="B2688" s="53" t="s">
        <v>4235</v>
      </c>
      <c r="D2688" s="53" t="s">
        <v>2740</v>
      </c>
      <c r="E2688" s="53" t="s">
        <v>4249</v>
      </c>
      <c r="F2688" s="53" t="s">
        <v>2742</v>
      </c>
      <c r="G2688" s="53" t="s">
        <v>2766</v>
      </c>
      <c r="H2688" s="53">
        <v>1.0</v>
      </c>
      <c r="I2688" s="53">
        <v>0.7777777777777778</v>
      </c>
      <c r="J2688" s="53">
        <v>3.0</v>
      </c>
      <c r="K2688" s="53" t="s">
        <v>53</v>
      </c>
      <c r="L2688" s="53" t="s">
        <v>2744</v>
      </c>
    </row>
    <row r="2689" ht="15.75" customHeight="1">
      <c r="A2689" s="53" t="s">
        <v>2739</v>
      </c>
      <c r="B2689" s="53" t="s">
        <v>4235</v>
      </c>
      <c r="D2689" s="53" t="s">
        <v>2740</v>
      </c>
      <c r="E2689" s="53" t="s">
        <v>4250</v>
      </c>
      <c r="F2689" s="53" t="s">
        <v>2742</v>
      </c>
      <c r="G2689" s="53" t="s">
        <v>2769</v>
      </c>
      <c r="H2689" s="53">
        <v>1.0</v>
      </c>
      <c r="I2689" s="53">
        <v>0.7984496124031008</v>
      </c>
      <c r="J2689" s="53">
        <v>7.0</v>
      </c>
      <c r="K2689" s="53" t="s">
        <v>53</v>
      </c>
      <c r="L2689" s="53" t="s">
        <v>2744</v>
      </c>
    </row>
    <row r="2690" ht="15.75" customHeight="1">
      <c r="A2690" s="53" t="s">
        <v>2739</v>
      </c>
      <c r="B2690" s="53" t="s">
        <v>4235</v>
      </c>
      <c r="D2690" s="53" t="s">
        <v>2740</v>
      </c>
      <c r="E2690" s="53" t="s">
        <v>4251</v>
      </c>
      <c r="F2690" s="53" t="s">
        <v>2742</v>
      </c>
      <c r="G2690" s="53" t="s">
        <v>2743</v>
      </c>
      <c r="H2690" s="53">
        <v>1.0</v>
      </c>
      <c r="I2690" s="53">
        <v>0.813953488372093</v>
      </c>
      <c r="J2690" s="53">
        <v>4.0</v>
      </c>
      <c r="K2690" s="53" t="s">
        <v>53</v>
      </c>
      <c r="L2690" s="53" t="s">
        <v>2744</v>
      </c>
    </row>
    <row r="2691" ht="15.75" customHeight="1">
      <c r="A2691" s="53" t="s">
        <v>2739</v>
      </c>
      <c r="B2691" s="53" t="s">
        <v>4235</v>
      </c>
      <c r="D2691" s="53" t="s">
        <v>2745</v>
      </c>
      <c r="E2691" s="53" t="s">
        <v>4252</v>
      </c>
      <c r="F2691" s="53" t="s">
        <v>4253</v>
      </c>
      <c r="G2691" s="53" t="s">
        <v>2748</v>
      </c>
      <c r="H2691" s="53">
        <v>1.0</v>
      </c>
      <c r="I2691" s="53">
        <v>0.7648578811369509</v>
      </c>
      <c r="J2691" s="53">
        <v>4.0</v>
      </c>
      <c r="K2691" s="53" t="s">
        <v>53</v>
      </c>
      <c r="L2691" s="53" t="s">
        <v>2749</v>
      </c>
    </row>
    <row r="2692" ht="15.75" customHeight="1">
      <c r="A2692" s="53" t="s">
        <v>2739</v>
      </c>
      <c r="B2692" s="53" t="s">
        <v>4235</v>
      </c>
      <c r="D2692" s="53" t="s">
        <v>2766</v>
      </c>
      <c r="E2692" s="53" t="s">
        <v>2767</v>
      </c>
      <c r="F2692" s="53" t="s">
        <v>2768</v>
      </c>
      <c r="G2692" s="53" t="s">
        <v>2769</v>
      </c>
      <c r="H2692" s="53">
        <v>1.0</v>
      </c>
      <c r="I2692" s="53">
        <v>0.6015037593984962</v>
      </c>
      <c r="J2692" s="53">
        <v>3.0</v>
      </c>
      <c r="K2692" s="53" t="s">
        <v>53</v>
      </c>
      <c r="L2692" s="53" t="s">
        <v>53</v>
      </c>
    </row>
    <row r="2693" ht="15.75" customHeight="1">
      <c r="A2693" s="53" t="s">
        <v>2739</v>
      </c>
      <c r="B2693" s="53" t="s">
        <v>4235</v>
      </c>
      <c r="D2693" s="53" t="s">
        <v>2766</v>
      </c>
      <c r="E2693" s="53" t="s">
        <v>4254</v>
      </c>
      <c r="F2693" s="53" t="s">
        <v>2768</v>
      </c>
      <c r="G2693" s="53" t="s">
        <v>2743</v>
      </c>
      <c r="H2693" s="53">
        <v>1.0</v>
      </c>
      <c r="I2693" s="53">
        <v>0.6302521008403361</v>
      </c>
      <c r="J2693" s="53">
        <v>0.0</v>
      </c>
      <c r="K2693" s="53" t="s">
        <v>53</v>
      </c>
      <c r="L2693" s="53" t="s">
        <v>53</v>
      </c>
    </row>
    <row r="2694" ht="15.75" customHeight="1">
      <c r="A2694" s="53" t="s">
        <v>2739</v>
      </c>
      <c r="B2694" s="53" t="s">
        <v>4235</v>
      </c>
      <c r="D2694" s="53" t="s">
        <v>2743</v>
      </c>
      <c r="E2694" s="53" t="s">
        <v>4255</v>
      </c>
      <c r="F2694" s="53" t="s">
        <v>2768</v>
      </c>
      <c r="G2694" s="53" t="s">
        <v>2769</v>
      </c>
      <c r="H2694" s="53">
        <v>1.0</v>
      </c>
      <c r="I2694" s="53">
        <v>0.2631578947368421</v>
      </c>
      <c r="J2694" s="53">
        <v>2.0</v>
      </c>
      <c r="K2694" s="53" t="s">
        <v>53</v>
      </c>
      <c r="L2694" s="53" t="s">
        <v>53</v>
      </c>
    </row>
    <row r="2695" ht="15.75" customHeight="1">
      <c r="A2695" s="53" t="s">
        <v>989</v>
      </c>
      <c r="B2695" s="53" t="s">
        <v>4256</v>
      </c>
      <c r="D2695" s="53" t="s">
        <v>4236</v>
      </c>
      <c r="E2695" s="53" t="s">
        <v>4237</v>
      </c>
      <c r="F2695" s="53" t="s">
        <v>4238</v>
      </c>
      <c r="G2695" s="53" t="s">
        <v>4239</v>
      </c>
      <c r="H2695" s="53">
        <v>1.0</v>
      </c>
      <c r="I2695" s="53">
        <v>0.16326530612244897</v>
      </c>
      <c r="J2695" s="53">
        <v>0.0</v>
      </c>
      <c r="K2695" s="53" t="s">
        <v>53</v>
      </c>
      <c r="L2695" s="53" t="s">
        <v>53</v>
      </c>
    </row>
    <row r="2696" ht="15.75" customHeight="1">
      <c r="A2696" s="53" t="s">
        <v>1084</v>
      </c>
      <c r="B2696" s="53" t="s">
        <v>4256</v>
      </c>
      <c r="D2696" s="53" t="s">
        <v>4240</v>
      </c>
      <c r="E2696" s="53" t="s">
        <v>4241</v>
      </c>
      <c r="F2696" s="53" t="s">
        <v>4242</v>
      </c>
      <c r="G2696" s="53" t="s">
        <v>4243</v>
      </c>
      <c r="H2696" s="53">
        <v>1.0</v>
      </c>
      <c r="I2696" s="53">
        <v>0.7220338983050848</v>
      </c>
      <c r="J2696" s="53">
        <v>3.0</v>
      </c>
      <c r="K2696" s="53" t="s">
        <v>53</v>
      </c>
      <c r="L2696" s="53" t="s">
        <v>4244</v>
      </c>
    </row>
    <row r="2697" ht="15.75" customHeight="1">
      <c r="A2697" s="53" t="s">
        <v>1002</v>
      </c>
      <c r="B2697" s="53" t="s">
        <v>4256</v>
      </c>
      <c r="D2697" s="53" t="s">
        <v>4245</v>
      </c>
      <c r="E2697" s="53" t="s">
        <v>4246</v>
      </c>
      <c r="F2697" s="53" t="s">
        <v>4247</v>
      </c>
      <c r="G2697" s="53" t="s">
        <v>4248</v>
      </c>
      <c r="H2697" s="53">
        <v>1.0</v>
      </c>
      <c r="I2697" s="53">
        <v>0.6715328467153284</v>
      </c>
      <c r="J2697" s="53">
        <v>3.0</v>
      </c>
      <c r="K2697" s="53" t="s">
        <v>53</v>
      </c>
      <c r="L2697" s="53" t="s">
        <v>1527</v>
      </c>
    </row>
    <row r="2698" ht="15.75" customHeight="1">
      <c r="A2698" s="53" t="s">
        <v>2739</v>
      </c>
      <c r="B2698" s="53" t="s">
        <v>4256</v>
      </c>
      <c r="D2698" s="53" t="s">
        <v>2740</v>
      </c>
      <c r="E2698" s="53" t="s">
        <v>4249</v>
      </c>
      <c r="F2698" s="53" t="s">
        <v>2742</v>
      </c>
      <c r="G2698" s="53" t="s">
        <v>2766</v>
      </c>
      <c r="H2698" s="53">
        <v>1.0</v>
      </c>
      <c r="I2698" s="53">
        <v>0.7777777777777778</v>
      </c>
      <c r="J2698" s="53">
        <v>3.0</v>
      </c>
      <c r="K2698" s="53" t="s">
        <v>53</v>
      </c>
      <c r="L2698" s="53" t="s">
        <v>2744</v>
      </c>
    </row>
    <row r="2699" ht="15.75" customHeight="1">
      <c r="A2699" s="53" t="s">
        <v>2739</v>
      </c>
      <c r="B2699" s="53" t="s">
        <v>4256</v>
      </c>
      <c r="D2699" s="53" t="s">
        <v>2740</v>
      </c>
      <c r="E2699" s="53" t="s">
        <v>4250</v>
      </c>
      <c r="F2699" s="53" t="s">
        <v>2742</v>
      </c>
      <c r="G2699" s="53" t="s">
        <v>2769</v>
      </c>
      <c r="H2699" s="53">
        <v>1.0</v>
      </c>
      <c r="I2699" s="53">
        <v>0.7984496124031008</v>
      </c>
      <c r="J2699" s="53">
        <v>7.0</v>
      </c>
      <c r="K2699" s="53" t="s">
        <v>53</v>
      </c>
      <c r="L2699" s="53" t="s">
        <v>2744</v>
      </c>
    </row>
    <row r="2700" ht="15.75" customHeight="1">
      <c r="A2700" s="53" t="s">
        <v>2739</v>
      </c>
      <c r="B2700" s="53" t="s">
        <v>4256</v>
      </c>
      <c r="D2700" s="53" t="s">
        <v>2740</v>
      </c>
      <c r="E2700" s="53" t="s">
        <v>4251</v>
      </c>
      <c r="F2700" s="53" t="s">
        <v>2742</v>
      </c>
      <c r="G2700" s="53" t="s">
        <v>2743</v>
      </c>
      <c r="H2700" s="53">
        <v>1.0</v>
      </c>
      <c r="I2700" s="53">
        <v>0.813953488372093</v>
      </c>
      <c r="J2700" s="53">
        <v>4.0</v>
      </c>
      <c r="K2700" s="53" t="s">
        <v>53</v>
      </c>
      <c r="L2700" s="53" t="s">
        <v>2744</v>
      </c>
    </row>
    <row r="2701" ht="15.75" customHeight="1">
      <c r="A2701" s="53" t="s">
        <v>2739</v>
      </c>
      <c r="B2701" s="53" t="s">
        <v>4256</v>
      </c>
      <c r="D2701" s="53" t="s">
        <v>2745</v>
      </c>
      <c r="E2701" s="53" t="s">
        <v>4252</v>
      </c>
      <c r="F2701" s="53" t="s">
        <v>4253</v>
      </c>
      <c r="G2701" s="53" t="s">
        <v>2748</v>
      </c>
      <c r="H2701" s="53">
        <v>1.0</v>
      </c>
      <c r="I2701" s="53">
        <v>0.7648578811369509</v>
      </c>
      <c r="J2701" s="53">
        <v>4.0</v>
      </c>
      <c r="K2701" s="53" t="s">
        <v>53</v>
      </c>
      <c r="L2701" s="53" t="s">
        <v>2749</v>
      </c>
    </row>
    <row r="2702" ht="15.75" customHeight="1">
      <c r="A2702" s="53" t="s">
        <v>2739</v>
      </c>
      <c r="B2702" s="53" t="s">
        <v>4256</v>
      </c>
      <c r="D2702" s="53" t="s">
        <v>2766</v>
      </c>
      <c r="E2702" s="53" t="s">
        <v>2767</v>
      </c>
      <c r="F2702" s="53" t="s">
        <v>2768</v>
      </c>
      <c r="G2702" s="53" t="s">
        <v>2769</v>
      </c>
      <c r="H2702" s="53">
        <v>1.0</v>
      </c>
      <c r="I2702" s="53">
        <v>0.6015037593984962</v>
      </c>
      <c r="J2702" s="53">
        <v>3.0</v>
      </c>
      <c r="K2702" s="53" t="s">
        <v>53</v>
      </c>
      <c r="L2702" s="53" t="s">
        <v>53</v>
      </c>
    </row>
    <row r="2703" ht="15.75" customHeight="1">
      <c r="A2703" s="53" t="s">
        <v>2739</v>
      </c>
      <c r="B2703" s="53" t="s">
        <v>4256</v>
      </c>
      <c r="D2703" s="53" t="s">
        <v>2766</v>
      </c>
      <c r="E2703" s="53" t="s">
        <v>4254</v>
      </c>
      <c r="F2703" s="53" t="s">
        <v>2768</v>
      </c>
      <c r="G2703" s="53" t="s">
        <v>2743</v>
      </c>
      <c r="H2703" s="53">
        <v>1.0</v>
      </c>
      <c r="I2703" s="53">
        <v>0.6302521008403361</v>
      </c>
      <c r="J2703" s="53">
        <v>0.0</v>
      </c>
      <c r="K2703" s="53" t="s">
        <v>53</v>
      </c>
      <c r="L2703" s="53" t="s">
        <v>53</v>
      </c>
    </row>
    <row r="2704" ht="15.75" customHeight="1">
      <c r="A2704" s="53" t="s">
        <v>2739</v>
      </c>
      <c r="B2704" s="53" t="s">
        <v>4256</v>
      </c>
      <c r="D2704" s="53" t="s">
        <v>2743</v>
      </c>
      <c r="E2704" s="53" t="s">
        <v>4255</v>
      </c>
      <c r="F2704" s="53" t="s">
        <v>2768</v>
      </c>
      <c r="G2704" s="53" t="s">
        <v>2769</v>
      </c>
      <c r="H2704" s="53">
        <v>1.0</v>
      </c>
      <c r="I2704" s="53">
        <v>0.2631578947368421</v>
      </c>
      <c r="J2704" s="53">
        <v>2.0</v>
      </c>
      <c r="K2704" s="53" t="s">
        <v>53</v>
      </c>
      <c r="L2704" s="53" t="s">
        <v>53</v>
      </c>
    </row>
    <row r="2705" ht="15.75" customHeight="1">
      <c r="A2705" s="53" t="s">
        <v>229</v>
      </c>
      <c r="B2705" s="53" t="s">
        <v>4257</v>
      </c>
      <c r="D2705" s="53" t="s">
        <v>1736</v>
      </c>
      <c r="E2705" s="53" t="s">
        <v>4258</v>
      </c>
      <c r="F2705" s="53" t="s">
        <v>2481</v>
      </c>
      <c r="G2705" s="53" t="s">
        <v>1739</v>
      </c>
      <c r="H2705" s="53">
        <v>1.0</v>
      </c>
      <c r="I2705" s="53">
        <v>0.017605633802816902</v>
      </c>
      <c r="J2705" s="53">
        <v>1.0</v>
      </c>
      <c r="K2705" s="53" t="s">
        <v>53</v>
      </c>
      <c r="L2705" s="53" t="s">
        <v>53</v>
      </c>
    </row>
    <row r="2706" ht="15.75" customHeight="1">
      <c r="A2706" s="53" t="s">
        <v>229</v>
      </c>
      <c r="B2706" s="53" t="s">
        <v>4257</v>
      </c>
      <c r="D2706" s="53" t="s">
        <v>1736</v>
      </c>
      <c r="E2706" s="53" t="s">
        <v>4259</v>
      </c>
      <c r="F2706" s="53" t="s">
        <v>2481</v>
      </c>
      <c r="G2706" s="53" t="s">
        <v>232</v>
      </c>
      <c r="H2706" s="53">
        <v>1.0</v>
      </c>
      <c r="I2706" s="53">
        <v>0.041666666666666664</v>
      </c>
      <c r="J2706" s="53">
        <v>0.0</v>
      </c>
      <c r="K2706" s="53" t="s">
        <v>53</v>
      </c>
      <c r="L2706" s="53" t="s">
        <v>53</v>
      </c>
    </row>
    <row r="2707" ht="15.75" customHeight="1">
      <c r="A2707" s="53" t="s">
        <v>229</v>
      </c>
      <c r="B2707" s="53" t="s">
        <v>4257</v>
      </c>
      <c r="D2707" s="53" t="s">
        <v>1736</v>
      </c>
      <c r="E2707" s="53" t="s">
        <v>4260</v>
      </c>
      <c r="F2707" s="53" t="s">
        <v>2481</v>
      </c>
      <c r="G2707" s="53" t="s">
        <v>539</v>
      </c>
      <c r="H2707" s="53">
        <v>1.0</v>
      </c>
      <c r="I2707" s="53">
        <v>0.38162544169611307</v>
      </c>
      <c r="J2707" s="53">
        <v>2.0</v>
      </c>
      <c r="K2707" s="53" t="s">
        <v>53</v>
      </c>
      <c r="L2707" s="53" t="s">
        <v>53</v>
      </c>
    </row>
    <row r="2708" ht="15.75" customHeight="1">
      <c r="A2708" s="53" t="s">
        <v>229</v>
      </c>
      <c r="B2708" s="53" t="s">
        <v>4257</v>
      </c>
      <c r="D2708" s="53" t="s">
        <v>1736</v>
      </c>
      <c r="E2708" s="53" t="s">
        <v>4261</v>
      </c>
      <c r="F2708" s="53" t="s">
        <v>236</v>
      </c>
      <c r="G2708" s="53" t="s">
        <v>175</v>
      </c>
      <c r="H2708" s="53">
        <v>1.0</v>
      </c>
      <c r="I2708" s="53">
        <v>0.459214501510574</v>
      </c>
      <c r="J2708" s="53">
        <v>13.0</v>
      </c>
      <c r="K2708" s="53" t="s">
        <v>53</v>
      </c>
      <c r="L2708" s="53" t="s">
        <v>53</v>
      </c>
    </row>
    <row r="2709" ht="15.75" customHeight="1">
      <c r="A2709" s="53" t="s">
        <v>229</v>
      </c>
      <c r="B2709" s="53" t="s">
        <v>4257</v>
      </c>
      <c r="D2709" s="53" t="s">
        <v>1736</v>
      </c>
      <c r="E2709" s="53" t="s">
        <v>4262</v>
      </c>
      <c r="F2709" s="53" t="s">
        <v>236</v>
      </c>
      <c r="G2709" s="53" t="s">
        <v>238</v>
      </c>
      <c r="H2709" s="53">
        <v>1.0</v>
      </c>
      <c r="I2709" s="53">
        <v>0.4746268656716418</v>
      </c>
      <c r="J2709" s="53">
        <v>15.0</v>
      </c>
      <c r="K2709" s="53" t="s">
        <v>53</v>
      </c>
      <c r="L2709" s="53" t="s">
        <v>53</v>
      </c>
    </row>
    <row r="2710" ht="15.75" customHeight="1">
      <c r="A2710" s="53" t="s">
        <v>229</v>
      </c>
      <c r="B2710" s="53" t="s">
        <v>4257</v>
      </c>
      <c r="D2710" s="53" t="s">
        <v>1736</v>
      </c>
      <c r="E2710" s="53" t="s">
        <v>4263</v>
      </c>
      <c r="F2710" s="53" t="s">
        <v>4264</v>
      </c>
      <c r="G2710" s="53" t="s">
        <v>184</v>
      </c>
      <c r="H2710" s="53">
        <v>1.0</v>
      </c>
      <c r="I2710" s="53">
        <v>0.5</v>
      </c>
      <c r="J2710" s="53">
        <v>14.0</v>
      </c>
      <c r="K2710" s="53" t="s">
        <v>53</v>
      </c>
      <c r="L2710" s="53" t="s">
        <v>53</v>
      </c>
    </row>
    <row r="2711" ht="15.75" customHeight="1">
      <c r="A2711" s="53" t="s">
        <v>229</v>
      </c>
      <c r="B2711" s="53" t="s">
        <v>4257</v>
      </c>
      <c r="D2711" s="53" t="s">
        <v>232</v>
      </c>
      <c r="E2711" s="53" t="s">
        <v>4265</v>
      </c>
      <c r="F2711" s="53" t="s">
        <v>2481</v>
      </c>
      <c r="G2711" s="53" t="s">
        <v>1739</v>
      </c>
      <c r="H2711" s="53">
        <v>1.0</v>
      </c>
      <c r="I2711" s="53">
        <v>0.041666666666666664</v>
      </c>
      <c r="J2711" s="53">
        <v>0.0</v>
      </c>
      <c r="K2711" s="53" t="s">
        <v>53</v>
      </c>
      <c r="L2711" s="53" t="s">
        <v>53</v>
      </c>
    </row>
    <row r="2712" ht="15.75" customHeight="1">
      <c r="A2712" s="53" t="s">
        <v>229</v>
      </c>
      <c r="B2712" s="53" t="s">
        <v>4257</v>
      </c>
      <c r="D2712" s="53" t="s">
        <v>232</v>
      </c>
      <c r="E2712" s="53" t="s">
        <v>4266</v>
      </c>
      <c r="F2712" s="53" t="s">
        <v>2481</v>
      </c>
      <c r="G2712" s="53" t="s">
        <v>539</v>
      </c>
      <c r="H2712" s="53">
        <v>1.0</v>
      </c>
      <c r="I2712" s="53">
        <v>0.3888888888888889</v>
      </c>
      <c r="J2712" s="53">
        <v>1.0</v>
      </c>
      <c r="K2712" s="53" t="s">
        <v>53</v>
      </c>
      <c r="L2712" s="53" t="s">
        <v>53</v>
      </c>
    </row>
    <row r="2713" ht="15.75" customHeight="1">
      <c r="A2713" s="53" t="s">
        <v>229</v>
      </c>
      <c r="B2713" s="53" t="s">
        <v>4257</v>
      </c>
      <c r="D2713" s="53" t="s">
        <v>232</v>
      </c>
      <c r="E2713" s="53" t="s">
        <v>4267</v>
      </c>
      <c r="F2713" s="53" t="s">
        <v>236</v>
      </c>
      <c r="G2713" s="53" t="s">
        <v>175</v>
      </c>
      <c r="H2713" s="53">
        <v>1.0</v>
      </c>
      <c r="I2713" s="53">
        <v>0.4652567975830816</v>
      </c>
      <c r="J2713" s="53">
        <v>12.0</v>
      </c>
      <c r="K2713" s="53" t="s">
        <v>53</v>
      </c>
      <c r="L2713" s="53" t="s">
        <v>53</v>
      </c>
    </row>
    <row r="2714" ht="15.75" customHeight="1">
      <c r="A2714" s="53" t="s">
        <v>229</v>
      </c>
      <c r="B2714" s="53" t="s">
        <v>4257</v>
      </c>
      <c r="D2714" s="53" t="s">
        <v>232</v>
      </c>
      <c r="E2714" s="53" t="s">
        <v>4268</v>
      </c>
      <c r="F2714" s="53" t="s">
        <v>236</v>
      </c>
      <c r="G2714" s="53" t="s">
        <v>238</v>
      </c>
      <c r="H2714" s="53">
        <v>1.0</v>
      </c>
      <c r="I2714" s="53">
        <v>0.47761194029850745</v>
      </c>
      <c r="J2714" s="53">
        <v>14.0</v>
      </c>
      <c r="K2714" s="53" t="s">
        <v>53</v>
      </c>
      <c r="L2714" s="53" t="s">
        <v>53</v>
      </c>
    </row>
    <row r="2715" ht="15.75" customHeight="1">
      <c r="A2715" s="53" t="s">
        <v>229</v>
      </c>
      <c r="B2715" s="53" t="s">
        <v>4257</v>
      </c>
      <c r="D2715" s="53" t="s">
        <v>232</v>
      </c>
      <c r="E2715" s="53" t="s">
        <v>4269</v>
      </c>
      <c r="F2715" s="53" t="s">
        <v>4264</v>
      </c>
      <c r="G2715" s="53" t="s">
        <v>184</v>
      </c>
      <c r="H2715" s="53">
        <v>1.0</v>
      </c>
      <c r="I2715" s="53">
        <v>0.5030120481927711</v>
      </c>
      <c r="J2715" s="53">
        <v>13.0</v>
      </c>
      <c r="K2715" s="53" t="s">
        <v>53</v>
      </c>
      <c r="L2715" s="53" t="s">
        <v>53</v>
      </c>
    </row>
    <row r="2716" ht="15.75" customHeight="1">
      <c r="A2716" s="53" t="s">
        <v>229</v>
      </c>
      <c r="B2716" s="53" t="s">
        <v>4257</v>
      </c>
      <c r="D2716" s="53" t="s">
        <v>1739</v>
      </c>
      <c r="E2716" s="53" t="s">
        <v>4270</v>
      </c>
      <c r="F2716" s="53" t="s">
        <v>2481</v>
      </c>
      <c r="G2716" s="53" t="s">
        <v>539</v>
      </c>
      <c r="H2716" s="53">
        <v>1.0</v>
      </c>
      <c r="I2716" s="53">
        <v>0.38380281690140844</v>
      </c>
      <c r="J2716" s="53">
        <v>0.0</v>
      </c>
      <c r="K2716" s="53" t="s">
        <v>53</v>
      </c>
      <c r="L2716" s="53" t="s">
        <v>53</v>
      </c>
    </row>
    <row r="2717" ht="15.75" customHeight="1">
      <c r="A2717" s="53" t="s">
        <v>229</v>
      </c>
      <c r="B2717" s="53" t="s">
        <v>4257</v>
      </c>
      <c r="D2717" s="53" t="s">
        <v>1739</v>
      </c>
      <c r="E2717" s="53" t="s">
        <v>4271</v>
      </c>
      <c r="F2717" s="53" t="s">
        <v>236</v>
      </c>
      <c r="G2717" s="53" t="s">
        <v>175</v>
      </c>
      <c r="H2717" s="53">
        <v>1.0</v>
      </c>
      <c r="I2717" s="53">
        <v>0.4622356495468278</v>
      </c>
      <c r="J2717" s="53">
        <v>11.0</v>
      </c>
      <c r="K2717" s="53" t="s">
        <v>53</v>
      </c>
      <c r="L2717" s="53" t="s">
        <v>53</v>
      </c>
    </row>
    <row r="2718" ht="15.75" customHeight="1">
      <c r="A2718" s="53" t="s">
        <v>229</v>
      </c>
      <c r="B2718" s="53" t="s">
        <v>4257</v>
      </c>
      <c r="D2718" s="53" t="s">
        <v>1739</v>
      </c>
      <c r="E2718" s="53" t="s">
        <v>4272</v>
      </c>
      <c r="F2718" s="53" t="s">
        <v>236</v>
      </c>
      <c r="G2718" s="53" t="s">
        <v>238</v>
      </c>
      <c r="H2718" s="53">
        <v>1.0</v>
      </c>
      <c r="I2718" s="53">
        <v>0.4746268656716418</v>
      </c>
      <c r="J2718" s="53">
        <v>13.0</v>
      </c>
      <c r="K2718" s="53" t="s">
        <v>53</v>
      </c>
      <c r="L2718" s="53" t="s">
        <v>53</v>
      </c>
    </row>
    <row r="2719" ht="15.75" customHeight="1">
      <c r="A2719" s="53" t="s">
        <v>229</v>
      </c>
      <c r="B2719" s="53" t="s">
        <v>4257</v>
      </c>
      <c r="D2719" s="53" t="s">
        <v>1739</v>
      </c>
      <c r="E2719" s="53" t="s">
        <v>4273</v>
      </c>
      <c r="F2719" s="53" t="s">
        <v>4264</v>
      </c>
      <c r="G2719" s="53" t="s">
        <v>184</v>
      </c>
      <c r="H2719" s="53">
        <v>1.0</v>
      </c>
      <c r="I2719" s="53">
        <v>0.5030120481927711</v>
      </c>
      <c r="J2719" s="53">
        <v>12.0</v>
      </c>
      <c r="K2719" s="53" t="s">
        <v>53</v>
      </c>
      <c r="L2719" s="53" t="s">
        <v>53</v>
      </c>
    </row>
    <row r="2720" ht="15.75" customHeight="1">
      <c r="A2720" s="53" t="s">
        <v>229</v>
      </c>
      <c r="B2720" s="53" t="s">
        <v>4257</v>
      </c>
      <c r="D2720" s="53" t="s">
        <v>539</v>
      </c>
      <c r="E2720" s="53" t="s">
        <v>4274</v>
      </c>
      <c r="F2720" s="53" t="s">
        <v>236</v>
      </c>
      <c r="G2720" s="53" t="s">
        <v>175</v>
      </c>
      <c r="H2720" s="53">
        <v>1.0</v>
      </c>
      <c r="I2720" s="53">
        <v>0.4743202416918429</v>
      </c>
      <c r="J2720" s="53">
        <v>10.0</v>
      </c>
      <c r="K2720" s="53" t="s">
        <v>53</v>
      </c>
      <c r="L2720" s="53" t="s">
        <v>53</v>
      </c>
    </row>
    <row r="2721" ht="15.75" customHeight="1">
      <c r="A2721" s="53" t="s">
        <v>229</v>
      </c>
      <c r="B2721" s="53" t="s">
        <v>4257</v>
      </c>
      <c r="D2721" s="53" t="s">
        <v>539</v>
      </c>
      <c r="E2721" s="53" t="s">
        <v>4275</v>
      </c>
      <c r="F2721" s="53" t="s">
        <v>236</v>
      </c>
      <c r="G2721" s="53" t="s">
        <v>238</v>
      </c>
      <c r="H2721" s="53">
        <v>1.0</v>
      </c>
      <c r="I2721" s="53">
        <v>0.48059701492537316</v>
      </c>
      <c r="J2721" s="53">
        <v>12.0</v>
      </c>
      <c r="K2721" s="53" t="s">
        <v>53</v>
      </c>
      <c r="L2721" s="53" t="s">
        <v>53</v>
      </c>
    </row>
    <row r="2722" ht="15.75" customHeight="1">
      <c r="A2722" s="53" t="s">
        <v>229</v>
      </c>
      <c r="B2722" s="53" t="s">
        <v>4257</v>
      </c>
      <c r="D2722" s="53" t="s">
        <v>539</v>
      </c>
      <c r="E2722" s="53" t="s">
        <v>4276</v>
      </c>
      <c r="F2722" s="53" t="s">
        <v>4264</v>
      </c>
      <c r="G2722" s="53" t="s">
        <v>184</v>
      </c>
      <c r="H2722" s="53">
        <v>1.0</v>
      </c>
      <c r="I2722" s="53">
        <v>0.4879518072289157</v>
      </c>
      <c r="J2722" s="53">
        <v>11.0</v>
      </c>
      <c r="K2722" s="53" t="s">
        <v>53</v>
      </c>
      <c r="L2722" s="53" t="s">
        <v>53</v>
      </c>
    </row>
    <row r="2723" ht="15.75" customHeight="1">
      <c r="A2723" s="53" t="s">
        <v>229</v>
      </c>
      <c r="B2723" s="53" t="s">
        <v>4257</v>
      </c>
      <c r="D2723" s="53" t="s">
        <v>2401</v>
      </c>
      <c r="E2723" s="53" t="s">
        <v>4277</v>
      </c>
      <c r="F2723" s="53" t="s">
        <v>2482</v>
      </c>
      <c r="G2723" s="53" t="s">
        <v>169</v>
      </c>
      <c r="H2723" s="53">
        <v>1.0</v>
      </c>
      <c r="I2723" s="53">
        <v>0.5282485875706214</v>
      </c>
      <c r="J2723" s="53">
        <v>4.0</v>
      </c>
      <c r="K2723" s="53" t="s">
        <v>53</v>
      </c>
      <c r="L2723" s="53" t="s">
        <v>53</v>
      </c>
    </row>
    <row r="2724" ht="15.75" customHeight="1">
      <c r="A2724" s="53" t="s">
        <v>229</v>
      </c>
      <c r="B2724" s="53" t="s">
        <v>4257</v>
      </c>
      <c r="D2724" s="53" t="s">
        <v>242</v>
      </c>
      <c r="E2724" s="53" t="s">
        <v>4278</v>
      </c>
      <c r="F2724" s="53" t="s">
        <v>1026</v>
      </c>
      <c r="G2724" s="53" t="s">
        <v>1022</v>
      </c>
      <c r="H2724" s="53">
        <v>1.0</v>
      </c>
      <c r="I2724" s="53">
        <v>0.21008403361344538</v>
      </c>
      <c r="J2724" s="53">
        <v>2.0</v>
      </c>
      <c r="K2724" s="53" t="s">
        <v>53</v>
      </c>
      <c r="L2724" s="53" t="s">
        <v>53</v>
      </c>
    </row>
    <row r="2725" ht="15.75" customHeight="1">
      <c r="A2725" s="53" t="s">
        <v>229</v>
      </c>
      <c r="B2725" s="53" t="s">
        <v>4257</v>
      </c>
      <c r="D2725" s="53" t="s">
        <v>242</v>
      </c>
      <c r="E2725" s="53" t="s">
        <v>4279</v>
      </c>
      <c r="F2725" s="53" t="s">
        <v>2483</v>
      </c>
      <c r="G2725" s="53" t="s">
        <v>178</v>
      </c>
      <c r="H2725" s="53">
        <v>1.0</v>
      </c>
      <c r="I2725" s="53">
        <v>0.38064516129032255</v>
      </c>
      <c r="J2725" s="53">
        <v>7.0</v>
      </c>
      <c r="K2725" s="53" t="s">
        <v>53</v>
      </c>
      <c r="L2725" s="53" t="s">
        <v>53</v>
      </c>
    </row>
    <row r="2726" ht="15.75" customHeight="1">
      <c r="A2726" s="53" t="s">
        <v>229</v>
      </c>
      <c r="B2726" s="53" t="s">
        <v>4257</v>
      </c>
      <c r="D2726" s="53" t="s">
        <v>242</v>
      </c>
      <c r="E2726" s="53" t="s">
        <v>549</v>
      </c>
      <c r="F2726" s="53" t="s">
        <v>246</v>
      </c>
      <c r="G2726" s="53" t="s">
        <v>248</v>
      </c>
      <c r="H2726" s="53">
        <v>1.0</v>
      </c>
      <c r="I2726" s="53">
        <v>0.40878378378378377</v>
      </c>
      <c r="J2726" s="53">
        <v>11.0</v>
      </c>
      <c r="K2726" s="53" t="s">
        <v>53</v>
      </c>
      <c r="L2726" s="53" t="s">
        <v>53</v>
      </c>
    </row>
    <row r="2727" ht="15.75" customHeight="1">
      <c r="A2727" s="53" t="s">
        <v>229</v>
      </c>
      <c r="B2727" s="53" t="s">
        <v>4257</v>
      </c>
      <c r="D2727" s="53" t="s">
        <v>242</v>
      </c>
      <c r="E2727" s="53" t="s">
        <v>4280</v>
      </c>
      <c r="F2727" s="53" t="s">
        <v>4281</v>
      </c>
      <c r="G2727" s="53" t="s">
        <v>255</v>
      </c>
      <c r="H2727" s="53">
        <v>1.0</v>
      </c>
      <c r="I2727" s="53">
        <v>0.5777777777777777</v>
      </c>
      <c r="J2727" s="53">
        <v>12.0</v>
      </c>
      <c r="K2727" s="53" t="s">
        <v>53</v>
      </c>
      <c r="L2727" s="53" t="s">
        <v>53</v>
      </c>
    </row>
    <row r="2728" ht="15.75" customHeight="1">
      <c r="A2728" s="53" t="s">
        <v>229</v>
      </c>
      <c r="B2728" s="53" t="s">
        <v>4257</v>
      </c>
      <c r="D2728" s="53" t="s">
        <v>242</v>
      </c>
      <c r="E2728" s="53" t="s">
        <v>4282</v>
      </c>
      <c r="F2728" s="53" t="s">
        <v>1026</v>
      </c>
      <c r="G2728" s="53" t="s">
        <v>259</v>
      </c>
      <c r="H2728" s="53">
        <v>1.0</v>
      </c>
      <c r="I2728" s="53">
        <v>0.5991189427312775</v>
      </c>
      <c r="J2728" s="53">
        <v>13.0</v>
      </c>
      <c r="K2728" s="53" t="s">
        <v>53</v>
      </c>
      <c r="L2728" s="53" t="s">
        <v>53</v>
      </c>
    </row>
    <row r="2729" ht="15.75" customHeight="1">
      <c r="A2729" s="53" t="s">
        <v>229</v>
      </c>
      <c r="B2729" s="53" t="s">
        <v>4257</v>
      </c>
      <c r="D2729" s="53" t="s">
        <v>1022</v>
      </c>
      <c r="E2729" s="53" t="s">
        <v>4283</v>
      </c>
      <c r="F2729" s="53" t="s">
        <v>2484</v>
      </c>
      <c r="G2729" s="53" t="s">
        <v>169</v>
      </c>
      <c r="H2729" s="53">
        <v>0.3333333333333333</v>
      </c>
      <c r="I2729" s="53">
        <v>0.01680672268907563</v>
      </c>
      <c r="J2729" s="53">
        <v>0.0</v>
      </c>
      <c r="K2729" s="53" t="s">
        <v>53</v>
      </c>
      <c r="L2729" s="53" t="s">
        <v>1667</v>
      </c>
    </row>
    <row r="2730" ht="15.75" customHeight="1">
      <c r="A2730" s="53" t="s">
        <v>229</v>
      </c>
      <c r="B2730" s="53" t="s">
        <v>4257</v>
      </c>
      <c r="D2730" s="53" t="s">
        <v>1022</v>
      </c>
      <c r="E2730" s="53" t="s">
        <v>4284</v>
      </c>
      <c r="F2730" s="53" t="s">
        <v>246</v>
      </c>
      <c r="G2730" s="53" t="s">
        <v>248</v>
      </c>
      <c r="H2730" s="53">
        <v>1.0</v>
      </c>
      <c r="I2730" s="53">
        <v>0.42567567567567566</v>
      </c>
      <c r="J2730" s="53">
        <v>8.0</v>
      </c>
      <c r="K2730" s="53" t="s">
        <v>53</v>
      </c>
      <c r="L2730" s="53" t="s">
        <v>53</v>
      </c>
    </row>
    <row r="2731" ht="15.75" customHeight="1">
      <c r="A2731" s="53" t="s">
        <v>229</v>
      </c>
      <c r="B2731" s="53" t="s">
        <v>4257</v>
      </c>
      <c r="D2731" s="53" t="s">
        <v>1022</v>
      </c>
      <c r="E2731" s="53" t="s">
        <v>4285</v>
      </c>
      <c r="F2731" s="53" t="s">
        <v>2483</v>
      </c>
      <c r="G2731" s="53" t="s">
        <v>178</v>
      </c>
      <c r="H2731" s="53">
        <v>1.0</v>
      </c>
      <c r="I2731" s="53">
        <v>0.43548387096774194</v>
      </c>
      <c r="J2731" s="53">
        <v>4.0</v>
      </c>
      <c r="K2731" s="53" t="s">
        <v>53</v>
      </c>
      <c r="L2731" s="53" t="s">
        <v>53</v>
      </c>
    </row>
    <row r="2732" ht="15.75" customHeight="1">
      <c r="A2732" s="53" t="s">
        <v>229</v>
      </c>
      <c r="B2732" s="53" t="s">
        <v>4257</v>
      </c>
      <c r="D2732" s="53" t="s">
        <v>1022</v>
      </c>
      <c r="E2732" s="53" t="s">
        <v>4286</v>
      </c>
      <c r="F2732" s="53" t="s">
        <v>4281</v>
      </c>
      <c r="G2732" s="53" t="s">
        <v>255</v>
      </c>
      <c r="H2732" s="53">
        <v>1.0</v>
      </c>
      <c r="I2732" s="53">
        <v>0.5777777777777777</v>
      </c>
      <c r="J2732" s="53">
        <v>9.0</v>
      </c>
      <c r="K2732" s="53" t="s">
        <v>53</v>
      </c>
      <c r="L2732" s="53" t="s">
        <v>53</v>
      </c>
    </row>
    <row r="2733" ht="15.75" customHeight="1">
      <c r="A2733" s="53" t="s">
        <v>229</v>
      </c>
      <c r="B2733" s="53" t="s">
        <v>4257</v>
      </c>
      <c r="D2733" s="53" t="s">
        <v>1022</v>
      </c>
      <c r="E2733" s="53" t="s">
        <v>4287</v>
      </c>
      <c r="F2733" s="53" t="s">
        <v>1026</v>
      </c>
      <c r="G2733" s="53" t="s">
        <v>259</v>
      </c>
      <c r="H2733" s="53">
        <v>1.0</v>
      </c>
      <c r="I2733" s="53">
        <v>0.6008403361344538</v>
      </c>
      <c r="J2733" s="53">
        <v>10.0</v>
      </c>
      <c r="K2733" s="53" t="s">
        <v>53</v>
      </c>
      <c r="L2733" s="53" t="s">
        <v>53</v>
      </c>
    </row>
    <row r="2734" ht="15.75" customHeight="1">
      <c r="A2734" s="53" t="s">
        <v>229</v>
      </c>
      <c r="B2734" s="53" t="s">
        <v>4257</v>
      </c>
      <c r="D2734" s="53" t="s">
        <v>1749</v>
      </c>
      <c r="E2734" s="53" t="s">
        <v>4288</v>
      </c>
      <c r="F2734" s="53" t="s">
        <v>4289</v>
      </c>
      <c r="G2734" s="53" t="s">
        <v>1752</v>
      </c>
      <c r="H2734" s="53">
        <v>0.6666666666666666</v>
      </c>
      <c r="I2734" s="53">
        <v>0.03779527559055118</v>
      </c>
      <c r="J2734" s="53">
        <v>1.0</v>
      </c>
      <c r="K2734" s="53" t="s">
        <v>53</v>
      </c>
      <c r="L2734" s="53" t="s">
        <v>1667</v>
      </c>
    </row>
    <row r="2735" ht="15.75" customHeight="1">
      <c r="A2735" s="53" t="s">
        <v>229</v>
      </c>
      <c r="B2735" s="53" t="s">
        <v>4257</v>
      </c>
      <c r="D2735" s="53" t="s">
        <v>178</v>
      </c>
      <c r="E2735" s="53" t="s">
        <v>4290</v>
      </c>
      <c r="F2735" s="53" t="s">
        <v>4291</v>
      </c>
      <c r="G2735" s="53" t="s">
        <v>248</v>
      </c>
      <c r="H2735" s="53">
        <v>1.0</v>
      </c>
      <c r="I2735" s="53">
        <v>0.5129032258064516</v>
      </c>
      <c r="J2735" s="53">
        <v>3.0</v>
      </c>
      <c r="K2735" s="53" t="s">
        <v>53</v>
      </c>
      <c r="L2735" s="53" t="s">
        <v>53</v>
      </c>
    </row>
    <row r="2736" ht="15.75" customHeight="1">
      <c r="A2736" s="53" t="s">
        <v>229</v>
      </c>
      <c r="B2736" s="53" t="s">
        <v>4257</v>
      </c>
      <c r="D2736" s="53" t="s">
        <v>178</v>
      </c>
      <c r="E2736" s="53" t="s">
        <v>553</v>
      </c>
      <c r="F2736" s="53" t="s">
        <v>253</v>
      </c>
      <c r="G2736" s="53" t="s">
        <v>255</v>
      </c>
      <c r="H2736" s="53">
        <v>1.0</v>
      </c>
      <c r="I2736" s="53">
        <v>0.5444444444444444</v>
      </c>
      <c r="J2736" s="53">
        <v>4.0</v>
      </c>
      <c r="K2736" s="53" t="s">
        <v>53</v>
      </c>
      <c r="L2736" s="53" t="s">
        <v>53</v>
      </c>
    </row>
    <row r="2737" ht="15.75" customHeight="1">
      <c r="A2737" s="53" t="s">
        <v>229</v>
      </c>
      <c r="B2737" s="53" t="s">
        <v>4257</v>
      </c>
      <c r="D2737" s="53" t="s">
        <v>178</v>
      </c>
      <c r="E2737" s="53" t="s">
        <v>556</v>
      </c>
      <c r="F2737" s="53" t="s">
        <v>182</v>
      </c>
      <c r="G2737" s="53" t="s">
        <v>259</v>
      </c>
      <c r="H2737" s="53">
        <v>1.0</v>
      </c>
      <c r="I2737" s="53">
        <v>0.5774193548387097</v>
      </c>
      <c r="J2737" s="53">
        <v>5.0</v>
      </c>
      <c r="K2737" s="53" t="s">
        <v>53</v>
      </c>
      <c r="L2737" s="53" t="s">
        <v>53</v>
      </c>
    </row>
    <row r="2738" ht="15.75" customHeight="1">
      <c r="A2738" s="53" t="s">
        <v>229</v>
      </c>
      <c r="B2738" s="53" t="s">
        <v>4257</v>
      </c>
      <c r="D2738" s="53" t="s">
        <v>175</v>
      </c>
      <c r="E2738" s="53" t="s">
        <v>4292</v>
      </c>
      <c r="F2738" s="53" t="s">
        <v>4293</v>
      </c>
      <c r="G2738" s="53" t="s">
        <v>238</v>
      </c>
      <c r="H2738" s="53">
        <v>1.0</v>
      </c>
      <c r="I2738" s="53">
        <v>0.06865671641791045</v>
      </c>
      <c r="J2738" s="53">
        <v>1.0</v>
      </c>
      <c r="K2738" s="53" t="s">
        <v>53</v>
      </c>
      <c r="L2738" s="53" t="s">
        <v>53</v>
      </c>
    </row>
    <row r="2739" ht="15.75" customHeight="1">
      <c r="A2739" s="53" t="s">
        <v>229</v>
      </c>
      <c r="B2739" s="53" t="s">
        <v>4257</v>
      </c>
      <c r="D2739" s="53" t="s">
        <v>175</v>
      </c>
      <c r="E2739" s="53" t="s">
        <v>4294</v>
      </c>
      <c r="F2739" s="53" t="s">
        <v>4295</v>
      </c>
      <c r="G2739" s="53" t="s">
        <v>184</v>
      </c>
      <c r="H2739" s="53">
        <v>1.0</v>
      </c>
      <c r="I2739" s="53">
        <v>0.12349397590361445</v>
      </c>
      <c r="J2739" s="53">
        <v>0.0</v>
      </c>
      <c r="K2739" s="53" t="s">
        <v>53</v>
      </c>
      <c r="L2739" s="53" t="s">
        <v>53</v>
      </c>
    </row>
    <row r="2740" ht="15.75" customHeight="1">
      <c r="A2740" s="53" t="s">
        <v>229</v>
      </c>
      <c r="B2740" s="53" t="s">
        <v>4257</v>
      </c>
      <c r="D2740" s="53" t="s">
        <v>184</v>
      </c>
      <c r="E2740" s="53" t="s">
        <v>4296</v>
      </c>
      <c r="F2740" s="53" t="s">
        <v>4297</v>
      </c>
      <c r="G2740" s="53" t="s">
        <v>238</v>
      </c>
      <c r="H2740" s="53">
        <v>1.0</v>
      </c>
      <c r="I2740" s="53">
        <v>0.14925373134328357</v>
      </c>
      <c r="J2740" s="53">
        <v>0.0</v>
      </c>
      <c r="K2740" s="53" t="s">
        <v>53</v>
      </c>
      <c r="L2740" s="53" t="s">
        <v>53</v>
      </c>
    </row>
    <row r="2741" ht="15.75" customHeight="1">
      <c r="A2741" s="53" t="s">
        <v>229</v>
      </c>
      <c r="B2741" s="53" t="s">
        <v>4257</v>
      </c>
      <c r="D2741" s="53" t="s">
        <v>248</v>
      </c>
      <c r="E2741" s="53" t="s">
        <v>3935</v>
      </c>
      <c r="F2741" s="53" t="s">
        <v>2637</v>
      </c>
      <c r="G2741" s="53" t="s">
        <v>255</v>
      </c>
      <c r="H2741" s="53">
        <v>1.0</v>
      </c>
      <c r="I2741" s="53">
        <v>0.3688888888888889</v>
      </c>
      <c r="J2741" s="53">
        <v>0.0</v>
      </c>
      <c r="K2741" s="53" t="s">
        <v>53</v>
      </c>
      <c r="L2741" s="53" t="s">
        <v>53</v>
      </c>
    </row>
    <row r="2742" ht="15.75" customHeight="1">
      <c r="A2742" s="53" t="s">
        <v>229</v>
      </c>
      <c r="B2742" s="53" t="s">
        <v>4257</v>
      </c>
      <c r="D2742" s="53" t="s">
        <v>248</v>
      </c>
      <c r="E2742" s="53" t="s">
        <v>3936</v>
      </c>
      <c r="F2742" s="53" t="s">
        <v>2640</v>
      </c>
      <c r="G2742" s="53" t="s">
        <v>259</v>
      </c>
      <c r="H2742" s="53">
        <v>1.0</v>
      </c>
      <c r="I2742" s="53">
        <v>0.5135135135135135</v>
      </c>
      <c r="J2742" s="53">
        <v>1.0</v>
      </c>
      <c r="K2742" s="53" t="s">
        <v>53</v>
      </c>
      <c r="L2742" s="53" t="s">
        <v>53</v>
      </c>
    </row>
    <row r="2743" ht="15.75" customHeight="1">
      <c r="A2743" s="53" t="s">
        <v>229</v>
      </c>
      <c r="B2743" s="53" t="s">
        <v>4257</v>
      </c>
      <c r="D2743" s="53" t="s">
        <v>255</v>
      </c>
      <c r="E2743" s="53" t="s">
        <v>3937</v>
      </c>
      <c r="F2743" s="53" t="s">
        <v>2642</v>
      </c>
      <c r="G2743" s="53" t="s">
        <v>259</v>
      </c>
      <c r="H2743" s="53">
        <v>1.0</v>
      </c>
      <c r="I2743" s="53">
        <v>0.6511111111111111</v>
      </c>
      <c r="J2743" s="53">
        <v>0.0</v>
      </c>
      <c r="K2743" s="53" t="s">
        <v>53</v>
      </c>
      <c r="L2743" s="53" t="s">
        <v>53</v>
      </c>
    </row>
    <row r="2744" ht="15.75" customHeight="1">
      <c r="A2744" s="53" t="s">
        <v>2609</v>
      </c>
      <c r="B2744" s="53" t="s">
        <v>4257</v>
      </c>
      <c r="D2744" s="53" t="s">
        <v>1736</v>
      </c>
      <c r="E2744" s="53" t="s">
        <v>4298</v>
      </c>
      <c r="F2744" s="53" t="s">
        <v>2454</v>
      </c>
      <c r="G2744" s="53" t="s">
        <v>1739</v>
      </c>
      <c r="H2744" s="53">
        <v>1.0</v>
      </c>
      <c r="I2744" s="53">
        <v>0.019762845849802372</v>
      </c>
      <c r="J2744" s="53">
        <v>0.0</v>
      </c>
      <c r="K2744" s="53" t="s">
        <v>53</v>
      </c>
      <c r="L2744" s="53" t="s">
        <v>53</v>
      </c>
    </row>
    <row r="2745" ht="15.75" customHeight="1">
      <c r="A2745" s="53" t="s">
        <v>2609</v>
      </c>
      <c r="B2745" s="53" t="s">
        <v>4257</v>
      </c>
      <c r="D2745" s="53" t="s">
        <v>1736</v>
      </c>
      <c r="E2745" s="53" t="s">
        <v>4299</v>
      </c>
      <c r="F2745" s="53" t="s">
        <v>2454</v>
      </c>
      <c r="G2745" s="53" t="s">
        <v>539</v>
      </c>
      <c r="H2745" s="53">
        <v>1.0</v>
      </c>
      <c r="I2745" s="53">
        <v>0.42857142857142855</v>
      </c>
      <c r="J2745" s="53">
        <v>1.0</v>
      </c>
      <c r="K2745" s="53" t="s">
        <v>53</v>
      </c>
      <c r="L2745" s="53" t="s">
        <v>53</v>
      </c>
    </row>
    <row r="2746" ht="15.75" customHeight="1">
      <c r="A2746" s="53" t="s">
        <v>2609</v>
      </c>
      <c r="B2746" s="53" t="s">
        <v>4257</v>
      </c>
      <c r="D2746" s="53" t="s">
        <v>1739</v>
      </c>
      <c r="E2746" s="53" t="s">
        <v>4300</v>
      </c>
      <c r="F2746" s="53" t="s">
        <v>2454</v>
      </c>
      <c r="G2746" s="53" t="s">
        <v>539</v>
      </c>
      <c r="H2746" s="53">
        <v>1.0</v>
      </c>
      <c r="I2746" s="53">
        <v>0.4308300395256917</v>
      </c>
      <c r="J2746" s="53">
        <v>0.0</v>
      </c>
      <c r="K2746" s="53" t="s">
        <v>53</v>
      </c>
      <c r="L2746" s="53" t="s">
        <v>53</v>
      </c>
    </row>
    <row r="2747" ht="15.75" customHeight="1">
      <c r="A2747" s="53" t="s">
        <v>2609</v>
      </c>
      <c r="B2747" s="53" t="s">
        <v>4257</v>
      </c>
      <c r="D2747" s="53" t="s">
        <v>1022</v>
      </c>
      <c r="E2747" s="53" t="s">
        <v>4301</v>
      </c>
      <c r="F2747" s="53" t="s">
        <v>2455</v>
      </c>
      <c r="G2747" s="53" t="s">
        <v>169</v>
      </c>
      <c r="H2747" s="53">
        <v>0.3333333333333333</v>
      </c>
      <c r="I2747" s="53">
        <v>0.04326923076923077</v>
      </c>
      <c r="J2747" s="53">
        <v>0.0</v>
      </c>
      <c r="K2747" s="53" t="s">
        <v>53</v>
      </c>
      <c r="L2747" s="53" t="s">
        <v>2456</v>
      </c>
    </row>
    <row r="2748" ht="15.75" customHeight="1">
      <c r="A2748" s="53" t="s">
        <v>2609</v>
      </c>
      <c r="B2748" s="53" t="s">
        <v>4257</v>
      </c>
      <c r="D2748" s="53" t="s">
        <v>1749</v>
      </c>
      <c r="E2748" s="53" t="s">
        <v>4302</v>
      </c>
      <c r="F2748" s="53" t="s">
        <v>4303</v>
      </c>
      <c r="G2748" s="53" t="s">
        <v>1752</v>
      </c>
      <c r="H2748" s="53">
        <v>0.5</v>
      </c>
      <c r="I2748" s="53">
        <v>0.09047619047619047</v>
      </c>
      <c r="J2748" s="53">
        <v>1.0</v>
      </c>
      <c r="K2748" s="53" t="s">
        <v>53</v>
      </c>
      <c r="L2748" s="53" t="s">
        <v>2456</v>
      </c>
    </row>
    <row r="2749" ht="15.75" customHeight="1">
      <c r="A2749" s="53" t="s">
        <v>762</v>
      </c>
      <c r="B2749" s="53" t="s">
        <v>4257</v>
      </c>
      <c r="D2749" s="53" t="s">
        <v>1736</v>
      </c>
      <c r="E2749" s="53" t="s">
        <v>4304</v>
      </c>
      <c r="F2749" s="53" t="s">
        <v>2449</v>
      </c>
      <c r="G2749" s="53" t="s">
        <v>539</v>
      </c>
      <c r="H2749" s="53">
        <v>1.0</v>
      </c>
      <c r="I2749" s="53">
        <v>0.42857142857142855</v>
      </c>
      <c r="J2749" s="53">
        <v>0.0</v>
      </c>
      <c r="K2749" s="53" t="s">
        <v>53</v>
      </c>
      <c r="L2749" s="53" t="s">
        <v>53</v>
      </c>
    </row>
    <row r="2750" ht="15.75" customHeight="1">
      <c r="A2750" s="53" t="s">
        <v>762</v>
      </c>
      <c r="B2750" s="53" t="s">
        <v>4257</v>
      </c>
      <c r="D2750" s="53" t="s">
        <v>1022</v>
      </c>
      <c r="E2750" s="53" t="s">
        <v>4305</v>
      </c>
      <c r="F2750" s="53" t="s">
        <v>2450</v>
      </c>
      <c r="G2750" s="53" t="s">
        <v>169</v>
      </c>
      <c r="H2750" s="53">
        <v>0.3333333333333333</v>
      </c>
      <c r="I2750" s="53">
        <v>0.04326923076923077</v>
      </c>
      <c r="J2750" s="53">
        <v>0.0</v>
      </c>
      <c r="K2750" s="53" t="s">
        <v>53</v>
      </c>
      <c r="L2750" s="53" t="s">
        <v>2451</v>
      </c>
    </row>
    <row r="2751" ht="15.75" customHeight="1">
      <c r="A2751" s="53" t="s">
        <v>762</v>
      </c>
      <c r="B2751" s="53" t="s">
        <v>4257</v>
      </c>
      <c r="D2751" s="53" t="s">
        <v>1749</v>
      </c>
      <c r="E2751" s="53" t="s">
        <v>4306</v>
      </c>
      <c r="F2751" s="53" t="s">
        <v>4307</v>
      </c>
      <c r="G2751" s="53" t="s">
        <v>1752</v>
      </c>
      <c r="H2751" s="53">
        <v>0.5</v>
      </c>
      <c r="I2751" s="53">
        <v>0.09047619047619047</v>
      </c>
      <c r="J2751" s="53">
        <v>1.0</v>
      </c>
      <c r="K2751" s="53" t="s">
        <v>53</v>
      </c>
      <c r="L2751" s="53" t="s">
        <v>2451</v>
      </c>
    </row>
    <row r="2752" ht="15.75" customHeight="1">
      <c r="A2752" s="53" t="s">
        <v>2624</v>
      </c>
      <c r="B2752" s="53" t="s">
        <v>4257</v>
      </c>
      <c r="D2752" s="53" t="s">
        <v>1758</v>
      </c>
      <c r="E2752" s="53" t="s">
        <v>4308</v>
      </c>
      <c r="F2752" s="53" t="s">
        <v>2557</v>
      </c>
      <c r="G2752" s="53" t="s">
        <v>232</v>
      </c>
      <c r="H2752" s="53">
        <v>0.8</v>
      </c>
      <c r="I2752" s="53">
        <v>0.6432</v>
      </c>
      <c r="J2752" s="53">
        <v>1.0</v>
      </c>
      <c r="K2752" s="53" t="s">
        <v>53</v>
      </c>
      <c r="L2752" s="53" t="s">
        <v>2558</v>
      </c>
    </row>
    <row r="2753" ht="15.75" customHeight="1">
      <c r="A2753" s="53" t="s">
        <v>2624</v>
      </c>
      <c r="B2753" s="53" t="s">
        <v>4257</v>
      </c>
      <c r="D2753" s="53" t="s">
        <v>1758</v>
      </c>
      <c r="E2753" s="53" t="s">
        <v>4309</v>
      </c>
      <c r="F2753" s="53" t="s">
        <v>2557</v>
      </c>
      <c r="G2753" s="53" t="s">
        <v>1739</v>
      </c>
      <c r="H2753" s="53">
        <v>0.8</v>
      </c>
      <c r="I2753" s="53">
        <v>0.6448</v>
      </c>
      <c r="J2753" s="53">
        <v>2.0</v>
      </c>
      <c r="K2753" s="53" t="s">
        <v>53</v>
      </c>
      <c r="L2753" s="53" t="s">
        <v>2558</v>
      </c>
    </row>
    <row r="2754" ht="15.75" customHeight="1">
      <c r="A2754" s="53" t="s">
        <v>2624</v>
      </c>
      <c r="B2754" s="53" t="s">
        <v>4257</v>
      </c>
      <c r="D2754" s="53" t="s">
        <v>1758</v>
      </c>
      <c r="E2754" s="53" t="s">
        <v>4310</v>
      </c>
      <c r="F2754" s="53" t="s">
        <v>2557</v>
      </c>
      <c r="G2754" s="53" t="s">
        <v>1736</v>
      </c>
      <c r="H2754" s="53">
        <v>0.8</v>
      </c>
      <c r="I2754" s="53">
        <v>0.6464</v>
      </c>
      <c r="J2754" s="53">
        <v>0.0</v>
      </c>
      <c r="K2754" s="53" t="s">
        <v>53</v>
      </c>
      <c r="L2754" s="53" t="s">
        <v>2558</v>
      </c>
    </row>
    <row r="2755" ht="15.75" customHeight="1">
      <c r="A2755" s="53" t="s">
        <v>2624</v>
      </c>
      <c r="B2755" s="53" t="s">
        <v>4257</v>
      </c>
      <c r="D2755" s="53" t="s">
        <v>1758</v>
      </c>
      <c r="E2755" s="53" t="s">
        <v>4311</v>
      </c>
      <c r="F2755" s="53" t="s">
        <v>2557</v>
      </c>
      <c r="G2755" s="53" t="s">
        <v>539</v>
      </c>
      <c r="H2755" s="53">
        <v>0.8</v>
      </c>
      <c r="I2755" s="53">
        <v>0.68</v>
      </c>
      <c r="J2755" s="53">
        <v>3.0</v>
      </c>
      <c r="K2755" s="53" t="s">
        <v>53</v>
      </c>
      <c r="L2755" s="53" t="s">
        <v>2558</v>
      </c>
    </row>
    <row r="2756" ht="15.75" customHeight="1">
      <c r="A2756" s="53" t="s">
        <v>2624</v>
      </c>
      <c r="B2756" s="53" t="s">
        <v>4257</v>
      </c>
      <c r="D2756" s="53" t="s">
        <v>1758</v>
      </c>
      <c r="E2756" s="53" t="s">
        <v>4312</v>
      </c>
      <c r="F2756" s="53" t="s">
        <v>2557</v>
      </c>
      <c r="G2756" s="53" t="s">
        <v>1742</v>
      </c>
      <c r="H2756" s="53">
        <v>0.8</v>
      </c>
      <c r="I2756" s="53">
        <v>0.6832</v>
      </c>
      <c r="J2756" s="53">
        <v>12.0</v>
      </c>
      <c r="K2756" s="53" t="s">
        <v>53</v>
      </c>
      <c r="L2756" s="53" t="s">
        <v>2558</v>
      </c>
    </row>
    <row r="2757" ht="15.75" customHeight="1">
      <c r="A2757" s="53" t="s">
        <v>2624</v>
      </c>
      <c r="B2757" s="53" t="s">
        <v>4257</v>
      </c>
      <c r="D2757" s="53" t="s">
        <v>1736</v>
      </c>
      <c r="E2757" s="53" t="s">
        <v>4313</v>
      </c>
      <c r="F2757" s="53" t="s">
        <v>2559</v>
      </c>
      <c r="G2757" s="53" t="s">
        <v>1739</v>
      </c>
      <c r="H2757" s="53">
        <v>1.0</v>
      </c>
      <c r="I2757" s="53">
        <v>0.017064846416382253</v>
      </c>
      <c r="J2757" s="53">
        <v>1.0</v>
      </c>
      <c r="K2757" s="53" t="s">
        <v>53</v>
      </c>
      <c r="L2757" s="53" t="s">
        <v>53</v>
      </c>
    </row>
    <row r="2758" ht="15.75" customHeight="1">
      <c r="A2758" s="53" t="s">
        <v>2624</v>
      </c>
      <c r="B2758" s="53" t="s">
        <v>4257</v>
      </c>
      <c r="D2758" s="53" t="s">
        <v>1736</v>
      </c>
      <c r="E2758" s="53" t="s">
        <v>4314</v>
      </c>
      <c r="F2758" s="53" t="s">
        <v>2559</v>
      </c>
      <c r="G2758" s="53" t="s">
        <v>232</v>
      </c>
      <c r="H2758" s="53">
        <v>1.0</v>
      </c>
      <c r="I2758" s="53">
        <v>0.04040404040404041</v>
      </c>
      <c r="J2758" s="53">
        <v>0.0</v>
      </c>
      <c r="K2758" s="53" t="s">
        <v>53</v>
      </c>
      <c r="L2758" s="53" t="s">
        <v>53</v>
      </c>
    </row>
    <row r="2759" ht="15.75" customHeight="1">
      <c r="A2759" s="53" t="s">
        <v>2624</v>
      </c>
      <c r="B2759" s="53" t="s">
        <v>4257</v>
      </c>
      <c r="D2759" s="53" t="s">
        <v>1736</v>
      </c>
      <c r="E2759" s="53" t="s">
        <v>4315</v>
      </c>
      <c r="F2759" s="53" t="s">
        <v>2559</v>
      </c>
      <c r="G2759" s="53" t="s">
        <v>539</v>
      </c>
      <c r="H2759" s="53">
        <v>1.0</v>
      </c>
      <c r="I2759" s="53">
        <v>0.3698630136986301</v>
      </c>
      <c r="J2759" s="53">
        <v>2.0</v>
      </c>
      <c r="K2759" s="53" t="s">
        <v>53</v>
      </c>
      <c r="L2759" s="53" t="s">
        <v>53</v>
      </c>
    </row>
    <row r="2760" ht="15.75" customHeight="1">
      <c r="A2760" s="53" t="s">
        <v>2624</v>
      </c>
      <c r="B2760" s="53" t="s">
        <v>4257</v>
      </c>
      <c r="D2760" s="53" t="s">
        <v>1736</v>
      </c>
      <c r="E2760" s="53" t="s">
        <v>4316</v>
      </c>
      <c r="F2760" s="53" t="s">
        <v>2559</v>
      </c>
      <c r="G2760" s="53" t="s">
        <v>1742</v>
      </c>
      <c r="H2760" s="53">
        <v>1.0</v>
      </c>
      <c r="I2760" s="53">
        <v>0.49673202614379086</v>
      </c>
      <c r="J2760" s="53">
        <v>11.0</v>
      </c>
      <c r="K2760" s="53" t="s">
        <v>53</v>
      </c>
      <c r="L2760" s="53" t="s">
        <v>53</v>
      </c>
    </row>
    <row r="2761" ht="15.75" customHeight="1">
      <c r="A2761" s="53" t="s">
        <v>2624</v>
      </c>
      <c r="B2761" s="53" t="s">
        <v>4257</v>
      </c>
      <c r="D2761" s="53" t="s">
        <v>232</v>
      </c>
      <c r="E2761" s="53" t="s">
        <v>4317</v>
      </c>
      <c r="F2761" s="53" t="s">
        <v>2559</v>
      </c>
      <c r="G2761" s="53" t="s">
        <v>1739</v>
      </c>
      <c r="H2761" s="53">
        <v>1.0</v>
      </c>
      <c r="I2761" s="53">
        <v>0.04040404040404041</v>
      </c>
      <c r="J2761" s="53">
        <v>0.0</v>
      </c>
      <c r="K2761" s="53" t="s">
        <v>53</v>
      </c>
      <c r="L2761" s="53" t="s">
        <v>53</v>
      </c>
    </row>
    <row r="2762" ht="15.75" customHeight="1">
      <c r="A2762" s="53" t="s">
        <v>2624</v>
      </c>
      <c r="B2762" s="53" t="s">
        <v>4257</v>
      </c>
      <c r="D2762" s="53" t="s">
        <v>232</v>
      </c>
      <c r="E2762" s="53" t="s">
        <v>4318</v>
      </c>
      <c r="F2762" s="53" t="s">
        <v>2559</v>
      </c>
      <c r="G2762" s="53" t="s">
        <v>539</v>
      </c>
      <c r="H2762" s="53">
        <v>1.0</v>
      </c>
      <c r="I2762" s="53">
        <v>0.3771043771043771</v>
      </c>
      <c r="J2762" s="53">
        <v>1.0</v>
      </c>
      <c r="K2762" s="53" t="s">
        <v>53</v>
      </c>
      <c r="L2762" s="53" t="s">
        <v>53</v>
      </c>
    </row>
    <row r="2763" ht="15.75" customHeight="1">
      <c r="A2763" s="53" t="s">
        <v>2624</v>
      </c>
      <c r="B2763" s="53" t="s">
        <v>4257</v>
      </c>
      <c r="D2763" s="53" t="s">
        <v>232</v>
      </c>
      <c r="E2763" s="53" t="s">
        <v>4319</v>
      </c>
      <c r="F2763" s="53" t="s">
        <v>2559</v>
      </c>
      <c r="G2763" s="53" t="s">
        <v>1742</v>
      </c>
      <c r="H2763" s="53">
        <v>1.0</v>
      </c>
      <c r="I2763" s="53">
        <v>0.5032679738562091</v>
      </c>
      <c r="J2763" s="53">
        <v>10.0</v>
      </c>
      <c r="K2763" s="53" t="s">
        <v>53</v>
      </c>
      <c r="L2763" s="53" t="s">
        <v>53</v>
      </c>
    </row>
    <row r="2764" ht="15.75" customHeight="1">
      <c r="A2764" s="53" t="s">
        <v>2624</v>
      </c>
      <c r="B2764" s="53" t="s">
        <v>4257</v>
      </c>
      <c r="D2764" s="53" t="s">
        <v>1739</v>
      </c>
      <c r="E2764" s="53" t="s">
        <v>4320</v>
      </c>
      <c r="F2764" s="53" t="s">
        <v>2559</v>
      </c>
      <c r="G2764" s="53" t="s">
        <v>539</v>
      </c>
      <c r="H2764" s="53">
        <v>1.0</v>
      </c>
      <c r="I2764" s="53">
        <v>0.3720136518771331</v>
      </c>
      <c r="J2764" s="53">
        <v>0.0</v>
      </c>
      <c r="K2764" s="53" t="s">
        <v>53</v>
      </c>
      <c r="L2764" s="53" t="s">
        <v>53</v>
      </c>
    </row>
    <row r="2765" ht="15.75" customHeight="1">
      <c r="A2765" s="53" t="s">
        <v>2624</v>
      </c>
      <c r="B2765" s="53" t="s">
        <v>4257</v>
      </c>
      <c r="D2765" s="53" t="s">
        <v>1739</v>
      </c>
      <c r="E2765" s="53" t="s">
        <v>4321</v>
      </c>
      <c r="F2765" s="53" t="s">
        <v>2559</v>
      </c>
      <c r="G2765" s="53" t="s">
        <v>1742</v>
      </c>
      <c r="H2765" s="53">
        <v>1.0</v>
      </c>
      <c r="I2765" s="53">
        <v>0.49673202614379086</v>
      </c>
      <c r="J2765" s="53">
        <v>9.0</v>
      </c>
      <c r="K2765" s="53" t="s">
        <v>53</v>
      </c>
      <c r="L2765" s="53" t="s">
        <v>53</v>
      </c>
    </row>
    <row r="2766" ht="15.75" customHeight="1">
      <c r="A2766" s="53" t="s">
        <v>2624</v>
      </c>
      <c r="B2766" s="53" t="s">
        <v>4257</v>
      </c>
      <c r="D2766" s="53" t="s">
        <v>539</v>
      </c>
      <c r="E2766" s="53" t="s">
        <v>4322</v>
      </c>
      <c r="F2766" s="53" t="s">
        <v>2559</v>
      </c>
      <c r="G2766" s="53" t="s">
        <v>1742</v>
      </c>
      <c r="H2766" s="53">
        <v>1.0</v>
      </c>
      <c r="I2766" s="53">
        <v>0.5294117647058824</v>
      </c>
      <c r="J2766" s="53">
        <v>8.0</v>
      </c>
      <c r="K2766" s="53" t="s">
        <v>53</v>
      </c>
      <c r="L2766" s="53" t="s">
        <v>53</v>
      </c>
    </row>
    <row r="2767" ht="15.75" customHeight="1">
      <c r="A2767" s="53" t="s">
        <v>2624</v>
      </c>
      <c r="B2767" s="53" t="s">
        <v>4257</v>
      </c>
      <c r="D2767" s="53" t="s">
        <v>242</v>
      </c>
      <c r="E2767" s="53" t="s">
        <v>4323</v>
      </c>
      <c r="F2767" s="53" t="s">
        <v>2560</v>
      </c>
      <c r="G2767" s="53" t="s">
        <v>178</v>
      </c>
      <c r="H2767" s="53">
        <v>1.0</v>
      </c>
      <c r="I2767" s="53">
        <v>0.375</v>
      </c>
      <c r="J2767" s="53">
        <v>7.0</v>
      </c>
      <c r="K2767" s="53" t="s">
        <v>53</v>
      </c>
      <c r="L2767" s="53" t="s">
        <v>53</v>
      </c>
    </row>
    <row r="2768" ht="15.75" customHeight="1">
      <c r="A2768" s="53" t="s">
        <v>2624</v>
      </c>
      <c r="B2768" s="53" t="s">
        <v>4257</v>
      </c>
      <c r="D2768" s="53" t="s">
        <v>1022</v>
      </c>
      <c r="E2768" s="53" t="s">
        <v>4324</v>
      </c>
      <c r="F2768" s="53" t="s">
        <v>2561</v>
      </c>
      <c r="G2768" s="53" t="s">
        <v>169</v>
      </c>
      <c r="H2768" s="53">
        <v>0.3333333333333333</v>
      </c>
      <c r="I2768" s="53">
        <v>0.018518518518518517</v>
      </c>
      <c r="J2768" s="53">
        <v>0.0</v>
      </c>
      <c r="K2768" s="53" t="s">
        <v>53</v>
      </c>
      <c r="L2768" s="53" t="s">
        <v>2562</v>
      </c>
    </row>
    <row r="2769" ht="15.75" customHeight="1">
      <c r="A2769" s="53" t="s">
        <v>2624</v>
      </c>
      <c r="B2769" s="53" t="s">
        <v>4257</v>
      </c>
      <c r="D2769" s="53" t="s">
        <v>1749</v>
      </c>
      <c r="E2769" s="53" t="s">
        <v>4325</v>
      </c>
      <c r="F2769" s="53" t="s">
        <v>4326</v>
      </c>
      <c r="G2769" s="53" t="s">
        <v>1752</v>
      </c>
      <c r="H2769" s="53">
        <v>0.7142857142857143</v>
      </c>
      <c r="I2769" s="53">
        <v>0.03715170278637771</v>
      </c>
      <c r="J2769" s="53">
        <v>1.0</v>
      </c>
      <c r="K2769" s="53" t="s">
        <v>53</v>
      </c>
      <c r="L2769" s="53" t="s">
        <v>2562</v>
      </c>
    </row>
    <row r="2770" ht="15.75" customHeight="1">
      <c r="A2770" s="53" t="s">
        <v>515</v>
      </c>
      <c r="B2770" s="53" t="s">
        <v>763</v>
      </c>
      <c r="C2770" s="53" t="s">
        <v>4327</v>
      </c>
      <c r="D2770" s="53" t="s">
        <v>4328</v>
      </c>
      <c r="E2770" s="53" t="s">
        <v>4329</v>
      </c>
      <c r="F2770" s="53" t="s">
        <v>4330</v>
      </c>
      <c r="G2770" s="53" t="s">
        <v>4331</v>
      </c>
      <c r="H2770" s="53">
        <v>0.4</v>
      </c>
      <c r="I2770" s="53">
        <v>0.09016393442622951</v>
      </c>
      <c r="J2770" s="53">
        <v>1.0</v>
      </c>
      <c r="K2770" s="53" t="s">
        <v>4332</v>
      </c>
      <c r="L2770" s="53" t="s">
        <v>4333</v>
      </c>
    </row>
    <row r="2771" ht="15.75" customHeight="1">
      <c r="A2771" s="53" t="s">
        <v>515</v>
      </c>
      <c r="B2771" s="53" t="s">
        <v>763</v>
      </c>
      <c r="C2771" s="53" t="s">
        <v>4327</v>
      </c>
      <c r="D2771" s="53" t="s">
        <v>4328</v>
      </c>
      <c r="E2771" s="53" t="s">
        <v>4334</v>
      </c>
      <c r="F2771" s="53" t="s">
        <v>4335</v>
      </c>
      <c r="G2771" s="53" t="s">
        <v>4336</v>
      </c>
      <c r="H2771" s="53">
        <v>1.0</v>
      </c>
      <c r="I2771" s="53">
        <v>0.125</v>
      </c>
      <c r="J2771" s="53">
        <v>0.0</v>
      </c>
      <c r="K2771" s="53" t="s">
        <v>4332</v>
      </c>
      <c r="L2771" s="53" t="s">
        <v>53</v>
      </c>
    </row>
    <row r="2772" ht="15.75" customHeight="1">
      <c r="A2772" s="53" t="s">
        <v>773</v>
      </c>
      <c r="B2772" s="53" t="s">
        <v>4337</v>
      </c>
      <c r="D2772" s="53" t="s">
        <v>4338</v>
      </c>
      <c r="E2772" s="53" t="s">
        <v>4339</v>
      </c>
      <c r="F2772" s="53" t="s">
        <v>4340</v>
      </c>
      <c r="G2772" s="53" t="s">
        <v>4341</v>
      </c>
      <c r="H2772" s="53">
        <v>0.6</v>
      </c>
      <c r="I2772" s="53">
        <v>0.07924528301886792</v>
      </c>
      <c r="J2772" s="53">
        <v>1.0</v>
      </c>
      <c r="K2772" s="53" t="s">
        <v>53</v>
      </c>
      <c r="L2772" s="53" t="s">
        <v>4342</v>
      </c>
    </row>
    <row r="2773" ht="15.75" customHeight="1">
      <c r="A2773" s="53" t="s">
        <v>773</v>
      </c>
      <c r="B2773" s="53" t="s">
        <v>4337</v>
      </c>
      <c r="D2773" s="53" t="s">
        <v>4338</v>
      </c>
      <c r="E2773" s="53" t="s">
        <v>4343</v>
      </c>
      <c r="F2773" s="53" t="s">
        <v>4344</v>
      </c>
      <c r="G2773" s="53" t="s">
        <v>4345</v>
      </c>
      <c r="H2773" s="53">
        <v>0.6</v>
      </c>
      <c r="I2773" s="53">
        <v>0.09056603773584905</v>
      </c>
      <c r="J2773" s="53">
        <v>0.0</v>
      </c>
      <c r="K2773" s="53" t="s">
        <v>53</v>
      </c>
      <c r="L2773" s="53" t="s">
        <v>4346</v>
      </c>
    </row>
    <row r="2774" ht="15.75" customHeight="1">
      <c r="A2774" s="53" t="s">
        <v>773</v>
      </c>
      <c r="B2774" s="53" t="s">
        <v>4337</v>
      </c>
      <c r="D2774" s="53" t="s">
        <v>4345</v>
      </c>
      <c r="E2774" s="53" t="s">
        <v>4347</v>
      </c>
      <c r="F2774" s="53" t="s">
        <v>4348</v>
      </c>
      <c r="G2774" s="53" t="s">
        <v>4341</v>
      </c>
      <c r="H2774" s="53">
        <v>0.6</v>
      </c>
      <c r="I2774" s="53">
        <v>0.0546875</v>
      </c>
      <c r="J2774" s="53">
        <v>0.0</v>
      </c>
      <c r="K2774" s="53" t="s">
        <v>53</v>
      </c>
      <c r="L2774" s="53" t="s">
        <v>4349</v>
      </c>
    </row>
    <row r="2775" ht="15.75" customHeight="1">
      <c r="A2775" s="53" t="s">
        <v>773</v>
      </c>
      <c r="B2775" s="53" t="s">
        <v>4337</v>
      </c>
      <c r="D2775" s="53" t="s">
        <v>4345</v>
      </c>
      <c r="E2775" s="53" t="s">
        <v>4350</v>
      </c>
      <c r="F2775" s="53" t="s">
        <v>4351</v>
      </c>
      <c r="G2775" s="53" t="s">
        <v>4352</v>
      </c>
      <c r="H2775" s="53">
        <v>0.6</v>
      </c>
      <c r="I2775" s="53">
        <v>0.07604562737642585</v>
      </c>
      <c r="J2775" s="53">
        <v>1.0</v>
      </c>
      <c r="K2775" s="53" t="s">
        <v>53</v>
      </c>
      <c r="L2775" s="53" t="s">
        <v>4353</v>
      </c>
    </row>
    <row r="2776" ht="15.75" customHeight="1">
      <c r="A2776" s="53" t="s">
        <v>773</v>
      </c>
      <c r="B2776" s="53" t="s">
        <v>4337</v>
      </c>
      <c r="D2776" s="53" t="s">
        <v>4341</v>
      </c>
      <c r="E2776" s="53" t="s">
        <v>4354</v>
      </c>
      <c r="F2776" s="53" t="s">
        <v>4355</v>
      </c>
      <c r="G2776" s="53" t="s">
        <v>4352</v>
      </c>
      <c r="H2776" s="53">
        <v>0.6</v>
      </c>
      <c r="I2776" s="53">
        <v>0.06844106463878327</v>
      </c>
      <c r="J2776" s="53">
        <v>0.0</v>
      </c>
      <c r="K2776" s="53" t="s">
        <v>53</v>
      </c>
      <c r="L2776" s="53" t="s">
        <v>4356</v>
      </c>
    </row>
    <row r="2777" ht="15.75" customHeight="1">
      <c r="A2777" s="53" t="s">
        <v>773</v>
      </c>
      <c r="B2777" s="53" t="s">
        <v>4337</v>
      </c>
      <c r="D2777" s="53" t="s">
        <v>4357</v>
      </c>
      <c r="E2777" s="53" t="s">
        <v>4358</v>
      </c>
      <c r="F2777" s="53" t="s">
        <v>4359</v>
      </c>
      <c r="G2777" s="53" t="s">
        <v>4360</v>
      </c>
      <c r="H2777" s="53">
        <v>1.0</v>
      </c>
      <c r="I2777" s="53">
        <v>0.2619047619047619</v>
      </c>
      <c r="J2777" s="53">
        <v>1.0</v>
      </c>
      <c r="K2777" s="53" t="s">
        <v>53</v>
      </c>
      <c r="L2777" s="53" t="s">
        <v>53</v>
      </c>
    </row>
    <row r="2778" ht="15.75" customHeight="1">
      <c r="A2778" s="53" t="s">
        <v>773</v>
      </c>
      <c r="B2778" s="53" t="s">
        <v>4337</v>
      </c>
      <c r="D2778" s="53" t="s">
        <v>4361</v>
      </c>
      <c r="E2778" s="53" t="s">
        <v>4362</v>
      </c>
      <c r="F2778" s="53" t="s">
        <v>4363</v>
      </c>
      <c r="G2778" s="53" t="s">
        <v>4364</v>
      </c>
      <c r="H2778" s="53">
        <v>1.0</v>
      </c>
      <c r="I2778" s="53">
        <v>0.2770448548812665</v>
      </c>
      <c r="J2778" s="53">
        <v>1.0</v>
      </c>
      <c r="K2778" s="53" t="s">
        <v>53</v>
      </c>
      <c r="L2778" s="53" t="s">
        <v>53</v>
      </c>
    </row>
    <row r="2779" ht="15.75" customHeight="1">
      <c r="A2779" s="53" t="s">
        <v>4365</v>
      </c>
      <c r="B2779" s="53" t="s">
        <v>4337</v>
      </c>
      <c r="D2779" s="53" t="s">
        <v>4366</v>
      </c>
      <c r="E2779" s="53" t="s">
        <v>4367</v>
      </c>
      <c r="F2779" s="53" t="s">
        <v>4368</v>
      </c>
      <c r="G2779" s="53" t="s">
        <v>4369</v>
      </c>
      <c r="H2779" s="53">
        <v>1.0</v>
      </c>
      <c r="I2779" s="53">
        <v>0.075</v>
      </c>
      <c r="J2779" s="53">
        <v>0.0</v>
      </c>
      <c r="K2779" s="53" t="s">
        <v>53</v>
      </c>
      <c r="L2779" s="53" t="s">
        <v>53</v>
      </c>
    </row>
    <row r="2780" ht="15.75" customHeight="1">
      <c r="A2780" s="53" t="s">
        <v>4365</v>
      </c>
      <c r="B2780" s="53" t="s">
        <v>4337</v>
      </c>
      <c r="D2780" s="53" t="s">
        <v>4370</v>
      </c>
      <c r="E2780" s="53" t="s">
        <v>4371</v>
      </c>
      <c r="F2780" s="53" t="s">
        <v>4372</v>
      </c>
      <c r="G2780" s="53" t="s">
        <v>4373</v>
      </c>
      <c r="H2780" s="53">
        <v>0.0</v>
      </c>
      <c r="I2780" s="53">
        <v>0.0784313725490196</v>
      </c>
      <c r="J2780" s="53">
        <v>3.0</v>
      </c>
      <c r="K2780" s="53" t="s">
        <v>53</v>
      </c>
      <c r="L2780" s="53" t="s">
        <v>4374</v>
      </c>
    </row>
    <row r="2781" ht="15.75" customHeight="1">
      <c r="A2781" s="53" t="s">
        <v>4365</v>
      </c>
      <c r="B2781" s="53" t="s">
        <v>4337</v>
      </c>
      <c r="D2781" s="53" t="s">
        <v>4375</v>
      </c>
      <c r="E2781" s="53" t="s">
        <v>4376</v>
      </c>
      <c r="F2781" s="53" t="s">
        <v>4377</v>
      </c>
      <c r="G2781" s="53" t="s">
        <v>4378</v>
      </c>
      <c r="H2781" s="53">
        <v>0.3333333333333333</v>
      </c>
      <c r="I2781" s="53">
        <v>0.06153846153846154</v>
      </c>
      <c r="J2781" s="53">
        <v>3.0</v>
      </c>
      <c r="K2781" s="53" t="s">
        <v>53</v>
      </c>
      <c r="L2781" s="53" t="s">
        <v>4379</v>
      </c>
    </row>
    <row r="2782" ht="15.75" customHeight="1">
      <c r="A2782" s="53" t="s">
        <v>4365</v>
      </c>
      <c r="B2782" s="53" t="s">
        <v>4337</v>
      </c>
      <c r="D2782" s="53" t="s">
        <v>4380</v>
      </c>
      <c r="E2782" s="53" t="s">
        <v>4381</v>
      </c>
      <c r="F2782" s="53" t="s">
        <v>4382</v>
      </c>
      <c r="G2782" s="53" t="s">
        <v>4383</v>
      </c>
      <c r="H2782" s="53">
        <v>1.0</v>
      </c>
      <c r="I2782" s="53">
        <v>0.07407407407407407</v>
      </c>
      <c r="J2782" s="53">
        <v>0.0</v>
      </c>
      <c r="K2782" s="53" t="s">
        <v>53</v>
      </c>
      <c r="L2782" s="53" t="s">
        <v>53</v>
      </c>
    </row>
    <row r="2783" ht="15.75" customHeight="1">
      <c r="A2783" s="53" t="s">
        <v>773</v>
      </c>
      <c r="B2783" s="53" t="s">
        <v>4384</v>
      </c>
      <c r="C2783" s="53" t="s">
        <v>4385</v>
      </c>
      <c r="D2783" s="53" t="s">
        <v>4386</v>
      </c>
      <c r="E2783" s="53" t="s">
        <v>4387</v>
      </c>
      <c r="F2783" s="53" t="s">
        <v>4388</v>
      </c>
      <c r="G2783" s="53" t="s">
        <v>4389</v>
      </c>
      <c r="H2783" s="53">
        <v>0.7142857142857143</v>
      </c>
      <c r="I2783" s="53">
        <v>0.09282700421940929</v>
      </c>
      <c r="J2783" s="53">
        <v>0.0</v>
      </c>
      <c r="K2783" s="53" t="s">
        <v>53</v>
      </c>
      <c r="L2783" s="53" t="s">
        <v>4390</v>
      </c>
    </row>
    <row r="2784" ht="15.75" customHeight="1">
      <c r="A2784" s="53" t="s">
        <v>773</v>
      </c>
      <c r="B2784" s="53" t="s">
        <v>4384</v>
      </c>
      <c r="C2784" s="53" t="s">
        <v>4385</v>
      </c>
      <c r="D2784" s="53" t="s">
        <v>4386</v>
      </c>
      <c r="E2784" s="53" t="s">
        <v>4391</v>
      </c>
      <c r="F2784" s="53" t="s">
        <v>4392</v>
      </c>
      <c r="G2784" s="53" t="s">
        <v>4393</v>
      </c>
      <c r="H2784" s="53">
        <v>1.0</v>
      </c>
      <c r="I2784" s="53">
        <v>0.18625277161862527</v>
      </c>
      <c r="J2784" s="53">
        <v>1.0</v>
      </c>
      <c r="K2784" s="53" t="s">
        <v>53</v>
      </c>
      <c r="L2784" s="53" t="s">
        <v>53</v>
      </c>
    </row>
    <row r="2785" ht="15.75" customHeight="1">
      <c r="A2785" s="53" t="s">
        <v>773</v>
      </c>
      <c r="B2785" s="53" t="s">
        <v>4384</v>
      </c>
      <c r="C2785" s="53" t="s">
        <v>4385</v>
      </c>
      <c r="D2785" s="53" t="s">
        <v>4389</v>
      </c>
      <c r="E2785" s="53" t="s">
        <v>4394</v>
      </c>
      <c r="F2785" s="53" t="s">
        <v>4395</v>
      </c>
      <c r="G2785" s="53" t="s">
        <v>4396</v>
      </c>
      <c r="H2785" s="53">
        <v>1.0</v>
      </c>
      <c r="I2785" s="53">
        <v>0.17721518987341772</v>
      </c>
      <c r="J2785" s="53">
        <v>1.0</v>
      </c>
      <c r="K2785" s="53" t="s">
        <v>53</v>
      </c>
      <c r="L2785" s="53" t="s">
        <v>53</v>
      </c>
    </row>
    <row r="2786" ht="15.75" customHeight="1">
      <c r="A2786" s="53" t="s">
        <v>773</v>
      </c>
      <c r="B2786" s="53" t="s">
        <v>4384</v>
      </c>
      <c r="C2786" s="53" t="s">
        <v>4385</v>
      </c>
      <c r="D2786" s="53" t="s">
        <v>4393</v>
      </c>
      <c r="E2786" s="53" t="s">
        <v>4397</v>
      </c>
      <c r="F2786" s="53" t="s">
        <v>4398</v>
      </c>
      <c r="G2786" s="53" t="s">
        <v>4396</v>
      </c>
      <c r="H2786" s="53">
        <v>0.7142857142857143</v>
      </c>
      <c r="I2786" s="53">
        <v>0.11282051282051282</v>
      </c>
      <c r="J2786" s="53">
        <v>0.0</v>
      </c>
      <c r="K2786" s="53" t="s">
        <v>53</v>
      </c>
      <c r="L2786" s="53" t="s">
        <v>4390</v>
      </c>
    </row>
    <row r="2787" ht="15.75" customHeight="1">
      <c r="A2787" s="53" t="s">
        <v>773</v>
      </c>
      <c r="B2787" s="53" t="s">
        <v>4384</v>
      </c>
      <c r="C2787" s="53" t="s">
        <v>4385</v>
      </c>
      <c r="D2787" s="53" t="s">
        <v>4399</v>
      </c>
      <c r="E2787" s="53" t="s">
        <v>4400</v>
      </c>
      <c r="F2787" s="53" t="s">
        <v>4401</v>
      </c>
      <c r="G2787" s="53" t="s">
        <v>4402</v>
      </c>
      <c r="H2787" s="53">
        <v>1.0</v>
      </c>
      <c r="I2787" s="53">
        <v>0.10434782608695652</v>
      </c>
      <c r="J2787" s="53">
        <v>0.0</v>
      </c>
      <c r="K2787" s="53" t="s">
        <v>53</v>
      </c>
      <c r="L2787" s="53" t="s">
        <v>53</v>
      </c>
    </row>
    <row r="2788" ht="15.75" customHeight="1">
      <c r="A2788" s="53" t="s">
        <v>773</v>
      </c>
      <c r="B2788" s="53" t="s">
        <v>4384</v>
      </c>
      <c r="C2788" s="53" t="s">
        <v>4385</v>
      </c>
      <c r="D2788" s="53" t="s">
        <v>4399</v>
      </c>
      <c r="E2788" s="53" t="s">
        <v>4403</v>
      </c>
      <c r="F2788" s="53" t="s">
        <v>4404</v>
      </c>
      <c r="G2788" s="53" t="s">
        <v>4405</v>
      </c>
      <c r="H2788" s="53">
        <v>1.0</v>
      </c>
      <c r="I2788" s="53">
        <v>0.2376599634369287</v>
      </c>
      <c r="J2788" s="53">
        <v>1.0</v>
      </c>
      <c r="K2788" s="53" t="s">
        <v>53</v>
      </c>
      <c r="L2788" s="53" t="s">
        <v>4406</v>
      </c>
    </row>
    <row r="2789" ht="15.75" customHeight="1">
      <c r="A2789" s="53" t="s">
        <v>773</v>
      </c>
      <c r="B2789" s="53" t="s">
        <v>4384</v>
      </c>
      <c r="C2789" s="53" t="s">
        <v>4385</v>
      </c>
      <c r="D2789" s="53" t="s">
        <v>4402</v>
      </c>
      <c r="E2789" s="53" t="s">
        <v>4407</v>
      </c>
      <c r="F2789" s="53" t="s">
        <v>4404</v>
      </c>
      <c r="G2789" s="53" t="s">
        <v>4405</v>
      </c>
      <c r="H2789" s="53">
        <v>1.0</v>
      </c>
      <c r="I2789" s="53">
        <v>0.20347826086956522</v>
      </c>
      <c r="J2789" s="53">
        <v>0.0</v>
      </c>
      <c r="K2789" s="53" t="s">
        <v>53</v>
      </c>
      <c r="L2789" s="53" t="s">
        <v>4406</v>
      </c>
    </row>
    <row r="2790" ht="15.75" customHeight="1">
      <c r="A2790" s="53" t="s">
        <v>773</v>
      </c>
      <c r="B2790" s="53" t="s">
        <v>4384</v>
      </c>
      <c r="C2790" s="53" t="s">
        <v>4385</v>
      </c>
      <c r="D2790" s="53" t="s">
        <v>4370</v>
      </c>
      <c r="E2790" s="53" t="s">
        <v>4408</v>
      </c>
      <c r="F2790" s="53" t="s">
        <v>4409</v>
      </c>
      <c r="G2790" s="53" t="s">
        <v>4410</v>
      </c>
      <c r="H2790" s="53">
        <v>0.7142857142857143</v>
      </c>
      <c r="I2790" s="53">
        <v>0.029914529914529916</v>
      </c>
      <c r="J2790" s="53">
        <v>7.0</v>
      </c>
      <c r="K2790" s="53" t="s">
        <v>53</v>
      </c>
      <c r="L2790" s="53" t="s">
        <v>4411</v>
      </c>
    </row>
    <row r="2791" ht="15.75" customHeight="1">
      <c r="A2791" s="53" t="s">
        <v>773</v>
      </c>
      <c r="B2791" s="53" t="s">
        <v>774</v>
      </c>
      <c r="C2791" s="53" t="s">
        <v>775</v>
      </c>
      <c r="D2791" s="53" t="s">
        <v>4412</v>
      </c>
      <c r="E2791" s="53" t="s">
        <v>4413</v>
      </c>
      <c r="F2791" s="53" t="s">
        <v>4414</v>
      </c>
      <c r="G2791" s="53" t="s">
        <v>4415</v>
      </c>
      <c r="H2791" s="53">
        <v>0.0</v>
      </c>
      <c r="I2791" s="53">
        <v>0.0867992766726944</v>
      </c>
      <c r="J2791" s="53">
        <v>2.0</v>
      </c>
      <c r="K2791" s="53" t="s">
        <v>4416</v>
      </c>
      <c r="L2791" s="53" t="s">
        <v>4417</v>
      </c>
    </row>
    <row r="2792" ht="15.75" customHeight="1">
      <c r="A2792" s="53" t="s">
        <v>773</v>
      </c>
      <c r="B2792" s="53" t="s">
        <v>774</v>
      </c>
      <c r="C2792" s="53" t="s">
        <v>775</v>
      </c>
      <c r="D2792" s="53" t="s">
        <v>4418</v>
      </c>
      <c r="E2792" s="53" t="s">
        <v>4419</v>
      </c>
      <c r="F2792" s="53" t="s">
        <v>4420</v>
      </c>
      <c r="G2792" s="53" t="s">
        <v>4415</v>
      </c>
      <c r="H2792" s="53">
        <v>1.0</v>
      </c>
      <c r="I2792" s="53">
        <v>0.6745886654478976</v>
      </c>
      <c r="J2792" s="53">
        <v>0.0</v>
      </c>
      <c r="K2792" s="53" t="s">
        <v>4416</v>
      </c>
      <c r="L2792" s="53" t="s">
        <v>4421</v>
      </c>
    </row>
    <row r="2793" ht="15.75" customHeight="1">
      <c r="A2793" s="53" t="s">
        <v>808</v>
      </c>
      <c r="B2793" s="53" t="s">
        <v>809</v>
      </c>
      <c r="C2793" s="53" t="s">
        <v>810</v>
      </c>
      <c r="D2793" s="53" t="s">
        <v>815</v>
      </c>
      <c r="E2793" s="53" t="s">
        <v>4422</v>
      </c>
      <c r="F2793" s="53" t="s">
        <v>73</v>
      </c>
      <c r="G2793" s="53" t="s">
        <v>820</v>
      </c>
      <c r="H2793" s="53">
        <v>1.0</v>
      </c>
      <c r="I2793" s="53">
        <v>0.010309278350515464</v>
      </c>
      <c r="J2793" s="53">
        <v>0.0</v>
      </c>
      <c r="K2793" s="53" t="s">
        <v>4423</v>
      </c>
      <c r="L2793" s="53" t="s">
        <v>53</v>
      </c>
    </row>
    <row r="2794" ht="15.75" customHeight="1">
      <c r="A2794" s="53" t="s">
        <v>515</v>
      </c>
      <c r="B2794" s="53" t="s">
        <v>809</v>
      </c>
      <c r="C2794" s="53" t="s">
        <v>810</v>
      </c>
      <c r="D2794" s="53" t="s">
        <v>4424</v>
      </c>
      <c r="E2794" s="53" t="s">
        <v>4425</v>
      </c>
      <c r="F2794" s="53" t="s">
        <v>73</v>
      </c>
      <c r="G2794" s="53" t="s">
        <v>871</v>
      </c>
      <c r="H2794" s="53">
        <v>1.0</v>
      </c>
      <c r="I2794" s="53">
        <v>0.010309278350515464</v>
      </c>
      <c r="J2794" s="53">
        <v>0.0</v>
      </c>
      <c r="K2794" s="53" t="s">
        <v>4426</v>
      </c>
      <c r="L2794" s="53" t="s">
        <v>53</v>
      </c>
    </row>
    <row r="2795" ht="15.75" customHeight="1">
      <c r="A2795" s="53" t="s">
        <v>515</v>
      </c>
      <c r="B2795" s="53" t="s">
        <v>809</v>
      </c>
      <c r="C2795" s="53" t="s">
        <v>810</v>
      </c>
      <c r="D2795" s="53" t="s">
        <v>4424</v>
      </c>
      <c r="E2795" s="53" t="s">
        <v>4427</v>
      </c>
      <c r="F2795" s="53" t="s">
        <v>73</v>
      </c>
      <c r="G2795" s="53" t="s">
        <v>4428</v>
      </c>
      <c r="H2795" s="53">
        <v>1.0</v>
      </c>
      <c r="I2795" s="53">
        <v>0.010309278350515464</v>
      </c>
      <c r="J2795" s="53">
        <v>1.0</v>
      </c>
      <c r="K2795" s="53" t="s">
        <v>4426</v>
      </c>
      <c r="L2795" s="53" t="s">
        <v>53</v>
      </c>
    </row>
    <row r="2796" ht="15.75" customHeight="1">
      <c r="A2796" s="53" t="s">
        <v>515</v>
      </c>
      <c r="B2796" s="53" t="s">
        <v>809</v>
      </c>
      <c r="C2796" s="53" t="s">
        <v>810</v>
      </c>
      <c r="D2796" s="53" t="s">
        <v>4424</v>
      </c>
      <c r="E2796" s="53" t="s">
        <v>4429</v>
      </c>
      <c r="F2796" s="53" t="s">
        <v>73</v>
      </c>
      <c r="G2796" s="53" t="s">
        <v>4430</v>
      </c>
      <c r="H2796" s="53">
        <v>1.0</v>
      </c>
      <c r="I2796" s="53">
        <v>0.010309278350515464</v>
      </c>
      <c r="J2796" s="53">
        <v>3.0</v>
      </c>
      <c r="K2796" s="53" t="s">
        <v>4426</v>
      </c>
      <c r="L2796" s="53" t="s">
        <v>53</v>
      </c>
    </row>
    <row r="2797" ht="15.75" customHeight="1">
      <c r="A2797" s="53" t="s">
        <v>515</v>
      </c>
      <c r="B2797" s="53" t="s">
        <v>809</v>
      </c>
      <c r="C2797" s="53" t="s">
        <v>810</v>
      </c>
      <c r="D2797" s="53" t="s">
        <v>4424</v>
      </c>
      <c r="E2797" s="53" t="s">
        <v>4431</v>
      </c>
      <c r="F2797" s="53" t="s">
        <v>73</v>
      </c>
      <c r="G2797" s="53" t="s">
        <v>4432</v>
      </c>
      <c r="H2797" s="53">
        <v>1.0</v>
      </c>
      <c r="I2797" s="53">
        <v>0.020618556701030927</v>
      </c>
      <c r="J2797" s="53">
        <v>2.0</v>
      </c>
      <c r="K2797" s="53" t="s">
        <v>4426</v>
      </c>
      <c r="L2797" s="53" t="s">
        <v>53</v>
      </c>
    </row>
    <row r="2798" ht="15.75" customHeight="1">
      <c r="A2798" s="53" t="s">
        <v>515</v>
      </c>
      <c r="B2798" s="53" t="s">
        <v>809</v>
      </c>
      <c r="C2798" s="53" t="s">
        <v>810</v>
      </c>
      <c r="D2798" s="53" t="s">
        <v>4424</v>
      </c>
      <c r="E2798" s="53" t="s">
        <v>4433</v>
      </c>
      <c r="F2798" s="53" t="s">
        <v>4434</v>
      </c>
      <c r="G2798" s="53" t="s">
        <v>4435</v>
      </c>
      <c r="H2798" s="53">
        <v>0.0</v>
      </c>
      <c r="I2798" s="53">
        <v>0.020618556701030927</v>
      </c>
      <c r="J2798" s="53">
        <v>4.0</v>
      </c>
      <c r="K2798" s="53" t="s">
        <v>4426</v>
      </c>
      <c r="L2798" s="53" t="s">
        <v>4436</v>
      </c>
    </row>
    <row r="2799" ht="15.75" customHeight="1">
      <c r="A2799" s="53" t="s">
        <v>515</v>
      </c>
      <c r="B2799" s="53" t="s">
        <v>809</v>
      </c>
      <c r="C2799" s="53" t="s">
        <v>810</v>
      </c>
      <c r="D2799" s="53" t="s">
        <v>871</v>
      </c>
      <c r="E2799" s="53" t="s">
        <v>4437</v>
      </c>
      <c r="F2799" s="53" t="s">
        <v>73</v>
      </c>
      <c r="G2799" s="53" t="s">
        <v>4432</v>
      </c>
      <c r="H2799" s="53">
        <v>1.0</v>
      </c>
      <c r="I2799" s="53">
        <v>0.010309278350515464</v>
      </c>
      <c r="J2799" s="53">
        <v>1.0</v>
      </c>
      <c r="K2799" s="53" t="s">
        <v>4426</v>
      </c>
      <c r="L2799" s="53" t="s">
        <v>53</v>
      </c>
    </row>
    <row r="2800" ht="15.75" customHeight="1">
      <c r="A2800" s="53" t="s">
        <v>515</v>
      </c>
      <c r="B2800" s="53" t="s">
        <v>809</v>
      </c>
      <c r="C2800" s="53" t="s">
        <v>810</v>
      </c>
      <c r="D2800" s="53" t="s">
        <v>871</v>
      </c>
      <c r="E2800" s="53" t="s">
        <v>4438</v>
      </c>
      <c r="F2800" s="53" t="s">
        <v>4434</v>
      </c>
      <c r="G2800" s="53" t="s">
        <v>4435</v>
      </c>
      <c r="H2800" s="53">
        <v>0.0</v>
      </c>
      <c r="I2800" s="53">
        <v>0.010309278350515464</v>
      </c>
      <c r="J2800" s="53">
        <v>3.0</v>
      </c>
      <c r="K2800" s="53" t="s">
        <v>4426</v>
      </c>
      <c r="L2800" s="53" t="s">
        <v>4436</v>
      </c>
    </row>
    <row r="2801" ht="15.75" customHeight="1">
      <c r="A2801" s="53" t="s">
        <v>515</v>
      </c>
      <c r="B2801" s="53" t="s">
        <v>809</v>
      </c>
      <c r="C2801" s="53" t="s">
        <v>810</v>
      </c>
      <c r="D2801" s="53" t="s">
        <v>871</v>
      </c>
      <c r="E2801" s="53" t="s">
        <v>4439</v>
      </c>
      <c r="F2801" s="53" t="s">
        <v>73</v>
      </c>
      <c r="G2801" s="53" t="s">
        <v>4428</v>
      </c>
      <c r="H2801" s="53">
        <v>1.0</v>
      </c>
      <c r="I2801" s="53">
        <v>0.020618556701030927</v>
      </c>
      <c r="J2801" s="53">
        <v>0.0</v>
      </c>
      <c r="K2801" s="53" t="s">
        <v>4426</v>
      </c>
      <c r="L2801" s="53" t="s">
        <v>53</v>
      </c>
    </row>
    <row r="2802" ht="15.75" customHeight="1">
      <c r="A2802" s="53" t="s">
        <v>515</v>
      </c>
      <c r="B2802" s="53" t="s">
        <v>809</v>
      </c>
      <c r="C2802" s="53" t="s">
        <v>810</v>
      </c>
      <c r="D2802" s="53" t="s">
        <v>871</v>
      </c>
      <c r="E2802" s="53" t="s">
        <v>4440</v>
      </c>
      <c r="F2802" s="53" t="s">
        <v>73</v>
      </c>
      <c r="G2802" s="53" t="s">
        <v>4430</v>
      </c>
      <c r="H2802" s="53">
        <v>1.0</v>
      </c>
      <c r="I2802" s="53">
        <v>0.020618556701030927</v>
      </c>
      <c r="J2802" s="53">
        <v>2.0</v>
      </c>
      <c r="K2802" s="53" t="s">
        <v>4426</v>
      </c>
      <c r="L2802" s="53" t="s">
        <v>53</v>
      </c>
    </row>
    <row r="2803" ht="15.75" customHeight="1">
      <c r="A2803" s="53" t="s">
        <v>515</v>
      </c>
      <c r="B2803" s="53" t="s">
        <v>809</v>
      </c>
      <c r="C2803" s="53" t="s">
        <v>810</v>
      </c>
      <c r="D2803" s="53" t="s">
        <v>4428</v>
      </c>
      <c r="E2803" s="53" t="s">
        <v>4441</v>
      </c>
      <c r="F2803" s="53" t="s">
        <v>73</v>
      </c>
      <c r="G2803" s="53" t="s">
        <v>4432</v>
      </c>
      <c r="H2803" s="53">
        <v>1.0</v>
      </c>
      <c r="I2803" s="53">
        <v>0.010309278350515464</v>
      </c>
      <c r="J2803" s="53">
        <v>0.0</v>
      </c>
      <c r="K2803" s="53" t="s">
        <v>4426</v>
      </c>
      <c r="L2803" s="53" t="s">
        <v>53</v>
      </c>
    </row>
    <row r="2804" ht="15.75" customHeight="1">
      <c r="A2804" s="53" t="s">
        <v>515</v>
      </c>
      <c r="B2804" s="53" t="s">
        <v>809</v>
      </c>
      <c r="C2804" s="53" t="s">
        <v>810</v>
      </c>
      <c r="D2804" s="53" t="s">
        <v>4428</v>
      </c>
      <c r="E2804" s="53" t="s">
        <v>4442</v>
      </c>
      <c r="F2804" s="53" t="s">
        <v>73</v>
      </c>
      <c r="G2804" s="53" t="s">
        <v>4430</v>
      </c>
      <c r="H2804" s="53">
        <v>1.0</v>
      </c>
      <c r="I2804" s="53">
        <v>0.010309278350515464</v>
      </c>
      <c r="J2804" s="53">
        <v>1.0</v>
      </c>
      <c r="K2804" s="53" t="s">
        <v>4426</v>
      </c>
      <c r="L2804" s="53" t="s">
        <v>53</v>
      </c>
    </row>
    <row r="2805" ht="15.75" customHeight="1">
      <c r="A2805" s="53" t="s">
        <v>515</v>
      </c>
      <c r="B2805" s="53" t="s">
        <v>809</v>
      </c>
      <c r="C2805" s="53" t="s">
        <v>810</v>
      </c>
      <c r="D2805" s="53" t="s">
        <v>4428</v>
      </c>
      <c r="E2805" s="53" t="s">
        <v>4443</v>
      </c>
      <c r="F2805" s="53" t="s">
        <v>4434</v>
      </c>
      <c r="G2805" s="53" t="s">
        <v>4435</v>
      </c>
      <c r="H2805" s="53">
        <v>0.0</v>
      </c>
      <c r="I2805" s="53">
        <v>0.020618556701030927</v>
      </c>
      <c r="J2805" s="53">
        <v>2.0</v>
      </c>
      <c r="K2805" s="53" t="s">
        <v>4426</v>
      </c>
      <c r="L2805" s="53" t="s">
        <v>4436</v>
      </c>
    </row>
    <row r="2806" ht="15.75" customHeight="1">
      <c r="A2806" s="53" t="s">
        <v>515</v>
      </c>
      <c r="B2806" s="53" t="s">
        <v>809</v>
      </c>
      <c r="C2806" s="53" t="s">
        <v>810</v>
      </c>
      <c r="D2806" s="53" t="s">
        <v>4432</v>
      </c>
      <c r="E2806" s="53" t="s">
        <v>4444</v>
      </c>
      <c r="F2806" s="53" t="s">
        <v>4434</v>
      </c>
      <c r="G2806" s="53" t="s">
        <v>4435</v>
      </c>
      <c r="H2806" s="53">
        <v>0.0</v>
      </c>
      <c r="I2806" s="53">
        <v>0.010309278350515464</v>
      </c>
      <c r="J2806" s="53">
        <v>1.0</v>
      </c>
      <c r="K2806" s="53" t="s">
        <v>4426</v>
      </c>
      <c r="L2806" s="53" t="s">
        <v>4436</v>
      </c>
    </row>
    <row r="2807" ht="15.75" customHeight="1">
      <c r="A2807" s="53" t="s">
        <v>515</v>
      </c>
      <c r="B2807" s="53" t="s">
        <v>809</v>
      </c>
      <c r="C2807" s="53" t="s">
        <v>810</v>
      </c>
      <c r="D2807" s="53" t="s">
        <v>4432</v>
      </c>
      <c r="E2807" s="53" t="s">
        <v>4445</v>
      </c>
      <c r="F2807" s="53" t="s">
        <v>73</v>
      </c>
      <c r="G2807" s="53" t="s">
        <v>4430</v>
      </c>
      <c r="H2807" s="53">
        <v>1.0</v>
      </c>
      <c r="I2807" s="53">
        <v>0.020618556701030927</v>
      </c>
      <c r="J2807" s="53">
        <v>0.0</v>
      </c>
      <c r="K2807" s="53" t="s">
        <v>4426</v>
      </c>
      <c r="L2807" s="53" t="s">
        <v>53</v>
      </c>
    </row>
    <row r="2808" ht="15.75" customHeight="1">
      <c r="A2808" s="53" t="s">
        <v>515</v>
      </c>
      <c r="B2808" s="53" t="s">
        <v>809</v>
      </c>
      <c r="C2808" s="53" t="s">
        <v>810</v>
      </c>
      <c r="D2808" s="53" t="s">
        <v>4430</v>
      </c>
      <c r="E2808" s="53" t="s">
        <v>4446</v>
      </c>
      <c r="F2808" s="53" t="s">
        <v>4434</v>
      </c>
      <c r="G2808" s="53" t="s">
        <v>4435</v>
      </c>
      <c r="H2808" s="53">
        <v>0.0</v>
      </c>
      <c r="I2808" s="53">
        <v>0.010309278350515464</v>
      </c>
      <c r="J2808" s="53">
        <v>0.0</v>
      </c>
      <c r="K2808" s="53" t="s">
        <v>4426</v>
      </c>
      <c r="L2808" s="53" t="s">
        <v>4436</v>
      </c>
    </row>
    <row r="2809" ht="15.75" customHeight="1">
      <c r="A2809" s="53" t="s">
        <v>563</v>
      </c>
      <c r="B2809" s="53" t="s">
        <v>821</v>
      </c>
      <c r="C2809" s="53" t="s">
        <v>822</v>
      </c>
      <c r="D2809" s="53" t="s">
        <v>4447</v>
      </c>
      <c r="E2809" s="53" t="s">
        <v>4448</v>
      </c>
      <c r="F2809" s="53" t="s">
        <v>4449</v>
      </c>
      <c r="G2809" s="53" t="s">
        <v>4450</v>
      </c>
      <c r="H2809" s="53">
        <v>0.8</v>
      </c>
      <c r="I2809" s="53">
        <v>0.32083333333333336</v>
      </c>
      <c r="J2809" s="53">
        <v>5.0</v>
      </c>
      <c r="K2809" s="53" t="s">
        <v>4451</v>
      </c>
      <c r="L2809" s="53" t="s">
        <v>4452</v>
      </c>
    </row>
    <row r="2810" ht="15.75" customHeight="1">
      <c r="A2810" s="53" t="s">
        <v>563</v>
      </c>
      <c r="B2810" s="53" t="s">
        <v>821</v>
      </c>
      <c r="C2810" s="53" t="s">
        <v>822</v>
      </c>
      <c r="D2810" s="53" t="s">
        <v>4447</v>
      </c>
      <c r="E2810" s="53" t="s">
        <v>4453</v>
      </c>
      <c r="F2810" s="53" t="s">
        <v>4449</v>
      </c>
      <c r="G2810" s="53" t="s">
        <v>4454</v>
      </c>
      <c r="H2810" s="53">
        <v>0.8</v>
      </c>
      <c r="I2810" s="53">
        <v>0.325</v>
      </c>
      <c r="J2810" s="53">
        <v>6.0</v>
      </c>
      <c r="K2810" s="53" t="s">
        <v>4451</v>
      </c>
      <c r="L2810" s="53" t="s">
        <v>4452</v>
      </c>
    </row>
    <row r="2811" ht="15.75" customHeight="1">
      <c r="A2811" s="53" t="s">
        <v>563</v>
      </c>
      <c r="B2811" s="53" t="s">
        <v>821</v>
      </c>
      <c r="C2811" s="53" t="s">
        <v>822</v>
      </c>
      <c r="D2811" s="53" t="s">
        <v>4450</v>
      </c>
      <c r="E2811" s="53" t="s">
        <v>4455</v>
      </c>
      <c r="F2811" s="53" t="s">
        <v>4456</v>
      </c>
      <c r="G2811" s="53" t="s">
        <v>4454</v>
      </c>
      <c r="H2811" s="53">
        <v>1.0</v>
      </c>
      <c r="I2811" s="53">
        <v>0.013513513513513514</v>
      </c>
      <c r="J2811" s="53">
        <v>0.0</v>
      </c>
      <c r="K2811" s="53" t="s">
        <v>4451</v>
      </c>
      <c r="L2811" s="53" t="s">
        <v>53</v>
      </c>
    </row>
    <row r="2812" ht="15.75" customHeight="1">
      <c r="A2812" s="53" t="s">
        <v>4457</v>
      </c>
      <c r="B2812" s="53" t="s">
        <v>4458</v>
      </c>
      <c r="C2812" s="53" t="s">
        <v>4459</v>
      </c>
      <c r="D2812" s="53" t="s">
        <v>4460</v>
      </c>
      <c r="E2812" s="53" t="s">
        <v>4461</v>
      </c>
      <c r="F2812" s="53" t="s">
        <v>4462</v>
      </c>
      <c r="G2812" s="53" t="s">
        <v>4463</v>
      </c>
      <c r="H2812" s="53">
        <v>1.0</v>
      </c>
      <c r="I2812" s="53">
        <v>0.30833333333333335</v>
      </c>
      <c r="J2812" s="53">
        <v>0.0</v>
      </c>
      <c r="K2812" s="53" t="s">
        <v>4464</v>
      </c>
      <c r="L2812" s="53" t="s">
        <v>53</v>
      </c>
    </row>
    <row r="2813" ht="15.75" customHeight="1">
      <c r="A2813" s="53" t="s">
        <v>352</v>
      </c>
      <c r="B2813" s="53" t="s">
        <v>4458</v>
      </c>
      <c r="C2813" s="53" t="s">
        <v>4465</v>
      </c>
      <c r="D2813" s="53" t="s">
        <v>4466</v>
      </c>
      <c r="E2813" s="53" t="s">
        <v>4467</v>
      </c>
      <c r="F2813" s="53" t="s">
        <v>4468</v>
      </c>
      <c r="G2813" s="53" t="s">
        <v>4469</v>
      </c>
      <c r="H2813" s="53">
        <v>0.6</v>
      </c>
      <c r="I2813" s="53">
        <v>0.06857142857142857</v>
      </c>
      <c r="J2813" s="53">
        <v>0.0</v>
      </c>
      <c r="K2813" s="53" t="s">
        <v>4470</v>
      </c>
      <c r="L2813" s="53" t="s">
        <v>4471</v>
      </c>
    </row>
    <row r="2814" ht="15.75" customHeight="1">
      <c r="A2814" s="53" t="s">
        <v>352</v>
      </c>
      <c r="B2814" s="53" t="s">
        <v>4472</v>
      </c>
      <c r="C2814" s="53" t="s">
        <v>4458</v>
      </c>
      <c r="D2814" s="53" t="s">
        <v>4473</v>
      </c>
      <c r="E2814" s="53" t="s">
        <v>4474</v>
      </c>
      <c r="F2814" s="53" t="s">
        <v>4475</v>
      </c>
      <c r="G2814" s="53" t="s">
        <v>4476</v>
      </c>
      <c r="H2814" s="53">
        <v>0.5555555555555556</v>
      </c>
      <c r="I2814" s="53">
        <v>0.01990049751243781</v>
      </c>
      <c r="J2814" s="53">
        <v>0.0</v>
      </c>
      <c r="K2814" s="53" t="s">
        <v>4477</v>
      </c>
      <c r="L2814" s="53" t="s">
        <v>4478</v>
      </c>
    </row>
    <row r="2815" ht="15.75" customHeight="1">
      <c r="A2815" s="53" t="s">
        <v>773</v>
      </c>
      <c r="B2815" s="53" t="s">
        <v>4479</v>
      </c>
      <c r="D2815" s="53" t="s">
        <v>4386</v>
      </c>
      <c r="E2815" s="53" t="s">
        <v>4480</v>
      </c>
      <c r="F2815" s="53" t="s">
        <v>4481</v>
      </c>
      <c r="G2815" s="53" t="s">
        <v>4389</v>
      </c>
      <c r="H2815" s="53">
        <v>1.0</v>
      </c>
      <c r="I2815" s="53">
        <v>0.02004008016032064</v>
      </c>
      <c r="J2815" s="53">
        <v>0.0</v>
      </c>
      <c r="K2815" s="53" t="s">
        <v>53</v>
      </c>
      <c r="L2815" s="53" t="s">
        <v>53</v>
      </c>
    </row>
    <row r="2816" ht="15.75" customHeight="1">
      <c r="A2816" s="53" t="s">
        <v>773</v>
      </c>
      <c r="B2816" s="53" t="s">
        <v>4479</v>
      </c>
      <c r="D2816" s="53" t="s">
        <v>4386</v>
      </c>
      <c r="E2816" s="53" t="s">
        <v>4482</v>
      </c>
      <c r="F2816" s="53" t="s">
        <v>4483</v>
      </c>
      <c r="G2816" s="53" t="s">
        <v>4393</v>
      </c>
      <c r="H2816" s="53">
        <v>1.0</v>
      </c>
      <c r="I2816" s="53">
        <v>0.17177914110429449</v>
      </c>
      <c r="J2816" s="53">
        <v>1.0</v>
      </c>
      <c r="K2816" s="53" t="s">
        <v>53</v>
      </c>
      <c r="L2816" s="53" t="s">
        <v>53</v>
      </c>
    </row>
    <row r="2817" ht="15.75" customHeight="1">
      <c r="A2817" s="53" t="s">
        <v>773</v>
      </c>
      <c r="B2817" s="53" t="s">
        <v>4479</v>
      </c>
      <c r="D2817" s="53" t="s">
        <v>4386</v>
      </c>
      <c r="E2817" s="53" t="s">
        <v>4484</v>
      </c>
      <c r="F2817" s="53" t="s">
        <v>4483</v>
      </c>
      <c r="G2817" s="53" t="s">
        <v>4396</v>
      </c>
      <c r="H2817" s="53">
        <v>1.0</v>
      </c>
      <c r="I2817" s="53">
        <v>0.1738241308793456</v>
      </c>
      <c r="J2817" s="53">
        <v>2.0</v>
      </c>
      <c r="K2817" s="53" t="s">
        <v>53</v>
      </c>
      <c r="L2817" s="53" t="s">
        <v>53</v>
      </c>
    </row>
    <row r="2818" ht="15.75" customHeight="1">
      <c r="A2818" s="53" t="s">
        <v>773</v>
      </c>
      <c r="B2818" s="53" t="s">
        <v>4479</v>
      </c>
      <c r="D2818" s="53" t="s">
        <v>4389</v>
      </c>
      <c r="E2818" s="53" t="s">
        <v>4485</v>
      </c>
      <c r="F2818" s="53" t="s">
        <v>4483</v>
      </c>
      <c r="G2818" s="53" t="s">
        <v>4396</v>
      </c>
      <c r="H2818" s="53">
        <v>1.0</v>
      </c>
      <c r="I2818" s="53">
        <v>0.1683366733466934</v>
      </c>
      <c r="J2818" s="53">
        <v>1.0</v>
      </c>
      <c r="K2818" s="53" t="s">
        <v>53</v>
      </c>
      <c r="L2818" s="53" t="s">
        <v>53</v>
      </c>
    </row>
    <row r="2819" ht="15.75" customHeight="1">
      <c r="A2819" s="53" t="s">
        <v>773</v>
      </c>
      <c r="B2819" s="53" t="s">
        <v>4479</v>
      </c>
      <c r="D2819" s="53" t="s">
        <v>4389</v>
      </c>
      <c r="E2819" s="53" t="s">
        <v>4486</v>
      </c>
      <c r="F2819" s="53" t="s">
        <v>4483</v>
      </c>
      <c r="G2819" s="53" t="s">
        <v>4393</v>
      </c>
      <c r="H2819" s="53">
        <v>1.0</v>
      </c>
      <c r="I2819" s="53">
        <v>0.18837675350701402</v>
      </c>
      <c r="J2819" s="53">
        <v>0.0</v>
      </c>
      <c r="K2819" s="53" t="s">
        <v>53</v>
      </c>
      <c r="L2819" s="53" t="s">
        <v>53</v>
      </c>
    </row>
    <row r="2820" ht="15.75" customHeight="1">
      <c r="A2820" s="53" t="s">
        <v>773</v>
      </c>
      <c r="B2820" s="53" t="s">
        <v>4479</v>
      </c>
      <c r="D2820" s="53" t="s">
        <v>4393</v>
      </c>
      <c r="E2820" s="53" t="s">
        <v>4487</v>
      </c>
      <c r="F2820" s="53" t="s">
        <v>4488</v>
      </c>
      <c r="G2820" s="53" t="s">
        <v>4396</v>
      </c>
      <c r="H2820" s="53">
        <v>1.0</v>
      </c>
      <c r="I2820" s="53">
        <v>0.024096385542168676</v>
      </c>
      <c r="J2820" s="53">
        <v>0.0</v>
      </c>
      <c r="K2820" s="53" t="s">
        <v>53</v>
      </c>
      <c r="L2820" s="53" t="s">
        <v>53</v>
      </c>
    </row>
    <row r="2821" ht="15.75" customHeight="1">
      <c r="A2821" s="53" t="s">
        <v>773</v>
      </c>
      <c r="B2821" s="53" t="s">
        <v>4479</v>
      </c>
      <c r="D2821" s="53" t="s">
        <v>4399</v>
      </c>
      <c r="E2821" s="53" t="s">
        <v>4400</v>
      </c>
      <c r="F2821" s="53" t="s">
        <v>4401</v>
      </c>
      <c r="G2821" s="53" t="s">
        <v>4402</v>
      </c>
      <c r="H2821" s="53">
        <v>1.0</v>
      </c>
      <c r="I2821" s="53">
        <v>0.10434782608695652</v>
      </c>
      <c r="J2821" s="53">
        <v>0.0</v>
      </c>
      <c r="K2821" s="53" t="s">
        <v>53</v>
      </c>
      <c r="L2821" s="53" t="s">
        <v>53</v>
      </c>
    </row>
    <row r="2822" ht="15.75" customHeight="1">
      <c r="A2822" s="53" t="s">
        <v>773</v>
      </c>
      <c r="B2822" s="53" t="s">
        <v>4479</v>
      </c>
      <c r="D2822" s="53" t="s">
        <v>4399</v>
      </c>
      <c r="E2822" s="53" t="s">
        <v>4403</v>
      </c>
      <c r="F2822" s="53" t="s">
        <v>4404</v>
      </c>
      <c r="G2822" s="53" t="s">
        <v>4405</v>
      </c>
      <c r="H2822" s="53">
        <v>1.0</v>
      </c>
      <c r="I2822" s="53">
        <v>0.2376599634369287</v>
      </c>
      <c r="J2822" s="53">
        <v>1.0</v>
      </c>
      <c r="K2822" s="53" t="s">
        <v>53</v>
      </c>
      <c r="L2822" s="53" t="s">
        <v>4406</v>
      </c>
    </row>
    <row r="2823" ht="15.75" customHeight="1">
      <c r="A2823" s="53" t="s">
        <v>773</v>
      </c>
      <c r="B2823" s="53" t="s">
        <v>4479</v>
      </c>
      <c r="D2823" s="53" t="s">
        <v>4402</v>
      </c>
      <c r="E2823" s="53" t="s">
        <v>4407</v>
      </c>
      <c r="F2823" s="53" t="s">
        <v>4404</v>
      </c>
      <c r="G2823" s="53" t="s">
        <v>4405</v>
      </c>
      <c r="H2823" s="53">
        <v>1.0</v>
      </c>
      <c r="I2823" s="53">
        <v>0.20347826086956522</v>
      </c>
      <c r="J2823" s="53">
        <v>0.0</v>
      </c>
      <c r="K2823" s="53" t="s">
        <v>53</v>
      </c>
      <c r="L2823" s="53" t="s">
        <v>4406</v>
      </c>
    </row>
    <row r="2824" ht="15.75" customHeight="1">
      <c r="A2824" s="53" t="s">
        <v>773</v>
      </c>
      <c r="B2824" s="53" t="s">
        <v>4479</v>
      </c>
      <c r="D2824" s="53" t="s">
        <v>4370</v>
      </c>
      <c r="E2824" s="53" t="s">
        <v>4489</v>
      </c>
      <c r="F2824" s="53" t="s">
        <v>4409</v>
      </c>
      <c r="G2824" s="53" t="s">
        <v>4410</v>
      </c>
      <c r="H2824" s="53">
        <v>0.7142857142857143</v>
      </c>
      <c r="I2824" s="53">
        <v>0.028727770177838577</v>
      </c>
      <c r="J2824" s="53">
        <v>10.0</v>
      </c>
      <c r="K2824" s="53" t="s">
        <v>53</v>
      </c>
      <c r="L2824" s="53" t="s">
        <v>4411</v>
      </c>
    </row>
    <row r="2825" ht="15.75" customHeight="1">
      <c r="A2825" s="53" t="s">
        <v>773</v>
      </c>
      <c r="B2825" s="53" t="s">
        <v>4479</v>
      </c>
      <c r="D2825" s="53" t="s">
        <v>4412</v>
      </c>
      <c r="E2825" s="53" t="s">
        <v>4413</v>
      </c>
      <c r="F2825" s="53" t="s">
        <v>4414</v>
      </c>
      <c r="G2825" s="53" t="s">
        <v>4415</v>
      </c>
      <c r="H2825" s="53">
        <v>0.0</v>
      </c>
      <c r="I2825" s="53">
        <v>0.0867992766726944</v>
      </c>
      <c r="J2825" s="53">
        <v>2.0</v>
      </c>
      <c r="K2825" s="53" t="s">
        <v>53</v>
      </c>
      <c r="L2825" s="53" t="s">
        <v>4417</v>
      </c>
    </row>
    <row r="2826" ht="15.75" customHeight="1">
      <c r="A2826" s="53" t="s">
        <v>773</v>
      </c>
      <c r="B2826" s="53" t="s">
        <v>4479</v>
      </c>
      <c r="D2826" s="53" t="s">
        <v>4418</v>
      </c>
      <c r="E2826" s="53" t="s">
        <v>4419</v>
      </c>
      <c r="F2826" s="53" t="s">
        <v>4420</v>
      </c>
      <c r="G2826" s="53" t="s">
        <v>4415</v>
      </c>
      <c r="H2826" s="53">
        <v>1.0</v>
      </c>
      <c r="I2826" s="53">
        <v>0.6745886654478976</v>
      </c>
      <c r="J2826" s="53">
        <v>0.0</v>
      </c>
      <c r="K2826" s="53" t="s">
        <v>53</v>
      </c>
      <c r="L2826" s="53" t="s">
        <v>4421</v>
      </c>
    </row>
    <row r="2827" ht="15.75" customHeight="1">
      <c r="A2827" s="53" t="s">
        <v>773</v>
      </c>
      <c r="B2827" s="53" t="s">
        <v>4479</v>
      </c>
      <c r="D2827" s="53" t="s">
        <v>787</v>
      </c>
      <c r="E2827" s="53" t="s">
        <v>789</v>
      </c>
      <c r="F2827" s="53" t="s">
        <v>791</v>
      </c>
      <c r="G2827" s="53" t="s">
        <v>793</v>
      </c>
      <c r="H2827" s="53">
        <v>0.3333333333333333</v>
      </c>
      <c r="I2827" s="53">
        <v>0.06756756756756757</v>
      </c>
      <c r="J2827" s="53">
        <v>2.0</v>
      </c>
      <c r="K2827" s="53" t="s">
        <v>53</v>
      </c>
      <c r="L2827" s="53" t="s">
        <v>4490</v>
      </c>
    </row>
    <row r="2828" ht="15.75" customHeight="1">
      <c r="A2828" s="53" t="s">
        <v>773</v>
      </c>
      <c r="B2828" s="53" t="s">
        <v>4479</v>
      </c>
      <c r="D2828" s="53" t="s">
        <v>799</v>
      </c>
      <c r="E2828" s="53" t="s">
        <v>4491</v>
      </c>
      <c r="F2828" s="53" t="s">
        <v>803</v>
      </c>
      <c r="G2828" s="53" t="s">
        <v>4492</v>
      </c>
      <c r="H2828" s="53">
        <v>0.6</v>
      </c>
      <c r="I2828" s="53">
        <v>0.008670520231213872</v>
      </c>
      <c r="J2828" s="53">
        <v>2.0</v>
      </c>
      <c r="K2828" s="53" t="s">
        <v>53</v>
      </c>
      <c r="L2828" s="53" t="s">
        <v>4493</v>
      </c>
    </row>
    <row r="2829" ht="15.75" customHeight="1">
      <c r="A2829" s="53" t="s">
        <v>773</v>
      </c>
      <c r="B2829" s="53" t="s">
        <v>4479</v>
      </c>
      <c r="D2829" s="53" t="s">
        <v>799</v>
      </c>
      <c r="E2829" s="53" t="s">
        <v>801</v>
      </c>
      <c r="F2829" s="53" t="s">
        <v>803</v>
      </c>
      <c r="G2829" s="53" t="s">
        <v>805</v>
      </c>
      <c r="H2829" s="53">
        <v>0.6</v>
      </c>
      <c r="I2829" s="53">
        <v>0.06134094151212553</v>
      </c>
      <c r="J2829" s="53">
        <v>3.0</v>
      </c>
      <c r="K2829" s="53" t="s">
        <v>53</v>
      </c>
      <c r="L2829" s="53" t="s">
        <v>4493</v>
      </c>
    </row>
    <row r="2830" ht="15.75" customHeight="1">
      <c r="A2830" s="53" t="s">
        <v>773</v>
      </c>
      <c r="B2830" s="53" t="s">
        <v>4479</v>
      </c>
      <c r="D2830" s="53" t="s">
        <v>4492</v>
      </c>
      <c r="E2830" s="53" t="s">
        <v>4494</v>
      </c>
      <c r="F2830" s="53" t="s">
        <v>4495</v>
      </c>
      <c r="G2830" s="53" t="s">
        <v>805</v>
      </c>
      <c r="H2830" s="53">
        <v>1.0</v>
      </c>
      <c r="I2830" s="53">
        <v>0.052781740370898715</v>
      </c>
      <c r="J2830" s="53">
        <v>0.0</v>
      </c>
      <c r="K2830" s="53" t="s">
        <v>53</v>
      </c>
      <c r="L2830" s="53" t="s">
        <v>53</v>
      </c>
    </row>
    <row r="2831" ht="15.75" customHeight="1">
      <c r="A2831" s="53" t="s">
        <v>773</v>
      </c>
      <c r="B2831" s="53" t="s">
        <v>4479</v>
      </c>
      <c r="D2831" s="53" t="s">
        <v>776</v>
      </c>
      <c r="E2831" s="53" t="s">
        <v>4496</v>
      </c>
      <c r="F2831" s="53" t="s">
        <v>4497</v>
      </c>
      <c r="G2831" s="53" t="s">
        <v>782</v>
      </c>
      <c r="H2831" s="53">
        <v>1.0</v>
      </c>
      <c r="I2831" s="53">
        <v>0.0411522633744856</v>
      </c>
      <c r="J2831" s="53">
        <v>0.0</v>
      </c>
      <c r="K2831" s="53" t="s">
        <v>53</v>
      </c>
      <c r="L2831" s="53" t="s">
        <v>53</v>
      </c>
    </row>
    <row r="2832" ht="15.75" customHeight="1">
      <c r="A2832" s="53" t="s">
        <v>352</v>
      </c>
      <c r="B2832" s="53" t="s">
        <v>4479</v>
      </c>
      <c r="D2832" s="53" t="s">
        <v>4498</v>
      </c>
      <c r="E2832" s="53" t="s">
        <v>4499</v>
      </c>
      <c r="F2832" s="53" t="s">
        <v>4500</v>
      </c>
      <c r="G2832" s="53" t="s">
        <v>4466</v>
      </c>
      <c r="H2832" s="53">
        <v>0.9</v>
      </c>
      <c r="I2832" s="53">
        <v>0.19815668202764977</v>
      </c>
      <c r="J2832" s="53">
        <v>13.0</v>
      </c>
      <c r="K2832" s="53" t="s">
        <v>53</v>
      </c>
      <c r="L2832" s="53" t="s">
        <v>4501</v>
      </c>
    </row>
    <row r="2833" ht="15.75" customHeight="1">
      <c r="A2833" s="53" t="s">
        <v>352</v>
      </c>
      <c r="B2833" s="53" t="s">
        <v>4479</v>
      </c>
      <c r="D2833" s="53" t="s">
        <v>361</v>
      </c>
      <c r="E2833" s="53" t="s">
        <v>4502</v>
      </c>
      <c r="F2833" s="53" t="s">
        <v>4503</v>
      </c>
      <c r="G2833" s="53" t="s">
        <v>355</v>
      </c>
      <c r="H2833" s="53">
        <v>0.3333333333333333</v>
      </c>
      <c r="I2833" s="53">
        <v>0.020491803278688523</v>
      </c>
      <c r="J2833" s="53">
        <v>2.0</v>
      </c>
      <c r="K2833" s="53" t="s">
        <v>53</v>
      </c>
      <c r="L2833" s="53" t="s">
        <v>4016</v>
      </c>
    </row>
    <row r="2834" ht="15.75" customHeight="1">
      <c r="A2834" s="53" t="s">
        <v>352</v>
      </c>
      <c r="B2834" s="53" t="s">
        <v>4479</v>
      </c>
      <c r="D2834" s="53" t="s">
        <v>372</v>
      </c>
      <c r="E2834" s="53" t="s">
        <v>665</v>
      </c>
      <c r="F2834" s="53" t="s">
        <v>667</v>
      </c>
      <c r="G2834" s="53" t="s">
        <v>669</v>
      </c>
      <c r="H2834" s="53">
        <v>0.5</v>
      </c>
      <c r="I2834" s="53">
        <v>0.04365079365079365</v>
      </c>
      <c r="J2834" s="53">
        <v>2.0</v>
      </c>
      <c r="K2834" s="53" t="s">
        <v>53</v>
      </c>
      <c r="L2834" s="53" t="s">
        <v>4504</v>
      </c>
    </row>
    <row r="2835" ht="15.75" customHeight="1">
      <c r="A2835" s="53" t="s">
        <v>352</v>
      </c>
      <c r="B2835" s="53" t="s">
        <v>4479</v>
      </c>
      <c r="D2835" s="53" t="s">
        <v>372</v>
      </c>
      <c r="E2835" s="53" t="s">
        <v>2783</v>
      </c>
      <c r="F2835" s="53" t="s">
        <v>4505</v>
      </c>
      <c r="G2835" s="53" t="s">
        <v>381</v>
      </c>
      <c r="H2835" s="53">
        <v>0.25</v>
      </c>
      <c r="I2835" s="53">
        <v>0.0778688524590164</v>
      </c>
      <c r="J2835" s="53">
        <v>0.0</v>
      </c>
      <c r="K2835" s="53" t="s">
        <v>53</v>
      </c>
      <c r="L2835" s="53" t="s">
        <v>2786</v>
      </c>
    </row>
    <row r="2836" ht="15.75" customHeight="1">
      <c r="A2836" s="53" t="s">
        <v>352</v>
      </c>
      <c r="B2836" s="53" t="s">
        <v>4479</v>
      </c>
      <c r="D2836" s="53" t="s">
        <v>381</v>
      </c>
      <c r="E2836" s="53" t="s">
        <v>672</v>
      </c>
      <c r="F2836" s="53" t="s">
        <v>674</v>
      </c>
      <c r="G2836" s="53" t="s">
        <v>676</v>
      </c>
      <c r="H2836" s="53">
        <v>0.3333333333333333</v>
      </c>
      <c r="I2836" s="53">
        <v>0.04602510460251046</v>
      </c>
      <c r="J2836" s="53">
        <v>2.0</v>
      </c>
      <c r="K2836" s="53" t="s">
        <v>53</v>
      </c>
      <c r="L2836" s="53" t="s">
        <v>4506</v>
      </c>
    </row>
    <row r="2837" ht="15.75" customHeight="1">
      <c r="A2837" s="53" t="s">
        <v>352</v>
      </c>
      <c r="B2837" s="53" t="s">
        <v>4479</v>
      </c>
      <c r="D2837" s="53" t="s">
        <v>669</v>
      </c>
      <c r="E2837" s="53" t="s">
        <v>3986</v>
      </c>
      <c r="F2837" s="53" t="s">
        <v>3987</v>
      </c>
      <c r="G2837" s="53" t="s">
        <v>676</v>
      </c>
      <c r="H2837" s="53">
        <v>0.25</v>
      </c>
      <c r="I2837" s="53">
        <v>0.07539682539682539</v>
      </c>
      <c r="J2837" s="53">
        <v>0.0</v>
      </c>
      <c r="K2837" s="53" t="s">
        <v>53</v>
      </c>
      <c r="L2837" s="53" t="s">
        <v>2527</v>
      </c>
    </row>
    <row r="2838" ht="15.75" customHeight="1">
      <c r="A2838" s="53" t="s">
        <v>352</v>
      </c>
      <c r="B2838" s="53" t="s">
        <v>4479</v>
      </c>
      <c r="D2838" s="53" t="s">
        <v>391</v>
      </c>
      <c r="E2838" s="53" t="s">
        <v>4507</v>
      </c>
      <c r="F2838" s="53" t="s">
        <v>4508</v>
      </c>
      <c r="G2838" s="53" t="s">
        <v>1791</v>
      </c>
      <c r="H2838" s="53">
        <v>0.5</v>
      </c>
      <c r="I2838" s="53">
        <v>0.07961783439490445</v>
      </c>
      <c r="J2838" s="53">
        <v>6.0</v>
      </c>
      <c r="K2838" s="53" t="s">
        <v>53</v>
      </c>
      <c r="L2838" s="53" t="s">
        <v>4031</v>
      </c>
    </row>
    <row r="2839" ht="15.75" customHeight="1">
      <c r="A2839" s="53" t="s">
        <v>352</v>
      </c>
      <c r="B2839" s="53" t="s">
        <v>4479</v>
      </c>
      <c r="D2839" s="53" t="s">
        <v>391</v>
      </c>
      <c r="E2839" s="53" t="s">
        <v>4509</v>
      </c>
      <c r="F2839" s="53" t="s">
        <v>4510</v>
      </c>
      <c r="G2839" s="53" t="s">
        <v>385</v>
      </c>
      <c r="H2839" s="53">
        <v>0.5</v>
      </c>
      <c r="I2839" s="53">
        <v>0.08841463414634146</v>
      </c>
      <c r="J2839" s="53">
        <v>22.0</v>
      </c>
      <c r="K2839" s="53" t="s">
        <v>53</v>
      </c>
      <c r="L2839" s="53" t="s">
        <v>4511</v>
      </c>
    </row>
    <row r="2840" ht="15.75" customHeight="1">
      <c r="A2840" s="53" t="s">
        <v>352</v>
      </c>
      <c r="B2840" s="53" t="s">
        <v>4479</v>
      </c>
      <c r="D2840" s="53" t="s">
        <v>677</v>
      </c>
      <c r="E2840" s="53" t="s">
        <v>4512</v>
      </c>
      <c r="F2840" s="53" t="s">
        <v>2772</v>
      </c>
      <c r="G2840" s="53" t="s">
        <v>2773</v>
      </c>
      <c r="H2840" s="53">
        <v>0.7142857142857143</v>
      </c>
      <c r="I2840" s="53">
        <v>0.04340567612687813</v>
      </c>
      <c r="J2840" s="53">
        <v>22.0</v>
      </c>
      <c r="K2840" s="53" t="s">
        <v>53</v>
      </c>
      <c r="L2840" s="53" t="s">
        <v>2775</v>
      </c>
    </row>
    <row r="2841" ht="15.75" customHeight="1">
      <c r="A2841" s="53" t="s">
        <v>352</v>
      </c>
      <c r="B2841" s="53" t="s">
        <v>4479</v>
      </c>
      <c r="D2841" s="53" t="s">
        <v>677</v>
      </c>
      <c r="E2841" s="53" t="s">
        <v>679</v>
      </c>
      <c r="F2841" s="53" t="s">
        <v>681</v>
      </c>
      <c r="G2841" s="53" t="s">
        <v>683</v>
      </c>
      <c r="H2841" s="53">
        <v>0.8571428571428571</v>
      </c>
      <c r="I2841" s="53">
        <v>0.06514657980456026</v>
      </c>
      <c r="J2841" s="53">
        <v>0.0</v>
      </c>
      <c r="K2841" s="53" t="s">
        <v>53</v>
      </c>
      <c r="L2841" s="53" t="s">
        <v>4054</v>
      </c>
    </row>
    <row r="2842" ht="15.75" customHeight="1">
      <c r="A2842" s="53" t="s">
        <v>352</v>
      </c>
      <c r="B2842" s="53" t="s">
        <v>4479</v>
      </c>
      <c r="D2842" s="53" t="s">
        <v>677</v>
      </c>
      <c r="E2842" s="53" t="s">
        <v>2776</v>
      </c>
      <c r="F2842" s="53" t="s">
        <v>2777</v>
      </c>
      <c r="G2842" s="53" t="s">
        <v>2778</v>
      </c>
      <c r="H2842" s="53">
        <v>0.7142857142857143</v>
      </c>
      <c r="I2842" s="53">
        <v>0.10787671232876712</v>
      </c>
      <c r="J2842" s="53">
        <v>1.0</v>
      </c>
      <c r="K2842" s="53" t="s">
        <v>53</v>
      </c>
      <c r="L2842" s="53" t="s">
        <v>2757</v>
      </c>
    </row>
    <row r="2843" ht="15.75" customHeight="1">
      <c r="A2843" s="53" t="s">
        <v>352</v>
      </c>
      <c r="B2843" s="53" t="s">
        <v>4479</v>
      </c>
      <c r="D2843" s="53" t="s">
        <v>2778</v>
      </c>
      <c r="E2843" s="53" t="s">
        <v>4513</v>
      </c>
      <c r="F2843" s="53" t="s">
        <v>2782</v>
      </c>
      <c r="G2843" s="53" t="s">
        <v>2780</v>
      </c>
      <c r="H2843" s="53">
        <v>0.7142857142857143</v>
      </c>
      <c r="I2843" s="53">
        <v>0.04304635761589404</v>
      </c>
      <c r="J2843" s="53">
        <v>21.0</v>
      </c>
      <c r="K2843" s="53" t="s">
        <v>53</v>
      </c>
      <c r="L2843" s="53" t="s">
        <v>2775</v>
      </c>
    </row>
    <row r="2844" ht="15.75" customHeight="1">
      <c r="A2844" s="53" t="s">
        <v>352</v>
      </c>
      <c r="B2844" s="53" t="s">
        <v>4479</v>
      </c>
      <c r="D2844" s="53" t="s">
        <v>753</v>
      </c>
      <c r="E2844" s="53" t="s">
        <v>4217</v>
      </c>
      <c r="F2844" s="53" t="s">
        <v>4218</v>
      </c>
      <c r="G2844" s="53" t="s">
        <v>760</v>
      </c>
      <c r="H2844" s="53">
        <v>0.3333333333333333</v>
      </c>
      <c r="I2844" s="53">
        <v>0.05202312138728324</v>
      </c>
      <c r="J2844" s="53">
        <v>9.0</v>
      </c>
      <c r="K2844" s="53" t="s">
        <v>53</v>
      </c>
      <c r="L2844" s="53" t="s">
        <v>4038</v>
      </c>
    </row>
    <row r="2845" ht="15.75" customHeight="1">
      <c r="A2845" s="53" t="s">
        <v>352</v>
      </c>
      <c r="B2845" s="53" t="s">
        <v>4479</v>
      </c>
      <c r="D2845" s="53" t="s">
        <v>753</v>
      </c>
      <c r="E2845" s="53" t="s">
        <v>4514</v>
      </c>
      <c r="F2845" s="53" t="s">
        <v>4515</v>
      </c>
      <c r="G2845" s="53" t="s">
        <v>747</v>
      </c>
      <c r="H2845" s="53">
        <v>0.3333333333333333</v>
      </c>
      <c r="I2845" s="53">
        <v>0.05202312138728324</v>
      </c>
      <c r="J2845" s="53">
        <v>13.0</v>
      </c>
      <c r="K2845" s="53" t="s">
        <v>53</v>
      </c>
      <c r="L2845" s="53" t="s">
        <v>4041</v>
      </c>
    </row>
    <row r="2846" ht="15.75" customHeight="1">
      <c r="A2846" s="53" t="s">
        <v>352</v>
      </c>
      <c r="B2846" s="53" t="s">
        <v>4479</v>
      </c>
      <c r="D2846" s="53" t="s">
        <v>4194</v>
      </c>
      <c r="E2846" s="53" t="s">
        <v>4516</v>
      </c>
      <c r="F2846" s="53" t="s">
        <v>4201</v>
      </c>
      <c r="G2846" s="53" t="s">
        <v>4202</v>
      </c>
      <c r="H2846" s="53">
        <v>0.3333333333333333</v>
      </c>
      <c r="I2846" s="53">
        <v>0.03669724770642202</v>
      </c>
      <c r="J2846" s="53">
        <v>1.0</v>
      </c>
      <c r="K2846" s="53" t="s">
        <v>53</v>
      </c>
      <c r="L2846" s="53" t="s">
        <v>4203</v>
      </c>
    </row>
    <row r="2847" ht="15.75" customHeight="1">
      <c r="A2847" s="53" t="s">
        <v>352</v>
      </c>
      <c r="B2847" s="53" t="s">
        <v>4479</v>
      </c>
      <c r="D2847" s="53" t="s">
        <v>4194</v>
      </c>
      <c r="E2847" s="53" t="s">
        <v>4517</v>
      </c>
      <c r="F2847" s="53" t="s">
        <v>4196</v>
      </c>
      <c r="G2847" s="53" t="s">
        <v>4197</v>
      </c>
      <c r="H2847" s="53">
        <v>0.3333333333333333</v>
      </c>
      <c r="I2847" s="53">
        <v>0.03669724770642202</v>
      </c>
      <c r="J2847" s="53">
        <v>3.0</v>
      </c>
      <c r="K2847" s="53" t="s">
        <v>53</v>
      </c>
      <c r="L2847" s="53" t="s">
        <v>4199</v>
      </c>
    </row>
    <row r="2848" ht="15.75" customHeight="1">
      <c r="A2848" s="53" t="s">
        <v>352</v>
      </c>
      <c r="B2848" s="53" t="s">
        <v>4479</v>
      </c>
      <c r="D2848" s="53" t="s">
        <v>4194</v>
      </c>
      <c r="E2848" s="53" t="s">
        <v>4518</v>
      </c>
      <c r="F2848" s="53" t="s">
        <v>4205</v>
      </c>
      <c r="G2848" s="53" t="s">
        <v>4206</v>
      </c>
      <c r="H2848" s="53">
        <v>0.3333333333333333</v>
      </c>
      <c r="I2848" s="53">
        <v>0.05504587155963303</v>
      </c>
      <c r="J2848" s="53">
        <v>5.0</v>
      </c>
      <c r="K2848" s="53" t="s">
        <v>53</v>
      </c>
      <c r="L2848" s="53" t="s">
        <v>4207</v>
      </c>
    </row>
    <row r="2849" ht="15.75" customHeight="1">
      <c r="A2849" s="53" t="s">
        <v>352</v>
      </c>
      <c r="B2849" s="53" t="s">
        <v>4479</v>
      </c>
      <c r="D2849" s="53" t="s">
        <v>4219</v>
      </c>
      <c r="E2849" s="53" t="s">
        <v>4220</v>
      </c>
      <c r="F2849" s="53" t="s">
        <v>4221</v>
      </c>
      <c r="G2849" s="53" t="s">
        <v>4222</v>
      </c>
      <c r="H2849" s="53">
        <v>0.5</v>
      </c>
      <c r="I2849" s="53">
        <v>0.030927835051546393</v>
      </c>
      <c r="J2849" s="53">
        <v>3.0</v>
      </c>
      <c r="K2849" s="53" t="s">
        <v>53</v>
      </c>
      <c r="L2849" s="53" t="s">
        <v>4199</v>
      </c>
    </row>
    <row r="2850" ht="15.75" customHeight="1">
      <c r="A2850" s="53" t="s">
        <v>352</v>
      </c>
      <c r="B2850" s="53" t="s">
        <v>4479</v>
      </c>
      <c r="D2850" s="53" t="s">
        <v>4219</v>
      </c>
      <c r="E2850" s="53" t="s">
        <v>4223</v>
      </c>
      <c r="F2850" s="53" t="s">
        <v>4224</v>
      </c>
      <c r="G2850" s="53" t="s">
        <v>4225</v>
      </c>
      <c r="H2850" s="53">
        <v>0.5</v>
      </c>
      <c r="I2850" s="53">
        <v>0.030927835051546393</v>
      </c>
      <c r="J2850" s="53">
        <v>1.0</v>
      </c>
      <c r="K2850" s="53" t="s">
        <v>53</v>
      </c>
      <c r="L2850" s="53" t="s">
        <v>4203</v>
      </c>
    </row>
    <row r="2851" ht="15.75" customHeight="1">
      <c r="A2851" s="53" t="s">
        <v>352</v>
      </c>
      <c r="B2851" s="53" t="s">
        <v>4479</v>
      </c>
      <c r="D2851" s="53" t="s">
        <v>4219</v>
      </c>
      <c r="E2851" s="53" t="s">
        <v>4226</v>
      </c>
      <c r="F2851" s="53" t="s">
        <v>4227</v>
      </c>
      <c r="G2851" s="53" t="s">
        <v>4228</v>
      </c>
      <c r="H2851" s="53">
        <v>0.5</v>
      </c>
      <c r="I2851" s="53">
        <v>0.04639175257731959</v>
      </c>
      <c r="J2851" s="53">
        <v>5.0</v>
      </c>
      <c r="K2851" s="53" t="s">
        <v>53</v>
      </c>
      <c r="L2851" s="53" t="s">
        <v>4207</v>
      </c>
    </row>
    <row r="2852" ht="15.75" customHeight="1">
      <c r="A2852" s="53" t="s">
        <v>352</v>
      </c>
      <c r="B2852" s="53" t="s">
        <v>4479</v>
      </c>
      <c r="D2852" s="53" t="s">
        <v>4202</v>
      </c>
      <c r="E2852" s="53" t="s">
        <v>4519</v>
      </c>
      <c r="F2852" s="53" t="s">
        <v>4209</v>
      </c>
      <c r="G2852" s="53" t="s">
        <v>4206</v>
      </c>
      <c r="H2852" s="53">
        <v>0.3333333333333333</v>
      </c>
      <c r="I2852" s="53">
        <v>0.05504587155963303</v>
      </c>
      <c r="J2852" s="53">
        <v>3.0</v>
      </c>
      <c r="K2852" s="53" t="s">
        <v>53</v>
      </c>
      <c r="L2852" s="53" t="s">
        <v>4210</v>
      </c>
    </row>
    <row r="2853" ht="15.75" customHeight="1">
      <c r="A2853" s="53" t="s">
        <v>352</v>
      </c>
      <c r="B2853" s="53" t="s">
        <v>4479</v>
      </c>
      <c r="D2853" s="53" t="s">
        <v>4202</v>
      </c>
      <c r="E2853" s="53" t="s">
        <v>4520</v>
      </c>
      <c r="F2853" s="53" t="s">
        <v>4212</v>
      </c>
      <c r="G2853" s="53" t="s">
        <v>4197</v>
      </c>
      <c r="H2853" s="53">
        <v>0.3333333333333333</v>
      </c>
      <c r="I2853" s="53">
        <v>0.05504587155963303</v>
      </c>
      <c r="J2853" s="53">
        <v>1.0</v>
      </c>
      <c r="K2853" s="53" t="s">
        <v>53</v>
      </c>
      <c r="L2853" s="53" t="s">
        <v>4213</v>
      </c>
    </row>
    <row r="2854" ht="15.75" customHeight="1">
      <c r="A2854" s="53" t="s">
        <v>352</v>
      </c>
      <c r="B2854" s="53" t="s">
        <v>4479</v>
      </c>
      <c r="D2854" s="53" t="s">
        <v>4225</v>
      </c>
      <c r="E2854" s="53" t="s">
        <v>4229</v>
      </c>
      <c r="F2854" s="53" t="s">
        <v>4230</v>
      </c>
      <c r="G2854" s="53" t="s">
        <v>4222</v>
      </c>
      <c r="H2854" s="53">
        <v>0.5</v>
      </c>
      <c r="I2854" s="53">
        <v>0.04639175257731959</v>
      </c>
      <c r="J2854" s="53">
        <v>1.0</v>
      </c>
      <c r="K2854" s="53" t="s">
        <v>53</v>
      </c>
      <c r="L2854" s="53" t="s">
        <v>4213</v>
      </c>
    </row>
    <row r="2855" ht="15.75" customHeight="1">
      <c r="A2855" s="53" t="s">
        <v>352</v>
      </c>
      <c r="B2855" s="53" t="s">
        <v>4479</v>
      </c>
      <c r="D2855" s="53" t="s">
        <v>4225</v>
      </c>
      <c r="E2855" s="53" t="s">
        <v>4231</v>
      </c>
      <c r="F2855" s="53" t="s">
        <v>4232</v>
      </c>
      <c r="G2855" s="53" t="s">
        <v>4228</v>
      </c>
      <c r="H2855" s="53">
        <v>0.5</v>
      </c>
      <c r="I2855" s="53">
        <v>0.04639175257731959</v>
      </c>
      <c r="J2855" s="53">
        <v>3.0</v>
      </c>
      <c r="K2855" s="53" t="s">
        <v>53</v>
      </c>
      <c r="L2855" s="53" t="s">
        <v>4210</v>
      </c>
    </row>
    <row r="2856" ht="15.75" customHeight="1">
      <c r="A2856" s="53" t="s">
        <v>352</v>
      </c>
      <c r="B2856" s="53" t="s">
        <v>4479</v>
      </c>
      <c r="D2856" s="53" t="s">
        <v>4197</v>
      </c>
      <c r="E2856" s="53" t="s">
        <v>4521</v>
      </c>
      <c r="F2856" s="53" t="s">
        <v>4215</v>
      </c>
      <c r="G2856" s="53" t="s">
        <v>4206</v>
      </c>
      <c r="H2856" s="53">
        <v>0.3333333333333333</v>
      </c>
      <c r="I2856" s="53">
        <v>0.05504587155963303</v>
      </c>
      <c r="J2856" s="53">
        <v>1.0</v>
      </c>
      <c r="K2856" s="53" t="s">
        <v>53</v>
      </c>
      <c r="L2856" s="53" t="s">
        <v>4216</v>
      </c>
    </row>
    <row r="2857" ht="15.75" customHeight="1">
      <c r="A2857" s="53" t="s">
        <v>352</v>
      </c>
      <c r="B2857" s="53" t="s">
        <v>4479</v>
      </c>
      <c r="D2857" s="53" t="s">
        <v>4222</v>
      </c>
      <c r="E2857" s="53" t="s">
        <v>4233</v>
      </c>
      <c r="F2857" s="53" t="s">
        <v>4234</v>
      </c>
      <c r="G2857" s="53" t="s">
        <v>4228</v>
      </c>
      <c r="H2857" s="53">
        <v>0.5</v>
      </c>
      <c r="I2857" s="53">
        <v>0.04639175257731959</v>
      </c>
      <c r="J2857" s="53">
        <v>1.0</v>
      </c>
      <c r="K2857" s="53" t="s">
        <v>53</v>
      </c>
      <c r="L2857" s="53" t="s">
        <v>4216</v>
      </c>
    </row>
    <row r="2858" ht="15.75" customHeight="1">
      <c r="A2858" s="53" t="s">
        <v>352</v>
      </c>
      <c r="B2858" s="53" t="s">
        <v>4479</v>
      </c>
      <c r="D2858" s="53" t="s">
        <v>760</v>
      </c>
      <c r="E2858" s="53" t="s">
        <v>4522</v>
      </c>
      <c r="F2858" s="53" t="s">
        <v>4523</v>
      </c>
      <c r="G2858" s="53" t="s">
        <v>747</v>
      </c>
      <c r="H2858" s="53">
        <v>0.3333333333333333</v>
      </c>
      <c r="I2858" s="53">
        <v>0.05202312138728324</v>
      </c>
      <c r="J2858" s="53">
        <v>3.0</v>
      </c>
      <c r="K2858" s="53" t="s">
        <v>53</v>
      </c>
      <c r="L2858" s="53" t="s">
        <v>2531</v>
      </c>
    </row>
    <row r="2859" ht="15.75" customHeight="1">
      <c r="A2859" s="53" t="s">
        <v>352</v>
      </c>
      <c r="B2859" s="53" t="s">
        <v>4479</v>
      </c>
      <c r="D2859" s="53" t="s">
        <v>4473</v>
      </c>
      <c r="E2859" s="53" t="s">
        <v>4474</v>
      </c>
      <c r="F2859" s="53" t="s">
        <v>4475</v>
      </c>
      <c r="G2859" s="53" t="s">
        <v>4476</v>
      </c>
      <c r="H2859" s="53">
        <v>0.5555555555555556</v>
      </c>
      <c r="I2859" s="53">
        <v>0.01990049751243781</v>
      </c>
      <c r="J2859" s="53">
        <v>0.0</v>
      </c>
      <c r="K2859" s="53" t="s">
        <v>53</v>
      </c>
      <c r="L2859" s="53" t="s">
        <v>4478</v>
      </c>
    </row>
    <row r="2860" ht="15.75" customHeight="1">
      <c r="A2860" s="53" t="s">
        <v>352</v>
      </c>
      <c r="B2860" s="53" t="s">
        <v>4479</v>
      </c>
      <c r="D2860" s="53" t="s">
        <v>2773</v>
      </c>
      <c r="E2860" s="53" t="s">
        <v>4524</v>
      </c>
      <c r="F2860" s="53" t="s">
        <v>2754</v>
      </c>
      <c r="G2860" s="53" t="s">
        <v>2780</v>
      </c>
      <c r="H2860" s="53">
        <v>0.7142857142857143</v>
      </c>
      <c r="I2860" s="53">
        <v>0.10430463576158941</v>
      </c>
      <c r="J2860" s="53">
        <v>0.0</v>
      </c>
      <c r="K2860" s="53" t="s">
        <v>53</v>
      </c>
      <c r="L2860" s="53" t="s">
        <v>2757</v>
      </c>
    </row>
    <row r="2861" ht="15.75" customHeight="1">
      <c r="A2861" s="53" t="s">
        <v>808</v>
      </c>
      <c r="B2861" s="53" t="s">
        <v>855</v>
      </c>
      <c r="D2861" s="53" t="s">
        <v>4525</v>
      </c>
      <c r="E2861" s="53" t="s">
        <v>4526</v>
      </c>
      <c r="F2861" s="53" t="s">
        <v>4527</v>
      </c>
      <c r="G2861" s="53" t="s">
        <v>4528</v>
      </c>
      <c r="H2861" s="53">
        <v>1.0</v>
      </c>
      <c r="I2861" s="53">
        <v>0.6924242424242424</v>
      </c>
      <c r="J2861" s="53">
        <v>27.0</v>
      </c>
      <c r="K2861" s="53" t="s">
        <v>53</v>
      </c>
      <c r="L2861" s="53" t="s">
        <v>53</v>
      </c>
    </row>
    <row r="2862" ht="15.75" customHeight="1">
      <c r="A2862" s="53" t="s">
        <v>808</v>
      </c>
      <c r="B2862" s="53" t="s">
        <v>855</v>
      </c>
      <c r="D2862" s="53" t="s">
        <v>3995</v>
      </c>
      <c r="E2862" s="53" t="s">
        <v>3996</v>
      </c>
      <c r="F2862" s="53" t="s">
        <v>3997</v>
      </c>
      <c r="G2862" s="53" t="s">
        <v>3998</v>
      </c>
      <c r="H2862" s="53">
        <v>1.0</v>
      </c>
      <c r="I2862" s="53">
        <v>0.0684931506849315</v>
      </c>
      <c r="J2862" s="53">
        <v>0.0</v>
      </c>
      <c r="K2862" s="53" t="s">
        <v>53</v>
      </c>
      <c r="L2862" s="53" t="s">
        <v>53</v>
      </c>
    </row>
    <row r="2863" ht="15.75" customHeight="1">
      <c r="A2863" s="53" t="s">
        <v>808</v>
      </c>
      <c r="B2863" s="53" t="s">
        <v>855</v>
      </c>
      <c r="D2863" s="53" t="s">
        <v>3995</v>
      </c>
      <c r="E2863" s="53" t="s">
        <v>4000</v>
      </c>
      <c r="F2863" s="53" t="s">
        <v>3997</v>
      </c>
      <c r="G2863" s="53" t="s">
        <v>4001</v>
      </c>
      <c r="H2863" s="53">
        <v>1.0</v>
      </c>
      <c r="I2863" s="53">
        <v>0.08108108108108109</v>
      </c>
      <c r="J2863" s="53">
        <v>1.0</v>
      </c>
      <c r="K2863" s="53" t="s">
        <v>53</v>
      </c>
      <c r="L2863" s="53" t="s">
        <v>53</v>
      </c>
    </row>
    <row r="2864" ht="15.75" customHeight="1">
      <c r="A2864" s="53" t="s">
        <v>808</v>
      </c>
      <c r="B2864" s="53" t="s">
        <v>855</v>
      </c>
      <c r="D2864" s="53" t="s">
        <v>3998</v>
      </c>
      <c r="E2864" s="53" t="s">
        <v>4002</v>
      </c>
      <c r="F2864" s="53" t="s">
        <v>3997</v>
      </c>
      <c r="G2864" s="53" t="s">
        <v>4001</v>
      </c>
      <c r="H2864" s="53">
        <v>1.0</v>
      </c>
      <c r="I2864" s="53">
        <v>0.06756756756756757</v>
      </c>
      <c r="J2864" s="53">
        <v>0.0</v>
      </c>
      <c r="K2864" s="53" t="s">
        <v>53</v>
      </c>
      <c r="L2864" s="53" t="s">
        <v>53</v>
      </c>
    </row>
    <row r="2865" ht="15.75" customHeight="1">
      <c r="A2865" s="53" t="s">
        <v>808</v>
      </c>
      <c r="B2865" s="53" t="s">
        <v>855</v>
      </c>
      <c r="D2865" s="53" t="s">
        <v>1181</v>
      </c>
      <c r="E2865" s="53" t="s">
        <v>4529</v>
      </c>
      <c r="F2865" s="53" t="s">
        <v>1183</v>
      </c>
      <c r="G2865" s="53" t="s">
        <v>1184</v>
      </c>
      <c r="H2865" s="53">
        <v>1.0</v>
      </c>
      <c r="I2865" s="53">
        <v>0.02527075812274368</v>
      </c>
      <c r="J2865" s="53">
        <v>0.0</v>
      </c>
      <c r="K2865" s="53" t="s">
        <v>53</v>
      </c>
      <c r="L2865" s="53" t="s">
        <v>53</v>
      </c>
    </row>
    <row r="2866" ht="15.75" customHeight="1">
      <c r="A2866" s="53" t="s">
        <v>808</v>
      </c>
      <c r="B2866" s="53" t="s">
        <v>855</v>
      </c>
      <c r="D2866" s="53" t="s">
        <v>1181</v>
      </c>
      <c r="E2866" s="53" t="s">
        <v>4530</v>
      </c>
      <c r="F2866" s="53" t="s">
        <v>1183</v>
      </c>
      <c r="G2866" s="53" t="s">
        <v>1187</v>
      </c>
      <c r="H2866" s="53">
        <v>1.0</v>
      </c>
      <c r="I2866" s="53">
        <v>0.0657439446366782</v>
      </c>
      <c r="J2866" s="53">
        <v>1.0</v>
      </c>
      <c r="K2866" s="53" t="s">
        <v>53</v>
      </c>
      <c r="L2866" s="53" t="s">
        <v>53</v>
      </c>
    </row>
    <row r="2867" ht="15.75" customHeight="1">
      <c r="A2867" s="53" t="s">
        <v>808</v>
      </c>
      <c r="B2867" s="53" t="s">
        <v>855</v>
      </c>
      <c r="D2867" s="53" t="s">
        <v>1181</v>
      </c>
      <c r="E2867" s="53" t="s">
        <v>4531</v>
      </c>
      <c r="F2867" s="53" t="s">
        <v>1183</v>
      </c>
      <c r="G2867" s="53" t="s">
        <v>1189</v>
      </c>
      <c r="H2867" s="53">
        <v>1.0</v>
      </c>
      <c r="I2867" s="53">
        <v>0.1536050156739812</v>
      </c>
      <c r="J2867" s="53">
        <v>2.0</v>
      </c>
      <c r="K2867" s="53" t="s">
        <v>53</v>
      </c>
      <c r="L2867" s="53" t="s">
        <v>53</v>
      </c>
    </row>
    <row r="2868" ht="15.75" customHeight="1">
      <c r="A2868" s="53" t="s">
        <v>808</v>
      </c>
      <c r="B2868" s="53" t="s">
        <v>855</v>
      </c>
      <c r="D2868" s="53" t="s">
        <v>1184</v>
      </c>
      <c r="E2868" s="53" t="s">
        <v>4532</v>
      </c>
      <c r="F2868" s="53" t="s">
        <v>1183</v>
      </c>
      <c r="G2868" s="53" t="s">
        <v>1187</v>
      </c>
      <c r="H2868" s="53">
        <v>1.0</v>
      </c>
      <c r="I2868" s="53">
        <v>0.0657439446366782</v>
      </c>
      <c r="J2868" s="53">
        <v>0.0</v>
      </c>
      <c r="K2868" s="53" t="s">
        <v>53</v>
      </c>
      <c r="L2868" s="53" t="s">
        <v>53</v>
      </c>
    </row>
    <row r="2869" ht="15.75" customHeight="1">
      <c r="A2869" s="53" t="s">
        <v>808</v>
      </c>
      <c r="B2869" s="53" t="s">
        <v>855</v>
      </c>
      <c r="D2869" s="53" t="s">
        <v>1184</v>
      </c>
      <c r="E2869" s="53" t="s">
        <v>4533</v>
      </c>
      <c r="F2869" s="53" t="s">
        <v>1183</v>
      </c>
      <c r="G2869" s="53" t="s">
        <v>1189</v>
      </c>
      <c r="H2869" s="53">
        <v>1.0</v>
      </c>
      <c r="I2869" s="53">
        <v>0.1536050156739812</v>
      </c>
      <c r="J2869" s="53">
        <v>1.0</v>
      </c>
      <c r="K2869" s="53" t="s">
        <v>53</v>
      </c>
      <c r="L2869" s="53" t="s">
        <v>53</v>
      </c>
    </row>
    <row r="2870" ht="15.75" customHeight="1">
      <c r="A2870" s="53" t="s">
        <v>808</v>
      </c>
      <c r="B2870" s="53" t="s">
        <v>855</v>
      </c>
      <c r="D2870" s="53" t="s">
        <v>1187</v>
      </c>
      <c r="E2870" s="53" t="s">
        <v>4534</v>
      </c>
      <c r="F2870" s="53" t="s">
        <v>1183</v>
      </c>
      <c r="G2870" s="53" t="s">
        <v>1189</v>
      </c>
      <c r="H2870" s="53">
        <v>1.0</v>
      </c>
      <c r="I2870" s="53">
        <v>0.11598746081504702</v>
      </c>
      <c r="J2870" s="53">
        <v>0.0</v>
      </c>
      <c r="K2870" s="53" t="s">
        <v>53</v>
      </c>
      <c r="L2870" s="53" t="s">
        <v>53</v>
      </c>
    </row>
    <row r="2871" ht="15.75" customHeight="1">
      <c r="A2871" s="53" t="s">
        <v>808</v>
      </c>
      <c r="B2871" s="53" t="s">
        <v>855</v>
      </c>
      <c r="D2871" s="53" t="s">
        <v>75</v>
      </c>
      <c r="E2871" s="53" t="s">
        <v>4535</v>
      </c>
      <c r="F2871" s="53" t="s">
        <v>73</v>
      </c>
      <c r="G2871" s="53" t="s">
        <v>820</v>
      </c>
      <c r="H2871" s="53">
        <v>1.0</v>
      </c>
      <c r="I2871" s="53">
        <v>0.6391752577319587</v>
      </c>
      <c r="J2871" s="53">
        <v>45.0</v>
      </c>
      <c r="K2871" s="53" t="s">
        <v>53</v>
      </c>
      <c r="L2871" s="53" t="s">
        <v>53</v>
      </c>
    </row>
    <row r="2872" ht="15.75" customHeight="1">
      <c r="A2872" s="53" t="s">
        <v>808</v>
      </c>
      <c r="B2872" s="53" t="s">
        <v>855</v>
      </c>
      <c r="D2872" s="53" t="s">
        <v>75</v>
      </c>
      <c r="E2872" s="53" t="s">
        <v>4536</v>
      </c>
      <c r="F2872" s="53" t="s">
        <v>73</v>
      </c>
      <c r="G2872" s="53" t="s">
        <v>815</v>
      </c>
      <c r="H2872" s="53">
        <v>1.0</v>
      </c>
      <c r="I2872" s="53">
        <v>0.6391752577319587</v>
      </c>
      <c r="J2872" s="53">
        <v>44.0</v>
      </c>
      <c r="K2872" s="53" t="s">
        <v>53</v>
      </c>
      <c r="L2872" s="53" t="s">
        <v>53</v>
      </c>
    </row>
    <row r="2873" ht="15.75" customHeight="1">
      <c r="A2873" s="53" t="s">
        <v>808</v>
      </c>
      <c r="B2873" s="53" t="s">
        <v>855</v>
      </c>
      <c r="D2873" s="53" t="s">
        <v>75</v>
      </c>
      <c r="E2873" s="53" t="s">
        <v>2596</v>
      </c>
      <c r="F2873" s="53" t="s">
        <v>73</v>
      </c>
      <c r="G2873" s="53" t="s">
        <v>114</v>
      </c>
      <c r="H2873" s="53">
        <v>1.0</v>
      </c>
      <c r="I2873" s="53">
        <v>0.6818181818181818</v>
      </c>
      <c r="J2873" s="53">
        <v>28.0</v>
      </c>
      <c r="K2873" s="53" t="s">
        <v>53</v>
      </c>
      <c r="L2873" s="53" t="s">
        <v>53</v>
      </c>
    </row>
    <row r="2874" ht="15.75" customHeight="1">
      <c r="A2874" s="53" t="s">
        <v>808</v>
      </c>
      <c r="B2874" s="53" t="s">
        <v>855</v>
      </c>
      <c r="D2874" s="53" t="s">
        <v>75</v>
      </c>
      <c r="E2874" s="53" t="s">
        <v>2597</v>
      </c>
      <c r="F2874" s="53" t="s">
        <v>73</v>
      </c>
      <c r="G2874" s="53" t="s">
        <v>69</v>
      </c>
      <c r="H2874" s="53">
        <v>1.0</v>
      </c>
      <c r="I2874" s="53">
        <v>0.6846846846846847</v>
      </c>
      <c r="J2874" s="53">
        <v>27.0</v>
      </c>
      <c r="K2874" s="53" t="s">
        <v>53</v>
      </c>
      <c r="L2874" s="53" t="s">
        <v>53</v>
      </c>
    </row>
    <row r="2875" ht="15.75" customHeight="1">
      <c r="A2875" s="53" t="s">
        <v>808</v>
      </c>
      <c r="B2875" s="53" t="s">
        <v>855</v>
      </c>
      <c r="D2875" s="53" t="s">
        <v>1397</v>
      </c>
      <c r="E2875" s="53" t="s">
        <v>4537</v>
      </c>
      <c r="F2875" s="53" t="s">
        <v>1399</v>
      </c>
      <c r="G2875" s="53" t="s">
        <v>1400</v>
      </c>
      <c r="H2875" s="53">
        <v>0.8</v>
      </c>
      <c r="I2875" s="53">
        <v>0.3145869947275923</v>
      </c>
      <c r="J2875" s="53">
        <v>0.0</v>
      </c>
      <c r="K2875" s="53" t="s">
        <v>53</v>
      </c>
      <c r="L2875" s="53" t="s">
        <v>1402</v>
      </c>
    </row>
    <row r="2876" ht="15.75" customHeight="1">
      <c r="A2876" s="53" t="s">
        <v>808</v>
      </c>
      <c r="B2876" s="53" t="s">
        <v>855</v>
      </c>
      <c r="D2876" s="53" t="s">
        <v>1908</v>
      </c>
      <c r="E2876" s="53" t="s">
        <v>4538</v>
      </c>
      <c r="F2876" s="53" t="s">
        <v>2486</v>
      </c>
      <c r="G2876" s="53" t="s">
        <v>1911</v>
      </c>
      <c r="H2876" s="53">
        <v>1.0</v>
      </c>
      <c r="I2876" s="53">
        <v>0.24</v>
      </c>
      <c r="J2876" s="53">
        <v>9.0</v>
      </c>
      <c r="K2876" s="53" t="s">
        <v>53</v>
      </c>
      <c r="L2876" s="53" t="s">
        <v>53</v>
      </c>
    </row>
    <row r="2877" ht="15.75" customHeight="1">
      <c r="A2877" s="53" t="s">
        <v>808</v>
      </c>
      <c r="B2877" s="53" t="s">
        <v>855</v>
      </c>
      <c r="D2877" s="53" t="s">
        <v>1908</v>
      </c>
      <c r="E2877" s="53" t="s">
        <v>4539</v>
      </c>
      <c r="F2877" s="53" t="s">
        <v>2487</v>
      </c>
      <c r="G2877" s="53" t="s">
        <v>1914</v>
      </c>
      <c r="H2877" s="53">
        <v>1.0</v>
      </c>
      <c r="I2877" s="53">
        <v>0.3875598086124402</v>
      </c>
      <c r="J2877" s="53">
        <v>0.0</v>
      </c>
      <c r="K2877" s="53" t="s">
        <v>53</v>
      </c>
      <c r="L2877" s="53" t="s">
        <v>1527</v>
      </c>
    </row>
    <row r="2878" ht="15.75" customHeight="1">
      <c r="A2878" s="53" t="s">
        <v>808</v>
      </c>
      <c r="B2878" s="53" t="s">
        <v>855</v>
      </c>
      <c r="D2878" s="53" t="s">
        <v>1908</v>
      </c>
      <c r="E2878" s="53" t="s">
        <v>4540</v>
      </c>
      <c r="F2878" s="53" t="s">
        <v>2488</v>
      </c>
      <c r="G2878" s="53" t="s">
        <v>1919</v>
      </c>
      <c r="H2878" s="53">
        <v>1.0</v>
      </c>
      <c r="I2878" s="53">
        <v>0.7530864197530864</v>
      </c>
      <c r="J2878" s="53">
        <v>1.0</v>
      </c>
      <c r="K2878" s="53" t="s">
        <v>53</v>
      </c>
      <c r="L2878" s="53" t="s">
        <v>1527</v>
      </c>
    </row>
    <row r="2879" ht="15.75" customHeight="1">
      <c r="A2879" s="53" t="s">
        <v>808</v>
      </c>
      <c r="B2879" s="53" t="s">
        <v>855</v>
      </c>
      <c r="D2879" s="53" t="s">
        <v>1908</v>
      </c>
      <c r="E2879" s="53" t="s">
        <v>4541</v>
      </c>
      <c r="F2879" s="53" t="s">
        <v>2488</v>
      </c>
      <c r="G2879" s="53" t="s">
        <v>1917</v>
      </c>
      <c r="H2879" s="53">
        <v>1.0</v>
      </c>
      <c r="I2879" s="53">
        <v>0.7565922920892495</v>
      </c>
      <c r="J2879" s="53">
        <v>2.0</v>
      </c>
      <c r="K2879" s="53" t="s">
        <v>53</v>
      </c>
      <c r="L2879" s="53" t="s">
        <v>1527</v>
      </c>
    </row>
    <row r="2880" ht="15.75" customHeight="1">
      <c r="A2880" s="53" t="s">
        <v>808</v>
      </c>
      <c r="B2880" s="53" t="s">
        <v>855</v>
      </c>
      <c r="D2880" s="53" t="s">
        <v>1908</v>
      </c>
      <c r="E2880" s="53" t="s">
        <v>4542</v>
      </c>
      <c r="F2880" s="53" t="s">
        <v>2489</v>
      </c>
      <c r="G2880" s="53" t="s">
        <v>1922</v>
      </c>
      <c r="H2880" s="53">
        <v>1.0</v>
      </c>
      <c r="I2880" s="53">
        <v>0.7662835249042146</v>
      </c>
      <c r="J2880" s="53">
        <v>12.0</v>
      </c>
      <c r="K2880" s="53" t="s">
        <v>53</v>
      </c>
      <c r="L2880" s="53" t="s">
        <v>1527</v>
      </c>
    </row>
    <row r="2881" ht="15.75" customHeight="1">
      <c r="A2881" s="53" t="s">
        <v>808</v>
      </c>
      <c r="B2881" s="53" t="s">
        <v>855</v>
      </c>
      <c r="D2881" s="53" t="s">
        <v>1914</v>
      </c>
      <c r="E2881" s="53" t="s">
        <v>4543</v>
      </c>
      <c r="F2881" s="53" t="s">
        <v>2490</v>
      </c>
      <c r="G2881" s="53" t="s">
        <v>1911</v>
      </c>
      <c r="H2881" s="53">
        <v>1.0</v>
      </c>
      <c r="I2881" s="53">
        <v>0.41626794258373206</v>
      </c>
      <c r="J2881" s="53">
        <v>8.0</v>
      </c>
      <c r="K2881" s="53" t="s">
        <v>53</v>
      </c>
      <c r="L2881" s="53" t="s">
        <v>1527</v>
      </c>
    </row>
    <row r="2882" ht="15.75" customHeight="1">
      <c r="A2882" s="53" t="s">
        <v>808</v>
      </c>
      <c r="B2882" s="53" t="s">
        <v>855</v>
      </c>
      <c r="D2882" s="53" t="s">
        <v>1914</v>
      </c>
      <c r="E2882" s="53" t="s">
        <v>4544</v>
      </c>
      <c r="F2882" s="53" t="s">
        <v>2491</v>
      </c>
      <c r="G2882" s="53" t="s">
        <v>1919</v>
      </c>
      <c r="H2882" s="53">
        <v>1.0</v>
      </c>
      <c r="I2882" s="53">
        <v>0.5967078189300411</v>
      </c>
      <c r="J2882" s="53">
        <v>0.0</v>
      </c>
      <c r="K2882" s="53" t="s">
        <v>53</v>
      </c>
      <c r="L2882" s="53" t="s">
        <v>53</v>
      </c>
    </row>
    <row r="2883" ht="15.75" customHeight="1">
      <c r="A2883" s="53" t="s">
        <v>808</v>
      </c>
      <c r="B2883" s="53" t="s">
        <v>855</v>
      </c>
      <c r="D2883" s="53" t="s">
        <v>1914</v>
      </c>
      <c r="E2883" s="53" t="s">
        <v>4545</v>
      </c>
      <c r="F2883" s="53" t="s">
        <v>2491</v>
      </c>
      <c r="G2883" s="53" t="s">
        <v>1917</v>
      </c>
      <c r="H2883" s="53">
        <v>1.0</v>
      </c>
      <c r="I2883" s="53">
        <v>0.6024340770791075</v>
      </c>
      <c r="J2883" s="53">
        <v>1.0</v>
      </c>
      <c r="K2883" s="53" t="s">
        <v>53</v>
      </c>
      <c r="L2883" s="53" t="s">
        <v>53</v>
      </c>
    </row>
    <row r="2884" ht="15.75" customHeight="1">
      <c r="A2884" s="53" t="s">
        <v>808</v>
      </c>
      <c r="B2884" s="53" t="s">
        <v>855</v>
      </c>
      <c r="D2884" s="53" t="s">
        <v>1914</v>
      </c>
      <c r="E2884" s="53" t="s">
        <v>4546</v>
      </c>
      <c r="F2884" s="53" t="s">
        <v>2492</v>
      </c>
      <c r="G2884" s="53" t="s">
        <v>1922</v>
      </c>
      <c r="H2884" s="53">
        <v>1.0</v>
      </c>
      <c r="I2884" s="53">
        <v>0.6130268199233716</v>
      </c>
      <c r="J2884" s="53">
        <v>11.0</v>
      </c>
      <c r="K2884" s="53" t="s">
        <v>53</v>
      </c>
      <c r="L2884" s="53" t="s">
        <v>53</v>
      </c>
    </row>
    <row r="2885" ht="15.75" customHeight="1">
      <c r="A2885" s="53" t="s">
        <v>808</v>
      </c>
      <c r="B2885" s="53" t="s">
        <v>855</v>
      </c>
      <c r="D2885" s="53" t="s">
        <v>1919</v>
      </c>
      <c r="E2885" s="53" t="s">
        <v>4547</v>
      </c>
      <c r="F2885" s="53" t="s">
        <v>2493</v>
      </c>
      <c r="G2885" s="53" t="s">
        <v>1917</v>
      </c>
      <c r="H2885" s="53">
        <v>1.0</v>
      </c>
      <c r="I2885" s="53">
        <v>0.014198782961460446</v>
      </c>
      <c r="J2885" s="53">
        <v>0.0</v>
      </c>
      <c r="K2885" s="53" t="s">
        <v>53</v>
      </c>
      <c r="L2885" s="53" t="s">
        <v>53</v>
      </c>
    </row>
    <row r="2886" ht="15.75" customHeight="1">
      <c r="A2886" s="53" t="s">
        <v>808</v>
      </c>
      <c r="B2886" s="53" t="s">
        <v>855</v>
      </c>
      <c r="D2886" s="53" t="s">
        <v>1919</v>
      </c>
      <c r="E2886" s="53" t="s">
        <v>4548</v>
      </c>
      <c r="F2886" s="53" t="s">
        <v>2494</v>
      </c>
      <c r="G2886" s="53" t="s">
        <v>1922</v>
      </c>
      <c r="H2886" s="53">
        <v>1.0</v>
      </c>
      <c r="I2886" s="53">
        <v>0.2222222222222222</v>
      </c>
      <c r="J2886" s="53">
        <v>10.0</v>
      </c>
      <c r="K2886" s="53" t="s">
        <v>53</v>
      </c>
      <c r="L2886" s="53" t="s">
        <v>53</v>
      </c>
    </row>
    <row r="2887" ht="15.75" customHeight="1">
      <c r="A2887" s="53" t="s">
        <v>808</v>
      </c>
      <c r="B2887" s="53" t="s">
        <v>855</v>
      </c>
      <c r="D2887" s="53" t="s">
        <v>1919</v>
      </c>
      <c r="E2887" s="53" t="s">
        <v>4549</v>
      </c>
      <c r="F2887" s="53" t="s">
        <v>2495</v>
      </c>
      <c r="G2887" s="53" t="s">
        <v>1911</v>
      </c>
      <c r="H2887" s="53">
        <v>1.0</v>
      </c>
      <c r="I2887" s="53">
        <v>0.7448559670781894</v>
      </c>
      <c r="J2887" s="53">
        <v>7.0</v>
      </c>
      <c r="K2887" s="53" t="s">
        <v>53</v>
      </c>
      <c r="L2887" s="53" t="s">
        <v>1527</v>
      </c>
    </row>
    <row r="2888" ht="15.75" customHeight="1">
      <c r="A2888" s="53" t="s">
        <v>808</v>
      </c>
      <c r="B2888" s="53" t="s">
        <v>855</v>
      </c>
      <c r="D2888" s="53" t="s">
        <v>1917</v>
      </c>
      <c r="E2888" s="53" t="s">
        <v>4550</v>
      </c>
      <c r="F2888" s="53" t="s">
        <v>2494</v>
      </c>
      <c r="G2888" s="53" t="s">
        <v>1922</v>
      </c>
      <c r="H2888" s="53">
        <v>1.0</v>
      </c>
      <c r="I2888" s="53">
        <v>0.23563218390804597</v>
      </c>
      <c r="J2888" s="53">
        <v>9.0</v>
      </c>
      <c r="K2888" s="53" t="s">
        <v>53</v>
      </c>
      <c r="L2888" s="53" t="s">
        <v>53</v>
      </c>
    </row>
    <row r="2889" ht="15.75" customHeight="1">
      <c r="A2889" s="53" t="s">
        <v>808</v>
      </c>
      <c r="B2889" s="53" t="s">
        <v>855</v>
      </c>
      <c r="D2889" s="53" t="s">
        <v>1917</v>
      </c>
      <c r="E2889" s="53" t="s">
        <v>4551</v>
      </c>
      <c r="F2889" s="53" t="s">
        <v>2495</v>
      </c>
      <c r="G2889" s="53" t="s">
        <v>1911</v>
      </c>
      <c r="H2889" s="53">
        <v>1.0</v>
      </c>
      <c r="I2889" s="53">
        <v>0.7484787018255578</v>
      </c>
      <c r="J2889" s="53">
        <v>6.0</v>
      </c>
      <c r="K2889" s="53" t="s">
        <v>53</v>
      </c>
      <c r="L2889" s="53" t="s">
        <v>1527</v>
      </c>
    </row>
    <row r="2890" ht="15.75" customHeight="1">
      <c r="A2890" s="53" t="s">
        <v>808</v>
      </c>
      <c r="B2890" s="53" t="s">
        <v>855</v>
      </c>
      <c r="D2890" s="53" t="s">
        <v>1911</v>
      </c>
      <c r="E2890" s="53" t="s">
        <v>4552</v>
      </c>
      <c r="F2890" s="53" t="s">
        <v>2489</v>
      </c>
      <c r="G2890" s="53" t="s">
        <v>1922</v>
      </c>
      <c r="H2890" s="53">
        <v>1.0</v>
      </c>
      <c r="I2890" s="53">
        <v>0.735632183908046</v>
      </c>
      <c r="J2890" s="53">
        <v>2.0</v>
      </c>
      <c r="K2890" s="53" t="s">
        <v>53</v>
      </c>
      <c r="L2890" s="53" t="s">
        <v>1527</v>
      </c>
    </row>
    <row r="2891" ht="15.75" customHeight="1">
      <c r="A2891" s="53" t="s">
        <v>808</v>
      </c>
      <c r="B2891" s="53" t="s">
        <v>855</v>
      </c>
      <c r="D2891" s="53" t="s">
        <v>4553</v>
      </c>
      <c r="E2891" s="53" t="s">
        <v>4554</v>
      </c>
      <c r="F2891" s="53" t="s">
        <v>4555</v>
      </c>
      <c r="G2891" s="53" t="s">
        <v>4556</v>
      </c>
      <c r="H2891" s="53">
        <v>0.8</v>
      </c>
      <c r="I2891" s="53">
        <v>0.68</v>
      </c>
      <c r="J2891" s="53">
        <v>0.0</v>
      </c>
      <c r="K2891" s="53" t="s">
        <v>53</v>
      </c>
      <c r="L2891" s="53" t="s">
        <v>4557</v>
      </c>
    </row>
    <row r="2892" ht="15.75" customHeight="1">
      <c r="A2892" s="53" t="s">
        <v>808</v>
      </c>
      <c r="B2892" s="53" t="s">
        <v>855</v>
      </c>
      <c r="D2892" s="53" t="s">
        <v>1939</v>
      </c>
      <c r="E2892" s="53" t="s">
        <v>4558</v>
      </c>
      <c r="F2892" s="53" t="s">
        <v>2496</v>
      </c>
      <c r="G2892" s="53" t="s">
        <v>1942</v>
      </c>
      <c r="H2892" s="53">
        <v>1.0</v>
      </c>
      <c r="I2892" s="53">
        <v>0.9691731141199227</v>
      </c>
      <c r="J2892" s="53">
        <v>8.0</v>
      </c>
      <c r="K2892" s="53" t="s">
        <v>53</v>
      </c>
      <c r="L2892" s="53" t="s">
        <v>53</v>
      </c>
    </row>
    <row r="2893" ht="15.75" customHeight="1">
      <c r="A2893" s="53" t="s">
        <v>808</v>
      </c>
      <c r="B2893" s="53" t="s">
        <v>855</v>
      </c>
      <c r="D2893" s="53" t="s">
        <v>69</v>
      </c>
      <c r="E2893" s="53" t="s">
        <v>2598</v>
      </c>
      <c r="F2893" s="53" t="s">
        <v>73</v>
      </c>
      <c r="G2893" s="53" t="s">
        <v>114</v>
      </c>
      <c r="H2893" s="53">
        <v>1.0</v>
      </c>
      <c r="I2893" s="53">
        <v>0.06306306306306306</v>
      </c>
      <c r="J2893" s="53">
        <v>0.0</v>
      </c>
      <c r="K2893" s="53" t="s">
        <v>53</v>
      </c>
      <c r="L2893" s="53" t="s">
        <v>53</v>
      </c>
    </row>
    <row r="2894" ht="15.75" customHeight="1">
      <c r="A2894" s="53" t="s">
        <v>808</v>
      </c>
      <c r="B2894" s="53" t="s">
        <v>855</v>
      </c>
      <c r="D2894" s="53" t="s">
        <v>69</v>
      </c>
      <c r="E2894" s="53" t="s">
        <v>817</v>
      </c>
      <c r="F2894" s="53" t="s">
        <v>73</v>
      </c>
      <c r="G2894" s="53" t="s">
        <v>820</v>
      </c>
      <c r="H2894" s="53">
        <v>1.0</v>
      </c>
      <c r="I2894" s="53">
        <v>0.5675675675675675</v>
      </c>
      <c r="J2894" s="53">
        <v>17.0</v>
      </c>
      <c r="K2894" s="53" t="s">
        <v>53</v>
      </c>
      <c r="L2894" s="53" t="s">
        <v>53</v>
      </c>
    </row>
    <row r="2895" ht="15.75" customHeight="1">
      <c r="A2895" s="53" t="s">
        <v>808</v>
      </c>
      <c r="B2895" s="53" t="s">
        <v>855</v>
      </c>
      <c r="D2895" s="53" t="s">
        <v>69</v>
      </c>
      <c r="E2895" s="53" t="s">
        <v>812</v>
      </c>
      <c r="F2895" s="53" t="s">
        <v>73</v>
      </c>
      <c r="G2895" s="53" t="s">
        <v>815</v>
      </c>
      <c r="H2895" s="53">
        <v>1.0</v>
      </c>
      <c r="I2895" s="53">
        <v>0.5675675675675675</v>
      </c>
      <c r="J2895" s="53">
        <v>16.0</v>
      </c>
      <c r="K2895" s="53" t="s">
        <v>53</v>
      </c>
      <c r="L2895" s="53" t="s">
        <v>53</v>
      </c>
    </row>
    <row r="2896" ht="15.75" customHeight="1">
      <c r="A2896" s="53" t="s">
        <v>808</v>
      </c>
      <c r="B2896" s="53" t="s">
        <v>855</v>
      </c>
      <c r="D2896" s="53" t="s">
        <v>114</v>
      </c>
      <c r="E2896" s="53" t="s">
        <v>4559</v>
      </c>
      <c r="F2896" s="53" t="s">
        <v>73</v>
      </c>
      <c r="G2896" s="53" t="s">
        <v>820</v>
      </c>
      <c r="H2896" s="53">
        <v>1.0</v>
      </c>
      <c r="I2896" s="53">
        <v>0.5818181818181818</v>
      </c>
      <c r="J2896" s="53">
        <v>16.0</v>
      </c>
      <c r="K2896" s="53" t="s">
        <v>53</v>
      </c>
      <c r="L2896" s="53" t="s">
        <v>53</v>
      </c>
    </row>
    <row r="2897" ht="15.75" customHeight="1">
      <c r="A2897" s="53" t="s">
        <v>808</v>
      </c>
      <c r="B2897" s="53" t="s">
        <v>855</v>
      </c>
      <c r="D2897" s="53" t="s">
        <v>114</v>
      </c>
      <c r="E2897" s="53" t="s">
        <v>4560</v>
      </c>
      <c r="F2897" s="53" t="s">
        <v>73</v>
      </c>
      <c r="G2897" s="53" t="s">
        <v>815</v>
      </c>
      <c r="H2897" s="53">
        <v>1.0</v>
      </c>
      <c r="I2897" s="53">
        <v>0.5818181818181818</v>
      </c>
      <c r="J2897" s="53">
        <v>15.0</v>
      </c>
      <c r="K2897" s="53" t="s">
        <v>53</v>
      </c>
      <c r="L2897" s="53" t="s">
        <v>53</v>
      </c>
    </row>
    <row r="2898" ht="15.75" customHeight="1">
      <c r="A2898" s="53" t="s">
        <v>808</v>
      </c>
      <c r="B2898" s="53" t="s">
        <v>855</v>
      </c>
      <c r="D2898" s="53" t="s">
        <v>1942</v>
      </c>
      <c r="E2898" s="53" t="s">
        <v>4561</v>
      </c>
      <c r="F2898" s="53" t="s">
        <v>2497</v>
      </c>
      <c r="G2898" s="53" t="s">
        <v>1946</v>
      </c>
      <c r="H2898" s="53">
        <v>0.2</v>
      </c>
      <c r="I2898" s="53">
        <v>0.09994359842075579</v>
      </c>
      <c r="J2898" s="53">
        <v>0.0</v>
      </c>
      <c r="K2898" s="53" t="s">
        <v>53</v>
      </c>
      <c r="L2898" s="53" t="s">
        <v>2498</v>
      </c>
    </row>
    <row r="2899" ht="15.75" customHeight="1">
      <c r="A2899" s="53" t="s">
        <v>808</v>
      </c>
      <c r="B2899" s="53" t="s">
        <v>855</v>
      </c>
      <c r="D2899" s="53" t="s">
        <v>1946</v>
      </c>
      <c r="E2899" s="53" t="s">
        <v>1948</v>
      </c>
      <c r="F2899" s="53" t="s">
        <v>2499</v>
      </c>
      <c r="G2899" s="53" t="s">
        <v>1950</v>
      </c>
      <c r="H2899" s="53">
        <v>1.0</v>
      </c>
      <c r="I2899" s="53">
        <v>0.3670614777213762</v>
      </c>
      <c r="J2899" s="53">
        <v>1.0</v>
      </c>
      <c r="K2899" s="53" t="s">
        <v>53</v>
      </c>
      <c r="L2899" s="53" t="s">
        <v>53</v>
      </c>
    </row>
    <row r="2900" ht="15.75" customHeight="1">
      <c r="A2900" s="53" t="s">
        <v>808</v>
      </c>
      <c r="B2900" s="53" t="s">
        <v>855</v>
      </c>
      <c r="D2900" s="53" t="s">
        <v>1951</v>
      </c>
      <c r="E2900" s="53" t="s">
        <v>1952</v>
      </c>
      <c r="F2900" s="53" t="s">
        <v>2500</v>
      </c>
      <c r="G2900" s="53" t="s">
        <v>1950</v>
      </c>
      <c r="H2900" s="53">
        <v>0.3333333333333333</v>
      </c>
      <c r="I2900" s="53">
        <v>0.06792058516196448</v>
      </c>
      <c r="J2900" s="53">
        <v>0.0</v>
      </c>
      <c r="K2900" s="53" t="s">
        <v>53</v>
      </c>
      <c r="L2900" s="53" t="s">
        <v>2501</v>
      </c>
    </row>
    <row r="2901" ht="15.75" customHeight="1">
      <c r="A2901" s="53" t="s">
        <v>808</v>
      </c>
      <c r="B2901" s="53" t="s">
        <v>855</v>
      </c>
      <c r="D2901" s="53" t="s">
        <v>815</v>
      </c>
      <c r="E2901" s="53" t="s">
        <v>4422</v>
      </c>
      <c r="F2901" s="53" t="s">
        <v>73</v>
      </c>
      <c r="G2901" s="53" t="s">
        <v>820</v>
      </c>
      <c r="H2901" s="53">
        <v>1.0</v>
      </c>
      <c r="I2901" s="53">
        <v>0.010309278350515464</v>
      </c>
      <c r="J2901" s="53">
        <v>0.0</v>
      </c>
      <c r="K2901" s="53" t="s">
        <v>53</v>
      </c>
      <c r="L2901" s="53" t="s">
        <v>53</v>
      </c>
    </row>
    <row r="2902" ht="15.75" customHeight="1">
      <c r="A2902" s="53" t="s">
        <v>340</v>
      </c>
      <c r="B2902" s="53" t="s">
        <v>855</v>
      </c>
      <c r="D2902" s="53" t="s">
        <v>349</v>
      </c>
      <c r="E2902" s="53" t="s">
        <v>4562</v>
      </c>
      <c r="F2902" s="53" t="s">
        <v>347</v>
      </c>
      <c r="G2902" s="53" t="s">
        <v>343</v>
      </c>
      <c r="H2902" s="53">
        <v>1.0</v>
      </c>
      <c r="I2902" s="53">
        <v>0.041666666666666664</v>
      </c>
      <c r="J2902" s="53">
        <v>2.0</v>
      </c>
      <c r="K2902" s="53" t="s">
        <v>53</v>
      </c>
      <c r="L2902" s="53" t="s">
        <v>53</v>
      </c>
    </row>
    <row r="2903" ht="15.75" customHeight="1">
      <c r="A2903" s="53" t="s">
        <v>340</v>
      </c>
      <c r="B2903" s="53" t="s">
        <v>855</v>
      </c>
      <c r="D2903" s="53" t="s">
        <v>349</v>
      </c>
      <c r="E2903" s="53" t="s">
        <v>4563</v>
      </c>
      <c r="F2903" s="53" t="s">
        <v>347</v>
      </c>
      <c r="G2903" s="53" t="s">
        <v>2734</v>
      </c>
      <c r="H2903" s="53">
        <v>1.0</v>
      </c>
      <c r="I2903" s="53">
        <v>0.06722689075630252</v>
      </c>
      <c r="J2903" s="53">
        <v>0.0</v>
      </c>
      <c r="K2903" s="53" t="s">
        <v>53</v>
      </c>
      <c r="L2903" s="53" t="s">
        <v>53</v>
      </c>
    </row>
    <row r="2904" ht="15.75" customHeight="1">
      <c r="A2904" s="53" t="s">
        <v>340</v>
      </c>
      <c r="B2904" s="53" t="s">
        <v>855</v>
      </c>
      <c r="D2904" s="53" t="s">
        <v>349</v>
      </c>
      <c r="E2904" s="53" t="s">
        <v>4564</v>
      </c>
      <c r="F2904" s="53" t="s">
        <v>347</v>
      </c>
      <c r="G2904" s="53" t="s">
        <v>2737</v>
      </c>
      <c r="H2904" s="53">
        <v>1.0</v>
      </c>
      <c r="I2904" s="53">
        <v>0.2857142857142857</v>
      </c>
      <c r="J2904" s="53">
        <v>1.0</v>
      </c>
      <c r="K2904" s="53" t="s">
        <v>53</v>
      </c>
      <c r="L2904" s="53" t="s">
        <v>53</v>
      </c>
    </row>
    <row r="2905" ht="15.75" customHeight="1">
      <c r="A2905" s="53" t="s">
        <v>340</v>
      </c>
      <c r="B2905" s="53" t="s">
        <v>855</v>
      </c>
      <c r="D2905" s="53" t="s">
        <v>2734</v>
      </c>
      <c r="E2905" s="53" t="s">
        <v>4565</v>
      </c>
      <c r="F2905" s="53" t="s">
        <v>347</v>
      </c>
      <c r="G2905" s="53" t="s">
        <v>343</v>
      </c>
      <c r="H2905" s="53">
        <v>1.0</v>
      </c>
      <c r="I2905" s="53">
        <v>0.08333333333333333</v>
      </c>
      <c r="J2905" s="53">
        <v>1.0</v>
      </c>
      <c r="K2905" s="53" t="s">
        <v>53</v>
      </c>
      <c r="L2905" s="53" t="s">
        <v>53</v>
      </c>
    </row>
    <row r="2906" ht="15.75" customHeight="1">
      <c r="A2906" s="53" t="s">
        <v>340</v>
      </c>
      <c r="B2906" s="53" t="s">
        <v>855</v>
      </c>
      <c r="D2906" s="53" t="s">
        <v>2734</v>
      </c>
      <c r="E2906" s="53" t="s">
        <v>4566</v>
      </c>
      <c r="F2906" s="53" t="s">
        <v>347</v>
      </c>
      <c r="G2906" s="53" t="s">
        <v>2737</v>
      </c>
      <c r="H2906" s="53">
        <v>1.0</v>
      </c>
      <c r="I2906" s="53">
        <v>0.288135593220339</v>
      </c>
      <c r="J2906" s="53">
        <v>0.0</v>
      </c>
      <c r="K2906" s="53" t="s">
        <v>53</v>
      </c>
      <c r="L2906" s="53" t="s">
        <v>53</v>
      </c>
    </row>
    <row r="2907" ht="15.75" customHeight="1">
      <c r="A2907" s="53" t="s">
        <v>340</v>
      </c>
      <c r="B2907" s="53" t="s">
        <v>855</v>
      </c>
      <c r="D2907" s="53" t="s">
        <v>2737</v>
      </c>
      <c r="E2907" s="53" t="s">
        <v>4567</v>
      </c>
      <c r="F2907" s="53" t="s">
        <v>347</v>
      </c>
      <c r="G2907" s="53" t="s">
        <v>343</v>
      </c>
      <c r="H2907" s="53">
        <v>1.0</v>
      </c>
      <c r="I2907" s="53">
        <v>0.2916666666666667</v>
      </c>
      <c r="J2907" s="53">
        <v>0.0</v>
      </c>
      <c r="K2907" s="53" t="s">
        <v>53</v>
      </c>
      <c r="L2907" s="53" t="s">
        <v>53</v>
      </c>
    </row>
    <row r="2908" ht="15.75" customHeight="1">
      <c r="A2908" s="53" t="s">
        <v>2739</v>
      </c>
      <c r="B2908" s="53" t="s">
        <v>855</v>
      </c>
      <c r="D2908" s="53" t="s">
        <v>2740</v>
      </c>
      <c r="E2908" s="53" t="s">
        <v>4249</v>
      </c>
      <c r="F2908" s="53" t="s">
        <v>2742</v>
      </c>
      <c r="G2908" s="53" t="s">
        <v>2766</v>
      </c>
      <c r="H2908" s="53">
        <v>1.0</v>
      </c>
      <c r="I2908" s="53">
        <v>0.7777777777777778</v>
      </c>
      <c r="J2908" s="53">
        <v>3.0</v>
      </c>
      <c r="K2908" s="53" t="s">
        <v>53</v>
      </c>
      <c r="L2908" s="53" t="s">
        <v>2744</v>
      </c>
    </row>
    <row r="2909" ht="15.75" customHeight="1">
      <c r="A2909" s="53" t="s">
        <v>2739</v>
      </c>
      <c r="B2909" s="53" t="s">
        <v>855</v>
      </c>
      <c r="D2909" s="53" t="s">
        <v>2740</v>
      </c>
      <c r="E2909" s="53" t="s">
        <v>4250</v>
      </c>
      <c r="F2909" s="53" t="s">
        <v>2742</v>
      </c>
      <c r="G2909" s="53" t="s">
        <v>2769</v>
      </c>
      <c r="H2909" s="53">
        <v>1.0</v>
      </c>
      <c r="I2909" s="53">
        <v>0.7984496124031008</v>
      </c>
      <c r="J2909" s="53">
        <v>7.0</v>
      </c>
      <c r="K2909" s="53" t="s">
        <v>53</v>
      </c>
      <c r="L2909" s="53" t="s">
        <v>2744</v>
      </c>
    </row>
    <row r="2910" ht="15.75" customHeight="1">
      <c r="A2910" s="53" t="s">
        <v>2739</v>
      </c>
      <c r="B2910" s="53" t="s">
        <v>855</v>
      </c>
      <c r="D2910" s="53" t="s">
        <v>2740</v>
      </c>
      <c r="E2910" s="53" t="s">
        <v>4251</v>
      </c>
      <c r="F2910" s="53" t="s">
        <v>2742</v>
      </c>
      <c r="G2910" s="53" t="s">
        <v>2743</v>
      </c>
      <c r="H2910" s="53">
        <v>1.0</v>
      </c>
      <c r="I2910" s="53">
        <v>0.813953488372093</v>
      </c>
      <c r="J2910" s="53">
        <v>4.0</v>
      </c>
      <c r="K2910" s="53" t="s">
        <v>53</v>
      </c>
      <c r="L2910" s="53" t="s">
        <v>2744</v>
      </c>
    </row>
    <row r="2911" ht="15.75" customHeight="1">
      <c r="A2911" s="53" t="s">
        <v>2739</v>
      </c>
      <c r="B2911" s="53" t="s">
        <v>855</v>
      </c>
      <c r="D2911" s="53" t="s">
        <v>2745</v>
      </c>
      <c r="E2911" s="53" t="s">
        <v>4568</v>
      </c>
      <c r="F2911" s="53" t="s">
        <v>4253</v>
      </c>
      <c r="G2911" s="53" t="s">
        <v>2748</v>
      </c>
      <c r="H2911" s="53">
        <v>1.0</v>
      </c>
      <c r="I2911" s="53">
        <v>0.769620253164557</v>
      </c>
      <c r="J2911" s="53">
        <v>4.0</v>
      </c>
      <c r="K2911" s="53" t="s">
        <v>53</v>
      </c>
      <c r="L2911" s="53" t="s">
        <v>2749</v>
      </c>
    </row>
    <row r="2912" ht="15.75" customHeight="1">
      <c r="A2912" s="53" t="s">
        <v>2739</v>
      </c>
      <c r="B2912" s="53" t="s">
        <v>855</v>
      </c>
      <c r="D2912" s="53" t="s">
        <v>2766</v>
      </c>
      <c r="E2912" s="53" t="s">
        <v>2767</v>
      </c>
      <c r="F2912" s="53" t="s">
        <v>2768</v>
      </c>
      <c r="G2912" s="53" t="s">
        <v>2769</v>
      </c>
      <c r="H2912" s="53">
        <v>1.0</v>
      </c>
      <c r="I2912" s="53">
        <v>0.6015037593984962</v>
      </c>
      <c r="J2912" s="53">
        <v>3.0</v>
      </c>
      <c r="K2912" s="53" t="s">
        <v>53</v>
      </c>
      <c r="L2912" s="53" t="s">
        <v>53</v>
      </c>
    </row>
    <row r="2913" ht="15.75" customHeight="1">
      <c r="A2913" s="53" t="s">
        <v>2739</v>
      </c>
      <c r="B2913" s="53" t="s">
        <v>855</v>
      </c>
      <c r="D2913" s="53" t="s">
        <v>2766</v>
      </c>
      <c r="E2913" s="53" t="s">
        <v>4254</v>
      </c>
      <c r="F2913" s="53" t="s">
        <v>2768</v>
      </c>
      <c r="G2913" s="53" t="s">
        <v>2743</v>
      </c>
      <c r="H2913" s="53">
        <v>1.0</v>
      </c>
      <c r="I2913" s="53">
        <v>0.6302521008403361</v>
      </c>
      <c r="J2913" s="53">
        <v>0.0</v>
      </c>
      <c r="K2913" s="53" t="s">
        <v>53</v>
      </c>
      <c r="L2913" s="53" t="s">
        <v>53</v>
      </c>
    </row>
    <row r="2914" ht="15.75" customHeight="1">
      <c r="A2914" s="53" t="s">
        <v>2739</v>
      </c>
      <c r="B2914" s="53" t="s">
        <v>855</v>
      </c>
      <c r="D2914" s="53" t="s">
        <v>2743</v>
      </c>
      <c r="E2914" s="53" t="s">
        <v>4255</v>
      </c>
      <c r="F2914" s="53" t="s">
        <v>2768</v>
      </c>
      <c r="G2914" s="53" t="s">
        <v>2769</v>
      </c>
      <c r="H2914" s="53">
        <v>1.0</v>
      </c>
      <c r="I2914" s="53">
        <v>0.2631578947368421</v>
      </c>
      <c r="J2914" s="53">
        <v>2.0</v>
      </c>
      <c r="K2914" s="53" t="s">
        <v>53</v>
      </c>
      <c r="L2914" s="53" t="s">
        <v>53</v>
      </c>
    </row>
    <row r="2915" ht="15.75" customHeight="1">
      <c r="A2915" s="53" t="s">
        <v>2615</v>
      </c>
      <c r="B2915" s="53" t="s">
        <v>855</v>
      </c>
      <c r="D2915" s="53" t="s">
        <v>1533</v>
      </c>
      <c r="E2915" s="53" t="s">
        <v>4569</v>
      </c>
      <c r="F2915" s="53" t="s">
        <v>2536</v>
      </c>
      <c r="G2915" s="53" t="s">
        <v>1536</v>
      </c>
      <c r="H2915" s="53">
        <v>0.75</v>
      </c>
      <c r="I2915" s="53">
        <v>0.0626865671641791</v>
      </c>
      <c r="J2915" s="53">
        <v>1.0</v>
      </c>
      <c r="K2915" s="53" t="s">
        <v>53</v>
      </c>
      <c r="L2915" s="53" t="s">
        <v>1537</v>
      </c>
    </row>
    <row r="2916" ht="15.75" customHeight="1">
      <c r="A2916" s="53" t="s">
        <v>2615</v>
      </c>
      <c r="B2916" s="53" t="s">
        <v>855</v>
      </c>
      <c r="D2916" s="53" t="s">
        <v>1533</v>
      </c>
      <c r="E2916" s="53" t="s">
        <v>4570</v>
      </c>
      <c r="F2916" s="53" t="s">
        <v>2538</v>
      </c>
      <c r="G2916" s="53" t="s">
        <v>1540</v>
      </c>
      <c r="H2916" s="53">
        <v>0.75</v>
      </c>
      <c r="I2916" s="53">
        <v>0.06626506024096386</v>
      </c>
      <c r="J2916" s="53">
        <v>0.0</v>
      </c>
      <c r="K2916" s="53" t="s">
        <v>53</v>
      </c>
      <c r="L2916" s="53" t="s">
        <v>1541</v>
      </c>
    </row>
    <row r="2917" ht="15.75" customHeight="1">
      <c r="A2917" s="53" t="s">
        <v>2615</v>
      </c>
      <c r="B2917" s="53" t="s">
        <v>855</v>
      </c>
      <c r="D2917" s="53" t="s">
        <v>1533</v>
      </c>
      <c r="E2917" s="53" t="s">
        <v>4571</v>
      </c>
      <c r="F2917" s="53" t="s">
        <v>2540</v>
      </c>
      <c r="G2917" s="53" t="s">
        <v>1544</v>
      </c>
      <c r="H2917" s="53">
        <v>0.75</v>
      </c>
      <c r="I2917" s="53">
        <v>0.11940298507462686</v>
      </c>
      <c r="J2917" s="53">
        <v>2.0</v>
      </c>
      <c r="K2917" s="53" t="s">
        <v>53</v>
      </c>
      <c r="L2917" s="53" t="s">
        <v>1545</v>
      </c>
    </row>
    <row r="2918" ht="15.75" customHeight="1">
      <c r="A2918" s="53" t="s">
        <v>2615</v>
      </c>
      <c r="B2918" s="53" t="s">
        <v>855</v>
      </c>
      <c r="D2918" s="53" t="s">
        <v>1540</v>
      </c>
      <c r="E2918" s="53" t="s">
        <v>4572</v>
      </c>
      <c r="F2918" s="53" t="s">
        <v>2542</v>
      </c>
      <c r="G2918" s="53" t="s">
        <v>1544</v>
      </c>
      <c r="H2918" s="53">
        <v>0.75</v>
      </c>
      <c r="I2918" s="53">
        <v>0.0626865671641791</v>
      </c>
      <c r="J2918" s="53">
        <v>1.0</v>
      </c>
      <c r="K2918" s="53" t="s">
        <v>53</v>
      </c>
      <c r="L2918" s="53" t="s">
        <v>1548</v>
      </c>
    </row>
    <row r="2919" ht="15.75" customHeight="1">
      <c r="A2919" s="53" t="s">
        <v>2615</v>
      </c>
      <c r="B2919" s="53" t="s">
        <v>855</v>
      </c>
      <c r="D2919" s="53" t="s">
        <v>1540</v>
      </c>
      <c r="E2919" s="53" t="s">
        <v>4573</v>
      </c>
      <c r="F2919" s="53" t="s">
        <v>2544</v>
      </c>
      <c r="G2919" s="53" t="s">
        <v>1536</v>
      </c>
      <c r="H2919" s="53">
        <v>0.75</v>
      </c>
      <c r="I2919" s="53">
        <v>0.1253731343283582</v>
      </c>
      <c r="J2919" s="53">
        <v>0.0</v>
      </c>
      <c r="K2919" s="53" t="s">
        <v>53</v>
      </c>
      <c r="L2919" s="53" t="s">
        <v>1551</v>
      </c>
    </row>
    <row r="2920" ht="15.75" customHeight="1">
      <c r="A2920" s="53" t="s">
        <v>2615</v>
      </c>
      <c r="B2920" s="53" t="s">
        <v>855</v>
      </c>
      <c r="D2920" s="53" t="s">
        <v>1536</v>
      </c>
      <c r="E2920" s="53" t="s">
        <v>4574</v>
      </c>
      <c r="F2920" s="53" t="s">
        <v>2546</v>
      </c>
      <c r="G2920" s="53" t="s">
        <v>1544</v>
      </c>
      <c r="H2920" s="53">
        <v>0.75</v>
      </c>
      <c r="I2920" s="53">
        <v>0.06567164179104477</v>
      </c>
      <c r="J2920" s="53">
        <v>0.0</v>
      </c>
      <c r="K2920" s="53" t="s">
        <v>53</v>
      </c>
      <c r="L2920" s="53" t="s">
        <v>1554</v>
      </c>
    </row>
    <row r="2921" ht="15.75" customHeight="1">
      <c r="A2921" s="53" t="s">
        <v>2615</v>
      </c>
      <c r="B2921" s="53" t="s">
        <v>855</v>
      </c>
      <c r="D2921" s="53" t="s">
        <v>1555</v>
      </c>
      <c r="E2921" s="53" t="s">
        <v>4575</v>
      </c>
      <c r="F2921" s="53" t="s">
        <v>2547</v>
      </c>
      <c r="G2921" s="53" t="s">
        <v>1558</v>
      </c>
      <c r="H2921" s="53">
        <v>0.7142857142857143</v>
      </c>
      <c r="I2921" s="53">
        <v>0.052805280528052806</v>
      </c>
      <c r="J2921" s="53">
        <v>0.0</v>
      </c>
      <c r="K2921" s="53" t="s">
        <v>53</v>
      </c>
      <c r="L2921" s="53" t="s">
        <v>1559</v>
      </c>
    </row>
    <row r="2922" ht="15.75" customHeight="1">
      <c r="A2922" s="53" t="s">
        <v>2615</v>
      </c>
      <c r="B2922" s="53" t="s">
        <v>855</v>
      </c>
      <c r="D2922" s="53" t="s">
        <v>1555</v>
      </c>
      <c r="E2922" s="53" t="s">
        <v>4576</v>
      </c>
      <c r="F2922" s="53" t="s">
        <v>2548</v>
      </c>
      <c r="G2922" s="53" t="s">
        <v>1562</v>
      </c>
      <c r="H2922" s="53">
        <v>0.7142857142857143</v>
      </c>
      <c r="I2922" s="53">
        <v>0.10619469026548672</v>
      </c>
      <c r="J2922" s="53">
        <v>1.0</v>
      </c>
      <c r="K2922" s="53" t="s">
        <v>53</v>
      </c>
      <c r="L2922" s="53" t="s">
        <v>1563</v>
      </c>
    </row>
    <row r="2923" ht="15.75" customHeight="1">
      <c r="A2923" s="53" t="s">
        <v>2615</v>
      </c>
      <c r="B2923" s="53" t="s">
        <v>855</v>
      </c>
      <c r="D2923" s="53" t="s">
        <v>1558</v>
      </c>
      <c r="E2923" s="53" t="s">
        <v>4577</v>
      </c>
      <c r="F2923" s="53" t="s">
        <v>2549</v>
      </c>
      <c r="G2923" s="53" t="s">
        <v>1565</v>
      </c>
      <c r="H2923" s="53">
        <v>0.6666666666666666</v>
      </c>
      <c r="I2923" s="53">
        <v>0.08734939759036145</v>
      </c>
      <c r="J2923" s="53">
        <v>1.0</v>
      </c>
      <c r="K2923" s="53" t="s">
        <v>53</v>
      </c>
      <c r="L2923" s="53" t="s">
        <v>1728</v>
      </c>
    </row>
    <row r="2924" ht="15.75" customHeight="1">
      <c r="A2924" s="53" t="s">
        <v>2615</v>
      </c>
      <c r="B2924" s="53" t="s">
        <v>855</v>
      </c>
      <c r="D2924" s="53" t="s">
        <v>1558</v>
      </c>
      <c r="E2924" s="53" t="s">
        <v>4578</v>
      </c>
      <c r="F2924" s="53" t="s">
        <v>2550</v>
      </c>
      <c r="G2924" s="53" t="s">
        <v>1562</v>
      </c>
      <c r="H2924" s="53">
        <v>0.7142857142857143</v>
      </c>
      <c r="I2924" s="53">
        <v>0.1504424778761062</v>
      </c>
      <c r="J2924" s="53">
        <v>0.0</v>
      </c>
      <c r="K2924" s="53" t="s">
        <v>53</v>
      </c>
      <c r="L2924" s="53" t="s">
        <v>1570</v>
      </c>
    </row>
    <row r="2925" ht="15.75" customHeight="1">
      <c r="A2925" s="53" t="s">
        <v>2615</v>
      </c>
      <c r="B2925" s="53" t="s">
        <v>855</v>
      </c>
      <c r="D2925" s="53" t="s">
        <v>1562</v>
      </c>
      <c r="E2925" s="53" t="s">
        <v>4579</v>
      </c>
      <c r="F2925" s="53" t="s">
        <v>2551</v>
      </c>
      <c r="G2925" s="53" t="s">
        <v>1565</v>
      </c>
      <c r="H2925" s="53">
        <v>0.5</v>
      </c>
      <c r="I2925" s="53">
        <v>0.08849557522123894</v>
      </c>
      <c r="J2925" s="53">
        <v>0.0</v>
      </c>
      <c r="K2925" s="53" t="s">
        <v>53</v>
      </c>
      <c r="L2925" s="53" t="s">
        <v>2552</v>
      </c>
    </row>
    <row r="2926" ht="15.75" customHeight="1">
      <c r="A2926" s="53" t="s">
        <v>229</v>
      </c>
      <c r="B2926" s="53" t="s">
        <v>855</v>
      </c>
      <c r="D2926" s="53" t="s">
        <v>1736</v>
      </c>
      <c r="E2926" s="53" t="s">
        <v>4258</v>
      </c>
      <c r="F2926" s="53" t="s">
        <v>2481</v>
      </c>
      <c r="G2926" s="53" t="s">
        <v>1739</v>
      </c>
      <c r="H2926" s="53">
        <v>1.0</v>
      </c>
      <c r="I2926" s="53">
        <v>0.017605633802816902</v>
      </c>
      <c r="J2926" s="53">
        <v>1.0</v>
      </c>
      <c r="K2926" s="53" t="s">
        <v>53</v>
      </c>
      <c r="L2926" s="53" t="s">
        <v>53</v>
      </c>
    </row>
    <row r="2927" ht="15.75" customHeight="1">
      <c r="A2927" s="53" t="s">
        <v>229</v>
      </c>
      <c r="B2927" s="53" t="s">
        <v>855</v>
      </c>
      <c r="D2927" s="53" t="s">
        <v>1736</v>
      </c>
      <c r="E2927" s="53" t="s">
        <v>4259</v>
      </c>
      <c r="F2927" s="53" t="s">
        <v>2481</v>
      </c>
      <c r="G2927" s="53" t="s">
        <v>232</v>
      </c>
      <c r="H2927" s="53">
        <v>1.0</v>
      </c>
      <c r="I2927" s="53">
        <v>0.041666666666666664</v>
      </c>
      <c r="J2927" s="53">
        <v>0.0</v>
      </c>
      <c r="K2927" s="53" t="s">
        <v>53</v>
      </c>
      <c r="L2927" s="53" t="s">
        <v>53</v>
      </c>
    </row>
    <row r="2928" ht="15.75" customHeight="1">
      <c r="A2928" s="53" t="s">
        <v>229</v>
      </c>
      <c r="B2928" s="53" t="s">
        <v>855</v>
      </c>
      <c r="D2928" s="53" t="s">
        <v>1736</v>
      </c>
      <c r="E2928" s="53" t="s">
        <v>4260</v>
      </c>
      <c r="F2928" s="53" t="s">
        <v>2481</v>
      </c>
      <c r="G2928" s="53" t="s">
        <v>539</v>
      </c>
      <c r="H2928" s="53">
        <v>1.0</v>
      </c>
      <c r="I2928" s="53">
        <v>0.38162544169611307</v>
      </c>
      <c r="J2928" s="53">
        <v>2.0</v>
      </c>
      <c r="K2928" s="53" t="s">
        <v>53</v>
      </c>
      <c r="L2928" s="53" t="s">
        <v>53</v>
      </c>
    </row>
    <row r="2929" ht="15.75" customHeight="1">
      <c r="A2929" s="53" t="s">
        <v>229</v>
      </c>
      <c r="B2929" s="53" t="s">
        <v>855</v>
      </c>
      <c r="D2929" s="53" t="s">
        <v>1736</v>
      </c>
      <c r="E2929" s="53" t="s">
        <v>4261</v>
      </c>
      <c r="F2929" s="53" t="s">
        <v>236</v>
      </c>
      <c r="G2929" s="53" t="s">
        <v>175</v>
      </c>
      <c r="H2929" s="53">
        <v>1.0</v>
      </c>
      <c r="I2929" s="53">
        <v>0.459214501510574</v>
      </c>
      <c r="J2929" s="53">
        <v>13.0</v>
      </c>
      <c r="K2929" s="53" t="s">
        <v>53</v>
      </c>
      <c r="L2929" s="53" t="s">
        <v>53</v>
      </c>
    </row>
    <row r="2930" ht="15.75" customHeight="1">
      <c r="A2930" s="53" t="s">
        <v>229</v>
      </c>
      <c r="B2930" s="53" t="s">
        <v>855</v>
      </c>
      <c r="D2930" s="53" t="s">
        <v>1736</v>
      </c>
      <c r="E2930" s="53" t="s">
        <v>4262</v>
      </c>
      <c r="F2930" s="53" t="s">
        <v>236</v>
      </c>
      <c r="G2930" s="53" t="s">
        <v>238</v>
      </c>
      <c r="H2930" s="53">
        <v>1.0</v>
      </c>
      <c r="I2930" s="53">
        <v>0.4746268656716418</v>
      </c>
      <c r="J2930" s="53">
        <v>15.0</v>
      </c>
      <c r="K2930" s="53" t="s">
        <v>53</v>
      </c>
      <c r="L2930" s="53" t="s">
        <v>53</v>
      </c>
    </row>
    <row r="2931" ht="15.75" customHeight="1">
      <c r="A2931" s="53" t="s">
        <v>229</v>
      </c>
      <c r="B2931" s="53" t="s">
        <v>855</v>
      </c>
      <c r="D2931" s="53" t="s">
        <v>1736</v>
      </c>
      <c r="E2931" s="53" t="s">
        <v>4263</v>
      </c>
      <c r="F2931" s="53" t="s">
        <v>4264</v>
      </c>
      <c r="G2931" s="53" t="s">
        <v>184</v>
      </c>
      <c r="H2931" s="53">
        <v>1.0</v>
      </c>
      <c r="I2931" s="53">
        <v>0.5</v>
      </c>
      <c r="J2931" s="53">
        <v>14.0</v>
      </c>
      <c r="K2931" s="53" t="s">
        <v>53</v>
      </c>
      <c r="L2931" s="53" t="s">
        <v>53</v>
      </c>
    </row>
    <row r="2932" ht="15.75" customHeight="1">
      <c r="A2932" s="53" t="s">
        <v>229</v>
      </c>
      <c r="B2932" s="53" t="s">
        <v>855</v>
      </c>
      <c r="D2932" s="53" t="s">
        <v>232</v>
      </c>
      <c r="E2932" s="53" t="s">
        <v>4265</v>
      </c>
      <c r="F2932" s="53" t="s">
        <v>2481</v>
      </c>
      <c r="G2932" s="53" t="s">
        <v>1739</v>
      </c>
      <c r="H2932" s="53">
        <v>1.0</v>
      </c>
      <c r="I2932" s="53">
        <v>0.041666666666666664</v>
      </c>
      <c r="J2932" s="53">
        <v>0.0</v>
      </c>
      <c r="K2932" s="53" t="s">
        <v>53</v>
      </c>
      <c r="L2932" s="53" t="s">
        <v>53</v>
      </c>
    </row>
    <row r="2933" ht="15.75" customHeight="1">
      <c r="A2933" s="53" t="s">
        <v>229</v>
      </c>
      <c r="B2933" s="53" t="s">
        <v>855</v>
      </c>
      <c r="D2933" s="53" t="s">
        <v>232</v>
      </c>
      <c r="E2933" s="53" t="s">
        <v>4266</v>
      </c>
      <c r="F2933" s="53" t="s">
        <v>2481</v>
      </c>
      <c r="G2933" s="53" t="s">
        <v>539</v>
      </c>
      <c r="H2933" s="53">
        <v>1.0</v>
      </c>
      <c r="I2933" s="53">
        <v>0.3888888888888889</v>
      </c>
      <c r="J2933" s="53">
        <v>1.0</v>
      </c>
      <c r="K2933" s="53" t="s">
        <v>53</v>
      </c>
      <c r="L2933" s="53" t="s">
        <v>53</v>
      </c>
    </row>
    <row r="2934" ht="15.75" customHeight="1">
      <c r="A2934" s="53" t="s">
        <v>229</v>
      </c>
      <c r="B2934" s="53" t="s">
        <v>855</v>
      </c>
      <c r="D2934" s="53" t="s">
        <v>232</v>
      </c>
      <c r="E2934" s="53" t="s">
        <v>4267</v>
      </c>
      <c r="F2934" s="53" t="s">
        <v>236</v>
      </c>
      <c r="G2934" s="53" t="s">
        <v>175</v>
      </c>
      <c r="H2934" s="53">
        <v>1.0</v>
      </c>
      <c r="I2934" s="53">
        <v>0.4652567975830816</v>
      </c>
      <c r="J2934" s="53">
        <v>12.0</v>
      </c>
      <c r="K2934" s="53" t="s">
        <v>53</v>
      </c>
      <c r="L2934" s="53" t="s">
        <v>53</v>
      </c>
    </row>
    <row r="2935" ht="15.75" customHeight="1">
      <c r="A2935" s="53" t="s">
        <v>229</v>
      </c>
      <c r="B2935" s="53" t="s">
        <v>855</v>
      </c>
      <c r="D2935" s="53" t="s">
        <v>232</v>
      </c>
      <c r="E2935" s="53" t="s">
        <v>4268</v>
      </c>
      <c r="F2935" s="53" t="s">
        <v>236</v>
      </c>
      <c r="G2935" s="53" t="s">
        <v>238</v>
      </c>
      <c r="H2935" s="53">
        <v>1.0</v>
      </c>
      <c r="I2935" s="53">
        <v>0.47761194029850745</v>
      </c>
      <c r="J2935" s="53">
        <v>14.0</v>
      </c>
      <c r="K2935" s="53" t="s">
        <v>53</v>
      </c>
      <c r="L2935" s="53" t="s">
        <v>53</v>
      </c>
    </row>
    <row r="2936" ht="15.75" customHeight="1">
      <c r="A2936" s="53" t="s">
        <v>229</v>
      </c>
      <c r="B2936" s="53" t="s">
        <v>855</v>
      </c>
      <c r="D2936" s="53" t="s">
        <v>232</v>
      </c>
      <c r="E2936" s="53" t="s">
        <v>4269</v>
      </c>
      <c r="F2936" s="53" t="s">
        <v>4264</v>
      </c>
      <c r="G2936" s="53" t="s">
        <v>184</v>
      </c>
      <c r="H2936" s="53">
        <v>1.0</v>
      </c>
      <c r="I2936" s="53">
        <v>0.5030120481927711</v>
      </c>
      <c r="J2936" s="53">
        <v>13.0</v>
      </c>
      <c r="K2936" s="53" t="s">
        <v>53</v>
      </c>
      <c r="L2936" s="53" t="s">
        <v>53</v>
      </c>
    </row>
    <row r="2937" ht="15.75" customHeight="1">
      <c r="A2937" s="53" t="s">
        <v>229</v>
      </c>
      <c r="B2937" s="53" t="s">
        <v>855</v>
      </c>
      <c r="D2937" s="53" t="s">
        <v>1739</v>
      </c>
      <c r="E2937" s="53" t="s">
        <v>4270</v>
      </c>
      <c r="F2937" s="53" t="s">
        <v>2481</v>
      </c>
      <c r="G2937" s="53" t="s">
        <v>539</v>
      </c>
      <c r="H2937" s="53">
        <v>1.0</v>
      </c>
      <c r="I2937" s="53">
        <v>0.38380281690140844</v>
      </c>
      <c r="J2937" s="53">
        <v>0.0</v>
      </c>
      <c r="K2937" s="53" t="s">
        <v>53</v>
      </c>
      <c r="L2937" s="53" t="s">
        <v>53</v>
      </c>
    </row>
    <row r="2938" ht="15.75" customHeight="1">
      <c r="A2938" s="53" t="s">
        <v>229</v>
      </c>
      <c r="B2938" s="53" t="s">
        <v>855</v>
      </c>
      <c r="D2938" s="53" t="s">
        <v>1739</v>
      </c>
      <c r="E2938" s="53" t="s">
        <v>4271</v>
      </c>
      <c r="F2938" s="53" t="s">
        <v>236</v>
      </c>
      <c r="G2938" s="53" t="s">
        <v>175</v>
      </c>
      <c r="H2938" s="53">
        <v>1.0</v>
      </c>
      <c r="I2938" s="53">
        <v>0.4622356495468278</v>
      </c>
      <c r="J2938" s="53">
        <v>11.0</v>
      </c>
      <c r="K2938" s="53" t="s">
        <v>53</v>
      </c>
      <c r="L2938" s="53" t="s">
        <v>53</v>
      </c>
    </row>
    <row r="2939" ht="15.75" customHeight="1">
      <c r="A2939" s="53" t="s">
        <v>229</v>
      </c>
      <c r="B2939" s="53" t="s">
        <v>855</v>
      </c>
      <c r="D2939" s="53" t="s">
        <v>1739</v>
      </c>
      <c r="E2939" s="53" t="s">
        <v>4272</v>
      </c>
      <c r="F2939" s="53" t="s">
        <v>236</v>
      </c>
      <c r="G2939" s="53" t="s">
        <v>238</v>
      </c>
      <c r="H2939" s="53">
        <v>1.0</v>
      </c>
      <c r="I2939" s="53">
        <v>0.4746268656716418</v>
      </c>
      <c r="J2939" s="53">
        <v>13.0</v>
      </c>
      <c r="K2939" s="53" t="s">
        <v>53</v>
      </c>
      <c r="L2939" s="53" t="s">
        <v>53</v>
      </c>
    </row>
    <row r="2940" ht="15.75" customHeight="1">
      <c r="A2940" s="53" t="s">
        <v>229</v>
      </c>
      <c r="B2940" s="53" t="s">
        <v>855</v>
      </c>
      <c r="D2940" s="53" t="s">
        <v>1739</v>
      </c>
      <c r="E2940" s="53" t="s">
        <v>4273</v>
      </c>
      <c r="F2940" s="53" t="s">
        <v>4264</v>
      </c>
      <c r="G2940" s="53" t="s">
        <v>184</v>
      </c>
      <c r="H2940" s="53">
        <v>1.0</v>
      </c>
      <c r="I2940" s="53">
        <v>0.5030120481927711</v>
      </c>
      <c r="J2940" s="53">
        <v>12.0</v>
      </c>
      <c r="K2940" s="53" t="s">
        <v>53</v>
      </c>
      <c r="L2940" s="53" t="s">
        <v>53</v>
      </c>
    </row>
    <row r="2941" ht="15.75" customHeight="1">
      <c r="A2941" s="53" t="s">
        <v>229</v>
      </c>
      <c r="B2941" s="53" t="s">
        <v>855</v>
      </c>
      <c r="D2941" s="53" t="s">
        <v>539</v>
      </c>
      <c r="E2941" s="53" t="s">
        <v>4274</v>
      </c>
      <c r="F2941" s="53" t="s">
        <v>236</v>
      </c>
      <c r="G2941" s="53" t="s">
        <v>175</v>
      </c>
      <c r="H2941" s="53">
        <v>1.0</v>
      </c>
      <c r="I2941" s="53">
        <v>0.4743202416918429</v>
      </c>
      <c r="J2941" s="53">
        <v>10.0</v>
      </c>
      <c r="K2941" s="53" t="s">
        <v>53</v>
      </c>
      <c r="L2941" s="53" t="s">
        <v>53</v>
      </c>
    </row>
    <row r="2942" ht="15.75" customHeight="1">
      <c r="A2942" s="53" t="s">
        <v>229</v>
      </c>
      <c r="B2942" s="53" t="s">
        <v>855</v>
      </c>
      <c r="D2942" s="53" t="s">
        <v>539</v>
      </c>
      <c r="E2942" s="53" t="s">
        <v>4275</v>
      </c>
      <c r="F2942" s="53" t="s">
        <v>236</v>
      </c>
      <c r="G2942" s="53" t="s">
        <v>238</v>
      </c>
      <c r="H2942" s="53">
        <v>1.0</v>
      </c>
      <c r="I2942" s="53">
        <v>0.48059701492537316</v>
      </c>
      <c r="J2942" s="53">
        <v>12.0</v>
      </c>
      <c r="K2942" s="53" t="s">
        <v>53</v>
      </c>
      <c r="L2942" s="53" t="s">
        <v>53</v>
      </c>
    </row>
    <row r="2943" ht="15.75" customHeight="1">
      <c r="A2943" s="53" t="s">
        <v>229</v>
      </c>
      <c r="B2943" s="53" t="s">
        <v>855</v>
      </c>
      <c r="D2943" s="53" t="s">
        <v>539</v>
      </c>
      <c r="E2943" s="53" t="s">
        <v>4276</v>
      </c>
      <c r="F2943" s="53" t="s">
        <v>4264</v>
      </c>
      <c r="G2943" s="53" t="s">
        <v>184</v>
      </c>
      <c r="H2943" s="53">
        <v>1.0</v>
      </c>
      <c r="I2943" s="53">
        <v>0.4879518072289157</v>
      </c>
      <c r="J2943" s="53">
        <v>11.0</v>
      </c>
      <c r="K2943" s="53" t="s">
        <v>53</v>
      </c>
      <c r="L2943" s="53" t="s">
        <v>53</v>
      </c>
    </row>
    <row r="2944" ht="15.75" customHeight="1">
      <c r="A2944" s="53" t="s">
        <v>229</v>
      </c>
      <c r="B2944" s="53" t="s">
        <v>855</v>
      </c>
      <c r="D2944" s="53" t="s">
        <v>2401</v>
      </c>
      <c r="E2944" s="53" t="s">
        <v>4277</v>
      </c>
      <c r="F2944" s="53" t="s">
        <v>2482</v>
      </c>
      <c r="G2944" s="53" t="s">
        <v>169</v>
      </c>
      <c r="H2944" s="53">
        <v>1.0</v>
      </c>
      <c r="I2944" s="53">
        <v>0.5282485875706214</v>
      </c>
      <c r="J2944" s="53">
        <v>4.0</v>
      </c>
      <c r="K2944" s="53" t="s">
        <v>53</v>
      </c>
      <c r="L2944" s="53" t="s">
        <v>53</v>
      </c>
    </row>
    <row r="2945" ht="15.75" customHeight="1">
      <c r="A2945" s="53" t="s">
        <v>229</v>
      </c>
      <c r="B2945" s="53" t="s">
        <v>855</v>
      </c>
      <c r="D2945" s="53" t="s">
        <v>242</v>
      </c>
      <c r="E2945" s="53" t="s">
        <v>4278</v>
      </c>
      <c r="F2945" s="53" t="s">
        <v>1026</v>
      </c>
      <c r="G2945" s="53" t="s">
        <v>1022</v>
      </c>
      <c r="H2945" s="53">
        <v>1.0</v>
      </c>
      <c r="I2945" s="53">
        <v>0.21008403361344538</v>
      </c>
      <c r="J2945" s="53">
        <v>2.0</v>
      </c>
      <c r="K2945" s="53" t="s">
        <v>53</v>
      </c>
      <c r="L2945" s="53" t="s">
        <v>53</v>
      </c>
    </row>
    <row r="2946" ht="15.75" customHeight="1">
      <c r="A2946" s="53" t="s">
        <v>229</v>
      </c>
      <c r="B2946" s="53" t="s">
        <v>855</v>
      </c>
      <c r="D2946" s="53" t="s">
        <v>242</v>
      </c>
      <c r="E2946" s="53" t="s">
        <v>4279</v>
      </c>
      <c r="F2946" s="53" t="s">
        <v>2483</v>
      </c>
      <c r="G2946" s="53" t="s">
        <v>178</v>
      </c>
      <c r="H2946" s="53">
        <v>1.0</v>
      </c>
      <c r="I2946" s="53">
        <v>0.38064516129032255</v>
      </c>
      <c r="J2946" s="53">
        <v>7.0</v>
      </c>
      <c r="K2946" s="53" t="s">
        <v>53</v>
      </c>
      <c r="L2946" s="53" t="s">
        <v>53</v>
      </c>
    </row>
    <row r="2947" ht="15.75" customHeight="1">
      <c r="A2947" s="53" t="s">
        <v>229</v>
      </c>
      <c r="B2947" s="53" t="s">
        <v>855</v>
      </c>
      <c r="D2947" s="53" t="s">
        <v>242</v>
      </c>
      <c r="E2947" s="53" t="s">
        <v>549</v>
      </c>
      <c r="F2947" s="53" t="s">
        <v>246</v>
      </c>
      <c r="G2947" s="53" t="s">
        <v>248</v>
      </c>
      <c r="H2947" s="53">
        <v>1.0</v>
      </c>
      <c r="I2947" s="53">
        <v>0.40878378378378377</v>
      </c>
      <c r="J2947" s="53">
        <v>11.0</v>
      </c>
      <c r="K2947" s="53" t="s">
        <v>53</v>
      </c>
      <c r="L2947" s="53" t="s">
        <v>53</v>
      </c>
    </row>
    <row r="2948" ht="15.75" customHeight="1">
      <c r="A2948" s="53" t="s">
        <v>229</v>
      </c>
      <c r="B2948" s="53" t="s">
        <v>855</v>
      </c>
      <c r="D2948" s="53" t="s">
        <v>242</v>
      </c>
      <c r="E2948" s="53" t="s">
        <v>4280</v>
      </c>
      <c r="F2948" s="53" t="s">
        <v>4281</v>
      </c>
      <c r="G2948" s="53" t="s">
        <v>255</v>
      </c>
      <c r="H2948" s="53">
        <v>1.0</v>
      </c>
      <c r="I2948" s="53">
        <v>0.5777777777777777</v>
      </c>
      <c r="J2948" s="53">
        <v>12.0</v>
      </c>
      <c r="K2948" s="53" t="s">
        <v>53</v>
      </c>
      <c r="L2948" s="53" t="s">
        <v>53</v>
      </c>
    </row>
    <row r="2949" ht="15.75" customHeight="1">
      <c r="A2949" s="53" t="s">
        <v>229</v>
      </c>
      <c r="B2949" s="53" t="s">
        <v>855</v>
      </c>
      <c r="D2949" s="53" t="s">
        <v>242</v>
      </c>
      <c r="E2949" s="53" t="s">
        <v>4282</v>
      </c>
      <c r="F2949" s="53" t="s">
        <v>1026</v>
      </c>
      <c r="G2949" s="53" t="s">
        <v>259</v>
      </c>
      <c r="H2949" s="53">
        <v>1.0</v>
      </c>
      <c r="I2949" s="53">
        <v>0.5991189427312775</v>
      </c>
      <c r="J2949" s="53">
        <v>13.0</v>
      </c>
      <c r="K2949" s="53" t="s">
        <v>53</v>
      </c>
      <c r="L2949" s="53" t="s">
        <v>53</v>
      </c>
    </row>
    <row r="2950" ht="15.75" customHeight="1">
      <c r="A2950" s="53" t="s">
        <v>229</v>
      </c>
      <c r="B2950" s="53" t="s">
        <v>855</v>
      </c>
      <c r="D2950" s="53" t="s">
        <v>1022</v>
      </c>
      <c r="E2950" s="53" t="s">
        <v>4283</v>
      </c>
      <c r="F2950" s="53" t="s">
        <v>2484</v>
      </c>
      <c r="G2950" s="53" t="s">
        <v>169</v>
      </c>
      <c r="H2950" s="53">
        <v>0.3333333333333333</v>
      </c>
      <c r="I2950" s="53">
        <v>0.01680672268907563</v>
      </c>
      <c r="J2950" s="53">
        <v>0.0</v>
      </c>
      <c r="K2950" s="53" t="s">
        <v>53</v>
      </c>
      <c r="L2950" s="53" t="s">
        <v>1667</v>
      </c>
    </row>
    <row r="2951" ht="15.75" customHeight="1">
      <c r="A2951" s="53" t="s">
        <v>229</v>
      </c>
      <c r="B2951" s="53" t="s">
        <v>855</v>
      </c>
      <c r="D2951" s="53" t="s">
        <v>1022</v>
      </c>
      <c r="E2951" s="53" t="s">
        <v>4284</v>
      </c>
      <c r="F2951" s="53" t="s">
        <v>246</v>
      </c>
      <c r="G2951" s="53" t="s">
        <v>248</v>
      </c>
      <c r="H2951" s="53">
        <v>1.0</v>
      </c>
      <c r="I2951" s="53">
        <v>0.42567567567567566</v>
      </c>
      <c r="J2951" s="53">
        <v>8.0</v>
      </c>
      <c r="K2951" s="53" t="s">
        <v>53</v>
      </c>
      <c r="L2951" s="53" t="s">
        <v>53</v>
      </c>
    </row>
    <row r="2952" ht="15.75" customHeight="1">
      <c r="A2952" s="53" t="s">
        <v>229</v>
      </c>
      <c r="B2952" s="53" t="s">
        <v>855</v>
      </c>
      <c r="D2952" s="53" t="s">
        <v>1022</v>
      </c>
      <c r="E2952" s="53" t="s">
        <v>4285</v>
      </c>
      <c r="F2952" s="53" t="s">
        <v>2483</v>
      </c>
      <c r="G2952" s="53" t="s">
        <v>178</v>
      </c>
      <c r="H2952" s="53">
        <v>1.0</v>
      </c>
      <c r="I2952" s="53">
        <v>0.43548387096774194</v>
      </c>
      <c r="J2952" s="53">
        <v>4.0</v>
      </c>
      <c r="K2952" s="53" t="s">
        <v>53</v>
      </c>
      <c r="L2952" s="53" t="s">
        <v>53</v>
      </c>
    </row>
    <row r="2953" ht="15.75" customHeight="1">
      <c r="A2953" s="53" t="s">
        <v>229</v>
      </c>
      <c r="B2953" s="53" t="s">
        <v>855</v>
      </c>
      <c r="D2953" s="53" t="s">
        <v>1022</v>
      </c>
      <c r="E2953" s="53" t="s">
        <v>4286</v>
      </c>
      <c r="F2953" s="53" t="s">
        <v>4281</v>
      </c>
      <c r="G2953" s="53" t="s">
        <v>255</v>
      </c>
      <c r="H2953" s="53">
        <v>1.0</v>
      </c>
      <c r="I2953" s="53">
        <v>0.5777777777777777</v>
      </c>
      <c r="J2953" s="53">
        <v>9.0</v>
      </c>
      <c r="K2953" s="53" t="s">
        <v>53</v>
      </c>
      <c r="L2953" s="53" t="s">
        <v>53</v>
      </c>
    </row>
    <row r="2954" ht="15.75" customHeight="1">
      <c r="A2954" s="53" t="s">
        <v>229</v>
      </c>
      <c r="B2954" s="53" t="s">
        <v>855</v>
      </c>
      <c r="D2954" s="53" t="s">
        <v>1022</v>
      </c>
      <c r="E2954" s="53" t="s">
        <v>4287</v>
      </c>
      <c r="F2954" s="53" t="s">
        <v>1026</v>
      </c>
      <c r="G2954" s="53" t="s">
        <v>259</v>
      </c>
      <c r="H2954" s="53">
        <v>1.0</v>
      </c>
      <c r="I2954" s="53">
        <v>0.6008403361344538</v>
      </c>
      <c r="J2954" s="53">
        <v>10.0</v>
      </c>
      <c r="K2954" s="53" t="s">
        <v>53</v>
      </c>
      <c r="L2954" s="53" t="s">
        <v>53</v>
      </c>
    </row>
    <row r="2955" ht="15.75" customHeight="1">
      <c r="A2955" s="53" t="s">
        <v>229</v>
      </c>
      <c r="B2955" s="53" t="s">
        <v>855</v>
      </c>
      <c r="D2955" s="53" t="s">
        <v>1749</v>
      </c>
      <c r="E2955" s="53" t="s">
        <v>4580</v>
      </c>
      <c r="F2955" s="53" t="s">
        <v>4289</v>
      </c>
      <c r="G2955" s="53" t="s">
        <v>1752</v>
      </c>
      <c r="H2955" s="53">
        <v>0.6666666666666666</v>
      </c>
      <c r="I2955" s="53">
        <v>0.03732503888024884</v>
      </c>
      <c r="J2955" s="53">
        <v>1.0</v>
      </c>
      <c r="K2955" s="53" t="s">
        <v>53</v>
      </c>
      <c r="L2955" s="53" t="s">
        <v>1667</v>
      </c>
    </row>
    <row r="2956" ht="15.75" customHeight="1">
      <c r="A2956" s="53" t="s">
        <v>229</v>
      </c>
      <c r="B2956" s="53" t="s">
        <v>855</v>
      </c>
      <c r="D2956" s="53" t="s">
        <v>178</v>
      </c>
      <c r="E2956" s="53" t="s">
        <v>4290</v>
      </c>
      <c r="F2956" s="53" t="s">
        <v>4291</v>
      </c>
      <c r="G2956" s="53" t="s">
        <v>248</v>
      </c>
      <c r="H2956" s="53">
        <v>1.0</v>
      </c>
      <c r="I2956" s="53">
        <v>0.5129032258064516</v>
      </c>
      <c r="J2956" s="53">
        <v>3.0</v>
      </c>
      <c r="K2956" s="53" t="s">
        <v>53</v>
      </c>
      <c r="L2956" s="53" t="s">
        <v>53</v>
      </c>
    </row>
    <row r="2957" ht="15.75" customHeight="1">
      <c r="A2957" s="53" t="s">
        <v>229</v>
      </c>
      <c r="B2957" s="53" t="s">
        <v>855</v>
      </c>
      <c r="D2957" s="53" t="s">
        <v>178</v>
      </c>
      <c r="E2957" s="53" t="s">
        <v>553</v>
      </c>
      <c r="F2957" s="53" t="s">
        <v>253</v>
      </c>
      <c r="G2957" s="53" t="s">
        <v>255</v>
      </c>
      <c r="H2957" s="53">
        <v>1.0</v>
      </c>
      <c r="I2957" s="53">
        <v>0.5444444444444444</v>
      </c>
      <c r="J2957" s="53">
        <v>4.0</v>
      </c>
      <c r="K2957" s="53" t="s">
        <v>53</v>
      </c>
      <c r="L2957" s="53" t="s">
        <v>53</v>
      </c>
    </row>
    <row r="2958" ht="15.75" customHeight="1">
      <c r="A2958" s="53" t="s">
        <v>229</v>
      </c>
      <c r="B2958" s="53" t="s">
        <v>855</v>
      </c>
      <c r="D2958" s="53" t="s">
        <v>178</v>
      </c>
      <c r="E2958" s="53" t="s">
        <v>556</v>
      </c>
      <c r="F2958" s="53" t="s">
        <v>182</v>
      </c>
      <c r="G2958" s="53" t="s">
        <v>259</v>
      </c>
      <c r="H2958" s="53">
        <v>1.0</v>
      </c>
      <c r="I2958" s="53">
        <v>0.5774193548387097</v>
      </c>
      <c r="J2958" s="53">
        <v>5.0</v>
      </c>
      <c r="K2958" s="53" t="s">
        <v>53</v>
      </c>
      <c r="L2958" s="53" t="s">
        <v>53</v>
      </c>
    </row>
    <row r="2959" ht="15.75" customHeight="1">
      <c r="A2959" s="53" t="s">
        <v>229</v>
      </c>
      <c r="B2959" s="53" t="s">
        <v>855</v>
      </c>
      <c r="D2959" s="53" t="s">
        <v>175</v>
      </c>
      <c r="E2959" s="53" t="s">
        <v>4292</v>
      </c>
      <c r="F2959" s="53" t="s">
        <v>4293</v>
      </c>
      <c r="G2959" s="53" t="s">
        <v>238</v>
      </c>
      <c r="H2959" s="53">
        <v>1.0</v>
      </c>
      <c r="I2959" s="53">
        <v>0.06865671641791045</v>
      </c>
      <c r="J2959" s="53">
        <v>1.0</v>
      </c>
      <c r="K2959" s="53" t="s">
        <v>53</v>
      </c>
      <c r="L2959" s="53" t="s">
        <v>53</v>
      </c>
    </row>
    <row r="2960" ht="15.75" customHeight="1">
      <c r="A2960" s="53" t="s">
        <v>229</v>
      </c>
      <c r="B2960" s="53" t="s">
        <v>855</v>
      </c>
      <c r="D2960" s="53" t="s">
        <v>175</v>
      </c>
      <c r="E2960" s="53" t="s">
        <v>4294</v>
      </c>
      <c r="F2960" s="53" t="s">
        <v>4295</v>
      </c>
      <c r="G2960" s="53" t="s">
        <v>184</v>
      </c>
      <c r="H2960" s="53">
        <v>1.0</v>
      </c>
      <c r="I2960" s="53">
        <v>0.12349397590361445</v>
      </c>
      <c r="J2960" s="53">
        <v>0.0</v>
      </c>
      <c r="K2960" s="53" t="s">
        <v>53</v>
      </c>
      <c r="L2960" s="53" t="s">
        <v>53</v>
      </c>
    </row>
    <row r="2961" ht="15.75" customHeight="1">
      <c r="A2961" s="53" t="s">
        <v>229</v>
      </c>
      <c r="B2961" s="53" t="s">
        <v>855</v>
      </c>
      <c r="D2961" s="53" t="s">
        <v>184</v>
      </c>
      <c r="E2961" s="53" t="s">
        <v>4296</v>
      </c>
      <c r="F2961" s="53" t="s">
        <v>4297</v>
      </c>
      <c r="G2961" s="53" t="s">
        <v>238</v>
      </c>
      <c r="H2961" s="53">
        <v>1.0</v>
      </c>
      <c r="I2961" s="53">
        <v>0.14925373134328357</v>
      </c>
      <c r="J2961" s="53">
        <v>0.0</v>
      </c>
      <c r="K2961" s="53" t="s">
        <v>53</v>
      </c>
      <c r="L2961" s="53" t="s">
        <v>53</v>
      </c>
    </row>
    <row r="2962" ht="15.75" customHeight="1">
      <c r="A2962" s="53" t="s">
        <v>229</v>
      </c>
      <c r="B2962" s="53" t="s">
        <v>855</v>
      </c>
      <c r="D2962" s="53" t="s">
        <v>248</v>
      </c>
      <c r="E2962" s="53" t="s">
        <v>3935</v>
      </c>
      <c r="F2962" s="53" t="s">
        <v>2637</v>
      </c>
      <c r="G2962" s="53" t="s">
        <v>255</v>
      </c>
      <c r="H2962" s="53">
        <v>1.0</v>
      </c>
      <c r="I2962" s="53">
        <v>0.3688888888888889</v>
      </c>
      <c r="J2962" s="53">
        <v>0.0</v>
      </c>
      <c r="K2962" s="53" t="s">
        <v>53</v>
      </c>
      <c r="L2962" s="53" t="s">
        <v>53</v>
      </c>
    </row>
    <row r="2963" ht="15.75" customHeight="1">
      <c r="A2963" s="53" t="s">
        <v>229</v>
      </c>
      <c r="B2963" s="53" t="s">
        <v>855</v>
      </c>
      <c r="D2963" s="53" t="s">
        <v>248</v>
      </c>
      <c r="E2963" s="53" t="s">
        <v>3936</v>
      </c>
      <c r="F2963" s="53" t="s">
        <v>2640</v>
      </c>
      <c r="G2963" s="53" t="s">
        <v>259</v>
      </c>
      <c r="H2963" s="53">
        <v>1.0</v>
      </c>
      <c r="I2963" s="53">
        <v>0.5135135135135135</v>
      </c>
      <c r="J2963" s="53">
        <v>1.0</v>
      </c>
      <c r="K2963" s="53" t="s">
        <v>53</v>
      </c>
      <c r="L2963" s="53" t="s">
        <v>53</v>
      </c>
    </row>
    <row r="2964" ht="15.75" customHeight="1">
      <c r="A2964" s="53" t="s">
        <v>229</v>
      </c>
      <c r="B2964" s="53" t="s">
        <v>855</v>
      </c>
      <c r="D2964" s="53" t="s">
        <v>255</v>
      </c>
      <c r="E2964" s="53" t="s">
        <v>3937</v>
      </c>
      <c r="F2964" s="53" t="s">
        <v>2642</v>
      </c>
      <c r="G2964" s="53" t="s">
        <v>259</v>
      </c>
      <c r="H2964" s="53">
        <v>1.0</v>
      </c>
      <c r="I2964" s="53">
        <v>0.6511111111111111</v>
      </c>
      <c r="J2964" s="53">
        <v>0.0</v>
      </c>
      <c r="K2964" s="53" t="s">
        <v>53</v>
      </c>
      <c r="L2964" s="53" t="s">
        <v>53</v>
      </c>
    </row>
    <row r="2965" ht="15.75" customHeight="1">
      <c r="A2965" s="53" t="s">
        <v>989</v>
      </c>
      <c r="B2965" s="53" t="s">
        <v>855</v>
      </c>
      <c r="D2965" s="53" t="s">
        <v>4236</v>
      </c>
      <c r="E2965" s="53" t="s">
        <v>4581</v>
      </c>
      <c r="F2965" s="53" t="s">
        <v>4238</v>
      </c>
      <c r="G2965" s="53" t="s">
        <v>4239</v>
      </c>
      <c r="H2965" s="53">
        <v>1.0</v>
      </c>
      <c r="I2965" s="53">
        <v>0.2064516129032258</v>
      </c>
      <c r="J2965" s="53">
        <v>0.0</v>
      </c>
      <c r="K2965" s="53" t="s">
        <v>53</v>
      </c>
      <c r="L2965" s="53" t="s">
        <v>53</v>
      </c>
    </row>
    <row r="2966" ht="15.75" customHeight="1">
      <c r="A2966" s="53" t="s">
        <v>2715</v>
      </c>
      <c r="B2966" s="53" t="s">
        <v>855</v>
      </c>
      <c r="D2966" s="53" t="s">
        <v>1345</v>
      </c>
      <c r="E2966" s="53" t="s">
        <v>4582</v>
      </c>
      <c r="F2966" s="53" t="s">
        <v>2718</v>
      </c>
      <c r="G2966" s="53" t="s">
        <v>1347</v>
      </c>
      <c r="H2966" s="53">
        <v>1.0</v>
      </c>
      <c r="I2966" s="53">
        <v>0.14035087719298245</v>
      </c>
      <c r="J2966" s="53">
        <v>4.0</v>
      </c>
      <c r="K2966" s="53" t="s">
        <v>53</v>
      </c>
      <c r="L2966" s="53" t="s">
        <v>53</v>
      </c>
    </row>
    <row r="2967" ht="15.75" customHeight="1">
      <c r="A2967" s="53" t="s">
        <v>2715</v>
      </c>
      <c r="B2967" s="53" t="s">
        <v>855</v>
      </c>
      <c r="D2967" s="53" t="s">
        <v>1345</v>
      </c>
      <c r="E2967" s="53" t="s">
        <v>4583</v>
      </c>
      <c r="F2967" s="53" t="s">
        <v>2718</v>
      </c>
      <c r="G2967" s="53" t="s">
        <v>1349</v>
      </c>
      <c r="H2967" s="53">
        <v>1.0</v>
      </c>
      <c r="I2967" s="53">
        <v>0.14035087719298245</v>
      </c>
      <c r="J2967" s="53">
        <v>0.0</v>
      </c>
      <c r="K2967" s="53" t="s">
        <v>53</v>
      </c>
      <c r="L2967" s="53" t="s">
        <v>53</v>
      </c>
    </row>
    <row r="2968" ht="15.75" customHeight="1">
      <c r="A2968" s="53" t="s">
        <v>2715</v>
      </c>
      <c r="B2968" s="53" t="s">
        <v>855</v>
      </c>
      <c r="D2968" s="53" t="s">
        <v>1345</v>
      </c>
      <c r="E2968" s="53" t="s">
        <v>4584</v>
      </c>
      <c r="F2968" s="53" t="s">
        <v>2718</v>
      </c>
      <c r="G2968" s="53" t="s">
        <v>1351</v>
      </c>
      <c r="H2968" s="53">
        <v>1.0</v>
      </c>
      <c r="I2968" s="53">
        <v>0.15789473684210525</v>
      </c>
      <c r="J2968" s="53">
        <v>1.0</v>
      </c>
      <c r="K2968" s="53" t="s">
        <v>53</v>
      </c>
      <c r="L2968" s="53" t="s">
        <v>53</v>
      </c>
    </row>
    <row r="2969" ht="15.75" customHeight="1">
      <c r="A2969" s="53" t="s">
        <v>2715</v>
      </c>
      <c r="B2969" s="53" t="s">
        <v>855</v>
      </c>
      <c r="D2969" s="53" t="s">
        <v>1345</v>
      </c>
      <c r="E2969" s="53" t="s">
        <v>4585</v>
      </c>
      <c r="F2969" s="53" t="s">
        <v>2718</v>
      </c>
      <c r="G2969" s="53" t="s">
        <v>1353</v>
      </c>
      <c r="H2969" s="53">
        <v>1.0</v>
      </c>
      <c r="I2969" s="53">
        <v>0.15789473684210525</v>
      </c>
      <c r="J2969" s="53">
        <v>2.0</v>
      </c>
      <c r="K2969" s="53" t="s">
        <v>53</v>
      </c>
      <c r="L2969" s="53" t="s">
        <v>53</v>
      </c>
    </row>
    <row r="2970" ht="15.75" customHeight="1">
      <c r="A2970" s="53" t="s">
        <v>2715</v>
      </c>
      <c r="B2970" s="53" t="s">
        <v>855</v>
      </c>
      <c r="D2970" s="53" t="s">
        <v>1345</v>
      </c>
      <c r="E2970" s="53" t="s">
        <v>4586</v>
      </c>
      <c r="F2970" s="53" t="s">
        <v>2718</v>
      </c>
      <c r="G2970" s="53" t="s">
        <v>1355</v>
      </c>
      <c r="H2970" s="53">
        <v>1.0</v>
      </c>
      <c r="I2970" s="53">
        <v>0.15789473684210525</v>
      </c>
      <c r="J2970" s="53">
        <v>3.0</v>
      </c>
      <c r="K2970" s="53" t="s">
        <v>53</v>
      </c>
      <c r="L2970" s="53" t="s">
        <v>53</v>
      </c>
    </row>
    <row r="2971" ht="15.75" customHeight="1">
      <c r="A2971" s="53" t="s">
        <v>2715</v>
      </c>
      <c r="B2971" s="53" t="s">
        <v>855</v>
      </c>
      <c r="D2971" s="53" t="s">
        <v>1349</v>
      </c>
      <c r="E2971" s="53" t="s">
        <v>4587</v>
      </c>
      <c r="F2971" s="53" t="s">
        <v>2718</v>
      </c>
      <c r="G2971" s="53" t="s">
        <v>1351</v>
      </c>
      <c r="H2971" s="53">
        <v>1.0</v>
      </c>
      <c r="I2971" s="53">
        <v>0.11818181818181818</v>
      </c>
      <c r="J2971" s="53">
        <v>0.0</v>
      </c>
      <c r="K2971" s="53" t="s">
        <v>53</v>
      </c>
      <c r="L2971" s="53" t="s">
        <v>53</v>
      </c>
    </row>
    <row r="2972" ht="15.75" customHeight="1">
      <c r="A2972" s="53" t="s">
        <v>2715</v>
      </c>
      <c r="B2972" s="53" t="s">
        <v>855</v>
      </c>
      <c r="D2972" s="53" t="s">
        <v>1349</v>
      </c>
      <c r="E2972" s="53" t="s">
        <v>4588</v>
      </c>
      <c r="F2972" s="53" t="s">
        <v>2718</v>
      </c>
      <c r="G2972" s="53" t="s">
        <v>1353</v>
      </c>
      <c r="H2972" s="53">
        <v>1.0</v>
      </c>
      <c r="I2972" s="53">
        <v>0.11818181818181818</v>
      </c>
      <c r="J2972" s="53">
        <v>1.0</v>
      </c>
      <c r="K2972" s="53" t="s">
        <v>53</v>
      </c>
      <c r="L2972" s="53" t="s">
        <v>53</v>
      </c>
    </row>
    <row r="2973" ht="15.75" customHeight="1">
      <c r="A2973" s="53" t="s">
        <v>2715</v>
      </c>
      <c r="B2973" s="53" t="s">
        <v>855</v>
      </c>
      <c r="D2973" s="53" t="s">
        <v>1349</v>
      </c>
      <c r="E2973" s="53" t="s">
        <v>4589</v>
      </c>
      <c r="F2973" s="53" t="s">
        <v>2718</v>
      </c>
      <c r="G2973" s="53" t="s">
        <v>1347</v>
      </c>
      <c r="H2973" s="53">
        <v>1.0</v>
      </c>
      <c r="I2973" s="53">
        <v>0.11818181818181818</v>
      </c>
      <c r="J2973" s="53">
        <v>3.0</v>
      </c>
      <c r="K2973" s="53" t="s">
        <v>53</v>
      </c>
      <c r="L2973" s="53" t="s">
        <v>53</v>
      </c>
    </row>
    <row r="2974" ht="15.75" customHeight="1">
      <c r="A2974" s="53" t="s">
        <v>2715</v>
      </c>
      <c r="B2974" s="53" t="s">
        <v>855</v>
      </c>
      <c r="D2974" s="53" t="s">
        <v>1349</v>
      </c>
      <c r="E2974" s="53" t="s">
        <v>4590</v>
      </c>
      <c r="F2974" s="53" t="s">
        <v>2718</v>
      </c>
      <c r="G2974" s="53" t="s">
        <v>1355</v>
      </c>
      <c r="H2974" s="53">
        <v>1.0</v>
      </c>
      <c r="I2974" s="53">
        <v>0.11818181818181818</v>
      </c>
      <c r="J2974" s="53">
        <v>2.0</v>
      </c>
      <c r="K2974" s="53" t="s">
        <v>53</v>
      </c>
      <c r="L2974" s="53" t="s">
        <v>53</v>
      </c>
    </row>
    <row r="2975" ht="15.75" customHeight="1">
      <c r="A2975" s="53" t="s">
        <v>2715</v>
      </c>
      <c r="B2975" s="53" t="s">
        <v>855</v>
      </c>
      <c r="D2975" s="53" t="s">
        <v>1351</v>
      </c>
      <c r="E2975" s="53" t="s">
        <v>4591</v>
      </c>
      <c r="F2975" s="53" t="s">
        <v>2718</v>
      </c>
      <c r="G2975" s="53" t="s">
        <v>1353</v>
      </c>
      <c r="H2975" s="53">
        <v>1.0</v>
      </c>
      <c r="I2975" s="53">
        <v>0.03636363636363636</v>
      </c>
      <c r="J2975" s="53">
        <v>0.0</v>
      </c>
      <c r="K2975" s="53" t="s">
        <v>53</v>
      </c>
      <c r="L2975" s="53" t="s">
        <v>53</v>
      </c>
    </row>
    <row r="2976" ht="15.75" customHeight="1">
      <c r="A2976" s="53" t="s">
        <v>2715</v>
      </c>
      <c r="B2976" s="53" t="s">
        <v>855</v>
      </c>
      <c r="D2976" s="53" t="s">
        <v>1351</v>
      </c>
      <c r="E2976" s="53" t="s">
        <v>4592</v>
      </c>
      <c r="F2976" s="53" t="s">
        <v>2718</v>
      </c>
      <c r="G2976" s="53" t="s">
        <v>1355</v>
      </c>
      <c r="H2976" s="53">
        <v>1.0</v>
      </c>
      <c r="I2976" s="53">
        <v>0.03636363636363636</v>
      </c>
      <c r="J2976" s="53">
        <v>1.0</v>
      </c>
      <c r="K2976" s="53" t="s">
        <v>53</v>
      </c>
      <c r="L2976" s="53" t="s">
        <v>53</v>
      </c>
    </row>
    <row r="2977" ht="15.75" customHeight="1">
      <c r="A2977" s="53" t="s">
        <v>2715</v>
      </c>
      <c r="B2977" s="53" t="s">
        <v>855</v>
      </c>
      <c r="D2977" s="53" t="s">
        <v>1351</v>
      </c>
      <c r="E2977" s="53" t="s">
        <v>4593</v>
      </c>
      <c r="F2977" s="53" t="s">
        <v>2718</v>
      </c>
      <c r="G2977" s="53" t="s">
        <v>1347</v>
      </c>
      <c r="H2977" s="53">
        <v>1.0</v>
      </c>
      <c r="I2977" s="53">
        <v>0.03773584905660377</v>
      </c>
      <c r="J2977" s="53">
        <v>2.0</v>
      </c>
      <c r="K2977" s="53" t="s">
        <v>53</v>
      </c>
      <c r="L2977" s="53" t="s">
        <v>53</v>
      </c>
    </row>
    <row r="2978" ht="15.75" customHeight="1">
      <c r="A2978" s="53" t="s">
        <v>2715</v>
      </c>
      <c r="B2978" s="53" t="s">
        <v>855</v>
      </c>
      <c r="D2978" s="53" t="s">
        <v>1353</v>
      </c>
      <c r="E2978" s="53" t="s">
        <v>4594</v>
      </c>
      <c r="F2978" s="53" t="s">
        <v>2718</v>
      </c>
      <c r="G2978" s="53" t="s">
        <v>1355</v>
      </c>
      <c r="H2978" s="53">
        <v>1.0</v>
      </c>
      <c r="I2978" s="53">
        <v>0.01818181818181818</v>
      </c>
      <c r="J2978" s="53">
        <v>0.0</v>
      </c>
      <c r="K2978" s="53" t="s">
        <v>53</v>
      </c>
      <c r="L2978" s="53" t="s">
        <v>53</v>
      </c>
    </row>
    <row r="2979" ht="15.75" customHeight="1">
      <c r="A2979" s="53" t="s">
        <v>2715</v>
      </c>
      <c r="B2979" s="53" t="s">
        <v>855</v>
      </c>
      <c r="D2979" s="53" t="s">
        <v>1353</v>
      </c>
      <c r="E2979" s="53" t="s">
        <v>4595</v>
      </c>
      <c r="F2979" s="53" t="s">
        <v>2718</v>
      </c>
      <c r="G2979" s="53" t="s">
        <v>1347</v>
      </c>
      <c r="H2979" s="53">
        <v>1.0</v>
      </c>
      <c r="I2979" s="53">
        <v>0.07272727272727272</v>
      </c>
      <c r="J2979" s="53">
        <v>1.0</v>
      </c>
      <c r="K2979" s="53" t="s">
        <v>53</v>
      </c>
      <c r="L2979" s="53" t="s">
        <v>53</v>
      </c>
    </row>
    <row r="2980" ht="15.75" customHeight="1">
      <c r="A2980" s="53" t="s">
        <v>2715</v>
      </c>
      <c r="B2980" s="53" t="s">
        <v>855</v>
      </c>
      <c r="D2980" s="53" t="s">
        <v>1355</v>
      </c>
      <c r="E2980" s="53" t="s">
        <v>4596</v>
      </c>
      <c r="F2980" s="53" t="s">
        <v>2718</v>
      </c>
      <c r="G2980" s="53" t="s">
        <v>1347</v>
      </c>
      <c r="H2980" s="53">
        <v>1.0</v>
      </c>
      <c r="I2980" s="53">
        <v>0.07272727272727272</v>
      </c>
      <c r="J2980" s="53">
        <v>0.0</v>
      </c>
      <c r="K2980" s="53" t="s">
        <v>53</v>
      </c>
      <c r="L2980" s="53" t="s">
        <v>53</v>
      </c>
    </row>
    <row r="2981" ht="15.75" customHeight="1">
      <c r="A2981" s="53" t="s">
        <v>563</v>
      </c>
      <c r="B2981" s="53" t="s">
        <v>855</v>
      </c>
      <c r="D2981" s="53" t="s">
        <v>589</v>
      </c>
      <c r="E2981" s="53" t="s">
        <v>4597</v>
      </c>
      <c r="F2981" s="53" t="s">
        <v>593</v>
      </c>
      <c r="G2981" s="53" t="s">
        <v>1968</v>
      </c>
      <c r="H2981" s="53">
        <v>1.0</v>
      </c>
      <c r="I2981" s="53">
        <v>0.007751937984496124</v>
      </c>
      <c r="J2981" s="53">
        <v>0.0</v>
      </c>
      <c r="K2981" s="53" t="s">
        <v>53</v>
      </c>
      <c r="L2981" s="53" t="s">
        <v>53</v>
      </c>
    </row>
    <row r="2982" ht="15.75" customHeight="1">
      <c r="A2982" s="53" t="s">
        <v>563</v>
      </c>
      <c r="B2982" s="53" t="s">
        <v>855</v>
      </c>
      <c r="D2982" s="53" t="s">
        <v>589</v>
      </c>
      <c r="E2982" s="53" t="s">
        <v>591</v>
      </c>
      <c r="F2982" s="53" t="s">
        <v>593</v>
      </c>
      <c r="G2982" s="53" t="s">
        <v>595</v>
      </c>
      <c r="H2982" s="53">
        <v>1.0</v>
      </c>
      <c r="I2982" s="53">
        <v>0.1037037037037037</v>
      </c>
      <c r="J2982" s="53">
        <v>16.0</v>
      </c>
      <c r="K2982" s="53" t="s">
        <v>53</v>
      </c>
      <c r="L2982" s="53" t="s">
        <v>53</v>
      </c>
    </row>
    <row r="2983" ht="15.75" customHeight="1">
      <c r="A2983" s="53" t="s">
        <v>563</v>
      </c>
      <c r="B2983" s="53" t="s">
        <v>855</v>
      </c>
      <c r="D2983" s="53" t="s">
        <v>589</v>
      </c>
      <c r="E2983" s="53" t="s">
        <v>4598</v>
      </c>
      <c r="F2983" s="53" t="s">
        <v>593</v>
      </c>
      <c r="G2983" s="53" t="s">
        <v>603</v>
      </c>
      <c r="H2983" s="53">
        <v>1.0</v>
      </c>
      <c r="I2983" s="53">
        <v>0.1891891891891892</v>
      </c>
      <c r="J2983" s="53">
        <v>3.0</v>
      </c>
      <c r="K2983" s="53" t="s">
        <v>53</v>
      </c>
      <c r="L2983" s="53" t="s">
        <v>53</v>
      </c>
    </row>
    <row r="2984" ht="15.75" customHeight="1">
      <c r="A2984" s="53" t="s">
        <v>563</v>
      </c>
      <c r="B2984" s="53" t="s">
        <v>855</v>
      </c>
      <c r="D2984" s="53" t="s">
        <v>589</v>
      </c>
      <c r="E2984" s="53" t="s">
        <v>4599</v>
      </c>
      <c r="F2984" s="53" t="s">
        <v>593</v>
      </c>
      <c r="G2984" s="53" t="s">
        <v>598</v>
      </c>
      <c r="H2984" s="53">
        <v>1.0</v>
      </c>
      <c r="I2984" s="53">
        <v>0.2097902097902098</v>
      </c>
      <c r="J2984" s="53">
        <v>11.0</v>
      </c>
      <c r="K2984" s="53" t="s">
        <v>53</v>
      </c>
      <c r="L2984" s="53" t="s">
        <v>53</v>
      </c>
    </row>
    <row r="2985" ht="15.75" customHeight="1">
      <c r="A2985" s="53" t="s">
        <v>563</v>
      </c>
      <c r="B2985" s="53" t="s">
        <v>855</v>
      </c>
      <c r="D2985" s="53" t="s">
        <v>1968</v>
      </c>
      <c r="E2985" s="53" t="s">
        <v>4600</v>
      </c>
      <c r="F2985" s="53" t="s">
        <v>593</v>
      </c>
      <c r="G2985" s="53" t="s">
        <v>595</v>
      </c>
      <c r="H2985" s="53">
        <v>1.0</v>
      </c>
      <c r="I2985" s="53">
        <v>0.1037037037037037</v>
      </c>
      <c r="J2985" s="53">
        <v>15.0</v>
      </c>
      <c r="K2985" s="53" t="s">
        <v>53</v>
      </c>
      <c r="L2985" s="53" t="s">
        <v>53</v>
      </c>
    </row>
    <row r="2986" ht="15.75" customHeight="1">
      <c r="A2986" s="53" t="s">
        <v>563</v>
      </c>
      <c r="B2986" s="53" t="s">
        <v>855</v>
      </c>
      <c r="D2986" s="53" t="s">
        <v>1968</v>
      </c>
      <c r="E2986" s="53" t="s">
        <v>4601</v>
      </c>
      <c r="F2986" s="53" t="s">
        <v>593</v>
      </c>
      <c r="G2986" s="53" t="s">
        <v>603</v>
      </c>
      <c r="H2986" s="53">
        <v>1.0</v>
      </c>
      <c r="I2986" s="53">
        <v>0.1891891891891892</v>
      </c>
      <c r="J2986" s="53">
        <v>2.0</v>
      </c>
      <c r="K2986" s="53" t="s">
        <v>53</v>
      </c>
      <c r="L2986" s="53" t="s">
        <v>53</v>
      </c>
    </row>
    <row r="2987" ht="15.75" customHeight="1">
      <c r="A2987" s="53" t="s">
        <v>563</v>
      </c>
      <c r="B2987" s="53" t="s">
        <v>855</v>
      </c>
      <c r="D2987" s="53" t="s">
        <v>1968</v>
      </c>
      <c r="E2987" s="53" t="s">
        <v>4602</v>
      </c>
      <c r="F2987" s="53" t="s">
        <v>593</v>
      </c>
      <c r="G2987" s="53" t="s">
        <v>598</v>
      </c>
      <c r="H2987" s="53">
        <v>1.0</v>
      </c>
      <c r="I2987" s="53">
        <v>0.2097902097902098</v>
      </c>
      <c r="J2987" s="53">
        <v>10.0</v>
      </c>
      <c r="K2987" s="53" t="s">
        <v>53</v>
      </c>
      <c r="L2987" s="53" t="s">
        <v>53</v>
      </c>
    </row>
    <row r="2988" ht="15.75" customHeight="1">
      <c r="A2988" s="53" t="s">
        <v>563</v>
      </c>
      <c r="B2988" s="53" t="s">
        <v>855</v>
      </c>
      <c r="D2988" s="53" t="s">
        <v>605</v>
      </c>
      <c r="E2988" s="53" t="s">
        <v>4603</v>
      </c>
      <c r="F2988" s="53" t="s">
        <v>4604</v>
      </c>
      <c r="G2988" s="53" t="s">
        <v>620</v>
      </c>
      <c r="H2988" s="53">
        <v>0.75</v>
      </c>
      <c r="I2988" s="53">
        <v>0.09722222222222222</v>
      </c>
      <c r="J2988" s="53">
        <v>2.0</v>
      </c>
      <c r="K2988" s="53" t="s">
        <v>53</v>
      </c>
      <c r="L2988" s="53" t="s">
        <v>4605</v>
      </c>
    </row>
    <row r="2989" ht="15.75" customHeight="1">
      <c r="A2989" s="53" t="s">
        <v>563</v>
      </c>
      <c r="B2989" s="53" t="s">
        <v>855</v>
      </c>
      <c r="D2989" s="53" t="s">
        <v>605</v>
      </c>
      <c r="E2989" s="53" t="s">
        <v>624</v>
      </c>
      <c r="F2989" s="53" t="s">
        <v>626</v>
      </c>
      <c r="G2989" s="53" t="s">
        <v>628</v>
      </c>
      <c r="H2989" s="53">
        <v>1.0</v>
      </c>
      <c r="I2989" s="53">
        <v>0.1437125748502994</v>
      </c>
      <c r="J2989" s="53">
        <v>0.0</v>
      </c>
      <c r="K2989" s="53" t="s">
        <v>53</v>
      </c>
      <c r="L2989" s="53" t="s">
        <v>53</v>
      </c>
    </row>
    <row r="2990" ht="15.75" customHeight="1">
      <c r="A2990" s="53" t="s">
        <v>563</v>
      </c>
      <c r="B2990" s="53" t="s">
        <v>855</v>
      </c>
      <c r="D2990" s="53" t="s">
        <v>605</v>
      </c>
      <c r="E2990" s="53" t="s">
        <v>4606</v>
      </c>
      <c r="F2990" s="53" t="s">
        <v>626</v>
      </c>
      <c r="G2990" s="53" t="s">
        <v>584</v>
      </c>
      <c r="H2990" s="53">
        <v>1.0</v>
      </c>
      <c r="I2990" s="53">
        <v>0.1888111888111888</v>
      </c>
      <c r="J2990" s="53">
        <v>15.0</v>
      </c>
      <c r="K2990" s="53" t="s">
        <v>53</v>
      </c>
      <c r="L2990" s="53" t="s">
        <v>53</v>
      </c>
    </row>
    <row r="2991" ht="15.75" customHeight="1">
      <c r="A2991" s="53" t="s">
        <v>563</v>
      </c>
      <c r="B2991" s="53" t="s">
        <v>855</v>
      </c>
      <c r="D2991" s="53" t="s">
        <v>605</v>
      </c>
      <c r="E2991" s="53" t="s">
        <v>4607</v>
      </c>
      <c r="F2991" s="53" t="s">
        <v>4604</v>
      </c>
      <c r="G2991" s="53" t="s">
        <v>3958</v>
      </c>
      <c r="H2991" s="53">
        <v>0.75</v>
      </c>
      <c r="I2991" s="53">
        <v>0.20833333333333334</v>
      </c>
      <c r="J2991" s="53">
        <v>4.0</v>
      </c>
      <c r="K2991" s="53" t="s">
        <v>53</v>
      </c>
      <c r="L2991" s="53" t="s">
        <v>4605</v>
      </c>
    </row>
    <row r="2992" ht="15.75" customHeight="1">
      <c r="A2992" s="53" t="s">
        <v>563</v>
      </c>
      <c r="B2992" s="53" t="s">
        <v>855</v>
      </c>
      <c r="D2992" s="53" t="s">
        <v>628</v>
      </c>
      <c r="E2992" s="53" t="s">
        <v>4608</v>
      </c>
      <c r="F2992" s="53" t="s">
        <v>4604</v>
      </c>
      <c r="G2992" s="53" t="s">
        <v>3958</v>
      </c>
      <c r="H2992" s="53">
        <v>0.75</v>
      </c>
      <c r="I2992" s="53">
        <v>0.08333333333333333</v>
      </c>
      <c r="J2992" s="53">
        <v>3.0</v>
      </c>
      <c r="K2992" s="53" t="s">
        <v>53</v>
      </c>
      <c r="L2992" s="53" t="s">
        <v>4605</v>
      </c>
    </row>
    <row r="2993" ht="15.75" customHeight="1">
      <c r="A2993" s="53" t="s">
        <v>563</v>
      </c>
      <c r="B2993" s="53" t="s">
        <v>855</v>
      </c>
      <c r="D2993" s="53" t="s">
        <v>628</v>
      </c>
      <c r="E2993" s="53" t="s">
        <v>3959</v>
      </c>
      <c r="F2993" s="53" t="s">
        <v>654</v>
      </c>
      <c r="G2993" s="53" t="s">
        <v>662</v>
      </c>
      <c r="H2993" s="53">
        <v>0.5</v>
      </c>
      <c r="I2993" s="53">
        <v>0.08383233532934131</v>
      </c>
      <c r="J2993" s="53">
        <v>17.0</v>
      </c>
      <c r="K2993" s="53" t="s">
        <v>53</v>
      </c>
      <c r="L2993" s="53" t="s">
        <v>1523</v>
      </c>
    </row>
    <row r="2994" ht="15.75" customHeight="1">
      <c r="A2994" s="53" t="s">
        <v>563</v>
      </c>
      <c r="B2994" s="53" t="s">
        <v>855</v>
      </c>
      <c r="D2994" s="53" t="s">
        <v>628</v>
      </c>
      <c r="E2994" s="53" t="s">
        <v>4609</v>
      </c>
      <c r="F2994" s="53" t="s">
        <v>626</v>
      </c>
      <c r="G2994" s="53" t="s">
        <v>584</v>
      </c>
      <c r="H2994" s="53">
        <v>1.0</v>
      </c>
      <c r="I2994" s="53">
        <v>0.19760479041916168</v>
      </c>
      <c r="J2994" s="53">
        <v>14.0</v>
      </c>
      <c r="K2994" s="53" t="s">
        <v>53</v>
      </c>
      <c r="L2994" s="53" t="s">
        <v>53</v>
      </c>
    </row>
    <row r="2995" ht="15.75" customHeight="1">
      <c r="A2995" s="53" t="s">
        <v>563</v>
      </c>
      <c r="B2995" s="53" t="s">
        <v>855</v>
      </c>
      <c r="D2995" s="53" t="s">
        <v>628</v>
      </c>
      <c r="E2995" s="53" t="s">
        <v>4610</v>
      </c>
      <c r="F2995" s="53" t="s">
        <v>4604</v>
      </c>
      <c r="G2995" s="53" t="s">
        <v>620</v>
      </c>
      <c r="H2995" s="53">
        <v>0.75</v>
      </c>
      <c r="I2995" s="53">
        <v>0.20958083832335328</v>
      </c>
      <c r="J2995" s="53">
        <v>1.0</v>
      </c>
      <c r="K2995" s="53" t="s">
        <v>53</v>
      </c>
      <c r="L2995" s="53" t="s">
        <v>4605</v>
      </c>
    </row>
    <row r="2996" ht="15.75" customHeight="1">
      <c r="A2996" s="53" t="s">
        <v>563</v>
      </c>
      <c r="B2996" s="53" t="s">
        <v>855</v>
      </c>
      <c r="D2996" s="53" t="s">
        <v>603</v>
      </c>
      <c r="E2996" s="53" t="s">
        <v>4611</v>
      </c>
      <c r="F2996" s="53" t="s">
        <v>593</v>
      </c>
      <c r="G2996" s="53" t="s">
        <v>598</v>
      </c>
      <c r="H2996" s="53">
        <v>1.0</v>
      </c>
      <c r="I2996" s="53">
        <v>0.1554054054054054</v>
      </c>
      <c r="J2996" s="53">
        <v>7.0</v>
      </c>
      <c r="K2996" s="53" t="s">
        <v>53</v>
      </c>
      <c r="L2996" s="53" t="s">
        <v>53</v>
      </c>
    </row>
    <row r="2997" ht="15.75" customHeight="1">
      <c r="A2997" s="53" t="s">
        <v>563</v>
      </c>
      <c r="B2997" s="53" t="s">
        <v>855</v>
      </c>
      <c r="D2997" s="53" t="s">
        <v>603</v>
      </c>
      <c r="E2997" s="53" t="s">
        <v>4612</v>
      </c>
      <c r="F2997" s="53" t="s">
        <v>593</v>
      </c>
      <c r="G2997" s="53" t="s">
        <v>595</v>
      </c>
      <c r="H2997" s="53">
        <v>1.0</v>
      </c>
      <c r="I2997" s="53">
        <v>0.16216216216216217</v>
      </c>
      <c r="J2997" s="53">
        <v>12.0</v>
      </c>
      <c r="K2997" s="53" t="s">
        <v>53</v>
      </c>
      <c r="L2997" s="53" t="s">
        <v>53</v>
      </c>
    </row>
    <row r="2998" ht="15.75" customHeight="1">
      <c r="A2998" s="53" t="s">
        <v>563</v>
      </c>
      <c r="B2998" s="53" t="s">
        <v>855</v>
      </c>
      <c r="D2998" s="53" t="s">
        <v>620</v>
      </c>
      <c r="E2998" s="53" t="s">
        <v>4613</v>
      </c>
      <c r="F2998" s="53" t="s">
        <v>4614</v>
      </c>
      <c r="G2998" s="53" t="s">
        <v>3958</v>
      </c>
      <c r="H2998" s="53">
        <v>1.0</v>
      </c>
      <c r="I2998" s="53">
        <v>0.14285714285714285</v>
      </c>
      <c r="J2998" s="53">
        <v>1.0</v>
      </c>
      <c r="K2998" s="53" t="s">
        <v>53</v>
      </c>
      <c r="L2998" s="53" t="s">
        <v>53</v>
      </c>
    </row>
    <row r="2999" ht="15.75" customHeight="1">
      <c r="A2999" s="53" t="s">
        <v>563</v>
      </c>
      <c r="B2999" s="53" t="s">
        <v>855</v>
      </c>
      <c r="D2999" s="53" t="s">
        <v>620</v>
      </c>
      <c r="E2999" s="53" t="s">
        <v>4615</v>
      </c>
      <c r="F2999" s="53" t="s">
        <v>4616</v>
      </c>
      <c r="G2999" s="53" t="s">
        <v>584</v>
      </c>
      <c r="H2999" s="53">
        <v>0.75</v>
      </c>
      <c r="I2999" s="53">
        <v>0.2013888888888889</v>
      </c>
      <c r="J2999" s="53">
        <v>12.0</v>
      </c>
      <c r="K2999" s="53" t="s">
        <v>53</v>
      </c>
      <c r="L2999" s="53" t="s">
        <v>4605</v>
      </c>
    </row>
    <row r="3000" ht="15.75" customHeight="1">
      <c r="A3000" s="53" t="s">
        <v>563</v>
      </c>
      <c r="B3000" s="53" t="s">
        <v>855</v>
      </c>
      <c r="D3000" s="53" t="s">
        <v>828</v>
      </c>
      <c r="E3000" s="53" t="s">
        <v>4617</v>
      </c>
      <c r="F3000" s="53" t="s">
        <v>4618</v>
      </c>
      <c r="G3000" s="53" t="s">
        <v>838</v>
      </c>
      <c r="H3000" s="53">
        <v>0.7142857142857143</v>
      </c>
      <c r="I3000" s="53">
        <v>0.12389380530973451</v>
      </c>
      <c r="J3000" s="53">
        <v>16.0</v>
      </c>
      <c r="K3000" s="53" t="s">
        <v>53</v>
      </c>
      <c r="L3000" s="53" t="s">
        <v>1523</v>
      </c>
    </row>
    <row r="3001" ht="15.75" customHeight="1">
      <c r="A3001" s="53" t="s">
        <v>563</v>
      </c>
      <c r="B3001" s="53" t="s">
        <v>855</v>
      </c>
      <c r="D3001" s="53" t="s">
        <v>3958</v>
      </c>
      <c r="E3001" s="53" t="s">
        <v>4619</v>
      </c>
      <c r="F3001" s="53" t="s">
        <v>4620</v>
      </c>
      <c r="G3001" s="53" t="s">
        <v>3963</v>
      </c>
      <c r="H3001" s="53">
        <v>0.6</v>
      </c>
      <c r="I3001" s="53">
        <v>0.08333333333333333</v>
      </c>
      <c r="J3001" s="53">
        <v>16.0</v>
      </c>
      <c r="K3001" s="53" t="s">
        <v>53</v>
      </c>
      <c r="L3001" s="53" t="s">
        <v>1523</v>
      </c>
    </row>
    <row r="3002" ht="15.75" customHeight="1">
      <c r="A3002" s="53" t="s">
        <v>563</v>
      </c>
      <c r="B3002" s="53" t="s">
        <v>855</v>
      </c>
      <c r="D3002" s="53" t="s">
        <v>3958</v>
      </c>
      <c r="E3002" s="53" t="s">
        <v>4621</v>
      </c>
      <c r="F3002" s="53" t="s">
        <v>4616</v>
      </c>
      <c r="G3002" s="53" t="s">
        <v>584</v>
      </c>
      <c r="H3002" s="53">
        <v>0.75</v>
      </c>
      <c r="I3002" s="53">
        <v>0.20238095238095238</v>
      </c>
      <c r="J3002" s="53">
        <v>10.0</v>
      </c>
      <c r="K3002" s="53" t="s">
        <v>53</v>
      </c>
      <c r="L3002" s="53" t="s">
        <v>4605</v>
      </c>
    </row>
    <row r="3003" ht="15.75" customHeight="1">
      <c r="A3003" s="53" t="s">
        <v>563</v>
      </c>
      <c r="B3003" s="53" t="s">
        <v>855</v>
      </c>
      <c r="D3003" s="53" t="s">
        <v>4004</v>
      </c>
      <c r="E3003" s="53" t="s">
        <v>4005</v>
      </c>
      <c r="F3003" s="53" t="s">
        <v>4006</v>
      </c>
      <c r="G3003" s="53" t="s">
        <v>4007</v>
      </c>
      <c r="H3003" s="53">
        <v>1.0</v>
      </c>
      <c r="I3003" s="53">
        <v>0.13286713286713286</v>
      </c>
      <c r="J3003" s="53">
        <v>0.0</v>
      </c>
      <c r="K3003" s="53" t="s">
        <v>53</v>
      </c>
      <c r="L3003" s="53" t="s">
        <v>53</v>
      </c>
    </row>
    <row r="3004" ht="15.75" customHeight="1">
      <c r="A3004" s="53" t="s">
        <v>563</v>
      </c>
      <c r="B3004" s="53" t="s">
        <v>855</v>
      </c>
      <c r="D3004" s="53" t="s">
        <v>598</v>
      </c>
      <c r="E3004" s="53" t="s">
        <v>4622</v>
      </c>
      <c r="F3004" s="53" t="s">
        <v>2477</v>
      </c>
      <c r="G3004" s="53" t="s">
        <v>1976</v>
      </c>
      <c r="H3004" s="53">
        <v>0.3333333333333333</v>
      </c>
      <c r="I3004" s="53">
        <v>0.04195804195804196</v>
      </c>
      <c r="J3004" s="53">
        <v>12.0</v>
      </c>
      <c r="K3004" s="53" t="s">
        <v>53</v>
      </c>
      <c r="L3004" s="53" t="s">
        <v>1523</v>
      </c>
    </row>
    <row r="3005" ht="15.75" customHeight="1">
      <c r="A3005" s="53" t="s">
        <v>563</v>
      </c>
      <c r="B3005" s="53" t="s">
        <v>855</v>
      </c>
      <c r="D3005" s="53" t="s">
        <v>598</v>
      </c>
      <c r="E3005" s="53" t="s">
        <v>4623</v>
      </c>
      <c r="F3005" s="53" t="s">
        <v>593</v>
      </c>
      <c r="G3005" s="53" t="s">
        <v>595</v>
      </c>
      <c r="H3005" s="53">
        <v>1.0</v>
      </c>
      <c r="I3005" s="53">
        <v>0.2517482517482518</v>
      </c>
      <c r="J3005" s="53">
        <v>4.0</v>
      </c>
      <c r="K3005" s="53" t="s">
        <v>53</v>
      </c>
      <c r="L3005" s="53" t="s">
        <v>53</v>
      </c>
    </row>
    <row r="3006" ht="15.75" customHeight="1">
      <c r="A3006" s="53" t="s">
        <v>563</v>
      </c>
      <c r="B3006" s="53" t="s">
        <v>855</v>
      </c>
      <c r="D3006" s="53" t="s">
        <v>701</v>
      </c>
      <c r="E3006" s="53" t="s">
        <v>3945</v>
      </c>
      <c r="F3006" s="53" t="s">
        <v>705</v>
      </c>
      <c r="G3006" s="53" t="s">
        <v>3946</v>
      </c>
      <c r="H3006" s="53">
        <v>1.0</v>
      </c>
      <c r="I3006" s="53">
        <v>0.0859375</v>
      </c>
      <c r="J3006" s="53">
        <v>1.0</v>
      </c>
      <c r="K3006" s="53" t="s">
        <v>53</v>
      </c>
      <c r="L3006" s="53" t="s">
        <v>53</v>
      </c>
    </row>
    <row r="3007" ht="15.75" customHeight="1">
      <c r="A3007" s="53" t="s">
        <v>563</v>
      </c>
      <c r="B3007" s="53" t="s">
        <v>855</v>
      </c>
      <c r="D3007" s="53" t="s">
        <v>701</v>
      </c>
      <c r="E3007" s="53" t="s">
        <v>3948</v>
      </c>
      <c r="F3007" s="53" t="s">
        <v>705</v>
      </c>
      <c r="G3007" s="53" t="s">
        <v>3949</v>
      </c>
      <c r="H3007" s="53">
        <v>1.0</v>
      </c>
      <c r="I3007" s="53">
        <v>0.15217391304347827</v>
      </c>
      <c r="J3007" s="53">
        <v>2.0</v>
      </c>
      <c r="K3007" s="53" t="s">
        <v>53</v>
      </c>
      <c r="L3007" s="53" t="s">
        <v>53</v>
      </c>
    </row>
    <row r="3008" ht="15.75" customHeight="1">
      <c r="A3008" s="53" t="s">
        <v>563</v>
      </c>
      <c r="B3008" s="53" t="s">
        <v>855</v>
      </c>
      <c r="D3008" s="53" t="s">
        <v>701</v>
      </c>
      <c r="E3008" s="53" t="s">
        <v>703</v>
      </c>
      <c r="F3008" s="53" t="s">
        <v>705</v>
      </c>
      <c r="G3008" s="53" t="s">
        <v>707</v>
      </c>
      <c r="H3008" s="53">
        <v>1.0</v>
      </c>
      <c r="I3008" s="53">
        <v>0.22033898305084745</v>
      </c>
      <c r="J3008" s="53">
        <v>0.0</v>
      </c>
      <c r="K3008" s="53" t="s">
        <v>53</v>
      </c>
      <c r="L3008" s="53" t="s">
        <v>53</v>
      </c>
    </row>
    <row r="3009" ht="15.75" customHeight="1">
      <c r="A3009" s="53" t="s">
        <v>563</v>
      </c>
      <c r="B3009" s="53" t="s">
        <v>855</v>
      </c>
      <c r="D3009" s="53" t="s">
        <v>707</v>
      </c>
      <c r="E3009" s="53" t="s">
        <v>4624</v>
      </c>
      <c r="F3009" s="53" t="s">
        <v>705</v>
      </c>
      <c r="G3009" s="53" t="s">
        <v>3946</v>
      </c>
      <c r="H3009" s="53">
        <v>1.0</v>
      </c>
      <c r="I3009" s="53">
        <v>0.2890625</v>
      </c>
      <c r="J3009" s="53">
        <v>0.0</v>
      </c>
      <c r="K3009" s="53" t="s">
        <v>53</v>
      </c>
      <c r="L3009" s="53" t="s">
        <v>53</v>
      </c>
    </row>
    <row r="3010" ht="15.75" customHeight="1">
      <c r="A3010" s="53" t="s">
        <v>563</v>
      </c>
      <c r="B3010" s="53" t="s">
        <v>855</v>
      </c>
      <c r="D3010" s="53" t="s">
        <v>707</v>
      </c>
      <c r="E3010" s="53" t="s">
        <v>4625</v>
      </c>
      <c r="F3010" s="53" t="s">
        <v>705</v>
      </c>
      <c r="G3010" s="53" t="s">
        <v>3949</v>
      </c>
      <c r="H3010" s="53">
        <v>1.0</v>
      </c>
      <c r="I3010" s="53">
        <v>0.34057971014492755</v>
      </c>
      <c r="J3010" s="53">
        <v>1.0</v>
      </c>
      <c r="K3010" s="53" t="s">
        <v>53</v>
      </c>
      <c r="L3010" s="53" t="s">
        <v>53</v>
      </c>
    </row>
    <row r="3011" ht="15.75" customHeight="1">
      <c r="A3011" s="53" t="s">
        <v>563</v>
      </c>
      <c r="B3011" s="53" t="s">
        <v>855</v>
      </c>
      <c r="D3011" s="53" t="s">
        <v>3946</v>
      </c>
      <c r="E3011" s="53" t="s">
        <v>3950</v>
      </c>
      <c r="F3011" s="53" t="s">
        <v>705</v>
      </c>
      <c r="G3011" s="53" t="s">
        <v>3949</v>
      </c>
      <c r="H3011" s="53">
        <v>1.0</v>
      </c>
      <c r="I3011" s="53">
        <v>0.07971014492753623</v>
      </c>
      <c r="J3011" s="53">
        <v>0.0</v>
      </c>
      <c r="K3011" s="53" t="s">
        <v>53</v>
      </c>
      <c r="L3011" s="53" t="s">
        <v>53</v>
      </c>
    </row>
    <row r="3012" ht="15.75" customHeight="1">
      <c r="A3012" s="53" t="s">
        <v>563</v>
      </c>
      <c r="B3012" s="53" t="s">
        <v>855</v>
      </c>
      <c r="D3012" s="53" t="s">
        <v>584</v>
      </c>
      <c r="E3012" s="53" t="s">
        <v>4626</v>
      </c>
      <c r="F3012" s="53" t="s">
        <v>654</v>
      </c>
      <c r="G3012" s="53" t="s">
        <v>578</v>
      </c>
      <c r="H3012" s="53">
        <v>0.5</v>
      </c>
      <c r="I3012" s="53">
        <v>0.09929078014184398</v>
      </c>
      <c r="J3012" s="53">
        <v>27.0</v>
      </c>
      <c r="K3012" s="53" t="s">
        <v>53</v>
      </c>
      <c r="L3012" s="53" t="s">
        <v>1523</v>
      </c>
    </row>
    <row r="3013" ht="15.75" customHeight="1">
      <c r="A3013" s="53" t="s">
        <v>563</v>
      </c>
      <c r="B3013" s="53" t="s">
        <v>855</v>
      </c>
      <c r="D3013" s="53" t="s">
        <v>656</v>
      </c>
      <c r="E3013" s="53" t="s">
        <v>4627</v>
      </c>
      <c r="F3013" s="53" t="s">
        <v>4628</v>
      </c>
      <c r="G3013" s="53" t="s">
        <v>832</v>
      </c>
      <c r="H3013" s="53">
        <v>0.75</v>
      </c>
      <c r="I3013" s="53">
        <v>0.11666666666666667</v>
      </c>
      <c r="J3013" s="53">
        <v>1.0</v>
      </c>
      <c r="K3013" s="53" t="s">
        <v>53</v>
      </c>
      <c r="L3013" s="53" t="s">
        <v>4605</v>
      </c>
    </row>
    <row r="3014" ht="15.75" customHeight="1">
      <c r="A3014" s="53" t="s">
        <v>563</v>
      </c>
      <c r="B3014" s="53" t="s">
        <v>855</v>
      </c>
      <c r="D3014" s="53" t="s">
        <v>656</v>
      </c>
      <c r="E3014" s="53" t="s">
        <v>4629</v>
      </c>
      <c r="F3014" s="53" t="s">
        <v>660</v>
      </c>
      <c r="G3014" s="53" t="s">
        <v>662</v>
      </c>
      <c r="H3014" s="53">
        <v>1.0</v>
      </c>
      <c r="I3014" s="53">
        <v>0.31137724550898205</v>
      </c>
      <c r="J3014" s="53">
        <v>0.0</v>
      </c>
      <c r="K3014" s="53" t="s">
        <v>53</v>
      </c>
      <c r="L3014" s="53" t="s">
        <v>53</v>
      </c>
    </row>
    <row r="3015" ht="15.75" customHeight="1">
      <c r="A3015" s="53" t="s">
        <v>563</v>
      </c>
      <c r="B3015" s="53" t="s">
        <v>855</v>
      </c>
      <c r="D3015" s="53" t="s">
        <v>656</v>
      </c>
      <c r="E3015" s="53" t="s">
        <v>4630</v>
      </c>
      <c r="F3015" s="53" t="s">
        <v>660</v>
      </c>
      <c r="G3015" s="53" t="s">
        <v>578</v>
      </c>
      <c r="H3015" s="53">
        <v>1.0</v>
      </c>
      <c r="I3015" s="53">
        <v>0.3900709219858156</v>
      </c>
      <c r="J3015" s="53">
        <v>25.0</v>
      </c>
      <c r="K3015" s="53" t="s">
        <v>53</v>
      </c>
      <c r="L3015" s="53" t="s">
        <v>53</v>
      </c>
    </row>
    <row r="3016" ht="15.75" customHeight="1">
      <c r="A3016" s="53" t="s">
        <v>563</v>
      </c>
      <c r="B3016" s="53" t="s">
        <v>855</v>
      </c>
      <c r="D3016" s="53" t="s">
        <v>662</v>
      </c>
      <c r="E3016" s="53" t="s">
        <v>4631</v>
      </c>
      <c r="F3016" s="53" t="s">
        <v>4628</v>
      </c>
      <c r="G3016" s="53" t="s">
        <v>3963</v>
      </c>
      <c r="H3016" s="53">
        <v>0.75</v>
      </c>
      <c r="I3016" s="53">
        <v>0.08333333333333333</v>
      </c>
      <c r="J3016" s="53">
        <v>2.0</v>
      </c>
      <c r="K3016" s="53" t="s">
        <v>53</v>
      </c>
      <c r="L3016" s="53" t="s">
        <v>4605</v>
      </c>
    </row>
    <row r="3017" ht="15.75" customHeight="1">
      <c r="A3017" s="53" t="s">
        <v>563</v>
      </c>
      <c r="B3017" s="53" t="s">
        <v>855</v>
      </c>
      <c r="D3017" s="53" t="s">
        <v>662</v>
      </c>
      <c r="E3017" s="53" t="s">
        <v>4632</v>
      </c>
      <c r="F3017" s="53" t="s">
        <v>660</v>
      </c>
      <c r="G3017" s="53" t="s">
        <v>578</v>
      </c>
      <c r="H3017" s="53">
        <v>1.0</v>
      </c>
      <c r="I3017" s="53">
        <v>0.19760479041916168</v>
      </c>
      <c r="J3017" s="53">
        <v>24.0</v>
      </c>
      <c r="K3017" s="53" t="s">
        <v>53</v>
      </c>
      <c r="L3017" s="53" t="s">
        <v>53</v>
      </c>
    </row>
    <row r="3018" ht="15.75" customHeight="1">
      <c r="A3018" s="53" t="s">
        <v>563</v>
      </c>
      <c r="B3018" s="53" t="s">
        <v>855</v>
      </c>
      <c r="D3018" s="53" t="s">
        <v>832</v>
      </c>
      <c r="E3018" s="53" t="s">
        <v>4633</v>
      </c>
      <c r="F3018" s="53" t="s">
        <v>4634</v>
      </c>
      <c r="G3018" s="53" t="s">
        <v>3963</v>
      </c>
      <c r="H3018" s="53">
        <v>1.0</v>
      </c>
      <c r="I3018" s="53">
        <v>0.30952380952380953</v>
      </c>
      <c r="J3018" s="53">
        <v>1.0</v>
      </c>
      <c r="K3018" s="53" t="s">
        <v>53</v>
      </c>
      <c r="L3018" s="53" t="s">
        <v>53</v>
      </c>
    </row>
    <row r="3019" ht="15.75" customHeight="1">
      <c r="A3019" s="53" t="s">
        <v>563</v>
      </c>
      <c r="B3019" s="53" t="s">
        <v>855</v>
      </c>
      <c r="D3019" s="53" t="s">
        <v>832</v>
      </c>
      <c r="E3019" s="53" t="s">
        <v>4635</v>
      </c>
      <c r="F3019" s="53" t="s">
        <v>4636</v>
      </c>
      <c r="G3019" s="53" t="s">
        <v>635</v>
      </c>
      <c r="H3019" s="53">
        <v>0.8</v>
      </c>
      <c r="I3019" s="53">
        <v>0.3717277486910995</v>
      </c>
      <c r="J3019" s="53">
        <v>8.0</v>
      </c>
      <c r="K3019" s="53" t="s">
        <v>53</v>
      </c>
      <c r="L3019" s="53" t="s">
        <v>4637</v>
      </c>
    </row>
    <row r="3020" ht="15.75" customHeight="1">
      <c r="A3020" s="53" t="s">
        <v>563</v>
      </c>
      <c r="B3020" s="53" t="s">
        <v>855</v>
      </c>
      <c r="D3020" s="53" t="s">
        <v>3963</v>
      </c>
      <c r="E3020" s="53" t="s">
        <v>4638</v>
      </c>
      <c r="F3020" s="53" t="s">
        <v>4639</v>
      </c>
      <c r="G3020" s="53" t="s">
        <v>578</v>
      </c>
      <c r="H3020" s="53">
        <v>0.75</v>
      </c>
      <c r="I3020" s="53">
        <v>0.20238095238095238</v>
      </c>
      <c r="J3020" s="53">
        <v>21.0</v>
      </c>
      <c r="K3020" s="53" t="s">
        <v>53</v>
      </c>
      <c r="L3020" s="53" t="s">
        <v>4605</v>
      </c>
    </row>
    <row r="3021" ht="15.75" customHeight="1">
      <c r="A3021" s="53" t="s">
        <v>563</v>
      </c>
      <c r="B3021" s="53" t="s">
        <v>855</v>
      </c>
      <c r="D3021" s="53" t="s">
        <v>3963</v>
      </c>
      <c r="E3021" s="53" t="s">
        <v>4640</v>
      </c>
      <c r="F3021" s="53" t="s">
        <v>4636</v>
      </c>
      <c r="G3021" s="53" t="s">
        <v>635</v>
      </c>
      <c r="H3021" s="53">
        <v>0.8</v>
      </c>
      <c r="I3021" s="53">
        <v>0.450261780104712</v>
      </c>
      <c r="J3021" s="53">
        <v>6.0</v>
      </c>
      <c r="K3021" s="53" t="s">
        <v>53</v>
      </c>
      <c r="L3021" s="53" t="s">
        <v>4637</v>
      </c>
    </row>
    <row r="3022" ht="15.75" customHeight="1">
      <c r="A3022" s="53" t="s">
        <v>563</v>
      </c>
      <c r="B3022" s="53" t="s">
        <v>855</v>
      </c>
      <c r="D3022" s="53" t="s">
        <v>611</v>
      </c>
      <c r="E3022" s="53" t="s">
        <v>4641</v>
      </c>
      <c r="F3022" s="53" t="s">
        <v>4642</v>
      </c>
      <c r="G3022" s="53" t="s">
        <v>635</v>
      </c>
      <c r="H3022" s="53">
        <v>0.8</v>
      </c>
      <c r="I3022" s="53">
        <v>0.11518324607329843</v>
      </c>
      <c r="J3022" s="53">
        <v>3.0</v>
      </c>
      <c r="K3022" s="53" t="s">
        <v>53</v>
      </c>
      <c r="L3022" s="53" t="s">
        <v>4643</v>
      </c>
    </row>
    <row r="3023" ht="15.75" customHeight="1">
      <c r="A3023" s="53" t="s">
        <v>563</v>
      </c>
      <c r="B3023" s="53" t="s">
        <v>855</v>
      </c>
      <c r="D3023" s="53" t="s">
        <v>636</v>
      </c>
      <c r="E3023" s="53" t="s">
        <v>3951</v>
      </c>
      <c r="F3023" s="53" t="s">
        <v>3941</v>
      </c>
      <c r="G3023" s="53" t="s">
        <v>645</v>
      </c>
      <c r="H3023" s="53">
        <v>1.0</v>
      </c>
      <c r="I3023" s="53">
        <v>0.08168316831683169</v>
      </c>
      <c r="J3023" s="53">
        <v>0.0</v>
      </c>
      <c r="K3023" s="53" t="s">
        <v>53</v>
      </c>
      <c r="L3023" s="53" t="s">
        <v>53</v>
      </c>
    </row>
    <row r="3024" ht="15.75" customHeight="1">
      <c r="A3024" s="53" t="s">
        <v>563</v>
      </c>
      <c r="B3024" s="53" t="s">
        <v>855</v>
      </c>
      <c r="D3024" s="53" t="s">
        <v>642</v>
      </c>
      <c r="E3024" s="53" t="s">
        <v>4644</v>
      </c>
      <c r="F3024" s="53" t="s">
        <v>4645</v>
      </c>
      <c r="G3024" s="53" t="s">
        <v>651</v>
      </c>
      <c r="H3024" s="53">
        <v>0.7142857142857143</v>
      </c>
      <c r="I3024" s="53">
        <v>0.08506616257088846</v>
      </c>
      <c r="J3024" s="53">
        <v>0.0</v>
      </c>
      <c r="K3024" s="53" t="s">
        <v>53</v>
      </c>
      <c r="L3024" s="53" t="s">
        <v>4646</v>
      </c>
    </row>
    <row r="3025" ht="15.75" customHeight="1">
      <c r="A3025" s="53" t="s">
        <v>563</v>
      </c>
      <c r="B3025" s="53" t="s">
        <v>855</v>
      </c>
      <c r="D3025" s="53" t="s">
        <v>4447</v>
      </c>
      <c r="E3025" s="53" t="s">
        <v>4647</v>
      </c>
      <c r="F3025" s="53" t="s">
        <v>4648</v>
      </c>
      <c r="G3025" s="53" t="s">
        <v>4450</v>
      </c>
      <c r="H3025" s="53">
        <v>0.8333333333333334</v>
      </c>
      <c r="I3025" s="53">
        <v>0.34967320261437906</v>
      </c>
      <c r="J3025" s="53">
        <v>5.0</v>
      </c>
      <c r="K3025" s="53" t="s">
        <v>53</v>
      </c>
      <c r="L3025" s="53" t="s">
        <v>4452</v>
      </c>
    </row>
    <row r="3026" ht="15.75" customHeight="1">
      <c r="A3026" s="53" t="s">
        <v>563</v>
      </c>
      <c r="B3026" s="53" t="s">
        <v>855</v>
      </c>
      <c r="D3026" s="53" t="s">
        <v>4447</v>
      </c>
      <c r="E3026" s="53" t="s">
        <v>4649</v>
      </c>
      <c r="F3026" s="53" t="s">
        <v>4648</v>
      </c>
      <c r="G3026" s="53" t="s">
        <v>4454</v>
      </c>
      <c r="H3026" s="53">
        <v>0.8333333333333334</v>
      </c>
      <c r="I3026" s="53">
        <v>0.35294117647058826</v>
      </c>
      <c r="J3026" s="53">
        <v>6.0</v>
      </c>
      <c r="K3026" s="53" t="s">
        <v>53</v>
      </c>
      <c r="L3026" s="53" t="s">
        <v>4452</v>
      </c>
    </row>
    <row r="3027" ht="15.75" customHeight="1">
      <c r="A3027" s="53" t="s">
        <v>563</v>
      </c>
      <c r="B3027" s="53" t="s">
        <v>855</v>
      </c>
      <c r="D3027" s="53" t="s">
        <v>711</v>
      </c>
      <c r="E3027" s="53" t="s">
        <v>720</v>
      </c>
      <c r="F3027" s="53" t="s">
        <v>715</v>
      </c>
      <c r="G3027" s="53" t="s">
        <v>723</v>
      </c>
      <c r="H3027" s="53">
        <v>1.0</v>
      </c>
      <c r="I3027" s="53">
        <v>0.3617021276595745</v>
      </c>
      <c r="J3027" s="53">
        <v>1.0</v>
      </c>
      <c r="K3027" s="53" t="s">
        <v>53</v>
      </c>
      <c r="L3027" s="53" t="s">
        <v>53</v>
      </c>
    </row>
    <row r="3028" ht="15.75" customHeight="1">
      <c r="A3028" s="53" t="s">
        <v>563</v>
      </c>
      <c r="B3028" s="53" t="s">
        <v>855</v>
      </c>
      <c r="D3028" s="53" t="s">
        <v>711</v>
      </c>
      <c r="E3028" s="53" t="s">
        <v>713</v>
      </c>
      <c r="F3028" s="53" t="s">
        <v>715</v>
      </c>
      <c r="G3028" s="53" t="s">
        <v>717</v>
      </c>
      <c r="H3028" s="53">
        <v>1.0</v>
      </c>
      <c r="I3028" s="53">
        <v>0.3617021276595745</v>
      </c>
      <c r="J3028" s="53">
        <v>0.0</v>
      </c>
      <c r="K3028" s="53" t="s">
        <v>53</v>
      </c>
      <c r="L3028" s="53" t="s">
        <v>53</v>
      </c>
    </row>
    <row r="3029" ht="15.75" customHeight="1">
      <c r="A3029" s="53" t="s">
        <v>563</v>
      </c>
      <c r="B3029" s="53" t="s">
        <v>855</v>
      </c>
      <c r="D3029" s="53" t="s">
        <v>717</v>
      </c>
      <c r="E3029" s="53" t="s">
        <v>4134</v>
      </c>
      <c r="F3029" s="53" t="s">
        <v>715</v>
      </c>
      <c r="G3029" s="53" t="s">
        <v>723</v>
      </c>
      <c r="H3029" s="53">
        <v>1.0</v>
      </c>
      <c r="I3029" s="53">
        <v>0.02127659574468085</v>
      </c>
      <c r="J3029" s="53">
        <v>0.0</v>
      </c>
      <c r="K3029" s="53" t="s">
        <v>53</v>
      </c>
      <c r="L3029" s="53" t="s">
        <v>53</v>
      </c>
    </row>
    <row r="3030" ht="15.75" customHeight="1">
      <c r="A3030" s="53" t="s">
        <v>563</v>
      </c>
      <c r="B3030" s="53" t="s">
        <v>855</v>
      </c>
      <c r="D3030" s="53" t="s">
        <v>4136</v>
      </c>
      <c r="E3030" s="53" t="s">
        <v>4650</v>
      </c>
      <c r="F3030" s="53" t="s">
        <v>4651</v>
      </c>
      <c r="G3030" s="53" t="s">
        <v>4139</v>
      </c>
      <c r="H3030" s="53">
        <v>1.0</v>
      </c>
      <c r="I3030" s="53">
        <v>0.015625</v>
      </c>
      <c r="J3030" s="53">
        <v>0.0</v>
      </c>
      <c r="K3030" s="53" t="s">
        <v>53</v>
      </c>
      <c r="L3030" s="53" t="s">
        <v>53</v>
      </c>
    </row>
    <row r="3031" ht="15.75" customHeight="1">
      <c r="A3031" s="53" t="s">
        <v>563</v>
      </c>
      <c r="B3031" s="53" t="s">
        <v>855</v>
      </c>
      <c r="D3031" s="53" t="s">
        <v>4450</v>
      </c>
      <c r="E3031" s="53" t="s">
        <v>4652</v>
      </c>
      <c r="F3031" s="53" t="s">
        <v>4653</v>
      </c>
      <c r="G3031" s="53" t="s">
        <v>4454</v>
      </c>
      <c r="H3031" s="53">
        <v>1.0</v>
      </c>
      <c r="I3031" s="53">
        <v>0.011764705882352941</v>
      </c>
      <c r="J3031" s="53">
        <v>0.0</v>
      </c>
      <c r="K3031" s="53" t="s">
        <v>53</v>
      </c>
      <c r="L3031" s="53" t="s">
        <v>53</v>
      </c>
    </row>
    <row r="3032" ht="15.75" customHeight="1">
      <c r="A3032" s="53" t="s">
        <v>1084</v>
      </c>
      <c r="B3032" s="53" t="s">
        <v>855</v>
      </c>
      <c r="D3032" s="53" t="s">
        <v>4240</v>
      </c>
      <c r="E3032" s="53" t="s">
        <v>4241</v>
      </c>
      <c r="F3032" s="53" t="s">
        <v>4242</v>
      </c>
      <c r="G3032" s="53" t="s">
        <v>4243</v>
      </c>
      <c r="H3032" s="53">
        <v>1.0</v>
      </c>
      <c r="I3032" s="53">
        <v>0.7220338983050848</v>
      </c>
      <c r="J3032" s="53">
        <v>3.0</v>
      </c>
      <c r="K3032" s="53" t="s">
        <v>53</v>
      </c>
      <c r="L3032" s="53" t="s">
        <v>4244</v>
      </c>
    </row>
    <row r="3033" ht="15.75" customHeight="1">
      <c r="A3033" s="53" t="s">
        <v>2619</v>
      </c>
      <c r="B3033" s="53" t="s">
        <v>855</v>
      </c>
      <c r="D3033" s="53" t="s">
        <v>1496</v>
      </c>
      <c r="E3033" s="53" t="s">
        <v>4654</v>
      </c>
      <c r="F3033" s="53" t="s">
        <v>1498</v>
      </c>
      <c r="G3033" s="53" t="s">
        <v>1499</v>
      </c>
      <c r="H3033" s="53">
        <v>0.5</v>
      </c>
      <c r="I3033" s="53">
        <v>0.0866408518877057</v>
      </c>
      <c r="J3033" s="53">
        <v>0.0</v>
      </c>
      <c r="K3033" s="53" t="s">
        <v>53</v>
      </c>
      <c r="L3033" s="53" t="s">
        <v>1501</v>
      </c>
    </row>
    <row r="3034" ht="15.75" customHeight="1">
      <c r="A3034" s="53" t="s">
        <v>2619</v>
      </c>
      <c r="B3034" s="53" t="s">
        <v>855</v>
      </c>
      <c r="D3034" s="53" t="s">
        <v>90</v>
      </c>
      <c r="E3034" s="53" t="s">
        <v>1997</v>
      </c>
      <c r="F3034" s="53" t="s">
        <v>2518</v>
      </c>
      <c r="G3034" s="53" t="s">
        <v>84</v>
      </c>
      <c r="H3034" s="53">
        <v>1.0</v>
      </c>
      <c r="I3034" s="53">
        <v>0.11339137645107794</v>
      </c>
      <c r="J3034" s="53">
        <v>5.0</v>
      </c>
      <c r="K3034" s="53" t="s">
        <v>53</v>
      </c>
      <c r="L3034" s="53" t="s">
        <v>53</v>
      </c>
    </row>
    <row r="3035" ht="15.75" customHeight="1">
      <c r="A3035" s="53" t="s">
        <v>2619</v>
      </c>
      <c r="B3035" s="53" t="s">
        <v>855</v>
      </c>
      <c r="D3035" s="53" t="s">
        <v>1999</v>
      </c>
      <c r="E3035" s="53" t="s">
        <v>2000</v>
      </c>
      <c r="F3035" s="53" t="s">
        <v>2519</v>
      </c>
      <c r="G3035" s="53" t="s">
        <v>2002</v>
      </c>
      <c r="H3035" s="53">
        <v>0.3333333333333333</v>
      </c>
      <c r="I3035" s="53">
        <v>0.02414833980163864</v>
      </c>
      <c r="J3035" s="53">
        <v>0.0</v>
      </c>
      <c r="K3035" s="53" t="s">
        <v>53</v>
      </c>
      <c r="L3035" s="53" t="s">
        <v>2520</v>
      </c>
    </row>
    <row r="3036" ht="15.75" customHeight="1">
      <c r="A3036" s="53" t="s">
        <v>2619</v>
      </c>
      <c r="B3036" s="53" t="s">
        <v>855</v>
      </c>
      <c r="D3036" s="53" t="s">
        <v>2004</v>
      </c>
      <c r="E3036" s="53" t="s">
        <v>4655</v>
      </c>
      <c r="F3036" s="53" t="s">
        <v>2521</v>
      </c>
      <c r="G3036" s="53" t="s">
        <v>2007</v>
      </c>
      <c r="H3036" s="53">
        <v>1.0</v>
      </c>
      <c r="I3036" s="53">
        <v>0.62</v>
      </c>
      <c r="J3036" s="53">
        <v>0.0</v>
      </c>
      <c r="K3036" s="53" t="s">
        <v>53</v>
      </c>
      <c r="L3036" s="53" t="s">
        <v>53</v>
      </c>
    </row>
    <row r="3037" ht="15.75" customHeight="1">
      <c r="A3037" s="53" t="s">
        <v>1002</v>
      </c>
      <c r="B3037" s="53" t="s">
        <v>855</v>
      </c>
      <c r="D3037" s="53" t="s">
        <v>4245</v>
      </c>
      <c r="E3037" s="53" t="s">
        <v>4656</v>
      </c>
      <c r="F3037" s="53" t="s">
        <v>4247</v>
      </c>
      <c r="G3037" s="53" t="s">
        <v>4248</v>
      </c>
      <c r="H3037" s="53">
        <v>1.0</v>
      </c>
      <c r="I3037" s="53">
        <v>0.6946308724832215</v>
      </c>
      <c r="J3037" s="53">
        <v>3.0</v>
      </c>
      <c r="K3037" s="53" t="s">
        <v>53</v>
      </c>
      <c r="L3037" s="53" t="s">
        <v>1527</v>
      </c>
    </row>
    <row r="3038" ht="15.75" customHeight="1">
      <c r="A3038" s="53" t="s">
        <v>2624</v>
      </c>
      <c r="B3038" s="53" t="s">
        <v>855</v>
      </c>
      <c r="D3038" s="53" t="s">
        <v>1758</v>
      </c>
      <c r="E3038" s="53" t="s">
        <v>4308</v>
      </c>
      <c r="F3038" s="53" t="s">
        <v>2557</v>
      </c>
      <c r="G3038" s="53" t="s">
        <v>232</v>
      </c>
      <c r="H3038" s="53">
        <v>0.8</v>
      </c>
      <c r="I3038" s="53">
        <v>0.6432</v>
      </c>
      <c r="J3038" s="53">
        <v>1.0</v>
      </c>
      <c r="K3038" s="53" t="s">
        <v>53</v>
      </c>
      <c r="L3038" s="53" t="s">
        <v>2558</v>
      </c>
    </row>
    <row r="3039" ht="15.75" customHeight="1">
      <c r="A3039" s="53" t="s">
        <v>2624</v>
      </c>
      <c r="B3039" s="53" t="s">
        <v>855</v>
      </c>
      <c r="D3039" s="53" t="s">
        <v>1758</v>
      </c>
      <c r="E3039" s="53" t="s">
        <v>4309</v>
      </c>
      <c r="F3039" s="53" t="s">
        <v>2557</v>
      </c>
      <c r="G3039" s="53" t="s">
        <v>1739</v>
      </c>
      <c r="H3039" s="53">
        <v>0.8</v>
      </c>
      <c r="I3039" s="53">
        <v>0.6448</v>
      </c>
      <c r="J3039" s="53">
        <v>2.0</v>
      </c>
      <c r="K3039" s="53" t="s">
        <v>53</v>
      </c>
      <c r="L3039" s="53" t="s">
        <v>2558</v>
      </c>
    </row>
    <row r="3040" ht="15.75" customHeight="1">
      <c r="A3040" s="53" t="s">
        <v>2624</v>
      </c>
      <c r="B3040" s="53" t="s">
        <v>855</v>
      </c>
      <c r="D3040" s="53" t="s">
        <v>1758</v>
      </c>
      <c r="E3040" s="53" t="s">
        <v>4310</v>
      </c>
      <c r="F3040" s="53" t="s">
        <v>2557</v>
      </c>
      <c r="G3040" s="53" t="s">
        <v>1736</v>
      </c>
      <c r="H3040" s="53">
        <v>0.8</v>
      </c>
      <c r="I3040" s="53">
        <v>0.6464</v>
      </c>
      <c r="J3040" s="53">
        <v>0.0</v>
      </c>
      <c r="K3040" s="53" t="s">
        <v>53</v>
      </c>
      <c r="L3040" s="53" t="s">
        <v>2558</v>
      </c>
    </row>
    <row r="3041" ht="15.75" customHeight="1">
      <c r="A3041" s="53" t="s">
        <v>2624</v>
      </c>
      <c r="B3041" s="53" t="s">
        <v>855</v>
      </c>
      <c r="D3041" s="53" t="s">
        <v>1758</v>
      </c>
      <c r="E3041" s="53" t="s">
        <v>4311</v>
      </c>
      <c r="F3041" s="53" t="s">
        <v>2557</v>
      </c>
      <c r="G3041" s="53" t="s">
        <v>539</v>
      </c>
      <c r="H3041" s="53">
        <v>0.8</v>
      </c>
      <c r="I3041" s="53">
        <v>0.68</v>
      </c>
      <c r="J3041" s="53">
        <v>3.0</v>
      </c>
      <c r="K3041" s="53" t="s">
        <v>53</v>
      </c>
      <c r="L3041" s="53" t="s">
        <v>2558</v>
      </c>
    </row>
    <row r="3042" ht="15.75" customHeight="1">
      <c r="A3042" s="53" t="s">
        <v>2624</v>
      </c>
      <c r="B3042" s="53" t="s">
        <v>855</v>
      </c>
      <c r="D3042" s="53" t="s">
        <v>1758</v>
      </c>
      <c r="E3042" s="53" t="s">
        <v>4312</v>
      </c>
      <c r="F3042" s="53" t="s">
        <v>2557</v>
      </c>
      <c r="G3042" s="53" t="s">
        <v>1742</v>
      </c>
      <c r="H3042" s="53">
        <v>0.8</v>
      </c>
      <c r="I3042" s="53">
        <v>0.6832</v>
      </c>
      <c r="J3042" s="53">
        <v>12.0</v>
      </c>
      <c r="K3042" s="53" t="s">
        <v>53</v>
      </c>
      <c r="L3042" s="53" t="s">
        <v>2558</v>
      </c>
    </row>
    <row r="3043" ht="15.75" customHeight="1">
      <c r="A3043" s="53" t="s">
        <v>2624</v>
      </c>
      <c r="B3043" s="53" t="s">
        <v>855</v>
      </c>
      <c r="D3043" s="53" t="s">
        <v>1736</v>
      </c>
      <c r="E3043" s="53" t="s">
        <v>4313</v>
      </c>
      <c r="F3043" s="53" t="s">
        <v>2559</v>
      </c>
      <c r="G3043" s="53" t="s">
        <v>1739</v>
      </c>
      <c r="H3043" s="53">
        <v>1.0</v>
      </c>
      <c r="I3043" s="53">
        <v>0.017064846416382253</v>
      </c>
      <c r="J3043" s="53">
        <v>1.0</v>
      </c>
      <c r="K3043" s="53" t="s">
        <v>53</v>
      </c>
      <c r="L3043" s="53" t="s">
        <v>53</v>
      </c>
    </row>
    <row r="3044" ht="15.75" customHeight="1">
      <c r="A3044" s="53" t="s">
        <v>2624</v>
      </c>
      <c r="B3044" s="53" t="s">
        <v>855</v>
      </c>
      <c r="D3044" s="53" t="s">
        <v>1736</v>
      </c>
      <c r="E3044" s="53" t="s">
        <v>4314</v>
      </c>
      <c r="F3044" s="53" t="s">
        <v>2559</v>
      </c>
      <c r="G3044" s="53" t="s">
        <v>232</v>
      </c>
      <c r="H3044" s="53">
        <v>1.0</v>
      </c>
      <c r="I3044" s="53">
        <v>0.04040404040404041</v>
      </c>
      <c r="J3044" s="53">
        <v>0.0</v>
      </c>
      <c r="K3044" s="53" t="s">
        <v>53</v>
      </c>
      <c r="L3044" s="53" t="s">
        <v>53</v>
      </c>
    </row>
    <row r="3045" ht="15.75" customHeight="1">
      <c r="A3045" s="53" t="s">
        <v>2624</v>
      </c>
      <c r="B3045" s="53" t="s">
        <v>855</v>
      </c>
      <c r="D3045" s="53" t="s">
        <v>1736</v>
      </c>
      <c r="E3045" s="53" t="s">
        <v>4315</v>
      </c>
      <c r="F3045" s="53" t="s">
        <v>2559</v>
      </c>
      <c r="G3045" s="53" t="s">
        <v>539</v>
      </c>
      <c r="H3045" s="53">
        <v>1.0</v>
      </c>
      <c r="I3045" s="53">
        <v>0.3698630136986301</v>
      </c>
      <c r="J3045" s="53">
        <v>2.0</v>
      </c>
      <c r="K3045" s="53" t="s">
        <v>53</v>
      </c>
      <c r="L3045" s="53" t="s">
        <v>53</v>
      </c>
    </row>
    <row r="3046" ht="15.75" customHeight="1">
      <c r="A3046" s="53" t="s">
        <v>2624</v>
      </c>
      <c r="B3046" s="53" t="s">
        <v>855</v>
      </c>
      <c r="D3046" s="53" t="s">
        <v>1736</v>
      </c>
      <c r="E3046" s="53" t="s">
        <v>4316</v>
      </c>
      <c r="F3046" s="53" t="s">
        <v>2559</v>
      </c>
      <c r="G3046" s="53" t="s">
        <v>1742</v>
      </c>
      <c r="H3046" s="53">
        <v>1.0</v>
      </c>
      <c r="I3046" s="53">
        <v>0.49673202614379086</v>
      </c>
      <c r="J3046" s="53">
        <v>11.0</v>
      </c>
      <c r="K3046" s="53" t="s">
        <v>53</v>
      </c>
      <c r="L3046" s="53" t="s">
        <v>53</v>
      </c>
    </row>
    <row r="3047" ht="15.75" customHeight="1">
      <c r="A3047" s="53" t="s">
        <v>2624</v>
      </c>
      <c r="B3047" s="53" t="s">
        <v>855</v>
      </c>
      <c r="D3047" s="53" t="s">
        <v>232</v>
      </c>
      <c r="E3047" s="53" t="s">
        <v>4317</v>
      </c>
      <c r="F3047" s="53" t="s">
        <v>2559</v>
      </c>
      <c r="G3047" s="53" t="s">
        <v>1739</v>
      </c>
      <c r="H3047" s="53">
        <v>1.0</v>
      </c>
      <c r="I3047" s="53">
        <v>0.04040404040404041</v>
      </c>
      <c r="J3047" s="53">
        <v>0.0</v>
      </c>
      <c r="K3047" s="53" t="s">
        <v>53</v>
      </c>
      <c r="L3047" s="53" t="s">
        <v>53</v>
      </c>
    </row>
    <row r="3048" ht="15.75" customHeight="1">
      <c r="A3048" s="53" t="s">
        <v>2624</v>
      </c>
      <c r="B3048" s="53" t="s">
        <v>855</v>
      </c>
      <c r="D3048" s="53" t="s">
        <v>232</v>
      </c>
      <c r="E3048" s="53" t="s">
        <v>4318</v>
      </c>
      <c r="F3048" s="53" t="s">
        <v>2559</v>
      </c>
      <c r="G3048" s="53" t="s">
        <v>539</v>
      </c>
      <c r="H3048" s="53">
        <v>1.0</v>
      </c>
      <c r="I3048" s="53">
        <v>0.3771043771043771</v>
      </c>
      <c r="J3048" s="53">
        <v>1.0</v>
      </c>
      <c r="K3048" s="53" t="s">
        <v>53</v>
      </c>
      <c r="L3048" s="53" t="s">
        <v>53</v>
      </c>
    </row>
    <row r="3049" ht="15.75" customHeight="1">
      <c r="A3049" s="53" t="s">
        <v>2624</v>
      </c>
      <c r="B3049" s="53" t="s">
        <v>855</v>
      </c>
      <c r="D3049" s="53" t="s">
        <v>232</v>
      </c>
      <c r="E3049" s="53" t="s">
        <v>4319</v>
      </c>
      <c r="F3049" s="53" t="s">
        <v>2559</v>
      </c>
      <c r="G3049" s="53" t="s">
        <v>1742</v>
      </c>
      <c r="H3049" s="53">
        <v>1.0</v>
      </c>
      <c r="I3049" s="53">
        <v>0.5032679738562091</v>
      </c>
      <c r="J3049" s="53">
        <v>10.0</v>
      </c>
      <c r="K3049" s="53" t="s">
        <v>53</v>
      </c>
      <c r="L3049" s="53" t="s">
        <v>53</v>
      </c>
    </row>
    <row r="3050" ht="15.75" customHeight="1">
      <c r="A3050" s="53" t="s">
        <v>2624</v>
      </c>
      <c r="B3050" s="53" t="s">
        <v>855</v>
      </c>
      <c r="D3050" s="53" t="s">
        <v>1739</v>
      </c>
      <c r="E3050" s="53" t="s">
        <v>4320</v>
      </c>
      <c r="F3050" s="53" t="s">
        <v>2559</v>
      </c>
      <c r="G3050" s="53" t="s">
        <v>539</v>
      </c>
      <c r="H3050" s="53">
        <v>1.0</v>
      </c>
      <c r="I3050" s="53">
        <v>0.3720136518771331</v>
      </c>
      <c r="J3050" s="53">
        <v>0.0</v>
      </c>
      <c r="K3050" s="53" t="s">
        <v>53</v>
      </c>
      <c r="L3050" s="53" t="s">
        <v>53</v>
      </c>
    </row>
    <row r="3051" ht="15.75" customHeight="1">
      <c r="A3051" s="53" t="s">
        <v>2624</v>
      </c>
      <c r="B3051" s="53" t="s">
        <v>855</v>
      </c>
      <c r="D3051" s="53" t="s">
        <v>1739</v>
      </c>
      <c r="E3051" s="53" t="s">
        <v>4321</v>
      </c>
      <c r="F3051" s="53" t="s">
        <v>2559</v>
      </c>
      <c r="G3051" s="53" t="s">
        <v>1742</v>
      </c>
      <c r="H3051" s="53">
        <v>1.0</v>
      </c>
      <c r="I3051" s="53">
        <v>0.49673202614379086</v>
      </c>
      <c r="J3051" s="53">
        <v>9.0</v>
      </c>
      <c r="K3051" s="53" t="s">
        <v>53</v>
      </c>
      <c r="L3051" s="53" t="s">
        <v>53</v>
      </c>
    </row>
    <row r="3052" ht="15.75" customHeight="1">
      <c r="A3052" s="53" t="s">
        <v>2624</v>
      </c>
      <c r="B3052" s="53" t="s">
        <v>855</v>
      </c>
      <c r="D3052" s="53" t="s">
        <v>539</v>
      </c>
      <c r="E3052" s="53" t="s">
        <v>4322</v>
      </c>
      <c r="F3052" s="53" t="s">
        <v>2559</v>
      </c>
      <c r="G3052" s="53" t="s">
        <v>1742</v>
      </c>
      <c r="H3052" s="53">
        <v>1.0</v>
      </c>
      <c r="I3052" s="53">
        <v>0.5294117647058824</v>
      </c>
      <c r="J3052" s="53">
        <v>8.0</v>
      </c>
      <c r="K3052" s="53" t="s">
        <v>53</v>
      </c>
      <c r="L3052" s="53" t="s">
        <v>53</v>
      </c>
    </row>
    <row r="3053" ht="15.75" customHeight="1">
      <c r="A3053" s="53" t="s">
        <v>2624</v>
      </c>
      <c r="B3053" s="53" t="s">
        <v>855</v>
      </c>
      <c r="D3053" s="53" t="s">
        <v>242</v>
      </c>
      <c r="E3053" s="53" t="s">
        <v>4323</v>
      </c>
      <c r="F3053" s="53" t="s">
        <v>2560</v>
      </c>
      <c r="G3053" s="53" t="s">
        <v>178</v>
      </c>
      <c r="H3053" s="53">
        <v>1.0</v>
      </c>
      <c r="I3053" s="53">
        <v>0.375</v>
      </c>
      <c r="J3053" s="53">
        <v>7.0</v>
      </c>
      <c r="K3053" s="53" t="s">
        <v>53</v>
      </c>
      <c r="L3053" s="53" t="s">
        <v>53</v>
      </c>
    </row>
    <row r="3054" ht="15.75" customHeight="1">
      <c r="A3054" s="53" t="s">
        <v>2624</v>
      </c>
      <c r="B3054" s="53" t="s">
        <v>855</v>
      </c>
      <c r="D3054" s="53" t="s">
        <v>1022</v>
      </c>
      <c r="E3054" s="53" t="s">
        <v>4324</v>
      </c>
      <c r="F3054" s="53" t="s">
        <v>2561</v>
      </c>
      <c r="G3054" s="53" t="s">
        <v>169</v>
      </c>
      <c r="H3054" s="53">
        <v>0.3333333333333333</v>
      </c>
      <c r="I3054" s="53">
        <v>0.018518518518518517</v>
      </c>
      <c r="J3054" s="53">
        <v>0.0</v>
      </c>
      <c r="K3054" s="53" t="s">
        <v>53</v>
      </c>
      <c r="L3054" s="53" t="s">
        <v>2562</v>
      </c>
    </row>
    <row r="3055" ht="15.75" customHeight="1">
      <c r="A3055" s="53" t="s">
        <v>2624</v>
      </c>
      <c r="B3055" s="53" t="s">
        <v>855</v>
      </c>
      <c r="D3055" s="53" t="s">
        <v>1749</v>
      </c>
      <c r="E3055" s="53" t="s">
        <v>4657</v>
      </c>
      <c r="F3055" s="53" t="s">
        <v>4326</v>
      </c>
      <c r="G3055" s="53" t="s">
        <v>1752</v>
      </c>
      <c r="H3055" s="53">
        <v>0.7142857142857143</v>
      </c>
      <c r="I3055" s="53">
        <v>0.03669724770642202</v>
      </c>
      <c r="J3055" s="53">
        <v>1.0</v>
      </c>
      <c r="K3055" s="53" t="s">
        <v>53</v>
      </c>
      <c r="L3055" s="53" t="s">
        <v>2562</v>
      </c>
    </row>
    <row r="3056" ht="15.75" customHeight="1">
      <c r="A3056" s="53" t="s">
        <v>515</v>
      </c>
      <c r="B3056" s="53" t="s">
        <v>855</v>
      </c>
      <c r="D3056" s="53" t="s">
        <v>3995</v>
      </c>
      <c r="E3056" s="53" t="s">
        <v>3996</v>
      </c>
      <c r="F3056" s="53" t="s">
        <v>3997</v>
      </c>
      <c r="G3056" s="53" t="s">
        <v>3998</v>
      </c>
      <c r="H3056" s="53">
        <v>1.0</v>
      </c>
      <c r="I3056" s="53">
        <v>0.0684931506849315</v>
      </c>
      <c r="J3056" s="53">
        <v>0.0</v>
      </c>
      <c r="K3056" s="53" t="s">
        <v>53</v>
      </c>
      <c r="L3056" s="53" t="s">
        <v>53</v>
      </c>
    </row>
    <row r="3057" ht="15.75" customHeight="1">
      <c r="A3057" s="53" t="s">
        <v>515</v>
      </c>
      <c r="B3057" s="53" t="s">
        <v>855</v>
      </c>
      <c r="D3057" s="53" t="s">
        <v>3995</v>
      </c>
      <c r="E3057" s="53" t="s">
        <v>4000</v>
      </c>
      <c r="F3057" s="53" t="s">
        <v>3997</v>
      </c>
      <c r="G3057" s="53" t="s">
        <v>4001</v>
      </c>
      <c r="H3057" s="53">
        <v>1.0</v>
      </c>
      <c r="I3057" s="53">
        <v>0.08108108108108109</v>
      </c>
      <c r="J3057" s="53">
        <v>1.0</v>
      </c>
      <c r="K3057" s="53" t="s">
        <v>53</v>
      </c>
      <c r="L3057" s="53" t="s">
        <v>53</v>
      </c>
    </row>
    <row r="3058" ht="15.75" customHeight="1">
      <c r="A3058" s="53" t="s">
        <v>515</v>
      </c>
      <c r="B3058" s="53" t="s">
        <v>855</v>
      </c>
      <c r="D3058" s="53" t="s">
        <v>3998</v>
      </c>
      <c r="E3058" s="53" t="s">
        <v>4002</v>
      </c>
      <c r="F3058" s="53" t="s">
        <v>3997</v>
      </c>
      <c r="G3058" s="53" t="s">
        <v>4001</v>
      </c>
      <c r="H3058" s="53">
        <v>1.0</v>
      </c>
      <c r="I3058" s="53">
        <v>0.06756756756756757</v>
      </c>
      <c r="J3058" s="53">
        <v>0.0</v>
      </c>
      <c r="K3058" s="53" t="s">
        <v>53</v>
      </c>
      <c r="L3058" s="53" t="s">
        <v>53</v>
      </c>
    </row>
    <row r="3059" ht="15.75" customHeight="1">
      <c r="A3059" s="53" t="s">
        <v>515</v>
      </c>
      <c r="B3059" s="53" t="s">
        <v>855</v>
      </c>
      <c r="D3059" s="53" t="s">
        <v>134</v>
      </c>
      <c r="E3059" s="53" t="s">
        <v>4658</v>
      </c>
      <c r="F3059" s="53" t="s">
        <v>132</v>
      </c>
      <c r="G3059" s="53" t="s">
        <v>128</v>
      </c>
      <c r="H3059" s="53">
        <v>1.0</v>
      </c>
      <c r="I3059" s="53">
        <v>0.06302521008403361</v>
      </c>
      <c r="J3059" s="53">
        <v>3.0</v>
      </c>
      <c r="K3059" s="53" t="s">
        <v>53</v>
      </c>
      <c r="L3059" s="53" t="s">
        <v>53</v>
      </c>
    </row>
    <row r="3060" ht="15.75" customHeight="1">
      <c r="A3060" s="53" t="s">
        <v>515</v>
      </c>
      <c r="B3060" s="53" t="s">
        <v>855</v>
      </c>
      <c r="D3060" s="53" t="s">
        <v>134</v>
      </c>
      <c r="E3060" s="53" t="s">
        <v>4659</v>
      </c>
      <c r="F3060" s="53" t="s">
        <v>132</v>
      </c>
      <c r="G3060" s="53" t="s">
        <v>2247</v>
      </c>
      <c r="H3060" s="53">
        <v>1.0</v>
      </c>
      <c r="I3060" s="53">
        <v>0.10416666666666667</v>
      </c>
      <c r="J3060" s="53">
        <v>0.0</v>
      </c>
      <c r="K3060" s="53" t="s">
        <v>53</v>
      </c>
      <c r="L3060" s="53" t="s">
        <v>53</v>
      </c>
    </row>
    <row r="3061" ht="15.75" customHeight="1">
      <c r="A3061" s="53" t="s">
        <v>515</v>
      </c>
      <c r="B3061" s="53" t="s">
        <v>855</v>
      </c>
      <c r="D3061" s="53" t="s">
        <v>134</v>
      </c>
      <c r="E3061" s="53" t="s">
        <v>4660</v>
      </c>
      <c r="F3061" s="53" t="s">
        <v>132</v>
      </c>
      <c r="G3061" s="53" t="s">
        <v>522</v>
      </c>
      <c r="H3061" s="53">
        <v>1.0</v>
      </c>
      <c r="I3061" s="53">
        <v>0.15503875968992248</v>
      </c>
      <c r="J3061" s="53">
        <v>6.0</v>
      </c>
      <c r="K3061" s="53" t="s">
        <v>53</v>
      </c>
      <c r="L3061" s="53" t="s">
        <v>53</v>
      </c>
    </row>
    <row r="3062" ht="15.75" customHeight="1">
      <c r="A3062" s="53" t="s">
        <v>515</v>
      </c>
      <c r="B3062" s="53" t="s">
        <v>855</v>
      </c>
      <c r="D3062" s="53" t="s">
        <v>2247</v>
      </c>
      <c r="E3062" s="53" t="s">
        <v>4661</v>
      </c>
      <c r="F3062" s="53" t="s">
        <v>132</v>
      </c>
      <c r="G3062" s="53" t="s">
        <v>128</v>
      </c>
      <c r="H3062" s="53">
        <v>1.0</v>
      </c>
      <c r="I3062" s="53">
        <v>0.04583333333333333</v>
      </c>
      <c r="J3062" s="53">
        <v>2.0</v>
      </c>
      <c r="K3062" s="53" t="s">
        <v>53</v>
      </c>
      <c r="L3062" s="53" t="s">
        <v>53</v>
      </c>
    </row>
    <row r="3063" ht="15.75" customHeight="1">
      <c r="A3063" s="53" t="s">
        <v>515</v>
      </c>
      <c r="B3063" s="53" t="s">
        <v>855</v>
      </c>
      <c r="D3063" s="53" t="s">
        <v>2247</v>
      </c>
      <c r="E3063" s="53" t="s">
        <v>4662</v>
      </c>
      <c r="F3063" s="53" t="s">
        <v>132</v>
      </c>
      <c r="G3063" s="53" t="s">
        <v>522</v>
      </c>
      <c r="H3063" s="53">
        <v>1.0</v>
      </c>
      <c r="I3063" s="53">
        <v>0.12015503875968993</v>
      </c>
      <c r="J3063" s="53">
        <v>5.0</v>
      </c>
      <c r="K3063" s="53" t="s">
        <v>53</v>
      </c>
      <c r="L3063" s="53" t="s">
        <v>53</v>
      </c>
    </row>
    <row r="3064" ht="15.75" customHeight="1">
      <c r="A3064" s="53" t="s">
        <v>515</v>
      </c>
      <c r="B3064" s="53" t="s">
        <v>855</v>
      </c>
      <c r="D3064" s="53" t="s">
        <v>4156</v>
      </c>
      <c r="E3064" s="53" t="s">
        <v>4157</v>
      </c>
      <c r="F3064" s="53" t="s">
        <v>4158</v>
      </c>
      <c r="G3064" s="53" t="s">
        <v>4159</v>
      </c>
      <c r="H3064" s="53">
        <v>0.75</v>
      </c>
      <c r="I3064" s="53">
        <v>0.08679245283018867</v>
      </c>
      <c r="J3064" s="53">
        <v>0.0</v>
      </c>
      <c r="K3064" s="53" t="s">
        <v>53</v>
      </c>
      <c r="L3064" s="53" t="s">
        <v>4161</v>
      </c>
    </row>
    <row r="3065" ht="15.75" customHeight="1">
      <c r="A3065" s="53" t="s">
        <v>515</v>
      </c>
      <c r="B3065" s="53" t="s">
        <v>855</v>
      </c>
      <c r="D3065" s="53" t="s">
        <v>128</v>
      </c>
      <c r="E3065" s="53" t="s">
        <v>4663</v>
      </c>
      <c r="F3065" s="53" t="s">
        <v>132</v>
      </c>
      <c r="G3065" s="53" t="s">
        <v>522</v>
      </c>
      <c r="H3065" s="53">
        <v>1.0</v>
      </c>
      <c r="I3065" s="53">
        <v>0.1124031007751938</v>
      </c>
      <c r="J3065" s="53">
        <v>2.0</v>
      </c>
      <c r="K3065" s="53" t="s">
        <v>53</v>
      </c>
      <c r="L3065" s="53" t="s">
        <v>53</v>
      </c>
    </row>
    <row r="3066" ht="15.75" customHeight="1">
      <c r="A3066" s="53" t="s">
        <v>515</v>
      </c>
      <c r="B3066" s="53" t="s">
        <v>855</v>
      </c>
      <c r="D3066" s="53" t="s">
        <v>1606</v>
      </c>
      <c r="E3066" s="53" t="s">
        <v>4664</v>
      </c>
      <c r="F3066" s="53" t="s">
        <v>2447</v>
      </c>
      <c r="G3066" s="53" t="s">
        <v>1611</v>
      </c>
      <c r="H3066" s="53">
        <v>1.0</v>
      </c>
      <c r="I3066" s="53">
        <v>0.03065134099616858</v>
      </c>
      <c r="J3066" s="53">
        <v>0.0</v>
      </c>
      <c r="K3066" s="53" t="s">
        <v>53</v>
      </c>
      <c r="L3066" s="53" t="s">
        <v>53</v>
      </c>
    </row>
    <row r="3067" ht="15.75" customHeight="1">
      <c r="A3067" s="53" t="s">
        <v>515</v>
      </c>
      <c r="B3067" s="53" t="s">
        <v>855</v>
      </c>
      <c r="D3067" s="53" t="s">
        <v>1606</v>
      </c>
      <c r="E3067" s="53" t="s">
        <v>4665</v>
      </c>
      <c r="F3067" s="53" t="s">
        <v>2447</v>
      </c>
      <c r="G3067" s="53" t="s">
        <v>1609</v>
      </c>
      <c r="H3067" s="53">
        <v>1.0</v>
      </c>
      <c r="I3067" s="53">
        <v>0.03065134099616858</v>
      </c>
      <c r="J3067" s="53">
        <v>1.0</v>
      </c>
      <c r="K3067" s="53" t="s">
        <v>53</v>
      </c>
      <c r="L3067" s="53" t="s">
        <v>53</v>
      </c>
    </row>
    <row r="3068" ht="15.75" customHeight="1">
      <c r="A3068" s="53" t="s">
        <v>515</v>
      </c>
      <c r="B3068" s="53" t="s">
        <v>855</v>
      </c>
      <c r="D3068" s="53" t="s">
        <v>1611</v>
      </c>
      <c r="E3068" s="53" t="s">
        <v>4666</v>
      </c>
      <c r="F3068" s="53" t="s">
        <v>2447</v>
      </c>
      <c r="G3068" s="53" t="s">
        <v>1609</v>
      </c>
      <c r="H3068" s="53">
        <v>1.0</v>
      </c>
      <c r="I3068" s="53">
        <v>0.0421455938697318</v>
      </c>
      <c r="J3068" s="53">
        <v>0.0</v>
      </c>
      <c r="K3068" s="53" t="s">
        <v>53</v>
      </c>
      <c r="L3068" s="53" t="s">
        <v>53</v>
      </c>
    </row>
    <row r="3069" ht="15.75" customHeight="1">
      <c r="A3069" s="53" t="s">
        <v>515</v>
      </c>
      <c r="B3069" s="53" t="s">
        <v>855</v>
      </c>
      <c r="D3069" s="53" t="s">
        <v>4328</v>
      </c>
      <c r="E3069" s="53" t="s">
        <v>4329</v>
      </c>
      <c r="F3069" s="53" t="s">
        <v>4335</v>
      </c>
      <c r="G3069" s="53" t="s">
        <v>4331</v>
      </c>
      <c r="H3069" s="53">
        <v>1.0</v>
      </c>
      <c r="I3069" s="53">
        <v>0.09016393442622951</v>
      </c>
      <c r="J3069" s="53">
        <v>1.0</v>
      </c>
      <c r="K3069" s="53" t="s">
        <v>53</v>
      </c>
      <c r="L3069" s="53" t="s">
        <v>53</v>
      </c>
    </row>
    <row r="3070" ht="15.75" customHeight="1">
      <c r="A3070" s="53" t="s">
        <v>515</v>
      </c>
      <c r="B3070" s="53" t="s">
        <v>855</v>
      </c>
      <c r="D3070" s="53" t="s">
        <v>4328</v>
      </c>
      <c r="E3070" s="53" t="s">
        <v>4334</v>
      </c>
      <c r="F3070" s="53" t="s">
        <v>4335</v>
      </c>
      <c r="G3070" s="53" t="s">
        <v>4336</v>
      </c>
      <c r="H3070" s="53">
        <v>1.0</v>
      </c>
      <c r="I3070" s="53">
        <v>0.125</v>
      </c>
      <c r="J3070" s="53">
        <v>0.0</v>
      </c>
      <c r="K3070" s="53" t="s">
        <v>53</v>
      </c>
      <c r="L3070" s="53" t="s">
        <v>53</v>
      </c>
    </row>
    <row r="3071" ht="15.75" customHeight="1">
      <c r="A3071" s="53" t="s">
        <v>515</v>
      </c>
      <c r="B3071" s="53" t="s">
        <v>855</v>
      </c>
      <c r="D3071" s="53" t="s">
        <v>4336</v>
      </c>
      <c r="E3071" s="53" t="s">
        <v>4667</v>
      </c>
      <c r="F3071" s="53" t="s">
        <v>4335</v>
      </c>
      <c r="G3071" s="53" t="s">
        <v>4331</v>
      </c>
      <c r="H3071" s="53">
        <v>1.0</v>
      </c>
      <c r="I3071" s="53">
        <v>0.20491803278688525</v>
      </c>
      <c r="J3071" s="53">
        <v>0.0</v>
      </c>
      <c r="K3071" s="53" t="s">
        <v>53</v>
      </c>
      <c r="L3071" s="53" t="s">
        <v>53</v>
      </c>
    </row>
    <row r="3072" ht="15.75" customHeight="1">
      <c r="A3072" s="53" t="s">
        <v>515</v>
      </c>
      <c r="B3072" s="53" t="s">
        <v>855</v>
      </c>
      <c r="D3072" s="53" t="s">
        <v>4424</v>
      </c>
      <c r="E3072" s="53" t="s">
        <v>4427</v>
      </c>
      <c r="F3072" s="53" t="s">
        <v>73</v>
      </c>
      <c r="G3072" s="53" t="s">
        <v>4428</v>
      </c>
      <c r="H3072" s="53">
        <v>1.0</v>
      </c>
      <c r="I3072" s="53">
        <v>0.010309278350515464</v>
      </c>
      <c r="J3072" s="53">
        <v>1.0</v>
      </c>
      <c r="K3072" s="53" t="s">
        <v>53</v>
      </c>
      <c r="L3072" s="53" t="s">
        <v>53</v>
      </c>
    </row>
    <row r="3073" ht="15.75" customHeight="1">
      <c r="A3073" s="53" t="s">
        <v>515</v>
      </c>
      <c r="B3073" s="53" t="s">
        <v>855</v>
      </c>
      <c r="D3073" s="53" t="s">
        <v>4424</v>
      </c>
      <c r="E3073" s="53" t="s">
        <v>4425</v>
      </c>
      <c r="F3073" s="53" t="s">
        <v>73</v>
      </c>
      <c r="G3073" s="53" t="s">
        <v>871</v>
      </c>
      <c r="H3073" s="53">
        <v>1.0</v>
      </c>
      <c r="I3073" s="53">
        <v>0.010309278350515464</v>
      </c>
      <c r="J3073" s="53">
        <v>0.0</v>
      </c>
      <c r="K3073" s="53" t="s">
        <v>53</v>
      </c>
      <c r="L3073" s="53" t="s">
        <v>53</v>
      </c>
    </row>
    <row r="3074" ht="15.75" customHeight="1">
      <c r="A3074" s="53" t="s">
        <v>515</v>
      </c>
      <c r="B3074" s="53" t="s">
        <v>855</v>
      </c>
      <c r="D3074" s="53" t="s">
        <v>4424</v>
      </c>
      <c r="E3074" s="53" t="s">
        <v>4429</v>
      </c>
      <c r="F3074" s="53" t="s">
        <v>73</v>
      </c>
      <c r="G3074" s="53" t="s">
        <v>4430</v>
      </c>
      <c r="H3074" s="53">
        <v>1.0</v>
      </c>
      <c r="I3074" s="53">
        <v>0.010309278350515464</v>
      </c>
      <c r="J3074" s="53">
        <v>3.0</v>
      </c>
      <c r="K3074" s="53" t="s">
        <v>53</v>
      </c>
      <c r="L3074" s="53" t="s">
        <v>53</v>
      </c>
    </row>
    <row r="3075" ht="15.75" customHeight="1">
      <c r="A3075" s="53" t="s">
        <v>515</v>
      </c>
      <c r="B3075" s="53" t="s">
        <v>855</v>
      </c>
      <c r="D3075" s="53" t="s">
        <v>4424</v>
      </c>
      <c r="E3075" s="53" t="s">
        <v>4431</v>
      </c>
      <c r="F3075" s="53" t="s">
        <v>73</v>
      </c>
      <c r="G3075" s="53" t="s">
        <v>4432</v>
      </c>
      <c r="H3075" s="53">
        <v>1.0</v>
      </c>
      <c r="I3075" s="53">
        <v>0.020618556701030927</v>
      </c>
      <c r="J3075" s="53">
        <v>2.0</v>
      </c>
      <c r="K3075" s="53" t="s">
        <v>53</v>
      </c>
      <c r="L3075" s="53" t="s">
        <v>53</v>
      </c>
    </row>
    <row r="3076" ht="15.75" customHeight="1">
      <c r="A3076" s="53" t="s">
        <v>515</v>
      </c>
      <c r="B3076" s="53" t="s">
        <v>855</v>
      </c>
      <c r="D3076" s="53" t="s">
        <v>4424</v>
      </c>
      <c r="E3076" s="53" t="s">
        <v>4433</v>
      </c>
      <c r="F3076" s="53" t="s">
        <v>4434</v>
      </c>
      <c r="G3076" s="53" t="s">
        <v>4435</v>
      </c>
      <c r="H3076" s="53">
        <v>0.0</v>
      </c>
      <c r="I3076" s="53">
        <v>0.020618556701030927</v>
      </c>
      <c r="J3076" s="53">
        <v>4.0</v>
      </c>
      <c r="K3076" s="53" t="s">
        <v>53</v>
      </c>
      <c r="L3076" s="53" t="s">
        <v>4436</v>
      </c>
    </row>
    <row r="3077" ht="15.75" customHeight="1">
      <c r="A3077" s="53" t="s">
        <v>515</v>
      </c>
      <c r="B3077" s="53" t="s">
        <v>855</v>
      </c>
      <c r="D3077" s="53" t="s">
        <v>871</v>
      </c>
      <c r="E3077" s="53" t="s">
        <v>4437</v>
      </c>
      <c r="F3077" s="53" t="s">
        <v>73</v>
      </c>
      <c r="G3077" s="53" t="s">
        <v>4432</v>
      </c>
      <c r="H3077" s="53">
        <v>1.0</v>
      </c>
      <c r="I3077" s="53">
        <v>0.010309278350515464</v>
      </c>
      <c r="J3077" s="53">
        <v>1.0</v>
      </c>
      <c r="K3077" s="53" t="s">
        <v>53</v>
      </c>
      <c r="L3077" s="53" t="s">
        <v>53</v>
      </c>
    </row>
    <row r="3078" ht="15.75" customHeight="1">
      <c r="A3078" s="53" t="s">
        <v>515</v>
      </c>
      <c r="B3078" s="53" t="s">
        <v>855</v>
      </c>
      <c r="D3078" s="53" t="s">
        <v>871</v>
      </c>
      <c r="E3078" s="53" t="s">
        <v>4438</v>
      </c>
      <c r="F3078" s="53" t="s">
        <v>4434</v>
      </c>
      <c r="G3078" s="53" t="s">
        <v>4435</v>
      </c>
      <c r="H3078" s="53">
        <v>0.0</v>
      </c>
      <c r="I3078" s="53">
        <v>0.010309278350515464</v>
      </c>
      <c r="J3078" s="53">
        <v>3.0</v>
      </c>
      <c r="K3078" s="53" t="s">
        <v>53</v>
      </c>
      <c r="L3078" s="53" t="s">
        <v>4436</v>
      </c>
    </row>
    <row r="3079" ht="15.75" customHeight="1">
      <c r="A3079" s="53" t="s">
        <v>515</v>
      </c>
      <c r="B3079" s="53" t="s">
        <v>855</v>
      </c>
      <c r="D3079" s="53" t="s">
        <v>871</v>
      </c>
      <c r="E3079" s="53" t="s">
        <v>4439</v>
      </c>
      <c r="F3079" s="53" t="s">
        <v>73</v>
      </c>
      <c r="G3079" s="53" t="s">
        <v>4428</v>
      </c>
      <c r="H3079" s="53">
        <v>1.0</v>
      </c>
      <c r="I3079" s="53">
        <v>0.020618556701030927</v>
      </c>
      <c r="J3079" s="53">
        <v>0.0</v>
      </c>
      <c r="K3079" s="53" t="s">
        <v>53</v>
      </c>
      <c r="L3079" s="53" t="s">
        <v>53</v>
      </c>
    </row>
    <row r="3080" ht="15.75" customHeight="1">
      <c r="A3080" s="53" t="s">
        <v>515</v>
      </c>
      <c r="B3080" s="53" t="s">
        <v>855</v>
      </c>
      <c r="D3080" s="53" t="s">
        <v>871</v>
      </c>
      <c r="E3080" s="53" t="s">
        <v>4440</v>
      </c>
      <c r="F3080" s="53" t="s">
        <v>73</v>
      </c>
      <c r="G3080" s="53" t="s">
        <v>4430</v>
      </c>
      <c r="H3080" s="53">
        <v>1.0</v>
      </c>
      <c r="I3080" s="53">
        <v>0.020618556701030927</v>
      </c>
      <c r="J3080" s="53">
        <v>2.0</v>
      </c>
      <c r="K3080" s="53" t="s">
        <v>53</v>
      </c>
      <c r="L3080" s="53" t="s">
        <v>53</v>
      </c>
    </row>
    <row r="3081" ht="15.75" customHeight="1">
      <c r="A3081" s="53" t="s">
        <v>515</v>
      </c>
      <c r="B3081" s="53" t="s">
        <v>855</v>
      </c>
      <c r="D3081" s="53" t="s">
        <v>4428</v>
      </c>
      <c r="E3081" s="53" t="s">
        <v>4441</v>
      </c>
      <c r="F3081" s="53" t="s">
        <v>73</v>
      </c>
      <c r="G3081" s="53" t="s">
        <v>4432</v>
      </c>
      <c r="H3081" s="53">
        <v>1.0</v>
      </c>
      <c r="I3081" s="53">
        <v>0.010309278350515464</v>
      </c>
      <c r="J3081" s="53">
        <v>0.0</v>
      </c>
      <c r="K3081" s="53" t="s">
        <v>53</v>
      </c>
      <c r="L3081" s="53" t="s">
        <v>53</v>
      </c>
    </row>
    <row r="3082" ht="15.75" customHeight="1">
      <c r="A3082" s="53" t="s">
        <v>515</v>
      </c>
      <c r="B3082" s="53" t="s">
        <v>855</v>
      </c>
      <c r="D3082" s="53" t="s">
        <v>4428</v>
      </c>
      <c r="E3082" s="53" t="s">
        <v>4442</v>
      </c>
      <c r="F3082" s="53" t="s">
        <v>73</v>
      </c>
      <c r="G3082" s="53" t="s">
        <v>4430</v>
      </c>
      <c r="H3082" s="53">
        <v>1.0</v>
      </c>
      <c r="I3082" s="53">
        <v>0.010309278350515464</v>
      </c>
      <c r="J3082" s="53">
        <v>1.0</v>
      </c>
      <c r="K3082" s="53" t="s">
        <v>53</v>
      </c>
      <c r="L3082" s="53" t="s">
        <v>53</v>
      </c>
    </row>
    <row r="3083" ht="15.75" customHeight="1">
      <c r="A3083" s="53" t="s">
        <v>515</v>
      </c>
      <c r="B3083" s="53" t="s">
        <v>855</v>
      </c>
      <c r="D3083" s="53" t="s">
        <v>4428</v>
      </c>
      <c r="E3083" s="53" t="s">
        <v>4443</v>
      </c>
      <c r="F3083" s="53" t="s">
        <v>4434</v>
      </c>
      <c r="G3083" s="53" t="s">
        <v>4435</v>
      </c>
      <c r="H3083" s="53">
        <v>0.0</v>
      </c>
      <c r="I3083" s="53">
        <v>0.020618556701030927</v>
      </c>
      <c r="J3083" s="53">
        <v>2.0</v>
      </c>
      <c r="K3083" s="53" t="s">
        <v>53</v>
      </c>
      <c r="L3083" s="53" t="s">
        <v>4436</v>
      </c>
    </row>
    <row r="3084" ht="15.75" customHeight="1">
      <c r="A3084" s="53" t="s">
        <v>515</v>
      </c>
      <c r="B3084" s="53" t="s">
        <v>855</v>
      </c>
      <c r="D3084" s="53" t="s">
        <v>4432</v>
      </c>
      <c r="E3084" s="53" t="s">
        <v>4444</v>
      </c>
      <c r="F3084" s="53" t="s">
        <v>4434</v>
      </c>
      <c r="G3084" s="53" t="s">
        <v>4435</v>
      </c>
      <c r="H3084" s="53">
        <v>0.0</v>
      </c>
      <c r="I3084" s="53">
        <v>0.010309278350515464</v>
      </c>
      <c r="J3084" s="53">
        <v>1.0</v>
      </c>
      <c r="K3084" s="53" t="s">
        <v>53</v>
      </c>
      <c r="L3084" s="53" t="s">
        <v>4436</v>
      </c>
    </row>
    <row r="3085" ht="15.75" customHeight="1">
      <c r="A3085" s="53" t="s">
        <v>515</v>
      </c>
      <c r="B3085" s="53" t="s">
        <v>855</v>
      </c>
      <c r="D3085" s="53" t="s">
        <v>4432</v>
      </c>
      <c r="E3085" s="53" t="s">
        <v>4445</v>
      </c>
      <c r="F3085" s="53" t="s">
        <v>73</v>
      </c>
      <c r="G3085" s="53" t="s">
        <v>4430</v>
      </c>
      <c r="H3085" s="53">
        <v>1.0</v>
      </c>
      <c r="I3085" s="53">
        <v>0.020618556701030927</v>
      </c>
      <c r="J3085" s="53">
        <v>0.0</v>
      </c>
      <c r="K3085" s="53" t="s">
        <v>53</v>
      </c>
      <c r="L3085" s="53" t="s">
        <v>53</v>
      </c>
    </row>
    <row r="3086" ht="15.75" customHeight="1">
      <c r="A3086" s="53" t="s">
        <v>515</v>
      </c>
      <c r="B3086" s="53" t="s">
        <v>855</v>
      </c>
      <c r="D3086" s="53" t="s">
        <v>4430</v>
      </c>
      <c r="E3086" s="53" t="s">
        <v>4446</v>
      </c>
      <c r="F3086" s="53" t="s">
        <v>4434</v>
      </c>
      <c r="G3086" s="53" t="s">
        <v>4435</v>
      </c>
      <c r="H3086" s="53">
        <v>0.0</v>
      </c>
      <c r="I3086" s="53">
        <v>0.010309278350515464</v>
      </c>
      <c r="J3086" s="53">
        <v>0.0</v>
      </c>
      <c r="K3086" s="53" t="s">
        <v>53</v>
      </c>
      <c r="L3086" s="53" t="s">
        <v>4436</v>
      </c>
    </row>
    <row r="3087" ht="15.75" customHeight="1">
      <c r="A3087" s="53" t="s">
        <v>762</v>
      </c>
      <c r="B3087" s="53" t="s">
        <v>4668</v>
      </c>
      <c r="C3087" s="53" t="s">
        <v>864</v>
      </c>
      <c r="D3087" s="53" t="s">
        <v>4669</v>
      </c>
      <c r="E3087" s="53" t="s">
        <v>4670</v>
      </c>
      <c r="F3087" s="53" t="s">
        <v>4671</v>
      </c>
      <c r="G3087" s="53" t="s">
        <v>4672</v>
      </c>
      <c r="H3087" s="53">
        <v>1.0</v>
      </c>
      <c r="I3087" s="53">
        <v>0.17518248175182483</v>
      </c>
      <c r="J3087" s="53">
        <v>0.0</v>
      </c>
      <c r="K3087" s="53" t="s">
        <v>4673</v>
      </c>
      <c r="L3087" s="53" t="s">
        <v>53</v>
      </c>
    </row>
    <row r="3088" ht="15.75" customHeight="1">
      <c r="A3088" s="53" t="s">
        <v>762</v>
      </c>
      <c r="B3088" s="53" t="s">
        <v>4668</v>
      </c>
      <c r="C3088" s="53" t="s">
        <v>864</v>
      </c>
      <c r="D3088" s="53" t="s">
        <v>4669</v>
      </c>
      <c r="E3088" s="53" t="s">
        <v>4674</v>
      </c>
      <c r="F3088" s="53" t="s">
        <v>4671</v>
      </c>
      <c r="G3088" s="53" t="s">
        <v>4675</v>
      </c>
      <c r="H3088" s="53">
        <v>1.0</v>
      </c>
      <c r="I3088" s="53">
        <v>0.3323170731707317</v>
      </c>
      <c r="J3088" s="53">
        <v>1.0</v>
      </c>
      <c r="K3088" s="53" t="s">
        <v>4673</v>
      </c>
      <c r="L3088" s="53" t="s">
        <v>53</v>
      </c>
    </row>
    <row r="3089" ht="15.75" customHeight="1">
      <c r="A3089" s="53" t="s">
        <v>762</v>
      </c>
      <c r="B3089" s="53" t="s">
        <v>4668</v>
      </c>
      <c r="C3089" s="53" t="s">
        <v>864</v>
      </c>
      <c r="D3089" s="53" t="s">
        <v>4672</v>
      </c>
      <c r="E3089" s="53" t="s">
        <v>4676</v>
      </c>
      <c r="F3089" s="53" t="s">
        <v>4671</v>
      </c>
      <c r="G3089" s="53" t="s">
        <v>4675</v>
      </c>
      <c r="H3089" s="53">
        <v>1.0</v>
      </c>
      <c r="I3089" s="53">
        <v>0.21646341463414634</v>
      </c>
      <c r="J3089" s="53">
        <v>0.0</v>
      </c>
      <c r="K3089" s="53" t="s">
        <v>4673</v>
      </c>
      <c r="L3089" s="53" t="s">
        <v>53</v>
      </c>
    </row>
    <row r="3090" ht="15.75" customHeight="1">
      <c r="A3090" s="53" t="s">
        <v>563</v>
      </c>
      <c r="B3090" s="53" t="s">
        <v>4677</v>
      </c>
      <c r="D3090" s="53" t="s">
        <v>589</v>
      </c>
      <c r="E3090" s="53" t="s">
        <v>4597</v>
      </c>
      <c r="F3090" s="53" t="s">
        <v>593</v>
      </c>
      <c r="G3090" s="53" t="s">
        <v>1968</v>
      </c>
      <c r="H3090" s="53">
        <v>1.0</v>
      </c>
      <c r="I3090" s="53">
        <v>0.007751937984496124</v>
      </c>
      <c r="J3090" s="53">
        <v>0.0</v>
      </c>
      <c r="K3090" s="53" t="s">
        <v>53</v>
      </c>
      <c r="L3090" s="53" t="s">
        <v>53</v>
      </c>
    </row>
    <row r="3091" ht="15.75" customHeight="1">
      <c r="A3091" s="53" t="s">
        <v>563</v>
      </c>
      <c r="B3091" s="53" t="s">
        <v>4677</v>
      </c>
      <c r="D3091" s="53" t="s">
        <v>589</v>
      </c>
      <c r="E3091" s="53" t="s">
        <v>591</v>
      </c>
      <c r="F3091" s="53" t="s">
        <v>593</v>
      </c>
      <c r="G3091" s="53" t="s">
        <v>595</v>
      </c>
      <c r="H3091" s="53">
        <v>1.0</v>
      </c>
      <c r="I3091" s="53">
        <v>0.1037037037037037</v>
      </c>
      <c r="J3091" s="53">
        <v>16.0</v>
      </c>
      <c r="K3091" s="53" t="s">
        <v>53</v>
      </c>
      <c r="L3091" s="53" t="s">
        <v>53</v>
      </c>
    </row>
    <row r="3092" ht="15.75" customHeight="1">
      <c r="A3092" s="53" t="s">
        <v>563</v>
      </c>
      <c r="B3092" s="53" t="s">
        <v>4677</v>
      </c>
      <c r="D3092" s="53" t="s">
        <v>589</v>
      </c>
      <c r="E3092" s="53" t="s">
        <v>4598</v>
      </c>
      <c r="F3092" s="53" t="s">
        <v>593</v>
      </c>
      <c r="G3092" s="53" t="s">
        <v>603</v>
      </c>
      <c r="H3092" s="53">
        <v>1.0</v>
      </c>
      <c r="I3092" s="53">
        <v>0.1891891891891892</v>
      </c>
      <c r="J3092" s="53">
        <v>3.0</v>
      </c>
      <c r="K3092" s="53" t="s">
        <v>53</v>
      </c>
      <c r="L3092" s="53" t="s">
        <v>53</v>
      </c>
    </row>
    <row r="3093" ht="15.75" customHeight="1">
      <c r="A3093" s="53" t="s">
        <v>563</v>
      </c>
      <c r="B3093" s="53" t="s">
        <v>4677</v>
      </c>
      <c r="D3093" s="53" t="s">
        <v>589</v>
      </c>
      <c r="E3093" s="53" t="s">
        <v>4599</v>
      </c>
      <c r="F3093" s="53" t="s">
        <v>593</v>
      </c>
      <c r="G3093" s="53" t="s">
        <v>598</v>
      </c>
      <c r="H3093" s="53">
        <v>1.0</v>
      </c>
      <c r="I3093" s="53">
        <v>0.2097902097902098</v>
      </c>
      <c r="J3093" s="53">
        <v>11.0</v>
      </c>
      <c r="K3093" s="53" t="s">
        <v>53</v>
      </c>
      <c r="L3093" s="53" t="s">
        <v>53</v>
      </c>
    </row>
    <row r="3094" ht="15.75" customHeight="1">
      <c r="A3094" s="53" t="s">
        <v>563</v>
      </c>
      <c r="B3094" s="53" t="s">
        <v>4677</v>
      </c>
      <c r="D3094" s="53" t="s">
        <v>1968</v>
      </c>
      <c r="E3094" s="53" t="s">
        <v>4600</v>
      </c>
      <c r="F3094" s="53" t="s">
        <v>593</v>
      </c>
      <c r="G3094" s="53" t="s">
        <v>595</v>
      </c>
      <c r="H3094" s="53">
        <v>1.0</v>
      </c>
      <c r="I3094" s="53">
        <v>0.1037037037037037</v>
      </c>
      <c r="J3094" s="53">
        <v>15.0</v>
      </c>
      <c r="K3094" s="53" t="s">
        <v>53</v>
      </c>
      <c r="L3094" s="53" t="s">
        <v>53</v>
      </c>
    </row>
    <row r="3095" ht="15.75" customHeight="1">
      <c r="A3095" s="53" t="s">
        <v>563</v>
      </c>
      <c r="B3095" s="53" t="s">
        <v>4677</v>
      </c>
      <c r="D3095" s="53" t="s">
        <v>1968</v>
      </c>
      <c r="E3095" s="53" t="s">
        <v>4601</v>
      </c>
      <c r="F3095" s="53" t="s">
        <v>593</v>
      </c>
      <c r="G3095" s="53" t="s">
        <v>603</v>
      </c>
      <c r="H3095" s="53">
        <v>1.0</v>
      </c>
      <c r="I3095" s="53">
        <v>0.1891891891891892</v>
      </c>
      <c r="J3095" s="53">
        <v>2.0</v>
      </c>
      <c r="K3095" s="53" t="s">
        <v>53</v>
      </c>
      <c r="L3095" s="53" t="s">
        <v>53</v>
      </c>
    </row>
    <row r="3096" ht="15.75" customHeight="1">
      <c r="A3096" s="53" t="s">
        <v>563</v>
      </c>
      <c r="B3096" s="53" t="s">
        <v>4677</v>
      </c>
      <c r="D3096" s="53" t="s">
        <v>1968</v>
      </c>
      <c r="E3096" s="53" t="s">
        <v>4602</v>
      </c>
      <c r="F3096" s="53" t="s">
        <v>593</v>
      </c>
      <c r="G3096" s="53" t="s">
        <v>598</v>
      </c>
      <c r="H3096" s="53">
        <v>1.0</v>
      </c>
      <c r="I3096" s="53">
        <v>0.2097902097902098</v>
      </c>
      <c r="J3096" s="53">
        <v>10.0</v>
      </c>
      <c r="K3096" s="53" t="s">
        <v>53</v>
      </c>
      <c r="L3096" s="53" t="s">
        <v>53</v>
      </c>
    </row>
    <row r="3097" ht="15.75" customHeight="1">
      <c r="A3097" s="53" t="s">
        <v>563</v>
      </c>
      <c r="B3097" s="53" t="s">
        <v>4677</v>
      </c>
      <c r="D3097" s="53" t="s">
        <v>605</v>
      </c>
      <c r="E3097" s="53" t="s">
        <v>4603</v>
      </c>
      <c r="F3097" s="53" t="s">
        <v>4604</v>
      </c>
      <c r="G3097" s="53" t="s">
        <v>620</v>
      </c>
      <c r="H3097" s="53">
        <v>0.75</v>
      </c>
      <c r="I3097" s="53">
        <v>0.09722222222222222</v>
      </c>
      <c r="J3097" s="53">
        <v>2.0</v>
      </c>
      <c r="K3097" s="53" t="s">
        <v>53</v>
      </c>
      <c r="L3097" s="53" t="s">
        <v>4605</v>
      </c>
    </row>
    <row r="3098" ht="15.75" customHeight="1">
      <c r="A3098" s="53" t="s">
        <v>563</v>
      </c>
      <c r="B3098" s="53" t="s">
        <v>4677</v>
      </c>
      <c r="D3098" s="53" t="s">
        <v>605</v>
      </c>
      <c r="E3098" s="53" t="s">
        <v>624</v>
      </c>
      <c r="F3098" s="53" t="s">
        <v>626</v>
      </c>
      <c r="G3098" s="53" t="s">
        <v>628</v>
      </c>
      <c r="H3098" s="53">
        <v>1.0</v>
      </c>
      <c r="I3098" s="53">
        <v>0.1437125748502994</v>
      </c>
      <c r="J3098" s="53">
        <v>0.0</v>
      </c>
      <c r="K3098" s="53" t="s">
        <v>53</v>
      </c>
      <c r="L3098" s="53" t="s">
        <v>53</v>
      </c>
    </row>
    <row r="3099" ht="15.75" customHeight="1">
      <c r="A3099" s="53" t="s">
        <v>563</v>
      </c>
      <c r="B3099" s="53" t="s">
        <v>4677</v>
      </c>
      <c r="D3099" s="53" t="s">
        <v>605</v>
      </c>
      <c r="E3099" s="53" t="s">
        <v>4606</v>
      </c>
      <c r="F3099" s="53" t="s">
        <v>626</v>
      </c>
      <c r="G3099" s="53" t="s">
        <v>584</v>
      </c>
      <c r="H3099" s="53">
        <v>1.0</v>
      </c>
      <c r="I3099" s="53">
        <v>0.1888111888111888</v>
      </c>
      <c r="J3099" s="53">
        <v>15.0</v>
      </c>
      <c r="K3099" s="53" t="s">
        <v>53</v>
      </c>
      <c r="L3099" s="53" t="s">
        <v>53</v>
      </c>
    </row>
    <row r="3100" ht="15.75" customHeight="1">
      <c r="A3100" s="53" t="s">
        <v>563</v>
      </c>
      <c r="B3100" s="53" t="s">
        <v>4677</v>
      </c>
      <c r="D3100" s="53" t="s">
        <v>605</v>
      </c>
      <c r="E3100" s="53" t="s">
        <v>4607</v>
      </c>
      <c r="F3100" s="53" t="s">
        <v>4604</v>
      </c>
      <c r="G3100" s="53" t="s">
        <v>3958</v>
      </c>
      <c r="H3100" s="53">
        <v>0.75</v>
      </c>
      <c r="I3100" s="53">
        <v>0.20833333333333334</v>
      </c>
      <c r="J3100" s="53">
        <v>4.0</v>
      </c>
      <c r="K3100" s="53" t="s">
        <v>53</v>
      </c>
      <c r="L3100" s="53" t="s">
        <v>4605</v>
      </c>
    </row>
    <row r="3101" ht="15.75" customHeight="1">
      <c r="A3101" s="53" t="s">
        <v>563</v>
      </c>
      <c r="B3101" s="53" t="s">
        <v>4677</v>
      </c>
      <c r="D3101" s="53" t="s">
        <v>628</v>
      </c>
      <c r="E3101" s="53" t="s">
        <v>4608</v>
      </c>
      <c r="F3101" s="53" t="s">
        <v>4604</v>
      </c>
      <c r="G3101" s="53" t="s">
        <v>3958</v>
      </c>
      <c r="H3101" s="53">
        <v>0.75</v>
      </c>
      <c r="I3101" s="53">
        <v>0.08333333333333333</v>
      </c>
      <c r="J3101" s="53">
        <v>3.0</v>
      </c>
      <c r="K3101" s="53" t="s">
        <v>53</v>
      </c>
      <c r="L3101" s="53" t="s">
        <v>4605</v>
      </c>
    </row>
    <row r="3102" ht="15.75" customHeight="1">
      <c r="A3102" s="53" t="s">
        <v>563</v>
      </c>
      <c r="B3102" s="53" t="s">
        <v>4677</v>
      </c>
      <c r="D3102" s="53" t="s">
        <v>628</v>
      </c>
      <c r="E3102" s="53" t="s">
        <v>3959</v>
      </c>
      <c r="F3102" s="53" t="s">
        <v>654</v>
      </c>
      <c r="G3102" s="53" t="s">
        <v>662</v>
      </c>
      <c r="H3102" s="53">
        <v>0.5</v>
      </c>
      <c r="I3102" s="53">
        <v>0.08383233532934131</v>
      </c>
      <c r="J3102" s="53">
        <v>17.0</v>
      </c>
      <c r="K3102" s="53" t="s">
        <v>53</v>
      </c>
      <c r="L3102" s="53" t="s">
        <v>1523</v>
      </c>
    </row>
    <row r="3103" ht="15.75" customHeight="1">
      <c r="A3103" s="53" t="s">
        <v>563</v>
      </c>
      <c r="B3103" s="53" t="s">
        <v>4677</v>
      </c>
      <c r="D3103" s="53" t="s">
        <v>628</v>
      </c>
      <c r="E3103" s="53" t="s">
        <v>4609</v>
      </c>
      <c r="F3103" s="53" t="s">
        <v>626</v>
      </c>
      <c r="G3103" s="53" t="s">
        <v>584</v>
      </c>
      <c r="H3103" s="53">
        <v>1.0</v>
      </c>
      <c r="I3103" s="53">
        <v>0.19760479041916168</v>
      </c>
      <c r="J3103" s="53">
        <v>14.0</v>
      </c>
      <c r="K3103" s="53" t="s">
        <v>53</v>
      </c>
      <c r="L3103" s="53" t="s">
        <v>53</v>
      </c>
    </row>
    <row r="3104" ht="15.75" customHeight="1">
      <c r="A3104" s="53" t="s">
        <v>563</v>
      </c>
      <c r="B3104" s="53" t="s">
        <v>4677</v>
      </c>
      <c r="D3104" s="53" t="s">
        <v>628</v>
      </c>
      <c r="E3104" s="53" t="s">
        <v>4610</v>
      </c>
      <c r="F3104" s="53" t="s">
        <v>4604</v>
      </c>
      <c r="G3104" s="53" t="s">
        <v>620</v>
      </c>
      <c r="H3104" s="53">
        <v>0.75</v>
      </c>
      <c r="I3104" s="53">
        <v>0.20958083832335328</v>
      </c>
      <c r="J3104" s="53">
        <v>1.0</v>
      </c>
      <c r="K3104" s="53" t="s">
        <v>53</v>
      </c>
      <c r="L3104" s="53" t="s">
        <v>4605</v>
      </c>
    </row>
    <row r="3105" ht="15.75" customHeight="1">
      <c r="A3105" s="53" t="s">
        <v>563</v>
      </c>
      <c r="B3105" s="53" t="s">
        <v>4677</v>
      </c>
      <c r="D3105" s="53" t="s">
        <v>603</v>
      </c>
      <c r="E3105" s="53" t="s">
        <v>4611</v>
      </c>
      <c r="F3105" s="53" t="s">
        <v>593</v>
      </c>
      <c r="G3105" s="53" t="s">
        <v>598</v>
      </c>
      <c r="H3105" s="53">
        <v>1.0</v>
      </c>
      <c r="I3105" s="53">
        <v>0.1554054054054054</v>
      </c>
      <c r="J3105" s="53">
        <v>7.0</v>
      </c>
      <c r="K3105" s="53" t="s">
        <v>53</v>
      </c>
      <c r="L3105" s="53" t="s">
        <v>53</v>
      </c>
    </row>
    <row r="3106" ht="15.75" customHeight="1">
      <c r="A3106" s="53" t="s">
        <v>563</v>
      </c>
      <c r="B3106" s="53" t="s">
        <v>4677</v>
      </c>
      <c r="D3106" s="53" t="s">
        <v>603</v>
      </c>
      <c r="E3106" s="53" t="s">
        <v>4612</v>
      </c>
      <c r="F3106" s="53" t="s">
        <v>593</v>
      </c>
      <c r="G3106" s="53" t="s">
        <v>595</v>
      </c>
      <c r="H3106" s="53">
        <v>1.0</v>
      </c>
      <c r="I3106" s="53">
        <v>0.16216216216216217</v>
      </c>
      <c r="J3106" s="53">
        <v>12.0</v>
      </c>
      <c r="K3106" s="53" t="s">
        <v>53</v>
      </c>
      <c r="L3106" s="53" t="s">
        <v>53</v>
      </c>
    </row>
    <row r="3107" ht="15.75" customHeight="1">
      <c r="A3107" s="53" t="s">
        <v>563</v>
      </c>
      <c r="B3107" s="53" t="s">
        <v>4677</v>
      </c>
      <c r="D3107" s="53" t="s">
        <v>620</v>
      </c>
      <c r="E3107" s="53" t="s">
        <v>4613</v>
      </c>
      <c r="F3107" s="53" t="s">
        <v>4614</v>
      </c>
      <c r="G3107" s="53" t="s">
        <v>3958</v>
      </c>
      <c r="H3107" s="53">
        <v>1.0</v>
      </c>
      <c r="I3107" s="53">
        <v>0.14285714285714285</v>
      </c>
      <c r="J3107" s="53">
        <v>1.0</v>
      </c>
      <c r="K3107" s="53" t="s">
        <v>53</v>
      </c>
      <c r="L3107" s="53" t="s">
        <v>53</v>
      </c>
    </row>
    <row r="3108" ht="15.75" customHeight="1">
      <c r="A3108" s="53" t="s">
        <v>563</v>
      </c>
      <c r="B3108" s="53" t="s">
        <v>4677</v>
      </c>
      <c r="D3108" s="53" t="s">
        <v>620</v>
      </c>
      <c r="E3108" s="53" t="s">
        <v>4615</v>
      </c>
      <c r="F3108" s="53" t="s">
        <v>4616</v>
      </c>
      <c r="G3108" s="53" t="s">
        <v>584</v>
      </c>
      <c r="H3108" s="53">
        <v>0.75</v>
      </c>
      <c r="I3108" s="53">
        <v>0.2013888888888889</v>
      </c>
      <c r="J3108" s="53">
        <v>12.0</v>
      </c>
      <c r="K3108" s="53" t="s">
        <v>53</v>
      </c>
      <c r="L3108" s="53" t="s">
        <v>4605</v>
      </c>
    </row>
    <row r="3109" ht="15.75" customHeight="1">
      <c r="A3109" s="53" t="s">
        <v>563</v>
      </c>
      <c r="B3109" s="53" t="s">
        <v>4677</v>
      </c>
      <c r="D3109" s="53" t="s">
        <v>828</v>
      </c>
      <c r="E3109" s="53" t="s">
        <v>4617</v>
      </c>
      <c r="F3109" s="53" t="s">
        <v>4618</v>
      </c>
      <c r="G3109" s="53" t="s">
        <v>838</v>
      </c>
      <c r="H3109" s="53">
        <v>0.7142857142857143</v>
      </c>
      <c r="I3109" s="53">
        <v>0.12389380530973451</v>
      </c>
      <c r="J3109" s="53">
        <v>16.0</v>
      </c>
      <c r="K3109" s="53" t="s">
        <v>53</v>
      </c>
      <c r="L3109" s="53" t="s">
        <v>1523</v>
      </c>
    </row>
    <row r="3110" ht="15.75" customHeight="1">
      <c r="A3110" s="53" t="s">
        <v>563</v>
      </c>
      <c r="B3110" s="53" t="s">
        <v>4677</v>
      </c>
      <c r="D3110" s="53" t="s">
        <v>3958</v>
      </c>
      <c r="E3110" s="53" t="s">
        <v>4619</v>
      </c>
      <c r="F3110" s="53" t="s">
        <v>4620</v>
      </c>
      <c r="G3110" s="53" t="s">
        <v>3963</v>
      </c>
      <c r="H3110" s="53">
        <v>0.6</v>
      </c>
      <c r="I3110" s="53">
        <v>0.08333333333333333</v>
      </c>
      <c r="J3110" s="53">
        <v>16.0</v>
      </c>
      <c r="K3110" s="53" t="s">
        <v>53</v>
      </c>
      <c r="L3110" s="53" t="s">
        <v>1523</v>
      </c>
    </row>
    <row r="3111" ht="15.75" customHeight="1">
      <c r="A3111" s="53" t="s">
        <v>563</v>
      </c>
      <c r="B3111" s="53" t="s">
        <v>4677</v>
      </c>
      <c r="D3111" s="53" t="s">
        <v>3958</v>
      </c>
      <c r="E3111" s="53" t="s">
        <v>4621</v>
      </c>
      <c r="F3111" s="53" t="s">
        <v>4616</v>
      </c>
      <c r="G3111" s="53" t="s">
        <v>584</v>
      </c>
      <c r="H3111" s="53">
        <v>0.75</v>
      </c>
      <c r="I3111" s="53">
        <v>0.20238095238095238</v>
      </c>
      <c r="J3111" s="53">
        <v>10.0</v>
      </c>
      <c r="K3111" s="53" t="s">
        <v>53</v>
      </c>
      <c r="L3111" s="53" t="s">
        <v>4605</v>
      </c>
    </row>
    <row r="3112" ht="15.75" customHeight="1">
      <c r="A3112" s="53" t="s">
        <v>563</v>
      </c>
      <c r="B3112" s="53" t="s">
        <v>4677</v>
      </c>
      <c r="D3112" s="53" t="s">
        <v>4004</v>
      </c>
      <c r="E3112" s="53" t="s">
        <v>4005</v>
      </c>
      <c r="F3112" s="53" t="s">
        <v>4006</v>
      </c>
      <c r="G3112" s="53" t="s">
        <v>4007</v>
      </c>
      <c r="H3112" s="53">
        <v>1.0</v>
      </c>
      <c r="I3112" s="53">
        <v>0.13286713286713286</v>
      </c>
      <c r="J3112" s="53">
        <v>0.0</v>
      </c>
      <c r="K3112" s="53" t="s">
        <v>53</v>
      </c>
      <c r="L3112" s="53" t="s">
        <v>53</v>
      </c>
    </row>
    <row r="3113" ht="15.75" customHeight="1">
      <c r="A3113" s="53" t="s">
        <v>563</v>
      </c>
      <c r="B3113" s="53" t="s">
        <v>4677</v>
      </c>
      <c r="D3113" s="53" t="s">
        <v>598</v>
      </c>
      <c r="E3113" s="53" t="s">
        <v>4622</v>
      </c>
      <c r="F3113" s="53" t="s">
        <v>2477</v>
      </c>
      <c r="G3113" s="53" t="s">
        <v>1976</v>
      </c>
      <c r="H3113" s="53">
        <v>0.3333333333333333</v>
      </c>
      <c r="I3113" s="53">
        <v>0.04195804195804196</v>
      </c>
      <c r="J3113" s="53">
        <v>12.0</v>
      </c>
      <c r="K3113" s="53" t="s">
        <v>53</v>
      </c>
      <c r="L3113" s="53" t="s">
        <v>1523</v>
      </c>
    </row>
    <row r="3114" ht="15.75" customHeight="1">
      <c r="A3114" s="53" t="s">
        <v>563</v>
      </c>
      <c r="B3114" s="53" t="s">
        <v>4677</v>
      </c>
      <c r="D3114" s="53" t="s">
        <v>598</v>
      </c>
      <c r="E3114" s="53" t="s">
        <v>4623</v>
      </c>
      <c r="F3114" s="53" t="s">
        <v>593</v>
      </c>
      <c r="G3114" s="53" t="s">
        <v>595</v>
      </c>
      <c r="H3114" s="53">
        <v>1.0</v>
      </c>
      <c r="I3114" s="53">
        <v>0.2517482517482518</v>
      </c>
      <c r="J3114" s="53">
        <v>4.0</v>
      </c>
      <c r="K3114" s="53" t="s">
        <v>53</v>
      </c>
      <c r="L3114" s="53" t="s">
        <v>53</v>
      </c>
    </row>
    <row r="3115" ht="15.75" customHeight="1">
      <c r="A3115" s="53" t="s">
        <v>563</v>
      </c>
      <c r="B3115" s="53" t="s">
        <v>4677</v>
      </c>
      <c r="D3115" s="53" t="s">
        <v>701</v>
      </c>
      <c r="E3115" s="53" t="s">
        <v>3945</v>
      </c>
      <c r="F3115" s="53" t="s">
        <v>705</v>
      </c>
      <c r="G3115" s="53" t="s">
        <v>3946</v>
      </c>
      <c r="H3115" s="53">
        <v>1.0</v>
      </c>
      <c r="I3115" s="53">
        <v>0.0859375</v>
      </c>
      <c r="J3115" s="53">
        <v>1.0</v>
      </c>
      <c r="K3115" s="53" t="s">
        <v>53</v>
      </c>
      <c r="L3115" s="53" t="s">
        <v>53</v>
      </c>
    </row>
    <row r="3116" ht="15.75" customHeight="1">
      <c r="A3116" s="53" t="s">
        <v>563</v>
      </c>
      <c r="B3116" s="53" t="s">
        <v>4677</v>
      </c>
      <c r="D3116" s="53" t="s">
        <v>701</v>
      </c>
      <c r="E3116" s="53" t="s">
        <v>3948</v>
      </c>
      <c r="F3116" s="53" t="s">
        <v>705</v>
      </c>
      <c r="G3116" s="53" t="s">
        <v>3949</v>
      </c>
      <c r="H3116" s="53">
        <v>1.0</v>
      </c>
      <c r="I3116" s="53">
        <v>0.15217391304347827</v>
      </c>
      <c r="J3116" s="53">
        <v>2.0</v>
      </c>
      <c r="K3116" s="53" t="s">
        <v>53</v>
      </c>
      <c r="L3116" s="53" t="s">
        <v>53</v>
      </c>
    </row>
    <row r="3117" ht="15.75" customHeight="1">
      <c r="A3117" s="53" t="s">
        <v>563</v>
      </c>
      <c r="B3117" s="53" t="s">
        <v>4677</v>
      </c>
      <c r="D3117" s="53" t="s">
        <v>701</v>
      </c>
      <c r="E3117" s="53" t="s">
        <v>703</v>
      </c>
      <c r="F3117" s="53" t="s">
        <v>705</v>
      </c>
      <c r="G3117" s="53" t="s">
        <v>707</v>
      </c>
      <c r="H3117" s="53">
        <v>1.0</v>
      </c>
      <c r="I3117" s="53">
        <v>0.22033898305084745</v>
      </c>
      <c r="J3117" s="53">
        <v>0.0</v>
      </c>
      <c r="K3117" s="53" t="s">
        <v>53</v>
      </c>
      <c r="L3117" s="53" t="s">
        <v>53</v>
      </c>
    </row>
    <row r="3118" ht="15.75" customHeight="1">
      <c r="A3118" s="53" t="s">
        <v>563</v>
      </c>
      <c r="B3118" s="53" t="s">
        <v>4677</v>
      </c>
      <c r="D3118" s="53" t="s">
        <v>707</v>
      </c>
      <c r="E3118" s="53" t="s">
        <v>4624</v>
      </c>
      <c r="F3118" s="53" t="s">
        <v>705</v>
      </c>
      <c r="G3118" s="53" t="s">
        <v>3946</v>
      </c>
      <c r="H3118" s="53">
        <v>1.0</v>
      </c>
      <c r="I3118" s="53">
        <v>0.2890625</v>
      </c>
      <c r="J3118" s="53">
        <v>0.0</v>
      </c>
      <c r="K3118" s="53" t="s">
        <v>53</v>
      </c>
      <c r="L3118" s="53" t="s">
        <v>53</v>
      </c>
    </row>
    <row r="3119" ht="15.75" customHeight="1">
      <c r="A3119" s="53" t="s">
        <v>563</v>
      </c>
      <c r="B3119" s="53" t="s">
        <v>4677</v>
      </c>
      <c r="D3119" s="53" t="s">
        <v>707</v>
      </c>
      <c r="E3119" s="53" t="s">
        <v>4625</v>
      </c>
      <c r="F3119" s="53" t="s">
        <v>705</v>
      </c>
      <c r="G3119" s="53" t="s">
        <v>3949</v>
      </c>
      <c r="H3119" s="53">
        <v>1.0</v>
      </c>
      <c r="I3119" s="53">
        <v>0.34057971014492755</v>
      </c>
      <c r="J3119" s="53">
        <v>1.0</v>
      </c>
      <c r="K3119" s="53" t="s">
        <v>53</v>
      </c>
      <c r="L3119" s="53" t="s">
        <v>53</v>
      </c>
    </row>
    <row r="3120" ht="15.75" customHeight="1">
      <c r="A3120" s="53" t="s">
        <v>563</v>
      </c>
      <c r="B3120" s="53" t="s">
        <v>4677</v>
      </c>
      <c r="D3120" s="53" t="s">
        <v>3946</v>
      </c>
      <c r="E3120" s="53" t="s">
        <v>3950</v>
      </c>
      <c r="F3120" s="53" t="s">
        <v>705</v>
      </c>
      <c r="G3120" s="53" t="s">
        <v>3949</v>
      </c>
      <c r="H3120" s="53">
        <v>1.0</v>
      </c>
      <c r="I3120" s="53">
        <v>0.07971014492753623</v>
      </c>
      <c r="J3120" s="53">
        <v>0.0</v>
      </c>
      <c r="K3120" s="53" t="s">
        <v>53</v>
      </c>
      <c r="L3120" s="53" t="s">
        <v>53</v>
      </c>
    </row>
    <row r="3121" ht="15.75" customHeight="1">
      <c r="A3121" s="53" t="s">
        <v>563</v>
      </c>
      <c r="B3121" s="53" t="s">
        <v>4677</v>
      </c>
      <c r="D3121" s="53" t="s">
        <v>584</v>
      </c>
      <c r="E3121" s="53" t="s">
        <v>4626</v>
      </c>
      <c r="F3121" s="53" t="s">
        <v>654</v>
      </c>
      <c r="G3121" s="53" t="s">
        <v>578</v>
      </c>
      <c r="H3121" s="53">
        <v>0.5</v>
      </c>
      <c r="I3121" s="53">
        <v>0.09929078014184398</v>
      </c>
      <c r="J3121" s="53">
        <v>27.0</v>
      </c>
      <c r="K3121" s="53" t="s">
        <v>53</v>
      </c>
      <c r="L3121" s="53" t="s">
        <v>1523</v>
      </c>
    </row>
    <row r="3122" ht="15.75" customHeight="1">
      <c r="A3122" s="53" t="s">
        <v>563</v>
      </c>
      <c r="B3122" s="53" t="s">
        <v>4677</v>
      </c>
      <c r="D3122" s="53" t="s">
        <v>656</v>
      </c>
      <c r="E3122" s="53" t="s">
        <v>4627</v>
      </c>
      <c r="F3122" s="53" t="s">
        <v>4628</v>
      </c>
      <c r="G3122" s="53" t="s">
        <v>832</v>
      </c>
      <c r="H3122" s="53">
        <v>0.75</v>
      </c>
      <c r="I3122" s="53">
        <v>0.11666666666666667</v>
      </c>
      <c r="J3122" s="53">
        <v>1.0</v>
      </c>
      <c r="K3122" s="53" t="s">
        <v>53</v>
      </c>
      <c r="L3122" s="53" t="s">
        <v>4605</v>
      </c>
    </row>
    <row r="3123" ht="15.75" customHeight="1">
      <c r="A3123" s="53" t="s">
        <v>563</v>
      </c>
      <c r="B3123" s="53" t="s">
        <v>4677</v>
      </c>
      <c r="D3123" s="53" t="s">
        <v>656</v>
      </c>
      <c r="E3123" s="53" t="s">
        <v>4629</v>
      </c>
      <c r="F3123" s="53" t="s">
        <v>660</v>
      </c>
      <c r="G3123" s="53" t="s">
        <v>662</v>
      </c>
      <c r="H3123" s="53">
        <v>1.0</v>
      </c>
      <c r="I3123" s="53">
        <v>0.31137724550898205</v>
      </c>
      <c r="J3123" s="53">
        <v>0.0</v>
      </c>
      <c r="K3123" s="53" t="s">
        <v>53</v>
      </c>
      <c r="L3123" s="53" t="s">
        <v>53</v>
      </c>
    </row>
    <row r="3124" ht="15.75" customHeight="1">
      <c r="A3124" s="53" t="s">
        <v>563</v>
      </c>
      <c r="B3124" s="53" t="s">
        <v>4677</v>
      </c>
      <c r="D3124" s="53" t="s">
        <v>656</v>
      </c>
      <c r="E3124" s="53" t="s">
        <v>4630</v>
      </c>
      <c r="F3124" s="53" t="s">
        <v>660</v>
      </c>
      <c r="G3124" s="53" t="s">
        <v>578</v>
      </c>
      <c r="H3124" s="53">
        <v>1.0</v>
      </c>
      <c r="I3124" s="53">
        <v>0.3900709219858156</v>
      </c>
      <c r="J3124" s="53">
        <v>25.0</v>
      </c>
      <c r="K3124" s="53" t="s">
        <v>53</v>
      </c>
      <c r="L3124" s="53" t="s">
        <v>53</v>
      </c>
    </row>
    <row r="3125" ht="15.75" customHeight="1">
      <c r="A3125" s="53" t="s">
        <v>563</v>
      </c>
      <c r="B3125" s="53" t="s">
        <v>4677</v>
      </c>
      <c r="D3125" s="53" t="s">
        <v>662</v>
      </c>
      <c r="E3125" s="53" t="s">
        <v>4631</v>
      </c>
      <c r="F3125" s="53" t="s">
        <v>4628</v>
      </c>
      <c r="G3125" s="53" t="s">
        <v>3963</v>
      </c>
      <c r="H3125" s="53">
        <v>0.75</v>
      </c>
      <c r="I3125" s="53">
        <v>0.08333333333333333</v>
      </c>
      <c r="J3125" s="53">
        <v>2.0</v>
      </c>
      <c r="K3125" s="53" t="s">
        <v>53</v>
      </c>
      <c r="L3125" s="53" t="s">
        <v>4605</v>
      </c>
    </row>
    <row r="3126" ht="15.75" customHeight="1">
      <c r="A3126" s="53" t="s">
        <v>563</v>
      </c>
      <c r="B3126" s="53" t="s">
        <v>4677</v>
      </c>
      <c r="D3126" s="53" t="s">
        <v>662</v>
      </c>
      <c r="E3126" s="53" t="s">
        <v>4632</v>
      </c>
      <c r="F3126" s="53" t="s">
        <v>660</v>
      </c>
      <c r="G3126" s="53" t="s">
        <v>578</v>
      </c>
      <c r="H3126" s="53">
        <v>1.0</v>
      </c>
      <c r="I3126" s="53">
        <v>0.19760479041916168</v>
      </c>
      <c r="J3126" s="53">
        <v>24.0</v>
      </c>
      <c r="K3126" s="53" t="s">
        <v>53</v>
      </c>
      <c r="L3126" s="53" t="s">
        <v>53</v>
      </c>
    </row>
    <row r="3127" ht="15.75" customHeight="1">
      <c r="A3127" s="53" t="s">
        <v>563</v>
      </c>
      <c r="B3127" s="53" t="s">
        <v>4677</v>
      </c>
      <c r="D3127" s="53" t="s">
        <v>832</v>
      </c>
      <c r="E3127" s="53" t="s">
        <v>4633</v>
      </c>
      <c r="F3127" s="53" t="s">
        <v>4634</v>
      </c>
      <c r="G3127" s="53" t="s">
        <v>3963</v>
      </c>
      <c r="H3127" s="53">
        <v>1.0</v>
      </c>
      <c r="I3127" s="53">
        <v>0.30952380952380953</v>
      </c>
      <c r="J3127" s="53">
        <v>1.0</v>
      </c>
      <c r="K3127" s="53" t="s">
        <v>53</v>
      </c>
      <c r="L3127" s="53" t="s">
        <v>53</v>
      </c>
    </row>
    <row r="3128" ht="15.75" customHeight="1">
      <c r="A3128" s="53" t="s">
        <v>563</v>
      </c>
      <c r="B3128" s="53" t="s">
        <v>4677</v>
      </c>
      <c r="D3128" s="53" t="s">
        <v>832</v>
      </c>
      <c r="E3128" s="53" t="s">
        <v>4635</v>
      </c>
      <c r="F3128" s="53" t="s">
        <v>4636</v>
      </c>
      <c r="G3128" s="53" t="s">
        <v>635</v>
      </c>
      <c r="H3128" s="53">
        <v>0.8</v>
      </c>
      <c r="I3128" s="53">
        <v>0.3717277486910995</v>
      </c>
      <c r="J3128" s="53">
        <v>8.0</v>
      </c>
      <c r="K3128" s="53" t="s">
        <v>53</v>
      </c>
      <c r="L3128" s="53" t="s">
        <v>4637</v>
      </c>
    </row>
    <row r="3129" ht="15.75" customHeight="1">
      <c r="A3129" s="53" t="s">
        <v>563</v>
      </c>
      <c r="B3129" s="53" t="s">
        <v>4677</v>
      </c>
      <c r="D3129" s="53" t="s">
        <v>3963</v>
      </c>
      <c r="E3129" s="53" t="s">
        <v>4638</v>
      </c>
      <c r="F3129" s="53" t="s">
        <v>4639</v>
      </c>
      <c r="G3129" s="53" t="s">
        <v>578</v>
      </c>
      <c r="H3129" s="53">
        <v>0.75</v>
      </c>
      <c r="I3129" s="53">
        <v>0.20238095238095238</v>
      </c>
      <c r="J3129" s="53">
        <v>21.0</v>
      </c>
      <c r="K3129" s="53" t="s">
        <v>53</v>
      </c>
      <c r="L3129" s="53" t="s">
        <v>4605</v>
      </c>
    </row>
    <row r="3130" ht="15.75" customHeight="1">
      <c r="A3130" s="53" t="s">
        <v>563</v>
      </c>
      <c r="B3130" s="53" t="s">
        <v>4677</v>
      </c>
      <c r="D3130" s="53" t="s">
        <v>3963</v>
      </c>
      <c r="E3130" s="53" t="s">
        <v>4640</v>
      </c>
      <c r="F3130" s="53" t="s">
        <v>4636</v>
      </c>
      <c r="G3130" s="53" t="s">
        <v>635</v>
      </c>
      <c r="H3130" s="53">
        <v>0.8</v>
      </c>
      <c r="I3130" s="53">
        <v>0.450261780104712</v>
      </c>
      <c r="J3130" s="53">
        <v>6.0</v>
      </c>
      <c r="K3130" s="53" t="s">
        <v>53</v>
      </c>
      <c r="L3130" s="53" t="s">
        <v>4637</v>
      </c>
    </row>
    <row r="3131" ht="15.75" customHeight="1">
      <c r="A3131" s="53" t="s">
        <v>563</v>
      </c>
      <c r="B3131" s="53" t="s">
        <v>4677</v>
      </c>
      <c r="D3131" s="53" t="s">
        <v>611</v>
      </c>
      <c r="E3131" s="53" t="s">
        <v>4641</v>
      </c>
      <c r="F3131" s="53" t="s">
        <v>4642</v>
      </c>
      <c r="G3131" s="53" t="s">
        <v>635</v>
      </c>
      <c r="H3131" s="53">
        <v>0.8</v>
      </c>
      <c r="I3131" s="53">
        <v>0.11518324607329843</v>
      </c>
      <c r="J3131" s="53">
        <v>3.0</v>
      </c>
      <c r="K3131" s="53" t="s">
        <v>53</v>
      </c>
      <c r="L3131" s="53" t="s">
        <v>4643</v>
      </c>
    </row>
    <row r="3132" ht="15.75" customHeight="1">
      <c r="A3132" s="53" t="s">
        <v>563</v>
      </c>
      <c r="B3132" s="53" t="s">
        <v>4677</v>
      </c>
      <c r="D3132" s="53" t="s">
        <v>636</v>
      </c>
      <c r="E3132" s="53" t="s">
        <v>3951</v>
      </c>
      <c r="F3132" s="53" t="s">
        <v>3941</v>
      </c>
      <c r="G3132" s="53" t="s">
        <v>645</v>
      </c>
      <c r="H3132" s="53">
        <v>1.0</v>
      </c>
      <c r="I3132" s="53">
        <v>0.08168316831683169</v>
      </c>
      <c r="J3132" s="53">
        <v>0.0</v>
      </c>
      <c r="K3132" s="53" t="s">
        <v>53</v>
      </c>
      <c r="L3132" s="53" t="s">
        <v>53</v>
      </c>
    </row>
    <row r="3133" ht="15.75" customHeight="1">
      <c r="A3133" s="53" t="s">
        <v>563</v>
      </c>
      <c r="B3133" s="53" t="s">
        <v>4677</v>
      </c>
      <c r="D3133" s="53" t="s">
        <v>642</v>
      </c>
      <c r="E3133" s="53" t="s">
        <v>4644</v>
      </c>
      <c r="F3133" s="53" t="s">
        <v>4645</v>
      </c>
      <c r="G3133" s="53" t="s">
        <v>651</v>
      </c>
      <c r="H3133" s="53">
        <v>0.7142857142857143</v>
      </c>
      <c r="I3133" s="53">
        <v>0.08506616257088846</v>
      </c>
      <c r="J3133" s="53">
        <v>0.0</v>
      </c>
      <c r="K3133" s="53" t="s">
        <v>53</v>
      </c>
      <c r="L3133" s="53" t="s">
        <v>4646</v>
      </c>
    </row>
    <row r="3134" ht="15.75" customHeight="1">
      <c r="A3134" s="53" t="s">
        <v>563</v>
      </c>
      <c r="B3134" s="53" t="s">
        <v>4677</v>
      </c>
      <c r="D3134" s="53" t="s">
        <v>4447</v>
      </c>
      <c r="E3134" s="53" t="s">
        <v>4647</v>
      </c>
      <c r="F3134" s="53" t="s">
        <v>4648</v>
      </c>
      <c r="G3134" s="53" t="s">
        <v>4450</v>
      </c>
      <c r="H3134" s="53">
        <v>0.8333333333333334</v>
      </c>
      <c r="I3134" s="53">
        <v>0.34967320261437906</v>
      </c>
      <c r="J3134" s="53">
        <v>5.0</v>
      </c>
      <c r="K3134" s="53" t="s">
        <v>53</v>
      </c>
      <c r="L3134" s="53" t="s">
        <v>4452</v>
      </c>
    </row>
    <row r="3135" ht="15.75" customHeight="1">
      <c r="A3135" s="53" t="s">
        <v>563</v>
      </c>
      <c r="B3135" s="53" t="s">
        <v>4677</v>
      </c>
      <c r="D3135" s="53" t="s">
        <v>4447</v>
      </c>
      <c r="E3135" s="53" t="s">
        <v>4649</v>
      </c>
      <c r="F3135" s="53" t="s">
        <v>4648</v>
      </c>
      <c r="G3135" s="53" t="s">
        <v>4454</v>
      </c>
      <c r="H3135" s="53">
        <v>0.8333333333333334</v>
      </c>
      <c r="I3135" s="53">
        <v>0.35294117647058826</v>
      </c>
      <c r="J3135" s="53">
        <v>6.0</v>
      </c>
      <c r="K3135" s="53" t="s">
        <v>53</v>
      </c>
      <c r="L3135" s="53" t="s">
        <v>4452</v>
      </c>
    </row>
    <row r="3136" ht="15.75" customHeight="1">
      <c r="A3136" s="53" t="s">
        <v>563</v>
      </c>
      <c r="B3136" s="53" t="s">
        <v>4677</v>
      </c>
      <c r="D3136" s="53" t="s">
        <v>711</v>
      </c>
      <c r="E3136" s="53" t="s">
        <v>720</v>
      </c>
      <c r="F3136" s="53" t="s">
        <v>715</v>
      </c>
      <c r="G3136" s="53" t="s">
        <v>723</v>
      </c>
      <c r="H3136" s="53">
        <v>1.0</v>
      </c>
      <c r="I3136" s="53">
        <v>0.3617021276595745</v>
      </c>
      <c r="J3136" s="53">
        <v>1.0</v>
      </c>
      <c r="K3136" s="53" t="s">
        <v>53</v>
      </c>
      <c r="L3136" s="53" t="s">
        <v>53</v>
      </c>
    </row>
    <row r="3137" ht="15.75" customHeight="1">
      <c r="A3137" s="53" t="s">
        <v>563</v>
      </c>
      <c r="B3137" s="53" t="s">
        <v>4677</v>
      </c>
      <c r="D3137" s="53" t="s">
        <v>711</v>
      </c>
      <c r="E3137" s="53" t="s">
        <v>713</v>
      </c>
      <c r="F3137" s="53" t="s">
        <v>715</v>
      </c>
      <c r="G3137" s="53" t="s">
        <v>717</v>
      </c>
      <c r="H3137" s="53">
        <v>1.0</v>
      </c>
      <c r="I3137" s="53">
        <v>0.3617021276595745</v>
      </c>
      <c r="J3137" s="53">
        <v>0.0</v>
      </c>
      <c r="K3137" s="53" t="s">
        <v>53</v>
      </c>
      <c r="L3137" s="53" t="s">
        <v>53</v>
      </c>
    </row>
    <row r="3138" ht="15.75" customHeight="1">
      <c r="A3138" s="53" t="s">
        <v>563</v>
      </c>
      <c r="B3138" s="53" t="s">
        <v>4677</v>
      </c>
      <c r="D3138" s="53" t="s">
        <v>717</v>
      </c>
      <c r="E3138" s="53" t="s">
        <v>4134</v>
      </c>
      <c r="F3138" s="53" t="s">
        <v>715</v>
      </c>
      <c r="G3138" s="53" t="s">
        <v>723</v>
      </c>
      <c r="H3138" s="53">
        <v>1.0</v>
      </c>
      <c r="I3138" s="53">
        <v>0.02127659574468085</v>
      </c>
      <c r="J3138" s="53">
        <v>0.0</v>
      </c>
      <c r="K3138" s="53" t="s">
        <v>53</v>
      </c>
      <c r="L3138" s="53" t="s">
        <v>53</v>
      </c>
    </row>
    <row r="3139" ht="15.75" customHeight="1">
      <c r="A3139" s="53" t="s">
        <v>563</v>
      </c>
      <c r="B3139" s="53" t="s">
        <v>4677</v>
      </c>
      <c r="D3139" s="53" t="s">
        <v>4136</v>
      </c>
      <c r="E3139" s="53" t="s">
        <v>4650</v>
      </c>
      <c r="F3139" s="53" t="s">
        <v>4651</v>
      </c>
      <c r="G3139" s="53" t="s">
        <v>4139</v>
      </c>
      <c r="H3139" s="53">
        <v>1.0</v>
      </c>
      <c r="I3139" s="53">
        <v>0.015625</v>
      </c>
      <c r="J3139" s="53">
        <v>0.0</v>
      </c>
      <c r="K3139" s="53" t="s">
        <v>53</v>
      </c>
      <c r="L3139" s="53" t="s">
        <v>53</v>
      </c>
    </row>
    <row r="3140" ht="15.75" customHeight="1">
      <c r="A3140" s="53" t="s">
        <v>563</v>
      </c>
      <c r="B3140" s="53" t="s">
        <v>4677</v>
      </c>
      <c r="D3140" s="53" t="s">
        <v>4450</v>
      </c>
      <c r="E3140" s="53" t="s">
        <v>4652</v>
      </c>
      <c r="F3140" s="53" t="s">
        <v>4653</v>
      </c>
      <c r="G3140" s="53" t="s">
        <v>4454</v>
      </c>
      <c r="H3140" s="53">
        <v>1.0</v>
      </c>
      <c r="I3140" s="53">
        <v>0.011764705882352941</v>
      </c>
      <c r="J3140" s="53">
        <v>0.0</v>
      </c>
      <c r="K3140" s="53" t="s">
        <v>53</v>
      </c>
      <c r="L3140" s="53" t="s">
        <v>53</v>
      </c>
    </row>
    <row r="3141" ht="15.75" customHeight="1">
      <c r="A3141" s="53" t="s">
        <v>877</v>
      </c>
      <c r="B3141" s="53" t="s">
        <v>4678</v>
      </c>
      <c r="C3141" s="53" t="s">
        <v>4679</v>
      </c>
      <c r="D3141" s="53" t="s">
        <v>4680</v>
      </c>
      <c r="E3141" s="53" t="s">
        <v>4681</v>
      </c>
      <c r="F3141" s="53" t="s">
        <v>4682</v>
      </c>
      <c r="G3141" s="53" t="s">
        <v>4683</v>
      </c>
      <c r="H3141" s="53">
        <v>1.0</v>
      </c>
      <c r="I3141" s="53">
        <v>0.1484593837535014</v>
      </c>
      <c r="J3141" s="53">
        <v>0.0</v>
      </c>
      <c r="K3141" s="53" t="s">
        <v>4684</v>
      </c>
      <c r="L3141" s="53" t="s">
        <v>53</v>
      </c>
    </row>
    <row r="3142" ht="15.75" customHeight="1">
      <c r="A3142" s="53" t="s">
        <v>877</v>
      </c>
      <c r="B3142" s="53" t="s">
        <v>4679</v>
      </c>
      <c r="C3142" s="53" t="s">
        <v>4685</v>
      </c>
      <c r="D3142" s="53" t="s">
        <v>4686</v>
      </c>
      <c r="E3142" s="53" t="s">
        <v>4687</v>
      </c>
      <c r="F3142" s="53" t="s">
        <v>4688</v>
      </c>
      <c r="G3142" s="53" t="s">
        <v>4689</v>
      </c>
      <c r="H3142" s="53">
        <v>1.0</v>
      </c>
      <c r="I3142" s="53">
        <v>0.5353535353535354</v>
      </c>
      <c r="J3142" s="53">
        <v>0.0</v>
      </c>
      <c r="K3142" s="53" t="s">
        <v>4690</v>
      </c>
      <c r="L3142" s="53" t="s">
        <v>53</v>
      </c>
    </row>
    <row r="3143" ht="15.75" customHeight="1">
      <c r="A3143" s="53" t="s">
        <v>877</v>
      </c>
      <c r="B3143" s="53" t="s">
        <v>4685</v>
      </c>
      <c r="D3143" s="53" t="s">
        <v>4691</v>
      </c>
      <c r="E3143" s="53" t="s">
        <v>4692</v>
      </c>
      <c r="F3143" s="53" t="s">
        <v>4693</v>
      </c>
      <c r="G3143" s="53" t="s">
        <v>4694</v>
      </c>
      <c r="H3143" s="53">
        <v>1.0</v>
      </c>
      <c r="I3143" s="53">
        <v>0.7010159651669086</v>
      </c>
      <c r="J3143" s="53">
        <v>12.0</v>
      </c>
      <c r="K3143" s="53" t="s">
        <v>53</v>
      </c>
      <c r="L3143" s="53" t="s">
        <v>53</v>
      </c>
    </row>
    <row r="3144" ht="15.75" customHeight="1">
      <c r="A3144" s="53" t="s">
        <v>877</v>
      </c>
      <c r="B3144" s="53" t="s">
        <v>4685</v>
      </c>
      <c r="D3144" s="53" t="s">
        <v>4695</v>
      </c>
      <c r="E3144" s="53" t="s">
        <v>4696</v>
      </c>
      <c r="F3144" s="53" t="s">
        <v>4697</v>
      </c>
      <c r="G3144" s="53" t="s">
        <v>4698</v>
      </c>
      <c r="H3144" s="53">
        <v>1.0</v>
      </c>
      <c r="I3144" s="53">
        <v>0.0684931506849315</v>
      </c>
      <c r="J3144" s="53">
        <v>0.0</v>
      </c>
      <c r="K3144" s="53" t="s">
        <v>53</v>
      </c>
      <c r="L3144" s="53" t="s">
        <v>53</v>
      </c>
    </row>
    <row r="3145" ht="15.75" customHeight="1">
      <c r="A3145" s="53" t="s">
        <v>877</v>
      </c>
      <c r="B3145" s="53" t="s">
        <v>4685</v>
      </c>
      <c r="D3145" s="53" t="s">
        <v>4695</v>
      </c>
      <c r="E3145" s="53" t="s">
        <v>4699</v>
      </c>
      <c r="F3145" s="53" t="s">
        <v>4697</v>
      </c>
      <c r="G3145" s="53" t="s">
        <v>4700</v>
      </c>
      <c r="H3145" s="53">
        <v>1.0</v>
      </c>
      <c r="I3145" s="53">
        <v>0.08108108108108109</v>
      </c>
      <c r="J3145" s="53">
        <v>1.0</v>
      </c>
      <c r="K3145" s="53" t="s">
        <v>53</v>
      </c>
      <c r="L3145" s="53" t="s">
        <v>53</v>
      </c>
    </row>
    <row r="3146" ht="15.75" customHeight="1">
      <c r="A3146" s="53" t="s">
        <v>877</v>
      </c>
      <c r="B3146" s="53" t="s">
        <v>4685</v>
      </c>
      <c r="D3146" s="53" t="s">
        <v>4698</v>
      </c>
      <c r="E3146" s="53" t="s">
        <v>4701</v>
      </c>
      <c r="F3146" s="53" t="s">
        <v>4697</v>
      </c>
      <c r="G3146" s="53" t="s">
        <v>4700</v>
      </c>
      <c r="H3146" s="53">
        <v>1.0</v>
      </c>
      <c r="I3146" s="53">
        <v>0.06756756756756757</v>
      </c>
      <c r="J3146" s="53">
        <v>0.0</v>
      </c>
      <c r="K3146" s="53" t="s">
        <v>53</v>
      </c>
      <c r="L3146" s="53" t="s">
        <v>53</v>
      </c>
    </row>
    <row r="3147" ht="15.75" customHeight="1">
      <c r="A3147" s="53" t="s">
        <v>877</v>
      </c>
      <c r="B3147" s="53" t="s">
        <v>4685</v>
      </c>
      <c r="D3147" s="53" t="s">
        <v>4702</v>
      </c>
      <c r="E3147" s="53" t="s">
        <v>4703</v>
      </c>
      <c r="F3147" s="53" t="s">
        <v>4682</v>
      </c>
      <c r="G3147" s="53" t="s">
        <v>4704</v>
      </c>
      <c r="H3147" s="53">
        <v>1.0</v>
      </c>
      <c r="I3147" s="53">
        <v>0.09649122807017543</v>
      </c>
      <c r="J3147" s="53">
        <v>0.0</v>
      </c>
      <c r="K3147" s="53" t="s">
        <v>53</v>
      </c>
      <c r="L3147" s="53" t="s">
        <v>53</v>
      </c>
    </row>
    <row r="3148" ht="15.75" customHeight="1">
      <c r="A3148" s="53" t="s">
        <v>877</v>
      </c>
      <c r="B3148" s="53" t="s">
        <v>4685</v>
      </c>
      <c r="D3148" s="53" t="s">
        <v>1922</v>
      </c>
      <c r="E3148" s="53" t="s">
        <v>4705</v>
      </c>
      <c r="F3148" s="53" t="s">
        <v>4706</v>
      </c>
      <c r="G3148" s="53" t="s">
        <v>4707</v>
      </c>
      <c r="H3148" s="53">
        <v>0.5</v>
      </c>
      <c r="I3148" s="53">
        <v>0.02681992337164751</v>
      </c>
      <c r="J3148" s="53">
        <v>0.0</v>
      </c>
      <c r="K3148" s="53" t="s">
        <v>53</v>
      </c>
      <c r="L3148" s="53" t="s">
        <v>4708</v>
      </c>
    </row>
    <row r="3149" ht="15.75" customHeight="1">
      <c r="A3149" s="53" t="s">
        <v>877</v>
      </c>
      <c r="B3149" s="53" t="s">
        <v>4685</v>
      </c>
      <c r="D3149" s="53" t="s">
        <v>4553</v>
      </c>
      <c r="E3149" s="53" t="s">
        <v>4709</v>
      </c>
      <c r="F3149" s="53" t="s">
        <v>4710</v>
      </c>
      <c r="G3149" s="53" t="s">
        <v>4556</v>
      </c>
      <c r="H3149" s="53">
        <v>0.8</v>
      </c>
      <c r="I3149" s="53">
        <v>0.7253333333333334</v>
      </c>
      <c r="J3149" s="53">
        <v>0.0</v>
      </c>
      <c r="K3149" s="53" t="s">
        <v>53</v>
      </c>
      <c r="L3149" s="53" t="s">
        <v>4711</v>
      </c>
    </row>
    <row r="3150" ht="15.75" customHeight="1">
      <c r="A3150" s="53" t="s">
        <v>563</v>
      </c>
      <c r="B3150" s="53" t="s">
        <v>4685</v>
      </c>
      <c r="D3150" s="53" t="s">
        <v>589</v>
      </c>
      <c r="E3150" s="53" t="s">
        <v>4597</v>
      </c>
      <c r="F3150" s="53" t="s">
        <v>593</v>
      </c>
      <c r="G3150" s="53" t="s">
        <v>1968</v>
      </c>
      <c r="H3150" s="53">
        <v>1.0</v>
      </c>
      <c r="I3150" s="53">
        <v>0.007751937984496124</v>
      </c>
      <c r="J3150" s="53">
        <v>0.0</v>
      </c>
      <c r="K3150" s="53" t="s">
        <v>53</v>
      </c>
      <c r="L3150" s="53" t="s">
        <v>53</v>
      </c>
    </row>
    <row r="3151" ht="15.75" customHeight="1">
      <c r="A3151" s="53" t="s">
        <v>563</v>
      </c>
      <c r="B3151" s="53" t="s">
        <v>4685</v>
      </c>
      <c r="D3151" s="53" t="s">
        <v>589</v>
      </c>
      <c r="E3151" s="53" t="s">
        <v>591</v>
      </c>
      <c r="F3151" s="53" t="s">
        <v>593</v>
      </c>
      <c r="G3151" s="53" t="s">
        <v>595</v>
      </c>
      <c r="H3151" s="53">
        <v>1.0</v>
      </c>
      <c r="I3151" s="53">
        <v>0.1037037037037037</v>
      </c>
      <c r="J3151" s="53">
        <v>18.0</v>
      </c>
      <c r="K3151" s="53" t="s">
        <v>53</v>
      </c>
      <c r="L3151" s="53" t="s">
        <v>53</v>
      </c>
    </row>
    <row r="3152" ht="15.75" customHeight="1">
      <c r="A3152" s="53" t="s">
        <v>563</v>
      </c>
      <c r="B3152" s="53" t="s">
        <v>4685</v>
      </c>
      <c r="D3152" s="53" t="s">
        <v>589</v>
      </c>
      <c r="E3152" s="53" t="s">
        <v>4598</v>
      </c>
      <c r="F3152" s="53" t="s">
        <v>593</v>
      </c>
      <c r="G3152" s="53" t="s">
        <v>603</v>
      </c>
      <c r="H3152" s="53">
        <v>1.0</v>
      </c>
      <c r="I3152" s="53">
        <v>0.1891891891891892</v>
      </c>
      <c r="J3152" s="53">
        <v>3.0</v>
      </c>
      <c r="K3152" s="53" t="s">
        <v>53</v>
      </c>
      <c r="L3152" s="53" t="s">
        <v>53</v>
      </c>
    </row>
    <row r="3153" ht="15.75" customHeight="1">
      <c r="A3153" s="53" t="s">
        <v>563</v>
      </c>
      <c r="B3153" s="53" t="s">
        <v>4685</v>
      </c>
      <c r="D3153" s="53" t="s">
        <v>589</v>
      </c>
      <c r="E3153" s="53" t="s">
        <v>4599</v>
      </c>
      <c r="F3153" s="53" t="s">
        <v>593</v>
      </c>
      <c r="G3153" s="53" t="s">
        <v>598</v>
      </c>
      <c r="H3153" s="53">
        <v>1.0</v>
      </c>
      <c r="I3153" s="53">
        <v>0.2097902097902098</v>
      </c>
      <c r="J3153" s="53">
        <v>11.0</v>
      </c>
      <c r="K3153" s="53" t="s">
        <v>53</v>
      </c>
      <c r="L3153" s="53" t="s">
        <v>53</v>
      </c>
    </row>
    <row r="3154" ht="15.75" customHeight="1">
      <c r="A3154" s="53" t="s">
        <v>563</v>
      </c>
      <c r="B3154" s="53" t="s">
        <v>4685</v>
      </c>
      <c r="D3154" s="53" t="s">
        <v>1968</v>
      </c>
      <c r="E3154" s="53" t="s">
        <v>4600</v>
      </c>
      <c r="F3154" s="53" t="s">
        <v>593</v>
      </c>
      <c r="G3154" s="53" t="s">
        <v>595</v>
      </c>
      <c r="H3154" s="53">
        <v>1.0</v>
      </c>
      <c r="I3154" s="53">
        <v>0.1037037037037037</v>
      </c>
      <c r="J3154" s="53">
        <v>17.0</v>
      </c>
      <c r="K3154" s="53" t="s">
        <v>53</v>
      </c>
      <c r="L3154" s="53" t="s">
        <v>53</v>
      </c>
    </row>
    <row r="3155" ht="15.75" customHeight="1">
      <c r="A3155" s="53" t="s">
        <v>563</v>
      </c>
      <c r="B3155" s="53" t="s">
        <v>4685</v>
      </c>
      <c r="D3155" s="53" t="s">
        <v>1968</v>
      </c>
      <c r="E3155" s="53" t="s">
        <v>4601</v>
      </c>
      <c r="F3155" s="53" t="s">
        <v>593</v>
      </c>
      <c r="G3155" s="53" t="s">
        <v>603</v>
      </c>
      <c r="H3155" s="53">
        <v>1.0</v>
      </c>
      <c r="I3155" s="53">
        <v>0.1891891891891892</v>
      </c>
      <c r="J3155" s="53">
        <v>2.0</v>
      </c>
      <c r="K3155" s="53" t="s">
        <v>53</v>
      </c>
      <c r="L3155" s="53" t="s">
        <v>53</v>
      </c>
    </row>
    <row r="3156" ht="15.75" customHeight="1">
      <c r="A3156" s="53" t="s">
        <v>563</v>
      </c>
      <c r="B3156" s="53" t="s">
        <v>4685</v>
      </c>
      <c r="D3156" s="53" t="s">
        <v>1968</v>
      </c>
      <c r="E3156" s="53" t="s">
        <v>4602</v>
      </c>
      <c r="F3156" s="53" t="s">
        <v>593</v>
      </c>
      <c r="G3156" s="53" t="s">
        <v>598</v>
      </c>
      <c r="H3156" s="53">
        <v>1.0</v>
      </c>
      <c r="I3156" s="53">
        <v>0.2097902097902098</v>
      </c>
      <c r="J3156" s="53">
        <v>10.0</v>
      </c>
      <c r="K3156" s="53" t="s">
        <v>53</v>
      </c>
      <c r="L3156" s="53" t="s">
        <v>53</v>
      </c>
    </row>
    <row r="3157" ht="15.75" customHeight="1">
      <c r="A3157" s="53" t="s">
        <v>563</v>
      </c>
      <c r="B3157" s="53" t="s">
        <v>4685</v>
      </c>
      <c r="D3157" s="53" t="s">
        <v>605</v>
      </c>
      <c r="E3157" s="53" t="s">
        <v>4603</v>
      </c>
      <c r="F3157" s="53" t="s">
        <v>4604</v>
      </c>
      <c r="G3157" s="53" t="s">
        <v>620</v>
      </c>
      <c r="H3157" s="53">
        <v>0.75</v>
      </c>
      <c r="I3157" s="53">
        <v>0.09722222222222222</v>
      </c>
      <c r="J3157" s="53">
        <v>2.0</v>
      </c>
      <c r="K3157" s="53" t="s">
        <v>53</v>
      </c>
      <c r="L3157" s="53" t="s">
        <v>4605</v>
      </c>
    </row>
    <row r="3158" ht="15.75" customHeight="1">
      <c r="A3158" s="53" t="s">
        <v>563</v>
      </c>
      <c r="B3158" s="53" t="s">
        <v>4685</v>
      </c>
      <c r="D3158" s="53" t="s">
        <v>605</v>
      </c>
      <c r="E3158" s="53" t="s">
        <v>624</v>
      </c>
      <c r="F3158" s="53" t="s">
        <v>626</v>
      </c>
      <c r="G3158" s="53" t="s">
        <v>628</v>
      </c>
      <c r="H3158" s="53">
        <v>1.0</v>
      </c>
      <c r="I3158" s="53">
        <v>0.1437125748502994</v>
      </c>
      <c r="J3158" s="53">
        <v>0.0</v>
      </c>
      <c r="K3158" s="53" t="s">
        <v>53</v>
      </c>
      <c r="L3158" s="53" t="s">
        <v>53</v>
      </c>
    </row>
    <row r="3159" ht="15.75" customHeight="1">
      <c r="A3159" s="53" t="s">
        <v>563</v>
      </c>
      <c r="B3159" s="53" t="s">
        <v>4685</v>
      </c>
      <c r="D3159" s="53" t="s">
        <v>605</v>
      </c>
      <c r="E3159" s="53" t="s">
        <v>4606</v>
      </c>
      <c r="F3159" s="53" t="s">
        <v>626</v>
      </c>
      <c r="G3159" s="53" t="s">
        <v>584</v>
      </c>
      <c r="H3159" s="53">
        <v>1.0</v>
      </c>
      <c r="I3159" s="53">
        <v>0.1888111888111888</v>
      </c>
      <c r="J3159" s="53">
        <v>17.0</v>
      </c>
      <c r="K3159" s="53" t="s">
        <v>53</v>
      </c>
      <c r="L3159" s="53" t="s">
        <v>53</v>
      </c>
    </row>
    <row r="3160" ht="15.75" customHeight="1">
      <c r="A3160" s="53" t="s">
        <v>563</v>
      </c>
      <c r="B3160" s="53" t="s">
        <v>4685</v>
      </c>
      <c r="D3160" s="53" t="s">
        <v>605</v>
      </c>
      <c r="E3160" s="53" t="s">
        <v>4607</v>
      </c>
      <c r="F3160" s="53" t="s">
        <v>4604</v>
      </c>
      <c r="G3160" s="53" t="s">
        <v>3958</v>
      </c>
      <c r="H3160" s="53">
        <v>0.75</v>
      </c>
      <c r="I3160" s="53">
        <v>0.20833333333333334</v>
      </c>
      <c r="J3160" s="53">
        <v>4.0</v>
      </c>
      <c r="K3160" s="53" t="s">
        <v>53</v>
      </c>
      <c r="L3160" s="53" t="s">
        <v>4605</v>
      </c>
    </row>
    <row r="3161" ht="15.75" customHeight="1">
      <c r="A3161" s="53" t="s">
        <v>563</v>
      </c>
      <c r="B3161" s="53" t="s">
        <v>4685</v>
      </c>
      <c r="D3161" s="53" t="s">
        <v>628</v>
      </c>
      <c r="E3161" s="53" t="s">
        <v>4608</v>
      </c>
      <c r="F3161" s="53" t="s">
        <v>4604</v>
      </c>
      <c r="G3161" s="53" t="s">
        <v>3958</v>
      </c>
      <c r="H3161" s="53">
        <v>0.75</v>
      </c>
      <c r="I3161" s="53">
        <v>0.08333333333333333</v>
      </c>
      <c r="J3161" s="53">
        <v>3.0</v>
      </c>
      <c r="K3161" s="53" t="s">
        <v>53</v>
      </c>
      <c r="L3161" s="53" t="s">
        <v>4605</v>
      </c>
    </row>
    <row r="3162" ht="15.75" customHeight="1">
      <c r="A3162" s="53" t="s">
        <v>563</v>
      </c>
      <c r="B3162" s="53" t="s">
        <v>4685</v>
      </c>
      <c r="D3162" s="53" t="s">
        <v>628</v>
      </c>
      <c r="E3162" s="53" t="s">
        <v>3959</v>
      </c>
      <c r="F3162" s="53" t="s">
        <v>654</v>
      </c>
      <c r="G3162" s="53" t="s">
        <v>662</v>
      </c>
      <c r="H3162" s="53">
        <v>0.5</v>
      </c>
      <c r="I3162" s="53">
        <v>0.08383233532934131</v>
      </c>
      <c r="J3162" s="53">
        <v>19.0</v>
      </c>
      <c r="K3162" s="53" t="s">
        <v>53</v>
      </c>
      <c r="L3162" s="53" t="s">
        <v>1523</v>
      </c>
    </row>
    <row r="3163" ht="15.75" customHeight="1">
      <c r="A3163" s="53" t="s">
        <v>563</v>
      </c>
      <c r="B3163" s="53" t="s">
        <v>4685</v>
      </c>
      <c r="D3163" s="53" t="s">
        <v>628</v>
      </c>
      <c r="E3163" s="53" t="s">
        <v>4609</v>
      </c>
      <c r="F3163" s="53" t="s">
        <v>626</v>
      </c>
      <c r="G3163" s="53" t="s">
        <v>584</v>
      </c>
      <c r="H3163" s="53">
        <v>1.0</v>
      </c>
      <c r="I3163" s="53">
        <v>0.19760479041916168</v>
      </c>
      <c r="J3163" s="53">
        <v>16.0</v>
      </c>
      <c r="K3163" s="53" t="s">
        <v>53</v>
      </c>
      <c r="L3163" s="53" t="s">
        <v>53</v>
      </c>
    </row>
    <row r="3164" ht="15.75" customHeight="1">
      <c r="A3164" s="53" t="s">
        <v>563</v>
      </c>
      <c r="B3164" s="53" t="s">
        <v>4685</v>
      </c>
      <c r="D3164" s="53" t="s">
        <v>628</v>
      </c>
      <c r="E3164" s="53" t="s">
        <v>4610</v>
      </c>
      <c r="F3164" s="53" t="s">
        <v>4604</v>
      </c>
      <c r="G3164" s="53" t="s">
        <v>620</v>
      </c>
      <c r="H3164" s="53">
        <v>0.75</v>
      </c>
      <c r="I3164" s="53">
        <v>0.20958083832335328</v>
      </c>
      <c r="J3164" s="53">
        <v>1.0</v>
      </c>
      <c r="K3164" s="53" t="s">
        <v>53</v>
      </c>
      <c r="L3164" s="53" t="s">
        <v>4605</v>
      </c>
    </row>
    <row r="3165" ht="15.75" customHeight="1">
      <c r="A3165" s="53" t="s">
        <v>563</v>
      </c>
      <c r="B3165" s="53" t="s">
        <v>4685</v>
      </c>
      <c r="D3165" s="53" t="s">
        <v>603</v>
      </c>
      <c r="E3165" s="53" t="s">
        <v>4611</v>
      </c>
      <c r="F3165" s="53" t="s">
        <v>593</v>
      </c>
      <c r="G3165" s="53" t="s">
        <v>598</v>
      </c>
      <c r="H3165" s="53">
        <v>1.0</v>
      </c>
      <c r="I3165" s="53">
        <v>0.1554054054054054</v>
      </c>
      <c r="J3165" s="53">
        <v>7.0</v>
      </c>
      <c r="K3165" s="53" t="s">
        <v>53</v>
      </c>
      <c r="L3165" s="53" t="s">
        <v>53</v>
      </c>
    </row>
    <row r="3166" ht="15.75" customHeight="1">
      <c r="A3166" s="53" t="s">
        <v>563</v>
      </c>
      <c r="B3166" s="53" t="s">
        <v>4685</v>
      </c>
      <c r="D3166" s="53" t="s">
        <v>603</v>
      </c>
      <c r="E3166" s="53" t="s">
        <v>4612</v>
      </c>
      <c r="F3166" s="53" t="s">
        <v>593</v>
      </c>
      <c r="G3166" s="53" t="s">
        <v>595</v>
      </c>
      <c r="H3166" s="53">
        <v>1.0</v>
      </c>
      <c r="I3166" s="53">
        <v>0.16216216216216217</v>
      </c>
      <c r="J3166" s="53">
        <v>14.0</v>
      </c>
      <c r="K3166" s="53" t="s">
        <v>53</v>
      </c>
      <c r="L3166" s="53" t="s">
        <v>53</v>
      </c>
    </row>
    <row r="3167" ht="15.75" customHeight="1">
      <c r="A3167" s="53" t="s">
        <v>563</v>
      </c>
      <c r="B3167" s="53" t="s">
        <v>4685</v>
      </c>
      <c r="D3167" s="53" t="s">
        <v>620</v>
      </c>
      <c r="E3167" s="53" t="s">
        <v>4613</v>
      </c>
      <c r="F3167" s="53" t="s">
        <v>4614</v>
      </c>
      <c r="G3167" s="53" t="s">
        <v>3958</v>
      </c>
      <c r="H3167" s="53">
        <v>1.0</v>
      </c>
      <c r="I3167" s="53">
        <v>0.14285714285714285</v>
      </c>
      <c r="J3167" s="53">
        <v>1.0</v>
      </c>
      <c r="K3167" s="53" t="s">
        <v>53</v>
      </c>
      <c r="L3167" s="53" t="s">
        <v>53</v>
      </c>
    </row>
    <row r="3168" ht="15.75" customHeight="1">
      <c r="A3168" s="53" t="s">
        <v>563</v>
      </c>
      <c r="B3168" s="53" t="s">
        <v>4685</v>
      </c>
      <c r="D3168" s="53" t="s">
        <v>620</v>
      </c>
      <c r="E3168" s="53" t="s">
        <v>4615</v>
      </c>
      <c r="F3168" s="53" t="s">
        <v>4616</v>
      </c>
      <c r="G3168" s="53" t="s">
        <v>584</v>
      </c>
      <c r="H3168" s="53">
        <v>0.75</v>
      </c>
      <c r="I3168" s="53">
        <v>0.2013888888888889</v>
      </c>
      <c r="J3168" s="53">
        <v>14.0</v>
      </c>
      <c r="K3168" s="53" t="s">
        <v>53</v>
      </c>
      <c r="L3168" s="53" t="s">
        <v>4605</v>
      </c>
    </row>
    <row r="3169" ht="15.75" customHeight="1">
      <c r="A3169" s="53" t="s">
        <v>563</v>
      </c>
      <c r="B3169" s="53" t="s">
        <v>4685</v>
      </c>
      <c r="D3169" s="53" t="s">
        <v>828</v>
      </c>
      <c r="E3169" s="53" t="s">
        <v>4617</v>
      </c>
      <c r="F3169" s="53" t="s">
        <v>4618</v>
      </c>
      <c r="G3169" s="53" t="s">
        <v>838</v>
      </c>
      <c r="H3169" s="53">
        <v>0.7142857142857143</v>
      </c>
      <c r="I3169" s="53">
        <v>0.12389380530973451</v>
      </c>
      <c r="J3169" s="53">
        <v>18.0</v>
      </c>
      <c r="K3169" s="53" t="s">
        <v>53</v>
      </c>
      <c r="L3169" s="53" t="s">
        <v>1523</v>
      </c>
    </row>
    <row r="3170" ht="15.75" customHeight="1">
      <c r="A3170" s="53" t="s">
        <v>563</v>
      </c>
      <c r="B3170" s="53" t="s">
        <v>4685</v>
      </c>
      <c r="D3170" s="53" t="s">
        <v>3958</v>
      </c>
      <c r="E3170" s="53" t="s">
        <v>4619</v>
      </c>
      <c r="F3170" s="53" t="s">
        <v>4620</v>
      </c>
      <c r="G3170" s="53" t="s">
        <v>3963</v>
      </c>
      <c r="H3170" s="53">
        <v>0.6</v>
      </c>
      <c r="I3170" s="53">
        <v>0.08333333333333333</v>
      </c>
      <c r="J3170" s="53">
        <v>18.0</v>
      </c>
      <c r="K3170" s="53" t="s">
        <v>53</v>
      </c>
      <c r="L3170" s="53" t="s">
        <v>1523</v>
      </c>
    </row>
    <row r="3171" ht="15.75" customHeight="1">
      <c r="A3171" s="53" t="s">
        <v>563</v>
      </c>
      <c r="B3171" s="53" t="s">
        <v>4685</v>
      </c>
      <c r="D3171" s="53" t="s">
        <v>3958</v>
      </c>
      <c r="E3171" s="53" t="s">
        <v>4621</v>
      </c>
      <c r="F3171" s="53" t="s">
        <v>4616</v>
      </c>
      <c r="G3171" s="53" t="s">
        <v>584</v>
      </c>
      <c r="H3171" s="53">
        <v>0.75</v>
      </c>
      <c r="I3171" s="53">
        <v>0.20238095238095238</v>
      </c>
      <c r="J3171" s="53">
        <v>12.0</v>
      </c>
      <c r="K3171" s="53" t="s">
        <v>53</v>
      </c>
      <c r="L3171" s="53" t="s">
        <v>4605</v>
      </c>
    </row>
    <row r="3172" ht="15.75" customHeight="1">
      <c r="A3172" s="53" t="s">
        <v>563</v>
      </c>
      <c r="B3172" s="53" t="s">
        <v>4685</v>
      </c>
      <c r="D3172" s="53" t="s">
        <v>4004</v>
      </c>
      <c r="E3172" s="53" t="s">
        <v>4005</v>
      </c>
      <c r="F3172" s="53" t="s">
        <v>4006</v>
      </c>
      <c r="G3172" s="53" t="s">
        <v>4007</v>
      </c>
      <c r="H3172" s="53">
        <v>1.0</v>
      </c>
      <c r="I3172" s="53">
        <v>0.13286713286713286</v>
      </c>
      <c r="J3172" s="53">
        <v>0.0</v>
      </c>
      <c r="K3172" s="53" t="s">
        <v>53</v>
      </c>
      <c r="L3172" s="53" t="s">
        <v>53</v>
      </c>
    </row>
    <row r="3173" ht="15.75" customHeight="1">
      <c r="A3173" s="53" t="s">
        <v>563</v>
      </c>
      <c r="B3173" s="53" t="s">
        <v>4685</v>
      </c>
      <c r="D3173" s="53" t="s">
        <v>598</v>
      </c>
      <c r="E3173" s="53" t="s">
        <v>4622</v>
      </c>
      <c r="F3173" s="53" t="s">
        <v>2477</v>
      </c>
      <c r="G3173" s="53" t="s">
        <v>1976</v>
      </c>
      <c r="H3173" s="53">
        <v>0.3333333333333333</v>
      </c>
      <c r="I3173" s="53">
        <v>0.04195804195804196</v>
      </c>
      <c r="J3173" s="53">
        <v>14.0</v>
      </c>
      <c r="K3173" s="53" t="s">
        <v>53</v>
      </c>
      <c r="L3173" s="53" t="s">
        <v>1523</v>
      </c>
    </row>
    <row r="3174" ht="15.75" customHeight="1">
      <c r="A3174" s="53" t="s">
        <v>563</v>
      </c>
      <c r="B3174" s="53" t="s">
        <v>4685</v>
      </c>
      <c r="D3174" s="53" t="s">
        <v>598</v>
      </c>
      <c r="E3174" s="53" t="s">
        <v>4623</v>
      </c>
      <c r="F3174" s="53" t="s">
        <v>593</v>
      </c>
      <c r="G3174" s="53" t="s">
        <v>595</v>
      </c>
      <c r="H3174" s="53">
        <v>1.0</v>
      </c>
      <c r="I3174" s="53">
        <v>0.2517482517482518</v>
      </c>
      <c r="J3174" s="53">
        <v>6.0</v>
      </c>
      <c r="K3174" s="53" t="s">
        <v>53</v>
      </c>
      <c r="L3174" s="53" t="s">
        <v>53</v>
      </c>
    </row>
    <row r="3175" ht="15.75" customHeight="1">
      <c r="A3175" s="53" t="s">
        <v>563</v>
      </c>
      <c r="B3175" s="53" t="s">
        <v>4685</v>
      </c>
      <c r="D3175" s="53" t="s">
        <v>701</v>
      </c>
      <c r="E3175" s="53" t="s">
        <v>3945</v>
      </c>
      <c r="F3175" s="53" t="s">
        <v>705</v>
      </c>
      <c r="G3175" s="53" t="s">
        <v>3946</v>
      </c>
      <c r="H3175" s="53">
        <v>1.0</v>
      </c>
      <c r="I3175" s="53">
        <v>0.0859375</v>
      </c>
      <c r="J3175" s="53">
        <v>1.0</v>
      </c>
      <c r="K3175" s="53" t="s">
        <v>53</v>
      </c>
      <c r="L3175" s="53" t="s">
        <v>53</v>
      </c>
    </row>
    <row r="3176" ht="15.75" customHeight="1">
      <c r="A3176" s="53" t="s">
        <v>563</v>
      </c>
      <c r="B3176" s="53" t="s">
        <v>4685</v>
      </c>
      <c r="D3176" s="53" t="s">
        <v>701</v>
      </c>
      <c r="E3176" s="53" t="s">
        <v>3948</v>
      </c>
      <c r="F3176" s="53" t="s">
        <v>705</v>
      </c>
      <c r="G3176" s="53" t="s">
        <v>3949</v>
      </c>
      <c r="H3176" s="53">
        <v>1.0</v>
      </c>
      <c r="I3176" s="53">
        <v>0.15217391304347827</v>
      </c>
      <c r="J3176" s="53">
        <v>2.0</v>
      </c>
      <c r="K3176" s="53" t="s">
        <v>53</v>
      </c>
      <c r="L3176" s="53" t="s">
        <v>53</v>
      </c>
    </row>
    <row r="3177" ht="15.75" customHeight="1">
      <c r="A3177" s="53" t="s">
        <v>563</v>
      </c>
      <c r="B3177" s="53" t="s">
        <v>4685</v>
      </c>
      <c r="D3177" s="53" t="s">
        <v>701</v>
      </c>
      <c r="E3177" s="53" t="s">
        <v>703</v>
      </c>
      <c r="F3177" s="53" t="s">
        <v>705</v>
      </c>
      <c r="G3177" s="53" t="s">
        <v>707</v>
      </c>
      <c r="H3177" s="53">
        <v>1.0</v>
      </c>
      <c r="I3177" s="53">
        <v>0.22033898305084745</v>
      </c>
      <c r="J3177" s="53">
        <v>0.0</v>
      </c>
      <c r="K3177" s="53" t="s">
        <v>53</v>
      </c>
      <c r="L3177" s="53" t="s">
        <v>53</v>
      </c>
    </row>
    <row r="3178" ht="15.75" customHeight="1">
      <c r="A3178" s="53" t="s">
        <v>563</v>
      </c>
      <c r="B3178" s="53" t="s">
        <v>4685</v>
      </c>
      <c r="D3178" s="53" t="s">
        <v>707</v>
      </c>
      <c r="E3178" s="53" t="s">
        <v>4624</v>
      </c>
      <c r="F3178" s="53" t="s">
        <v>705</v>
      </c>
      <c r="G3178" s="53" t="s">
        <v>3946</v>
      </c>
      <c r="H3178" s="53">
        <v>1.0</v>
      </c>
      <c r="I3178" s="53">
        <v>0.2890625</v>
      </c>
      <c r="J3178" s="53">
        <v>0.0</v>
      </c>
      <c r="K3178" s="53" t="s">
        <v>53</v>
      </c>
      <c r="L3178" s="53" t="s">
        <v>53</v>
      </c>
    </row>
    <row r="3179" ht="15.75" customHeight="1">
      <c r="A3179" s="53" t="s">
        <v>563</v>
      </c>
      <c r="B3179" s="53" t="s">
        <v>4685</v>
      </c>
      <c r="D3179" s="53" t="s">
        <v>707</v>
      </c>
      <c r="E3179" s="53" t="s">
        <v>4625</v>
      </c>
      <c r="F3179" s="53" t="s">
        <v>705</v>
      </c>
      <c r="G3179" s="53" t="s">
        <v>3949</v>
      </c>
      <c r="H3179" s="53">
        <v>1.0</v>
      </c>
      <c r="I3179" s="53">
        <v>0.34057971014492755</v>
      </c>
      <c r="J3179" s="53">
        <v>1.0</v>
      </c>
      <c r="K3179" s="53" t="s">
        <v>53</v>
      </c>
      <c r="L3179" s="53" t="s">
        <v>53</v>
      </c>
    </row>
    <row r="3180" ht="15.75" customHeight="1">
      <c r="A3180" s="53" t="s">
        <v>563</v>
      </c>
      <c r="B3180" s="53" t="s">
        <v>4685</v>
      </c>
      <c r="D3180" s="53" t="s">
        <v>3946</v>
      </c>
      <c r="E3180" s="53" t="s">
        <v>3950</v>
      </c>
      <c r="F3180" s="53" t="s">
        <v>705</v>
      </c>
      <c r="G3180" s="53" t="s">
        <v>3949</v>
      </c>
      <c r="H3180" s="53">
        <v>1.0</v>
      </c>
      <c r="I3180" s="53">
        <v>0.07971014492753623</v>
      </c>
      <c r="J3180" s="53">
        <v>0.0</v>
      </c>
      <c r="K3180" s="53" t="s">
        <v>53</v>
      </c>
      <c r="L3180" s="53" t="s">
        <v>53</v>
      </c>
    </row>
    <row r="3181" ht="15.75" customHeight="1">
      <c r="A3181" s="53" t="s">
        <v>563</v>
      </c>
      <c r="B3181" s="53" t="s">
        <v>4685</v>
      </c>
      <c r="D3181" s="53" t="s">
        <v>4712</v>
      </c>
      <c r="E3181" s="53" t="s">
        <v>4713</v>
      </c>
      <c r="F3181" s="53" t="s">
        <v>4714</v>
      </c>
      <c r="G3181" s="53" t="s">
        <v>4715</v>
      </c>
      <c r="H3181" s="53">
        <v>1.0</v>
      </c>
      <c r="I3181" s="53">
        <v>0.038834951456310676</v>
      </c>
      <c r="J3181" s="53">
        <v>0.0</v>
      </c>
      <c r="K3181" s="53" t="s">
        <v>53</v>
      </c>
      <c r="L3181" s="53" t="s">
        <v>53</v>
      </c>
    </row>
    <row r="3182" ht="15.75" customHeight="1">
      <c r="A3182" s="53" t="s">
        <v>563</v>
      </c>
      <c r="B3182" s="53" t="s">
        <v>4685</v>
      </c>
      <c r="D3182" s="53" t="s">
        <v>584</v>
      </c>
      <c r="E3182" s="53" t="s">
        <v>4626</v>
      </c>
      <c r="F3182" s="53" t="s">
        <v>654</v>
      </c>
      <c r="G3182" s="53" t="s">
        <v>578</v>
      </c>
      <c r="H3182" s="53">
        <v>0.5</v>
      </c>
      <c r="I3182" s="53">
        <v>0.09929078014184398</v>
      </c>
      <c r="J3182" s="53">
        <v>28.0</v>
      </c>
      <c r="K3182" s="53" t="s">
        <v>53</v>
      </c>
      <c r="L3182" s="53" t="s">
        <v>1523</v>
      </c>
    </row>
    <row r="3183" ht="15.75" customHeight="1">
      <c r="A3183" s="53" t="s">
        <v>563</v>
      </c>
      <c r="B3183" s="53" t="s">
        <v>4685</v>
      </c>
      <c r="D3183" s="53" t="s">
        <v>656</v>
      </c>
      <c r="E3183" s="53" t="s">
        <v>4627</v>
      </c>
      <c r="F3183" s="53" t="s">
        <v>4628</v>
      </c>
      <c r="G3183" s="53" t="s">
        <v>832</v>
      </c>
      <c r="H3183" s="53">
        <v>0.75</v>
      </c>
      <c r="I3183" s="53">
        <v>0.11666666666666667</v>
      </c>
      <c r="J3183" s="53">
        <v>1.0</v>
      </c>
      <c r="K3183" s="53" t="s">
        <v>53</v>
      </c>
      <c r="L3183" s="53" t="s">
        <v>4605</v>
      </c>
    </row>
    <row r="3184" ht="15.75" customHeight="1">
      <c r="A3184" s="53" t="s">
        <v>563</v>
      </c>
      <c r="B3184" s="53" t="s">
        <v>4685</v>
      </c>
      <c r="D3184" s="53" t="s">
        <v>656</v>
      </c>
      <c r="E3184" s="53" t="s">
        <v>4629</v>
      </c>
      <c r="F3184" s="53" t="s">
        <v>660</v>
      </c>
      <c r="G3184" s="53" t="s">
        <v>662</v>
      </c>
      <c r="H3184" s="53">
        <v>1.0</v>
      </c>
      <c r="I3184" s="53">
        <v>0.31137724550898205</v>
      </c>
      <c r="J3184" s="53">
        <v>0.0</v>
      </c>
      <c r="K3184" s="53" t="s">
        <v>53</v>
      </c>
      <c r="L3184" s="53" t="s">
        <v>53</v>
      </c>
    </row>
    <row r="3185" ht="15.75" customHeight="1">
      <c r="A3185" s="53" t="s">
        <v>563</v>
      </c>
      <c r="B3185" s="53" t="s">
        <v>4685</v>
      </c>
      <c r="D3185" s="53" t="s">
        <v>656</v>
      </c>
      <c r="E3185" s="53" t="s">
        <v>4630</v>
      </c>
      <c r="F3185" s="53" t="s">
        <v>660</v>
      </c>
      <c r="G3185" s="53" t="s">
        <v>578</v>
      </c>
      <c r="H3185" s="53">
        <v>1.0</v>
      </c>
      <c r="I3185" s="53">
        <v>0.3900709219858156</v>
      </c>
      <c r="J3185" s="53">
        <v>26.0</v>
      </c>
      <c r="K3185" s="53" t="s">
        <v>53</v>
      </c>
      <c r="L3185" s="53" t="s">
        <v>53</v>
      </c>
    </row>
    <row r="3186" ht="15.75" customHeight="1">
      <c r="A3186" s="53" t="s">
        <v>563</v>
      </c>
      <c r="B3186" s="53" t="s">
        <v>4685</v>
      </c>
      <c r="D3186" s="53" t="s">
        <v>662</v>
      </c>
      <c r="E3186" s="53" t="s">
        <v>4631</v>
      </c>
      <c r="F3186" s="53" t="s">
        <v>4628</v>
      </c>
      <c r="G3186" s="53" t="s">
        <v>3963</v>
      </c>
      <c r="H3186" s="53">
        <v>0.75</v>
      </c>
      <c r="I3186" s="53">
        <v>0.08333333333333333</v>
      </c>
      <c r="J3186" s="53">
        <v>2.0</v>
      </c>
      <c r="K3186" s="53" t="s">
        <v>53</v>
      </c>
      <c r="L3186" s="53" t="s">
        <v>4605</v>
      </c>
    </row>
    <row r="3187" ht="15.75" customHeight="1">
      <c r="A3187" s="53" t="s">
        <v>563</v>
      </c>
      <c r="B3187" s="53" t="s">
        <v>4685</v>
      </c>
      <c r="D3187" s="53" t="s">
        <v>662</v>
      </c>
      <c r="E3187" s="53" t="s">
        <v>4632</v>
      </c>
      <c r="F3187" s="53" t="s">
        <v>660</v>
      </c>
      <c r="G3187" s="53" t="s">
        <v>578</v>
      </c>
      <c r="H3187" s="53">
        <v>1.0</v>
      </c>
      <c r="I3187" s="53">
        <v>0.19760479041916168</v>
      </c>
      <c r="J3187" s="53">
        <v>25.0</v>
      </c>
      <c r="K3187" s="53" t="s">
        <v>53</v>
      </c>
      <c r="L3187" s="53" t="s">
        <v>53</v>
      </c>
    </row>
    <row r="3188" ht="15.75" customHeight="1">
      <c r="A3188" s="53" t="s">
        <v>563</v>
      </c>
      <c r="B3188" s="53" t="s">
        <v>4685</v>
      </c>
      <c r="D3188" s="53" t="s">
        <v>832</v>
      </c>
      <c r="E3188" s="53" t="s">
        <v>4633</v>
      </c>
      <c r="F3188" s="53" t="s">
        <v>4634</v>
      </c>
      <c r="G3188" s="53" t="s">
        <v>3963</v>
      </c>
      <c r="H3188" s="53">
        <v>1.0</v>
      </c>
      <c r="I3188" s="53">
        <v>0.30952380952380953</v>
      </c>
      <c r="J3188" s="53">
        <v>1.0</v>
      </c>
      <c r="K3188" s="53" t="s">
        <v>53</v>
      </c>
      <c r="L3188" s="53" t="s">
        <v>53</v>
      </c>
    </row>
    <row r="3189" ht="15.75" customHeight="1">
      <c r="A3189" s="53" t="s">
        <v>563</v>
      </c>
      <c r="B3189" s="53" t="s">
        <v>4685</v>
      </c>
      <c r="D3189" s="53" t="s">
        <v>832</v>
      </c>
      <c r="E3189" s="53" t="s">
        <v>4635</v>
      </c>
      <c r="F3189" s="53" t="s">
        <v>4636</v>
      </c>
      <c r="G3189" s="53" t="s">
        <v>635</v>
      </c>
      <c r="H3189" s="53">
        <v>0.8</v>
      </c>
      <c r="I3189" s="53">
        <v>0.3717277486910995</v>
      </c>
      <c r="J3189" s="53">
        <v>9.0</v>
      </c>
      <c r="K3189" s="53" t="s">
        <v>53</v>
      </c>
      <c r="L3189" s="53" t="s">
        <v>4637</v>
      </c>
    </row>
    <row r="3190" ht="15.75" customHeight="1">
      <c r="A3190" s="53" t="s">
        <v>563</v>
      </c>
      <c r="B3190" s="53" t="s">
        <v>4685</v>
      </c>
      <c r="D3190" s="53" t="s">
        <v>3963</v>
      </c>
      <c r="E3190" s="53" t="s">
        <v>4638</v>
      </c>
      <c r="F3190" s="53" t="s">
        <v>4639</v>
      </c>
      <c r="G3190" s="53" t="s">
        <v>578</v>
      </c>
      <c r="H3190" s="53">
        <v>0.75</v>
      </c>
      <c r="I3190" s="53">
        <v>0.20238095238095238</v>
      </c>
      <c r="J3190" s="53">
        <v>22.0</v>
      </c>
      <c r="K3190" s="53" t="s">
        <v>53</v>
      </c>
      <c r="L3190" s="53" t="s">
        <v>4605</v>
      </c>
    </row>
    <row r="3191" ht="15.75" customHeight="1">
      <c r="A3191" s="53" t="s">
        <v>563</v>
      </c>
      <c r="B3191" s="53" t="s">
        <v>4685</v>
      </c>
      <c r="D3191" s="53" t="s">
        <v>3963</v>
      </c>
      <c r="E3191" s="53" t="s">
        <v>4640</v>
      </c>
      <c r="F3191" s="53" t="s">
        <v>4636</v>
      </c>
      <c r="G3191" s="53" t="s">
        <v>635</v>
      </c>
      <c r="H3191" s="53">
        <v>0.8</v>
      </c>
      <c r="I3191" s="53">
        <v>0.450261780104712</v>
      </c>
      <c r="J3191" s="53">
        <v>7.0</v>
      </c>
      <c r="K3191" s="53" t="s">
        <v>53</v>
      </c>
      <c r="L3191" s="53" t="s">
        <v>4637</v>
      </c>
    </row>
    <row r="3192" ht="15.75" customHeight="1">
      <c r="A3192" s="53" t="s">
        <v>563</v>
      </c>
      <c r="B3192" s="53" t="s">
        <v>4685</v>
      </c>
      <c r="D3192" s="53" t="s">
        <v>611</v>
      </c>
      <c r="E3192" s="53" t="s">
        <v>4641</v>
      </c>
      <c r="F3192" s="53" t="s">
        <v>4642</v>
      </c>
      <c r="G3192" s="53" t="s">
        <v>635</v>
      </c>
      <c r="H3192" s="53">
        <v>0.8</v>
      </c>
      <c r="I3192" s="53">
        <v>0.11518324607329843</v>
      </c>
      <c r="J3192" s="53">
        <v>3.0</v>
      </c>
      <c r="K3192" s="53" t="s">
        <v>53</v>
      </c>
      <c r="L3192" s="53" t="s">
        <v>4643</v>
      </c>
    </row>
    <row r="3193" ht="15.75" customHeight="1">
      <c r="A3193" s="53" t="s">
        <v>563</v>
      </c>
      <c r="B3193" s="53" t="s">
        <v>4685</v>
      </c>
      <c r="D3193" s="53" t="s">
        <v>636</v>
      </c>
      <c r="E3193" s="53" t="s">
        <v>3951</v>
      </c>
      <c r="F3193" s="53" t="s">
        <v>3941</v>
      </c>
      <c r="G3193" s="53" t="s">
        <v>645</v>
      </c>
      <c r="H3193" s="53">
        <v>1.0</v>
      </c>
      <c r="I3193" s="53">
        <v>0.08168316831683169</v>
      </c>
      <c r="J3193" s="53">
        <v>0.0</v>
      </c>
      <c r="K3193" s="53" t="s">
        <v>53</v>
      </c>
      <c r="L3193" s="53" t="s">
        <v>53</v>
      </c>
    </row>
    <row r="3194" ht="15.75" customHeight="1">
      <c r="A3194" s="53" t="s">
        <v>563</v>
      </c>
      <c r="B3194" s="53" t="s">
        <v>4685</v>
      </c>
      <c r="D3194" s="53" t="s">
        <v>642</v>
      </c>
      <c r="E3194" s="53" t="s">
        <v>4644</v>
      </c>
      <c r="F3194" s="53" t="s">
        <v>4645</v>
      </c>
      <c r="G3194" s="53" t="s">
        <v>651</v>
      </c>
      <c r="H3194" s="53">
        <v>0.7142857142857143</v>
      </c>
      <c r="I3194" s="53">
        <v>0.08506616257088846</v>
      </c>
      <c r="J3194" s="53">
        <v>0.0</v>
      </c>
      <c r="K3194" s="53" t="s">
        <v>53</v>
      </c>
      <c r="L3194" s="53" t="s">
        <v>4646</v>
      </c>
    </row>
    <row r="3195" ht="15.75" customHeight="1">
      <c r="A3195" s="53" t="s">
        <v>563</v>
      </c>
      <c r="B3195" s="53" t="s">
        <v>4685</v>
      </c>
      <c r="D3195" s="53" t="s">
        <v>4447</v>
      </c>
      <c r="E3195" s="53" t="s">
        <v>4647</v>
      </c>
      <c r="F3195" s="53" t="s">
        <v>4648</v>
      </c>
      <c r="G3195" s="53" t="s">
        <v>4450</v>
      </c>
      <c r="H3195" s="53">
        <v>0.8333333333333334</v>
      </c>
      <c r="I3195" s="53">
        <v>0.34967320261437906</v>
      </c>
      <c r="J3195" s="53">
        <v>5.0</v>
      </c>
      <c r="K3195" s="53" t="s">
        <v>53</v>
      </c>
      <c r="L3195" s="53" t="s">
        <v>4452</v>
      </c>
    </row>
    <row r="3196" ht="15.75" customHeight="1">
      <c r="A3196" s="53" t="s">
        <v>563</v>
      </c>
      <c r="B3196" s="53" t="s">
        <v>4685</v>
      </c>
      <c r="D3196" s="53" t="s">
        <v>4447</v>
      </c>
      <c r="E3196" s="53" t="s">
        <v>4649</v>
      </c>
      <c r="F3196" s="53" t="s">
        <v>4648</v>
      </c>
      <c r="G3196" s="53" t="s">
        <v>4454</v>
      </c>
      <c r="H3196" s="53">
        <v>0.8333333333333334</v>
      </c>
      <c r="I3196" s="53">
        <v>0.35294117647058826</v>
      </c>
      <c r="J3196" s="53">
        <v>6.0</v>
      </c>
      <c r="K3196" s="53" t="s">
        <v>53</v>
      </c>
      <c r="L3196" s="53" t="s">
        <v>4452</v>
      </c>
    </row>
    <row r="3197" ht="15.75" customHeight="1">
      <c r="A3197" s="53" t="s">
        <v>563</v>
      </c>
      <c r="B3197" s="53" t="s">
        <v>4685</v>
      </c>
      <c r="D3197" s="53" t="s">
        <v>711</v>
      </c>
      <c r="E3197" s="53" t="s">
        <v>720</v>
      </c>
      <c r="F3197" s="53" t="s">
        <v>715</v>
      </c>
      <c r="G3197" s="53" t="s">
        <v>723</v>
      </c>
      <c r="H3197" s="53">
        <v>1.0</v>
      </c>
      <c r="I3197" s="53">
        <v>0.3617021276595745</v>
      </c>
      <c r="J3197" s="53">
        <v>1.0</v>
      </c>
      <c r="K3197" s="53" t="s">
        <v>53</v>
      </c>
      <c r="L3197" s="53" t="s">
        <v>53</v>
      </c>
    </row>
    <row r="3198" ht="15.75" customHeight="1">
      <c r="A3198" s="53" t="s">
        <v>563</v>
      </c>
      <c r="B3198" s="53" t="s">
        <v>4685</v>
      </c>
      <c r="D3198" s="53" t="s">
        <v>711</v>
      </c>
      <c r="E3198" s="53" t="s">
        <v>713</v>
      </c>
      <c r="F3198" s="53" t="s">
        <v>715</v>
      </c>
      <c r="G3198" s="53" t="s">
        <v>717</v>
      </c>
      <c r="H3198" s="53">
        <v>1.0</v>
      </c>
      <c r="I3198" s="53">
        <v>0.3617021276595745</v>
      </c>
      <c r="J3198" s="53">
        <v>0.0</v>
      </c>
      <c r="K3198" s="53" t="s">
        <v>53</v>
      </c>
      <c r="L3198" s="53" t="s">
        <v>53</v>
      </c>
    </row>
    <row r="3199" ht="15.75" customHeight="1">
      <c r="A3199" s="53" t="s">
        <v>563</v>
      </c>
      <c r="B3199" s="53" t="s">
        <v>4685</v>
      </c>
      <c r="D3199" s="53" t="s">
        <v>717</v>
      </c>
      <c r="E3199" s="53" t="s">
        <v>4134</v>
      </c>
      <c r="F3199" s="53" t="s">
        <v>715</v>
      </c>
      <c r="G3199" s="53" t="s">
        <v>723</v>
      </c>
      <c r="H3199" s="53">
        <v>1.0</v>
      </c>
      <c r="I3199" s="53">
        <v>0.02127659574468085</v>
      </c>
      <c r="J3199" s="53">
        <v>0.0</v>
      </c>
      <c r="K3199" s="53" t="s">
        <v>53</v>
      </c>
      <c r="L3199" s="53" t="s">
        <v>53</v>
      </c>
    </row>
    <row r="3200" ht="15.75" customHeight="1">
      <c r="A3200" s="53" t="s">
        <v>563</v>
      </c>
      <c r="B3200" s="53" t="s">
        <v>4685</v>
      </c>
      <c r="D3200" s="53" t="s">
        <v>4136</v>
      </c>
      <c r="E3200" s="53" t="s">
        <v>4650</v>
      </c>
      <c r="F3200" s="53" t="s">
        <v>4651</v>
      </c>
      <c r="G3200" s="53" t="s">
        <v>4139</v>
      </c>
      <c r="H3200" s="53">
        <v>1.0</v>
      </c>
      <c r="I3200" s="53">
        <v>0.015625</v>
      </c>
      <c r="J3200" s="53">
        <v>0.0</v>
      </c>
      <c r="K3200" s="53" t="s">
        <v>53</v>
      </c>
      <c r="L3200" s="53" t="s">
        <v>53</v>
      </c>
    </row>
    <row r="3201" ht="15.75" customHeight="1">
      <c r="A3201" s="53" t="s">
        <v>563</v>
      </c>
      <c r="B3201" s="53" t="s">
        <v>4685</v>
      </c>
      <c r="D3201" s="53" t="s">
        <v>4450</v>
      </c>
      <c r="E3201" s="53" t="s">
        <v>4652</v>
      </c>
      <c r="F3201" s="53" t="s">
        <v>4653</v>
      </c>
      <c r="G3201" s="53" t="s">
        <v>4454</v>
      </c>
      <c r="H3201" s="53">
        <v>1.0</v>
      </c>
      <c r="I3201" s="53">
        <v>0.011764705882352941</v>
      </c>
      <c r="J3201" s="53">
        <v>0.0</v>
      </c>
      <c r="K3201" s="53" t="s">
        <v>53</v>
      </c>
      <c r="L3201" s="53" t="s">
        <v>53</v>
      </c>
    </row>
    <row r="3202" ht="15.75" customHeight="1">
      <c r="A3202" s="53" t="s">
        <v>4716</v>
      </c>
      <c r="B3202" s="53" t="s">
        <v>4685</v>
      </c>
      <c r="D3202" s="53" t="s">
        <v>305</v>
      </c>
      <c r="E3202" s="53" t="s">
        <v>4717</v>
      </c>
      <c r="F3202" s="53" t="s">
        <v>4718</v>
      </c>
      <c r="G3202" s="53" t="s">
        <v>313</v>
      </c>
      <c r="H3202" s="53">
        <v>0.875</v>
      </c>
      <c r="I3202" s="53">
        <v>0.2793791574279379</v>
      </c>
      <c r="J3202" s="53">
        <v>7.0</v>
      </c>
      <c r="K3202" s="53" t="s">
        <v>53</v>
      </c>
      <c r="L3202" s="53" t="s">
        <v>4719</v>
      </c>
    </row>
    <row r="3203" ht="15.75" customHeight="1">
      <c r="A3203" s="53" t="s">
        <v>4716</v>
      </c>
      <c r="B3203" s="53" t="s">
        <v>4685</v>
      </c>
      <c r="D3203" s="53" t="s">
        <v>305</v>
      </c>
      <c r="E3203" s="53" t="s">
        <v>4720</v>
      </c>
      <c r="F3203" s="53" t="s">
        <v>4718</v>
      </c>
      <c r="G3203" s="53" t="s">
        <v>2627</v>
      </c>
      <c r="H3203" s="53">
        <v>0.875</v>
      </c>
      <c r="I3203" s="53">
        <v>0.2860310421286031</v>
      </c>
      <c r="J3203" s="53">
        <v>10.0</v>
      </c>
      <c r="K3203" s="53" t="s">
        <v>53</v>
      </c>
      <c r="L3203" s="53" t="s">
        <v>4719</v>
      </c>
    </row>
    <row r="3204" ht="15.75" customHeight="1">
      <c r="A3204" s="53" t="s">
        <v>4716</v>
      </c>
      <c r="B3204" s="53" t="s">
        <v>4685</v>
      </c>
      <c r="D3204" s="53" t="s">
        <v>305</v>
      </c>
      <c r="E3204" s="53" t="s">
        <v>4721</v>
      </c>
      <c r="F3204" s="53" t="s">
        <v>4718</v>
      </c>
      <c r="G3204" s="53" t="s">
        <v>2630</v>
      </c>
      <c r="H3204" s="53">
        <v>0.875</v>
      </c>
      <c r="I3204" s="53">
        <v>0.28824833702882485</v>
      </c>
      <c r="J3204" s="53">
        <v>9.0</v>
      </c>
      <c r="K3204" s="53" t="s">
        <v>53</v>
      </c>
      <c r="L3204" s="53" t="s">
        <v>4719</v>
      </c>
    </row>
    <row r="3205" ht="15.75" customHeight="1">
      <c r="A3205" s="53" t="s">
        <v>4716</v>
      </c>
      <c r="B3205" s="53" t="s">
        <v>4685</v>
      </c>
      <c r="D3205" s="53" t="s">
        <v>305</v>
      </c>
      <c r="E3205" s="53" t="s">
        <v>4722</v>
      </c>
      <c r="F3205" s="53" t="s">
        <v>4718</v>
      </c>
      <c r="G3205" s="53" t="s">
        <v>299</v>
      </c>
      <c r="H3205" s="53">
        <v>0.875</v>
      </c>
      <c r="I3205" s="53">
        <v>0.3448275862068966</v>
      </c>
      <c r="J3205" s="53">
        <v>8.0</v>
      </c>
      <c r="K3205" s="53" t="s">
        <v>53</v>
      </c>
      <c r="L3205" s="53" t="s">
        <v>4719</v>
      </c>
    </row>
    <row r="3206" ht="15.75" customHeight="1">
      <c r="A3206" s="53" t="s">
        <v>4716</v>
      </c>
      <c r="B3206" s="53" t="s">
        <v>4685</v>
      </c>
      <c r="D3206" s="53" t="s">
        <v>4723</v>
      </c>
      <c r="E3206" s="53" t="s">
        <v>4724</v>
      </c>
      <c r="F3206" s="53" t="s">
        <v>4725</v>
      </c>
      <c r="G3206" s="53" t="s">
        <v>4726</v>
      </c>
      <c r="H3206" s="53">
        <v>0.5</v>
      </c>
      <c r="I3206" s="53">
        <v>0.06220839813374806</v>
      </c>
      <c r="J3206" s="53">
        <v>0.0</v>
      </c>
      <c r="K3206" s="53" t="s">
        <v>53</v>
      </c>
      <c r="L3206" s="53" t="s">
        <v>1199</v>
      </c>
    </row>
    <row r="3207" ht="15.75" customHeight="1">
      <c r="A3207" s="53" t="s">
        <v>4716</v>
      </c>
      <c r="B3207" s="53" t="s">
        <v>4685</v>
      </c>
      <c r="D3207" s="53" t="s">
        <v>1224</v>
      </c>
      <c r="E3207" s="53" t="s">
        <v>4727</v>
      </c>
      <c r="F3207" s="53" t="s">
        <v>4728</v>
      </c>
      <c r="G3207" s="53" t="s">
        <v>1227</v>
      </c>
      <c r="H3207" s="53">
        <v>1.0</v>
      </c>
      <c r="I3207" s="53">
        <v>0.30213903743315507</v>
      </c>
      <c r="J3207" s="53">
        <v>0.0</v>
      </c>
      <c r="K3207" s="53" t="s">
        <v>53</v>
      </c>
      <c r="L3207" s="53" t="s">
        <v>53</v>
      </c>
    </row>
    <row r="3208" ht="15.75" customHeight="1">
      <c r="A3208" s="53" t="s">
        <v>4716</v>
      </c>
      <c r="B3208" s="53" t="s">
        <v>4685</v>
      </c>
      <c r="D3208" s="53" t="s">
        <v>1224</v>
      </c>
      <c r="E3208" s="53" t="s">
        <v>4729</v>
      </c>
      <c r="F3208" s="53" t="s">
        <v>4730</v>
      </c>
      <c r="G3208" s="53" t="s">
        <v>1230</v>
      </c>
      <c r="H3208" s="53">
        <v>1.0</v>
      </c>
      <c r="I3208" s="53">
        <v>0.5239520958083832</v>
      </c>
      <c r="J3208" s="53">
        <v>1.0</v>
      </c>
      <c r="K3208" s="53" t="s">
        <v>53</v>
      </c>
      <c r="L3208" s="53" t="s">
        <v>53</v>
      </c>
    </row>
    <row r="3209" ht="15.75" customHeight="1">
      <c r="A3209" s="53" t="s">
        <v>4716</v>
      </c>
      <c r="B3209" s="53" t="s">
        <v>4685</v>
      </c>
      <c r="D3209" s="53" t="s">
        <v>1227</v>
      </c>
      <c r="E3209" s="53" t="s">
        <v>4731</v>
      </c>
      <c r="F3209" s="53" t="s">
        <v>4730</v>
      </c>
      <c r="G3209" s="53" t="s">
        <v>1230</v>
      </c>
      <c r="H3209" s="53">
        <v>1.0</v>
      </c>
      <c r="I3209" s="53">
        <v>0.5104790419161677</v>
      </c>
      <c r="J3209" s="53">
        <v>0.0</v>
      </c>
      <c r="K3209" s="53" t="s">
        <v>53</v>
      </c>
      <c r="L3209" s="53" t="s">
        <v>53</v>
      </c>
    </row>
    <row r="3210" ht="15.75" customHeight="1">
      <c r="A3210" s="53" t="s">
        <v>4716</v>
      </c>
      <c r="B3210" s="53" t="s">
        <v>4685</v>
      </c>
      <c r="D3210" s="53" t="s">
        <v>313</v>
      </c>
      <c r="E3210" s="53" t="s">
        <v>4732</v>
      </c>
      <c r="F3210" s="53" t="s">
        <v>4733</v>
      </c>
      <c r="G3210" s="53" t="s">
        <v>2627</v>
      </c>
      <c r="H3210" s="53">
        <v>1.0</v>
      </c>
      <c r="I3210" s="53">
        <v>0.06376811594202898</v>
      </c>
      <c r="J3210" s="53">
        <v>2.0</v>
      </c>
      <c r="K3210" s="53" t="s">
        <v>53</v>
      </c>
      <c r="L3210" s="53" t="s">
        <v>53</v>
      </c>
    </row>
    <row r="3211" ht="15.75" customHeight="1">
      <c r="A3211" s="53" t="s">
        <v>4716</v>
      </c>
      <c r="B3211" s="53" t="s">
        <v>4685</v>
      </c>
      <c r="D3211" s="53" t="s">
        <v>313</v>
      </c>
      <c r="E3211" s="53" t="s">
        <v>4734</v>
      </c>
      <c r="F3211" s="53" t="s">
        <v>4733</v>
      </c>
      <c r="G3211" s="53" t="s">
        <v>2630</v>
      </c>
      <c r="H3211" s="53">
        <v>1.0</v>
      </c>
      <c r="I3211" s="53">
        <v>0.06956521739130435</v>
      </c>
      <c r="J3211" s="53">
        <v>1.0</v>
      </c>
      <c r="K3211" s="53" t="s">
        <v>53</v>
      </c>
      <c r="L3211" s="53" t="s">
        <v>53</v>
      </c>
    </row>
    <row r="3212" ht="15.75" customHeight="1">
      <c r="A3212" s="53" t="s">
        <v>4716</v>
      </c>
      <c r="B3212" s="53" t="s">
        <v>4685</v>
      </c>
      <c r="D3212" s="53" t="s">
        <v>313</v>
      </c>
      <c r="E3212" s="53" t="s">
        <v>4735</v>
      </c>
      <c r="F3212" s="53" t="s">
        <v>4733</v>
      </c>
      <c r="G3212" s="53" t="s">
        <v>299</v>
      </c>
      <c r="H3212" s="53">
        <v>1.0</v>
      </c>
      <c r="I3212" s="53">
        <v>0.359026369168357</v>
      </c>
      <c r="J3212" s="53">
        <v>0.0</v>
      </c>
      <c r="K3212" s="53" t="s">
        <v>53</v>
      </c>
      <c r="L3212" s="53" t="s">
        <v>53</v>
      </c>
    </row>
    <row r="3213" ht="15.75" customHeight="1">
      <c r="A3213" s="53" t="s">
        <v>4716</v>
      </c>
      <c r="B3213" s="53" t="s">
        <v>4685</v>
      </c>
      <c r="D3213" s="53" t="s">
        <v>313</v>
      </c>
      <c r="E3213" s="53" t="s">
        <v>4736</v>
      </c>
      <c r="F3213" s="53" t="s">
        <v>4737</v>
      </c>
      <c r="G3213" s="53" t="s">
        <v>319</v>
      </c>
      <c r="H3213" s="53">
        <v>0.8571428571428571</v>
      </c>
      <c r="I3213" s="53">
        <v>0.4608695652173913</v>
      </c>
      <c r="J3213" s="53">
        <v>3.0</v>
      </c>
      <c r="K3213" s="53" t="s">
        <v>53</v>
      </c>
      <c r="L3213" s="53" t="s">
        <v>4738</v>
      </c>
    </row>
    <row r="3214" ht="15.75" customHeight="1">
      <c r="A3214" s="53" t="s">
        <v>4716</v>
      </c>
      <c r="B3214" s="53" t="s">
        <v>4685</v>
      </c>
      <c r="D3214" s="53" t="s">
        <v>299</v>
      </c>
      <c r="E3214" s="53" t="s">
        <v>4739</v>
      </c>
      <c r="F3214" s="53" t="s">
        <v>4733</v>
      </c>
      <c r="G3214" s="53" t="s">
        <v>2627</v>
      </c>
      <c r="H3214" s="53">
        <v>1.0</v>
      </c>
      <c r="I3214" s="53">
        <v>0.359026369168357</v>
      </c>
      <c r="J3214" s="53">
        <v>1.0</v>
      </c>
      <c r="K3214" s="53" t="s">
        <v>53</v>
      </c>
      <c r="L3214" s="53" t="s">
        <v>53</v>
      </c>
    </row>
    <row r="3215" ht="15.75" customHeight="1">
      <c r="A3215" s="53" t="s">
        <v>4716</v>
      </c>
      <c r="B3215" s="53" t="s">
        <v>4685</v>
      </c>
      <c r="D3215" s="53" t="s">
        <v>299</v>
      </c>
      <c r="E3215" s="53" t="s">
        <v>4740</v>
      </c>
      <c r="F3215" s="53" t="s">
        <v>4733</v>
      </c>
      <c r="G3215" s="53" t="s">
        <v>2630</v>
      </c>
      <c r="H3215" s="53">
        <v>1.0</v>
      </c>
      <c r="I3215" s="53">
        <v>0.36511156186612576</v>
      </c>
      <c r="J3215" s="53">
        <v>0.0</v>
      </c>
      <c r="K3215" s="53" t="s">
        <v>53</v>
      </c>
      <c r="L3215" s="53" t="s">
        <v>53</v>
      </c>
    </row>
    <row r="3216" ht="15.75" customHeight="1">
      <c r="A3216" s="53" t="s">
        <v>4716</v>
      </c>
      <c r="B3216" s="53" t="s">
        <v>4685</v>
      </c>
      <c r="D3216" s="53" t="s">
        <v>299</v>
      </c>
      <c r="E3216" s="53" t="s">
        <v>4741</v>
      </c>
      <c r="F3216" s="53" t="s">
        <v>4737</v>
      </c>
      <c r="G3216" s="53" t="s">
        <v>319</v>
      </c>
      <c r="H3216" s="53">
        <v>0.8571428571428571</v>
      </c>
      <c r="I3216" s="53">
        <v>0.6166328600405679</v>
      </c>
      <c r="J3216" s="53">
        <v>2.0</v>
      </c>
      <c r="K3216" s="53" t="s">
        <v>53</v>
      </c>
      <c r="L3216" s="53" t="s">
        <v>4738</v>
      </c>
    </row>
    <row r="3217" ht="15.75" customHeight="1">
      <c r="A3217" s="53" t="s">
        <v>4716</v>
      </c>
      <c r="B3217" s="53" t="s">
        <v>4685</v>
      </c>
      <c r="D3217" s="53" t="s">
        <v>2630</v>
      </c>
      <c r="E3217" s="53" t="s">
        <v>4742</v>
      </c>
      <c r="F3217" s="53" t="s">
        <v>4733</v>
      </c>
      <c r="G3217" s="53" t="s">
        <v>2627</v>
      </c>
      <c r="H3217" s="53">
        <v>1.0</v>
      </c>
      <c r="I3217" s="53">
        <v>0.012012012012012012</v>
      </c>
      <c r="J3217" s="53">
        <v>0.0</v>
      </c>
      <c r="K3217" s="53" t="s">
        <v>53</v>
      </c>
      <c r="L3217" s="53" t="s">
        <v>53</v>
      </c>
    </row>
    <row r="3218" ht="15.75" customHeight="1">
      <c r="A3218" s="53" t="s">
        <v>4716</v>
      </c>
      <c r="B3218" s="53" t="s">
        <v>4685</v>
      </c>
      <c r="D3218" s="53" t="s">
        <v>2630</v>
      </c>
      <c r="E3218" s="53" t="s">
        <v>4743</v>
      </c>
      <c r="F3218" s="53" t="s">
        <v>4737</v>
      </c>
      <c r="G3218" s="53" t="s">
        <v>319</v>
      </c>
      <c r="H3218" s="53">
        <v>0.8571428571428571</v>
      </c>
      <c r="I3218" s="53">
        <v>0.4294294294294294</v>
      </c>
      <c r="J3218" s="53">
        <v>1.0</v>
      </c>
      <c r="K3218" s="53" t="s">
        <v>53</v>
      </c>
      <c r="L3218" s="53" t="s">
        <v>4738</v>
      </c>
    </row>
    <row r="3219" ht="15.75" customHeight="1">
      <c r="A3219" s="53" t="s">
        <v>4716</v>
      </c>
      <c r="B3219" s="53" t="s">
        <v>4685</v>
      </c>
      <c r="D3219" s="53" t="s">
        <v>2627</v>
      </c>
      <c r="E3219" s="53" t="s">
        <v>4744</v>
      </c>
      <c r="F3219" s="53" t="s">
        <v>4737</v>
      </c>
      <c r="G3219" s="53" t="s">
        <v>319</v>
      </c>
      <c r="H3219" s="53">
        <v>0.8571428571428571</v>
      </c>
      <c r="I3219" s="53">
        <v>0.42900302114803623</v>
      </c>
      <c r="J3219" s="53">
        <v>0.0</v>
      </c>
      <c r="K3219" s="53" t="s">
        <v>53</v>
      </c>
      <c r="L3219" s="53" t="s">
        <v>4738</v>
      </c>
    </row>
    <row r="3220" ht="15.75" customHeight="1">
      <c r="A3220" s="53" t="s">
        <v>4745</v>
      </c>
      <c r="B3220" s="53" t="s">
        <v>4685</v>
      </c>
      <c r="D3220" s="53" t="s">
        <v>4746</v>
      </c>
      <c r="E3220" s="53" t="s">
        <v>4747</v>
      </c>
      <c r="F3220" s="53" t="s">
        <v>4748</v>
      </c>
      <c r="G3220" s="53" t="s">
        <v>4749</v>
      </c>
      <c r="H3220" s="53">
        <v>0.5</v>
      </c>
      <c r="I3220" s="53">
        <v>0.06786427145708583</v>
      </c>
      <c r="J3220" s="53">
        <v>0.0</v>
      </c>
      <c r="K3220" s="53" t="s">
        <v>53</v>
      </c>
      <c r="L3220" s="53" t="s">
        <v>1199</v>
      </c>
    </row>
    <row r="3221" ht="15.75" customHeight="1">
      <c r="A3221" s="53" t="s">
        <v>4745</v>
      </c>
      <c r="B3221" s="53" t="s">
        <v>4685</v>
      </c>
      <c r="D3221" s="53" t="s">
        <v>1232</v>
      </c>
      <c r="E3221" s="53" t="s">
        <v>4750</v>
      </c>
      <c r="F3221" s="53" t="s">
        <v>4751</v>
      </c>
      <c r="G3221" s="53" t="s">
        <v>1235</v>
      </c>
      <c r="H3221" s="53">
        <v>1.0</v>
      </c>
      <c r="I3221" s="53">
        <v>0.5893719806763285</v>
      </c>
      <c r="J3221" s="53">
        <v>0.0</v>
      </c>
      <c r="K3221" s="53" t="s">
        <v>53</v>
      </c>
      <c r="L3221" s="53" t="s">
        <v>53</v>
      </c>
    </row>
    <row r="3222" ht="15.75" customHeight="1">
      <c r="A3222" s="53" t="s">
        <v>2594</v>
      </c>
      <c r="B3222" s="53" t="s">
        <v>4752</v>
      </c>
      <c r="D3222" s="53" t="s">
        <v>1578</v>
      </c>
      <c r="E3222" s="53" t="s">
        <v>2595</v>
      </c>
      <c r="F3222" s="53" t="s">
        <v>1580</v>
      </c>
      <c r="G3222" s="53" t="s">
        <v>1581</v>
      </c>
      <c r="H3222" s="53">
        <v>1.0</v>
      </c>
      <c r="I3222" s="53">
        <v>0.043478260869565216</v>
      </c>
      <c r="J3222" s="53">
        <v>0.0</v>
      </c>
      <c r="K3222" s="53" t="s">
        <v>53</v>
      </c>
      <c r="L3222" s="53" t="s">
        <v>53</v>
      </c>
    </row>
    <row r="3223" ht="15.75" customHeight="1">
      <c r="A3223" s="53" t="s">
        <v>2594</v>
      </c>
      <c r="B3223" s="53" t="s">
        <v>4752</v>
      </c>
      <c r="D3223" s="53" t="s">
        <v>1232</v>
      </c>
      <c r="E3223" s="53" t="s">
        <v>4753</v>
      </c>
      <c r="F3223" s="53" t="s">
        <v>4754</v>
      </c>
      <c r="G3223" s="53" t="s">
        <v>1235</v>
      </c>
      <c r="H3223" s="53">
        <v>1.0</v>
      </c>
      <c r="I3223" s="53">
        <v>0.5912762520193862</v>
      </c>
      <c r="J3223" s="53">
        <v>0.0</v>
      </c>
      <c r="K3223" s="53" t="s">
        <v>53</v>
      </c>
      <c r="L3223" s="53" t="s">
        <v>53</v>
      </c>
    </row>
    <row r="3224" ht="15.75" customHeight="1">
      <c r="A3224" s="53" t="s">
        <v>296</v>
      </c>
      <c r="B3224" s="53" t="s">
        <v>4752</v>
      </c>
      <c r="D3224" s="53" t="s">
        <v>305</v>
      </c>
      <c r="E3224" s="53" t="s">
        <v>4755</v>
      </c>
      <c r="F3224" s="53" t="s">
        <v>4756</v>
      </c>
      <c r="G3224" s="53" t="s">
        <v>313</v>
      </c>
      <c r="H3224" s="53">
        <v>0.875</v>
      </c>
      <c r="I3224" s="53">
        <v>0.28507795100222716</v>
      </c>
      <c r="J3224" s="53">
        <v>9.0</v>
      </c>
      <c r="K3224" s="53" t="s">
        <v>53</v>
      </c>
      <c r="L3224" s="53" t="s">
        <v>2707</v>
      </c>
    </row>
    <row r="3225" ht="15.75" customHeight="1">
      <c r="A3225" s="53" t="s">
        <v>296</v>
      </c>
      <c r="B3225" s="53" t="s">
        <v>4752</v>
      </c>
      <c r="D3225" s="53" t="s">
        <v>305</v>
      </c>
      <c r="E3225" s="53" t="s">
        <v>4757</v>
      </c>
      <c r="F3225" s="53" t="s">
        <v>4756</v>
      </c>
      <c r="G3225" s="53" t="s">
        <v>2627</v>
      </c>
      <c r="H3225" s="53">
        <v>0.875</v>
      </c>
      <c r="I3225" s="53">
        <v>0.2873051224944321</v>
      </c>
      <c r="J3225" s="53">
        <v>11.0</v>
      </c>
      <c r="K3225" s="53" t="s">
        <v>53</v>
      </c>
      <c r="L3225" s="53" t="s">
        <v>2707</v>
      </c>
    </row>
    <row r="3226" ht="15.75" customHeight="1">
      <c r="A3226" s="53" t="s">
        <v>296</v>
      </c>
      <c r="B3226" s="53" t="s">
        <v>4752</v>
      </c>
      <c r="D3226" s="53" t="s">
        <v>305</v>
      </c>
      <c r="E3226" s="53" t="s">
        <v>4758</v>
      </c>
      <c r="F3226" s="53" t="s">
        <v>4756</v>
      </c>
      <c r="G3226" s="53" t="s">
        <v>2630</v>
      </c>
      <c r="H3226" s="53">
        <v>0.875</v>
      </c>
      <c r="I3226" s="53">
        <v>0.289532293986637</v>
      </c>
      <c r="J3226" s="53">
        <v>10.0</v>
      </c>
      <c r="K3226" s="53" t="s">
        <v>53</v>
      </c>
      <c r="L3226" s="53" t="s">
        <v>2707</v>
      </c>
    </row>
    <row r="3227" ht="15.75" customHeight="1">
      <c r="A3227" s="53" t="s">
        <v>296</v>
      </c>
      <c r="B3227" s="53" t="s">
        <v>4752</v>
      </c>
      <c r="D3227" s="53" t="s">
        <v>305</v>
      </c>
      <c r="E3227" s="53" t="s">
        <v>4759</v>
      </c>
      <c r="F3227" s="53" t="s">
        <v>4756</v>
      </c>
      <c r="G3227" s="53" t="s">
        <v>299</v>
      </c>
      <c r="H3227" s="53">
        <v>0.875</v>
      </c>
      <c r="I3227" s="53">
        <v>0.32293986636971045</v>
      </c>
      <c r="J3227" s="53">
        <v>8.0</v>
      </c>
      <c r="K3227" s="53" t="s">
        <v>53</v>
      </c>
      <c r="L3227" s="53" t="s">
        <v>2707</v>
      </c>
    </row>
    <row r="3228" ht="15.75" customHeight="1">
      <c r="A3228" s="53" t="s">
        <v>296</v>
      </c>
      <c r="B3228" s="53" t="s">
        <v>4752</v>
      </c>
      <c r="D3228" s="53" t="s">
        <v>1592</v>
      </c>
      <c r="E3228" s="53" t="s">
        <v>4760</v>
      </c>
      <c r="F3228" s="53" t="s">
        <v>1594</v>
      </c>
      <c r="G3228" s="53" t="s">
        <v>1595</v>
      </c>
      <c r="H3228" s="53">
        <v>1.0</v>
      </c>
      <c r="I3228" s="53">
        <v>0.04411764705882353</v>
      </c>
      <c r="J3228" s="53">
        <v>0.0</v>
      </c>
      <c r="K3228" s="53" t="s">
        <v>53</v>
      </c>
      <c r="L3228" s="53" t="s">
        <v>53</v>
      </c>
    </row>
    <row r="3229" ht="15.75" customHeight="1">
      <c r="A3229" s="53" t="s">
        <v>296</v>
      </c>
      <c r="B3229" s="53" t="s">
        <v>4752</v>
      </c>
      <c r="D3229" s="53" t="s">
        <v>1596</v>
      </c>
      <c r="E3229" s="53" t="s">
        <v>4761</v>
      </c>
      <c r="F3229" s="53" t="s">
        <v>4762</v>
      </c>
      <c r="G3229" s="53" t="s">
        <v>1599</v>
      </c>
      <c r="H3229" s="53">
        <v>0.6</v>
      </c>
      <c r="I3229" s="53">
        <v>0.048558421851289835</v>
      </c>
      <c r="J3229" s="53">
        <v>0.0</v>
      </c>
      <c r="K3229" s="53" t="s">
        <v>53</v>
      </c>
      <c r="L3229" s="53" t="s">
        <v>1199</v>
      </c>
    </row>
    <row r="3230" ht="15.75" customHeight="1">
      <c r="A3230" s="53" t="s">
        <v>296</v>
      </c>
      <c r="B3230" s="53" t="s">
        <v>4752</v>
      </c>
      <c r="D3230" s="53" t="s">
        <v>4763</v>
      </c>
      <c r="E3230" s="53" t="s">
        <v>4764</v>
      </c>
      <c r="F3230" s="53" t="s">
        <v>4765</v>
      </c>
      <c r="G3230" s="53" t="s">
        <v>1227</v>
      </c>
      <c r="H3230" s="53">
        <v>0.7142857142857143</v>
      </c>
      <c r="I3230" s="53">
        <v>0.18983957219251338</v>
      </c>
      <c r="J3230" s="53">
        <v>1.0</v>
      </c>
      <c r="K3230" s="53" t="s">
        <v>53</v>
      </c>
      <c r="L3230" s="53" t="s">
        <v>4766</v>
      </c>
    </row>
    <row r="3231" ht="15.75" customHeight="1">
      <c r="A3231" s="53" t="s">
        <v>296</v>
      </c>
      <c r="B3231" s="53" t="s">
        <v>4752</v>
      </c>
      <c r="D3231" s="53" t="s">
        <v>1224</v>
      </c>
      <c r="E3231" s="53" t="s">
        <v>4767</v>
      </c>
      <c r="F3231" s="53" t="s">
        <v>4768</v>
      </c>
      <c r="G3231" s="53" t="s">
        <v>1227</v>
      </c>
      <c r="H3231" s="53">
        <v>1.0</v>
      </c>
      <c r="I3231" s="53">
        <v>0.27294685990338163</v>
      </c>
      <c r="J3231" s="53">
        <v>0.0</v>
      </c>
      <c r="K3231" s="53" t="s">
        <v>53</v>
      </c>
      <c r="L3231" s="53" t="s">
        <v>53</v>
      </c>
    </row>
    <row r="3232" ht="15.75" customHeight="1">
      <c r="A3232" s="53" t="s">
        <v>296</v>
      </c>
      <c r="B3232" s="53" t="s">
        <v>4752</v>
      </c>
      <c r="D3232" s="53" t="s">
        <v>1224</v>
      </c>
      <c r="E3232" s="53" t="s">
        <v>4769</v>
      </c>
      <c r="F3232" s="53" t="s">
        <v>4770</v>
      </c>
      <c r="G3232" s="53" t="s">
        <v>1230</v>
      </c>
      <c r="H3232" s="53">
        <v>1.0</v>
      </c>
      <c r="I3232" s="53">
        <v>0.4943502824858757</v>
      </c>
      <c r="J3232" s="53">
        <v>1.0</v>
      </c>
      <c r="K3232" s="53" t="s">
        <v>53</v>
      </c>
      <c r="L3232" s="53" t="s">
        <v>53</v>
      </c>
    </row>
    <row r="3233" ht="15.75" customHeight="1">
      <c r="A3233" s="53" t="s">
        <v>296</v>
      </c>
      <c r="B3233" s="53" t="s">
        <v>4752</v>
      </c>
      <c r="D3233" s="53" t="s">
        <v>1227</v>
      </c>
      <c r="E3233" s="53" t="s">
        <v>4771</v>
      </c>
      <c r="F3233" s="53" t="s">
        <v>4770</v>
      </c>
      <c r="G3233" s="53" t="s">
        <v>1230</v>
      </c>
      <c r="H3233" s="53">
        <v>1.0</v>
      </c>
      <c r="I3233" s="53">
        <v>0.481638418079096</v>
      </c>
      <c r="J3233" s="53">
        <v>0.0</v>
      </c>
      <c r="K3233" s="53" t="s">
        <v>53</v>
      </c>
      <c r="L3233" s="53" t="s">
        <v>53</v>
      </c>
    </row>
    <row r="3234" ht="15.75" customHeight="1">
      <c r="A3234" s="53" t="s">
        <v>296</v>
      </c>
      <c r="B3234" s="53" t="s">
        <v>4752</v>
      </c>
      <c r="D3234" s="53" t="s">
        <v>299</v>
      </c>
      <c r="E3234" s="53" t="s">
        <v>4772</v>
      </c>
      <c r="F3234" s="53" t="s">
        <v>4773</v>
      </c>
      <c r="G3234" s="53" t="s">
        <v>2627</v>
      </c>
      <c r="H3234" s="53">
        <v>1.0</v>
      </c>
      <c r="I3234" s="53">
        <v>0.31403118040089084</v>
      </c>
      <c r="J3234" s="53">
        <v>2.0</v>
      </c>
      <c r="K3234" s="53" t="s">
        <v>53</v>
      </c>
      <c r="L3234" s="53" t="s">
        <v>53</v>
      </c>
    </row>
    <row r="3235" ht="15.75" customHeight="1">
      <c r="A3235" s="53" t="s">
        <v>296</v>
      </c>
      <c r="B3235" s="53" t="s">
        <v>4752</v>
      </c>
      <c r="D3235" s="53" t="s">
        <v>299</v>
      </c>
      <c r="E3235" s="53" t="s">
        <v>4774</v>
      </c>
      <c r="F3235" s="53" t="s">
        <v>4773</v>
      </c>
      <c r="G3235" s="53" t="s">
        <v>313</v>
      </c>
      <c r="H3235" s="53">
        <v>1.0</v>
      </c>
      <c r="I3235" s="53">
        <v>0.31625835189309576</v>
      </c>
      <c r="J3235" s="53">
        <v>0.0</v>
      </c>
      <c r="K3235" s="53" t="s">
        <v>53</v>
      </c>
      <c r="L3235" s="53" t="s">
        <v>53</v>
      </c>
    </row>
    <row r="3236" ht="15.75" customHeight="1">
      <c r="A3236" s="53" t="s">
        <v>296</v>
      </c>
      <c r="B3236" s="53" t="s">
        <v>4752</v>
      </c>
      <c r="D3236" s="53" t="s">
        <v>299</v>
      </c>
      <c r="E3236" s="53" t="s">
        <v>4775</v>
      </c>
      <c r="F3236" s="53" t="s">
        <v>4773</v>
      </c>
      <c r="G3236" s="53" t="s">
        <v>2630</v>
      </c>
      <c r="H3236" s="53">
        <v>1.0</v>
      </c>
      <c r="I3236" s="53">
        <v>0.3207126948775056</v>
      </c>
      <c r="J3236" s="53">
        <v>1.0</v>
      </c>
      <c r="K3236" s="53" t="s">
        <v>53</v>
      </c>
      <c r="L3236" s="53" t="s">
        <v>53</v>
      </c>
    </row>
    <row r="3237" ht="15.75" customHeight="1">
      <c r="A3237" s="53" t="s">
        <v>296</v>
      </c>
      <c r="B3237" s="53" t="s">
        <v>4752</v>
      </c>
      <c r="D3237" s="53" t="s">
        <v>299</v>
      </c>
      <c r="E3237" s="53" t="s">
        <v>4776</v>
      </c>
      <c r="F3237" s="53" t="s">
        <v>4777</v>
      </c>
      <c r="G3237" s="53" t="s">
        <v>319</v>
      </c>
      <c r="H3237" s="53">
        <v>0.8571428571428571</v>
      </c>
      <c r="I3237" s="53">
        <v>0.5835189309576837</v>
      </c>
      <c r="J3237" s="53">
        <v>3.0</v>
      </c>
      <c r="K3237" s="53" t="s">
        <v>53</v>
      </c>
      <c r="L3237" s="53" t="s">
        <v>2709</v>
      </c>
    </row>
    <row r="3238" ht="15.75" customHeight="1">
      <c r="A3238" s="53" t="s">
        <v>296</v>
      </c>
      <c r="B3238" s="53" t="s">
        <v>4752</v>
      </c>
      <c r="D3238" s="53" t="s">
        <v>313</v>
      </c>
      <c r="E3238" s="53" t="s">
        <v>4778</v>
      </c>
      <c r="F3238" s="53" t="s">
        <v>4773</v>
      </c>
      <c r="G3238" s="53" t="s">
        <v>2627</v>
      </c>
      <c r="H3238" s="53">
        <v>1.0</v>
      </c>
      <c r="I3238" s="53">
        <v>0.015197568389057751</v>
      </c>
      <c r="J3238" s="53">
        <v>1.0</v>
      </c>
      <c r="K3238" s="53" t="s">
        <v>53</v>
      </c>
      <c r="L3238" s="53" t="s">
        <v>53</v>
      </c>
    </row>
    <row r="3239" ht="15.75" customHeight="1">
      <c r="A3239" s="53" t="s">
        <v>296</v>
      </c>
      <c r="B3239" s="53" t="s">
        <v>4752</v>
      </c>
      <c r="D3239" s="53" t="s">
        <v>313</v>
      </c>
      <c r="E3239" s="53" t="s">
        <v>4779</v>
      </c>
      <c r="F3239" s="53" t="s">
        <v>4773</v>
      </c>
      <c r="G3239" s="53" t="s">
        <v>2630</v>
      </c>
      <c r="H3239" s="53">
        <v>1.0</v>
      </c>
      <c r="I3239" s="53">
        <v>0.021148036253776436</v>
      </c>
      <c r="J3239" s="53">
        <v>0.0</v>
      </c>
      <c r="K3239" s="53" t="s">
        <v>53</v>
      </c>
      <c r="L3239" s="53" t="s">
        <v>53</v>
      </c>
    </row>
    <row r="3240" ht="15.75" customHeight="1">
      <c r="A3240" s="53" t="s">
        <v>296</v>
      </c>
      <c r="B3240" s="53" t="s">
        <v>4752</v>
      </c>
      <c r="D3240" s="53" t="s">
        <v>313</v>
      </c>
      <c r="E3240" s="53" t="s">
        <v>4780</v>
      </c>
      <c r="F3240" s="53" t="s">
        <v>4777</v>
      </c>
      <c r="G3240" s="53" t="s">
        <v>319</v>
      </c>
      <c r="H3240" s="53">
        <v>0.8571428571428571</v>
      </c>
      <c r="I3240" s="53">
        <v>0.43730886850152906</v>
      </c>
      <c r="J3240" s="53">
        <v>2.0</v>
      </c>
      <c r="K3240" s="53" t="s">
        <v>53</v>
      </c>
      <c r="L3240" s="53" t="s">
        <v>2709</v>
      </c>
    </row>
    <row r="3241" ht="15.75" customHeight="1">
      <c r="A3241" s="53" t="s">
        <v>296</v>
      </c>
      <c r="B3241" s="53" t="s">
        <v>4752</v>
      </c>
      <c r="D3241" s="53" t="s">
        <v>2630</v>
      </c>
      <c r="E3241" s="53" t="s">
        <v>4781</v>
      </c>
      <c r="F3241" s="53" t="s">
        <v>4773</v>
      </c>
      <c r="G3241" s="53" t="s">
        <v>2627</v>
      </c>
      <c r="H3241" s="53">
        <v>1.0</v>
      </c>
      <c r="I3241" s="53">
        <v>0.012084592145015106</v>
      </c>
      <c r="J3241" s="53">
        <v>0.0</v>
      </c>
      <c r="K3241" s="53" t="s">
        <v>53</v>
      </c>
      <c r="L3241" s="53" t="s">
        <v>53</v>
      </c>
    </row>
    <row r="3242" ht="15.75" customHeight="1">
      <c r="A3242" s="53" t="s">
        <v>296</v>
      </c>
      <c r="B3242" s="53" t="s">
        <v>4752</v>
      </c>
      <c r="D3242" s="53" t="s">
        <v>2630</v>
      </c>
      <c r="E3242" s="53" t="s">
        <v>4782</v>
      </c>
      <c r="F3242" s="53" t="s">
        <v>4777</v>
      </c>
      <c r="G3242" s="53" t="s">
        <v>319</v>
      </c>
      <c r="H3242" s="53">
        <v>0.8571428571428571</v>
      </c>
      <c r="I3242" s="53">
        <v>0.43202416918429004</v>
      </c>
      <c r="J3242" s="53">
        <v>1.0</v>
      </c>
      <c r="K3242" s="53" t="s">
        <v>53</v>
      </c>
      <c r="L3242" s="53" t="s">
        <v>2709</v>
      </c>
    </row>
    <row r="3243" ht="15.75" customHeight="1">
      <c r="A3243" s="53" t="s">
        <v>296</v>
      </c>
      <c r="B3243" s="53" t="s">
        <v>4752</v>
      </c>
      <c r="D3243" s="53" t="s">
        <v>2627</v>
      </c>
      <c r="E3243" s="53" t="s">
        <v>4783</v>
      </c>
      <c r="F3243" s="53" t="s">
        <v>4777</v>
      </c>
      <c r="G3243" s="53" t="s">
        <v>319</v>
      </c>
      <c r="H3243" s="53">
        <v>0.8571428571428571</v>
      </c>
      <c r="I3243" s="53">
        <v>0.4316109422492401</v>
      </c>
      <c r="J3243" s="53">
        <v>0.0</v>
      </c>
      <c r="K3243" s="53" t="s">
        <v>53</v>
      </c>
      <c r="L3243" s="53" t="s">
        <v>2709</v>
      </c>
    </row>
    <row r="3244" ht="15.75" customHeight="1">
      <c r="A3244" s="53" t="s">
        <v>808</v>
      </c>
      <c r="B3244" s="53" t="s">
        <v>4752</v>
      </c>
      <c r="D3244" s="53" t="s">
        <v>4525</v>
      </c>
      <c r="E3244" s="53" t="s">
        <v>4526</v>
      </c>
      <c r="F3244" s="53" t="s">
        <v>4527</v>
      </c>
      <c r="G3244" s="53" t="s">
        <v>4528</v>
      </c>
      <c r="H3244" s="53">
        <v>1.0</v>
      </c>
      <c r="I3244" s="53">
        <v>0.6924242424242424</v>
      </c>
      <c r="J3244" s="53">
        <v>27.0</v>
      </c>
      <c r="K3244" s="53" t="s">
        <v>53</v>
      </c>
      <c r="L3244" s="53" t="s">
        <v>53</v>
      </c>
    </row>
    <row r="3245" ht="15.75" customHeight="1">
      <c r="A3245" s="53" t="s">
        <v>808</v>
      </c>
      <c r="B3245" s="53" t="s">
        <v>4752</v>
      </c>
      <c r="D3245" s="53" t="s">
        <v>3995</v>
      </c>
      <c r="E3245" s="53" t="s">
        <v>3996</v>
      </c>
      <c r="F3245" s="53" t="s">
        <v>3997</v>
      </c>
      <c r="G3245" s="53" t="s">
        <v>3998</v>
      </c>
      <c r="H3245" s="53">
        <v>1.0</v>
      </c>
      <c r="I3245" s="53">
        <v>0.0684931506849315</v>
      </c>
      <c r="J3245" s="53">
        <v>0.0</v>
      </c>
      <c r="K3245" s="53" t="s">
        <v>53</v>
      </c>
      <c r="L3245" s="53" t="s">
        <v>53</v>
      </c>
    </row>
    <row r="3246" ht="15.75" customHeight="1">
      <c r="A3246" s="53" t="s">
        <v>808</v>
      </c>
      <c r="B3246" s="53" t="s">
        <v>4752</v>
      </c>
      <c r="D3246" s="53" t="s">
        <v>3995</v>
      </c>
      <c r="E3246" s="53" t="s">
        <v>4000</v>
      </c>
      <c r="F3246" s="53" t="s">
        <v>3997</v>
      </c>
      <c r="G3246" s="53" t="s">
        <v>4001</v>
      </c>
      <c r="H3246" s="53">
        <v>1.0</v>
      </c>
      <c r="I3246" s="53">
        <v>0.08108108108108109</v>
      </c>
      <c r="J3246" s="53">
        <v>1.0</v>
      </c>
      <c r="K3246" s="53" t="s">
        <v>53</v>
      </c>
      <c r="L3246" s="53" t="s">
        <v>53</v>
      </c>
    </row>
    <row r="3247" ht="15.75" customHeight="1">
      <c r="A3247" s="53" t="s">
        <v>808</v>
      </c>
      <c r="B3247" s="53" t="s">
        <v>4752</v>
      </c>
      <c r="D3247" s="53" t="s">
        <v>3998</v>
      </c>
      <c r="E3247" s="53" t="s">
        <v>4002</v>
      </c>
      <c r="F3247" s="53" t="s">
        <v>3997</v>
      </c>
      <c r="G3247" s="53" t="s">
        <v>4001</v>
      </c>
      <c r="H3247" s="53">
        <v>1.0</v>
      </c>
      <c r="I3247" s="53">
        <v>0.06756756756756757</v>
      </c>
      <c r="J3247" s="53">
        <v>0.0</v>
      </c>
      <c r="K3247" s="53" t="s">
        <v>53</v>
      </c>
      <c r="L3247" s="53" t="s">
        <v>53</v>
      </c>
    </row>
    <row r="3248" ht="15.75" customHeight="1">
      <c r="A3248" s="53" t="s">
        <v>808</v>
      </c>
      <c r="B3248" s="53" t="s">
        <v>4752</v>
      </c>
      <c r="D3248" s="53" t="s">
        <v>1181</v>
      </c>
      <c r="E3248" s="53" t="s">
        <v>4529</v>
      </c>
      <c r="F3248" s="53" t="s">
        <v>1183</v>
      </c>
      <c r="G3248" s="53" t="s">
        <v>1184</v>
      </c>
      <c r="H3248" s="53">
        <v>1.0</v>
      </c>
      <c r="I3248" s="53">
        <v>0.02527075812274368</v>
      </c>
      <c r="J3248" s="53">
        <v>0.0</v>
      </c>
      <c r="K3248" s="53" t="s">
        <v>53</v>
      </c>
      <c r="L3248" s="53" t="s">
        <v>53</v>
      </c>
    </row>
    <row r="3249" ht="15.75" customHeight="1">
      <c r="A3249" s="53" t="s">
        <v>808</v>
      </c>
      <c r="B3249" s="53" t="s">
        <v>4752</v>
      </c>
      <c r="D3249" s="53" t="s">
        <v>1181</v>
      </c>
      <c r="E3249" s="53" t="s">
        <v>4530</v>
      </c>
      <c r="F3249" s="53" t="s">
        <v>1183</v>
      </c>
      <c r="G3249" s="53" t="s">
        <v>1187</v>
      </c>
      <c r="H3249" s="53">
        <v>1.0</v>
      </c>
      <c r="I3249" s="53">
        <v>0.0657439446366782</v>
      </c>
      <c r="J3249" s="53">
        <v>1.0</v>
      </c>
      <c r="K3249" s="53" t="s">
        <v>53</v>
      </c>
      <c r="L3249" s="53" t="s">
        <v>53</v>
      </c>
    </row>
    <row r="3250" ht="15.75" customHeight="1">
      <c r="A3250" s="53" t="s">
        <v>808</v>
      </c>
      <c r="B3250" s="53" t="s">
        <v>4752</v>
      </c>
      <c r="D3250" s="53" t="s">
        <v>1181</v>
      </c>
      <c r="E3250" s="53" t="s">
        <v>4531</v>
      </c>
      <c r="F3250" s="53" t="s">
        <v>1183</v>
      </c>
      <c r="G3250" s="53" t="s">
        <v>1189</v>
      </c>
      <c r="H3250" s="53">
        <v>1.0</v>
      </c>
      <c r="I3250" s="53">
        <v>0.1536050156739812</v>
      </c>
      <c r="J3250" s="53">
        <v>2.0</v>
      </c>
      <c r="K3250" s="53" t="s">
        <v>53</v>
      </c>
      <c r="L3250" s="53" t="s">
        <v>53</v>
      </c>
    </row>
    <row r="3251" ht="15.75" customHeight="1">
      <c r="A3251" s="53" t="s">
        <v>808</v>
      </c>
      <c r="B3251" s="53" t="s">
        <v>4752</v>
      </c>
      <c r="D3251" s="53" t="s">
        <v>1184</v>
      </c>
      <c r="E3251" s="53" t="s">
        <v>4532</v>
      </c>
      <c r="F3251" s="53" t="s">
        <v>1183</v>
      </c>
      <c r="G3251" s="53" t="s">
        <v>1187</v>
      </c>
      <c r="H3251" s="53">
        <v>1.0</v>
      </c>
      <c r="I3251" s="53">
        <v>0.0657439446366782</v>
      </c>
      <c r="J3251" s="53">
        <v>0.0</v>
      </c>
      <c r="K3251" s="53" t="s">
        <v>53</v>
      </c>
      <c r="L3251" s="53" t="s">
        <v>53</v>
      </c>
    </row>
    <row r="3252" ht="15.75" customHeight="1">
      <c r="A3252" s="53" t="s">
        <v>808</v>
      </c>
      <c r="B3252" s="53" t="s">
        <v>4752</v>
      </c>
      <c r="D3252" s="53" t="s">
        <v>1184</v>
      </c>
      <c r="E3252" s="53" t="s">
        <v>4533</v>
      </c>
      <c r="F3252" s="53" t="s">
        <v>1183</v>
      </c>
      <c r="G3252" s="53" t="s">
        <v>1189</v>
      </c>
      <c r="H3252" s="53">
        <v>1.0</v>
      </c>
      <c r="I3252" s="53">
        <v>0.1536050156739812</v>
      </c>
      <c r="J3252" s="53">
        <v>1.0</v>
      </c>
      <c r="K3252" s="53" t="s">
        <v>53</v>
      </c>
      <c r="L3252" s="53" t="s">
        <v>53</v>
      </c>
    </row>
    <row r="3253" ht="15.75" customHeight="1">
      <c r="A3253" s="53" t="s">
        <v>808</v>
      </c>
      <c r="B3253" s="53" t="s">
        <v>4752</v>
      </c>
      <c r="D3253" s="53" t="s">
        <v>1187</v>
      </c>
      <c r="E3253" s="53" t="s">
        <v>4534</v>
      </c>
      <c r="F3253" s="53" t="s">
        <v>1183</v>
      </c>
      <c r="G3253" s="53" t="s">
        <v>1189</v>
      </c>
      <c r="H3253" s="53">
        <v>1.0</v>
      </c>
      <c r="I3253" s="53">
        <v>0.11598746081504702</v>
      </c>
      <c r="J3253" s="53">
        <v>0.0</v>
      </c>
      <c r="K3253" s="53" t="s">
        <v>53</v>
      </c>
      <c r="L3253" s="53" t="s">
        <v>53</v>
      </c>
    </row>
    <row r="3254" ht="15.75" customHeight="1">
      <c r="A3254" s="53" t="s">
        <v>808</v>
      </c>
      <c r="B3254" s="53" t="s">
        <v>4752</v>
      </c>
      <c r="D3254" s="53" t="s">
        <v>75</v>
      </c>
      <c r="E3254" s="53" t="s">
        <v>4784</v>
      </c>
      <c r="F3254" s="53" t="s">
        <v>73</v>
      </c>
      <c r="G3254" s="53" t="s">
        <v>869</v>
      </c>
      <c r="H3254" s="53">
        <v>1.0</v>
      </c>
      <c r="I3254" s="53">
        <v>0.6354166666666666</v>
      </c>
      <c r="J3254" s="53">
        <v>44.0</v>
      </c>
      <c r="K3254" s="53" t="s">
        <v>53</v>
      </c>
      <c r="L3254" s="53" t="s">
        <v>53</v>
      </c>
    </row>
    <row r="3255" ht="15.75" customHeight="1">
      <c r="A3255" s="53" t="s">
        <v>808</v>
      </c>
      <c r="B3255" s="53" t="s">
        <v>4752</v>
      </c>
      <c r="D3255" s="53" t="s">
        <v>75</v>
      </c>
      <c r="E3255" s="53" t="s">
        <v>4535</v>
      </c>
      <c r="F3255" s="53" t="s">
        <v>73</v>
      </c>
      <c r="G3255" s="53" t="s">
        <v>820</v>
      </c>
      <c r="H3255" s="53">
        <v>1.0</v>
      </c>
      <c r="I3255" s="53">
        <v>0.6391752577319587</v>
      </c>
      <c r="J3255" s="53">
        <v>46.0</v>
      </c>
      <c r="K3255" s="53" t="s">
        <v>53</v>
      </c>
      <c r="L3255" s="53" t="s">
        <v>53</v>
      </c>
    </row>
    <row r="3256" ht="15.75" customHeight="1">
      <c r="A3256" s="53" t="s">
        <v>808</v>
      </c>
      <c r="B3256" s="53" t="s">
        <v>4752</v>
      </c>
      <c r="D3256" s="53" t="s">
        <v>75</v>
      </c>
      <c r="E3256" s="53" t="s">
        <v>4536</v>
      </c>
      <c r="F3256" s="53" t="s">
        <v>73</v>
      </c>
      <c r="G3256" s="53" t="s">
        <v>815</v>
      </c>
      <c r="H3256" s="53">
        <v>1.0</v>
      </c>
      <c r="I3256" s="53">
        <v>0.6391752577319587</v>
      </c>
      <c r="J3256" s="53">
        <v>45.0</v>
      </c>
      <c r="K3256" s="53" t="s">
        <v>53</v>
      </c>
      <c r="L3256" s="53" t="s">
        <v>53</v>
      </c>
    </row>
    <row r="3257" ht="15.75" customHeight="1">
      <c r="A3257" s="53" t="s">
        <v>808</v>
      </c>
      <c r="B3257" s="53" t="s">
        <v>4752</v>
      </c>
      <c r="D3257" s="53" t="s">
        <v>75</v>
      </c>
      <c r="E3257" s="53" t="s">
        <v>2596</v>
      </c>
      <c r="F3257" s="53" t="s">
        <v>73</v>
      </c>
      <c r="G3257" s="53" t="s">
        <v>114</v>
      </c>
      <c r="H3257" s="53">
        <v>1.0</v>
      </c>
      <c r="I3257" s="53">
        <v>0.6818181818181818</v>
      </c>
      <c r="J3257" s="53">
        <v>28.0</v>
      </c>
      <c r="K3257" s="53" t="s">
        <v>53</v>
      </c>
      <c r="L3257" s="53" t="s">
        <v>53</v>
      </c>
    </row>
    <row r="3258" ht="15.75" customHeight="1">
      <c r="A3258" s="53" t="s">
        <v>808</v>
      </c>
      <c r="B3258" s="53" t="s">
        <v>4752</v>
      </c>
      <c r="D3258" s="53" t="s">
        <v>75</v>
      </c>
      <c r="E3258" s="53" t="s">
        <v>2597</v>
      </c>
      <c r="F3258" s="53" t="s">
        <v>73</v>
      </c>
      <c r="G3258" s="53" t="s">
        <v>69</v>
      </c>
      <c r="H3258" s="53">
        <v>1.0</v>
      </c>
      <c r="I3258" s="53">
        <v>0.6846846846846847</v>
      </c>
      <c r="J3258" s="53">
        <v>27.0</v>
      </c>
      <c r="K3258" s="53" t="s">
        <v>53</v>
      </c>
      <c r="L3258" s="53" t="s">
        <v>53</v>
      </c>
    </row>
    <row r="3259" ht="15.75" customHeight="1">
      <c r="A3259" s="53" t="s">
        <v>808</v>
      </c>
      <c r="B3259" s="53" t="s">
        <v>4752</v>
      </c>
      <c r="D3259" s="53" t="s">
        <v>1397</v>
      </c>
      <c r="E3259" s="53" t="s">
        <v>4785</v>
      </c>
      <c r="F3259" s="53" t="s">
        <v>1399</v>
      </c>
      <c r="G3259" s="53" t="s">
        <v>1400</v>
      </c>
      <c r="H3259" s="53">
        <v>0.8</v>
      </c>
      <c r="I3259" s="53">
        <v>0.31514084507042256</v>
      </c>
      <c r="J3259" s="53">
        <v>0.0</v>
      </c>
      <c r="K3259" s="53" t="s">
        <v>53</v>
      </c>
      <c r="L3259" s="53" t="s">
        <v>1402</v>
      </c>
    </row>
    <row r="3260" ht="15.75" customHeight="1">
      <c r="A3260" s="53" t="s">
        <v>808</v>
      </c>
      <c r="B3260" s="53" t="s">
        <v>4752</v>
      </c>
      <c r="D3260" s="53" t="s">
        <v>1908</v>
      </c>
      <c r="E3260" s="53" t="s">
        <v>4538</v>
      </c>
      <c r="F3260" s="53" t="s">
        <v>2486</v>
      </c>
      <c r="G3260" s="53" t="s">
        <v>1911</v>
      </c>
      <c r="H3260" s="53">
        <v>1.0</v>
      </c>
      <c r="I3260" s="53">
        <v>0.24</v>
      </c>
      <c r="J3260" s="53">
        <v>9.0</v>
      </c>
      <c r="K3260" s="53" t="s">
        <v>53</v>
      </c>
      <c r="L3260" s="53" t="s">
        <v>53</v>
      </c>
    </row>
    <row r="3261" ht="15.75" customHeight="1">
      <c r="A3261" s="53" t="s">
        <v>808</v>
      </c>
      <c r="B3261" s="53" t="s">
        <v>4752</v>
      </c>
      <c r="D3261" s="53" t="s">
        <v>1908</v>
      </c>
      <c r="E3261" s="53" t="s">
        <v>4539</v>
      </c>
      <c r="F3261" s="53" t="s">
        <v>2487</v>
      </c>
      <c r="G3261" s="53" t="s">
        <v>1914</v>
      </c>
      <c r="H3261" s="53">
        <v>1.0</v>
      </c>
      <c r="I3261" s="53">
        <v>0.3875598086124402</v>
      </c>
      <c r="J3261" s="53">
        <v>0.0</v>
      </c>
      <c r="K3261" s="53" t="s">
        <v>53</v>
      </c>
      <c r="L3261" s="53" t="s">
        <v>1527</v>
      </c>
    </row>
    <row r="3262" ht="15.75" customHeight="1">
      <c r="A3262" s="53" t="s">
        <v>808</v>
      </c>
      <c r="B3262" s="53" t="s">
        <v>4752</v>
      </c>
      <c r="D3262" s="53" t="s">
        <v>1908</v>
      </c>
      <c r="E3262" s="53" t="s">
        <v>4540</v>
      </c>
      <c r="F3262" s="53" t="s">
        <v>2488</v>
      </c>
      <c r="G3262" s="53" t="s">
        <v>1919</v>
      </c>
      <c r="H3262" s="53">
        <v>1.0</v>
      </c>
      <c r="I3262" s="53">
        <v>0.7530864197530864</v>
      </c>
      <c r="J3262" s="53">
        <v>1.0</v>
      </c>
      <c r="K3262" s="53" t="s">
        <v>53</v>
      </c>
      <c r="L3262" s="53" t="s">
        <v>1527</v>
      </c>
    </row>
    <row r="3263" ht="15.75" customHeight="1">
      <c r="A3263" s="53" t="s">
        <v>808</v>
      </c>
      <c r="B3263" s="53" t="s">
        <v>4752</v>
      </c>
      <c r="D3263" s="53" t="s">
        <v>1908</v>
      </c>
      <c r="E3263" s="53" t="s">
        <v>4541</v>
      </c>
      <c r="F3263" s="53" t="s">
        <v>2488</v>
      </c>
      <c r="G3263" s="53" t="s">
        <v>1917</v>
      </c>
      <c r="H3263" s="53">
        <v>1.0</v>
      </c>
      <c r="I3263" s="53">
        <v>0.7565922920892495</v>
      </c>
      <c r="J3263" s="53">
        <v>2.0</v>
      </c>
      <c r="K3263" s="53" t="s">
        <v>53</v>
      </c>
      <c r="L3263" s="53" t="s">
        <v>1527</v>
      </c>
    </row>
    <row r="3264" ht="15.75" customHeight="1">
      <c r="A3264" s="53" t="s">
        <v>808</v>
      </c>
      <c r="B3264" s="53" t="s">
        <v>4752</v>
      </c>
      <c r="D3264" s="53" t="s">
        <v>1908</v>
      </c>
      <c r="E3264" s="53" t="s">
        <v>4542</v>
      </c>
      <c r="F3264" s="53" t="s">
        <v>2489</v>
      </c>
      <c r="G3264" s="53" t="s">
        <v>1922</v>
      </c>
      <c r="H3264" s="53">
        <v>1.0</v>
      </c>
      <c r="I3264" s="53">
        <v>0.7662835249042146</v>
      </c>
      <c r="J3264" s="53">
        <v>12.0</v>
      </c>
      <c r="K3264" s="53" t="s">
        <v>53</v>
      </c>
      <c r="L3264" s="53" t="s">
        <v>1527</v>
      </c>
    </row>
    <row r="3265" ht="15.75" customHeight="1">
      <c r="A3265" s="53" t="s">
        <v>808</v>
      </c>
      <c r="B3265" s="53" t="s">
        <v>4752</v>
      </c>
      <c r="D3265" s="53" t="s">
        <v>1914</v>
      </c>
      <c r="E3265" s="53" t="s">
        <v>4543</v>
      </c>
      <c r="F3265" s="53" t="s">
        <v>2490</v>
      </c>
      <c r="G3265" s="53" t="s">
        <v>1911</v>
      </c>
      <c r="H3265" s="53">
        <v>1.0</v>
      </c>
      <c r="I3265" s="53">
        <v>0.41626794258373206</v>
      </c>
      <c r="J3265" s="53">
        <v>8.0</v>
      </c>
      <c r="K3265" s="53" t="s">
        <v>53</v>
      </c>
      <c r="L3265" s="53" t="s">
        <v>1527</v>
      </c>
    </row>
    <row r="3266" ht="15.75" customHeight="1">
      <c r="A3266" s="53" t="s">
        <v>808</v>
      </c>
      <c r="B3266" s="53" t="s">
        <v>4752</v>
      </c>
      <c r="D3266" s="53" t="s">
        <v>1914</v>
      </c>
      <c r="E3266" s="53" t="s">
        <v>4544</v>
      </c>
      <c r="F3266" s="53" t="s">
        <v>2491</v>
      </c>
      <c r="G3266" s="53" t="s">
        <v>1919</v>
      </c>
      <c r="H3266" s="53">
        <v>1.0</v>
      </c>
      <c r="I3266" s="53">
        <v>0.5967078189300411</v>
      </c>
      <c r="J3266" s="53">
        <v>0.0</v>
      </c>
      <c r="K3266" s="53" t="s">
        <v>53</v>
      </c>
      <c r="L3266" s="53" t="s">
        <v>53</v>
      </c>
    </row>
    <row r="3267" ht="15.75" customHeight="1">
      <c r="A3267" s="53" t="s">
        <v>808</v>
      </c>
      <c r="B3267" s="53" t="s">
        <v>4752</v>
      </c>
      <c r="D3267" s="53" t="s">
        <v>1914</v>
      </c>
      <c r="E3267" s="53" t="s">
        <v>4545</v>
      </c>
      <c r="F3267" s="53" t="s">
        <v>2491</v>
      </c>
      <c r="G3267" s="53" t="s">
        <v>1917</v>
      </c>
      <c r="H3267" s="53">
        <v>1.0</v>
      </c>
      <c r="I3267" s="53">
        <v>0.6024340770791075</v>
      </c>
      <c r="J3267" s="53">
        <v>1.0</v>
      </c>
      <c r="K3267" s="53" t="s">
        <v>53</v>
      </c>
      <c r="L3267" s="53" t="s">
        <v>53</v>
      </c>
    </row>
    <row r="3268" ht="15.75" customHeight="1">
      <c r="A3268" s="53" t="s">
        <v>808</v>
      </c>
      <c r="B3268" s="53" t="s">
        <v>4752</v>
      </c>
      <c r="D3268" s="53" t="s">
        <v>1914</v>
      </c>
      <c r="E3268" s="53" t="s">
        <v>4546</v>
      </c>
      <c r="F3268" s="53" t="s">
        <v>2492</v>
      </c>
      <c r="G3268" s="53" t="s">
        <v>1922</v>
      </c>
      <c r="H3268" s="53">
        <v>1.0</v>
      </c>
      <c r="I3268" s="53">
        <v>0.6130268199233716</v>
      </c>
      <c r="J3268" s="53">
        <v>11.0</v>
      </c>
      <c r="K3268" s="53" t="s">
        <v>53</v>
      </c>
      <c r="L3268" s="53" t="s">
        <v>53</v>
      </c>
    </row>
    <row r="3269" ht="15.75" customHeight="1">
      <c r="A3269" s="53" t="s">
        <v>808</v>
      </c>
      <c r="B3269" s="53" t="s">
        <v>4752</v>
      </c>
      <c r="D3269" s="53" t="s">
        <v>1919</v>
      </c>
      <c r="E3269" s="53" t="s">
        <v>4547</v>
      </c>
      <c r="F3269" s="53" t="s">
        <v>2493</v>
      </c>
      <c r="G3269" s="53" t="s">
        <v>1917</v>
      </c>
      <c r="H3269" s="53">
        <v>1.0</v>
      </c>
      <c r="I3269" s="53">
        <v>0.014198782961460446</v>
      </c>
      <c r="J3269" s="53">
        <v>0.0</v>
      </c>
      <c r="K3269" s="53" t="s">
        <v>53</v>
      </c>
      <c r="L3269" s="53" t="s">
        <v>53</v>
      </c>
    </row>
    <row r="3270" ht="15.75" customHeight="1">
      <c r="A3270" s="53" t="s">
        <v>808</v>
      </c>
      <c r="B3270" s="53" t="s">
        <v>4752</v>
      </c>
      <c r="D3270" s="53" t="s">
        <v>1919</v>
      </c>
      <c r="E3270" s="53" t="s">
        <v>4548</v>
      </c>
      <c r="F3270" s="53" t="s">
        <v>2494</v>
      </c>
      <c r="G3270" s="53" t="s">
        <v>1922</v>
      </c>
      <c r="H3270" s="53">
        <v>1.0</v>
      </c>
      <c r="I3270" s="53">
        <v>0.2222222222222222</v>
      </c>
      <c r="J3270" s="53">
        <v>10.0</v>
      </c>
      <c r="K3270" s="53" t="s">
        <v>53</v>
      </c>
      <c r="L3270" s="53" t="s">
        <v>53</v>
      </c>
    </row>
    <row r="3271" ht="15.75" customHeight="1">
      <c r="A3271" s="53" t="s">
        <v>808</v>
      </c>
      <c r="B3271" s="53" t="s">
        <v>4752</v>
      </c>
      <c r="D3271" s="53" t="s">
        <v>1919</v>
      </c>
      <c r="E3271" s="53" t="s">
        <v>4549</v>
      </c>
      <c r="F3271" s="53" t="s">
        <v>2495</v>
      </c>
      <c r="G3271" s="53" t="s">
        <v>1911</v>
      </c>
      <c r="H3271" s="53">
        <v>1.0</v>
      </c>
      <c r="I3271" s="53">
        <v>0.7448559670781894</v>
      </c>
      <c r="J3271" s="53">
        <v>7.0</v>
      </c>
      <c r="K3271" s="53" t="s">
        <v>53</v>
      </c>
      <c r="L3271" s="53" t="s">
        <v>1527</v>
      </c>
    </row>
    <row r="3272" ht="15.75" customHeight="1">
      <c r="A3272" s="53" t="s">
        <v>808</v>
      </c>
      <c r="B3272" s="53" t="s">
        <v>4752</v>
      </c>
      <c r="D3272" s="53" t="s">
        <v>1917</v>
      </c>
      <c r="E3272" s="53" t="s">
        <v>4550</v>
      </c>
      <c r="F3272" s="53" t="s">
        <v>2494</v>
      </c>
      <c r="G3272" s="53" t="s">
        <v>1922</v>
      </c>
      <c r="H3272" s="53">
        <v>1.0</v>
      </c>
      <c r="I3272" s="53">
        <v>0.23563218390804597</v>
      </c>
      <c r="J3272" s="53">
        <v>9.0</v>
      </c>
      <c r="K3272" s="53" t="s">
        <v>53</v>
      </c>
      <c r="L3272" s="53" t="s">
        <v>53</v>
      </c>
    </row>
    <row r="3273" ht="15.75" customHeight="1">
      <c r="A3273" s="53" t="s">
        <v>808</v>
      </c>
      <c r="B3273" s="53" t="s">
        <v>4752</v>
      </c>
      <c r="D3273" s="53" t="s">
        <v>1917</v>
      </c>
      <c r="E3273" s="53" t="s">
        <v>4551</v>
      </c>
      <c r="F3273" s="53" t="s">
        <v>2495</v>
      </c>
      <c r="G3273" s="53" t="s">
        <v>1911</v>
      </c>
      <c r="H3273" s="53">
        <v>1.0</v>
      </c>
      <c r="I3273" s="53">
        <v>0.7484787018255578</v>
      </c>
      <c r="J3273" s="53">
        <v>6.0</v>
      </c>
      <c r="K3273" s="53" t="s">
        <v>53</v>
      </c>
      <c r="L3273" s="53" t="s">
        <v>1527</v>
      </c>
    </row>
    <row r="3274" ht="15.75" customHeight="1">
      <c r="A3274" s="53" t="s">
        <v>808</v>
      </c>
      <c r="B3274" s="53" t="s">
        <v>4752</v>
      </c>
      <c r="D3274" s="53" t="s">
        <v>1911</v>
      </c>
      <c r="E3274" s="53" t="s">
        <v>4552</v>
      </c>
      <c r="F3274" s="53" t="s">
        <v>2489</v>
      </c>
      <c r="G3274" s="53" t="s">
        <v>1922</v>
      </c>
      <c r="H3274" s="53">
        <v>1.0</v>
      </c>
      <c r="I3274" s="53">
        <v>0.735632183908046</v>
      </c>
      <c r="J3274" s="53">
        <v>2.0</v>
      </c>
      <c r="K3274" s="53" t="s">
        <v>53</v>
      </c>
      <c r="L3274" s="53" t="s">
        <v>1527</v>
      </c>
    </row>
    <row r="3275" ht="15.75" customHeight="1">
      <c r="A3275" s="53" t="s">
        <v>808</v>
      </c>
      <c r="B3275" s="53" t="s">
        <v>4752</v>
      </c>
      <c r="D3275" s="53" t="s">
        <v>4553</v>
      </c>
      <c r="E3275" s="53" t="s">
        <v>4554</v>
      </c>
      <c r="F3275" s="53" t="s">
        <v>4555</v>
      </c>
      <c r="G3275" s="53" t="s">
        <v>4556</v>
      </c>
      <c r="H3275" s="53">
        <v>0.8</v>
      </c>
      <c r="I3275" s="53">
        <v>0.68</v>
      </c>
      <c r="J3275" s="53">
        <v>0.0</v>
      </c>
      <c r="K3275" s="53" t="s">
        <v>53</v>
      </c>
      <c r="L3275" s="53" t="s">
        <v>4557</v>
      </c>
    </row>
    <row r="3276" ht="15.75" customHeight="1">
      <c r="A3276" s="53" t="s">
        <v>808</v>
      </c>
      <c r="B3276" s="53" t="s">
        <v>4752</v>
      </c>
      <c r="D3276" s="53" t="s">
        <v>1939</v>
      </c>
      <c r="E3276" s="53" t="s">
        <v>4558</v>
      </c>
      <c r="F3276" s="53" t="s">
        <v>2496</v>
      </c>
      <c r="G3276" s="53" t="s">
        <v>1942</v>
      </c>
      <c r="H3276" s="53">
        <v>1.0</v>
      </c>
      <c r="I3276" s="53">
        <v>0.9691731141199227</v>
      </c>
      <c r="J3276" s="53">
        <v>8.0</v>
      </c>
      <c r="K3276" s="53" t="s">
        <v>53</v>
      </c>
      <c r="L3276" s="53" t="s">
        <v>53</v>
      </c>
    </row>
    <row r="3277" ht="15.75" customHeight="1">
      <c r="A3277" s="53" t="s">
        <v>808</v>
      </c>
      <c r="B3277" s="53" t="s">
        <v>4752</v>
      </c>
      <c r="D3277" s="53" t="s">
        <v>69</v>
      </c>
      <c r="E3277" s="53" t="s">
        <v>2598</v>
      </c>
      <c r="F3277" s="53" t="s">
        <v>73</v>
      </c>
      <c r="G3277" s="53" t="s">
        <v>114</v>
      </c>
      <c r="H3277" s="53">
        <v>1.0</v>
      </c>
      <c r="I3277" s="53">
        <v>0.06306306306306306</v>
      </c>
      <c r="J3277" s="53">
        <v>0.0</v>
      </c>
      <c r="K3277" s="53" t="s">
        <v>53</v>
      </c>
      <c r="L3277" s="53" t="s">
        <v>53</v>
      </c>
    </row>
    <row r="3278" ht="15.75" customHeight="1">
      <c r="A3278" s="53" t="s">
        <v>808</v>
      </c>
      <c r="B3278" s="53" t="s">
        <v>4752</v>
      </c>
      <c r="D3278" s="53" t="s">
        <v>69</v>
      </c>
      <c r="E3278" s="53" t="s">
        <v>817</v>
      </c>
      <c r="F3278" s="53" t="s">
        <v>73</v>
      </c>
      <c r="G3278" s="53" t="s">
        <v>820</v>
      </c>
      <c r="H3278" s="53">
        <v>1.0</v>
      </c>
      <c r="I3278" s="53">
        <v>0.5675675675675675</v>
      </c>
      <c r="J3278" s="53">
        <v>18.0</v>
      </c>
      <c r="K3278" s="53" t="s">
        <v>53</v>
      </c>
      <c r="L3278" s="53" t="s">
        <v>53</v>
      </c>
    </row>
    <row r="3279" ht="15.75" customHeight="1">
      <c r="A3279" s="53" t="s">
        <v>808</v>
      </c>
      <c r="B3279" s="53" t="s">
        <v>4752</v>
      </c>
      <c r="D3279" s="53" t="s">
        <v>69</v>
      </c>
      <c r="E3279" s="53" t="s">
        <v>812</v>
      </c>
      <c r="F3279" s="53" t="s">
        <v>73</v>
      </c>
      <c r="G3279" s="53" t="s">
        <v>815</v>
      </c>
      <c r="H3279" s="53">
        <v>1.0</v>
      </c>
      <c r="I3279" s="53">
        <v>0.5675675675675675</v>
      </c>
      <c r="J3279" s="53">
        <v>17.0</v>
      </c>
      <c r="K3279" s="53" t="s">
        <v>53</v>
      </c>
      <c r="L3279" s="53" t="s">
        <v>53</v>
      </c>
    </row>
    <row r="3280" ht="15.75" customHeight="1">
      <c r="A3280" s="53" t="s">
        <v>808</v>
      </c>
      <c r="B3280" s="53" t="s">
        <v>4752</v>
      </c>
      <c r="D3280" s="53" t="s">
        <v>69</v>
      </c>
      <c r="E3280" s="53" t="s">
        <v>4786</v>
      </c>
      <c r="F3280" s="53" t="s">
        <v>73</v>
      </c>
      <c r="G3280" s="53" t="s">
        <v>869</v>
      </c>
      <c r="H3280" s="53">
        <v>1.0</v>
      </c>
      <c r="I3280" s="53">
        <v>0.5675675675675675</v>
      </c>
      <c r="J3280" s="53">
        <v>16.0</v>
      </c>
      <c r="K3280" s="53" t="s">
        <v>53</v>
      </c>
      <c r="L3280" s="53" t="s">
        <v>53</v>
      </c>
    </row>
    <row r="3281" ht="15.75" customHeight="1">
      <c r="A3281" s="53" t="s">
        <v>808</v>
      </c>
      <c r="B3281" s="53" t="s">
        <v>4752</v>
      </c>
      <c r="D3281" s="53" t="s">
        <v>114</v>
      </c>
      <c r="E3281" s="53" t="s">
        <v>4559</v>
      </c>
      <c r="F3281" s="53" t="s">
        <v>73</v>
      </c>
      <c r="G3281" s="53" t="s">
        <v>820</v>
      </c>
      <c r="H3281" s="53">
        <v>1.0</v>
      </c>
      <c r="I3281" s="53">
        <v>0.5818181818181818</v>
      </c>
      <c r="J3281" s="53">
        <v>17.0</v>
      </c>
      <c r="K3281" s="53" t="s">
        <v>53</v>
      </c>
      <c r="L3281" s="53" t="s">
        <v>53</v>
      </c>
    </row>
    <row r="3282" ht="15.75" customHeight="1">
      <c r="A3282" s="53" t="s">
        <v>808</v>
      </c>
      <c r="B3282" s="53" t="s">
        <v>4752</v>
      </c>
      <c r="D3282" s="53" t="s">
        <v>114</v>
      </c>
      <c r="E3282" s="53" t="s">
        <v>4560</v>
      </c>
      <c r="F3282" s="53" t="s">
        <v>73</v>
      </c>
      <c r="G3282" s="53" t="s">
        <v>815</v>
      </c>
      <c r="H3282" s="53">
        <v>1.0</v>
      </c>
      <c r="I3282" s="53">
        <v>0.5818181818181818</v>
      </c>
      <c r="J3282" s="53">
        <v>16.0</v>
      </c>
      <c r="K3282" s="53" t="s">
        <v>53</v>
      </c>
      <c r="L3282" s="53" t="s">
        <v>53</v>
      </c>
    </row>
    <row r="3283" ht="15.75" customHeight="1">
      <c r="A3283" s="53" t="s">
        <v>808</v>
      </c>
      <c r="B3283" s="53" t="s">
        <v>4752</v>
      </c>
      <c r="D3283" s="53" t="s">
        <v>114</v>
      </c>
      <c r="E3283" s="53" t="s">
        <v>4787</v>
      </c>
      <c r="F3283" s="53" t="s">
        <v>73</v>
      </c>
      <c r="G3283" s="53" t="s">
        <v>869</v>
      </c>
      <c r="H3283" s="53">
        <v>1.0</v>
      </c>
      <c r="I3283" s="53">
        <v>0.5818181818181818</v>
      </c>
      <c r="J3283" s="53">
        <v>15.0</v>
      </c>
      <c r="K3283" s="53" t="s">
        <v>53</v>
      </c>
      <c r="L3283" s="53" t="s">
        <v>53</v>
      </c>
    </row>
    <row r="3284" ht="15.75" customHeight="1">
      <c r="A3284" s="53" t="s">
        <v>808</v>
      </c>
      <c r="B3284" s="53" t="s">
        <v>4752</v>
      </c>
      <c r="D3284" s="53" t="s">
        <v>1942</v>
      </c>
      <c r="E3284" s="53" t="s">
        <v>4561</v>
      </c>
      <c r="F3284" s="53" t="s">
        <v>2497</v>
      </c>
      <c r="G3284" s="53" t="s">
        <v>1946</v>
      </c>
      <c r="H3284" s="53">
        <v>0.2</v>
      </c>
      <c r="I3284" s="53">
        <v>0.09994359842075579</v>
      </c>
      <c r="J3284" s="53">
        <v>0.0</v>
      </c>
      <c r="K3284" s="53" t="s">
        <v>53</v>
      </c>
      <c r="L3284" s="53" t="s">
        <v>2498</v>
      </c>
    </row>
    <row r="3285" ht="15.75" customHeight="1">
      <c r="A3285" s="53" t="s">
        <v>808</v>
      </c>
      <c r="B3285" s="53" t="s">
        <v>4752</v>
      </c>
      <c r="D3285" s="53" t="s">
        <v>1946</v>
      </c>
      <c r="E3285" s="53" t="s">
        <v>1948</v>
      </c>
      <c r="F3285" s="53" t="s">
        <v>2499</v>
      </c>
      <c r="G3285" s="53" t="s">
        <v>1950</v>
      </c>
      <c r="H3285" s="53">
        <v>1.0</v>
      </c>
      <c r="I3285" s="53">
        <v>0.3670614777213762</v>
      </c>
      <c r="J3285" s="53">
        <v>1.0</v>
      </c>
      <c r="K3285" s="53" t="s">
        <v>53</v>
      </c>
      <c r="L3285" s="53" t="s">
        <v>53</v>
      </c>
    </row>
    <row r="3286" ht="15.75" customHeight="1">
      <c r="A3286" s="53" t="s">
        <v>808</v>
      </c>
      <c r="B3286" s="53" t="s">
        <v>4752</v>
      </c>
      <c r="D3286" s="53" t="s">
        <v>1951</v>
      </c>
      <c r="E3286" s="53" t="s">
        <v>1952</v>
      </c>
      <c r="F3286" s="53" t="s">
        <v>2500</v>
      </c>
      <c r="G3286" s="53" t="s">
        <v>1950</v>
      </c>
      <c r="H3286" s="53">
        <v>0.3333333333333333</v>
      </c>
      <c r="I3286" s="53">
        <v>0.06792058516196448</v>
      </c>
      <c r="J3286" s="53">
        <v>0.0</v>
      </c>
      <c r="K3286" s="53" t="s">
        <v>53</v>
      </c>
      <c r="L3286" s="53" t="s">
        <v>2501</v>
      </c>
    </row>
    <row r="3287" ht="15.75" customHeight="1">
      <c r="A3287" s="53" t="s">
        <v>808</v>
      </c>
      <c r="B3287" s="53" t="s">
        <v>4752</v>
      </c>
      <c r="D3287" s="53" t="s">
        <v>869</v>
      </c>
      <c r="E3287" s="53" t="s">
        <v>4788</v>
      </c>
      <c r="F3287" s="53" t="s">
        <v>73</v>
      </c>
      <c r="G3287" s="53" t="s">
        <v>820</v>
      </c>
      <c r="H3287" s="53">
        <v>1.0</v>
      </c>
      <c r="I3287" s="53">
        <v>0.020618556701030927</v>
      </c>
      <c r="J3287" s="53">
        <v>1.0</v>
      </c>
      <c r="K3287" s="53" t="s">
        <v>53</v>
      </c>
      <c r="L3287" s="53" t="s">
        <v>53</v>
      </c>
    </row>
    <row r="3288" ht="15.75" customHeight="1">
      <c r="A3288" s="53" t="s">
        <v>808</v>
      </c>
      <c r="B3288" s="53" t="s">
        <v>4752</v>
      </c>
      <c r="D3288" s="53" t="s">
        <v>869</v>
      </c>
      <c r="E3288" s="53" t="s">
        <v>4789</v>
      </c>
      <c r="F3288" s="53" t="s">
        <v>73</v>
      </c>
      <c r="G3288" s="53" t="s">
        <v>815</v>
      </c>
      <c r="H3288" s="53">
        <v>1.0</v>
      </c>
      <c r="I3288" s="53">
        <v>0.020618556701030927</v>
      </c>
      <c r="J3288" s="53">
        <v>0.0</v>
      </c>
      <c r="K3288" s="53" t="s">
        <v>53</v>
      </c>
      <c r="L3288" s="53" t="s">
        <v>53</v>
      </c>
    </row>
    <row r="3289" ht="15.75" customHeight="1">
      <c r="A3289" s="53" t="s">
        <v>808</v>
      </c>
      <c r="B3289" s="53" t="s">
        <v>4752</v>
      </c>
      <c r="D3289" s="53" t="s">
        <v>815</v>
      </c>
      <c r="E3289" s="53" t="s">
        <v>4422</v>
      </c>
      <c r="F3289" s="53" t="s">
        <v>73</v>
      </c>
      <c r="G3289" s="53" t="s">
        <v>820</v>
      </c>
      <c r="H3289" s="53">
        <v>1.0</v>
      </c>
      <c r="I3289" s="53">
        <v>0.010309278350515464</v>
      </c>
      <c r="J3289" s="53">
        <v>0.0</v>
      </c>
      <c r="K3289" s="53" t="s">
        <v>53</v>
      </c>
      <c r="L3289" s="53" t="s">
        <v>53</v>
      </c>
    </row>
    <row r="3290" ht="15.75" customHeight="1">
      <c r="A3290" s="53" t="s">
        <v>4716</v>
      </c>
      <c r="B3290" s="53" t="s">
        <v>4752</v>
      </c>
      <c r="D3290" s="53" t="s">
        <v>305</v>
      </c>
      <c r="E3290" s="53" t="s">
        <v>4717</v>
      </c>
      <c r="F3290" s="53" t="s">
        <v>4718</v>
      </c>
      <c r="G3290" s="53" t="s">
        <v>313</v>
      </c>
      <c r="H3290" s="53">
        <v>0.875</v>
      </c>
      <c r="I3290" s="53">
        <v>0.2793791574279379</v>
      </c>
      <c r="J3290" s="53">
        <v>7.0</v>
      </c>
      <c r="K3290" s="53" t="s">
        <v>53</v>
      </c>
      <c r="L3290" s="53" t="s">
        <v>4719</v>
      </c>
    </row>
    <row r="3291" ht="15.75" customHeight="1">
      <c r="A3291" s="53" t="s">
        <v>4716</v>
      </c>
      <c r="B3291" s="53" t="s">
        <v>4752</v>
      </c>
      <c r="D3291" s="53" t="s">
        <v>305</v>
      </c>
      <c r="E3291" s="53" t="s">
        <v>4720</v>
      </c>
      <c r="F3291" s="53" t="s">
        <v>4718</v>
      </c>
      <c r="G3291" s="53" t="s">
        <v>2627</v>
      </c>
      <c r="H3291" s="53">
        <v>0.875</v>
      </c>
      <c r="I3291" s="53">
        <v>0.2860310421286031</v>
      </c>
      <c r="J3291" s="53">
        <v>10.0</v>
      </c>
      <c r="K3291" s="53" t="s">
        <v>53</v>
      </c>
      <c r="L3291" s="53" t="s">
        <v>4719</v>
      </c>
    </row>
    <row r="3292" ht="15.75" customHeight="1">
      <c r="A3292" s="53" t="s">
        <v>4716</v>
      </c>
      <c r="B3292" s="53" t="s">
        <v>4752</v>
      </c>
      <c r="D3292" s="53" t="s">
        <v>305</v>
      </c>
      <c r="E3292" s="53" t="s">
        <v>4721</v>
      </c>
      <c r="F3292" s="53" t="s">
        <v>4718</v>
      </c>
      <c r="G3292" s="53" t="s">
        <v>2630</v>
      </c>
      <c r="H3292" s="53">
        <v>0.875</v>
      </c>
      <c r="I3292" s="53">
        <v>0.28824833702882485</v>
      </c>
      <c r="J3292" s="53">
        <v>9.0</v>
      </c>
      <c r="K3292" s="53" t="s">
        <v>53</v>
      </c>
      <c r="L3292" s="53" t="s">
        <v>4719</v>
      </c>
    </row>
    <row r="3293" ht="15.75" customHeight="1">
      <c r="A3293" s="53" t="s">
        <v>4716</v>
      </c>
      <c r="B3293" s="53" t="s">
        <v>4752</v>
      </c>
      <c r="D3293" s="53" t="s">
        <v>305</v>
      </c>
      <c r="E3293" s="53" t="s">
        <v>4722</v>
      </c>
      <c r="F3293" s="53" t="s">
        <v>4718</v>
      </c>
      <c r="G3293" s="53" t="s">
        <v>299</v>
      </c>
      <c r="H3293" s="53">
        <v>0.875</v>
      </c>
      <c r="I3293" s="53">
        <v>0.3448275862068966</v>
      </c>
      <c r="J3293" s="53">
        <v>8.0</v>
      </c>
      <c r="K3293" s="53" t="s">
        <v>53</v>
      </c>
      <c r="L3293" s="53" t="s">
        <v>4719</v>
      </c>
    </row>
    <row r="3294" ht="15.75" customHeight="1">
      <c r="A3294" s="53" t="s">
        <v>4716</v>
      </c>
      <c r="B3294" s="53" t="s">
        <v>4752</v>
      </c>
      <c r="D3294" s="53" t="s">
        <v>4723</v>
      </c>
      <c r="E3294" s="53" t="s">
        <v>4790</v>
      </c>
      <c r="F3294" s="53" t="s">
        <v>4791</v>
      </c>
      <c r="G3294" s="53" t="s">
        <v>4726</v>
      </c>
      <c r="H3294" s="53">
        <v>0.6</v>
      </c>
      <c r="I3294" s="53">
        <v>0.05722460658082976</v>
      </c>
      <c r="J3294" s="53">
        <v>0.0</v>
      </c>
      <c r="K3294" s="53" t="s">
        <v>53</v>
      </c>
      <c r="L3294" s="53" t="s">
        <v>1199</v>
      </c>
    </row>
    <row r="3295" ht="15.75" customHeight="1">
      <c r="A3295" s="53" t="s">
        <v>4716</v>
      </c>
      <c r="B3295" s="53" t="s">
        <v>4752</v>
      </c>
      <c r="D3295" s="53" t="s">
        <v>1224</v>
      </c>
      <c r="E3295" s="53" t="s">
        <v>4727</v>
      </c>
      <c r="F3295" s="53" t="s">
        <v>4728</v>
      </c>
      <c r="G3295" s="53" t="s">
        <v>1227</v>
      </c>
      <c r="H3295" s="53">
        <v>1.0</v>
      </c>
      <c r="I3295" s="53">
        <v>0.30213903743315507</v>
      </c>
      <c r="J3295" s="53">
        <v>0.0</v>
      </c>
      <c r="K3295" s="53" t="s">
        <v>53</v>
      </c>
      <c r="L3295" s="53" t="s">
        <v>53</v>
      </c>
    </row>
    <row r="3296" ht="15.75" customHeight="1">
      <c r="A3296" s="53" t="s">
        <v>4716</v>
      </c>
      <c r="B3296" s="53" t="s">
        <v>4752</v>
      </c>
      <c r="D3296" s="53" t="s">
        <v>1224</v>
      </c>
      <c r="E3296" s="53" t="s">
        <v>4729</v>
      </c>
      <c r="F3296" s="53" t="s">
        <v>4730</v>
      </c>
      <c r="G3296" s="53" t="s">
        <v>1230</v>
      </c>
      <c r="H3296" s="53">
        <v>1.0</v>
      </c>
      <c r="I3296" s="53">
        <v>0.5239520958083832</v>
      </c>
      <c r="J3296" s="53">
        <v>1.0</v>
      </c>
      <c r="K3296" s="53" t="s">
        <v>53</v>
      </c>
      <c r="L3296" s="53" t="s">
        <v>53</v>
      </c>
    </row>
    <row r="3297" ht="15.75" customHeight="1">
      <c r="A3297" s="53" t="s">
        <v>4716</v>
      </c>
      <c r="B3297" s="53" t="s">
        <v>4752</v>
      </c>
      <c r="D3297" s="53" t="s">
        <v>1227</v>
      </c>
      <c r="E3297" s="53" t="s">
        <v>4731</v>
      </c>
      <c r="F3297" s="53" t="s">
        <v>4730</v>
      </c>
      <c r="G3297" s="53" t="s">
        <v>1230</v>
      </c>
      <c r="H3297" s="53">
        <v>1.0</v>
      </c>
      <c r="I3297" s="53">
        <v>0.5104790419161677</v>
      </c>
      <c r="J3297" s="53">
        <v>0.0</v>
      </c>
      <c r="K3297" s="53" t="s">
        <v>53</v>
      </c>
      <c r="L3297" s="53" t="s">
        <v>53</v>
      </c>
    </row>
    <row r="3298" ht="15.75" customHeight="1">
      <c r="A3298" s="53" t="s">
        <v>4716</v>
      </c>
      <c r="B3298" s="53" t="s">
        <v>4752</v>
      </c>
      <c r="D3298" s="53" t="s">
        <v>313</v>
      </c>
      <c r="E3298" s="53" t="s">
        <v>4732</v>
      </c>
      <c r="F3298" s="53" t="s">
        <v>4733</v>
      </c>
      <c r="G3298" s="53" t="s">
        <v>2627</v>
      </c>
      <c r="H3298" s="53">
        <v>1.0</v>
      </c>
      <c r="I3298" s="53">
        <v>0.06376811594202898</v>
      </c>
      <c r="J3298" s="53">
        <v>2.0</v>
      </c>
      <c r="K3298" s="53" t="s">
        <v>53</v>
      </c>
      <c r="L3298" s="53" t="s">
        <v>53</v>
      </c>
    </row>
    <row r="3299" ht="15.75" customHeight="1">
      <c r="A3299" s="53" t="s">
        <v>4716</v>
      </c>
      <c r="B3299" s="53" t="s">
        <v>4752</v>
      </c>
      <c r="D3299" s="53" t="s">
        <v>313</v>
      </c>
      <c r="E3299" s="53" t="s">
        <v>4734</v>
      </c>
      <c r="F3299" s="53" t="s">
        <v>4733</v>
      </c>
      <c r="G3299" s="53" t="s">
        <v>2630</v>
      </c>
      <c r="H3299" s="53">
        <v>1.0</v>
      </c>
      <c r="I3299" s="53">
        <v>0.06956521739130435</v>
      </c>
      <c r="J3299" s="53">
        <v>1.0</v>
      </c>
      <c r="K3299" s="53" t="s">
        <v>53</v>
      </c>
      <c r="L3299" s="53" t="s">
        <v>53</v>
      </c>
    </row>
    <row r="3300" ht="15.75" customHeight="1">
      <c r="A3300" s="53" t="s">
        <v>4716</v>
      </c>
      <c r="B3300" s="53" t="s">
        <v>4752</v>
      </c>
      <c r="D3300" s="53" t="s">
        <v>313</v>
      </c>
      <c r="E3300" s="53" t="s">
        <v>4735</v>
      </c>
      <c r="F3300" s="53" t="s">
        <v>4733</v>
      </c>
      <c r="G3300" s="53" t="s">
        <v>299</v>
      </c>
      <c r="H3300" s="53">
        <v>1.0</v>
      </c>
      <c r="I3300" s="53">
        <v>0.359026369168357</v>
      </c>
      <c r="J3300" s="53">
        <v>0.0</v>
      </c>
      <c r="K3300" s="53" t="s">
        <v>53</v>
      </c>
      <c r="L3300" s="53" t="s">
        <v>53</v>
      </c>
    </row>
    <row r="3301" ht="15.75" customHeight="1">
      <c r="A3301" s="53" t="s">
        <v>4716</v>
      </c>
      <c r="B3301" s="53" t="s">
        <v>4752</v>
      </c>
      <c r="D3301" s="53" t="s">
        <v>313</v>
      </c>
      <c r="E3301" s="53" t="s">
        <v>4736</v>
      </c>
      <c r="F3301" s="53" t="s">
        <v>4737</v>
      </c>
      <c r="G3301" s="53" t="s">
        <v>319</v>
      </c>
      <c r="H3301" s="53">
        <v>0.8571428571428571</v>
      </c>
      <c r="I3301" s="53">
        <v>0.4608695652173913</v>
      </c>
      <c r="J3301" s="53">
        <v>3.0</v>
      </c>
      <c r="K3301" s="53" t="s">
        <v>53</v>
      </c>
      <c r="L3301" s="53" t="s">
        <v>4738</v>
      </c>
    </row>
    <row r="3302" ht="15.75" customHeight="1">
      <c r="A3302" s="53" t="s">
        <v>4716</v>
      </c>
      <c r="B3302" s="53" t="s">
        <v>4752</v>
      </c>
      <c r="D3302" s="53" t="s">
        <v>299</v>
      </c>
      <c r="E3302" s="53" t="s">
        <v>4739</v>
      </c>
      <c r="F3302" s="53" t="s">
        <v>4733</v>
      </c>
      <c r="G3302" s="53" t="s">
        <v>2627</v>
      </c>
      <c r="H3302" s="53">
        <v>1.0</v>
      </c>
      <c r="I3302" s="53">
        <v>0.359026369168357</v>
      </c>
      <c r="J3302" s="53">
        <v>1.0</v>
      </c>
      <c r="K3302" s="53" t="s">
        <v>53</v>
      </c>
      <c r="L3302" s="53" t="s">
        <v>53</v>
      </c>
    </row>
    <row r="3303" ht="15.75" customHeight="1">
      <c r="A3303" s="53" t="s">
        <v>4716</v>
      </c>
      <c r="B3303" s="53" t="s">
        <v>4752</v>
      </c>
      <c r="D3303" s="53" t="s">
        <v>299</v>
      </c>
      <c r="E3303" s="53" t="s">
        <v>4740</v>
      </c>
      <c r="F3303" s="53" t="s">
        <v>4733</v>
      </c>
      <c r="G3303" s="53" t="s">
        <v>2630</v>
      </c>
      <c r="H3303" s="53">
        <v>1.0</v>
      </c>
      <c r="I3303" s="53">
        <v>0.36511156186612576</v>
      </c>
      <c r="J3303" s="53">
        <v>0.0</v>
      </c>
      <c r="K3303" s="53" t="s">
        <v>53</v>
      </c>
      <c r="L3303" s="53" t="s">
        <v>53</v>
      </c>
    </row>
    <row r="3304" ht="15.75" customHeight="1">
      <c r="A3304" s="53" t="s">
        <v>4716</v>
      </c>
      <c r="B3304" s="53" t="s">
        <v>4752</v>
      </c>
      <c r="D3304" s="53" t="s">
        <v>299</v>
      </c>
      <c r="E3304" s="53" t="s">
        <v>4741</v>
      </c>
      <c r="F3304" s="53" t="s">
        <v>4737</v>
      </c>
      <c r="G3304" s="53" t="s">
        <v>319</v>
      </c>
      <c r="H3304" s="53">
        <v>0.8571428571428571</v>
      </c>
      <c r="I3304" s="53">
        <v>0.6166328600405679</v>
      </c>
      <c r="J3304" s="53">
        <v>2.0</v>
      </c>
      <c r="K3304" s="53" t="s">
        <v>53</v>
      </c>
      <c r="L3304" s="53" t="s">
        <v>4738</v>
      </c>
    </row>
    <row r="3305" ht="15.75" customHeight="1">
      <c r="A3305" s="53" t="s">
        <v>4716</v>
      </c>
      <c r="B3305" s="53" t="s">
        <v>4752</v>
      </c>
      <c r="D3305" s="53" t="s">
        <v>2630</v>
      </c>
      <c r="E3305" s="53" t="s">
        <v>4742</v>
      </c>
      <c r="F3305" s="53" t="s">
        <v>4733</v>
      </c>
      <c r="G3305" s="53" t="s">
        <v>2627</v>
      </c>
      <c r="H3305" s="53">
        <v>1.0</v>
      </c>
      <c r="I3305" s="53">
        <v>0.012012012012012012</v>
      </c>
      <c r="J3305" s="53">
        <v>0.0</v>
      </c>
      <c r="K3305" s="53" t="s">
        <v>53</v>
      </c>
      <c r="L3305" s="53" t="s">
        <v>53</v>
      </c>
    </row>
    <row r="3306" ht="15.75" customHeight="1">
      <c r="A3306" s="53" t="s">
        <v>4716</v>
      </c>
      <c r="B3306" s="53" t="s">
        <v>4752</v>
      </c>
      <c r="D3306" s="53" t="s">
        <v>2630</v>
      </c>
      <c r="E3306" s="53" t="s">
        <v>4743</v>
      </c>
      <c r="F3306" s="53" t="s">
        <v>4737</v>
      </c>
      <c r="G3306" s="53" t="s">
        <v>319</v>
      </c>
      <c r="H3306" s="53">
        <v>0.8571428571428571</v>
      </c>
      <c r="I3306" s="53">
        <v>0.4294294294294294</v>
      </c>
      <c r="J3306" s="53">
        <v>1.0</v>
      </c>
      <c r="K3306" s="53" t="s">
        <v>53</v>
      </c>
      <c r="L3306" s="53" t="s">
        <v>4738</v>
      </c>
    </row>
    <row r="3307" ht="15.75" customHeight="1">
      <c r="A3307" s="53" t="s">
        <v>4716</v>
      </c>
      <c r="B3307" s="53" t="s">
        <v>4752</v>
      </c>
      <c r="D3307" s="53" t="s">
        <v>2627</v>
      </c>
      <c r="E3307" s="53" t="s">
        <v>4744</v>
      </c>
      <c r="F3307" s="53" t="s">
        <v>4737</v>
      </c>
      <c r="G3307" s="53" t="s">
        <v>319</v>
      </c>
      <c r="H3307" s="53">
        <v>0.8571428571428571</v>
      </c>
      <c r="I3307" s="53">
        <v>0.42900302114803623</v>
      </c>
      <c r="J3307" s="53">
        <v>0.0</v>
      </c>
      <c r="K3307" s="53" t="s">
        <v>53</v>
      </c>
      <c r="L3307" s="53" t="s">
        <v>4738</v>
      </c>
    </row>
    <row r="3308" ht="15.75" customHeight="1">
      <c r="A3308" s="53" t="s">
        <v>2613</v>
      </c>
      <c r="B3308" s="53" t="s">
        <v>4752</v>
      </c>
      <c r="D3308" s="53" t="s">
        <v>1585</v>
      </c>
      <c r="E3308" s="53" t="s">
        <v>2614</v>
      </c>
      <c r="F3308" s="53" t="s">
        <v>1587</v>
      </c>
      <c r="G3308" s="53" t="s">
        <v>1588</v>
      </c>
      <c r="H3308" s="53">
        <v>1.0</v>
      </c>
      <c r="I3308" s="53">
        <v>0.043478260869565216</v>
      </c>
      <c r="J3308" s="53">
        <v>0.0</v>
      </c>
      <c r="K3308" s="53" t="s">
        <v>53</v>
      </c>
      <c r="L3308" s="53" t="s">
        <v>53</v>
      </c>
    </row>
    <row r="3309" ht="15.75" customHeight="1">
      <c r="A3309" s="53" t="s">
        <v>2613</v>
      </c>
      <c r="B3309" s="53" t="s">
        <v>4752</v>
      </c>
      <c r="D3309" s="53" t="s">
        <v>2275</v>
      </c>
      <c r="E3309" s="53" t="s">
        <v>4792</v>
      </c>
      <c r="F3309" s="53" t="s">
        <v>4793</v>
      </c>
      <c r="G3309" s="53" t="s">
        <v>2278</v>
      </c>
      <c r="H3309" s="53">
        <v>0.6</v>
      </c>
      <c r="I3309" s="53">
        <v>0.0984251968503937</v>
      </c>
      <c r="J3309" s="53">
        <v>0.0</v>
      </c>
      <c r="K3309" s="53" t="s">
        <v>53</v>
      </c>
      <c r="L3309" s="53" t="s">
        <v>1199</v>
      </c>
    </row>
    <row r="3310" ht="15.75" customHeight="1">
      <c r="A3310" s="53" t="s">
        <v>2613</v>
      </c>
      <c r="B3310" s="53" t="s">
        <v>4752</v>
      </c>
      <c r="D3310" s="53" t="s">
        <v>1232</v>
      </c>
      <c r="E3310" s="53" t="s">
        <v>4794</v>
      </c>
      <c r="F3310" s="53" t="s">
        <v>4795</v>
      </c>
      <c r="G3310" s="53" t="s">
        <v>1235</v>
      </c>
      <c r="H3310" s="53">
        <v>1.0</v>
      </c>
      <c r="I3310" s="53">
        <v>0.5912762520193862</v>
      </c>
      <c r="J3310" s="53">
        <v>0.0</v>
      </c>
      <c r="K3310" s="53" t="s">
        <v>53</v>
      </c>
      <c r="L3310" s="53" t="s">
        <v>53</v>
      </c>
    </row>
    <row r="3311" ht="15.75" customHeight="1">
      <c r="A3311" s="53" t="s">
        <v>320</v>
      </c>
      <c r="B3311" s="53" t="s">
        <v>4752</v>
      </c>
      <c r="D3311" s="53" t="s">
        <v>305</v>
      </c>
      <c r="E3311" s="53" t="s">
        <v>4796</v>
      </c>
      <c r="F3311" s="53" t="s">
        <v>4797</v>
      </c>
      <c r="G3311" s="53" t="s">
        <v>313</v>
      </c>
      <c r="H3311" s="53">
        <v>0.875</v>
      </c>
      <c r="I3311" s="53">
        <v>0.2806236080178174</v>
      </c>
      <c r="J3311" s="53">
        <v>8.0</v>
      </c>
      <c r="K3311" s="53" t="s">
        <v>53</v>
      </c>
      <c r="L3311" s="53" t="s">
        <v>2712</v>
      </c>
    </row>
    <row r="3312" ht="15.75" customHeight="1">
      <c r="A3312" s="53" t="s">
        <v>320</v>
      </c>
      <c r="B3312" s="53" t="s">
        <v>4752</v>
      </c>
      <c r="D3312" s="53" t="s">
        <v>305</v>
      </c>
      <c r="E3312" s="53" t="s">
        <v>4798</v>
      </c>
      <c r="F3312" s="53" t="s">
        <v>4797</v>
      </c>
      <c r="G3312" s="53" t="s">
        <v>2627</v>
      </c>
      <c r="H3312" s="53">
        <v>0.875</v>
      </c>
      <c r="I3312" s="53">
        <v>0.2873051224944321</v>
      </c>
      <c r="J3312" s="53">
        <v>11.0</v>
      </c>
      <c r="K3312" s="53" t="s">
        <v>53</v>
      </c>
      <c r="L3312" s="53" t="s">
        <v>2712</v>
      </c>
    </row>
    <row r="3313" ht="15.75" customHeight="1">
      <c r="A3313" s="53" t="s">
        <v>320</v>
      </c>
      <c r="B3313" s="53" t="s">
        <v>4752</v>
      </c>
      <c r="D3313" s="53" t="s">
        <v>305</v>
      </c>
      <c r="E3313" s="53" t="s">
        <v>4799</v>
      </c>
      <c r="F3313" s="53" t="s">
        <v>4797</v>
      </c>
      <c r="G3313" s="53" t="s">
        <v>2630</v>
      </c>
      <c r="H3313" s="53">
        <v>0.875</v>
      </c>
      <c r="I3313" s="53">
        <v>0.289532293986637</v>
      </c>
      <c r="J3313" s="53">
        <v>10.0</v>
      </c>
      <c r="K3313" s="53" t="s">
        <v>53</v>
      </c>
      <c r="L3313" s="53" t="s">
        <v>2712</v>
      </c>
    </row>
    <row r="3314" ht="15.75" customHeight="1">
      <c r="A3314" s="53" t="s">
        <v>320</v>
      </c>
      <c r="B3314" s="53" t="s">
        <v>4752</v>
      </c>
      <c r="D3314" s="53" t="s">
        <v>305</v>
      </c>
      <c r="E3314" s="53" t="s">
        <v>4800</v>
      </c>
      <c r="F3314" s="53" t="s">
        <v>4797</v>
      </c>
      <c r="G3314" s="53" t="s">
        <v>299</v>
      </c>
      <c r="H3314" s="53">
        <v>0.875</v>
      </c>
      <c r="I3314" s="53">
        <v>0.3276595744680851</v>
      </c>
      <c r="J3314" s="53">
        <v>9.0</v>
      </c>
      <c r="K3314" s="53" t="s">
        <v>53</v>
      </c>
      <c r="L3314" s="53" t="s">
        <v>2712</v>
      </c>
    </row>
    <row r="3315" ht="15.75" customHeight="1">
      <c r="A3315" s="53" t="s">
        <v>320</v>
      </c>
      <c r="B3315" s="53" t="s">
        <v>4752</v>
      </c>
      <c r="D3315" s="53" t="s">
        <v>1573</v>
      </c>
      <c r="E3315" s="53" t="s">
        <v>2600</v>
      </c>
      <c r="F3315" s="53" t="s">
        <v>1575</v>
      </c>
      <c r="G3315" s="53" t="s">
        <v>1576</v>
      </c>
      <c r="H3315" s="53">
        <v>1.0</v>
      </c>
      <c r="I3315" s="53">
        <v>0.04411764705882353</v>
      </c>
      <c r="J3315" s="53">
        <v>0.0</v>
      </c>
      <c r="K3315" s="53" t="s">
        <v>53</v>
      </c>
      <c r="L3315" s="53" t="s">
        <v>53</v>
      </c>
    </row>
    <row r="3316" ht="15.75" customHeight="1">
      <c r="A3316" s="53" t="s">
        <v>320</v>
      </c>
      <c r="B3316" s="53" t="s">
        <v>4752</v>
      </c>
      <c r="D3316" s="53" t="s">
        <v>1198</v>
      </c>
      <c r="E3316" s="53" t="s">
        <v>4801</v>
      </c>
      <c r="F3316" s="53" t="s">
        <v>4802</v>
      </c>
      <c r="G3316" s="53" t="s">
        <v>1195</v>
      </c>
      <c r="H3316" s="53">
        <v>0.6666666666666666</v>
      </c>
      <c r="I3316" s="53">
        <v>0.047105004906771344</v>
      </c>
      <c r="J3316" s="53">
        <v>0.0</v>
      </c>
      <c r="K3316" s="53" t="s">
        <v>53</v>
      </c>
      <c r="L3316" s="53" t="s">
        <v>1199</v>
      </c>
    </row>
    <row r="3317" ht="15.75" customHeight="1">
      <c r="A3317" s="53" t="s">
        <v>320</v>
      </c>
      <c r="B3317" s="53" t="s">
        <v>4752</v>
      </c>
      <c r="D3317" s="53" t="s">
        <v>4763</v>
      </c>
      <c r="E3317" s="53" t="s">
        <v>4803</v>
      </c>
      <c r="F3317" s="53" t="s">
        <v>4804</v>
      </c>
      <c r="G3317" s="53" t="s">
        <v>1227</v>
      </c>
      <c r="H3317" s="53">
        <v>0.7142857142857143</v>
      </c>
      <c r="I3317" s="53">
        <v>0.1977715877437326</v>
      </c>
      <c r="J3317" s="53">
        <v>1.0</v>
      </c>
      <c r="K3317" s="53" t="s">
        <v>53</v>
      </c>
      <c r="L3317" s="53" t="s">
        <v>4805</v>
      </c>
    </row>
    <row r="3318" ht="15.75" customHeight="1">
      <c r="A3318" s="53" t="s">
        <v>320</v>
      </c>
      <c r="B3318" s="53" t="s">
        <v>4752</v>
      </c>
      <c r="D3318" s="53" t="s">
        <v>1224</v>
      </c>
      <c r="E3318" s="53" t="s">
        <v>4806</v>
      </c>
      <c r="F3318" s="53" t="s">
        <v>4807</v>
      </c>
      <c r="G3318" s="53" t="s">
        <v>1227</v>
      </c>
      <c r="H3318" s="53">
        <v>1.0</v>
      </c>
      <c r="I3318" s="53">
        <v>0.2832080200501253</v>
      </c>
      <c r="J3318" s="53">
        <v>0.0</v>
      </c>
      <c r="K3318" s="53" t="s">
        <v>53</v>
      </c>
      <c r="L3318" s="53" t="s">
        <v>53</v>
      </c>
    </row>
    <row r="3319" ht="15.75" customHeight="1">
      <c r="A3319" s="53" t="s">
        <v>320</v>
      </c>
      <c r="B3319" s="53" t="s">
        <v>4752</v>
      </c>
      <c r="D3319" s="53" t="s">
        <v>1224</v>
      </c>
      <c r="E3319" s="53" t="s">
        <v>4808</v>
      </c>
      <c r="F3319" s="53" t="s">
        <v>4809</v>
      </c>
      <c r="G3319" s="53" t="s">
        <v>1230</v>
      </c>
      <c r="H3319" s="53">
        <v>1.0</v>
      </c>
      <c r="I3319" s="53">
        <v>0.5050505050505051</v>
      </c>
      <c r="J3319" s="53">
        <v>1.0</v>
      </c>
      <c r="K3319" s="53" t="s">
        <v>53</v>
      </c>
      <c r="L3319" s="53" t="s">
        <v>53</v>
      </c>
    </row>
    <row r="3320" ht="15.75" customHeight="1">
      <c r="A3320" s="53" t="s">
        <v>320</v>
      </c>
      <c r="B3320" s="53" t="s">
        <v>4752</v>
      </c>
      <c r="D3320" s="53" t="s">
        <v>1227</v>
      </c>
      <c r="E3320" s="53" t="s">
        <v>4810</v>
      </c>
      <c r="F3320" s="53" t="s">
        <v>4809</v>
      </c>
      <c r="G3320" s="53" t="s">
        <v>1230</v>
      </c>
      <c r="H3320" s="53">
        <v>1.0</v>
      </c>
      <c r="I3320" s="53">
        <v>0.49206349206349204</v>
      </c>
      <c r="J3320" s="53">
        <v>0.0</v>
      </c>
      <c r="K3320" s="53" t="s">
        <v>53</v>
      </c>
      <c r="L3320" s="53" t="s">
        <v>53</v>
      </c>
    </row>
    <row r="3321" ht="15.75" customHeight="1">
      <c r="A3321" s="53" t="s">
        <v>320</v>
      </c>
      <c r="B3321" s="53" t="s">
        <v>4752</v>
      </c>
      <c r="D3321" s="53" t="s">
        <v>313</v>
      </c>
      <c r="E3321" s="53" t="s">
        <v>4811</v>
      </c>
      <c r="F3321" s="53" t="s">
        <v>4812</v>
      </c>
      <c r="G3321" s="53" t="s">
        <v>2627</v>
      </c>
      <c r="H3321" s="53">
        <v>1.0</v>
      </c>
      <c r="I3321" s="53">
        <v>0.0641399416909621</v>
      </c>
      <c r="J3321" s="53">
        <v>2.0</v>
      </c>
      <c r="K3321" s="53" t="s">
        <v>53</v>
      </c>
      <c r="L3321" s="53" t="s">
        <v>53</v>
      </c>
    </row>
    <row r="3322" ht="15.75" customHeight="1">
      <c r="A3322" s="53" t="s">
        <v>320</v>
      </c>
      <c r="B3322" s="53" t="s">
        <v>4752</v>
      </c>
      <c r="D3322" s="53" t="s">
        <v>313</v>
      </c>
      <c r="E3322" s="53" t="s">
        <v>4813</v>
      </c>
      <c r="F3322" s="53" t="s">
        <v>4812</v>
      </c>
      <c r="G3322" s="53" t="s">
        <v>2630</v>
      </c>
      <c r="H3322" s="53">
        <v>1.0</v>
      </c>
      <c r="I3322" s="53">
        <v>0.06997084548104957</v>
      </c>
      <c r="J3322" s="53">
        <v>1.0</v>
      </c>
      <c r="K3322" s="53" t="s">
        <v>53</v>
      </c>
      <c r="L3322" s="53" t="s">
        <v>53</v>
      </c>
    </row>
    <row r="3323" ht="15.75" customHeight="1">
      <c r="A3323" s="53" t="s">
        <v>320</v>
      </c>
      <c r="B3323" s="53" t="s">
        <v>4752</v>
      </c>
      <c r="D3323" s="53" t="s">
        <v>313</v>
      </c>
      <c r="E3323" s="53" t="s">
        <v>4814</v>
      </c>
      <c r="F3323" s="53" t="s">
        <v>4812</v>
      </c>
      <c r="G3323" s="53" t="s">
        <v>299</v>
      </c>
      <c r="H3323" s="53">
        <v>1.0</v>
      </c>
      <c r="I3323" s="53">
        <v>0.33617021276595743</v>
      </c>
      <c r="J3323" s="53">
        <v>0.0</v>
      </c>
      <c r="K3323" s="53" t="s">
        <v>53</v>
      </c>
      <c r="L3323" s="53" t="s">
        <v>53</v>
      </c>
    </row>
    <row r="3324" ht="15.75" customHeight="1">
      <c r="A3324" s="53" t="s">
        <v>320</v>
      </c>
      <c r="B3324" s="53" t="s">
        <v>4752</v>
      </c>
      <c r="D3324" s="53" t="s">
        <v>313</v>
      </c>
      <c r="E3324" s="53" t="s">
        <v>4815</v>
      </c>
      <c r="F3324" s="53" t="s">
        <v>4816</v>
      </c>
      <c r="G3324" s="53" t="s">
        <v>319</v>
      </c>
      <c r="H3324" s="53">
        <v>0.8571428571428571</v>
      </c>
      <c r="I3324" s="53">
        <v>0.46355685131195334</v>
      </c>
      <c r="J3324" s="53">
        <v>3.0</v>
      </c>
      <c r="K3324" s="53" t="s">
        <v>53</v>
      </c>
      <c r="L3324" s="53" t="s">
        <v>2714</v>
      </c>
    </row>
    <row r="3325" ht="15.75" customHeight="1">
      <c r="A3325" s="53" t="s">
        <v>320</v>
      </c>
      <c r="B3325" s="53" t="s">
        <v>4752</v>
      </c>
      <c r="D3325" s="53" t="s">
        <v>299</v>
      </c>
      <c r="E3325" s="53" t="s">
        <v>4817</v>
      </c>
      <c r="F3325" s="53" t="s">
        <v>4812</v>
      </c>
      <c r="G3325" s="53" t="s">
        <v>2627</v>
      </c>
      <c r="H3325" s="53">
        <v>1.0</v>
      </c>
      <c r="I3325" s="53">
        <v>0.33617021276595743</v>
      </c>
      <c r="J3325" s="53">
        <v>1.0</v>
      </c>
      <c r="K3325" s="53" t="s">
        <v>53</v>
      </c>
      <c r="L3325" s="53" t="s">
        <v>53</v>
      </c>
    </row>
    <row r="3326" ht="15.75" customHeight="1">
      <c r="A3326" s="53" t="s">
        <v>320</v>
      </c>
      <c r="B3326" s="53" t="s">
        <v>4752</v>
      </c>
      <c r="D3326" s="53" t="s">
        <v>299</v>
      </c>
      <c r="E3326" s="53" t="s">
        <v>4818</v>
      </c>
      <c r="F3326" s="53" t="s">
        <v>4812</v>
      </c>
      <c r="G3326" s="53" t="s">
        <v>2630</v>
      </c>
      <c r="H3326" s="53">
        <v>1.0</v>
      </c>
      <c r="I3326" s="53">
        <v>0.3425531914893617</v>
      </c>
      <c r="J3326" s="53">
        <v>0.0</v>
      </c>
      <c r="K3326" s="53" t="s">
        <v>53</v>
      </c>
      <c r="L3326" s="53" t="s">
        <v>53</v>
      </c>
    </row>
    <row r="3327" ht="15.75" customHeight="1">
      <c r="A3327" s="53" t="s">
        <v>320</v>
      </c>
      <c r="B3327" s="53" t="s">
        <v>4752</v>
      </c>
      <c r="D3327" s="53" t="s">
        <v>299</v>
      </c>
      <c r="E3327" s="53" t="s">
        <v>4819</v>
      </c>
      <c r="F3327" s="53" t="s">
        <v>4816</v>
      </c>
      <c r="G3327" s="53" t="s">
        <v>319</v>
      </c>
      <c r="H3327" s="53">
        <v>0.8571428571428571</v>
      </c>
      <c r="I3327" s="53">
        <v>0.6021276595744681</v>
      </c>
      <c r="J3327" s="53">
        <v>2.0</v>
      </c>
      <c r="K3327" s="53" t="s">
        <v>53</v>
      </c>
      <c r="L3327" s="53" t="s">
        <v>2714</v>
      </c>
    </row>
    <row r="3328" ht="15.75" customHeight="1">
      <c r="A3328" s="53" t="s">
        <v>320</v>
      </c>
      <c r="B3328" s="53" t="s">
        <v>4752</v>
      </c>
      <c r="D3328" s="53" t="s">
        <v>2630</v>
      </c>
      <c r="E3328" s="53" t="s">
        <v>4820</v>
      </c>
      <c r="F3328" s="53" t="s">
        <v>4812</v>
      </c>
      <c r="G3328" s="53" t="s">
        <v>2627</v>
      </c>
      <c r="H3328" s="53">
        <v>1.0</v>
      </c>
      <c r="I3328" s="53">
        <v>0.012084592145015106</v>
      </c>
      <c r="J3328" s="53">
        <v>0.0</v>
      </c>
      <c r="K3328" s="53" t="s">
        <v>53</v>
      </c>
      <c r="L3328" s="53" t="s">
        <v>53</v>
      </c>
    </row>
    <row r="3329" ht="15.75" customHeight="1">
      <c r="A3329" s="53" t="s">
        <v>320</v>
      </c>
      <c r="B3329" s="53" t="s">
        <v>4752</v>
      </c>
      <c r="D3329" s="53" t="s">
        <v>2630</v>
      </c>
      <c r="E3329" s="53" t="s">
        <v>4821</v>
      </c>
      <c r="F3329" s="53" t="s">
        <v>4816</v>
      </c>
      <c r="G3329" s="53" t="s">
        <v>319</v>
      </c>
      <c r="H3329" s="53">
        <v>0.8571428571428571</v>
      </c>
      <c r="I3329" s="53">
        <v>0.43202416918429004</v>
      </c>
      <c r="J3329" s="53">
        <v>1.0</v>
      </c>
      <c r="K3329" s="53" t="s">
        <v>53</v>
      </c>
      <c r="L3329" s="53" t="s">
        <v>2714</v>
      </c>
    </row>
    <row r="3330" ht="15.75" customHeight="1">
      <c r="A3330" s="53" t="s">
        <v>320</v>
      </c>
      <c r="B3330" s="53" t="s">
        <v>4752</v>
      </c>
      <c r="D3330" s="53" t="s">
        <v>2627</v>
      </c>
      <c r="E3330" s="53" t="s">
        <v>4822</v>
      </c>
      <c r="F3330" s="53" t="s">
        <v>4816</v>
      </c>
      <c r="G3330" s="53" t="s">
        <v>319</v>
      </c>
      <c r="H3330" s="53">
        <v>0.8571428571428571</v>
      </c>
      <c r="I3330" s="53">
        <v>0.4316109422492401</v>
      </c>
      <c r="J3330" s="53">
        <v>0.0</v>
      </c>
      <c r="K3330" s="53" t="s">
        <v>53</v>
      </c>
      <c r="L3330" s="53" t="s">
        <v>2714</v>
      </c>
    </row>
    <row r="3331" ht="15.75" customHeight="1">
      <c r="A3331" s="53" t="s">
        <v>877</v>
      </c>
      <c r="B3331" s="53" t="s">
        <v>4752</v>
      </c>
      <c r="D3331" s="53" t="s">
        <v>4695</v>
      </c>
      <c r="E3331" s="53" t="s">
        <v>4696</v>
      </c>
      <c r="F3331" s="53" t="s">
        <v>4697</v>
      </c>
      <c r="G3331" s="53" t="s">
        <v>4698</v>
      </c>
      <c r="H3331" s="53">
        <v>1.0</v>
      </c>
      <c r="I3331" s="53">
        <v>0.0684931506849315</v>
      </c>
      <c r="J3331" s="53">
        <v>0.0</v>
      </c>
      <c r="K3331" s="53" t="s">
        <v>53</v>
      </c>
      <c r="L3331" s="53" t="s">
        <v>53</v>
      </c>
    </row>
    <row r="3332" ht="15.75" customHeight="1">
      <c r="A3332" s="53" t="s">
        <v>877</v>
      </c>
      <c r="B3332" s="53" t="s">
        <v>4752</v>
      </c>
      <c r="D3332" s="53" t="s">
        <v>4695</v>
      </c>
      <c r="E3332" s="53" t="s">
        <v>4699</v>
      </c>
      <c r="F3332" s="53" t="s">
        <v>4697</v>
      </c>
      <c r="G3332" s="53" t="s">
        <v>4700</v>
      </c>
      <c r="H3332" s="53">
        <v>1.0</v>
      </c>
      <c r="I3332" s="53">
        <v>0.08108108108108109</v>
      </c>
      <c r="J3332" s="53">
        <v>1.0</v>
      </c>
      <c r="K3332" s="53" t="s">
        <v>53</v>
      </c>
      <c r="L3332" s="53" t="s">
        <v>53</v>
      </c>
    </row>
    <row r="3333" ht="15.75" customHeight="1">
      <c r="A3333" s="53" t="s">
        <v>877</v>
      </c>
      <c r="B3333" s="53" t="s">
        <v>4752</v>
      </c>
      <c r="D3333" s="53" t="s">
        <v>4698</v>
      </c>
      <c r="E3333" s="53" t="s">
        <v>4701</v>
      </c>
      <c r="F3333" s="53" t="s">
        <v>4697</v>
      </c>
      <c r="G3333" s="53" t="s">
        <v>4700</v>
      </c>
      <c r="H3333" s="53">
        <v>1.0</v>
      </c>
      <c r="I3333" s="53">
        <v>0.06756756756756757</v>
      </c>
      <c r="J3333" s="53">
        <v>0.0</v>
      </c>
      <c r="K3333" s="53" t="s">
        <v>53</v>
      </c>
      <c r="L3333" s="53" t="s">
        <v>53</v>
      </c>
    </row>
    <row r="3334" ht="15.75" customHeight="1">
      <c r="A3334" s="53" t="s">
        <v>877</v>
      </c>
      <c r="B3334" s="53" t="s">
        <v>4752</v>
      </c>
      <c r="D3334" s="53" t="s">
        <v>4680</v>
      </c>
      <c r="E3334" s="53" t="s">
        <v>4823</v>
      </c>
      <c r="F3334" s="53" t="s">
        <v>4682</v>
      </c>
      <c r="G3334" s="53" t="s">
        <v>4683</v>
      </c>
      <c r="H3334" s="53">
        <v>1.0</v>
      </c>
      <c r="I3334" s="53">
        <v>0.14887640449438203</v>
      </c>
      <c r="J3334" s="53">
        <v>0.0</v>
      </c>
      <c r="K3334" s="53" t="s">
        <v>53</v>
      </c>
      <c r="L3334" s="53" t="s">
        <v>53</v>
      </c>
    </row>
    <row r="3335" ht="15.75" customHeight="1">
      <c r="A3335" s="53" t="s">
        <v>877</v>
      </c>
      <c r="B3335" s="53" t="s">
        <v>4752</v>
      </c>
      <c r="D3335" s="53" t="s">
        <v>1922</v>
      </c>
      <c r="E3335" s="53" t="s">
        <v>4824</v>
      </c>
      <c r="F3335" s="53" t="s">
        <v>4825</v>
      </c>
      <c r="G3335" s="53" t="s">
        <v>4707</v>
      </c>
      <c r="H3335" s="53">
        <v>0.6</v>
      </c>
      <c r="I3335" s="53">
        <v>0.025362318840579712</v>
      </c>
      <c r="J3335" s="53">
        <v>0.0</v>
      </c>
      <c r="K3335" s="53" t="s">
        <v>53</v>
      </c>
      <c r="L3335" s="53" t="s">
        <v>4826</v>
      </c>
    </row>
    <row r="3336" ht="15.75" customHeight="1">
      <c r="A3336" s="53" t="s">
        <v>877</v>
      </c>
      <c r="B3336" s="53" t="s">
        <v>4752</v>
      </c>
      <c r="D3336" s="53" t="s">
        <v>1922</v>
      </c>
      <c r="E3336" s="53" t="s">
        <v>4827</v>
      </c>
      <c r="F3336" s="53" t="s">
        <v>4828</v>
      </c>
      <c r="G3336" s="53" t="s">
        <v>4553</v>
      </c>
      <c r="H3336" s="53">
        <v>0.8</v>
      </c>
      <c r="I3336" s="53">
        <v>0.6811594202898551</v>
      </c>
      <c r="J3336" s="53">
        <v>5.0</v>
      </c>
      <c r="K3336" s="53" t="s">
        <v>53</v>
      </c>
      <c r="L3336" s="53" t="s">
        <v>4829</v>
      </c>
    </row>
    <row r="3337" ht="15.75" customHeight="1">
      <c r="A3337" s="53" t="s">
        <v>877</v>
      </c>
      <c r="B3337" s="53" t="s">
        <v>4752</v>
      </c>
      <c r="D3337" s="53" t="s">
        <v>1922</v>
      </c>
      <c r="E3337" s="53" t="s">
        <v>4830</v>
      </c>
      <c r="F3337" s="53" t="s">
        <v>4831</v>
      </c>
      <c r="G3337" s="53" t="s">
        <v>4832</v>
      </c>
      <c r="H3337" s="53">
        <v>0.8</v>
      </c>
      <c r="I3337" s="53">
        <v>0.6902173913043478</v>
      </c>
      <c r="J3337" s="53">
        <v>3.0</v>
      </c>
      <c r="K3337" s="53" t="s">
        <v>53</v>
      </c>
      <c r="L3337" s="53" t="s">
        <v>4833</v>
      </c>
    </row>
    <row r="3338" ht="15.75" customHeight="1">
      <c r="A3338" s="53" t="s">
        <v>877</v>
      </c>
      <c r="B3338" s="53" t="s">
        <v>4752</v>
      </c>
      <c r="D3338" s="53" t="s">
        <v>4707</v>
      </c>
      <c r="E3338" s="53" t="s">
        <v>4834</v>
      </c>
      <c r="F3338" s="53" t="s">
        <v>4835</v>
      </c>
      <c r="G3338" s="53" t="s">
        <v>4553</v>
      </c>
      <c r="H3338" s="53">
        <v>0.8</v>
      </c>
      <c r="I3338" s="53">
        <v>0.677536231884058</v>
      </c>
      <c r="J3338" s="53">
        <v>4.0</v>
      </c>
      <c r="K3338" s="53" t="s">
        <v>53</v>
      </c>
      <c r="L3338" s="53" t="s">
        <v>4836</v>
      </c>
    </row>
    <row r="3339" ht="15.75" customHeight="1">
      <c r="A3339" s="53" t="s">
        <v>877</v>
      </c>
      <c r="B3339" s="53" t="s">
        <v>4752</v>
      </c>
      <c r="D3339" s="53" t="s">
        <v>4707</v>
      </c>
      <c r="E3339" s="53" t="s">
        <v>4837</v>
      </c>
      <c r="F3339" s="53" t="s">
        <v>4838</v>
      </c>
      <c r="G3339" s="53" t="s">
        <v>4832</v>
      </c>
      <c r="H3339" s="53">
        <v>0.8</v>
      </c>
      <c r="I3339" s="53">
        <v>0.6884057971014492</v>
      </c>
      <c r="J3339" s="53">
        <v>2.0</v>
      </c>
      <c r="K3339" s="53" t="s">
        <v>53</v>
      </c>
      <c r="L3339" s="53" t="s">
        <v>4839</v>
      </c>
    </row>
    <row r="3340" ht="15.75" customHeight="1">
      <c r="A3340" s="53" t="s">
        <v>877</v>
      </c>
      <c r="B3340" s="53" t="s">
        <v>4752</v>
      </c>
      <c r="D3340" s="53" t="s">
        <v>4707</v>
      </c>
      <c r="E3340" s="53" t="s">
        <v>4840</v>
      </c>
      <c r="F3340" s="53" t="s">
        <v>4841</v>
      </c>
      <c r="G3340" s="53" t="s">
        <v>4556</v>
      </c>
      <c r="H3340" s="53">
        <v>1.0</v>
      </c>
      <c r="I3340" s="53">
        <v>0.7554347826086957</v>
      </c>
      <c r="J3340" s="53">
        <v>5.0</v>
      </c>
      <c r="K3340" s="53" t="s">
        <v>53</v>
      </c>
      <c r="L3340" s="53" t="s">
        <v>4842</v>
      </c>
    </row>
    <row r="3341" ht="15.75" customHeight="1">
      <c r="A3341" s="53" t="s">
        <v>877</v>
      </c>
      <c r="B3341" s="53" t="s">
        <v>4752</v>
      </c>
      <c r="D3341" s="53" t="s">
        <v>4832</v>
      </c>
      <c r="E3341" s="53" t="s">
        <v>4843</v>
      </c>
      <c r="F3341" s="53" t="s">
        <v>4844</v>
      </c>
      <c r="G3341" s="53" t="s">
        <v>4553</v>
      </c>
      <c r="H3341" s="53">
        <v>1.0</v>
      </c>
      <c r="I3341" s="53">
        <v>0.2791327913279133</v>
      </c>
      <c r="J3341" s="53">
        <v>1.0</v>
      </c>
      <c r="K3341" s="53" t="s">
        <v>53</v>
      </c>
      <c r="L3341" s="53" t="s">
        <v>4845</v>
      </c>
    </row>
    <row r="3342" ht="15.75" customHeight="1">
      <c r="A3342" s="53" t="s">
        <v>877</v>
      </c>
      <c r="B3342" s="53" t="s">
        <v>4752</v>
      </c>
      <c r="D3342" s="53" t="s">
        <v>4832</v>
      </c>
      <c r="E3342" s="53" t="s">
        <v>4846</v>
      </c>
      <c r="F3342" s="53" t="s">
        <v>4847</v>
      </c>
      <c r="G3342" s="53" t="s">
        <v>4556</v>
      </c>
      <c r="H3342" s="53">
        <v>0.8</v>
      </c>
      <c r="I3342" s="53">
        <v>0.7262872628726287</v>
      </c>
      <c r="J3342" s="53">
        <v>2.0</v>
      </c>
      <c r="K3342" s="53" t="s">
        <v>53</v>
      </c>
      <c r="L3342" s="53" t="s">
        <v>4848</v>
      </c>
    </row>
    <row r="3343" ht="15.75" customHeight="1">
      <c r="A3343" s="53" t="s">
        <v>877</v>
      </c>
      <c r="B3343" s="53" t="s">
        <v>4752</v>
      </c>
      <c r="D3343" s="53" t="s">
        <v>4832</v>
      </c>
      <c r="E3343" s="53" t="s">
        <v>4849</v>
      </c>
      <c r="F3343" s="53" t="s">
        <v>4850</v>
      </c>
      <c r="G3343" s="53" t="s">
        <v>1939</v>
      </c>
      <c r="H3343" s="53">
        <v>0.8</v>
      </c>
      <c r="I3343" s="53">
        <v>0.844</v>
      </c>
      <c r="J3343" s="53">
        <v>3.0</v>
      </c>
      <c r="K3343" s="53" t="s">
        <v>53</v>
      </c>
      <c r="L3343" s="53" t="s">
        <v>1527</v>
      </c>
    </row>
    <row r="3344" ht="15.75" customHeight="1">
      <c r="A3344" s="53" t="s">
        <v>877</v>
      </c>
      <c r="B3344" s="53" t="s">
        <v>4752</v>
      </c>
      <c r="D3344" s="53" t="s">
        <v>880</v>
      </c>
      <c r="E3344" s="53" t="s">
        <v>882</v>
      </c>
      <c r="F3344" s="53" t="s">
        <v>884</v>
      </c>
      <c r="G3344" s="53" t="s">
        <v>886</v>
      </c>
      <c r="H3344" s="53">
        <v>1.0</v>
      </c>
      <c r="I3344" s="53">
        <v>0.7590361445783133</v>
      </c>
      <c r="J3344" s="53">
        <v>7.0</v>
      </c>
      <c r="K3344" s="53" t="s">
        <v>53</v>
      </c>
      <c r="L3344" s="53" t="s">
        <v>53</v>
      </c>
    </row>
    <row r="3345" ht="15.75" customHeight="1">
      <c r="A3345" s="53" t="s">
        <v>877</v>
      </c>
      <c r="B3345" s="53" t="s">
        <v>4752</v>
      </c>
      <c r="D3345" s="53" t="s">
        <v>4553</v>
      </c>
      <c r="E3345" s="53" t="s">
        <v>4851</v>
      </c>
      <c r="F3345" s="53" t="s">
        <v>4852</v>
      </c>
      <c r="G3345" s="53" t="s">
        <v>4556</v>
      </c>
      <c r="H3345" s="53">
        <v>0.8</v>
      </c>
      <c r="I3345" s="53">
        <v>0.7378917378917379</v>
      </c>
      <c r="J3345" s="53">
        <v>0.0</v>
      </c>
      <c r="K3345" s="53" t="s">
        <v>53</v>
      </c>
      <c r="L3345" s="53" t="s">
        <v>4853</v>
      </c>
    </row>
    <row r="3346" ht="15.75" customHeight="1">
      <c r="A3346" s="53" t="s">
        <v>877</v>
      </c>
      <c r="B3346" s="53" t="s">
        <v>4752</v>
      </c>
      <c r="D3346" s="53" t="s">
        <v>4553</v>
      </c>
      <c r="E3346" s="53" t="s">
        <v>4854</v>
      </c>
      <c r="F3346" s="53" t="s">
        <v>4855</v>
      </c>
      <c r="G3346" s="53" t="s">
        <v>1939</v>
      </c>
      <c r="H3346" s="53">
        <v>0.8</v>
      </c>
      <c r="I3346" s="53">
        <v>0.8502857142857143</v>
      </c>
      <c r="J3346" s="53">
        <v>1.0</v>
      </c>
      <c r="K3346" s="53" t="s">
        <v>53</v>
      </c>
      <c r="L3346" s="53" t="s">
        <v>4856</v>
      </c>
    </row>
    <row r="3347" ht="15.75" customHeight="1">
      <c r="A3347" s="53" t="s">
        <v>877</v>
      </c>
      <c r="B3347" s="53" t="s">
        <v>4752</v>
      </c>
      <c r="D3347" s="53" t="s">
        <v>1939</v>
      </c>
      <c r="E3347" s="53" t="s">
        <v>4857</v>
      </c>
      <c r="F3347" s="53" t="s">
        <v>4858</v>
      </c>
      <c r="G3347" s="53" t="s">
        <v>1942</v>
      </c>
      <c r="H3347" s="53">
        <v>0.8</v>
      </c>
      <c r="I3347" s="53">
        <v>0.7897727272727273</v>
      </c>
      <c r="J3347" s="53">
        <v>0.0</v>
      </c>
      <c r="K3347" s="53" t="s">
        <v>53</v>
      </c>
      <c r="L3347" s="53" t="s">
        <v>4859</v>
      </c>
    </row>
    <row r="3348" ht="15.75" customHeight="1">
      <c r="A3348" s="53" t="s">
        <v>877</v>
      </c>
      <c r="B3348" s="53" t="s">
        <v>4752</v>
      </c>
      <c r="D3348" s="53" t="s">
        <v>4686</v>
      </c>
      <c r="E3348" s="53" t="s">
        <v>4860</v>
      </c>
      <c r="F3348" s="53" t="s">
        <v>4688</v>
      </c>
      <c r="G3348" s="53" t="s">
        <v>4689</v>
      </c>
      <c r="H3348" s="53">
        <v>1.0</v>
      </c>
      <c r="I3348" s="53">
        <v>0.5618374558303887</v>
      </c>
      <c r="J3348" s="53">
        <v>0.0</v>
      </c>
      <c r="K3348" s="53" t="s">
        <v>53</v>
      </c>
      <c r="L3348" s="53" t="s">
        <v>53</v>
      </c>
    </row>
    <row r="3349" ht="15.75" customHeight="1">
      <c r="A3349" s="53" t="s">
        <v>4745</v>
      </c>
      <c r="B3349" s="53" t="s">
        <v>4752</v>
      </c>
      <c r="D3349" s="53" t="s">
        <v>4746</v>
      </c>
      <c r="E3349" s="53" t="s">
        <v>4861</v>
      </c>
      <c r="F3349" s="53" t="s">
        <v>4862</v>
      </c>
      <c r="G3349" s="53" t="s">
        <v>4749</v>
      </c>
      <c r="H3349" s="53">
        <v>0.6</v>
      </c>
      <c r="I3349" s="53">
        <v>0.06093189964157706</v>
      </c>
      <c r="J3349" s="53">
        <v>0.0</v>
      </c>
      <c r="K3349" s="53" t="s">
        <v>53</v>
      </c>
      <c r="L3349" s="53" t="s">
        <v>1199</v>
      </c>
    </row>
    <row r="3350" ht="15.75" customHeight="1">
      <c r="A3350" s="53" t="s">
        <v>4745</v>
      </c>
      <c r="B3350" s="53" t="s">
        <v>4752</v>
      </c>
      <c r="D3350" s="53" t="s">
        <v>1232</v>
      </c>
      <c r="E3350" s="53" t="s">
        <v>4750</v>
      </c>
      <c r="F3350" s="53" t="s">
        <v>4751</v>
      </c>
      <c r="G3350" s="53" t="s">
        <v>1235</v>
      </c>
      <c r="H3350" s="53">
        <v>1.0</v>
      </c>
      <c r="I3350" s="53">
        <v>0.5893719806763285</v>
      </c>
      <c r="J3350" s="53">
        <v>0.0</v>
      </c>
      <c r="K3350" s="53" t="s">
        <v>53</v>
      </c>
      <c r="L3350" s="53" t="s">
        <v>53</v>
      </c>
    </row>
    <row r="3351" ht="15.75" customHeight="1">
      <c r="A3351" s="53" t="s">
        <v>515</v>
      </c>
      <c r="B3351" s="53" t="s">
        <v>4752</v>
      </c>
      <c r="D3351" s="53" t="s">
        <v>3995</v>
      </c>
      <c r="E3351" s="53" t="s">
        <v>3996</v>
      </c>
      <c r="F3351" s="53" t="s">
        <v>3997</v>
      </c>
      <c r="G3351" s="53" t="s">
        <v>3998</v>
      </c>
      <c r="H3351" s="53">
        <v>1.0</v>
      </c>
      <c r="I3351" s="53">
        <v>0.0684931506849315</v>
      </c>
      <c r="J3351" s="53">
        <v>0.0</v>
      </c>
      <c r="K3351" s="53" t="s">
        <v>53</v>
      </c>
      <c r="L3351" s="53" t="s">
        <v>53</v>
      </c>
    </row>
    <row r="3352" ht="15.75" customHeight="1">
      <c r="A3352" s="53" t="s">
        <v>515</v>
      </c>
      <c r="B3352" s="53" t="s">
        <v>4752</v>
      </c>
      <c r="D3352" s="53" t="s">
        <v>3995</v>
      </c>
      <c r="E3352" s="53" t="s">
        <v>4000</v>
      </c>
      <c r="F3352" s="53" t="s">
        <v>3997</v>
      </c>
      <c r="G3352" s="53" t="s">
        <v>4001</v>
      </c>
      <c r="H3352" s="53">
        <v>1.0</v>
      </c>
      <c r="I3352" s="53">
        <v>0.08108108108108109</v>
      </c>
      <c r="J3352" s="53">
        <v>1.0</v>
      </c>
      <c r="K3352" s="53" t="s">
        <v>53</v>
      </c>
      <c r="L3352" s="53" t="s">
        <v>53</v>
      </c>
    </row>
    <row r="3353" ht="15.75" customHeight="1">
      <c r="A3353" s="53" t="s">
        <v>515</v>
      </c>
      <c r="B3353" s="53" t="s">
        <v>4752</v>
      </c>
      <c r="D3353" s="53" t="s">
        <v>3998</v>
      </c>
      <c r="E3353" s="53" t="s">
        <v>4002</v>
      </c>
      <c r="F3353" s="53" t="s">
        <v>3997</v>
      </c>
      <c r="G3353" s="53" t="s">
        <v>4001</v>
      </c>
      <c r="H3353" s="53">
        <v>1.0</v>
      </c>
      <c r="I3353" s="53">
        <v>0.06756756756756757</v>
      </c>
      <c r="J3353" s="53">
        <v>0.0</v>
      </c>
      <c r="K3353" s="53" t="s">
        <v>53</v>
      </c>
      <c r="L3353" s="53" t="s">
        <v>53</v>
      </c>
    </row>
    <row r="3354" ht="15.75" customHeight="1">
      <c r="A3354" s="53" t="s">
        <v>515</v>
      </c>
      <c r="B3354" s="53" t="s">
        <v>4752</v>
      </c>
      <c r="D3354" s="53" t="s">
        <v>134</v>
      </c>
      <c r="E3354" s="53" t="s">
        <v>4658</v>
      </c>
      <c r="F3354" s="53" t="s">
        <v>132</v>
      </c>
      <c r="G3354" s="53" t="s">
        <v>128</v>
      </c>
      <c r="H3354" s="53">
        <v>1.0</v>
      </c>
      <c r="I3354" s="53">
        <v>0.06302521008403361</v>
      </c>
      <c r="J3354" s="53">
        <v>3.0</v>
      </c>
      <c r="K3354" s="53" t="s">
        <v>53</v>
      </c>
      <c r="L3354" s="53" t="s">
        <v>53</v>
      </c>
    </row>
    <row r="3355" ht="15.75" customHeight="1">
      <c r="A3355" s="53" t="s">
        <v>515</v>
      </c>
      <c r="B3355" s="53" t="s">
        <v>4752</v>
      </c>
      <c r="D3355" s="53" t="s">
        <v>134</v>
      </c>
      <c r="E3355" s="53" t="s">
        <v>4659</v>
      </c>
      <c r="F3355" s="53" t="s">
        <v>132</v>
      </c>
      <c r="G3355" s="53" t="s">
        <v>2247</v>
      </c>
      <c r="H3355" s="53">
        <v>1.0</v>
      </c>
      <c r="I3355" s="53">
        <v>0.10416666666666667</v>
      </c>
      <c r="J3355" s="53">
        <v>0.0</v>
      </c>
      <c r="K3355" s="53" t="s">
        <v>53</v>
      </c>
      <c r="L3355" s="53" t="s">
        <v>53</v>
      </c>
    </row>
    <row r="3356" ht="15.75" customHeight="1">
      <c r="A3356" s="53" t="s">
        <v>515</v>
      </c>
      <c r="B3356" s="53" t="s">
        <v>4752</v>
      </c>
      <c r="D3356" s="53" t="s">
        <v>134</v>
      </c>
      <c r="E3356" s="53" t="s">
        <v>4660</v>
      </c>
      <c r="F3356" s="53" t="s">
        <v>132</v>
      </c>
      <c r="G3356" s="53" t="s">
        <v>522</v>
      </c>
      <c r="H3356" s="53">
        <v>1.0</v>
      </c>
      <c r="I3356" s="53">
        <v>0.15503875968992248</v>
      </c>
      <c r="J3356" s="53">
        <v>6.0</v>
      </c>
      <c r="K3356" s="53" t="s">
        <v>53</v>
      </c>
      <c r="L3356" s="53" t="s">
        <v>53</v>
      </c>
    </row>
    <row r="3357" ht="15.75" customHeight="1">
      <c r="A3357" s="53" t="s">
        <v>515</v>
      </c>
      <c r="B3357" s="53" t="s">
        <v>4752</v>
      </c>
      <c r="D3357" s="53" t="s">
        <v>2247</v>
      </c>
      <c r="E3357" s="53" t="s">
        <v>4661</v>
      </c>
      <c r="F3357" s="53" t="s">
        <v>132</v>
      </c>
      <c r="G3357" s="53" t="s">
        <v>128</v>
      </c>
      <c r="H3357" s="53">
        <v>1.0</v>
      </c>
      <c r="I3357" s="53">
        <v>0.04583333333333333</v>
      </c>
      <c r="J3357" s="53">
        <v>2.0</v>
      </c>
      <c r="K3357" s="53" t="s">
        <v>53</v>
      </c>
      <c r="L3357" s="53" t="s">
        <v>53</v>
      </c>
    </row>
    <row r="3358" ht="15.75" customHeight="1">
      <c r="A3358" s="53" t="s">
        <v>515</v>
      </c>
      <c r="B3358" s="53" t="s">
        <v>4752</v>
      </c>
      <c r="D3358" s="53" t="s">
        <v>2247</v>
      </c>
      <c r="E3358" s="53" t="s">
        <v>4662</v>
      </c>
      <c r="F3358" s="53" t="s">
        <v>132</v>
      </c>
      <c r="G3358" s="53" t="s">
        <v>522</v>
      </c>
      <c r="H3358" s="53">
        <v>1.0</v>
      </c>
      <c r="I3358" s="53">
        <v>0.12015503875968993</v>
      </c>
      <c r="J3358" s="53">
        <v>5.0</v>
      </c>
      <c r="K3358" s="53" t="s">
        <v>53</v>
      </c>
      <c r="L3358" s="53" t="s">
        <v>53</v>
      </c>
    </row>
    <row r="3359" ht="15.75" customHeight="1">
      <c r="A3359" s="53" t="s">
        <v>515</v>
      </c>
      <c r="B3359" s="53" t="s">
        <v>4752</v>
      </c>
      <c r="D3359" s="53" t="s">
        <v>4156</v>
      </c>
      <c r="E3359" s="53" t="s">
        <v>4157</v>
      </c>
      <c r="F3359" s="53" t="s">
        <v>4158</v>
      </c>
      <c r="G3359" s="53" t="s">
        <v>4159</v>
      </c>
      <c r="H3359" s="53">
        <v>0.75</v>
      </c>
      <c r="I3359" s="53">
        <v>0.08679245283018867</v>
      </c>
      <c r="J3359" s="53">
        <v>0.0</v>
      </c>
      <c r="K3359" s="53" t="s">
        <v>53</v>
      </c>
      <c r="L3359" s="53" t="s">
        <v>4161</v>
      </c>
    </row>
    <row r="3360" ht="15.75" customHeight="1">
      <c r="A3360" s="53" t="s">
        <v>515</v>
      </c>
      <c r="B3360" s="53" t="s">
        <v>4752</v>
      </c>
      <c r="D3360" s="53" t="s">
        <v>128</v>
      </c>
      <c r="E3360" s="53" t="s">
        <v>4663</v>
      </c>
      <c r="F3360" s="53" t="s">
        <v>132</v>
      </c>
      <c r="G3360" s="53" t="s">
        <v>522</v>
      </c>
      <c r="H3360" s="53">
        <v>1.0</v>
      </c>
      <c r="I3360" s="53">
        <v>0.1124031007751938</v>
      </c>
      <c r="J3360" s="53">
        <v>2.0</v>
      </c>
      <c r="K3360" s="53" t="s">
        <v>53</v>
      </c>
      <c r="L3360" s="53" t="s">
        <v>53</v>
      </c>
    </row>
    <row r="3361" ht="15.75" customHeight="1">
      <c r="A3361" s="53" t="s">
        <v>515</v>
      </c>
      <c r="B3361" s="53" t="s">
        <v>4752</v>
      </c>
      <c r="D3361" s="53" t="s">
        <v>1606</v>
      </c>
      <c r="E3361" s="53" t="s">
        <v>4863</v>
      </c>
      <c r="F3361" s="53" t="s">
        <v>4864</v>
      </c>
      <c r="G3361" s="53" t="s">
        <v>1611</v>
      </c>
      <c r="H3361" s="53">
        <v>1.0</v>
      </c>
      <c r="I3361" s="53">
        <v>0.03076923076923077</v>
      </c>
      <c r="J3361" s="53">
        <v>0.0</v>
      </c>
      <c r="K3361" s="53" t="s">
        <v>53</v>
      </c>
      <c r="L3361" s="53" t="s">
        <v>53</v>
      </c>
    </row>
    <row r="3362" ht="15.75" customHeight="1">
      <c r="A3362" s="53" t="s">
        <v>515</v>
      </c>
      <c r="B3362" s="53" t="s">
        <v>4752</v>
      </c>
      <c r="D3362" s="53" t="s">
        <v>1606</v>
      </c>
      <c r="E3362" s="53" t="s">
        <v>4865</v>
      </c>
      <c r="F3362" s="53" t="s">
        <v>4864</v>
      </c>
      <c r="G3362" s="53" t="s">
        <v>1609</v>
      </c>
      <c r="H3362" s="53">
        <v>1.0</v>
      </c>
      <c r="I3362" s="53">
        <v>0.03076923076923077</v>
      </c>
      <c r="J3362" s="53">
        <v>1.0</v>
      </c>
      <c r="K3362" s="53" t="s">
        <v>53</v>
      </c>
      <c r="L3362" s="53" t="s">
        <v>53</v>
      </c>
    </row>
    <row r="3363" ht="15.75" customHeight="1">
      <c r="A3363" s="53" t="s">
        <v>515</v>
      </c>
      <c r="B3363" s="53" t="s">
        <v>4752</v>
      </c>
      <c r="D3363" s="53" t="s">
        <v>1611</v>
      </c>
      <c r="E3363" s="53" t="s">
        <v>4866</v>
      </c>
      <c r="F3363" s="53" t="s">
        <v>4864</v>
      </c>
      <c r="G3363" s="53" t="s">
        <v>1609</v>
      </c>
      <c r="H3363" s="53">
        <v>1.0</v>
      </c>
      <c r="I3363" s="53">
        <v>0.04230769230769231</v>
      </c>
      <c r="J3363" s="53">
        <v>0.0</v>
      </c>
      <c r="K3363" s="53" t="s">
        <v>53</v>
      </c>
      <c r="L3363" s="53" t="s">
        <v>53</v>
      </c>
    </row>
    <row r="3364" ht="15.75" customHeight="1">
      <c r="A3364" s="53" t="s">
        <v>515</v>
      </c>
      <c r="B3364" s="53" t="s">
        <v>4752</v>
      </c>
      <c r="D3364" s="53" t="s">
        <v>4328</v>
      </c>
      <c r="E3364" s="53" t="s">
        <v>4867</v>
      </c>
      <c r="F3364" s="53" t="s">
        <v>4335</v>
      </c>
      <c r="G3364" s="53" t="s">
        <v>4331</v>
      </c>
      <c r="H3364" s="53">
        <v>1.0</v>
      </c>
      <c r="I3364" s="53">
        <v>0.03428571428571429</v>
      </c>
      <c r="J3364" s="53">
        <v>1.0</v>
      </c>
      <c r="K3364" s="53" t="s">
        <v>53</v>
      </c>
      <c r="L3364" s="53" t="s">
        <v>53</v>
      </c>
    </row>
    <row r="3365" ht="15.75" customHeight="1">
      <c r="A3365" s="53" t="s">
        <v>515</v>
      </c>
      <c r="B3365" s="53" t="s">
        <v>4752</v>
      </c>
      <c r="D3365" s="53" t="s">
        <v>4328</v>
      </c>
      <c r="E3365" s="53" t="s">
        <v>4868</v>
      </c>
      <c r="F3365" s="53" t="s">
        <v>4335</v>
      </c>
      <c r="G3365" s="53" t="s">
        <v>4336</v>
      </c>
      <c r="H3365" s="53">
        <v>1.0</v>
      </c>
      <c r="I3365" s="53">
        <v>0.20100502512562815</v>
      </c>
      <c r="J3365" s="53">
        <v>0.0</v>
      </c>
      <c r="K3365" s="53" t="s">
        <v>53</v>
      </c>
      <c r="L3365" s="53" t="s">
        <v>53</v>
      </c>
    </row>
    <row r="3366" ht="15.75" customHeight="1">
      <c r="A3366" s="53" t="s">
        <v>515</v>
      </c>
      <c r="B3366" s="53" t="s">
        <v>4752</v>
      </c>
      <c r="D3366" s="53" t="s">
        <v>4336</v>
      </c>
      <c r="E3366" s="53" t="s">
        <v>4869</v>
      </c>
      <c r="F3366" s="53" t="s">
        <v>4335</v>
      </c>
      <c r="G3366" s="53" t="s">
        <v>4331</v>
      </c>
      <c r="H3366" s="53">
        <v>1.0</v>
      </c>
      <c r="I3366" s="53">
        <v>0.23115577889447236</v>
      </c>
      <c r="J3366" s="53">
        <v>0.0</v>
      </c>
      <c r="K3366" s="53" t="s">
        <v>53</v>
      </c>
      <c r="L3366" s="53" t="s">
        <v>53</v>
      </c>
    </row>
    <row r="3367" ht="15.75" customHeight="1">
      <c r="A3367" s="53" t="s">
        <v>515</v>
      </c>
      <c r="B3367" s="53" t="s">
        <v>4752</v>
      </c>
      <c r="D3367" s="53" t="s">
        <v>876</v>
      </c>
      <c r="E3367" s="53" t="s">
        <v>4870</v>
      </c>
      <c r="F3367" s="53" t="s">
        <v>73</v>
      </c>
      <c r="G3367" s="53" t="s">
        <v>871</v>
      </c>
      <c r="H3367" s="53">
        <v>1.0</v>
      </c>
      <c r="I3367" s="53">
        <v>0.010309278350515464</v>
      </c>
      <c r="J3367" s="53">
        <v>1.0</v>
      </c>
      <c r="K3367" s="53" t="s">
        <v>53</v>
      </c>
      <c r="L3367" s="53" t="s">
        <v>53</v>
      </c>
    </row>
    <row r="3368" ht="15.75" customHeight="1">
      <c r="A3368" s="53" t="s">
        <v>515</v>
      </c>
      <c r="B3368" s="53" t="s">
        <v>4752</v>
      </c>
      <c r="D3368" s="53" t="s">
        <v>876</v>
      </c>
      <c r="E3368" s="53" t="s">
        <v>4871</v>
      </c>
      <c r="F3368" s="53" t="s">
        <v>73</v>
      </c>
      <c r="G3368" s="53" t="s">
        <v>4432</v>
      </c>
      <c r="H3368" s="53">
        <v>1.0</v>
      </c>
      <c r="I3368" s="53">
        <v>0.010309278350515464</v>
      </c>
      <c r="J3368" s="53">
        <v>3.0</v>
      </c>
      <c r="K3368" s="53" t="s">
        <v>53</v>
      </c>
      <c r="L3368" s="53" t="s">
        <v>53</v>
      </c>
    </row>
    <row r="3369" ht="15.75" customHeight="1">
      <c r="A3369" s="53" t="s">
        <v>515</v>
      </c>
      <c r="B3369" s="53" t="s">
        <v>4752</v>
      </c>
      <c r="D3369" s="53" t="s">
        <v>876</v>
      </c>
      <c r="E3369" s="53" t="s">
        <v>4872</v>
      </c>
      <c r="F3369" s="53" t="s">
        <v>4434</v>
      </c>
      <c r="G3369" s="53" t="s">
        <v>4435</v>
      </c>
      <c r="H3369" s="53">
        <v>0.0</v>
      </c>
      <c r="I3369" s="53">
        <v>0.010309278350515464</v>
      </c>
      <c r="J3369" s="53">
        <v>5.0</v>
      </c>
      <c r="K3369" s="53" t="s">
        <v>53</v>
      </c>
      <c r="L3369" s="53" t="s">
        <v>4436</v>
      </c>
    </row>
    <row r="3370" ht="15.75" customHeight="1">
      <c r="A3370" s="53" t="s">
        <v>515</v>
      </c>
      <c r="B3370" s="53" t="s">
        <v>4752</v>
      </c>
      <c r="D3370" s="53" t="s">
        <v>876</v>
      </c>
      <c r="E3370" s="53" t="s">
        <v>4873</v>
      </c>
      <c r="F3370" s="53" t="s">
        <v>73</v>
      </c>
      <c r="G3370" s="53" t="s">
        <v>4424</v>
      </c>
      <c r="H3370" s="53">
        <v>1.0</v>
      </c>
      <c r="I3370" s="53">
        <v>0.020618556701030927</v>
      </c>
      <c r="J3370" s="53">
        <v>0.0</v>
      </c>
      <c r="K3370" s="53" t="s">
        <v>53</v>
      </c>
      <c r="L3370" s="53" t="s">
        <v>53</v>
      </c>
    </row>
    <row r="3371" ht="15.75" customHeight="1">
      <c r="A3371" s="53" t="s">
        <v>515</v>
      </c>
      <c r="B3371" s="53" t="s">
        <v>4752</v>
      </c>
      <c r="D3371" s="53" t="s">
        <v>876</v>
      </c>
      <c r="E3371" s="53" t="s">
        <v>4874</v>
      </c>
      <c r="F3371" s="53" t="s">
        <v>73</v>
      </c>
      <c r="G3371" s="53" t="s">
        <v>4428</v>
      </c>
      <c r="H3371" s="53">
        <v>1.0</v>
      </c>
      <c r="I3371" s="53">
        <v>0.020618556701030927</v>
      </c>
      <c r="J3371" s="53">
        <v>2.0</v>
      </c>
      <c r="K3371" s="53" t="s">
        <v>53</v>
      </c>
      <c r="L3371" s="53" t="s">
        <v>53</v>
      </c>
    </row>
    <row r="3372" ht="15.75" customHeight="1">
      <c r="A3372" s="53" t="s">
        <v>515</v>
      </c>
      <c r="B3372" s="53" t="s">
        <v>4752</v>
      </c>
      <c r="D3372" s="53" t="s">
        <v>876</v>
      </c>
      <c r="E3372" s="53" t="s">
        <v>4875</v>
      </c>
      <c r="F3372" s="53" t="s">
        <v>73</v>
      </c>
      <c r="G3372" s="53" t="s">
        <v>4430</v>
      </c>
      <c r="H3372" s="53">
        <v>1.0</v>
      </c>
      <c r="I3372" s="53">
        <v>0.020618556701030927</v>
      </c>
      <c r="J3372" s="53">
        <v>4.0</v>
      </c>
      <c r="K3372" s="53" t="s">
        <v>53</v>
      </c>
      <c r="L3372" s="53" t="s">
        <v>53</v>
      </c>
    </row>
    <row r="3373" ht="15.75" customHeight="1">
      <c r="A3373" s="53" t="s">
        <v>515</v>
      </c>
      <c r="B3373" s="53" t="s">
        <v>4752</v>
      </c>
      <c r="D3373" s="53" t="s">
        <v>4424</v>
      </c>
      <c r="E3373" s="53" t="s">
        <v>4425</v>
      </c>
      <c r="F3373" s="53" t="s">
        <v>73</v>
      </c>
      <c r="G3373" s="53" t="s">
        <v>871</v>
      </c>
      <c r="H3373" s="53">
        <v>1.0</v>
      </c>
      <c r="I3373" s="53">
        <v>0.010309278350515464</v>
      </c>
      <c r="J3373" s="53">
        <v>0.0</v>
      </c>
      <c r="K3373" s="53" t="s">
        <v>53</v>
      </c>
      <c r="L3373" s="53" t="s">
        <v>53</v>
      </c>
    </row>
    <row r="3374" ht="15.75" customHeight="1">
      <c r="A3374" s="53" t="s">
        <v>515</v>
      </c>
      <c r="B3374" s="53" t="s">
        <v>4752</v>
      </c>
      <c r="D3374" s="53" t="s">
        <v>4424</v>
      </c>
      <c r="E3374" s="53" t="s">
        <v>4427</v>
      </c>
      <c r="F3374" s="53" t="s">
        <v>73</v>
      </c>
      <c r="G3374" s="53" t="s">
        <v>4428</v>
      </c>
      <c r="H3374" s="53">
        <v>1.0</v>
      </c>
      <c r="I3374" s="53">
        <v>0.010309278350515464</v>
      </c>
      <c r="J3374" s="53">
        <v>1.0</v>
      </c>
      <c r="K3374" s="53" t="s">
        <v>53</v>
      </c>
      <c r="L3374" s="53" t="s">
        <v>53</v>
      </c>
    </row>
    <row r="3375" ht="15.75" customHeight="1">
      <c r="A3375" s="53" t="s">
        <v>515</v>
      </c>
      <c r="B3375" s="53" t="s">
        <v>4752</v>
      </c>
      <c r="D3375" s="53" t="s">
        <v>4424</v>
      </c>
      <c r="E3375" s="53" t="s">
        <v>4429</v>
      </c>
      <c r="F3375" s="53" t="s">
        <v>73</v>
      </c>
      <c r="G3375" s="53" t="s">
        <v>4430</v>
      </c>
      <c r="H3375" s="53">
        <v>1.0</v>
      </c>
      <c r="I3375" s="53">
        <v>0.010309278350515464</v>
      </c>
      <c r="J3375" s="53">
        <v>3.0</v>
      </c>
      <c r="K3375" s="53" t="s">
        <v>53</v>
      </c>
      <c r="L3375" s="53" t="s">
        <v>53</v>
      </c>
    </row>
    <row r="3376" ht="15.75" customHeight="1">
      <c r="A3376" s="53" t="s">
        <v>515</v>
      </c>
      <c r="B3376" s="53" t="s">
        <v>4752</v>
      </c>
      <c r="D3376" s="53" t="s">
        <v>4424</v>
      </c>
      <c r="E3376" s="53" t="s">
        <v>4431</v>
      </c>
      <c r="F3376" s="53" t="s">
        <v>73</v>
      </c>
      <c r="G3376" s="53" t="s">
        <v>4432</v>
      </c>
      <c r="H3376" s="53">
        <v>1.0</v>
      </c>
      <c r="I3376" s="53">
        <v>0.020618556701030927</v>
      </c>
      <c r="J3376" s="53">
        <v>2.0</v>
      </c>
      <c r="K3376" s="53" t="s">
        <v>53</v>
      </c>
      <c r="L3376" s="53" t="s">
        <v>53</v>
      </c>
    </row>
    <row r="3377" ht="15.75" customHeight="1">
      <c r="A3377" s="53" t="s">
        <v>515</v>
      </c>
      <c r="B3377" s="53" t="s">
        <v>4752</v>
      </c>
      <c r="D3377" s="53" t="s">
        <v>4424</v>
      </c>
      <c r="E3377" s="53" t="s">
        <v>4433</v>
      </c>
      <c r="F3377" s="53" t="s">
        <v>4434</v>
      </c>
      <c r="G3377" s="53" t="s">
        <v>4435</v>
      </c>
      <c r="H3377" s="53">
        <v>0.0</v>
      </c>
      <c r="I3377" s="53">
        <v>0.020618556701030927</v>
      </c>
      <c r="J3377" s="53">
        <v>4.0</v>
      </c>
      <c r="K3377" s="53" t="s">
        <v>53</v>
      </c>
      <c r="L3377" s="53" t="s">
        <v>4436</v>
      </c>
    </row>
    <row r="3378" ht="15.75" customHeight="1">
      <c r="A3378" s="53" t="s">
        <v>515</v>
      </c>
      <c r="B3378" s="53" t="s">
        <v>4752</v>
      </c>
      <c r="D3378" s="53" t="s">
        <v>871</v>
      </c>
      <c r="E3378" s="53" t="s">
        <v>4437</v>
      </c>
      <c r="F3378" s="53" t="s">
        <v>73</v>
      </c>
      <c r="G3378" s="53" t="s">
        <v>4432</v>
      </c>
      <c r="H3378" s="53">
        <v>1.0</v>
      </c>
      <c r="I3378" s="53">
        <v>0.010309278350515464</v>
      </c>
      <c r="J3378" s="53">
        <v>1.0</v>
      </c>
      <c r="K3378" s="53" t="s">
        <v>53</v>
      </c>
      <c r="L3378" s="53" t="s">
        <v>53</v>
      </c>
    </row>
    <row r="3379" ht="15.75" customHeight="1">
      <c r="A3379" s="53" t="s">
        <v>515</v>
      </c>
      <c r="B3379" s="53" t="s">
        <v>4752</v>
      </c>
      <c r="D3379" s="53" t="s">
        <v>871</v>
      </c>
      <c r="E3379" s="53" t="s">
        <v>4438</v>
      </c>
      <c r="F3379" s="53" t="s">
        <v>4434</v>
      </c>
      <c r="G3379" s="53" t="s">
        <v>4435</v>
      </c>
      <c r="H3379" s="53">
        <v>0.0</v>
      </c>
      <c r="I3379" s="53">
        <v>0.010309278350515464</v>
      </c>
      <c r="J3379" s="53">
        <v>3.0</v>
      </c>
      <c r="K3379" s="53" t="s">
        <v>53</v>
      </c>
      <c r="L3379" s="53" t="s">
        <v>4436</v>
      </c>
    </row>
    <row r="3380" ht="15.75" customHeight="1">
      <c r="A3380" s="53" t="s">
        <v>515</v>
      </c>
      <c r="B3380" s="53" t="s">
        <v>4752</v>
      </c>
      <c r="D3380" s="53" t="s">
        <v>871</v>
      </c>
      <c r="E3380" s="53" t="s">
        <v>4439</v>
      </c>
      <c r="F3380" s="53" t="s">
        <v>73</v>
      </c>
      <c r="G3380" s="53" t="s">
        <v>4428</v>
      </c>
      <c r="H3380" s="53">
        <v>1.0</v>
      </c>
      <c r="I3380" s="53">
        <v>0.020618556701030927</v>
      </c>
      <c r="J3380" s="53">
        <v>0.0</v>
      </c>
      <c r="K3380" s="53" t="s">
        <v>53</v>
      </c>
      <c r="L3380" s="53" t="s">
        <v>53</v>
      </c>
    </row>
    <row r="3381" ht="15.75" customHeight="1">
      <c r="A3381" s="53" t="s">
        <v>515</v>
      </c>
      <c r="B3381" s="53" t="s">
        <v>4752</v>
      </c>
      <c r="D3381" s="53" t="s">
        <v>871</v>
      </c>
      <c r="E3381" s="53" t="s">
        <v>4440</v>
      </c>
      <c r="F3381" s="53" t="s">
        <v>73</v>
      </c>
      <c r="G3381" s="53" t="s">
        <v>4430</v>
      </c>
      <c r="H3381" s="53">
        <v>1.0</v>
      </c>
      <c r="I3381" s="53">
        <v>0.020618556701030927</v>
      </c>
      <c r="J3381" s="53">
        <v>2.0</v>
      </c>
      <c r="K3381" s="53" t="s">
        <v>53</v>
      </c>
      <c r="L3381" s="53" t="s">
        <v>53</v>
      </c>
    </row>
    <row r="3382" ht="15.75" customHeight="1">
      <c r="A3382" s="53" t="s">
        <v>515</v>
      </c>
      <c r="B3382" s="53" t="s">
        <v>4752</v>
      </c>
      <c r="D3382" s="53" t="s">
        <v>4428</v>
      </c>
      <c r="E3382" s="53" t="s">
        <v>4441</v>
      </c>
      <c r="F3382" s="53" t="s">
        <v>73</v>
      </c>
      <c r="G3382" s="53" t="s">
        <v>4432</v>
      </c>
      <c r="H3382" s="53">
        <v>1.0</v>
      </c>
      <c r="I3382" s="53">
        <v>0.010309278350515464</v>
      </c>
      <c r="J3382" s="53">
        <v>0.0</v>
      </c>
      <c r="K3382" s="53" t="s">
        <v>53</v>
      </c>
      <c r="L3382" s="53" t="s">
        <v>53</v>
      </c>
    </row>
    <row r="3383" ht="15.75" customHeight="1">
      <c r="A3383" s="53" t="s">
        <v>515</v>
      </c>
      <c r="B3383" s="53" t="s">
        <v>4752</v>
      </c>
      <c r="D3383" s="53" t="s">
        <v>4428</v>
      </c>
      <c r="E3383" s="53" t="s">
        <v>4442</v>
      </c>
      <c r="F3383" s="53" t="s">
        <v>73</v>
      </c>
      <c r="G3383" s="53" t="s">
        <v>4430</v>
      </c>
      <c r="H3383" s="53">
        <v>1.0</v>
      </c>
      <c r="I3383" s="53">
        <v>0.010309278350515464</v>
      </c>
      <c r="J3383" s="53">
        <v>1.0</v>
      </c>
      <c r="K3383" s="53" t="s">
        <v>53</v>
      </c>
      <c r="L3383" s="53" t="s">
        <v>53</v>
      </c>
    </row>
    <row r="3384" ht="15.75" customHeight="1">
      <c r="A3384" s="53" t="s">
        <v>515</v>
      </c>
      <c r="B3384" s="53" t="s">
        <v>4752</v>
      </c>
      <c r="D3384" s="53" t="s">
        <v>4428</v>
      </c>
      <c r="E3384" s="53" t="s">
        <v>4443</v>
      </c>
      <c r="F3384" s="53" t="s">
        <v>4434</v>
      </c>
      <c r="G3384" s="53" t="s">
        <v>4435</v>
      </c>
      <c r="H3384" s="53">
        <v>0.0</v>
      </c>
      <c r="I3384" s="53">
        <v>0.020618556701030927</v>
      </c>
      <c r="J3384" s="53">
        <v>2.0</v>
      </c>
      <c r="K3384" s="53" t="s">
        <v>53</v>
      </c>
      <c r="L3384" s="53" t="s">
        <v>4436</v>
      </c>
    </row>
    <row r="3385" ht="15.75" customHeight="1">
      <c r="A3385" s="53" t="s">
        <v>515</v>
      </c>
      <c r="B3385" s="53" t="s">
        <v>4752</v>
      </c>
      <c r="D3385" s="53" t="s">
        <v>4432</v>
      </c>
      <c r="E3385" s="53" t="s">
        <v>4444</v>
      </c>
      <c r="F3385" s="53" t="s">
        <v>4434</v>
      </c>
      <c r="G3385" s="53" t="s">
        <v>4435</v>
      </c>
      <c r="H3385" s="53">
        <v>0.0</v>
      </c>
      <c r="I3385" s="53">
        <v>0.010309278350515464</v>
      </c>
      <c r="J3385" s="53">
        <v>1.0</v>
      </c>
      <c r="K3385" s="53" t="s">
        <v>53</v>
      </c>
      <c r="L3385" s="53" t="s">
        <v>4436</v>
      </c>
    </row>
    <row r="3386" ht="15.75" customHeight="1">
      <c r="A3386" s="53" t="s">
        <v>515</v>
      </c>
      <c r="B3386" s="53" t="s">
        <v>4752</v>
      </c>
      <c r="D3386" s="53" t="s">
        <v>4432</v>
      </c>
      <c r="E3386" s="53" t="s">
        <v>4445</v>
      </c>
      <c r="F3386" s="53" t="s">
        <v>73</v>
      </c>
      <c r="G3386" s="53" t="s">
        <v>4430</v>
      </c>
      <c r="H3386" s="53">
        <v>1.0</v>
      </c>
      <c r="I3386" s="53">
        <v>0.020618556701030927</v>
      </c>
      <c r="J3386" s="53">
        <v>0.0</v>
      </c>
      <c r="K3386" s="53" t="s">
        <v>53</v>
      </c>
      <c r="L3386" s="53" t="s">
        <v>53</v>
      </c>
    </row>
    <row r="3387" ht="15.75" customHeight="1">
      <c r="A3387" s="53" t="s">
        <v>515</v>
      </c>
      <c r="B3387" s="53" t="s">
        <v>4752</v>
      </c>
      <c r="D3387" s="53" t="s">
        <v>4430</v>
      </c>
      <c r="E3387" s="53" t="s">
        <v>4446</v>
      </c>
      <c r="F3387" s="53" t="s">
        <v>4434</v>
      </c>
      <c r="G3387" s="53" t="s">
        <v>4435</v>
      </c>
      <c r="H3387" s="53">
        <v>0.0</v>
      </c>
      <c r="I3387" s="53">
        <v>0.010309278350515464</v>
      </c>
      <c r="J3387" s="53">
        <v>0.0</v>
      </c>
      <c r="K3387" s="53" t="s">
        <v>53</v>
      </c>
      <c r="L3387" s="53" t="s">
        <v>4436</v>
      </c>
    </row>
    <row r="3388" ht="15.75" customHeight="1">
      <c r="A3388" s="53" t="s">
        <v>563</v>
      </c>
      <c r="B3388" s="53" t="s">
        <v>4876</v>
      </c>
      <c r="C3388" s="53" t="s">
        <v>865</v>
      </c>
      <c r="D3388" s="53" t="s">
        <v>4712</v>
      </c>
      <c r="E3388" s="53" t="s">
        <v>4713</v>
      </c>
      <c r="F3388" s="53" t="s">
        <v>4714</v>
      </c>
      <c r="G3388" s="53" t="s">
        <v>4715</v>
      </c>
      <c r="H3388" s="53">
        <v>1.0</v>
      </c>
      <c r="I3388" s="53">
        <v>0.038834951456310676</v>
      </c>
      <c r="J3388" s="53">
        <v>0.0</v>
      </c>
      <c r="K3388" s="53" t="s">
        <v>4877</v>
      </c>
      <c r="L3388" s="53" t="s">
        <v>53</v>
      </c>
    </row>
    <row r="3389" ht="15.75" customHeight="1">
      <c r="A3389" s="53" t="s">
        <v>563</v>
      </c>
      <c r="B3389" s="53" t="s">
        <v>4876</v>
      </c>
      <c r="C3389" s="53" t="s">
        <v>865</v>
      </c>
      <c r="D3389" s="53" t="s">
        <v>4878</v>
      </c>
      <c r="E3389" s="53" t="s">
        <v>4879</v>
      </c>
      <c r="F3389" s="53" t="s">
        <v>4880</v>
      </c>
      <c r="G3389" s="53" t="s">
        <v>4881</v>
      </c>
      <c r="H3389" s="53">
        <v>1.0</v>
      </c>
      <c r="I3389" s="53">
        <v>0.7485119047619048</v>
      </c>
      <c r="J3389" s="53">
        <v>1.0</v>
      </c>
      <c r="K3389" s="53" t="s">
        <v>4877</v>
      </c>
      <c r="L3389" s="53" t="s">
        <v>53</v>
      </c>
    </row>
    <row r="3390" ht="15.75" customHeight="1">
      <c r="A3390" s="53" t="s">
        <v>563</v>
      </c>
      <c r="B3390" s="53" t="s">
        <v>4876</v>
      </c>
      <c r="C3390" s="53" t="s">
        <v>865</v>
      </c>
      <c r="D3390" s="53" t="s">
        <v>4878</v>
      </c>
      <c r="E3390" s="53" t="s">
        <v>4882</v>
      </c>
      <c r="F3390" s="53" t="s">
        <v>4880</v>
      </c>
      <c r="G3390" s="53" t="s">
        <v>4883</v>
      </c>
      <c r="H3390" s="53">
        <v>1.0</v>
      </c>
      <c r="I3390" s="53">
        <v>0.75</v>
      </c>
      <c r="J3390" s="53">
        <v>0.0</v>
      </c>
      <c r="K3390" s="53" t="s">
        <v>4877</v>
      </c>
      <c r="L3390" s="53" t="s">
        <v>53</v>
      </c>
    </row>
    <row r="3391" ht="15.75" customHeight="1">
      <c r="A3391" s="53" t="s">
        <v>563</v>
      </c>
      <c r="B3391" s="53" t="s">
        <v>4876</v>
      </c>
      <c r="C3391" s="53" t="s">
        <v>865</v>
      </c>
      <c r="D3391" s="53" t="s">
        <v>4883</v>
      </c>
      <c r="E3391" s="53" t="s">
        <v>4884</v>
      </c>
      <c r="F3391" s="53" t="s">
        <v>4885</v>
      </c>
      <c r="G3391" s="53" t="s">
        <v>4881</v>
      </c>
      <c r="H3391" s="53">
        <v>1.0</v>
      </c>
      <c r="I3391" s="53">
        <v>0.016194331983805668</v>
      </c>
      <c r="J3391" s="53">
        <v>0.0</v>
      </c>
      <c r="K3391" s="53" t="s">
        <v>4877</v>
      </c>
      <c r="L3391" s="53" t="s">
        <v>53</v>
      </c>
    </row>
    <row r="3392" ht="15.75" customHeight="1">
      <c r="A3392" s="53" t="s">
        <v>515</v>
      </c>
      <c r="B3392" s="53" t="s">
        <v>4886</v>
      </c>
      <c r="C3392" s="53" t="s">
        <v>4887</v>
      </c>
      <c r="D3392" s="53" t="s">
        <v>4888</v>
      </c>
      <c r="E3392" s="53" t="s">
        <v>4889</v>
      </c>
      <c r="F3392" s="53" t="s">
        <v>4890</v>
      </c>
      <c r="G3392" s="53" t="s">
        <v>4891</v>
      </c>
      <c r="H3392" s="53">
        <v>1.0</v>
      </c>
      <c r="I3392" s="53">
        <v>0.0684931506849315</v>
      </c>
      <c r="J3392" s="53">
        <v>0.0</v>
      </c>
      <c r="K3392" s="53" t="s">
        <v>4892</v>
      </c>
      <c r="L3392" s="53" t="s">
        <v>53</v>
      </c>
    </row>
    <row r="3393" ht="15.75" customHeight="1">
      <c r="A3393" s="53" t="s">
        <v>515</v>
      </c>
      <c r="B3393" s="53" t="s">
        <v>4886</v>
      </c>
      <c r="C3393" s="53" t="s">
        <v>4887</v>
      </c>
      <c r="D3393" s="53" t="s">
        <v>4888</v>
      </c>
      <c r="E3393" s="53" t="s">
        <v>4893</v>
      </c>
      <c r="F3393" s="53" t="s">
        <v>4890</v>
      </c>
      <c r="G3393" s="53" t="s">
        <v>4894</v>
      </c>
      <c r="H3393" s="53">
        <v>1.0</v>
      </c>
      <c r="I3393" s="53">
        <v>0.08108108108108109</v>
      </c>
      <c r="J3393" s="53">
        <v>1.0</v>
      </c>
      <c r="K3393" s="53" t="s">
        <v>4892</v>
      </c>
      <c r="L3393" s="53" t="s">
        <v>53</v>
      </c>
    </row>
    <row r="3394" ht="15.75" customHeight="1">
      <c r="A3394" s="53" t="s">
        <v>515</v>
      </c>
      <c r="B3394" s="53" t="s">
        <v>4886</v>
      </c>
      <c r="C3394" s="53" t="s">
        <v>4887</v>
      </c>
      <c r="D3394" s="53" t="s">
        <v>4891</v>
      </c>
      <c r="E3394" s="53" t="s">
        <v>4895</v>
      </c>
      <c r="F3394" s="53" t="s">
        <v>4890</v>
      </c>
      <c r="G3394" s="53" t="s">
        <v>4894</v>
      </c>
      <c r="H3394" s="53">
        <v>1.0</v>
      </c>
      <c r="I3394" s="53">
        <v>0.06756756756756757</v>
      </c>
      <c r="J3394" s="53">
        <v>0.0</v>
      </c>
      <c r="K3394" s="53" t="s">
        <v>4892</v>
      </c>
      <c r="L3394" s="53" t="s">
        <v>53</v>
      </c>
    </row>
    <row r="3395" ht="15.75" customHeight="1">
      <c r="A3395" s="53" t="s">
        <v>4896</v>
      </c>
      <c r="B3395" s="53" t="s">
        <v>4897</v>
      </c>
      <c r="D3395" s="53" t="s">
        <v>4898</v>
      </c>
      <c r="E3395" s="53" t="s">
        <v>4899</v>
      </c>
      <c r="F3395" s="53" t="s">
        <v>4900</v>
      </c>
      <c r="G3395" s="53" t="s">
        <v>4901</v>
      </c>
      <c r="H3395" s="53">
        <v>1.0</v>
      </c>
      <c r="I3395" s="53">
        <v>0.12878787878787878</v>
      </c>
      <c r="J3395" s="53">
        <v>0.0</v>
      </c>
      <c r="K3395" s="53" t="s">
        <v>53</v>
      </c>
      <c r="L3395" s="53" t="s">
        <v>53</v>
      </c>
    </row>
    <row r="3396" ht="15.75" customHeight="1">
      <c r="A3396" s="53" t="s">
        <v>4902</v>
      </c>
      <c r="B3396" s="53" t="s">
        <v>4903</v>
      </c>
      <c r="D3396" s="53" t="s">
        <v>4904</v>
      </c>
      <c r="E3396" s="53" t="s">
        <v>4905</v>
      </c>
      <c r="F3396" s="53" t="s">
        <v>4906</v>
      </c>
      <c r="G3396" s="53" t="s">
        <v>4907</v>
      </c>
      <c r="H3396" s="53">
        <v>1.0</v>
      </c>
      <c r="I3396" s="53">
        <v>0.1724137931034483</v>
      </c>
      <c r="J3396" s="53">
        <v>1.0</v>
      </c>
      <c r="K3396" s="53" t="s">
        <v>53</v>
      </c>
      <c r="L3396" s="53" t="s">
        <v>53</v>
      </c>
    </row>
    <row r="3397" ht="15.75" customHeight="1">
      <c r="A3397" s="53" t="s">
        <v>4902</v>
      </c>
      <c r="B3397" s="53" t="s">
        <v>4908</v>
      </c>
      <c r="D3397" s="53" t="s">
        <v>4904</v>
      </c>
      <c r="E3397" s="53" t="s">
        <v>4909</v>
      </c>
      <c r="F3397" s="53" t="s">
        <v>4910</v>
      </c>
      <c r="G3397" s="53" t="s">
        <v>4907</v>
      </c>
      <c r="H3397" s="53">
        <v>1.0</v>
      </c>
      <c r="I3397" s="53">
        <v>0.1694915254237288</v>
      </c>
      <c r="J3397" s="53">
        <v>1.0</v>
      </c>
      <c r="K3397" s="53" t="s">
        <v>53</v>
      </c>
      <c r="L3397" s="53" t="s">
        <v>53</v>
      </c>
    </row>
    <row r="3398" ht="15.75" customHeight="1">
      <c r="A3398" s="53" t="s">
        <v>411</v>
      </c>
      <c r="B3398" s="53" t="s">
        <v>916</v>
      </c>
      <c r="C3398" s="53" t="s">
        <v>917</v>
      </c>
      <c r="D3398" s="53" t="s">
        <v>946</v>
      </c>
      <c r="E3398" s="53" t="s">
        <v>4911</v>
      </c>
      <c r="F3398" s="53" t="s">
        <v>418</v>
      </c>
      <c r="G3398" s="53" t="s">
        <v>950</v>
      </c>
      <c r="H3398" s="53">
        <v>1.0</v>
      </c>
      <c r="I3398" s="53">
        <v>0.17679558011049723</v>
      </c>
      <c r="J3398" s="53">
        <v>0.0</v>
      </c>
      <c r="K3398" s="53" t="s">
        <v>4912</v>
      </c>
      <c r="L3398" s="53" t="s">
        <v>53</v>
      </c>
    </row>
    <row r="3399" ht="15.75" customHeight="1">
      <c r="A3399" s="53" t="s">
        <v>411</v>
      </c>
      <c r="B3399" s="53" t="s">
        <v>916</v>
      </c>
      <c r="C3399" s="53" t="s">
        <v>917</v>
      </c>
      <c r="D3399" s="53" t="s">
        <v>4913</v>
      </c>
      <c r="E3399" s="53" t="s">
        <v>4914</v>
      </c>
      <c r="F3399" s="53" t="s">
        <v>4915</v>
      </c>
      <c r="G3399" s="53" t="s">
        <v>4916</v>
      </c>
      <c r="H3399" s="53">
        <v>1.0</v>
      </c>
      <c r="I3399" s="53">
        <v>0.0898876404494382</v>
      </c>
      <c r="J3399" s="53">
        <v>0.0</v>
      </c>
      <c r="K3399" s="53" t="s">
        <v>4912</v>
      </c>
      <c r="L3399" s="53" t="s">
        <v>53</v>
      </c>
    </row>
    <row r="3400" ht="15.75" customHeight="1">
      <c r="A3400" s="53" t="s">
        <v>411</v>
      </c>
      <c r="B3400" s="53" t="s">
        <v>916</v>
      </c>
      <c r="C3400" s="53" t="s">
        <v>917</v>
      </c>
      <c r="D3400" s="53" t="s">
        <v>960</v>
      </c>
      <c r="E3400" s="53" t="s">
        <v>4917</v>
      </c>
      <c r="F3400" s="53" t="s">
        <v>478</v>
      </c>
      <c r="G3400" s="53" t="s">
        <v>964</v>
      </c>
      <c r="H3400" s="53">
        <v>1.0</v>
      </c>
      <c r="I3400" s="53">
        <v>0.0392156862745098</v>
      </c>
      <c r="J3400" s="53">
        <v>0.0</v>
      </c>
      <c r="K3400" s="53" t="s">
        <v>4912</v>
      </c>
      <c r="L3400" s="53" t="s">
        <v>53</v>
      </c>
    </row>
    <row r="3401" ht="15.75" customHeight="1">
      <c r="A3401" s="53" t="s">
        <v>411</v>
      </c>
      <c r="B3401" s="53" t="s">
        <v>916</v>
      </c>
      <c r="C3401" s="53" t="s">
        <v>917</v>
      </c>
      <c r="D3401" s="53" t="s">
        <v>960</v>
      </c>
      <c r="E3401" s="53" t="s">
        <v>4918</v>
      </c>
      <c r="F3401" s="53" t="s">
        <v>478</v>
      </c>
      <c r="G3401" s="53" t="s">
        <v>968</v>
      </c>
      <c r="H3401" s="53">
        <v>1.0</v>
      </c>
      <c r="I3401" s="53">
        <v>0.05161290322580645</v>
      </c>
      <c r="J3401" s="53">
        <v>1.0</v>
      </c>
      <c r="K3401" s="53" t="s">
        <v>4912</v>
      </c>
      <c r="L3401" s="53" t="s">
        <v>53</v>
      </c>
    </row>
    <row r="3402" ht="15.75" customHeight="1">
      <c r="A3402" s="53" t="s">
        <v>411</v>
      </c>
      <c r="B3402" s="53" t="s">
        <v>916</v>
      </c>
      <c r="C3402" s="53" t="s">
        <v>917</v>
      </c>
      <c r="D3402" s="53" t="s">
        <v>960</v>
      </c>
      <c r="E3402" s="53" t="s">
        <v>4919</v>
      </c>
      <c r="F3402" s="53" t="s">
        <v>478</v>
      </c>
      <c r="G3402" s="53" t="s">
        <v>976</v>
      </c>
      <c r="H3402" s="53">
        <v>1.0</v>
      </c>
      <c r="I3402" s="53">
        <v>0.06535947712418301</v>
      </c>
      <c r="J3402" s="53">
        <v>3.0</v>
      </c>
      <c r="K3402" s="53" t="s">
        <v>4912</v>
      </c>
      <c r="L3402" s="53" t="s">
        <v>53</v>
      </c>
    </row>
    <row r="3403" ht="15.75" customHeight="1">
      <c r="A3403" s="53" t="s">
        <v>411</v>
      </c>
      <c r="B3403" s="53" t="s">
        <v>916</v>
      </c>
      <c r="C3403" s="53" t="s">
        <v>917</v>
      </c>
      <c r="D3403" s="53" t="s">
        <v>960</v>
      </c>
      <c r="E3403" s="53" t="s">
        <v>4920</v>
      </c>
      <c r="F3403" s="53" t="s">
        <v>478</v>
      </c>
      <c r="G3403" s="53" t="s">
        <v>972</v>
      </c>
      <c r="H3403" s="53">
        <v>1.0</v>
      </c>
      <c r="I3403" s="53">
        <v>0.09090909090909091</v>
      </c>
      <c r="J3403" s="53">
        <v>2.0</v>
      </c>
      <c r="K3403" s="53" t="s">
        <v>4912</v>
      </c>
      <c r="L3403" s="53" t="s">
        <v>53</v>
      </c>
    </row>
    <row r="3404" ht="15.75" customHeight="1">
      <c r="A3404" s="53" t="s">
        <v>411</v>
      </c>
      <c r="B3404" s="53" t="s">
        <v>916</v>
      </c>
      <c r="C3404" s="53" t="s">
        <v>917</v>
      </c>
      <c r="D3404" s="53" t="s">
        <v>960</v>
      </c>
      <c r="E3404" s="53" t="s">
        <v>4921</v>
      </c>
      <c r="F3404" s="53" t="s">
        <v>478</v>
      </c>
      <c r="G3404" s="53" t="s">
        <v>984</v>
      </c>
      <c r="H3404" s="53">
        <v>1.0</v>
      </c>
      <c r="I3404" s="53">
        <v>0.10256410256410256</v>
      </c>
      <c r="J3404" s="53">
        <v>5.0</v>
      </c>
      <c r="K3404" s="53" t="s">
        <v>4912</v>
      </c>
      <c r="L3404" s="53" t="s">
        <v>53</v>
      </c>
    </row>
    <row r="3405" ht="15.75" customHeight="1">
      <c r="A3405" s="53" t="s">
        <v>411</v>
      </c>
      <c r="B3405" s="53" t="s">
        <v>916</v>
      </c>
      <c r="C3405" s="53" t="s">
        <v>917</v>
      </c>
      <c r="D3405" s="53" t="s">
        <v>960</v>
      </c>
      <c r="E3405" s="53" t="s">
        <v>4922</v>
      </c>
      <c r="F3405" s="53" t="s">
        <v>478</v>
      </c>
      <c r="G3405" s="53" t="s">
        <v>980</v>
      </c>
      <c r="H3405" s="53">
        <v>1.0</v>
      </c>
      <c r="I3405" s="53">
        <v>0.10457516339869281</v>
      </c>
      <c r="J3405" s="53">
        <v>4.0</v>
      </c>
      <c r="K3405" s="53" t="s">
        <v>4912</v>
      </c>
      <c r="L3405" s="53" t="s">
        <v>53</v>
      </c>
    </row>
    <row r="3406" ht="15.75" customHeight="1">
      <c r="A3406" s="53" t="s">
        <v>411</v>
      </c>
      <c r="B3406" s="53" t="s">
        <v>916</v>
      </c>
      <c r="C3406" s="53" t="s">
        <v>917</v>
      </c>
      <c r="D3406" s="53" t="s">
        <v>960</v>
      </c>
      <c r="E3406" s="53" t="s">
        <v>4923</v>
      </c>
      <c r="F3406" s="53" t="s">
        <v>478</v>
      </c>
      <c r="G3406" s="53" t="s">
        <v>988</v>
      </c>
      <c r="H3406" s="53">
        <v>1.0</v>
      </c>
      <c r="I3406" s="53">
        <v>0.1437908496732026</v>
      </c>
      <c r="J3406" s="53">
        <v>6.0</v>
      </c>
      <c r="K3406" s="53" t="s">
        <v>4912</v>
      </c>
      <c r="L3406" s="53" t="s">
        <v>53</v>
      </c>
    </row>
    <row r="3407" ht="15.75" customHeight="1">
      <c r="A3407" s="53" t="s">
        <v>411</v>
      </c>
      <c r="B3407" s="53" t="s">
        <v>916</v>
      </c>
      <c r="C3407" s="53" t="s">
        <v>917</v>
      </c>
      <c r="D3407" s="53" t="s">
        <v>964</v>
      </c>
      <c r="E3407" s="53" t="s">
        <v>4924</v>
      </c>
      <c r="F3407" s="53" t="s">
        <v>478</v>
      </c>
      <c r="G3407" s="53" t="s">
        <v>972</v>
      </c>
      <c r="H3407" s="53">
        <v>1.0</v>
      </c>
      <c r="I3407" s="53">
        <v>0.05194805194805195</v>
      </c>
      <c r="J3407" s="53">
        <v>1.0</v>
      </c>
      <c r="K3407" s="53" t="s">
        <v>4912</v>
      </c>
      <c r="L3407" s="53" t="s">
        <v>53</v>
      </c>
    </row>
    <row r="3408" ht="15.75" customHeight="1">
      <c r="A3408" s="53" t="s">
        <v>411</v>
      </c>
      <c r="B3408" s="53" t="s">
        <v>916</v>
      </c>
      <c r="C3408" s="53" t="s">
        <v>917</v>
      </c>
      <c r="D3408" s="53" t="s">
        <v>964</v>
      </c>
      <c r="E3408" s="53" t="s">
        <v>4925</v>
      </c>
      <c r="F3408" s="53" t="s">
        <v>478</v>
      </c>
      <c r="G3408" s="53" t="s">
        <v>984</v>
      </c>
      <c r="H3408" s="53">
        <v>1.0</v>
      </c>
      <c r="I3408" s="53">
        <v>0.0641025641025641</v>
      </c>
      <c r="J3408" s="53">
        <v>4.0</v>
      </c>
      <c r="K3408" s="53" t="s">
        <v>4912</v>
      </c>
      <c r="L3408" s="53" t="s">
        <v>53</v>
      </c>
    </row>
    <row r="3409" ht="15.75" customHeight="1">
      <c r="A3409" s="53" t="s">
        <v>411</v>
      </c>
      <c r="B3409" s="53" t="s">
        <v>916</v>
      </c>
      <c r="C3409" s="53" t="s">
        <v>917</v>
      </c>
      <c r="D3409" s="53" t="s">
        <v>964</v>
      </c>
      <c r="E3409" s="53" t="s">
        <v>4926</v>
      </c>
      <c r="F3409" s="53" t="s">
        <v>478</v>
      </c>
      <c r="G3409" s="53" t="s">
        <v>980</v>
      </c>
      <c r="H3409" s="53">
        <v>1.0</v>
      </c>
      <c r="I3409" s="53">
        <v>0.06578947368421052</v>
      </c>
      <c r="J3409" s="53">
        <v>3.0</v>
      </c>
      <c r="K3409" s="53" t="s">
        <v>4912</v>
      </c>
      <c r="L3409" s="53" t="s">
        <v>53</v>
      </c>
    </row>
    <row r="3410" ht="15.75" customHeight="1">
      <c r="A3410" s="53" t="s">
        <v>411</v>
      </c>
      <c r="B3410" s="53" t="s">
        <v>916</v>
      </c>
      <c r="C3410" s="53" t="s">
        <v>917</v>
      </c>
      <c r="D3410" s="53" t="s">
        <v>964</v>
      </c>
      <c r="E3410" s="53" t="s">
        <v>4927</v>
      </c>
      <c r="F3410" s="53" t="s">
        <v>478</v>
      </c>
      <c r="G3410" s="53" t="s">
        <v>968</v>
      </c>
      <c r="H3410" s="53">
        <v>1.0</v>
      </c>
      <c r="I3410" s="53">
        <v>0.09032258064516129</v>
      </c>
      <c r="J3410" s="53">
        <v>0.0</v>
      </c>
      <c r="K3410" s="53" t="s">
        <v>4912</v>
      </c>
      <c r="L3410" s="53" t="s">
        <v>53</v>
      </c>
    </row>
    <row r="3411" ht="15.75" customHeight="1">
      <c r="A3411" s="53" t="s">
        <v>411</v>
      </c>
      <c r="B3411" s="53" t="s">
        <v>916</v>
      </c>
      <c r="C3411" s="53" t="s">
        <v>917</v>
      </c>
      <c r="D3411" s="53" t="s">
        <v>964</v>
      </c>
      <c r="E3411" s="53" t="s">
        <v>4928</v>
      </c>
      <c r="F3411" s="53" t="s">
        <v>478</v>
      </c>
      <c r="G3411" s="53" t="s">
        <v>976</v>
      </c>
      <c r="H3411" s="53">
        <v>1.0</v>
      </c>
      <c r="I3411" s="53">
        <v>0.10526315789473684</v>
      </c>
      <c r="J3411" s="53">
        <v>2.0</v>
      </c>
      <c r="K3411" s="53" t="s">
        <v>4912</v>
      </c>
      <c r="L3411" s="53" t="s">
        <v>53</v>
      </c>
    </row>
    <row r="3412" ht="15.75" customHeight="1">
      <c r="A3412" s="53" t="s">
        <v>411</v>
      </c>
      <c r="B3412" s="53" t="s">
        <v>916</v>
      </c>
      <c r="C3412" s="53" t="s">
        <v>917</v>
      </c>
      <c r="D3412" s="53" t="s">
        <v>964</v>
      </c>
      <c r="E3412" s="53" t="s">
        <v>4929</v>
      </c>
      <c r="F3412" s="53" t="s">
        <v>478</v>
      </c>
      <c r="G3412" s="53" t="s">
        <v>988</v>
      </c>
      <c r="H3412" s="53">
        <v>1.0</v>
      </c>
      <c r="I3412" s="53">
        <v>0.13815789473684212</v>
      </c>
      <c r="J3412" s="53">
        <v>5.0</v>
      </c>
      <c r="K3412" s="53" t="s">
        <v>4912</v>
      </c>
      <c r="L3412" s="53" t="s">
        <v>53</v>
      </c>
    </row>
    <row r="3413" ht="15.75" customHeight="1">
      <c r="A3413" s="53" t="s">
        <v>411</v>
      </c>
      <c r="B3413" s="53" t="s">
        <v>916</v>
      </c>
      <c r="C3413" s="53" t="s">
        <v>917</v>
      </c>
      <c r="D3413" s="53" t="s">
        <v>968</v>
      </c>
      <c r="E3413" s="53" t="s">
        <v>4930</v>
      </c>
      <c r="F3413" s="53" t="s">
        <v>478</v>
      </c>
      <c r="G3413" s="53" t="s">
        <v>972</v>
      </c>
      <c r="H3413" s="53">
        <v>1.0</v>
      </c>
      <c r="I3413" s="53">
        <v>0.03870967741935484</v>
      </c>
      <c r="J3413" s="53">
        <v>0.0</v>
      </c>
      <c r="K3413" s="53" t="s">
        <v>4912</v>
      </c>
      <c r="L3413" s="53" t="s">
        <v>53</v>
      </c>
    </row>
    <row r="3414" ht="15.75" customHeight="1">
      <c r="A3414" s="53" t="s">
        <v>411</v>
      </c>
      <c r="B3414" s="53" t="s">
        <v>916</v>
      </c>
      <c r="C3414" s="53" t="s">
        <v>917</v>
      </c>
      <c r="D3414" s="53" t="s">
        <v>968</v>
      </c>
      <c r="E3414" s="53" t="s">
        <v>4931</v>
      </c>
      <c r="F3414" s="53" t="s">
        <v>478</v>
      </c>
      <c r="G3414" s="53" t="s">
        <v>984</v>
      </c>
      <c r="H3414" s="53">
        <v>1.0</v>
      </c>
      <c r="I3414" s="53">
        <v>0.07692307692307693</v>
      </c>
      <c r="J3414" s="53">
        <v>3.0</v>
      </c>
      <c r="K3414" s="53" t="s">
        <v>4912</v>
      </c>
      <c r="L3414" s="53" t="s">
        <v>53</v>
      </c>
    </row>
    <row r="3415" ht="15.75" customHeight="1">
      <c r="A3415" s="53" t="s">
        <v>411</v>
      </c>
      <c r="B3415" s="53" t="s">
        <v>916</v>
      </c>
      <c r="C3415" s="53" t="s">
        <v>917</v>
      </c>
      <c r="D3415" s="53" t="s">
        <v>968</v>
      </c>
      <c r="E3415" s="53" t="s">
        <v>4932</v>
      </c>
      <c r="F3415" s="53" t="s">
        <v>478</v>
      </c>
      <c r="G3415" s="53" t="s">
        <v>976</v>
      </c>
      <c r="H3415" s="53">
        <v>1.0</v>
      </c>
      <c r="I3415" s="53">
        <v>0.07741935483870968</v>
      </c>
      <c r="J3415" s="53">
        <v>1.0</v>
      </c>
      <c r="K3415" s="53" t="s">
        <v>4912</v>
      </c>
      <c r="L3415" s="53" t="s">
        <v>53</v>
      </c>
    </row>
    <row r="3416" ht="15.75" customHeight="1">
      <c r="A3416" s="53" t="s">
        <v>411</v>
      </c>
      <c r="B3416" s="53" t="s">
        <v>916</v>
      </c>
      <c r="C3416" s="53" t="s">
        <v>917</v>
      </c>
      <c r="D3416" s="53" t="s">
        <v>968</v>
      </c>
      <c r="E3416" s="53" t="s">
        <v>4933</v>
      </c>
      <c r="F3416" s="53" t="s">
        <v>478</v>
      </c>
      <c r="G3416" s="53" t="s">
        <v>988</v>
      </c>
      <c r="H3416" s="53">
        <v>1.0</v>
      </c>
      <c r="I3416" s="53">
        <v>0.11612903225806452</v>
      </c>
      <c r="J3416" s="53">
        <v>4.0</v>
      </c>
      <c r="K3416" s="53" t="s">
        <v>4912</v>
      </c>
      <c r="L3416" s="53" t="s">
        <v>53</v>
      </c>
    </row>
    <row r="3417" ht="15.75" customHeight="1">
      <c r="A3417" s="53" t="s">
        <v>411</v>
      </c>
      <c r="B3417" s="53" t="s">
        <v>916</v>
      </c>
      <c r="C3417" s="53" t="s">
        <v>917</v>
      </c>
      <c r="D3417" s="53" t="s">
        <v>968</v>
      </c>
      <c r="E3417" s="53" t="s">
        <v>4934</v>
      </c>
      <c r="F3417" s="53" t="s">
        <v>478</v>
      </c>
      <c r="G3417" s="53" t="s">
        <v>980</v>
      </c>
      <c r="H3417" s="53">
        <v>1.0</v>
      </c>
      <c r="I3417" s="53">
        <v>0.11612903225806452</v>
      </c>
      <c r="J3417" s="53">
        <v>2.0</v>
      </c>
      <c r="K3417" s="53" t="s">
        <v>4912</v>
      </c>
      <c r="L3417" s="53" t="s">
        <v>53</v>
      </c>
    </row>
    <row r="3418" ht="15.75" customHeight="1">
      <c r="A3418" s="53" t="s">
        <v>411</v>
      </c>
      <c r="B3418" s="53" t="s">
        <v>916</v>
      </c>
      <c r="C3418" s="53" t="s">
        <v>917</v>
      </c>
      <c r="D3418" s="53" t="s">
        <v>972</v>
      </c>
      <c r="E3418" s="53" t="s">
        <v>4935</v>
      </c>
      <c r="F3418" s="53" t="s">
        <v>478</v>
      </c>
      <c r="G3418" s="53" t="s">
        <v>984</v>
      </c>
      <c r="H3418" s="53">
        <v>1.0</v>
      </c>
      <c r="I3418" s="53">
        <v>0.038461538461538464</v>
      </c>
      <c r="J3418" s="53">
        <v>2.0</v>
      </c>
      <c r="K3418" s="53" t="s">
        <v>4912</v>
      </c>
      <c r="L3418" s="53" t="s">
        <v>53</v>
      </c>
    </row>
    <row r="3419" ht="15.75" customHeight="1">
      <c r="A3419" s="53" t="s">
        <v>411</v>
      </c>
      <c r="B3419" s="53" t="s">
        <v>916</v>
      </c>
      <c r="C3419" s="53" t="s">
        <v>917</v>
      </c>
      <c r="D3419" s="53" t="s">
        <v>972</v>
      </c>
      <c r="E3419" s="53" t="s">
        <v>4936</v>
      </c>
      <c r="F3419" s="53" t="s">
        <v>478</v>
      </c>
      <c r="G3419" s="53" t="s">
        <v>980</v>
      </c>
      <c r="H3419" s="53">
        <v>1.0</v>
      </c>
      <c r="I3419" s="53">
        <v>0.07792207792207792</v>
      </c>
      <c r="J3419" s="53">
        <v>1.0</v>
      </c>
      <c r="K3419" s="53" t="s">
        <v>4912</v>
      </c>
      <c r="L3419" s="53" t="s">
        <v>53</v>
      </c>
    </row>
    <row r="3420" ht="15.75" customHeight="1">
      <c r="A3420" s="53" t="s">
        <v>411</v>
      </c>
      <c r="B3420" s="53" t="s">
        <v>916</v>
      </c>
      <c r="C3420" s="53" t="s">
        <v>917</v>
      </c>
      <c r="D3420" s="53" t="s">
        <v>972</v>
      </c>
      <c r="E3420" s="53" t="s">
        <v>4937</v>
      </c>
      <c r="F3420" s="53" t="s">
        <v>478</v>
      </c>
      <c r="G3420" s="53" t="s">
        <v>976</v>
      </c>
      <c r="H3420" s="53">
        <v>1.0</v>
      </c>
      <c r="I3420" s="53">
        <v>0.11688311688311688</v>
      </c>
      <c r="J3420" s="53">
        <v>0.0</v>
      </c>
      <c r="K3420" s="53" t="s">
        <v>4912</v>
      </c>
      <c r="L3420" s="53" t="s">
        <v>53</v>
      </c>
    </row>
    <row r="3421" ht="15.75" customHeight="1">
      <c r="A3421" s="53" t="s">
        <v>411</v>
      </c>
      <c r="B3421" s="53" t="s">
        <v>916</v>
      </c>
      <c r="C3421" s="53" t="s">
        <v>917</v>
      </c>
      <c r="D3421" s="53" t="s">
        <v>972</v>
      </c>
      <c r="E3421" s="53" t="s">
        <v>4938</v>
      </c>
      <c r="F3421" s="53" t="s">
        <v>478</v>
      </c>
      <c r="G3421" s="53" t="s">
        <v>988</v>
      </c>
      <c r="H3421" s="53">
        <v>1.0</v>
      </c>
      <c r="I3421" s="53">
        <v>0.14285714285714285</v>
      </c>
      <c r="J3421" s="53">
        <v>3.0</v>
      </c>
      <c r="K3421" s="53" t="s">
        <v>4912</v>
      </c>
      <c r="L3421" s="53" t="s">
        <v>53</v>
      </c>
    </row>
    <row r="3422" ht="15.75" customHeight="1">
      <c r="A3422" s="53" t="s">
        <v>411</v>
      </c>
      <c r="B3422" s="53" t="s">
        <v>916</v>
      </c>
      <c r="C3422" s="53" t="s">
        <v>917</v>
      </c>
      <c r="D3422" s="53" t="s">
        <v>976</v>
      </c>
      <c r="E3422" s="53" t="s">
        <v>4939</v>
      </c>
      <c r="F3422" s="53" t="s">
        <v>478</v>
      </c>
      <c r="G3422" s="53" t="s">
        <v>980</v>
      </c>
      <c r="H3422" s="53">
        <v>1.0</v>
      </c>
      <c r="I3422" s="53">
        <v>0.09271523178807947</v>
      </c>
      <c r="J3422" s="53">
        <v>0.0</v>
      </c>
      <c r="K3422" s="53" t="s">
        <v>4912</v>
      </c>
      <c r="L3422" s="53" t="s">
        <v>53</v>
      </c>
    </row>
    <row r="3423" ht="15.75" customHeight="1">
      <c r="A3423" s="53" t="s">
        <v>411</v>
      </c>
      <c r="B3423" s="53" t="s">
        <v>916</v>
      </c>
      <c r="C3423" s="53" t="s">
        <v>917</v>
      </c>
      <c r="D3423" s="53" t="s">
        <v>976</v>
      </c>
      <c r="E3423" s="53" t="s">
        <v>4940</v>
      </c>
      <c r="F3423" s="53" t="s">
        <v>478</v>
      </c>
      <c r="G3423" s="53" t="s">
        <v>984</v>
      </c>
      <c r="H3423" s="53">
        <v>1.0</v>
      </c>
      <c r="I3423" s="53">
        <v>0.1282051282051282</v>
      </c>
      <c r="J3423" s="53">
        <v>1.0</v>
      </c>
      <c r="K3423" s="53" t="s">
        <v>4912</v>
      </c>
      <c r="L3423" s="53" t="s">
        <v>53</v>
      </c>
    </row>
    <row r="3424" ht="15.75" customHeight="1">
      <c r="A3424" s="53" t="s">
        <v>411</v>
      </c>
      <c r="B3424" s="53" t="s">
        <v>916</v>
      </c>
      <c r="C3424" s="53" t="s">
        <v>917</v>
      </c>
      <c r="D3424" s="53" t="s">
        <v>976</v>
      </c>
      <c r="E3424" s="53" t="s">
        <v>4941</v>
      </c>
      <c r="F3424" s="53" t="s">
        <v>478</v>
      </c>
      <c r="G3424" s="53" t="s">
        <v>988</v>
      </c>
      <c r="H3424" s="53">
        <v>1.0</v>
      </c>
      <c r="I3424" s="53">
        <v>0.17218543046357615</v>
      </c>
      <c r="J3424" s="53">
        <v>2.0</v>
      </c>
      <c r="K3424" s="53" t="s">
        <v>4912</v>
      </c>
      <c r="L3424" s="53" t="s">
        <v>53</v>
      </c>
    </row>
    <row r="3425" ht="15.75" customHeight="1">
      <c r="A3425" s="53" t="s">
        <v>411</v>
      </c>
      <c r="B3425" s="53" t="s">
        <v>916</v>
      </c>
      <c r="C3425" s="53" t="s">
        <v>917</v>
      </c>
      <c r="D3425" s="53" t="s">
        <v>980</v>
      </c>
      <c r="E3425" s="53" t="s">
        <v>4942</v>
      </c>
      <c r="F3425" s="53" t="s">
        <v>478</v>
      </c>
      <c r="G3425" s="53" t="s">
        <v>984</v>
      </c>
      <c r="H3425" s="53">
        <v>1.0</v>
      </c>
      <c r="I3425" s="53">
        <v>0.08974358974358974</v>
      </c>
      <c r="J3425" s="53">
        <v>0.0</v>
      </c>
      <c r="K3425" s="53" t="s">
        <v>4912</v>
      </c>
      <c r="L3425" s="53" t="s">
        <v>53</v>
      </c>
    </row>
    <row r="3426" ht="15.75" customHeight="1">
      <c r="A3426" s="53" t="s">
        <v>411</v>
      </c>
      <c r="B3426" s="53" t="s">
        <v>916</v>
      </c>
      <c r="C3426" s="53" t="s">
        <v>917</v>
      </c>
      <c r="D3426" s="53" t="s">
        <v>980</v>
      </c>
      <c r="E3426" s="53" t="s">
        <v>4943</v>
      </c>
      <c r="F3426" s="53" t="s">
        <v>478</v>
      </c>
      <c r="G3426" s="53" t="s">
        <v>988</v>
      </c>
      <c r="H3426" s="53">
        <v>1.0</v>
      </c>
      <c r="I3426" s="53">
        <v>0.15333333333333332</v>
      </c>
      <c r="J3426" s="53">
        <v>1.0</v>
      </c>
      <c r="K3426" s="53" t="s">
        <v>4912</v>
      </c>
      <c r="L3426" s="53" t="s">
        <v>53</v>
      </c>
    </row>
    <row r="3427" ht="15.75" customHeight="1">
      <c r="A3427" s="53" t="s">
        <v>411</v>
      </c>
      <c r="B3427" s="53" t="s">
        <v>916</v>
      </c>
      <c r="C3427" s="53" t="s">
        <v>917</v>
      </c>
      <c r="D3427" s="53" t="s">
        <v>984</v>
      </c>
      <c r="E3427" s="53" t="s">
        <v>4944</v>
      </c>
      <c r="F3427" s="53" t="s">
        <v>478</v>
      </c>
      <c r="G3427" s="53" t="s">
        <v>988</v>
      </c>
      <c r="H3427" s="53">
        <v>1.0</v>
      </c>
      <c r="I3427" s="53">
        <v>0.10256410256410256</v>
      </c>
      <c r="J3427" s="53">
        <v>0.0</v>
      </c>
      <c r="K3427" s="53" t="s">
        <v>4912</v>
      </c>
      <c r="L3427" s="53" t="s">
        <v>53</v>
      </c>
    </row>
    <row r="3428" ht="15.75" customHeight="1">
      <c r="A3428" s="53" t="s">
        <v>2608</v>
      </c>
      <c r="B3428" s="53" t="s">
        <v>4945</v>
      </c>
      <c r="D3428" s="53" t="s">
        <v>4946</v>
      </c>
      <c r="E3428" s="53" t="s">
        <v>4947</v>
      </c>
      <c r="F3428" s="53" t="s">
        <v>73</v>
      </c>
      <c r="G3428" s="53" t="s">
        <v>4948</v>
      </c>
      <c r="H3428" s="53">
        <v>1.0</v>
      </c>
      <c r="I3428" s="53">
        <v>0.6302521008403361</v>
      </c>
      <c r="J3428" s="53">
        <v>7.0</v>
      </c>
      <c r="K3428" s="53" t="s">
        <v>53</v>
      </c>
      <c r="L3428" s="53" t="s">
        <v>53</v>
      </c>
    </row>
    <row r="3429" ht="15.75" customHeight="1">
      <c r="A3429" s="53" t="s">
        <v>2608</v>
      </c>
      <c r="B3429" s="53" t="s">
        <v>4945</v>
      </c>
      <c r="D3429" s="53" t="s">
        <v>4946</v>
      </c>
      <c r="E3429" s="53" t="s">
        <v>4949</v>
      </c>
      <c r="F3429" s="53" t="s">
        <v>73</v>
      </c>
      <c r="G3429" s="53" t="s">
        <v>4950</v>
      </c>
      <c r="H3429" s="53">
        <v>1.0</v>
      </c>
      <c r="I3429" s="53">
        <v>0.632</v>
      </c>
      <c r="J3429" s="53">
        <v>8.0</v>
      </c>
      <c r="K3429" s="53" t="s">
        <v>53</v>
      </c>
      <c r="L3429" s="53" t="s">
        <v>53</v>
      </c>
    </row>
    <row r="3430" ht="15.75" customHeight="1">
      <c r="A3430" s="53" t="s">
        <v>2608</v>
      </c>
      <c r="B3430" s="53" t="s">
        <v>4945</v>
      </c>
      <c r="D3430" s="53" t="s">
        <v>1614</v>
      </c>
      <c r="E3430" s="53" t="s">
        <v>1988</v>
      </c>
      <c r="F3430" s="53" t="s">
        <v>1616</v>
      </c>
      <c r="G3430" s="53" t="s">
        <v>1617</v>
      </c>
      <c r="H3430" s="53">
        <v>1.0</v>
      </c>
      <c r="I3430" s="53">
        <v>0.4954545454545455</v>
      </c>
      <c r="J3430" s="53">
        <v>1.0</v>
      </c>
      <c r="K3430" s="53" t="s">
        <v>53</v>
      </c>
      <c r="L3430" s="53" t="s">
        <v>53</v>
      </c>
    </row>
    <row r="3431" ht="15.75" customHeight="1">
      <c r="A3431" s="53" t="s">
        <v>2608</v>
      </c>
      <c r="B3431" s="53" t="s">
        <v>4945</v>
      </c>
      <c r="D3431" s="53" t="s">
        <v>1614</v>
      </c>
      <c r="E3431" s="53" t="s">
        <v>1990</v>
      </c>
      <c r="F3431" s="53" t="s">
        <v>1619</v>
      </c>
      <c r="G3431" s="53" t="s">
        <v>1620</v>
      </c>
      <c r="H3431" s="53">
        <v>1.0</v>
      </c>
      <c r="I3431" s="53">
        <v>0.5981132075471698</v>
      </c>
      <c r="J3431" s="53">
        <v>0.0</v>
      </c>
      <c r="K3431" s="53" t="s">
        <v>53</v>
      </c>
      <c r="L3431" s="53" t="s">
        <v>53</v>
      </c>
    </row>
    <row r="3432" ht="15.75" customHeight="1">
      <c r="A3432" s="53" t="s">
        <v>2608</v>
      </c>
      <c r="B3432" s="53" t="s">
        <v>4945</v>
      </c>
      <c r="D3432" s="53" t="s">
        <v>1620</v>
      </c>
      <c r="E3432" s="53" t="s">
        <v>1992</v>
      </c>
      <c r="F3432" s="53" t="s">
        <v>1622</v>
      </c>
      <c r="G3432" s="53" t="s">
        <v>1617</v>
      </c>
      <c r="H3432" s="53">
        <v>1.0</v>
      </c>
      <c r="I3432" s="53">
        <v>0.7886792452830189</v>
      </c>
      <c r="J3432" s="53">
        <v>0.0</v>
      </c>
      <c r="K3432" s="53" t="s">
        <v>53</v>
      </c>
      <c r="L3432" s="53" t="s">
        <v>53</v>
      </c>
    </row>
    <row r="3433" ht="15.75" customHeight="1">
      <c r="A3433" s="53" t="s">
        <v>2608</v>
      </c>
      <c r="B3433" s="53" t="s">
        <v>4945</v>
      </c>
      <c r="D3433" s="53" t="s">
        <v>4948</v>
      </c>
      <c r="E3433" s="53" t="s">
        <v>4951</v>
      </c>
      <c r="F3433" s="53" t="s">
        <v>73</v>
      </c>
      <c r="G3433" s="53" t="s">
        <v>4950</v>
      </c>
      <c r="H3433" s="53">
        <v>1.0</v>
      </c>
      <c r="I3433" s="53">
        <v>0.048</v>
      </c>
      <c r="J3433" s="53">
        <v>0.0</v>
      </c>
      <c r="K3433" s="53" t="s">
        <v>53</v>
      </c>
      <c r="L3433" s="53" t="s">
        <v>53</v>
      </c>
    </row>
    <row r="3434" ht="15.75" customHeight="1">
      <c r="A3434" s="53" t="s">
        <v>2594</v>
      </c>
      <c r="B3434" s="53" t="s">
        <v>4945</v>
      </c>
      <c r="D3434" s="53" t="s">
        <v>1578</v>
      </c>
      <c r="E3434" s="53" t="s">
        <v>2595</v>
      </c>
      <c r="F3434" s="53" t="s">
        <v>1580</v>
      </c>
      <c r="G3434" s="53" t="s">
        <v>1581</v>
      </c>
      <c r="H3434" s="53">
        <v>1.0</v>
      </c>
      <c r="I3434" s="53">
        <v>0.043478260869565216</v>
      </c>
      <c r="J3434" s="53">
        <v>0.0</v>
      </c>
      <c r="K3434" s="53" t="s">
        <v>53</v>
      </c>
      <c r="L3434" s="53" t="s">
        <v>53</v>
      </c>
    </row>
    <row r="3435" ht="15.75" customHeight="1">
      <c r="A3435" s="53" t="s">
        <v>2594</v>
      </c>
      <c r="B3435" s="53" t="s">
        <v>4945</v>
      </c>
      <c r="D3435" s="53" t="s">
        <v>1232</v>
      </c>
      <c r="E3435" s="53" t="s">
        <v>4952</v>
      </c>
      <c r="F3435" s="53" t="s">
        <v>4953</v>
      </c>
      <c r="G3435" s="53" t="s">
        <v>1235</v>
      </c>
      <c r="H3435" s="53">
        <v>1.0</v>
      </c>
      <c r="I3435" s="53">
        <v>0.5669565217391305</v>
      </c>
      <c r="J3435" s="53">
        <v>0.0</v>
      </c>
      <c r="K3435" s="53" t="s">
        <v>53</v>
      </c>
      <c r="L3435" s="53" t="s">
        <v>53</v>
      </c>
    </row>
    <row r="3436" ht="15.75" customHeight="1">
      <c r="A3436" s="53" t="s">
        <v>296</v>
      </c>
      <c r="B3436" s="53" t="s">
        <v>4945</v>
      </c>
      <c r="D3436" s="53" t="s">
        <v>305</v>
      </c>
      <c r="E3436" s="53" t="s">
        <v>4755</v>
      </c>
      <c r="F3436" s="53" t="s">
        <v>4756</v>
      </c>
      <c r="G3436" s="53" t="s">
        <v>313</v>
      </c>
      <c r="H3436" s="53">
        <v>0.875</v>
      </c>
      <c r="I3436" s="53">
        <v>0.28507795100222716</v>
      </c>
      <c r="J3436" s="53">
        <v>9.0</v>
      </c>
      <c r="K3436" s="53" t="s">
        <v>53</v>
      </c>
      <c r="L3436" s="53" t="s">
        <v>2707</v>
      </c>
    </row>
    <row r="3437" ht="15.75" customHeight="1">
      <c r="A3437" s="53" t="s">
        <v>296</v>
      </c>
      <c r="B3437" s="53" t="s">
        <v>4945</v>
      </c>
      <c r="D3437" s="53" t="s">
        <v>305</v>
      </c>
      <c r="E3437" s="53" t="s">
        <v>4757</v>
      </c>
      <c r="F3437" s="53" t="s">
        <v>4756</v>
      </c>
      <c r="G3437" s="53" t="s">
        <v>2627</v>
      </c>
      <c r="H3437" s="53">
        <v>0.875</v>
      </c>
      <c r="I3437" s="53">
        <v>0.2873051224944321</v>
      </c>
      <c r="J3437" s="53">
        <v>11.0</v>
      </c>
      <c r="K3437" s="53" t="s">
        <v>53</v>
      </c>
      <c r="L3437" s="53" t="s">
        <v>2707</v>
      </c>
    </row>
    <row r="3438" ht="15.75" customHeight="1">
      <c r="A3438" s="53" t="s">
        <v>296</v>
      </c>
      <c r="B3438" s="53" t="s">
        <v>4945</v>
      </c>
      <c r="D3438" s="53" t="s">
        <v>305</v>
      </c>
      <c r="E3438" s="53" t="s">
        <v>4758</v>
      </c>
      <c r="F3438" s="53" t="s">
        <v>4756</v>
      </c>
      <c r="G3438" s="53" t="s">
        <v>2630</v>
      </c>
      <c r="H3438" s="53">
        <v>0.875</v>
      </c>
      <c r="I3438" s="53">
        <v>0.289532293986637</v>
      </c>
      <c r="J3438" s="53">
        <v>10.0</v>
      </c>
      <c r="K3438" s="53" t="s">
        <v>53</v>
      </c>
      <c r="L3438" s="53" t="s">
        <v>2707</v>
      </c>
    </row>
    <row r="3439" ht="15.75" customHeight="1">
      <c r="A3439" s="53" t="s">
        <v>296</v>
      </c>
      <c r="B3439" s="53" t="s">
        <v>4945</v>
      </c>
      <c r="D3439" s="53" t="s">
        <v>305</v>
      </c>
      <c r="E3439" s="53" t="s">
        <v>4759</v>
      </c>
      <c r="F3439" s="53" t="s">
        <v>4756</v>
      </c>
      <c r="G3439" s="53" t="s">
        <v>299</v>
      </c>
      <c r="H3439" s="53">
        <v>0.875</v>
      </c>
      <c r="I3439" s="53">
        <v>0.32293986636971045</v>
      </c>
      <c r="J3439" s="53">
        <v>8.0</v>
      </c>
      <c r="K3439" s="53" t="s">
        <v>53</v>
      </c>
      <c r="L3439" s="53" t="s">
        <v>2707</v>
      </c>
    </row>
    <row r="3440" ht="15.75" customHeight="1">
      <c r="A3440" s="53" t="s">
        <v>296</v>
      </c>
      <c r="B3440" s="53" t="s">
        <v>4945</v>
      </c>
      <c r="D3440" s="53" t="s">
        <v>1592</v>
      </c>
      <c r="E3440" s="53" t="s">
        <v>4760</v>
      </c>
      <c r="F3440" s="53" t="s">
        <v>1594</v>
      </c>
      <c r="G3440" s="53" t="s">
        <v>1595</v>
      </c>
      <c r="H3440" s="53">
        <v>1.0</v>
      </c>
      <c r="I3440" s="53">
        <v>0.04411764705882353</v>
      </c>
      <c r="J3440" s="53">
        <v>0.0</v>
      </c>
      <c r="K3440" s="53" t="s">
        <v>53</v>
      </c>
      <c r="L3440" s="53" t="s">
        <v>53</v>
      </c>
    </row>
    <row r="3441" ht="15.75" customHeight="1">
      <c r="A3441" s="53" t="s">
        <v>296</v>
      </c>
      <c r="B3441" s="53" t="s">
        <v>4945</v>
      </c>
      <c r="D3441" s="53" t="s">
        <v>1596</v>
      </c>
      <c r="E3441" s="53" t="s">
        <v>4954</v>
      </c>
      <c r="F3441" s="53" t="s">
        <v>4762</v>
      </c>
      <c r="G3441" s="53" t="s">
        <v>1599</v>
      </c>
      <c r="H3441" s="53">
        <v>0.6</v>
      </c>
      <c r="I3441" s="53">
        <v>0.048558421851289835</v>
      </c>
      <c r="J3441" s="53">
        <v>0.0</v>
      </c>
      <c r="K3441" s="53" t="s">
        <v>53</v>
      </c>
      <c r="L3441" s="53" t="s">
        <v>1199</v>
      </c>
    </row>
    <row r="3442" ht="15.75" customHeight="1">
      <c r="A3442" s="53" t="s">
        <v>296</v>
      </c>
      <c r="B3442" s="53" t="s">
        <v>4945</v>
      </c>
      <c r="D3442" s="53" t="s">
        <v>4763</v>
      </c>
      <c r="E3442" s="53" t="s">
        <v>4955</v>
      </c>
      <c r="F3442" s="53" t="s">
        <v>4956</v>
      </c>
      <c r="G3442" s="53" t="s">
        <v>1227</v>
      </c>
      <c r="H3442" s="53">
        <v>0.8333333333333334</v>
      </c>
      <c r="I3442" s="53">
        <v>0.16486486486486487</v>
      </c>
      <c r="J3442" s="53">
        <v>1.0</v>
      </c>
      <c r="K3442" s="53" t="s">
        <v>53</v>
      </c>
      <c r="L3442" s="53" t="s">
        <v>4957</v>
      </c>
    </row>
    <row r="3443" ht="15.75" customHeight="1">
      <c r="A3443" s="53" t="s">
        <v>296</v>
      </c>
      <c r="B3443" s="53" t="s">
        <v>4945</v>
      </c>
      <c r="D3443" s="53" t="s">
        <v>4763</v>
      </c>
      <c r="E3443" s="53" t="s">
        <v>4958</v>
      </c>
      <c r="F3443" s="53" t="s">
        <v>4956</v>
      </c>
      <c r="G3443" s="53" t="s">
        <v>1230</v>
      </c>
      <c r="H3443" s="53">
        <v>0.8333333333333334</v>
      </c>
      <c r="I3443" s="53">
        <v>0.5176470588235295</v>
      </c>
      <c r="J3443" s="53">
        <v>2.0</v>
      </c>
      <c r="K3443" s="53" t="s">
        <v>53</v>
      </c>
      <c r="L3443" s="53" t="s">
        <v>4957</v>
      </c>
    </row>
    <row r="3444" ht="15.75" customHeight="1">
      <c r="A3444" s="53" t="s">
        <v>296</v>
      </c>
      <c r="B3444" s="53" t="s">
        <v>4945</v>
      </c>
      <c r="D3444" s="53" t="s">
        <v>1224</v>
      </c>
      <c r="E3444" s="53" t="s">
        <v>4959</v>
      </c>
      <c r="F3444" s="53" t="s">
        <v>4960</v>
      </c>
      <c r="G3444" s="53" t="s">
        <v>1227</v>
      </c>
      <c r="H3444" s="53">
        <v>0.8333333333333334</v>
      </c>
      <c r="I3444" s="53">
        <v>0.2753623188405797</v>
      </c>
      <c r="J3444" s="53">
        <v>0.0</v>
      </c>
      <c r="K3444" s="53" t="s">
        <v>53</v>
      </c>
      <c r="L3444" s="53" t="s">
        <v>2709</v>
      </c>
    </row>
    <row r="3445" ht="15.75" customHeight="1">
      <c r="A3445" s="53" t="s">
        <v>296</v>
      </c>
      <c r="B3445" s="53" t="s">
        <v>4945</v>
      </c>
      <c r="D3445" s="53" t="s">
        <v>1224</v>
      </c>
      <c r="E3445" s="53" t="s">
        <v>4961</v>
      </c>
      <c r="F3445" s="53" t="s">
        <v>4960</v>
      </c>
      <c r="G3445" s="53" t="s">
        <v>1230</v>
      </c>
      <c r="H3445" s="53">
        <v>0.8333333333333334</v>
      </c>
      <c r="I3445" s="53">
        <v>0.46176470588235297</v>
      </c>
      <c r="J3445" s="53">
        <v>1.0</v>
      </c>
      <c r="K3445" s="53" t="s">
        <v>53</v>
      </c>
      <c r="L3445" s="53" t="s">
        <v>2709</v>
      </c>
    </row>
    <row r="3446" ht="15.75" customHeight="1">
      <c r="A3446" s="53" t="s">
        <v>296</v>
      </c>
      <c r="B3446" s="53" t="s">
        <v>4945</v>
      </c>
      <c r="D3446" s="53" t="s">
        <v>1227</v>
      </c>
      <c r="E3446" s="53" t="s">
        <v>4962</v>
      </c>
      <c r="F3446" s="53" t="s">
        <v>4963</v>
      </c>
      <c r="G3446" s="53" t="s">
        <v>1230</v>
      </c>
      <c r="H3446" s="53">
        <v>1.0</v>
      </c>
      <c r="I3446" s="53">
        <v>0.4676470588235294</v>
      </c>
      <c r="J3446" s="53">
        <v>0.0</v>
      </c>
      <c r="K3446" s="53" t="s">
        <v>53</v>
      </c>
      <c r="L3446" s="53" t="s">
        <v>53</v>
      </c>
    </row>
    <row r="3447" ht="15.75" customHeight="1">
      <c r="A3447" s="53" t="s">
        <v>296</v>
      </c>
      <c r="B3447" s="53" t="s">
        <v>4945</v>
      </c>
      <c r="D3447" s="53" t="s">
        <v>299</v>
      </c>
      <c r="E3447" s="53" t="s">
        <v>4772</v>
      </c>
      <c r="F3447" s="53" t="s">
        <v>4773</v>
      </c>
      <c r="G3447" s="53" t="s">
        <v>2627</v>
      </c>
      <c r="H3447" s="53">
        <v>1.0</v>
      </c>
      <c r="I3447" s="53">
        <v>0.31403118040089084</v>
      </c>
      <c r="J3447" s="53">
        <v>2.0</v>
      </c>
      <c r="K3447" s="53" t="s">
        <v>53</v>
      </c>
      <c r="L3447" s="53" t="s">
        <v>53</v>
      </c>
    </row>
    <row r="3448" ht="15.75" customHeight="1">
      <c r="A3448" s="53" t="s">
        <v>296</v>
      </c>
      <c r="B3448" s="53" t="s">
        <v>4945</v>
      </c>
      <c r="D3448" s="53" t="s">
        <v>299</v>
      </c>
      <c r="E3448" s="53" t="s">
        <v>4774</v>
      </c>
      <c r="F3448" s="53" t="s">
        <v>4773</v>
      </c>
      <c r="G3448" s="53" t="s">
        <v>313</v>
      </c>
      <c r="H3448" s="53">
        <v>1.0</v>
      </c>
      <c r="I3448" s="53">
        <v>0.31625835189309576</v>
      </c>
      <c r="J3448" s="53">
        <v>0.0</v>
      </c>
      <c r="K3448" s="53" t="s">
        <v>53</v>
      </c>
      <c r="L3448" s="53" t="s">
        <v>53</v>
      </c>
    </row>
    <row r="3449" ht="15.75" customHeight="1">
      <c r="A3449" s="53" t="s">
        <v>296</v>
      </c>
      <c r="B3449" s="53" t="s">
        <v>4945</v>
      </c>
      <c r="D3449" s="53" t="s">
        <v>299</v>
      </c>
      <c r="E3449" s="53" t="s">
        <v>4775</v>
      </c>
      <c r="F3449" s="53" t="s">
        <v>4773</v>
      </c>
      <c r="G3449" s="53" t="s">
        <v>2630</v>
      </c>
      <c r="H3449" s="53">
        <v>1.0</v>
      </c>
      <c r="I3449" s="53">
        <v>0.3207126948775056</v>
      </c>
      <c r="J3449" s="53">
        <v>1.0</v>
      </c>
      <c r="K3449" s="53" t="s">
        <v>53</v>
      </c>
      <c r="L3449" s="53" t="s">
        <v>53</v>
      </c>
    </row>
    <row r="3450" ht="15.75" customHeight="1">
      <c r="A3450" s="53" t="s">
        <v>296</v>
      </c>
      <c r="B3450" s="53" t="s">
        <v>4945</v>
      </c>
      <c r="D3450" s="53" t="s">
        <v>313</v>
      </c>
      <c r="E3450" s="53" t="s">
        <v>4778</v>
      </c>
      <c r="F3450" s="53" t="s">
        <v>4773</v>
      </c>
      <c r="G3450" s="53" t="s">
        <v>2627</v>
      </c>
      <c r="H3450" s="53">
        <v>1.0</v>
      </c>
      <c r="I3450" s="53">
        <v>0.015197568389057751</v>
      </c>
      <c r="J3450" s="53">
        <v>1.0</v>
      </c>
      <c r="K3450" s="53" t="s">
        <v>53</v>
      </c>
      <c r="L3450" s="53" t="s">
        <v>53</v>
      </c>
    </row>
    <row r="3451" ht="15.75" customHeight="1">
      <c r="A3451" s="53" t="s">
        <v>296</v>
      </c>
      <c r="B3451" s="53" t="s">
        <v>4945</v>
      </c>
      <c r="D3451" s="53" t="s">
        <v>313</v>
      </c>
      <c r="E3451" s="53" t="s">
        <v>4779</v>
      </c>
      <c r="F3451" s="53" t="s">
        <v>4773</v>
      </c>
      <c r="G3451" s="53" t="s">
        <v>2630</v>
      </c>
      <c r="H3451" s="53">
        <v>1.0</v>
      </c>
      <c r="I3451" s="53">
        <v>0.021148036253776436</v>
      </c>
      <c r="J3451" s="53">
        <v>0.0</v>
      </c>
      <c r="K3451" s="53" t="s">
        <v>53</v>
      </c>
      <c r="L3451" s="53" t="s">
        <v>53</v>
      </c>
    </row>
    <row r="3452" ht="15.75" customHeight="1">
      <c r="A3452" s="53" t="s">
        <v>296</v>
      </c>
      <c r="B3452" s="53" t="s">
        <v>4945</v>
      </c>
      <c r="D3452" s="53" t="s">
        <v>2630</v>
      </c>
      <c r="E3452" s="53" t="s">
        <v>4781</v>
      </c>
      <c r="F3452" s="53" t="s">
        <v>4773</v>
      </c>
      <c r="G3452" s="53" t="s">
        <v>2627</v>
      </c>
      <c r="H3452" s="53">
        <v>1.0</v>
      </c>
      <c r="I3452" s="53">
        <v>0.012084592145015106</v>
      </c>
      <c r="J3452" s="53">
        <v>0.0</v>
      </c>
      <c r="K3452" s="53" t="s">
        <v>53</v>
      </c>
      <c r="L3452" s="53" t="s">
        <v>53</v>
      </c>
    </row>
    <row r="3453" ht="15.75" customHeight="1">
      <c r="A3453" s="53" t="s">
        <v>808</v>
      </c>
      <c r="B3453" s="53" t="s">
        <v>4945</v>
      </c>
      <c r="D3453" s="53" t="s">
        <v>4525</v>
      </c>
      <c r="E3453" s="53" t="s">
        <v>4964</v>
      </c>
      <c r="F3453" s="53" t="s">
        <v>4965</v>
      </c>
      <c r="G3453" s="53" t="s">
        <v>4528</v>
      </c>
      <c r="H3453" s="53">
        <v>1.0</v>
      </c>
      <c r="I3453" s="53">
        <v>0.6666666666666666</v>
      </c>
      <c r="J3453" s="53">
        <v>27.0</v>
      </c>
      <c r="K3453" s="53" t="s">
        <v>53</v>
      </c>
      <c r="L3453" s="53" t="s">
        <v>53</v>
      </c>
    </row>
    <row r="3454" ht="15.75" customHeight="1">
      <c r="A3454" s="53" t="s">
        <v>808</v>
      </c>
      <c r="B3454" s="53" t="s">
        <v>4945</v>
      </c>
      <c r="D3454" s="53" t="s">
        <v>3995</v>
      </c>
      <c r="E3454" s="53" t="s">
        <v>3996</v>
      </c>
      <c r="F3454" s="53" t="s">
        <v>3997</v>
      </c>
      <c r="G3454" s="53" t="s">
        <v>3998</v>
      </c>
      <c r="H3454" s="53">
        <v>1.0</v>
      </c>
      <c r="I3454" s="53">
        <v>0.0684931506849315</v>
      </c>
      <c r="J3454" s="53">
        <v>0.0</v>
      </c>
      <c r="K3454" s="53" t="s">
        <v>53</v>
      </c>
      <c r="L3454" s="53" t="s">
        <v>53</v>
      </c>
    </row>
    <row r="3455" ht="15.75" customHeight="1">
      <c r="A3455" s="53" t="s">
        <v>808</v>
      </c>
      <c r="B3455" s="53" t="s">
        <v>4945</v>
      </c>
      <c r="D3455" s="53" t="s">
        <v>3995</v>
      </c>
      <c r="E3455" s="53" t="s">
        <v>4000</v>
      </c>
      <c r="F3455" s="53" t="s">
        <v>3997</v>
      </c>
      <c r="G3455" s="53" t="s">
        <v>4001</v>
      </c>
      <c r="H3455" s="53">
        <v>1.0</v>
      </c>
      <c r="I3455" s="53">
        <v>0.08108108108108109</v>
      </c>
      <c r="J3455" s="53">
        <v>1.0</v>
      </c>
      <c r="K3455" s="53" t="s">
        <v>53</v>
      </c>
      <c r="L3455" s="53" t="s">
        <v>53</v>
      </c>
    </row>
    <row r="3456" ht="15.75" customHeight="1">
      <c r="A3456" s="53" t="s">
        <v>808</v>
      </c>
      <c r="B3456" s="53" t="s">
        <v>4945</v>
      </c>
      <c r="D3456" s="53" t="s">
        <v>3998</v>
      </c>
      <c r="E3456" s="53" t="s">
        <v>4002</v>
      </c>
      <c r="F3456" s="53" t="s">
        <v>3997</v>
      </c>
      <c r="G3456" s="53" t="s">
        <v>4001</v>
      </c>
      <c r="H3456" s="53">
        <v>1.0</v>
      </c>
      <c r="I3456" s="53">
        <v>0.06756756756756757</v>
      </c>
      <c r="J3456" s="53">
        <v>0.0</v>
      </c>
      <c r="K3456" s="53" t="s">
        <v>53</v>
      </c>
      <c r="L3456" s="53" t="s">
        <v>53</v>
      </c>
    </row>
    <row r="3457" ht="15.75" customHeight="1">
      <c r="A3457" s="53" t="s">
        <v>808</v>
      </c>
      <c r="B3457" s="53" t="s">
        <v>4945</v>
      </c>
      <c r="D3457" s="53" t="s">
        <v>1181</v>
      </c>
      <c r="E3457" s="53" t="s">
        <v>4529</v>
      </c>
      <c r="F3457" s="53" t="s">
        <v>1183</v>
      </c>
      <c r="G3457" s="53" t="s">
        <v>1184</v>
      </c>
      <c r="H3457" s="53">
        <v>1.0</v>
      </c>
      <c r="I3457" s="53">
        <v>0.02527075812274368</v>
      </c>
      <c r="J3457" s="53">
        <v>0.0</v>
      </c>
      <c r="K3457" s="53" t="s">
        <v>53</v>
      </c>
      <c r="L3457" s="53" t="s">
        <v>53</v>
      </c>
    </row>
    <row r="3458" ht="15.75" customHeight="1">
      <c r="A3458" s="53" t="s">
        <v>808</v>
      </c>
      <c r="B3458" s="53" t="s">
        <v>4945</v>
      </c>
      <c r="D3458" s="53" t="s">
        <v>1181</v>
      </c>
      <c r="E3458" s="53" t="s">
        <v>4530</v>
      </c>
      <c r="F3458" s="53" t="s">
        <v>1183</v>
      </c>
      <c r="G3458" s="53" t="s">
        <v>1187</v>
      </c>
      <c r="H3458" s="53">
        <v>1.0</v>
      </c>
      <c r="I3458" s="53">
        <v>0.0657439446366782</v>
      </c>
      <c r="J3458" s="53">
        <v>1.0</v>
      </c>
      <c r="K3458" s="53" t="s">
        <v>53</v>
      </c>
      <c r="L3458" s="53" t="s">
        <v>53</v>
      </c>
    </row>
    <row r="3459" ht="15.75" customHeight="1">
      <c r="A3459" s="53" t="s">
        <v>808</v>
      </c>
      <c r="B3459" s="53" t="s">
        <v>4945</v>
      </c>
      <c r="D3459" s="53" t="s">
        <v>1181</v>
      </c>
      <c r="E3459" s="53" t="s">
        <v>4531</v>
      </c>
      <c r="F3459" s="53" t="s">
        <v>1183</v>
      </c>
      <c r="G3459" s="53" t="s">
        <v>1189</v>
      </c>
      <c r="H3459" s="53">
        <v>1.0</v>
      </c>
      <c r="I3459" s="53">
        <v>0.1536050156739812</v>
      </c>
      <c r="J3459" s="53">
        <v>2.0</v>
      </c>
      <c r="K3459" s="53" t="s">
        <v>53</v>
      </c>
      <c r="L3459" s="53" t="s">
        <v>53</v>
      </c>
    </row>
    <row r="3460" ht="15.75" customHeight="1">
      <c r="A3460" s="53" t="s">
        <v>808</v>
      </c>
      <c r="B3460" s="53" t="s">
        <v>4945</v>
      </c>
      <c r="D3460" s="53" t="s">
        <v>1184</v>
      </c>
      <c r="E3460" s="53" t="s">
        <v>4532</v>
      </c>
      <c r="F3460" s="53" t="s">
        <v>1183</v>
      </c>
      <c r="G3460" s="53" t="s">
        <v>1187</v>
      </c>
      <c r="H3460" s="53">
        <v>1.0</v>
      </c>
      <c r="I3460" s="53">
        <v>0.0657439446366782</v>
      </c>
      <c r="J3460" s="53">
        <v>0.0</v>
      </c>
      <c r="K3460" s="53" t="s">
        <v>53</v>
      </c>
      <c r="L3460" s="53" t="s">
        <v>53</v>
      </c>
    </row>
    <row r="3461" ht="15.75" customHeight="1">
      <c r="A3461" s="53" t="s">
        <v>808</v>
      </c>
      <c r="B3461" s="53" t="s">
        <v>4945</v>
      </c>
      <c r="D3461" s="53" t="s">
        <v>1184</v>
      </c>
      <c r="E3461" s="53" t="s">
        <v>4533</v>
      </c>
      <c r="F3461" s="53" t="s">
        <v>1183</v>
      </c>
      <c r="G3461" s="53" t="s">
        <v>1189</v>
      </c>
      <c r="H3461" s="53">
        <v>1.0</v>
      </c>
      <c r="I3461" s="53">
        <v>0.1536050156739812</v>
      </c>
      <c r="J3461" s="53">
        <v>1.0</v>
      </c>
      <c r="K3461" s="53" t="s">
        <v>53</v>
      </c>
      <c r="L3461" s="53" t="s">
        <v>53</v>
      </c>
    </row>
    <row r="3462" ht="15.75" customHeight="1">
      <c r="A3462" s="53" t="s">
        <v>808</v>
      </c>
      <c r="B3462" s="53" t="s">
        <v>4945</v>
      </c>
      <c r="D3462" s="53" t="s">
        <v>1187</v>
      </c>
      <c r="E3462" s="53" t="s">
        <v>4534</v>
      </c>
      <c r="F3462" s="53" t="s">
        <v>1183</v>
      </c>
      <c r="G3462" s="53" t="s">
        <v>1189</v>
      </c>
      <c r="H3462" s="53">
        <v>1.0</v>
      </c>
      <c r="I3462" s="53">
        <v>0.11598746081504702</v>
      </c>
      <c r="J3462" s="53">
        <v>0.0</v>
      </c>
      <c r="K3462" s="53" t="s">
        <v>53</v>
      </c>
      <c r="L3462" s="53" t="s">
        <v>53</v>
      </c>
    </row>
    <row r="3463" ht="15.75" customHeight="1">
      <c r="A3463" s="53" t="s">
        <v>808</v>
      </c>
      <c r="B3463" s="53" t="s">
        <v>4945</v>
      </c>
      <c r="D3463" s="53" t="s">
        <v>75</v>
      </c>
      <c r="E3463" s="53" t="s">
        <v>4784</v>
      </c>
      <c r="F3463" s="53" t="s">
        <v>73</v>
      </c>
      <c r="G3463" s="53" t="s">
        <v>869</v>
      </c>
      <c r="H3463" s="53">
        <v>1.0</v>
      </c>
      <c r="I3463" s="53">
        <v>0.6354166666666666</v>
      </c>
      <c r="J3463" s="53">
        <v>44.0</v>
      </c>
      <c r="K3463" s="53" t="s">
        <v>53</v>
      </c>
      <c r="L3463" s="53" t="s">
        <v>53</v>
      </c>
    </row>
    <row r="3464" ht="15.75" customHeight="1">
      <c r="A3464" s="53" t="s">
        <v>808</v>
      </c>
      <c r="B3464" s="53" t="s">
        <v>4945</v>
      </c>
      <c r="D3464" s="53" t="s">
        <v>75</v>
      </c>
      <c r="E3464" s="53" t="s">
        <v>4535</v>
      </c>
      <c r="F3464" s="53" t="s">
        <v>73</v>
      </c>
      <c r="G3464" s="53" t="s">
        <v>820</v>
      </c>
      <c r="H3464" s="53">
        <v>1.0</v>
      </c>
      <c r="I3464" s="53">
        <v>0.6391752577319587</v>
      </c>
      <c r="J3464" s="53">
        <v>46.0</v>
      </c>
      <c r="K3464" s="53" t="s">
        <v>53</v>
      </c>
      <c r="L3464" s="53" t="s">
        <v>53</v>
      </c>
    </row>
    <row r="3465" ht="15.75" customHeight="1">
      <c r="A3465" s="53" t="s">
        <v>808</v>
      </c>
      <c r="B3465" s="53" t="s">
        <v>4945</v>
      </c>
      <c r="D3465" s="53" t="s">
        <v>75</v>
      </c>
      <c r="E3465" s="53" t="s">
        <v>4536</v>
      </c>
      <c r="F3465" s="53" t="s">
        <v>73</v>
      </c>
      <c r="G3465" s="53" t="s">
        <v>815</v>
      </c>
      <c r="H3465" s="53">
        <v>1.0</v>
      </c>
      <c r="I3465" s="53">
        <v>0.6391752577319587</v>
      </c>
      <c r="J3465" s="53">
        <v>45.0</v>
      </c>
      <c r="K3465" s="53" t="s">
        <v>53</v>
      </c>
      <c r="L3465" s="53" t="s">
        <v>53</v>
      </c>
    </row>
    <row r="3466" ht="15.75" customHeight="1">
      <c r="A3466" s="53" t="s">
        <v>808</v>
      </c>
      <c r="B3466" s="53" t="s">
        <v>4945</v>
      </c>
      <c r="D3466" s="53" t="s">
        <v>75</v>
      </c>
      <c r="E3466" s="53" t="s">
        <v>4966</v>
      </c>
      <c r="F3466" s="53" t="s">
        <v>73</v>
      </c>
      <c r="G3466" s="53" t="s">
        <v>4967</v>
      </c>
      <c r="H3466" s="53">
        <v>1.0</v>
      </c>
      <c r="I3466" s="53">
        <v>0.6532258064516129</v>
      </c>
      <c r="J3466" s="53">
        <v>0.0</v>
      </c>
      <c r="K3466" s="53" t="s">
        <v>53</v>
      </c>
      <c r="L3466" s="53" t="s">
        <v>53</v>
      </c>
    </row>
    <row r="3467" ht="15.75" customHeight="1">
      <c r="A3467" s="53" t="s">
        <v>808</v>
      </c>
      <c r="B3467" s="53" t="s">
        <v>4945</v>
      </c>
      <c r="D3467" s="53" t="s">
        <v>75</v>
      </c>
      <c r="E3467" s="53" t="s">
        <v>4968</v>
      </c>
      <c r="F3467" s="53" t="s">
        <v>73</v>
      </c>
      <c r="G3467" s="53" t="s">
        <v>880</v>
      </c>
      <c r="H3467" s="53">
        <v>1.0</v>
      </c>
      <c r="I3467" s="53">
        <v>0.6814814814814815</v>
      </c>
      <c r="J3467" s="53">
        <v>22.0</v>
      </c>
      <c r="K3467" s="53" t="s">
        <v>53</v>
      </c>
      <c r="L3467" s="53" t="s">
        <v>53</v>
      </c>
    </row>
    <row r="3468" ht="15.75" customHeight="1">
      <c r="A3468" s="53" t="s">
        <v>808</v>
      </c>
      <c r="B3468" s="53" t="s">
        <v>4945</v>
      </c>
      <c r="D3468" s="53" t="s">
        <v>75</v>
      </c>
      <c r="E3468" s="53" t="s">
        <v>2596</v>
      </c>
      <c r="F3468" s="53" t="s">
        <v>73</v>
      </c>
      <c r="G3468" s="53" t="s">
        <v>114</v>
      </c>
      <c r="H3468" s="53">
        <v>1.0</v>
      </c>
      <c r="I3468" s="53">
        <v>0.6818181818181818</v>
      </c>
      <c r="J3468" s="53">
        <v>28.0</v>
      </c>
      <c r="K3468" s="53" t="s">
        <v>53</v>
      </c>
      <c r="L3468" s="53" t="s">
        <v>53</v>
      </c>
    </row>
    <row r="3469" ht="15.75" customHeight="1">
      <c r="A3469" s="53" t="s">
        <v>808</v>
      </c>
      <c r="B3469" s="53" t="s">
        <v>4945</v>
      </c>
      <c r="D3469" s="53" t="s">
        <v>75</v>
      </c>
      <c r="E3469" s="53" t="s">
        <v>2597</v>
      </c>
      <c r="F3469" s="53" t="s">
        <v>73</v>
      </c>
      <c r="G3469" s="53" t="s">
        <v>69</v>
      </c>
      <c r="H3469" s="53">
        <v>1.0</v>
      </c>
      <c r="I3469" s="53">
        <v>0.6846846846846847</v>
      </c>
      <c r="J3469" s="53">
        <v>27.0</v>
      </c>
      <c r="K3469" s="53" t="s">
        <v>53</v>
      </c>
      <c r="L3469" s="53" t="s">
        <v>53</v>
      </c>
    </row>
    <row r="3470" ht="15.75" customHeight="1">
      <c r="A3470" s="53" t="s">
        <v>808</v>
      </c>
      <c r="B3470" s="53" t="s">
        <v>4945</v>
      </c>
      <c r="D3470" s="53" t="s">
        <v>75</v>
      </c>
      <c r="E3470" s="53" t="s">
        <v>4969</v>
      </c>
      <c r="F3470" s="53" t="s">
        <v>73</v>
      </c>
      <c r="G3470" s="53" t="s">
        <v>4970</v>
      </c>
      <c r="H3470" s="53">
        <v>1.0</v>
      </c>
      <c r="I3470" s="53">
        <v>0.72</v>
      </c>
      <c r="J3470" s="53">
        <v>20.0</v>
      </c>
      <c r="K3470" s="53" t="s">
        <v>53</v>
      </c>
      <c r="L3470" s="53" t="s">
        <v>53</v>
      </c>
    </row>
    <row r="3471" ht="15.75" customHeight="1">
      <c r="A3471" s="53" t="s">
        <v>808</v>
      </c>
      <c r="B3471" s="53" t="s">
        <v>4945</v>
      </c>
      <c r="D3471" s="53" t="s">
        <v>75</v>
      </c>
      <c r="E3471" s="53" t="s">
        <v>4971</v>
      </c>
      <c r="F3471" s="53" t="s">
        <v>73</v>
      </c>
      <c r="G3471" s="53" t="s">
        <v>4972</v>
      </c>
      <c r="H3471" s="53">
        <v>1.0</v>
      </c>
      <c r="I3471" s="53">
        <v>0.7286821705426356</v>
      </c>
      <c r="J3471" s="53">
        <v>26.0</v>
      </c>
      <c r="K3471" s="53" t="s">
        <v>53</v>
      </c>
      <c r="L3471" s="53" t="s">
        <v>53</v>
      </c>
    </row>
    <row r="3472" ht="15.75" customHeight="1">
      <c r="A3472" s="53" t="s">
        <v>808</v>
      </c>
      <c r="B3472" s="53" t="s">
        <v>4945</v>
      </c>
      <c r="D3472" s="53" t="s">
        <v>4967</v>
      </c>
      <c r="E3472" s="53" t="s">
        <v>4973</v>
      </c>
      <c r="F3472" s="53" t="s">
        <v>73</v>
      </c>
      <c r="G3472" s="53" t="s">
        <v>4970</v>
      </c>
      <c r="H3472" s="53">
        <v>1.0</v>
      </c>
      <c r="I3472" s="53">
        <v>0.35333333333333333</v>
      </c>
      <c r="J3472" s="53">
        <v>19.0</v>
      </c>
      <c r="K3472" s="53" t="s">
        <v>53</v>
      </c>
      <c r="L3472" s="53" t="s">
        <v>53</v>
      </c>
    </row>
    <row r="3473" ht="15.75" customHeight="1">
      <c r="A3473" s="53" t="s">
        <v>808</v>
      </c>
      <c r="B3473" s="53" t="s">
        <v>4945</v>
      </c>
      <c r="D3473" s="53" t="s">
        <v>4967</v>
      </c>
      <c r="E3473" s="53" t="s">
        <v>4974</v>
      </c>
      <c r="F3473" s="53" t="s">
        <v>73</v>
      </c>
      <c r="G3473" s="53" t="s">
        <v>880</v>
      </c>
      <c r="H3473" s="53">
        <v>1.0</v>
      </c>
      <c r="I3473" s="53">
        <v>0.37777777777777777</v>
      </c>
      <c r="J3473" s="53">
        <v>21.0</v>
      </c>
      <c r="K3473" s="53" t="s">
        <v>53</v>
      </c>
      <c r="L3473" s="53" t="s">
        <v>53</v>
      </c>
    </row>
    <row r="3474" ht="15.75" customHeight="1">
      <c r="A3474" s="53" t="s">
        <v>808</v>
      </c>
      <c r="B3474" s="53" t="s">
        <v>4945</v>
      </c>
      <c r="D3474" s="53" t="s">
        <v>4967</v>
      </c>
      <c r="E3474" s="53" t="s">
        <v>4975</v>
      </c>
      <c r="F3474" s="53" t="s">
        <v>73</v>
      </c>
      <c r="G3474" s="53" t="s">
        <v>820</v>
      </c>
      <c r="H3474" s="53">
        <v>1.0</v>
      </c>
      <c r="I3474" s="53">
        <v>0.6129032258064516</v>
      </c>
      <c r="J3474" s="53">
        <v>45.0</v>
      </c>
      <c r="K3474" s="53" t="s">
        <v>53</v>
      </c>
      <c r="L3474" s="53" t="s">
        <v>53</v>
      </c>
    </row>
    <row r="3475" ht="15.75" customHeight="1">
      <c r="A3475" s="53" t="s">
        <v>808</v>
      </c>
      <c r="B3475" s="53" t="s">
        <v>4945</v>
      </c>
      <c r="D3475" s="53" t="s">
        <v>4967</v>
      </c>
      <c r="E3475" s="53" t="s">
        <v>4976</v>
      </c>
      <c r="F3475" s="53" t="s">
        <v>73</v>
      </c>
      <c r="G3475" s="53" t="s">
        <v>815</v>
      </c>
      <c r="H3475" s="53">
        <v>1.0</v>
      </c>
      <c r="I3475" s="53">
        <v>0.6129032258064516</v>
      </c>
      <c r="J3475" s="53">
        <v>44.0</v>
      </c>
      <c r="K3475" s="53" t="s">
        <v>53</v>
      </c>
      <c r="L3475" s="53" t="s">
        <v>53</v>
      </c>
    </row>
    <row r="3476" ht="15.75" customHeight="1">
      <c r="A3476" s="53" t="s">
        <v>808</v>
      </c>
      <c r="B3476" s="53" t="s">
        <v>4945</v>
      </c>
      <c r="D3476" s="53" t="s">
        <v>4967</v>
      </c>
      <c r="E3476" s="53" t="s">
        <v>4977</v>
      </c>
      <c r="F3476" s="53" t="s">
        <v>73</v>
      </c>
      <c r="G3476" s="53" t="s">
        <v>869</v>
      </c>
      <c r="H3476" s="53">
        <v>1.0</v>
      </c>
      <c r="I3476" s="53">
        <v>0.6129032258064516</v>
      </c>
      <c r="J3476" s="53">
        <v>43.0</v>
      </c>
      <c r="K3476" s="53" t="s">
        <v>53</v>
      </c>
      <c r="L3476" s="53" t="s">
        <v>53</v>
      </c>
    </row>
    <row r="3477" ht="15.75" customHeight="1">
      <c r="A3477" s="53" t="s">
        <v>808</v>
      </c>
      <c r="B3477" s="53" t="s">
        <v>4945</v>
      </c>
      <c r="D3477" s="53" t="s">
        <v>4967</v>
      </c>
      <c r="E3477" s="53" t="s">
        <v>4978</v>
      </c>
      <c r="F3477" s="53" t="s">
        <v>73</v>
      </c>
      <c r="G3477" s="53" t="s">
        <v>4972</v>
      </c>
      <c r="H3477" s="53">
        <v>1.0</v>
      </c>
      <c r="I3477" s="53">
        <v>0.6511627906976745</v>
      </c>
      <c r="J3477" s="53">
        <v>25.0</v>
      </c>
      <c r="K3477" s="53" t="s">
        <v>53</v>
      </c>
      <c r="L3477" s="53" t="s">
        <v>53</v>
      </c>
    </row>
    <row r="3478" ht="15.75" customHeight="1">
      <c r="A3478" s="53" t="s">
        <v>808</v>
      </c>
      <c r="B3478" s="53" t="s">
        <v>4945</v>
      </c>
      <c r="D3478" s="53" t="s">
        <v>4967</v>
      </c>
      <c r="E3478" s="53" t="s">
        <v>4979</v>
      </c>
      <c r="F3478" s="53" t="s">
        <v>73</v>
      </c>
      <c r="G3478" s="53" t="s">
        <v>114</v>
      </c>
      <c r="H3478" s="53">
        <v>1.0</v>
      </c>
      <c r="I3478" s="53">
        <v>0.6774193548387096</v>
      </c>
      <c r="J3478" s="53">
        <v>27.0</v>
      </c>
      <c r="K3478" s="53" t="s">
        <v>53</v>
      </c>
      <c r="L3478" s="53" t="s">
        <v>53</v>
      </c>
    </row>
    <row r="3479" ht="15.75" customHeight="1">
      <c r="A3479" s="53" t="s">
        <v>808</v>
      </c>
      <c r="B3479" s="53" t="s">
        <v>4945</v>
      </c>
      <c r="D3479" s="53" t="s">
        <v>4967</v>
      </c>
      <c r="E3479" s="53" t="s">
        <v>4980</v>
      </c>
      <c r="F3479" s="53" t="s">
        <v>73</v>
      </c>
      <c r="G3479" s="53" t="s">
        <v>69</v>
      </c>
      <c r="H3479" s="53">
        <v>1.0</v>
      </c>
      <c r="I3479" s="53">
        <v>0.6774193548387096</v>
      </c>
      <c r="J3479" s="53">
        <v>26.0</v>
      </c>
      <c r="K3479" s="53" t="s">
        <v>53</v>
      </c>
      <c r="L3479" s="53" t="s">
        <v>53</v>
      </c>
    </row>
    <row r="3480" ht="15.75" customHeight="1">
      <c r="A3480" s="53" t="s">
        <v>808</v>
      </c>
      <c r="B3480" s="53" t="s">
        <v>4945</v>
      </c>
      <c r="D3480" s="53" t="s">
        <v>899</v>
      </c>
      <c r="E3480" s="53" t="s">
        <v>4981</v>
      </c>
      <c r="F3480" s="53" t="s">
        <v>4982</v>
      </c>
      <c r="G3480" s="53" t="s">
        <v>770</v>
      </c>
      <c r="H3480" s="53">
        <v>1.0</v>
      </c>
      <c r="I3480" s="53">
        <v>0.7729138166894665</v>
      </c>
      <c r="J3480" s="53">
        <v>41.0</v>
      </c>
      <c r="K3480" s="53" t="s">
        <v>53</v>
      </c>
      <c r="L3480" s="53" t="s">
        <v>4983</v>
      </c>
    </row>
    <row r="3481" ht="15.75" customHeight="1">
      <c r="A3481" s="53" t="s">
        <v>808</v>
      </c>
      <c r="B3481" s="53" t="s">
        <v>4945</v>
      </c>
      <c r="D3481" s="53" t="s">
        <v>1397</v>
      </c>
      <c r="E3481" s="53" t="s">
        <v>4984</v>
      </c>
      <c r="F3481" s="53" t="s">
        <v>4985</v>
      </c>
      <c r="G3481" s="53" t="s">
        <v>1400</v>
      </c>
      <c r="H3481" s="53">
        <v>1.0</v>
      </c>
      <c r="I3481" s="53">
        <v>0.31150442477876106</v>
      </c>
      <c r="J3481" s="53">
        <v>0.0</v>
      </c>
      <c r="K3481" s="53" t="s">
        <v>53</v>
      </c>
      <c r="L3481" s="53" t="s">
        <v>53</v>
      </c>
    </row>
    <row r="3482" ht="15.75" customHeight="1">
      <c r="A3482" s="53" t="s">
        <v>808</v>
      </c>
      <c r="B3482" s="53" t="s">
        <v>4945</v>
      </c>
      <c r="D3482" s="53" t="s">
        <v>1908</v>
      </c>
      <c r="E3482" s="53" t="s">
        <v>4538</v>
      </c>
      <c r="F3482" s="53" t="s">
        <v>2486</v>
      </c>
      <c r="G3482" s="53" t="s">
        <v>1911</v>
      </c>
      <c r="H3482" s="53">
        <v>1.0</v>
      </c>
      <c r="I3482" s="53">
        <v>0.24</v>
      </c>
      <c r="J3482" s="53">
        <v>9.0</v>
      </c>
      <c r="K3482" s="53" t="s">
        <v>53</v>
      </c>
      <c r="L3482" s="53" t="s">
        <v>53</v>
      </c>
    </row>
    <row r="3483" ht="15.75" customHeight="1">
      <c r="A3483" s="53" t="s">
        <v>808</v>
      </c>
      <c r="B3483" s="53" t="s">
        <v>4945</v>
      </c>
      <c r="D3483" s="53" t="s">
        <v>1908</v>
      </c>
      <c r="E3483" s="53" t="s">
        <v>4539</v>
      </c>
      <c r="F3483" s="53" t="s">
        <v>2487</v>
      </c>
      <c r="G3483" s="53" t="s">
        <v>1914</v>
      </c>
      <c r="H3483" s="53">
        <v>1.0</v>
      </c>
      <c r="I3483" s="53">
        <v>0.3875598086124402</v>
      </c>
      <c r="J3483" s="53">
        <v>0.0</v>
      </c>
      <c r="K3483" s="53" t="s">
        <v>53</v>
      </c>
      <c r="L3483" s="53" t="s">
        <v>1527</v>
      </c>
    </row>
    <row r="3484" ht="15.75" customHeight="1">
      <c r="A3484" s="53" t="s">
        <v>808</v>
      </c>
      <c r="B3484" s="53" t="s">
        <v>4945</v>
      </c>
      <c r="D3484" s="53" t="s">
        <v>1908</v>
      </c>
      <c r="E3484" s="53" t="s">
        <v>4540</v>
      </c>
      <c r="F3484" s="53" t="s">
        <v>2488</v>
      </c>
      <c r="G3484" s="53" t="s">
        <v>1919</v>
      </c>
      <c r="H3484" s="53">
        <v>1.0</v>
      </c>
      <c r="I3484" s="53">
        <v>0.7530864197530864</v>
      </c>
      <c r="J3484" s="53">
        <v>1.0</v>
      </c>
      <c r="K3484" s="53" t="s">
        <v>53</v>
      </c>
      <c r="L3484" s="53" t="s">
        <v>1527</v>
      </c>
    </row>
    <row r="3485" ht="15.75" customHeight="1">
      <c r="A3485" s="53" t="s">
        <v>808</v>
      </c>
      <c r="B3485" s="53" t="s">
        <v>4945</v>
      </c>
      <c r="D3485" s="53" t="s">
        <v>1908</v>
      </c>
      <c r="E3485" s="53" t="s">
        <v>4541</v>
      </c>
      <c r="F3485" s="53" t="s">
        <v>2488</v>
      </c>
      <c r="G3485" s="53" t="s">
        <v>1917</v>
      </c>
      <c r="H3485" s="53">
        <v>1.0</v>
      </c>
      <c r="I3485" s="53">
        <v>0.7565922920892495</v>
      </c>
      <c r="J3485" s="53">
        <v>2.0</v>
      </c>
      <c r="K3485" s="53" t="s">
        <v>53</v>
      </c>
      <c r="L3485" s="53" t="s">
        <v>1527</v>
      </c>
    </row>
    <row r="3486" ht="15.75" customHeight="1">
      <c r="A3486" s="53" t="s">
        <v>808</v>
      </c>
      <c r="B3486" s="53" t="s">
        <v>4945</v>
      </c>
      <c r="D3486" s="53" t="s">
        <v>1908</v>
      </c>
      <c r="E3486" s="53" t="s">
        <v>4542</v>
      </c>
      <c r="F3486" s="53" t="s">
        <v>2489</v>
      </c>
      <c r="G3486" s="53" t="s">
        <v>1922</v>
      </c>
      <c r="H3486" s="53">
        <v>1.0</v>
      </c>
      <c r="I3486" s="53">
        <v>0.7662835249042146</v>
      </c>
      <c r="J3486" s="53">
        <v>12.0</v>
      </c>
      <c r="K3486" s="53" t="s">
        <v>53</v>
      </c>
      <c r="L3486" s="53" t="s">
        <v>1527</v>
      </c>
    </row>
    <row r="3487" ht="15.75" customHeight="1">
      <c r="A3487" s="53" t="s">
        <v>808</v>
      </c>
      <c r="B3487" s="53" t="s">
        <v>4945</v>
      </c>
      <c r="D3487" s="53" t="s">
        <v>1914</v>
      </c>
      <c r="E3487" s="53" t="s">
        <v>4543</v>
      </c>
      <c r="F3487" s="53" t="s">
        <v>2490</v>
      </c>
      <c r="G3487" s="53" t="s">
        <v>1911</v>
      </c>
      <c r="H3487" s="53">
        <v>1.0</v>
      </c>
      <c r="I3487" s="53">
        <v>0.41626794258373206</v>
      </c>
      <c r="J3487" s="53">
        <v>8.0</v>
      </c>
      <c r="K3487" s="53" t="s">
        <v>53</v>
      </c>
      <c r="L3487" s="53" t="s">
        <v>1527</v>
      </c>
    </row>
    <row r="3488" ht="15.75" customHeight="1">
      <c r="A3488" s="53" t="s">
        <v>808</v>
      </c>
      <c r="B3488" s="53" t="s">
        <v>4945</v>
      </c>
      <c r="D3488" s="53" t="s">
        <v>1914</v>
      </c>
      <c r="E3488" s="53" t="s">
        <v>4544</v>
      </c>
      <c r="F3488" s="53" t="s">
        <v>2491</v>
      </c>
      <c r="G3488" s="53" t="s">
        <v>1919</v>
      </c>
      <c r="H3488" s="53">
        <v>1.0</v>
      </c>
      <c r="I3488" s="53">
        <v>0.5967078189300411</v>
      </c>
      <c r="J3488" s="53">
        <v>0.0</v>
      </c>
      <c r="K3488" s="53" t="s">
        <v>53</v>
      </c>
      <c r="L3488" s="53" t="s">
        <v>53</v>
      </c>
    </row>
    <row r="3489" ht="15.75" customHeight="1">
      <c r="A3489" s="53" t="s">
        <v>808</v>
      </c>
      <c r="B3489" s="53" t="s">
        <v>4945</v>
      </c>
      <c r="D3489" s="53" t="s">
        <v>1914</v>
      </c>
      <c r="E3489" s="53" t="s">
        <v>4545</v>
      </c>
      <c r="F3489" s="53" t="s">
        <v>2491</v>
      </c>
      <c r="G3489" s="53" t="s">
        <v>1917</v>
      </c>
      <c r="H3489" s="53">
        <v>1.0</v>
      </c>
      <c r="I3489" s="53">
        <v>0.6024340770791075</v>
      </c>
      <c r="J3489" s="53">
        <v>1.0</v>
      </c>
      <c r="K3489" s="53" t="s">
        <v>53</v>
      </c>
      <c r="L3489" s="53" t="s">
        <v>53</v>
      </c>
    </row>
    <row r="3490" ht="15.75" customHeight="1">
      <c r="A3490" s="53" t="s">
        <v>808</v>
      </c>
      <c r="B3490" s="53" t="s">
        <v>4945</v>
      </c>
      <c r="D3490" s="53" t="s">
        <v>1914</v>
      </c>
      <c r="E3490" s="53" t="s">
        <v>4546</v>
      </c>
      <c r="F3490" s="53" t="s">
        <v>2492</v>
      </c>
      <c r="G3490" s="53" t="s">
        <v>1922</v>
      </c>
      <c r="H3490" s="53">
        <v>1.0</v>
      </c>
      <c r="I3490" s="53">
        <v>0.6130268199233716</v>
      </c>
      <c r="J3490" s="53">
        <v>11.0</v>
      </c>
      <c r="K3490" s="53" t="s">
        <v>53</v>
      </c>
      <c r="L3490" s="53" t="s">
        <v>53</v>
      </c>
    </row>
    <row r="3491" ht="15.75" customHeight="1">
      <c r="A3491" s="53" t="s">
        <v>808</v>
      </c>
      <c r="B3491" s="53" t="s">
        <v>4945</v>
      </c>
      <c r="D3491" s="53" t="s">
        <v>1919</v>
      </c>
      <c r="E3491" s="53" t="s">
        <v>4547</v>
      </c>
      <c r="F3491" s="53" t="s">
        <v>2493</v>
      </c>
      <c r="G3491" s="53" t="s">
        <v>1917</v>
      </c>
      <c r="H3491" s="53">
        <v>1.0</v>
      </c>
      <c r="I3491" s="53">
        <v>0.014198782961460446</v>
      </c>
      <c r="J3491" s="53">
        <v>0.0</v>
      </c>
      <c r="K3491" s="53" t="s">
        <v>53</v>
      </c>
      <c r="L3491" s="53" t="s">
        <v>53</v>
      </c>
    </row>
    <row r="3492" ht="15.75" customHeight="1">
      <c r="A3492" s="53" t="s">
        <v>808</v>
      </c>
      <c r="B3492" s="53" t="s">
        <v>4945</v>
      </c>
      <c r="D3492" s="53" t="s">
        <v>1919</v>
      </c>
      <c r="E3492" s="53" t="s">
        <v>4548</v>
      </c>
      <c r="F3492" s="53" t="s">
        <v>2494</v>
      </c>
      <c r="G3492" s="53" t="s">
        <v>1922</v>
      </c>
      <c r="H3492" s="53">
        <v>1.0</v>
      </c>
      <c r="I3492" s="53">
        <v>0.2222222222222222</v>
      </c>
      <c r="J3492" s="53">
        <v>10.0</v>
      </c>
      <c r="K3492" s="53" t="s">
        <v>53</v>
      </c>
      <c r="L3492" s="53" t="s">
        <v>53</v>
      </c>
    </row>
    <row r="3493" ht="15.75" customHeight="1">
      <c r="A3493" s="53" t="s">
        <v>808</v>
      </c>
      <c r="B3493" s="53" t="s">
        <v>4945</v>
      </c>
      <c r="D3493" s="53" t="s">
        <v>1919</v>
      </c>
      <c r="E3493" s="53" t="s">
        <v>4549</v>
      </c>
      <c r="F3493" s="53" t="s">
        <v>2495</v>
      </c>
      <c r="G3493" s="53" t="s">
        <v>1911</v>
      </c>
      <c r="H3493" s="53">
        <v>1.0</v>
      </c>
      <c r="I3493" s="53">
        <v>0.7448559670781894</v>
      </c>
      <c r="J3493" s="53">
        <v>7.0</v>
      </c>
      <c r="K3493" s="53" t="s">
        <v>53</v>
      </c>
      <c r="L3493" s="53" t="s">
        <v>1527</v>
      </c>
    </row>
    <row r="3494" ht="15.75" customHeight="1">
      <c r="A3494" s="53" t="s">
        <v>808</v>
      </c>
      <c r="B3494" s="53" t="s">
        <v>4945</v>
      </c>
      <c r="D3494" s="53" t="s">
        <v>1917</v>
      </c>
      <c r="E3494" s="53" t="s">
        <v>4550</v>
      </c>
      <c r="F3494" s="53" t="s">
        <v>2494</v>
      </c>
      <c r="G3494" s="53" t="s">
        <v>1922</v>
      </c>
      <c r="H3494" s="53">
        <v>1.0</v>
      </c>
      <c r="I3494" s="53">
        <v>0.23563218390804597</v>
      </c>
      <c r="J3494" s="53">
        <v>9.0</v>
      </c>
      <c r="K3494" s="53" t="s">
        <v>53</v>
      </c>
      <c r="L3494" s="53" t="s">
        <v>53</v>
      </c>
    </row>
    <row r="3495" ht="15.75" customHeight="1">
      <c r="A3495" s="53" t="s">
        <v>808</v>
      </c>
      <c r="B3495" s="53" t="s">
        <v>4945</v>
      </c>
      <c r="D3495" s="53" t="s">
        <v>1917</v>
      </c>
      <c r="E3495" s="53" t="s">
        <v>4551</v>
      </c>
      <c r="F3495" s="53" t="s">
        <v>2495</v>
      </c>
      <c r="G3495" s="53" t="s">
        <v>1911</v>
      </c>
      <c r="H3495" s="53">
        <v>1.0</v>
      </c>
      <c r="I3495" s="53">
        <v>0.7484787018255578</v>
      </c>
      <c r="J3495" s="53">
        <v>6.0</v>
      </c>
      <c r="K3495" s="53" t="s">
        <v>53</v>
      </c>
      <c r="L3495" s="53" t="s">
        <v>1527</v>
      </c>
    </row>
    <row r="3496" ht="15.75" customHeight="1">
      <c r="A3496" s="53" t="s">
        <v>808</v>
      </c>
      <c r="B3496" s="53" t="s">
        <v>4945</v>
      </c>
      <c r="D3496" s="53" t="s">
        <v>1911</v>
      </c>
      <c r="E3496" s="53" t="s">
        <v>4552</v>
      </c>
      <c r="F3496" s="53" t="s">
        <v>2489</v>
      </c>
      <c r="G3496" s="53" t="s">
        <v>1922</v>
      </c>
      <c r="H3496" s="53">
        <v>1.0</v>
      </c>
      <c r="I3496" s="53">
        <v>0.735632183908046</v>
      </c>
      <c r="J3496" s="53">
        <v>2.0</v>
      </c>
      <c r="K3496" s="53" t="s">
        <v>53</v>
      </c>
      <c r="L3496" s="53" t="s">
        <v>1527</v>
      </c>
    </row>
    <row r="3497" ht="15.75" customHeight="1">
      <c r="A3497" s="53" t="s">
        <v>808</v>
      </c>
      <c r="B3497" s="53" t="s">
        <v>4945</v>
      </c>
      <c r="D3497" s="53" t="s">
        <v>4970</v>
      </c>
      <c r="E3497" s="53" t="s">
        <v>4986</v>
      </c>
      <c r="F3497" s="53" t="s">
        <v>73</v>
      </c>
      <c r="G3497" s="53" t="s">
        <v>880</v>
      </c>
      <c r="H3497" s="53">
        <v>1.0</v>
      </c>
      <c r="I3497" s="53">
        <v>0.16</v>
      </c>
      <c r="J3497" s="53">
        <v>1.0</v>
      </c>
      <c r="K3497" s="53" t="s">
        <v>53</v>
      </c>
      <c r="L3497" s="53" t="s">
        <v>53</v>
      </c>
    </row>
    <row r="3498" ht="15.75" customHeight="1">
      <c r="A3498" s="53" t="s">
        <v>808</v>
      </c>
      <c r="B3498" s="53" t="s">
        <v>4945</v>
      </c>
      <c r="D3498" s="53" t="s">
        <v>4970</v>
      </c>
      <c r="E3498" s="53" t="s">
        <v>4987</v>
      </c>
      <c r="F3498" s="53" t="s">
        <v>73</v>
      </c>
      <c r="G3498" s="53" t="s">
        <v>820</v>
      </c>
      <c r="H3498" s="53">
        <v>1.0</v>
      </c>
      <c r="I3498" s="53">
        <v>0.6066666666666667</v>
      </c>
      <c r="J3498" s="53">
        <v>25.0</v>
      </c>
      <c r="K3498" s="53" t="s">
        <v>53</v>
      </c>
      <c r="L3498" s="53" t="s">
        <v>53</v>
      </c>
    </row>
    <row r="3499" ht="15.75" customHeight="1">
      <c r="A3499" s="53" t="s">
        <v>808</v>
      </c>
      <c r="B3499" s="53" t="s">
        <v>4945</v>
      </c>
      <c r="D3499" s="53" t="s">
        <v>4970</v>
      </c>
      <c r="E3499" s="53" t="s">
        <v>4988</v>
      </c>
      <c r="F3499" s="53" t="s">
        <v>73</v>
      </c>
      <c r="G3499" s="53" t="s">
        <v>815</v>
      </c>
      <c r="H3499" s="53">
        <v>1.0</v>
      </c>
      <c r="I3499" s="53">
        <v>0.6066666666666667</v>
      </c>
      <c r="J3499" s="53">
        <v>24.0</v>
      </c>
      <c r="K3499" s="53" t="s">
        <v>53</v>
      </c>
      <c r="L3499" s="53" t="s">
        <v>53</v>
      </c>
    </row>
    <row r="3500" ht="15.75" customHeight="1">
      <c r="A3500" s="53" t="s">
        <v>808</v>
      </c>
      <c r="B3500" s="53" t="s">
        <v>4945</v>
      </c>
      <c r="D3500" s="53" t="s">
        <v>4970</v>
      </c>
      <c r="E3500" s="53" t="s">
        <v>4989</v>
      </c>
      <c r="F3500" s="53" t="s">
        <v>73</v>
      </c>
      <c r="G3500" s="53" t="s">
        <v>869</v>
      </c>
      <c r="H3500" s="53">
        <v>1.0</v>
      </c>
      <c r="I3500" s="53">
        <v>0.6066666666666667</v>
      </c>
      <c r="J3500" s="53">
        <v>23.0</v>
      </c>
      <c r="K3500" s="53" t="s">
        <v>53</v>
      </c>
      <c r="L3500" s="53" t="s">
        <v>53</v>
      </c>
    </row>
    <row r="3501" ht="15.75" customHeight="1">
      <c r="A3501" s="53" t="s">
        <v>808</v>
      </c>
      <c r="B3501" s="53" t="s">
        <v>4945</v>
      </c>
      <c r="D3501" s="53" t="s">
        <v>4970</v>
      </c>
      <c r="E3501" s="53" t="s">
        <v>4990</v>
      </c>
      <c r="F3501" s="53" t="s">
        <v>73</v>
      </c>
      <c r="G3501" s="53" t="s">
        <v>4972</v>
      </c>
      <c r="H3501" s="53">
        <v>1.0</v>
      </c>
      <c r="I3501" s="53">
        <v>0.6533333333333333</v>
      </c>
      <c r="J3501" s="53">
        <v>5.0</v>
      </c>
      <c r="K3501" s="53" t="s">
        <v>53</v>
      </c>
      <c r="L3501" s="53" t="s">
        <v>53</v>
      </c>
    </row>
    <row r="3502" ht="15.75" customHeight="1">
      <c r="A3502" s="53" t="s">
        <v>808</v>
      </c>
      <c r="B3502" s="53" t="s">
        <v>4945</v>
      </c>
      <c r="D3502" s="53" t="s">
        <v>4970</v>
      </c>
      <c r="E3502" s="53" t="s">
        <v>4991</v>
      </c>
      <c r="F3502" s="53" t="s">
        <v>73</v>
      </c>
      <c r="G3502" s="53" t="s">
        <v>114</v>
      </c>
      <c r="H3502" s="53">
        <v>1.0</v>
      </c>
      <c r="I3502" s="53">
        <v>0.66</v>
      </c>
      <c r="J3502" s="53">
        <v>7.0</v>
      </c>
      <c r="K3502" s="53" t="s">
        <v>53</v>
      </c>
      <c r="L3502" s="53" t="s">
        <v>53</v>
      </c>
    </row>
    <row r="3503" ht="15.75" customHeight="1">
      <c r="A3503" s="53" t="s">
        <v>808</v>
      </c>
      <c r="B3503" s="53" t="s">
        <v>4945</v>
      </c>
      <c r="D3503" s="53" t="s">
        <v>4970</v>
      </c>
      <c r="E3503" s="53" t="s">
        <v>4992</v>
      </c>
      <c r="F3503" s="53" t="s">
        <v>73</v>
      </c>
      <c r="G3503" s="53" t="s">
        <v>69</v>
      </c>
      <c r="H3503" s="53">
        <v>1.0</v>
      </c>
      <c r="I3503" s="53">
        <v>0.66</v>
      </c>
      <c r="J3503" s="53">
        <v>6.0</v>
      </c>
      <c r="K3503" s="53" t="s">
        <v>53</v>
      </c>
      <c r="L3503" s="53" t="s">
        <v>53</v>
      </c>
    </row>
    <row r="3504" ht="15.75" customHeight="1">
      <c r="A3504" s="53" t="s">
        <v>808</v>
      </c>
      <c r="B3504" s="53" t="s">
        <v>4945</v>
      </c>
      <c r="D3504" s="53" t="s">
        <v>880</v>
      </c>
      <c r="E3504" s="53" t="s">
        <v>4993</v>
      </c>
      <c r="F3504" s="53" t="s">
        <v>73</v>
      </c>
      <c r="G3504" s="53" t="s">
        <v>820</v>
      </c>
      <c r="H3504" s="53">
        <v>1.0</v>
      </c>
      <c r="I3504" s="53">
        <v>0.6148148148148148</v>
      </c>
      <c r="J3504" s="53">
        <v>23.0</v>
      </c>
      <c r="K3504" s="53" t="s">
        <v>53</v>
      </c>
      <c r="L3504" s="53" t="s">
        <v>53</v>
      </c>
    </row>
    <row r="3505" ht="15.75" customHeight="1">
      <c r="A3505" s="53" t="s">
        <v>808</v>
      </c>
      <c r="B3505" s="53" t="s">
        <v>4945</v>
      </c>
      <c r="D3505" s="53" t="s">
        <v>880</v>
      </c>
      <c r="E3505" s="53" t="s">
        <v>4994</v>
      </c>
      <c r="F3505" s="53" t="s">
        <v>73</v>
      </c>
      <c r="G3505" s="53" t="s">
        <v>815</v>
      </c>
      <c r="H3505" s="53">
        <v>1.0</v>
      </c>
      <c r="I3505" s="53">
        <v>0.6148148148148148</v>
      </c>
      <c r="J3505" s="53">
        <v>22.0</v>
      </c>
      <c r="K3505" s="53" t="s">
        <v>53</v>
      </c>
      <c r="L3505" s="53" t="s">
        <v>53</v>
      </c>
    </row>
    <row r="3506" ht="15.75" customHeight="1">
      <c r="A3506" s="53" t="s">
        <v>808</v>
      </c>
      <c r="B3506" s="53" t="s">
        <v>4945</v>
      </c>
      <c r="D3506" s="53" t="s">
        <v>880</v>
      </c>
      <c r="E3506" s="53" t="s">
        <v>4995</v>
      </c>
      <c r="F3506" s="53" t="s">
        <v>73</v>
      </c>
      <c r="G3506" s="53" t="s">
        <v>869</v>
      </c>
      <c r="H3506" s="53">
        <v>1.0</v>
      </c>
      <c r="I3506" s="53">
        <v>0.6148148148148148</v>
      </c>
      <c r="J3506" s="53">
        <v>21.0</v>
      </c>
      <c r="K3506" s="53" t="s">
        <v>53</v>
      </c>
      <c r="L3506" s="53" t="s">
        <v>53</v>
      </c>
    </row>
    <row r="3507" ht="15.75" customHeight="1">
      <c r="A3507" s="53" t="s">
        <v>808</v>
      </c>
      <c r="B3507" s="53" t="s">
        <v>4945</v>
      </c>
      <c r="D3507" s="53" t="s">
        <v>880</v>
      </c>
      <c r="E3507" s="53" t="s">
        <v>4996</v>
      </c>
      <c r="F3507" s="53" t="s">
        <v>73</v>
      </c>
      <c r="G3507" s="53" t="s">
        <v>4972</v>
      </c>
      <c r="H3507" s="53">
        <v>1.0</v>
      </c>
      <c r="I3507" s="53">
        <v>0.6370370370370371</v>
      </c>
      <c r="J3507" s="53">
        <v>3.0</v>
      </c>
      <c r="K3507" s="53" t="s">
        <v>53</v>
      </c>
      <c r="L3507" s="53" t="s">
        <v>53</v>
      </c>
    </row>
    <row r="3508" ht="15.75" customHeight="1">
      <c r="A3508" s="53" t="s">
        <v>808</v>
      </c>
      <c r="B3508" s="53" t="s">
        <v>4945</v>
      </c>
      <c r="D3508" s="53" t="s">
        <v>880</v>
      </c>
      <c r="E3508" s="53" t="s">
        <v>4997</v>
      </c>
      <c r="F3508" s="53" t="s">
        <v>73</v>
      </c>
      <c r="G3508" s="53" t="s">
        <v>114</v>
      </c>
      <c r="H3508" s="53">
        <v>1.0</v>
      </c>
      <c r="I3508" s="53">
        <v>0.6518518518518519</v>
      </c>
      <c r="J3508" s="53">
        <v>5.0</v>
      </c>
      <c r="K3508" s="53" t="s">
        <v>53</v>
      </c>
      <c r="L3508" s="53" t="s">
        <v>53</v>
      </c>
    </row>
    <row r="3509" ht="15.75" customHeight="1">
      <c r="A3509" s="53" t="s">
        <v>808</v>
      </c>
      <c r="B3509" s="53" t="s">
        <v>4945</v>
      </c>
      <c r="D3509" s="53" t="s">
        <v>880</v>
      </c>
      <c r="E3509" s="53" t="s">
        <v>4998</v>
      </c>
      <c r="F3509" s="53" t="s">
        <v>73</v>
      </c>
      <c r="G3509" s="53" t="s">
        <v>69</v>
      </c>
      <c r="H3509" s="53">
        <v>1.0</v>
      </c>
      <c r="I3509" s="53">
        <v>0.6592592592592592</v>
      </c>
      <c r="J3509" s="53">
        <v>4.0</v>
      </c>
      <c r="K3509" s="53" t="s">
        <v>53</v>
      </c>
      <c r="L3509" s="53" t="s">
        <v>53</v>
      </c>
    </row>
    <row r="3510" ht="15.75" customHeight="1">
      <c r="A3510" s="53" t="s">
        <v>808</v>
      </c>
      <c r="B3510" s="53" t="s">
        <v>4945</v>
      </c>
      <c r="D3510" s="53" t="s">
        <v>4553</v>
      </c>
      <c r="E3510" s="53" t="s">
        <v>4999</v>
      </c>
      <c r="F3510" s="53" t="s">
        <v>4555</v>
      </c>
      <c r="G3510" s="53" t="s">
        <v>4556</v>
      </c>
      <c r="H3510" s="53">
        <v>0.8</v>
      </c>
      <c r="I3510" s="53">
        <v>0.68</v>
      </c>
      <c r="J3510" s="53">
        <v>0.0</v>
      </c>
      <c r="K3510" s="53" t="s">
        <v>53</v>
      </c>
      <c r="L3510" s="53" t="s">
        <v>4557</v>
      </c>
    </row>
    <row r="3511" ht="15.75" customHeight="1">
      <c r="A3511" s="53" t="s">
        <v>808</v>
      </c>
      <c r="B3511" s="53" t="s">
        <v>4945</v>
      </c>
      <c r="D3511" s="53" t="s">
        <v>1939</v>
      </c>
      <c r="E3511" s="53" t="s">
        <v>5000</v>
      </c>
      <c r="F3511" s="53" t="s">
        <v>5001</v>
      </c>
      <c r="G3511" s="53" t="s">
        <v>1942</v>
      </c>
      <c r="H3511" s="53">
        <v>1.0</v>
      </c>
      <c r="I3511" s="53">
        <v>0.9701113262342691</v>
      </c>
      <c r="J3511" s="53">
        <v>8.0</v>
      </c>
      <c r="K3511" s="53" t="s">
        <v>53</v>
      </c>
      <c r="L3511" s="53" t="s">
        <v>53</v>
      </c>
    </row>
    <row r="3512" ht="15.75" customHeight="1">
      <c r="A3512" s="53" t="s">
        <v>808</v>
      </c>
      <c r="B3512" s="53" t="s">
        <v>4945</v>
      </c>
      <c r="D3512" s="53" t="s">
        <v>4972</v>
      </c>
      <c r="E3512" s="53" t="s">
        <v>5002</v>
      </c>
      <c r="F3512" s="53" t="s">
        <v>73</v>
      </c>
      <c r="G3512" s="53" t="s">
        <v>69</v>
      </c>
      <c r="H3512" s="53">
        <v>1.0</v>
      </c>
      <c r="I3512" s="53">
        <v>0.35658914728682173</v>
      </c>
      <c r="J3512" s="53">
        <v>0.0</v>
      </c>
      <c r="K3512" s="53" t="s">
        <v>53</v>
      </c>
      <c r="L3512" s="53" t="s">
        <v>53</v>
      </c>
    </row>
    <row r="3513" ht="15.75" customHeight="1">
      <c r="A3513" s="53" t="s">
        <v>808</v>
      </c>
      <c r="B3513" s="53" t="s">
        <v>4945</v>
      </c>
      <c r="D3513" s="53" t="s">
        <v>4972</v>
      </c>
      <c r="E3513" s="53" t="s">
        <v>5003</v>
      </c>
      <c r="F3513" s="53" t="s">
        <v>73</v>
      </c>
      <c r="G3513" s="53" t="s">
        <v>114</v>
      </c>
      <c r="H3513" s="53">
        <v>1.0</v>
      </c>
      <c r="I3513" s="53">
        <v>0.3798449612403101</v>
      </c>
      <c r="J3513" s="53">
        <v>1.0</v>
      </c>
      <c r="K3513" s="53" t="s">
        <v>53</v>
      </c>
      <c r="L3513" s="53" t="s">
        <v>53</v>
      </c>
    </row>
    <row r="3514" ht="15.75" customHeight="1">
      <c r="A3514" s="53" t="s">
        <v>808</v>
      </c>
      <c r="B3514" s="53" t="s">
        <v>4945</v>
      </c>
      <c r="D3514" s="53" t="s">
        <v>4972</v>
      </c>
      <c r="E3514" s="53" t="s">
        <v>5004</v>
      </c>
      <c r="F3514" s="53" t="s">
        <v>73</v>
      </c>
      <c r="G3514" s="53" t="s">
        <v>869</v>
      </c>
      <c r="H3514" s="53">
        <v>1.0</v>
      </c>
      <c r="I3514" s="53">
        <v>0.6201550387596899</v>
      </c>
      <c r="J3514" s="53">
        <v>17.0</v>
      </c>
      <c r="K3514" s="53" t="s">
        <v>53</v>
      </c>
      <c r="L3514" s="53" t="s">
        <v>53</v>
      </c>
    </row>
    <row r="3515" ht="15.75" customHeight="1">
      <c r="A3515" s="53" t="s">
        <v>808</v>
      </c>
      <c r="B3515" s="53" t="s">
        <v>4945</v>
      </c>
      <c r="D3515" s="53" t="s">
        <v>4972</v>
      </c>
      <c r="E3515" s="53" t="s">
        <v>5005</v>
      </c>
      <c r="F3515" s="53" t="s">
        <v>73</v>
      </c>
      <c r="G3515" s="53" t="s">
        <v>820</v>
      </c>
      <c r="H3515" s="53">
        <v>1.0</v>
      </c>
      <c r="I3515" s="53">
        <v>0.627906976744186</v>
      </c>
      <c r="J3515" s="53">
        <v>19.0</v>
      </c>
      <c r="K3515" s="53" t="s">
        <v>53</v>
      </c>
      <c r="L3515" s="53" t="s">
        <v>53</v>
      </c>
    </row>
    <row r="3516" ht="15.75" customHeight="1">
      <c r="A3516" s="53" t="s">
        <v>808</v>
      </c>
      <c r="B3516" s="53" t="s">
        <v>4945</v>
      </c>
      <c r="D3516" s="53" t="s">
        <v>4972</v>
      </c>
      <c r="E3516" s="53" t="s">
        <v>5006</v>
      </c>
      <c r="F3516" s="53" t="s">
        <v>73</v>
      </c>
      <c r="G3516" s="53" t="s">
        <v>815</v>
      </c>
      <c r="H3516" s="53">
        <v>1.0</v>
      </c>
      <c r="I3516" s="53">
        <v>0.627906976744186</v>
      </c>
      <c r="J3516" s="53">
        <v>18.0</v>
      </c>
      <c r="K3516" s="53" t="s">
        <v>53</v>
      </c>
      <c r="L3516" s="53" t="s">
        <v>53</v>
      </c>
    </row>
    <row r="3517" ht="15.75" customHeight="1">
      <c r="A3517" s="53" t="s">
        <v>808</v>
      </c>
      <c r="B3517" s="53" t="s">
        <v>4945</v>
      </c>
      <c r="D3517" s="53" t="s">
        <v>69</v>
      </c>
      <c r="E3517" s="53" t="s">
        <v>2598</v>
      </c>
      <c r="F3517" s="53" t="s">
        <v>73</v>
      </c>
      <c r="G3517" s="53" t="s">
        <v>114</v>
      </c>
      <c r="H3517" s="53">
        <v>1.0</v>
      </c>
      <c r="I3517" s="53">
        <v>0.06306306306306306</v>
      </c>
      <c r="J3517" s="53">
        <v>0.0</v>
      </c>
      <c r="K3517" s="53" t="s">
        <v>53</v>
      </c>
      <c r="L3517" s="53" t="s">
        <v>53</v>
      </c>
    </row>
    <row r="3518" ht="15.75" customHeight="1">
      <c r="A3518" s="53" t="s">
        <v>808</v>
      </c>
      <c r="B3518" s="53" t="s">
        <v>4945</v>
      </c>
      <c r="D3518" s="53" t="s">
        <v>69</v>
      </c>
      <c r="E3518" s="53" t="s">
        <v>817</v>
      </c>
      <c r="F3518" s="53" t="s">
        <v>73</v>
      </c>
      <c r="G3518" s="53" t="s">
        <v>820</v>
      </c>
      <c r="H3518" s="53">
        <v>1.0</v>
      </c>
      <c r="I3518" s="53">
        <v>0.5675675675675675</v>
      </c>
      <c r="J3518" s="53">
        <v>18.0</v>
      </c>
      <c r="K3518" s="53" t="s">
        <v>53</v>
      </c>
      <c r="L3518" s="53" t="s">
        <v>53</v>
      </c>
    </row>
    <row r="3519" ht="15.75" customHeight="1">
      <c r="A3519" s="53" t="s">
        <v>808</v>
      </c>
      <c r="B3519" s="53" t="s">
        <v>4945</v>
      </c>
      <c r="D3519" s="53" t="s">
        <v>69</v>
      </c>
      <c r="E3519" s="53" t="s">
        <v>812</v>
      </c>
      <c r="F3519" s="53" t="s">
        <v>73</v>
      </c>
      <c r="G3519" s="53" t="s">
        <v>815</v>
      </c>
      <c r="H3519" s="53">
        <v>1.0</v>
      </c>
      <c r="I3519" s="53">
        <v>0.5675675675675675</v>
      </c>
      <c r="J3519" s="53">
        <v>17.0</v>
      </c>
      <c r="K3519" s="53" t="s">
        <v>53</v>
      </c>
      <c r="L3519" s="53" t="s">
        <v>53</v>
      </c>
    </row>
    <row r="3520" ht="15.75" customHeight="1">
      <c r="A3520" s="53" t="s">
        <v>808</v>
      </c>
      <c r="B3520" s="53" t="s">
        <v>4945</v>
      </c>
      <c r="D3520" s="53" t="s">
        <v>69</v>
      </c>
      <c r="E3520" s="53" t="s">
        <v>4786</v>
      </c>
      <c r="F3520" s="53" t="s">
        <v>73</v>
      </c>
      <c r="G3520" s="53" t="s">
        <v>869</v>
      </c>
      <c r="H3520" s="53">
        <v>1.0</v>
      </c>
      <c r="I3520" s="53">
        <v>0.5675675675675675</v>
      </c>
      <c r="J3520" s="53">
        <v>16.0</v>
      </c>
      <c r="K3520" s="53" t="s">
        <v>53</v>
      </c>
      <c r="L3520" s="53" t="s">
        <v>53</v>
      </c>
    </row>
    <row r="3521" ht="15.75" customHeight="1">
      <c r="A3521" s="53" t="s">
        <v>808</v>
      </c>
      <c r="B3521" s="53" t="s">
        <v>4945</v>
      </c>
      <c r="D3521" s="53" t="s">
        <v>114</v>
      </c>
      <c r="E3521" s="53" t="s">
        <v>4559</v>
      </c>
      <c r="F3521" s="53" t="s">
        <v>73</v>
      </c>
      <c r="G3521" s="53" t="s">
        <v>820</v>
      </c>
      <c r="H3521" s="53">
        <v>1.0</v>
      </c>
      <c r="I3521" s="53">
        <v>0.5818181818181818</v>
      </c>
      <c r="J3521" s="53">
        <v>17.0</v>
      </c>
      <c r="K3521" s="53" t="s">
        <v>53</v>
      </c>
      <c r="L3521" s="53" t="s">
        <v>53</v>
      </c>
    </row>
    <row r="3522" ht="15.75" customHeight="1">
      <c r="A3522" s="53" t="s">
        <v>808</v>
      </c>
      <c r="B3522" s="53" t="s">
        <v>4945</v>
      </c>
      <c r="D3522" s="53" t="s">
        <v>114</v>
      </c>
      <c r="E3522" s="53" t="s">
        <v>4560</v>
      </c>
      <c r="F3522" s="53" t="s">
        <v>73</v>
      </c>
      <c r="G3522" s="53" t="s">
        <v>815</v>
      </c>
      <c r="H3522" s="53">
        <v>1.0</v>
      </c>
      <c r="I3522" s="53">
        <v>0.5818181818181818</v>
      </c>
      <c r="J3522" s="53">
        <v>16.0</v>
      </c>
      <c r="K3522" s="53" t="s">
        <v>53</v>
      </c>
      <c r="L3522" s="53" t="s">
        <v>53</v>
      </c>
    </row>
    <row r="3523" ht="15.75" customHeight="1">
      <c r="A3523" s="53" t="s">
        <v>808</v>
      </c>
      <c r="B3523" s="53" t="s">
        <v>4945</v>
      </c>
      <c r="D3523" s="53" t="s">
        <v>114</v>
      </c>
      <c r="E3523" s="53" t="s">
        <v>4787</v>
      </c>
      <c r="F3523" s="53" t="s">
        <v>73</v>
      </c>
      <c r="G3523" s="53" t="s">
        <v>869</v>
      </c>
      <c r="H3523" s="53">
        <v>1.0</v>
      </c>
      <c r="I3523" s="53">
        <v>0.5818181818181818</v>
      </c>
      <c r="J3523" s="53">
        <v>15.0</v>
      </c>
      <c r="K3523" s="53" t="s">
        <v>53</v>
      </c>
      <c r="L3523" s="53" t="s">
        <v>53</v>
      </c>
    </row>
    <row r="3524" ht="15.75" customHeight="1">
      <c r="A3524" s="53" t="s">
        <v>808</v>
      </c>
      <c r="B3524" s="53" t="s">
        <v>4945</v>
      </c>
      <c r="D3524" s="53" t="s">
        <v>1942</v>
      </c>
      <c r="E3524" s="53" t="s">
        <v>5007</v>
      </c>
      <c r="F3524" s="53" t="s">
        <v>5008</v>
      </c>
      <c r="G3524" s="53" t="s">
        <v>1946</v>
      </c>
      <c r="H3524" s="53">
        <v>0.25</v>
      </c>
      <c r="I3524" s="53">
        <v>0.09904117315284829</v>
      </c>
      <c r="J3524" s="53">
        <v>0.0</v>
      </c>
      <c r="K3524" s="53" t="s">
        <v>53</v>
      </c>
      <c r="L3524" s="53" t="s">
        <v>5009</v>
      </c>
    </row>
    <row r="3525" ht="15.75" customHeight="1">
      <c r="A3525" s="53" t="s">
        <v>808</v>
      </c>
      <c r="B3525" s="53" t="s">
        <v>4945</v>
      </c>
      <c r="D3525" s="53" t="s">
        <v>1946</v>
      </c>
      <c r="E3525" s="53" t="s">
        <v>1948</v>
      </c>
      <c r="F3525" s="53" t="s">
        <v>2499</v>
      </c>
      <c r="G3525" s="53" t="s">
        <v>1950</v>
      </c>
      <c r="H3525" s="53">
        <v>1.0</v>
      </c>
      <c r="I3525" s="53">
        <v>0.3670614777213762</v>
      </c>
      <c r="J3525" s="53">
        <v>1.0</v>
      </c>
      <c r="K3525" s="53" t="s">
        <v>53</v>
      </c>
      <c r="L3525" s="53" t="s">
        <v>53</v>
      </c>
    </row>
    <row r="3526" ht="15.75" customHeight="1">
      <c r="A3526" s="53" t="s">
        <v>808</v>
      </c>
      <c r="B3526" s="53" t="s">
        <v>4945</v>
      </c>
      <c r="D3526" s="53" t="s">
        <v>1951</v>
      </c>
      <c r="E3526" s="53" t="s">
        <v>1952</v>
      </c>
      <c r="F3526" s="53" t="s">
        <v>2500</v>
      </c>
      <c r="G3526" s="53" t="s">
        <v>1950</v>
      </c>
      <c r="H3526" s="53">
        <v>0.3333333333333333</v>
      </c>
      <c r="I3526" s="53">
        <v>0.06792058516196448</v>
      </c>
      <c r="J3526" s="53">
        <v>0.0</v>
      </c>
      <c r="K3526" s="53" t="s">
        <v>53</v>
      </c>
      <c r="L3526" s="53" t="s">
        <v>2501</v>
      </c>
    </row>
    <row r="3527" ht="15.75" customHeight="1">
      <c r="A3527" s="53" t="s">
        <v>808</v>
      </c>
      <c r="B3527" s="53" t="s">
        <v>4945</v>
      </c>
      <c r="D3527" s="53" t="s">
        <v>869</v>
      </c>
      <c r="E3527" s="53" t="s">
        <v>4788</v>
      </c>
      <c r="F3527" s="53" t="s">
        <v>73</v>
      </c>
      <c r="G3527" s="53" t="s">
        <v>820</v>
      </c>
      <c r="H3527" s="53">
        <v>1.0</v>
      </c>
      <c r="I3527" s="53">
        <v>0.020618556701030927</v>
      </c>
      <c r="J3527" s="53">
        <v>1.0</v>
      </c>
      <c r="K3527" s="53" t="s">
        <v>53</v>
      </c>
      <c r="L3527" s="53" t="s">
        <v>53</v>
      </c>
    </row>
    <row r="3528" ht="15.75" customHeight="1">
      <c r="A3528" s="53" t="s">
        <v>808</v>
      </c>
      <c r="B3528" s="53" t="s">
        <v>4945</v>
      </c>
      <c r="D3528" s="53" t="s">
        <v>869</v>
      </c>
      <c r="E3528" s="53" t="s">
        <v>4789</v>
      </c>
      <c r="F3528" s="53" t="s">
        <v>73</v>
      </c>
      <c r="G3528" s="53" t="s">
        <v>815</v>
      </c>
      <c r="H3528" s="53">
        <v>1.0</v>
      </c>
      <c r="I3528" s="53">
        <v>0.020618556701030927</v>
      </c>
      <c r="J3528" s="53">
        <v>0.0</v>
      </c>
      <c r="K3528" s="53" t="s">
        <v>53</v>
      </c>
      <c r="L3528" s="53" t="s">
        <v>53</v>
      </c>
    </row>
    <row r="3529" ht="15.75" customHeight="1">
      <c r="A3529" s="53" t="s">
        <v>808</v>
      </c>
      <c r="B3529" s="53" t="s">
        <v>4945</v>
      </c>
      <c r="D3529" s="53" t="s">
        <v>815</v>
      </c>
      <c r="E3529" s="53" t="s">
        <v>4422</v>
      </c>
      <c r="F3529" s="53" t="s">
        <v>73</v>
      </c>
      <c r="G3529" s="53" t="s">
        <v>820</v>
      </c>
      <c r="H3529" s="53">
        <v>1.0</v>
      </c>
      <c r="I3529" s="53">
        <v>0.010309278350515464</v>
      </c>
      <c r="J3529" s="53">
        <v>0.0</v>
      </c>
      <c r="K3529" s="53" t="s">
        <v>53</v>
      </c>
      <c r="L3529" s="53" t="s">
        <v>53</v>
      </c>
    </row>
    <row r="3530" ht="15.75" customHeight="1">
      <c r="A3530" s="53" t="s">
        <v>340</v>
      </c>
      <c r="B3530" s="53" t="s">
        <v>4945</v>
      </c>
      <c r="D3530" s="53" t="s">
        <v>349</v>
      </c>
      <c r="E3530" s="53" t="s">
        <v>5010</v>
      </c>
      <c r="F3530" s="53" t="s">
        <v>73</v>
      </c>
      <c r="G3530" s="53" t="s">
        <v>343</v>
      </c>
      <c r="H3530" s="53">
        <v>1.0</v>
      </c>
      <c r="I3530" s="53">
        <v>0.03875968992248062</v>
      </c>
      <c r="J3530" s="53">
        <v>2.0</v>
      </c>
      <c r="K3530" s="53" t="s">
        <v>53</v>
      </c>
      <c r="L3530" s="53" t="s">
        <v>53</v>
      </c>
    </row>
    <row r="3531" ht="15.75" customHeight="1">
      <c r="A3531" s="53" t="s">
        <v>340</v>
      </c>
      <c r="B3531" s="53" t="s">
        <v>4945</v>
      </c>
      <c r="D3531" s="53" t="s">
        <v>349</v>
      </c>
      <c r="E3531" s="53" t="s">
        <v>5011</v>
      </c>
      <c r="F3531" s="53" t="s">
        <v>73</v>
      </c>
      <c r="G3531" s="53" t="s">
        <v>922</v>
      </c>
      <c r="H3531" s="53">
        <v>1.0</v>
      </c>
      <c r="I3531" s="53">
        <v>0.0546875</v>
      </c>
      <c r="J3531" s="53">
        <v>0.0</v>
      </c>
      <c r="K3531" s="53" t="s">
        <v>53</v>
      </c>
      <c r="L3531" s="53" t="s">
        <v>53</v>
      </c>
    </row>
    <row r="3532" ht="15.75" customHeight="1">
      <c r="A3532" s="53" t="s">
        <v>340</v>
      </c>
      <c r="B3532" s="53" t="s">
        <v>4945</v>
      </c>
      <c r="D3532" s="53" t="s">
        <v>349</v>
      </c>
      <c r="E3532" s="53" t="s">
        <v>5012</v>
      </c>
      <c r="F3532" s="53" t="s">
        <v>73</v>
      </c>
      <c r="G3532" s="53" t="s">
        <v>2737</v>
      </c>
      <c r="H3532" s="53">
        <v>1.0</v>
      </c>
      <c r="I3532" s="53">
        <v>0.265625</v>
      </c>
      <c r="J3532" s="53">
        <v>1.0</v>
      </c>
      <c r="K3532" s="53" t="s">
        <v>53</v>
      </c>
      <c r="L3532" s="53" t="s">
        <v>53</v>
      </c>
    </row>
    <row r="3533" ht="15.75" customHeight="1">
      <c r="A3533" s="53" t="s">
        <v>340</v>
      </c>
      <c r="B3533" s="53" t="s">
        <v>4945</v>
      </c>
      <c r="D3533" s="53" t="s">
        <v>922</v>
      </c>
      <c r="E3533" s="53" t="s">
        <v>5013</v>
      </c>
      <c r="F3533" s="53" t="s">
        <v>73</v>
      </c>
      <c r="G3533" s="53" t="s">
        <v>343</v>
      </c>
      <c r="H3533" s="53">
        <v>1.0</v>
      </c>
      <c r="I3533" s="53">
        <v>0.06976744186046512</v>
      </c>
      <c r="J3533" s="53">
        <v>1.0</v>
      </c>
      <c r="K3533" s="53" t="s">
        <v>53</v>
      </c>
      <c r="L3533" s="53" t="s">
        <v>53</v>
      </c>
    </row>
    <row r="3534" ht="15.75" customHeight="1">
      <c r="A3534" s="53" t="s">
        <v>340</v>
      </c>
      <c r="B3534" s="53" t="s">
        <v>4945</v>
      </c>
      <c r="D3534" s="53" t="s">
        <v>922</v>
      </c>
      <c r="E3534" s="53" t="s">
        <v>5014</v>
      </c>
      <c r="F3534" s="53" t="s">
        <v>73</v>
      </c>
      <c r="G3534" s="53" t="s">
        <v>2737</v>
      </c>
      <c r="H3534" s="53">
        <v>1.0</v>
      </c>
      <c r="I3534" s="53">
        <v>0.25984251968503935</v>
      </c>
      <c r="J3534" s="53">
        <v>0.0</v>
      </c>
      <c r="K3534" s="53" t="s">
        <v>53</v>
      </c>
      <c r="L3534" s="53" t="s">
        <v>53</v>
      </c>
    </row>
    <row r="3535" ht="15.75" customHeight="1">
      <c r="A3535" s="53" t="s">
        <v>340</v>
      </c>
      <c r="B3535" s="53" t="s">
        <v>4945</v>
      </c>
      <c r="D3535" s="53" t="s">
        <v>2737</v>
      </c>
      <c r="E3535" s="53" t="s">
        <v>5015</v>
      </c>
      <c r="F3535" s="53" t="s">
        <v>73</v>
      </c>
      <c r="G3535" s="53" t="s">
        <v>343</v>
      </c>
      <c r="H3535" s="53">
        <v>1.0</v>
      </c>
      <c r="I3535" s="53">
        <v>0.2713178294573643</v>
      </c>
      <c r="J3535" s="53">
        <v>0.0</v>
      </c>
      <c r="K3535" s="53" t="s">
        <v>53</v>
      </c>
      <c r="L3535" s="53" t="s">
        <v>53</v>
      </c>
    </row>
    <row r="3536" ht="15.75" customHeight="1">
      <c r="A3536" s="53" t="s">
        <v>4716</v>
      </c>
      <c r="B3536" s="53" t="s">
        <v>4945</v>
      </c>
      <c r="D3536" s="53" t="s">
        <v>305</v>
      </c>
      <c r="E3536" s="53" t="s">
        <v>4717</v>
      </c>
      <c r="F3536" s="53" t="s">
        <v>4718</v>
      </c>
      <c r="G3536" s="53" t="s">
        <v>313</v>
      </c>
      <c r="H3536" s="53">
        <v>0.875</v>
      </c>
      <c r="I3536" s="53">
        <v>0.2793791574279379</v>
      </c>
      <c r="J3536" s="53">
        <v>7.0</v>
      </c>
      <c r="K3536" s="53" t="s">
        <v>53</v>
      </c>
      <c r="L3536" s="53" t="s">
        <v>4719</v>
      </c>
    </row>
    <row r="3537" ht="15.75" customHeight="1">
      <c r="A3537" s="53" t="s">
        <v>4716</v>
      </c>
      <c r="B3537" s="53" t="s">
        <v>4945</v>
      </c>
      <c r="D3537" s="53" t="s">
        <v>305</v>
      </c>
      <c r="E3537" s="53" t="s">
        <v>4720</v>
      </c>
      <c r="F3537" s="53" t="s">
        <v>4718</v>
      </c>
      <c r="G3537" s="53" t="s">
        <v>2627</v>
      </c>
      <c r="H3537" s="53">
        <v>0.875</v>
      </c>
      <c r="I3537" s="53">
        <v>0.2860310421286031</v>
      </c>
      <c r="J3537" s="53">
        <v>10.0</v>
      </c>
      <c r="K3537" s="53" t="s">
        <v>53</v>
      </c>
      <c r="L3537" s="53" t="s">
        <v>4719</v>
      </c>
    </row>
    <row r="3538" ht="15.75" customHeight="1">
      <c r="A3538" s="53" t="s">
        <v>4716</v>
      </c>
      <c r="B3538" s="53" t="s">
        <v>4945</v>
      </c>
      <c r="D3538" s="53" t="s">
        <v>305</v>
      </c>
      <c r="E3538" s="53" t="s">
        <v>4721</v>
      </c>
      <c r="F3538" s="53" t="s">
        <v>4718</v>
      </c>
      <c r="G3538" s="53" t="s">
        <v>2630</v>
      </c>
      <c r="H3538" s="53">
        <v>0.875</v>
      </c>
      <c r="I3538" s="53">
        <v>0.28824833702882485</v>
      </c>
      <c r="J3538" s="53">
        <v>9.0</v>
      </c>
      <c r="K3538" s="53" t="s">
        <v>53</v>
      </c>
      <c r="L3538" s="53" t="s">
        <v>4719</v>
      </c>
    </row>
    <row r="3539" ht="15.75" customHeight="1">
      <c r="A3539" s="53" t="s">
        <v>4716</v>
      </c>
      <c r="B3539" s="53" t="s">
        <v>4945</v>
      </c>
      <c r="D3539" s="53" t="s">
        <v>305</v>
      </c>
      <c r="E3539" s="53" t="s">
        <v>4722</v>
      </c>
      <c r="F3539" s="53" t="s">
        <v>4718</v>
      </c>
      <c r="G3539" s="53" t="s">
        <v>299</v>
      </c>
      <c r="H3539" s="53">
        <v>0.875</v>
      </c>
      <c r="I3539" s="53">
        <v>0.3448275862068966</v>
      </c>
      <c r="J3539" s="53">
        <v>8.0</v>
      </c>
      <c r="K3539" s="53" t="s">
        <v>53</v>
      </c>
      <c r="L3539" s="53" t="s">
        <v>4719</v>
      </c>
    </row>
    <row r="3540" ht="15.75" customHeight="1">
      <c r="A3540" s="53" t="s">
        <v>4716</v>
      </c>
      <c r="B3540" s="53" t="s">
        <v>4945</v>
      </c>
      <c r="D3540" s="53" t="s">
        <v>4723</v>
      </c>
      <c r="E3540" s="53" t="s">
        <v>5016</v>
      </c>
      <c r="F3540" s="53" t="s">
        <v>4791</v>
      </c>
      <c r="G3540" s="53" t="s">
        <v>4726</v>
      </c>
      <c r="H3540" s="53">
        <v>0.6</v>
      </c>
      <c r="I3540" s="53">
        <v>0.05722460658082976</v>
      </c>
      <c r="J3540" s="53">
        <v>0.0</v>
      </c>
      <c r="K3540" s="53" t="s">
        <v>53</v>
      </c>
      <c r="L3540" s="53" t="s">
        <v>1199</v>
      </c>
    </row>
    <row r="3541" ht="15.75" customHeight="1">
      <c r="A3541" s="53" t="s">
        <v>4716</v>
      </c>
      <c r="B3541" s="53" t="s">
        <v>4945</v>
      </c>
      <c r="D3541" s="53" t="s">
        <v>4763</v>
      </c>
      <c r="E3541" s="53" t="s">
        <v>5017</v>
      </c>
      <c r="F3541" s="53" t="s">
        <v>5018</v>
      </c>
      <c r="G3541" s="53" t="s">
        <v>1227</v>
      </c>
      <c r="H3541" s="53">
        <v>0.8333333333333334</v>
      </c>
      <c r="I3541" s="53">
        <v>0.18507462686567164</v>
      </c>
      <c r="J3541" s="53">
        <v>1.0</v>
      </c>
      <c r="K3541" s="53" t="s">
        <v>53</v>
      </c>
      <c r="L3541" s="53" t="s">
        <v>5019</v>
      </c>
    </row>
    <row r="3542" ht="15.75" customHeight="1">
      <c r="A3542" s="53" t="s">
        <v>4716</v>
      </c>
      <c r="B3542" s="53" t="s">
        <v>4945</v>
      </c>
      <c r="D3542" s="53" t="s">
        <v>4763</v>
      </c>
      <c r="E3542" s="53" t="s">
        <v>5020</v>
      </c>
      <c r="F3542" s="53" t="s">
        <v>5018</v>
      </c>
      <c r="G3542" s="53" t="s">
        <v>1230</v>
      </c>
      <c r="H3542" s="53">
        <v>0.8333333333333334</v>
      </c>
      <c r="I3542" s="53">
        <v>0.55</v>
      </c>
      <c r="J3542" s="53">
        <v>2.0</v>
      </c>
      <c r="K3542" s="53" t="s">
        <v>53</v>
      </c>
      <c r="L3542" s="53" t="s">
        <v>5019</v>
      </c>
    </row>
    <row r="3543" ht="15.75" customHeight="1">
      <c r="A3543" s="53" t="s">
        <v>4716</v>
      </c>
      <c r="B3543" s="53" t="s">
        <v>4945</v>
      </c>
      <c r="D3543" s="53" t="s">
        <v>1224</v>
      </c>
      <c r="E3543" s="53" t="s">
        <v>5021</v>
      </c>
      <c r="F3543" s="53" t="s">
        <v>5022</v>
      </c>
      <c r="G3543" s="53" t="s">
        <v>1227</v>
      </c>
      <c r="H3543" s="53">
        <v>0.8333333333333334</v>
      </c>
      <c r="I3543" s="53">
        <v>0.2994652406417112</v>
      </c>
      <c r="J3543" s="53">
        <v>0.0</v>
      </c>
      <c r="K3543" s="53" t="s">
        <v>53</v>
      </c>
      <c r="L3543" s="53" t="s">
        <v>4738</v>
      </c>
    </row>
    <row r="3544" ht="15.75" customHeight="1">
      <c r="A3544" s="53" t="s">
        <v>4716</v>
      </c>
      <c r="B3544" s="53" t="s">
        <v>4945</v>
      </c>
      <c r="D3544" s="53" t="s">
        <v>1224</v>
      </c>
      <c r="E3544" s="53" t="s">
        <v>5023</v>
      </c>
      <c r="F3544" s="53" t="s">
        <v>5022</v>
      </c>
      <c r="G3544" s="53" t="s">
        <v>1230</v>
      </c>
      <c r="H3544" s="53">
        <v>0.8333333333333334</v>
      </c>
      <c r="I3544" s="53">
        <v>0.490625</v>
      </c>
      <c r="J3544" s="53">
        <v>1.0</v>
      </c>
      <c r="K3544" s="53" t="s">
        <v>53</v>
      </c>
      <c r="L3544" s="53" t="s">
        <v>4738</v>
      </c>
    </row>
    <row r="3545" ht="15.75" customHeight="1">
      <c r="A3545" s="53" t="s">
        <v>4716</v>
      </c>
      <c r="B3545" s="53" t="s">
        <v>4945</v>
      </c>
      <c r="D3545" s="53" t="s">
        <v>1227</v>
      </c>
      <c r="E3545" s="53" t="s">
        <v>5024</v>
      </c>
      <c r="F3545" s="53" t="s">
        <v>5025</v>
      </c>
      <c r="G3545" s="53" t="s">
        <v>1230</v>
      </c>
      <c r="H3545" s="53">
        <v>1.0</v>
      </c>
      <c r="I3545" s="53">
        <v>0.4890625</v>
      </c>
      <c r="J3545" s="53">
        <v>0.0</v>
      </c>
      <c r="K3545" s="53" t="s">
        <v>53</v>
      </c>
      <c r="L3545" s="53" t="s">
        <v>53</v>
      </c>
    </row>
    <row r="3546" ht="15.75" customHeight="1">
      <c r="A3546" s="53" t="s">
        <v>4716</v>
      </c>
      <c r="B3546" s="53" t="s">
        <v>4945</v>
      </c>
      <c r="D3546" s="53" t="s">
        <v>313</v>
      </c>
      <c r="E3546" s="53" t="s">
        <v>4732</v>
      </c>
      <c r="F3546" s="53" t="s">
        <v>4733</v>
      </c>
      <c r="G3546" s="53" t="s">
        <v>2627</v>
      </c>
      <c r="H3546" s="53">
        <v>1.0</v>
      </c>
      <c r="I3546" s="53">
        <v>0.06376811594202898</v>
      </c>
      <c r="J3546" s="53">
        <v>2.0</v>
      </c>
      <c r="K3546" s="53" t="s">
        <v>53</v>
      </c>
      <c r="L3546" s="53" t="s">
        <v>53</v>
      </c>
    </row>
    <row r="3547" ht="15.75" customHeight="1">
      <c r="A3547" s="53" t="s">
        <v>4716</v>
      </c>
      <c r="B3547" s="53" t="s">
        <v>4945</v>
      </c>
      <c r="D3547" s="53" t="s">
        <v>313</v>
      </c>
      <c r="E3547" s="53" t="s">
        <v>4734</v>
      </c>
      <c r="F3547" s="53" t="s">
        <v>4733</v>
      </c>
      <c r="G3547" s="53" t="s">
        <v>2630</v>
      </c>
      <c r="H3547" s="53">
        <v>1.0</v>
      </c>
      <c r="I3547" s="53">
        <v>0.06956521739130435</v>
      </c>
      <c r="J3547" s="53">
        <v>1.0</v>
      </c>
      <c r="K3547" s="53" t="s">
        <v>53</v>
      </c>
      <c r="L3547" s="53" t="s">
        <v>53</v>
      </c>
    </row>
    <row r="3548" ht="15.75" customHeight="1">
      <c r="A3548" s="53" t="s">
        <v>4716</v>
      </c>
      <c r="B3548" s="53" t="s">
        <v>4945</v>
      </c>
      <c r="D3548" s="53" t="s">
        <v>313</v>
      </c>
      <c r="E3548" s="53" t="s">
        <v>4735</v>
      </c>
      <c r="F3548" s="53" t="s">
        <v>4733</v>
      </c>
      <c r="G3548" s="53" t="s">
        <v>299</v>
      </c>
      <c r="H3548" s="53">
        <v>1.0</v>
      </c>
      <c r="I3548" s="53">
        <v>0.359026369168357</v>
      </c>
      <c r="J3548" s="53">
        <v>0.0</v>
      </c>
      <c r="K3548" s="53" t="s">
        <v>53</v>
      </c>
      <c r="L3548" s="53" t="s">
        <v>53</v>
      </c>
    </row>
    <row r="3549" ht="15.75" customHeight="1">
      <c r="A3549" s="53" t="s">
        <v>4716</v>
      </c>
      <c r="B3549" s="53" t="s">
        <v>4945</v>
      </c>
      <c r="D3549" s="53" t="s">
        <v>299</v>
      </c>
      <c r="E3549" s="53" t="s">
        <v>4739</v>
      </c>
      <c r="F3549" s="53" t="s">
        <v>4733</v>
      </c>
      <c r="G3549" s="53" t="s">
        <v>2627</v>
      </c>
      <c r="H3549" s="53">
        <v>1.0</v>
      </c>
      <c r="I3549" s="53">
        <v>0.359026369168357</v>
      </c>
      <c r="J3549" s="53">
        <v>1.0</v>
      </c>
      <c r="K3549" s="53" t="s">
        <v>53</v>
      </c>
      <c r="L3549" s="53" t="s">
        <v>53</v>
      </c>
    </row>
    <row r="3550" ht="15.75" customHeight="1">
      <c r="A3550" s="53" t="s">
        <v>4716</v>
      </c>
      <c r="B3550" s="53" t="s">
        <v>4945</v>
      </c>
      <c r="D3550" s="53" t="s">
        <v>299</v>
      </c>
      <c r="E3550" s="53" t="s">
        <v>4740</v>
      </c>
      <c r="F3550" s="53" t="s">
        <v>4733</v>
      </c>
      <c r="G3550" s="53" t="s">
        <v>2630</v>
      </c>
      <c r="H3550" s="53">
        <v>1.0</v>
      </c>
      <c r="I3550" s="53">
        <v>0.36511156186612576</v>
      </c>
      <c r="J3550" s="53">
        <v>0.0</v>
      </c>
      <c r="K3550" s="53" t="s">
        <v>53</v>
      </c>
      <c r="L3550" s="53" t="s">
        <v>53</v>
      </c>
    </row>
    <row r="3551" ht="15.75" customHeight="1">
      <c r="A3551" s="53" t="s">
        <v>4716</v>
      </c>
      <c r="B3551" s="53" t="s">
        <v>4945</v>
      </c>
      <c r="D3551" s="53" t="s">
        <v>2630</v>
      </c>
      <c r="E3551" s="53" t="s">
        <v>4742</v>
      </c>
      <c r="F3551" s="53" t="s">
        <v>4733</v>
      </c>
      <c r="G3551" s="53" t="s">
        <v>2627</v>
      </c>
      <c r="H3551" s="53">
        <v>1.0</v>
      </c>
      <c r="I3551" s="53">
        <v>0.012012012012012012</v>
      </c>
      <c r="J3551" s="53">
        <v>0.0</v>
      </c>
      <c r="K3551" s="53" t="s">
        <v>53</v>
      </c>
      <c r="L3551" s="53" t="s">
        <v>53</v>
      </c>
    </row>
    <row r="3552" ht="15.75" customHeight="1">
      <c r="A3552" s="53" t="s">
        <v>2613</v>
      </c>
      <c r="B3552" s="53" t="s">
        <v>4945</v>
      </c>
      <c r="D3552" s="53" t="s">
        <v>1585</v>
      </c>
      <c r="E3552" s="53" t="s">
        <v>2614</v>
      </c>
      <c r="F3552" s="53" t="s">
        <v>1587</v>
      </c>
      <c r="G3552" s="53" t="s">
        <v>1588</v>
      </c>
      <c r="H3552" s="53">
        <v>1.0</v>
      </c>
      <c r="I3552" s="53">
        <v>0.043478260869565216</v>
      </c>
      <c r="J3552" s="53">
        <v>0.0</v>
      </c>
      <c r="K3552" s="53" t="s">
        <v>53</v>
      </c>
      <c r="L3552" s="53" t="s">
        <v>53</v>
      </c>
    </row>
    <row r="3553" ht="15.75" customHeight="1">
      <c r="A3553" s="53" t="s">
        <v>2613</v>
      </c>
      <c r="B3553" s="53" t="s">
        <v>4945</v>
      </c>
      <c r="D3553" s="53" t="s">
        <v>2275</v>
      </c>
      <c r="E3553" s="53" t="s">
        <v>5026</v>
      </c>
      <c r="F3553" s="53" t="s">
        <v>4793</v>
      </c>
      <c r="G3553" s="53" t="s">
        <v>2278</v>
      </c>
      <c r="H3553" s="53">
        <v>0.6</v>
      </c>
      <c r="I3553" s="53">
        <v>0.0984251968503937</v>
      </c>
      <c r="J3553" s="53">
        <v>0.0</v>
      </c>
      <c r="K3553" s="53" t="s">
        <v>53</v>
      </c>
      <c r="L3553" s="53" t="s">
        <v>1199</v>
      </c>
    </row>
    <row r="3554" ht="15.75" customHeight="1">
      <c r="A3554" s="53" t="s">
        <v>2613</v>
      </c>
      <c r="B3554" s="53" t="s">
        <v>4945</v>
      </c>
      <c r="D3554" s="53" t="s">
        <v>1232</v>
      </c>
      <c r="E3554" s="53" t="s">
        <v>5027</v>
      </c>
      <c r="F3554" s="53" t="s">
        <v>5028</v>
      </c>
      <c r="G3554" s="53" t="s">
        <v>1235</v>
      </c>
      <c r="H3554" s="53">
        <v>1.0</v>
      </c>
      <c r="I3554" s="53">
        <v>0.5669565217391305</v>
      </c>
      <c r="J3554" s="53">
        <v>0.0</v>
      </c>
      <c r="K3554" s="53" t="s">
        <v>53</v>
      </c>
      <c r="L3554" s="53" t="s">
        <v>53</v>
      </c>
    </row>
    <row r="3555" ht="15.75" customHeight="1">
      <c r="A3555" s="53" t="s">
        <v>924</v>
      </c>
      <c r="B3555" s="53" t="s">
        <v>4945</v>
      </c>
      <c r="D3555" s="53" t="s">
        <v>933</v>
      </c>
      <c r="E3555" s="53" t="s">
        <v>5029</v>
      </c>
      <c r="F3555" s="53" t="s">
        <v>73</v>
      </c>
      <c r="G3555" s="53" t="s">
        <v>3811</v>
      </c>
      <c r="H3555" s="53">
        <v>1.0</v>
      </c>
      <c r="I3555" s="53">
        <v>0.11486486486486487</v>
      </c>
      <c r="J3555" s="53">
        <v>12.0</v>
      </c>
      <c r="K3555" s="53" t="s">
        <v>53</v>
      </c>
      <c r="L3555" s="53" t="s">
        <v>53</v>
      </c>
    </row>
    <row r="3556" ht="15.75" customHeight="1">
      <c r="A3556" s="53" t="s">
        <v>924</v>
      </c>
      <c r="B3556" s="53" t="s">
        <v>4945</v>
      </c>
      <c r="D3556" s="53" t="s">
        <v>933</v>
      </c>
      <c r="E3556" s="53" t="s">
        <v>5030</v>
      </c>
      <c r="F3556" s="53" t="s">
        <v>73</v>
      </c>
      <c r="G3556" s="53" t="s">
        <v>3839</v>
      </c>
      <c r="H3556" s="53">
        <v>1.0</v>
      </c>
      <c r="I3556" s="53">
        <v>0.3473684210526316</v>
      </c>
      <c r="J3556" s="53">
        <v>11.0</v>
      </c>
      <c r="K3556" s="53" t="s">
        <v>53</v>
      </c>
      <c r="L3556" s="53" t="s">
        <v>53</v>
      </c>
    </row>
    <row r="3557" ht="15.75" customHeight="1">
      <c r="A3557" s="53" t="s">
        <v>924</v>
      </c>
      <c r="B3557" s="53" t="s">
        <v>4945</v>
      </c>
      <c r="D3557" s="53" t="s">
        <v>933</v>
      </c>
      <c r="E3557" s="53" t="s">
        <v>5031</v>
      </c>
      <c r="F3557" s="53" t="s">
        <v>73</v>
      </c>
      <c r="G3557" s="53" t="s">
        <v>3842</v>
      </c>
      <c r="H3557" s="53">
        <v>1.0</v>
      </c>
      <c r="I3557" s="53">
        <v>0.3645833333333333</v>
      </c>
      <c r="J3557" s="53">
        <v>15.0</v>
      </c>
      <c r="K3557" s="53" t="s">
        <v>53</v>
      </c>
      <c r="L3557" s="53" t="s">
        <v>53</v>
      </c>
    </row>
    <row r="3558" ht="15.75" customHeight="1">
      <c r="A3558" s="53" t="s">
        <v>924</v>
      </c>
      <c r="B3558" s="53" t="s">
        <v>4945</v>
      </c>
      <c r="D3558" s="53" t="s">
        <v>933</v>
      </c>
      <c r="E3558" s="53" t="s">
        <v>5032</v>
      </c>
      <c r="F3558" s="53" t="s">
        <v>73</v>
      </c>
      <c r="G3558" s="53" t="s">
        <v>3854</v>
      </c>
      <c r="H3558" s="53">
        <v>1.0</v>
      </c>
      <c r="I3558" s="53">
        <v>0.37244897959183676</v>
      </c>
      <c r="J3558" s="53">
        <v>19.0</v>
      </c>
      <c r="K3558" s="53" t="s">
        <v>53</v>
      </c>
      <c r="L3558" s="53" t="s">
        <v>53</v>
      </c>
    </row>
    <row r="3559" ht="15.75" customHeight="1">
      <c r="A3559" s="53" t="s">
        <v>924</v>
      </c>
      <c r="B3559" s="53" t="s">
        <v>4945</v>
      </c>
      <c r="D3559" s="53" t="s">
        <v>933</v>
      </c>
      <c r="E3559" s="53" t="s">
        <v>5033</v>
      </c>
      <c r="F3559" s="53" t="s">
        <v>73</v>
      </c>
      <c r="G3559" s="53" t="s">
        <v>3846</v>
      </c>
      <c r="H3559" s="53">
        <v>1.0</v>
      </c>
      <c r="I3559" s="53">
        <v>0.37244897959183676</v>
      </c>
      <c r="J3559" s="53">
        <v>21.0</v>
      </c>
      <c r="K3559" s="53" t="s">
        <v>53</v>
      </c>
      <c r="L3559" s="53" t="s">
        <v>53</v>
      </c>
    </row>
    <row r="3560" ht="15.75" customHeight="1">
      <c r="A3560" s="53" t="s">
        <v>924</v>
      </c>
      <c r="B3560" s="53" t="s">
        <v>4945</v>
      </c>
      <c r="D3560" s="53" t="s">
        <v>933</v>
      </c>
      <c r="E3560" s="53" t="s">
        <v>5034</v>
      </c>
      <c r="F3560" s="53" t="s">
        <v>73</v>
      </c>
      <c r="G3560" s="53" t="s">
        <v>3850</v>
      </c>
      <c r="H3560" s="53">
        <v>1.0</v>
      </c>
      <c r="I3560" s="53">
        <v>0.37244897959183676</v>
      </c>
      <c r="J3560" s="53">
        <v>17.0</v>
      </c>
      <c r="K3560" s="53" t="s">
        <v>53</v>
      </c>
      <c r="L3560" s="53" t="s">
        <v>53</v>
      </c>
    </row>
    <row r="3561" ht="15.75" customHeight="1">
      <c r="A3561" s="53" t="s">
        <v>924</v>
      </c>
      <c r="B3561" s="53" t="s">
        <v>4945</v>
      </c>
      <c r="D3561" s="53" t="s">
        <v>933</v>
      </c>
      <c r="E3561" s="53" t="s">
        <v>935</v>
      </c>
      <c r="F3561" s="53" t="s">
        <v>73</v>
      </c>
      <c r="G3561" s="53" t="s">
        <v>938</v>
      </c>
      <c r="H3561" s="53">
        <v>1.0</v>
      </c>
      <c r="I3561" s="53">
        <v>0.43243243243243246</v>
      </c>
      <c r="J3561" s="53">
        <v>13.0</v>
      </c>
      <c r="K3561" s="53" t="s">
        <v>53</v>
      </c>
      <c r="L3561" s="53" t="s">
        <v>53</v>
      </c>
    </row>
    <row r="3562" ht="15.75" customHeight="1">
      <c r="A3562" s="53" t="s">
        <v>924</v>
      </c>
      <c r="B3562" s="53" t="s">
        <v>4945</v>
      </c>
      <c r="D3562" s="53" t="s">
        <v>933</v>
      </c>
      <c r="E3562" s="53" t="s">
        <v>5035</v>
      </c>
      <c r="F3562" s="53" t="s">
        <v>73</v>
      </c>
      <c r="G3562" s="53" t="s">
        <v>3821</v>
      </c>
      <c r="H3562" s="53">
        <v>1.0</v>
      </c>
      <c r="I3562" s="53">
        <v>0.4906832298136646</v>
      </c>
      <c r="J3562" s="53">
        <v>8.0</v>
      </c>
      <c r="K3562" s="53" t="s">
        <v>53</v>
      </c>
      <c r="L3562" s="53" t="s">
        <v>53</v>
      </c>
    </row>
    <row r="3563" ht="15.75" customHeight="1">
      <c r="A3563" s="53" t="s">
        <v>924</v>
      </c>
      <c r="B3563" s="53" t="s">
        <v>4945</v>
      </c>
      <c r="D3563" s="53" t="s">
        <v>933</v>
      </c>
      <c r="E3563" s="53" t="s">
        <v>5036</v>
      </c>
      <c r="F3563" s="53" t="s">
        <v>73</v>
      </c>
      <c r="G3563" s="53" t="s">
        <v>5037</v>
      </c>
      <c r="H3563" s="53">
        <v>1.0</v>
      </c>
      <c r="I3563" s="53">
        <v>0.5141242937853108</v>
      </c>
      <c r="J3563" s="53">
        <v>9.0</v>
      </c>
      <c r="K3563" s="53" t="s">
        <v>53</v>
      </c>
      <c r="L3563" s="53" t="s">
        <v>53</v>
      </c>
    </row>
    <row r="3564" ht="15.75" customHeight="1">
      <c r="A3564" s="53" t="s">
        <v>924</v>
      </c>
      <c r="B3564" s="53" t="s">
        <v>4945</v>
      </c>
      <c r="D3564" s="53" t="s">
        <v>933</v>
      </c>
      <c r="E3564" s="53" t="s">
        <v>5038</v>
      </c>
      <c r="F3564" s="53" t="s">
        <v>73</v>
      </c>
      <c r="G3564" s="53" t="s">
        <v>3818</v>
      </c>
      <c r="H3564" s="53">
        <v>1.0</v>
      </c>
      <c r="I3564" s="53">
        <v>0.5567567567567567</v>
      </c>
      <c r="J3564" s="53">
        <v>7.0</v>
      </c>
      <c r="K3564" s="53" t="s">
        <v>53</v>
      </c>
      <c r="L3564" s="53" t="s">
        <v>53</v>
      </c>
    </row>
    <row r="3565" ht="15.75" customHeight="1">
      <c r="A3565" s="53" t="s">
        <v>924</v>
      </c>
      <c r="B3565" s="53" t="s">
        <v>4945</v>
      </c>
      <c r="D3565" s="53" t="s">
        <v>925</v>
      </c>
      <c r="E3565" s="53" t="s">
        <v>5039</v>
      </c>
      <c r="F3565" s="53" t="s">
        <v>3813</v>
      </c>
      <c r="G3565" s="53" t="s">
        <v>3814</v>
      </c>
      <c r="H3565" s="53">
        <v>0.8</v>
      </c>
      <c r="I3565" s="53">
        <v>0.057007125890736345</v>
      </c>
      <c r="J3565" s="53">
        <v>1.0</v>
      </c>
      <c r="K3565" s="53" t="s">
        <v>53</v>
      </c>
      <c r="L3565" s="53" t="s">
        <v>1527</v>
      </c>
    </row>
    <row r="3566" ht="15.75" customHeight="1">
      <c r="A3566" s="53" t="s">
        <v>924</v>
      </c>
      <c r="B3566" s="53" t="s">
        <v>4945</v>
      </c>
      <c r="D3566" s="53" t="s">
        <v>925</v>
      </c>
      <c r="E3566" s="53" t="s">
        <v>927</v>
      </c>
      <c r="F3566" s="53" t="s">
        <v>929</v>
      </c>
      <c r="G3566" s="53" t="s">
        <v>931</v>
      </c>
      <c r="H3566" s="53">
        <v>0.8333333333333334</v>
      </c>
      <c r="I3566" s="53">
        <v>0.15991902834008098</v>
      </c>
      <c r="J3566" s="53">
        <v>0.0</v>
      </c>
      <c r="K3566" s="53" t="s">
        <v>53</v>
      </c>
      <c r="L3566" s="53" t="s">
        <v>3817</v>
      </c>
    </row>
    <row r="3567" ht="15.75" customHeight="1">
      <c r="A3567" s="53" t="s">
        <v>924</v>
      </c>
      <c r="B3567" s="53" t="s">
        <v>4945</v>
      </c>
      <c r="D3567" s="53" t="s">
        <v>3818</v>
      </c>
      <c r="E3567" s="53" t="s">
        <v>5040</v>
      </c>
      <c r="F3567" s="53" t="s">
        <v>73</v>
      </c>
      <c r="G3567" s="53" t="s">
        <v>3821</v>
      </c>
      <c r="H3567" s="53">
        <v>1.0</v>
      </c>
      <c r="I3567" s="53">
        <v>0.21081081081081082</v>
      </c>
      <c r="J3567" s="53">
        <v>0.0</v>
      </c>
      <c r="K3567" s="53" t="s">
        <v>53</v>
      </c>
      <c r="L3567" s="53" t="s">
        <v>53</v>
      </c>
    </row>
    <row r="3568" ht="15.75" customHeight="1">
      <c r="A3568" s="53" t="s">
        <v>924</v>
      </c>
      <c r="B3568" s="53" t="s">
        <v>4945</v>
      </c>
      <c r="D3568" s="53" t="s">
        <v>3818</v>
      </c>
      <c r="E3568" s="53" t="s">
        <v>5041</v>
      </c>
      <c r="F3568" s="53" t="s">
        <v>73</v>
      </c>
      <c r="G3568" s="53" t="s">
        <v>3854</v>
      </c>
      <c r="H3568" s="53">
        <v>1.0</v>
      </c>
      <c r="I3568" s="53">
        <v>0.3469387755102041</v>
      </c>
      <c r="J3568" s="53">
        <v>11.0</v>
      </c>
      <c r="K3568" s="53" t="s">
        <v>53</v>
      </c>
      <c r="L3568" s="53" t="s">
        <v>53</v>
      </c>
    </row>
    <row r="3569" ht="15.75" customHeight="1">
      <c r="A3569" s="53" t="s">
        <v>924</v>
      </c>
      <c r="B3569" s="53" t="s">
        <v>4945</v>
      </c>
      <c r="D3569" s="53" t="s">
        <v>3818</v>
      </c>
      <c r="E3569" s="53" t="s">
        <v>5042</v>
      </c>
      <c r="F3569" s="53" t="s">
        <v>73</v>
      </c>
      <c r="G3569" s="53" t="s">
        <v>3846</v>
      </c>
      <c r="H3569" s="53">
        <v>1.0</v>
      </c>
      <c r="I3569" s="53">
        <v>0.3469387755102041</v>
      </c>
      <c r="J3569" s="53">
        <v>13.0</v>
      </c>
      <c r="K3569" s="53" t="s">
        <v>53</v>
      </c>
      <c r="L3569" s="53" t="s">
        <v>53</v>
      </c>
    </row>
    <row r="3570" ht="15.75" customHeight="1">
      <c r="A3570" s="53" t="s">
        <v>924</v>
      </c>
      <c r="B3570" s="53" t="s">
        <v>4945</v>
      </c>
      <c r="D3570" s="53" t="s">
        <v>3818</v>
      </c>
      <c r="E3570" s="53" t="s">
        <v>5043</v>
      </c>
      <c r="F3570" s="53" t="s">
        <v>73</v>
      </c>
      <c r="G3570" s="53" t="s">
        <v>3850</v>
      </c>
      <c r="H3570" s="53">
        <v>1.0</v>
      </c>
      <c r="I3570" s="53">
        <v>0.3469387755102041</v>
      </c>
      <c r="J3570" s="53">
        <v>9.0</v>
      </c>
      <c r="K3570" s="53" t="s">
        <v>53</v>
      </c>
      <c r="L3570" s="53" t="s">
        <v>53</v>
      </c>
    </row>
    <row r="3571" ht="15.75" customHeight="1">
      <c r="A3571" s="53" t="s">
        <v>924</v>
      </c>
      <c r="B3571" s="53" t="s">
        <v>4945</v>
      </c>
      <c r="D3571" s="53" t="s">
        <v>3818</v>
      </c>
      <c r="E3571" s="53" t="s">
        <v>5044</v>
      </c>
      <c r="F3571" s="53" t="s">
        <v>73</v>
      </c>
      <c r="G3571" s="53" t="s">
        <v>3842</v>
      </c>
      <c r="H3571" s="53">
        <v>1.0</v>
      </c>
      <c r="I3571" s="53">
        <v>0.3489583333333333</v>
      </c>
      <c r="J3571" s="53">
        <v>7.0</v>
      </c>
      <c r="K3571" s="53" t="s">
        <v>53</v>
      </c>
      <c r="L3571" s="53" t="s">
        <v>53</v>
      </c>
    </row>
    <row r="3572" ht="15.75" customHeight="1">
      <c r="A3572" s="53" t="s">
        <v>924</v>
      </c>
      <c r="B3572" s="53" t="s">
        <v>4945</v>
      </c>
      <c r="D3572" s="53" t="s">
        <v>3818</v>
      </c>
      <c r="E3572" s="53" t="s">
        <v>5045</v>
      </c>
      <c r="F3572" s="53" t="s">
        <v>73</v>
      </c>
      <c r="G3572" s="53" t="s">
        <v>3839</v>
      </c>
      <c r="H3572" s="53">
        <v>1.0</v>
      </c>
      <c r="I3572" s="53">
        <v>0.35789473684210527</v>
      </c>
      <c r="J3572" s="53">
        <v>3.0</v>
      </c>
      <c r="K3572" s="53" t="s">
        <v>53</v>
      </c>
      <c r="L3572" s="53" t="s">
        <v>53</v>
      </c>
    </row>
    <row r="3573" ht="15.75" customHeight="1">
      <c r="A3573" s="53" t="s">
        <v>924</v>
      </c>
      <c r="B3573" s="53" t="s">
        <v>4945</v>
      </c>
      <c r="D3573" s="53" t="s">
        <v>3818</v>
      </c>
      <c r="E3573" s="53" t="s">
        <v>5046</v>
      </c>
      <c r="F3573" s="53" t="s">
        <v>73</v>
      </c>
      <c r="G3573" s="53" t="s">
        <v>5037</v>
      </c>
      <c r="H3573" s="53">
        <v>1.0</v>
      </c>
      <c r="I3573" s="53">
        <v>0.3891891891891892</v>
      </c>
      <c r="J3573" s="53">
        <v>1.0</v>
      </c>
      <c r="K3573" s="53" t="s">
        <v>53</v>
      </c>
      <c r="L3573" s="53" t="s">
        <v>53</v>
      </c>
    </row>
    <row r="3574" ht="15.75" customHeight="1">
      <c r="A3574" s="53" t="s">
        <v>924</v>
      </c>
      <c r="B3574" s="53" t="s">
        <v>4945</v>
      </c>
      <c r="D3574" s="53" t="s">
        <v>3818</v>
      </c>
      <c r="E3574" s="53" t="s">
        <v>5047</v>
      </c>
      <c r="F3574" s="53" t="s">
        <v>73</v>
      </c>
      <c r="G3574" s="53" t="s">
        <v>938</v>
      </c>
      <c r="H3574" s="53">
        <v>1.0</v>
      </c>
      <c r="I3574" s="53">
        <v>0.5243243243243243</v>
      </c>
      <c r="J3574" s="53">
        <v>5.0</v>
      </c>
      <c r="K3574" s="53" t="s">
        <v>53</v>
      </c>
      <c r="L3574" s="53" t="s">
        <v>53</v>
      </c>
    </row>
    <row r="3575" ht="15.75" customHeight="1">
      <c r="A3575" s="53" t="s">
        <v>924</v>
      </c>
      <c r="B3575" s="53" t="s">
        <v>4945</v>
      </c>
      <c r="D3575" s="53" t="s">
        <v>3818</v>
      </c>
      <c r="E3575" s="53" t="s">
        <v>5048</v>
      </c>
      <c r="F3575" s="53" t="s">
        <v>73</v>
      </c>
      <c r="G3575" s="53" t="s">
        <v>3811</v>
      </c>
      <c r="H3575" s="53">
        <v>1.0</v>
      </c>
      <c r="I3575" s="53">
        <v>0.5405405405405406</v>
      </c>
      <c r="J3575" s="53">
        <v>4.0</v>
      </c>
      <c r="K3575" s="53" t="s">
        <v>53</v>
      </c>
      <c r="L3575" s="53" t="s">
        <v>53</v>
      </c>
    </row>
    <row r="3576" ht="15.75" customHeight="1">
      <c r="A3576" s="53" t="s">
        <v>924</v>
      </c>
      <c r="B3576" s="53" t="s">
        <v>4945</v>
      </c>
      <c r="D3576" s="53" t="s">
        <v>3821</v>
      </c>
      <c r="E3576" s="53" t="s">
        <v>5049</v>
      </c>
      <c r="F3576" s="53" t="s">
        <v>73</v>
      </c>
      <c r="G3576" s="53" t="s">
        <v>5037</v>
      </c>
      <c r="H3576" s="53">
        <v>1.0</v>
      </c>
      <c r="I3576" s="53">
        <v>0.3220338983050847</v>
      </c>
      <c r="J3576" s="53">
        <v>0.0</v>
      </c>
      <c r="K3576" s="53" t="s">
        <v>53</v>
      </c>
      <c r="L3576" s="53" t="s">
        <v>53</v>
      </c>
    </row>
    <row r="3577" ht="15.75" customHeight="1">
      <c r="A3577" s="53" t="s">
        <v>924</v>
      </c>
      <c r="B3577" s="53" t="s">
        <v>4945</v>
      </c>
      <c r="D3577" s="53" t="s">
        <v>3821</v>
      </c>
      <c r="E3577" s="53" t="s">
        <v>5050</v>
      </c>
      <c r="F3577" s="53" t="s">
        <v>73</v>
      </c>
      <c r="G3577" s="53" t="s">
        <v>3811</v>
      </c>
      <c r="H3577" s="53">
        <v>1.0</v>
      </c>
      <c r="I3577" s="53">
        <v>0.43478260869565216</v>
      </c>
      <c r="J3577" s="53">
        <v>3.0</v>
      </c>
      <c r="K3577" s="53" t="s">
        <v>53</v>
      </c>
      <c r="L3577" s="53" t="s">
        <v>53</v>
      </c>
    </row>
    <row r="3578" ht="15.75" customHeight="1">
      <c r="A3578" s="53" t="s">
        <v>924</v>
      </c>
      <c r="B3578" s="53" t="s">
        <v>4945</v>
      </c>
      <c r="D3578" s="53" t="s">
        <v>3821</v>
      </c>
      <c r="E3578" s="53" t="s">
        <v>5051</v>
      </c>
      <c r="F3578" s="53" t="s">
        <v>73</v>
      </c>
      <c r="G3578" s="53" t="s">
        <v>3842</v>
      </c>
      <c r="H3578" s="53">
        <v>1.0</v>
      </c>
      <c r="I3578" s="53">
        <v>0.4427083333333333</v>
      </c>
      <c r="J3578" s="53">
        <v>6.0</v>
      </c>
      <c r="K3578" s="53" t="s">
        <v>53</v>
      </c>
      <c r="L3578" s="53" t="s">
        <v>53</v>
      </c>
    </row>
    <row r="3579" ht="15.75" customHeight="1">
      <c r="A3579" s="53" t="s">
        <v>924</v>
      </c>
      <c r="B3579" s="53" t="s">
        <v>4945</v>
      </c>
      <c r="D3579" s="53" t="s">
        <v>3821</v>
      </c>
      <c r="E3579" s="53" t="s">
        <v>5052</v>
      </c>
      <c r="F3579" s="53" t="s">
        <v>73</v>
      </c>
      <c r="G3579" s="53" t="s">
        <v>3854</v>
      </c>
      <c r="H3579" s="53">
        <v>1.0</v>
      </c>
      <c r="I3579" s="53">
        <v>0.44387755102040816</v>
      </c>
      <c r="J3579" s="53">
        <v>10.0</v>
      </c>
      <c r="K3579" s="53" t="s">
        <v>53</v>
      </c>
      <c r="L3579" s="53" t="s">
        <v>53</v>
      </c>
    </row>
    <row r="3580" ht="15.75" customHeight="1">
      <c r="A3580" s="53" t="s">
        <v>924</v>
      </c>
      <c r="B3580" s="53" t="s">
        <v>4945</v>
      </c>
      <c r="D3580" s="53" t="s">
        <v>3821</v>
      </c>
      <c r="E3580" s="53" t="s">
        <v>5053</v>
      </c>
      <c r="F3580" s="53" t="s">
        <v>73</v>
      </c>
      <c r="G3580" s="53" t="s">
        <v>3846</v>
      </c>
      <c r="H3580" s="53">
        <v>1.0</v>
      </c>
      <c r="I3580" s="53">
        <v>0.44387755102040816</v>
      </c>
      <c r="J3580" s="53">
        <v>12.0</v>
      </c>
      <c r="K3580" s="53" t="s">
        <v>53</v>
      </c>
      <c r="L3580" s="53" t="s">
        <v>53</v>
      </c>
    </row>
    <row r="3581" ht="15.75" customHeight="1">
      <c r="A3581" s="53" t="s">
        <v>924</v>
      </c>
      <c r="B3581" s="53" t="s">
        <v>4945</v>
      </c>
      <c r="D3581" s="53" t="s">
        <v>3821</v>
      </c>
      <c r="E3581" s="53" t="s">
        <v>5054</v>
      </c>
      <c r="F3581" s="53" t="s">
        <v>73</v>
      </c>
      <c r="G3581" s="53" t="s">
        <v>3850</v>
      </c>
      <c r="H3581" s="53">
        <v>1.0</v>
      </c>
      <c r="I3581" s="53">
        <v>0.44387755102040816</v>
      </c>
      <c r="J3581" s="53">
        <v>8.0</v>
      </c>
      <c r="K3581" s="53" t="s">
        <v>53</v>
      </c>
      <c r="L3581" s="53" t="s">
        <v>53</v>
      </c>
    </row>
    <row r="3582" ht="15.75" customHeight="1">
      <c r="A3582" s="53" t="s">
        <v>924</v>
      </c>
      <c r="B3582" s="53" t="s">
        <v>4945</v>
      </c>
      <c r="D3582" s="53" t="s">
        <v>3821</v>
      </c>
      <c r="E3582" s="53" t="s">
        <v>5055</v>
      </c>
      <c r="F3582" s="53" t="s">
        <v>73</v>
      </c>
      <c r="G3582" s="53" t="s">
        <v>938</v>
      </c>
      <c r="H3582" s="53">
        <v>1.0</v>
      </c>
      <c r="I3582" s="53">
        <v>0.4472049689440994</v>
      </c>
      <c r="J3582" s="53">
        <v>4.0</v>
      </c>
      <c r="K3582" s="53" t="s">
        <v>53</v>
      </c>
      <c r="L3582" s="53" t="s">
        <v>53</v>
      </c>
    </row>
    <row r="3583" ht="15.75" customHeight="1">
      <c r="A3583" s="53" t="s">
        <v>924</v>
      </c>
      <c r="B3583" s="53" t="s">
        <v>4945</v>
      </c>
      <c r="D3583" s="53" t="s">
        <v>3821</v>
      </c>
      <c r="E3583" s="53" t="s">
        <v>5056</v>
      </c>
      <c r="F3583" s="53" t="s">
        <v>73</v>
      </c>
      <c r="G3583" s="53" t="s">
        <v>3839</v>
      </c>
      <c r="H3583" s="53">
        <v>1.0</v>
      </c>
      <c r="I3583" s="53">
        <v>0.4473684210526316</v>
      </c>
      <c r="J3583" s="53">
        <v>2.0</v>
      </c>
      <c r="K3583" s="53" t="s">
        <v>53</v>
      </c>
      <c r="L3583" s="53" t="s">
        <v>53</v>
      </c>
    </row>
    <row r="3584" ht="15.75" customHeight="1">
      <c r="A3584" s="53" t="s">
        <v>924</v>
      </c>
      <c r="B3584" s="53" t="s">
        <v>4945</v>
      </c>
      <c r="D3584" s="53" t="s">
        <v>5037</v>
      </c>
      <c r="E3584" s="53" t="s">
        <v>5057</v>
      </c>
      <c r="F3584" s="53" t="s">
        <v>73</v>
      </c>
      <c r="G3584" s="53" t="s">
        <v>938</v>
      </c>
      <c r="H3584" s="53">
        <v>1.0</v>
      </c>
      <c r="I3584" s="53">
        <v>0.4350282485875706</v>
      </c>
      <c r="J3584" s="53">
        <v>3.0</v>
      </c>
      <c r="K3584" s="53" t="s">
        <v>53</v>
      </c>
      <c r="L3584" s="53" t="s">
        <v>53</v>
      </c>
    </row>
    <row r="3585" ht="15.75" customHeight="1">
      <c r="A3585" s="53" t="s">
        <v>924</v>
      </c>
      <c r="B3585" s="53" t="s">
        <v>4945</v>
      </c>
      <c r="D3585" s="53" t="s">
        <v>5037</v>
      </c>
      <c r="E3585" s="53" t="s">
        <v>5058</v>
      </c>
      <c r="F3585" s="53" t="s">
        <v>73</v>
      </c>
      <c r="G3585" s="53" t="s">
        <v>3811</v>
      </c>
      <c r="H3585" s="53">
        <v>1.0</v>
      </c>
      <c r="I3585" s="53">
        <v>0.5310734463276836</v>
      </c>
      <c r="J3585" s="53">
        <v>2.0</v>
      </c>
      <c r="K3585" s="53" t="s">
        <v>53</v>
      </c>
      <c r="L3585" s="53" t="s">
        <v>53</v>
      </c>
    </row>
    <row r="3586" ht="15.75" customHeight="1">
      <c r="A3586" s="53" t="s">
        <v>924</v>
      </c>
      <c r="B3586" s="53" t="s">
        <v>4945</v>
      </c>
      <c r="D3586" s="53" t="s">
        <v>5037</v>
      </c>
      <c r="E3586" s="53" t="s">
        <v>5059</v>
      </c>
      <c r="F3586" s="53" t="s">
        <v>73</v>
      </c>
      <c r="G3586" s="53" t="s">
        <v>3842</v>
      </c>
      <c r="H3586" s="53">
        <v>1.0</v>
      </c>
      <c r="I3586" s="53">
        <v>0.5520833333333334</v>
      </c>
      <c r="J3586" s="53">
        <v>5.0</v>
      </c>
      <c r="K3586" s="53" t="s">
        <v>53</v>
      </c>
      <c r="L3586" s="53" t="s">
        <v>53</v>
      </c>
    </row>
    <row r="3587" ht="15.75" customHeight="1">
      <c r="A3587" s="53" t="s">
        <v>924</v>
      </c>
      <c r="B3587" s="53" t="s">
        <v>4945</v>
      </c>
      <c r="D3587" s="53" t="s">
        <v>5037</v>
      </c>
      <c r="E3587" s="53" t="s">
        <v>5060</v>
      </c>
      <c r="F3587" s="53" t="s">
        <v>73</v>
      </c>
      <c r="G3587" s="53" t="s">
        <v>3839</v>
      </c>
      <c r="H3587" s="53">
        <v>1.0</v>
      </c>
      <c r="I3587" s="53">
        <v>0.5526315789473685</v>
      </c>
      <c r="J3587" s="53">
        <v>1.0</v>
      </c>
      <c r="K3587" s="53" t="s">
        <v>53</v>
      </c>
      <c r="L3587" s="53" t="s">
        <v>53</v>
      </c>
    </row>
    <row r="3588" ht="15.75" customHeight="1">
      <c r="A3588" s="53" t="s">
        <v>924</v>
      </c>
      <c r="B3588" s="53" t="s">
        <v>4945</v>
      </c>
      <c r="D3588" s="53" t="s">
        <v>5037</v>
      </c>
      <c r="E3588" s="53" t="s">
        <v>5061</v>
      </c>
      <c r="F3588" s="53" t="s">
        <v>73</v>
      </c>
      <c r="G3588" s="53" t="s">
        <v>3854</v>
      </c>
      <c r="H3588" s="53">
        <v>1.0</v>
      </c>
      <c r="I3588" s="53">
        <v>0.5561224489795918</v>
      </c>
      <c r="J3588" s="53">
        <v>9.0</v>
      </c>
      <c r="K3588" s="53" t="s">
        <v>53</v>
      </c>
      <c r="L3588" s="53" t="s">
        <v>53</v>
      </c>
    </row>
    <row r="3589" ht="15.75" customHeight="1">
      <c r="A3589" s="53" t="s">
        <v>924</v>
      </c>
      <c r="B3589" s="53" t="s">
        <v>4945</v>
      </c>
      <c r="D3589" s="53" t="s">
        <v>5037</v>
      </c>
      <c r="E3589" s="53" t="s">
        <v>5062</v>
      </c>
      <c r="F3589" s="53" t="s">
        <v>73</v>
      </c>
      <c r="G3589" s="53" t="s">
        <v>3846</v>
      </c>
      <c r="H3589" s="53">
        <v>1.0</v>
      </c>
      <c r="I3589" s="53">
        <v>0.5561224489795918</v>
      </c>
      <c r="J3589" s="53">
        <v>11.0</v>
      </c>
      <c r="K3589" s="53" t="s">
        <v>53</v>
      </c>
      <c r="L3589" s="53" t="s">
        <v>53</v>
      </c>
    </row>
    <row r="3590" ht="15.75" customHeight="1">
      <c r="A3590" s="53" t="s">
        <v>924</v>
      </c>
      <c r="B3590" s="53" t="s">
        <v>4945</v>
      </c>
      <c r="D3590" s="53" t="s">
        <v>5037</v>
      </c>
      <c r="E3590" s="53" t="s">
        <v>5063</v>
      </c>
      <c r="F3590" s="53" t="s">
        <v>73</v>
      </c>
      <c r="G3590" s="53" t="s">
        <v>3850</v>
      </c>
      <c r="H3590" s="53">
        <v>1.0</v>
      </c>
      <c r="I3590" s="53">
        <v>0.5561224489795918</v>
      </c>
      <c r="J3590" s="53">
        <v>7.0</v>
      </c>
      <c r="K3590" s="53" t="s">
        <v>53</v>
      </c>
      <c r="L3590" s="53" t="s">
        <v>53</v>
      </c>
    </row>
    <row r="3591" ht="15.75" customHeight="1">
      <c r="A3591" s="53" t="s">
        <v>924</v>
      </c>
      <c r="B3591" s="53" t="s">
        <v>4945</v>
      </c>
      <c r="D3591" s="53" t="s">
        <v>3822</v>
      </c>
      <c r="E3591" s="53" t="s">
        <v>5064</v>
      </c>
      <c r="F3591" s="53" t="s">
        <v>3824</v>
      </c>
      <c r="G3591" s="53" t="s">
        <v>3825</v>
      </c>
      <c r="H3591" s="53">
        <v>0.2</v>
      </c>
      <c r="I3591" s="53">
        <v>0.04589585172109444</v>
      </c>
      <c r="J3591" s="53">
        <v>3.0</v>
      </c>
      <c r="K3591" s="53" t="s">
        <v>53</v>
      </c>
      <c r="L3591" s="53" t="s">
        <v>3826</v>
      </c>
    </row>
    <row r="3592" ht="15.75" customHeight="1">
      <c r="A3592" s="53" t="s">
        <v>924</v>
      </c>
      <c r="B3592" s="53" t="s">
        <v>4945</v>
      </c>
      <c r="D3592" s="53" t="s">
        <v>3822</v>
      </c>
      <c r="E3592" s="53" t="s">
        <v>5065</v>
      </c>
      <c r="F3592" s="53" t="s">
        <v>3828</v>
      </c>
      <c r="G3592" s="53" t="s">
        <v>3829</v>
      </c>
      <c r="H3592" s="53">
        <v>0.2</v>
      </c>
      <c r="I3592" s="53">
        <v>0.056082830025884385</v>
      </c>
      <c r="J3592" s="53">
        <v>5.0</v>
      </c>
      <c r="K3592" s="53" t="s">
        <v>53</v>
      </c>
      <c r="L3592" s="53" t="s">
        <v>3830</v>
      </c>
    </row>
    <row r="3593" ht="15.75" customHeight="1">
      <c r="A3593" s="53" t="s">
        <v>924</v>
      </c>
      <c r="B3593" s="53" t="s">
        <v>4945</v>
      </c>
      <c r="D3593" s="53" t="s">
        <v>3822</v>
      </c>
      <c r="E3593" s="53" t="s">
        <v>5066</v>
      </c>
      <c r="F3593" s="53" t="s">
        <v>3832</v>
      </c>
      <c r="G3593" s="53" t="s">
        <v>3833</v>
      </c>
      <c r="H3593" s="53">
        <v>0.2</v>
      </c>
      <c r="I3593" s="53">
        <v>0.056082830025884385</v>
      </c>
      <c r="J3593" s="53">
        <v>9.0</v>
      </c>
      <c r="K3593" s="53" t="s">
        <v>53</v>
      </c>
      <c r="L3593" s="53" t="s">
        <v>3834</v>
      </c>
    </row>
    <row r="3594" ht="15.75" customHeight="1">
      <c r="A3594" s="53" t="s">
        <v>924</v>
      </c>
      <c r="B3594" s="53" t="s">
        <v>4945</v>
      </c>
      <c r="D3594" s="53" t="s">
        <v>3822</v>
      </c>
      <c r="E3594" s="53" t="s">
        <v>5067</v>
      </c>
      <c r="F3594" s="53" t="s">
        <v>3836</v>
      </c>
      <c r="G3594" s="53" t="s">
        <v>3837</v>
      </c>
      <c r="H3594" s="53">
        <v>0.2</v>
      </c>
      <c r="I3594" s="53">
        <v>0.06729939603106126</v>
      </c>
      <c r="J3594" s="53">
        <v>7.0</v>
      </c>
      <c r="K3594" s="53" t="s">
        <v>53</v>
      </c>
      <c r="L3594" s="53" t="s">
        <v>3838</v>
      </c>
    </row>
    <row r="3595" ht="15.75" customHeight="1">
      <c r="A3595" s="53" t="s">
        <v>924</v>
      </c>
      <c r="B3595" s="53" t="s">
        <v>4945</v>
      </c>
      <c r="D3595" s="53" t="s">
        <v>3839</v>
      </c>
      <c r="E3595" s="53" t="s">
        <v>5068</v>
      </c>
      <c r="F3595" s="53" t="s">
        <v>73</v>
      </c>
      <c r="G3595" s="53" t="s">
        <v>3842</v>
      </c>
      <c r="H3595" s="53">
        <v>1.0</v>
      </c>
      <c r="I3595" s="53">
        <v>0.041666666666666664</v>
      </c>
      <c r="J3595" s="53">
        <v>3.0</v>
      </c>
      <c r="K3595" s="53" t="s">
        <v>53</v>
      </c>
      <c r="L3595" s="53" t="s">
        <v>53</v>
      </c>
    </row>
    <row r="3596" ht="15.75" customHeight="1">
      <c r="A3596" s="53" t="s">
        <v>924</v>
      </c>
      <c r="B3596" s="53" t="s">
        <v>4945</v>
      </c>
      <c r="D3596" s="53" t="s">
        <v>3839</v>
      </c>
      <c r="E3596" s="53" t="s">
        <v>5069</v>
      </c>
      <c r="F3596" s="53" t="s">
        <v>73</v>
      </c>
      <c r="G3596" s="53" t="s">
        <v>3846</v>
      </c>
      <c r="H3596" s="53">
        <v>1.0</v>
      </c>
      <c r="I3596" s="53">
        <v>0.05102040816326531</v>
      </c>
      <c r="J3596" s="53">
        <v>9.0</v>
      </c>
      <c r="K3596" s="53" t="s">
        <v>53</v>
      </c>
      <c r="L3596" s="53" t="s">
        <v>53</v>
      </c>
    </row>
    <row r="3597" ht="15.75" customHeight="1">
      <c r="A3597" s="53" t="s">
        <v>924</v>
      </c>
      <c r="B3597" s="53" t="s">
        <v>4945</v>
      </c>
      <c r="D3597" s="53" t="s">
        <v>3839</v>
      </c>
      <c r="E3597" s="53" t="s">
        <v>5070</v>
      </c>
      <c r="F3597" s="53" t="s">
        <v>73</v>
      </c>
      <c r="G3597" s="53" t="s">
        <v>3850</v>
      </c>
      <c r="H3597" s="53">
        <v>1.0</v>
      </c>
      <c r="I3597" s="53">
        <v>0.05102040816326531</v>
      </c>
      <c r="J3597" s="53">
        <v>5.0</v>
      </c>
      <c r="K3597" s="53" t="s">
        <v>53</v>
      </c>
      <c r="L3597" s="53" t="s">
        <v>53</v>
      </c>
    </row>
    <row r="3598" ht="15.75" customHeight="1">
      <c r="A3598" s="53" t="s">
        <v>924</v>
      </c>
      <c r="B3598" s="53" t="s">
        <v>4945</v>
      </c>
      <c r="D3598" s="53" t="s">
        <v>3839</v>
      </c>
      <c r="E3598" s="53" t="s">
        <v>5071</v>
      </c>
      <c r="F3598" s="53" t="s">
        <v>73</v>
      </c>
      <c r="G3598" s="53" t="s">
        <v>3854</v>
      </c>
      <c r="H3598" s="53">
        <v>1.0</v>
      </c>
      <c r="I3598" s="53">
        <v>0.061224489795918366</v>
      </c>
      <c r="J3598" s="53">
        <v>7.0</v>
      </c>
      <c r="K3598" s="53" t="s">
        <v>53</v>
      </c>
      <c r="L3598" s="53" t="s">
        <v>53</v>
      </c>
    </row>
    <row r="3599" ht="15.75" customHeight="1">
      <c r="A3599" s="53" t="s">
        <v>924</v>
      </c>
      <c r="B3599" s="53" t="s">
        <v>4945</v>
      </c>
      <c r="D3599" s="53" t="s">
        <v>3839</v>
      </c>
      <c r="E3599" s="53" t="s">
        <v>5072</v>
      </c>
      <c r="F3599" s="53" t="s">
        <v>73</v>
      </c>
      <c r="G3599" s="53" t="s">
        <v>3811</v>
      </c>
      <c r="H3599" s="53">
        <v>1.0</v>
      </c>
      <c r="I3599" s="53">
        <v>0.3473684210526316</v>
      </c>
      <c r="J3599" s="53">
        <v>0.0</v>
      </c>
      <c r="K3599" s="53" t="s">
        <v>53</v>
      </c>
      <c r="L3599" s="53" t="s">
        <v>53</v>
      </c>
    </row>
    <row r="3600" ht="15.75" customHeight="1">
      <c r="A3600" s="53" t="s">
        <v>924</v>
      </c>
      <c r="B3600" s="53" t="s">
        <v>4945</v>
      </c>
      <c r="D3600" s="53" t="s">
        <v>3839</v>
      </c>
      <c r="E3600" s="53" t="s">
        <v>5073</v>
      </c>
      <c r="F3600" s="53" t="s">
        <v>73</v>
      </c>
      <c r="G3600" s="53" t="s">
        <v>938</v>
      </c>
      <c r="H3600" s="53">
        <v>1.0</v>
      </c>
      <c r="I3600" s="53">
        <v>0.5947368421052631</v>
      </c>
      <c r="J3600" s="53">
        <v>1.0</v>
      </c>
      <c r="K3600" s="53" t="s">
        <v>53</v>
      </c>
      <c r="L3600" s="53" t="s">
        <v>53</v>
      </c>
    </row>
    <row r="3601" ht="15.75" customHeight="1">
      <c r="A3601" s="53" t="s">
        <v>924</v>
      </c>
      <c r="B3601" s="53" t="s">
        <v>4945</v>
      </c>
      <c r="D3601" s="53" t="s">
        <v>3811</v>
      </c>
      <c r="E3601" s="53" t="s">
        <v>5074</v>
      </c>
      <c r="F3601" s="53" t="s">
        <v>73</v>
      </c>
      <c r="G3601" s="53" t="s">
        <v>3842</v>
      </c>
      <c r="H3601" s="53">
        <v>1.0</v>
      </c>
      <c r="I3601" s="53">
        <v>0.3697916666666667</v>
      </c>
      <c r="J3601" s="53">
        <v>2.0</v>
      </c>
      <c r="K3601" s="53" t="s">
        <v>53</v>
      </c>
      <c r="L3601" s="53" t="s">
        <v>53</v>
      </c>
    </row>
    <row r="3602" ht="15.75" customHeight="1">
      <c r="A3602" s="53" t="s">
        <v>924</v>
      </c>
      <c r="B3602" s="53" t="s">
        <v>4945</v>
      </c>
      <c r="D3602" s="53" t="s">
        <v>3811</v>
      </c>
      <c r="E3602" s="53" t="s">
        <v>5075</v>
      </c>
      <c r="F3602" s="53" t="s">
        <v>73</v>
      </c>
      <c r="G3602" s="53" t="s">
        <v>3854</v>
      </c>
      <c r="H3602" s="53">
        <v>1.0</v>
      </c>
      <c r="I3602" s="53">
        <v>0.37755102040816324</v>
      </c>
      <c r="J3602" s="53">
        <v>6.0</v>
      </c>
      <c r="K3602" s="53" t="s">
        <v>53</v>
      </c>
      <c r="L3602" s="53" t="s">
        <v>53</v>
      </c>
    </row>
    <row r="3603" ht="15.75" customHeight="1">
      <c r="A3603" s="53" t="s">
        <v>924</v>
      </c>
      <c r="B3603" s="53" t="s">
        <v>4945</v>
      </c>
      <c r="D3603" s="53" t="s">
        <v>3811</v>
      </c>
      <c r="E3603" s="53" t="s">
        <v>5076</v>
      </c>
      <c r="F3603" s="53" t="s">
        <v>73</v>
      </c>
      <c r="G3603" s="53" t="s">
        <v>3846</v>
      </c>
      <c r="H3603" s="53">
        <v>1.0</v>
      </c>
      <c r="I3603" s="53">
        <v>0.37755102040816324</v>
      </c>
      <c r="J3603" s="53">
        <v>8.0</v>
      </c>
      <c r="K3603" s="53" t="s">
        <v>53</v>
      </c>
      <c r="L3603" s="53" t="s">
        <v>53</v>
      </c>
    </row>
    <row r="3604" ht="15.75" customHeight="1">
      <c r="A3604" s="53" t="s">
        <v>924</v>
      </c>
      <c r="B3604" s="53" t="s">
        <v>4945</v>
      </c>
      <c r="D3604" s="53" t="s">
        <v>3811</v>
      </c>
      <c r="E3604" s="53" t="s">
        <v>5077</v>
      </c>
      <c r="F3604" s="53" t="s">
        <v>73</v>
      </c>
      <c r="G3604" s="53" t="s">
        <v>3850</v>
      </c>
      <c r="H3604" s="53">
        <v>1.0</v>
      </c>
      <c r="I3604" s="53">
        <v>0.37755102040816324</v>
      </c>
      <c r="J3604" s="53">
        <v>4.0</v>
      </c>
      <c r="K3604" s="53" t="s">
        <v>53</v>
      </c>
      <c r="L3604" s="53" t="s">
        <v>53</v>
      </c>
    </row>
    <row r="3605" ht="15.75" customHeight="1">
      <c r="A3605" s="53" t="s">
        <v>924</v>
      </c>
      <c r="B3605" s="53" t="s">
        <v>4945</v>
      </c>
      <c r="D3605" s="53" t="s">
        <v>3811</v>
      </c>
      <c r="E3605" s="53" t="s">
        <v>5078</v>
      </c>
      <c r="F3605" s="53" t="s">
        <v>73</v>
      </c>
      <c r="G3605" s="53" t="s">
        <v>938</v>
      </c>
      <c r="H3605" s="53">
        <v>1.0</v>
      </c>
      <c r="I3605" s="53">
        <v>0.5306122448979592</v>
      </c>
      <c r="J3605" s="53">
        <v>0.0</v>
      </c>
      <c r="K3605" s="53" t="s">
        <v>53</v>
      </c>
      <c r="L3605" s="53" t="s">
        <v>53</v>
      </c>
    </row>
    <row r="3606" ht="15.75" customHeight="1">
      <c r="A3606" s="53" t="s">
        <v>924</v>
      </c>
      <c r="B3606" s="53" t="s">
        <v>4945</v>
      </c>
      <c r="D3606" s="53" t="s">
        <v>938</v>
      </c>
      <c r="E3606" s="53" t="s">
        <v>5079</v>
      </c>
      <c r="F3606" s="53" t="s">
        <v>73</v>
      </c>
      <c r="G3606" s="53" t="s">
        <v>3854</v>
      </c>
      <c r="H3606" s="53">
        <v>1.0</v>
      </c>
      <c r="I3606" s="53">
        <v>0.5867346938775511</v>
      </c>
      <c r="J3606" s="53">
        <v>5.0</v>
      </c>
      <c r="K3606" s="53" t="s">
        <v>53</v>
      </c>
      <c r="L3606" s="53" t="s">
        <v>53</v>
      </c>
    </row>
    <row r="3607" ht="15.75" customHeight="1">
      <c r="A3607" s="53" t="s">
        <v>924</v>
      </c>
      <c r="B3607" s="53" t="s">
        <v>4945</v>
      </c>
      <c r="D3607" s="53" t="s">
        <v>938</v>
      </c>
      <c r="E3607" s="53" t="s">
        <v>5080</v>
      </c>
      <c r="F3607" s="53" t="s">
        <v>73</v>
      </c>
      <c r="G3607" s="53" t="s">
        <v>3846</v>
      </c>
      <c r="H3607" s="53">
        <v>1.0</v>
      </c>
      <c r="I3607" s="53">
        <v>0.5867346938775511</v>
      </c>
      <c r="J3607" s="53">
        <v>7.0</v>
      </c>
      <c r="K3607" s="53" t="s">
        <v>53</v>
      </c>
      <c r="L3607" s="53" t="s">
        <v>53</v>
      </c>
    </row>
    <row r="3608" ht="15.75" customHeight="1">
      <c r="A3608" s="53" t="s">
        <v>924</v>
      </c>
      <c r="B3608" s="53" t="s">
        <v>4945</v>
      </c>
      <c r="D3608" s="53" t="s">
        <v>938</v>
      </c>
      <c r="E3608" s="53" t="s">
        <v>5081</v>
      </c>
      <c r="F3608" s="53" t="s">
        <v>73</v>
      </c>
      <c r="G3608" s="53" t="s">
        <v>3850</v>
      </c>
      <c r="H3608" s="53">
        <v>1.0</v>
      </c>
      <c r="I3608" s="53">
        <v>0.5867346938775511</v>
      </c>
      <c r="J3608" s="53">
        <v>3.0</v>
      </c>
      <c r="K3608" s="53" t="s">
        <v>53</v>
      </c>
      <c r="L3608" s="53" t="s">
        <v>53</v>
      </c>
    </row>
    <row r="3609" ht="15.75" customHeight="1">
      <c r="A3609" s="53" t="s">
        <v>924</v>
      </c>
      <c r="B3609" s="53" t="s">
        <v>4945</v>
      </c>
      <c r="D3609" s="53" t="s">
        <v>938</v>
      </c>
      <c r="E3609" s="53" t="s">
        <v>5082</v>
      </c>
      <c r="F3609" s="53" t="s">
        <v>73</v>
      </c>
      <c r="G3609" s="53" t="s">
        <v>3842</v>
      </c>
      <c r="H3609" s="53">
        <v>1.0</v>
      </c>
      <c r="I3609" s="53">
        <v>0.59375</v>
      </c>
      <c r="J3609" s="53">
        <v>1.0</v>
      </c>
      <c r="K3609" s="53" t="s">
        <v>53</v>
      </c>
      <c r="L3609" s="53" t="s">
        <v>53</v>
      </c>
    </row>
    <row r="3610" ht="15.75" customHeight="1">
      <c r="A3610" s="53" t="s">
        <v>924</v>
      </c>
      <c r="B3610" s="53" t="s">
        <v>4945</v>
      </c>
      <c r="D3610" s="53" t="s">
        <v>3825</v>
      </c>
      <c r="E3610" s="53" t="s">
        <v>5083</v>
      </c>
      <c r="F3610" s="53" t="s">
        <v>3857</v>
      </c>
      <c r="G3610" s="53" t="s">
        <v>3833</v>
      </c>
      <c r="H3610" s="53">
        <v>0.2</v>
      </c>
      <c r="I3610" s="53">
        <v>0.022433132010353754</v>
      </c>
      <c r="J3610" s="53">
        <v>5.0</v>
      </c>
      <c r="K3610" s="53" t="s">
        <v>53</v>
      </c>
      <c r="L3610" s="53" t="s">
        <v>3858</v>
      </c>
    </row>
    <row r="3611" ht="15.75" customHeight="1">
      <c r="A3611" s="53" t="s">
        <v>924</v>
      </c>
      <c r="B3611" s="53" t="s">
        <v>4945</v>
      </c>
      <c r="D3611" s="53" t="s">
        <v>3825</v>
      </c>
      <c r="E3611" s="53" t="s">
        <v>5084</v>
      </c>
      <c r="F3611" s="53" t="s">
        <v>3860</v>
      </c>
      <c r="G3611" s="53" t="s">
        <v>3837</v>
      </c>
      <c r="H3611" s="53">
        <v>0.2</v>
      </c>
      <c r="I3611" s="53">
        <v>0.03364969801553063</v>
      </c>
      <c r="J3611" s="53">
        <v>3.0</v>
      </c>
      <c r="K3611" s="53" t="s">
        <v>53</v>
      </c>
      <c r="L3611" s="53" t="s">
        <v>3861</v>
      </c>
    </row>
    <row r="3612" ht="15.75" customHeight="1">
      <c r="A3612" s="53" t="s">
        <v>924</v>
      </c>
      <c r="B3612" s="53" t="s">
        <v>4945</v>
      </c>
      <c r="D3612" s="53" t="s">
        <v>3825</v>
      </c>
      <c r="E3612" s="53" t="s">
        <v>5085</v>
      </c>
      <c r="F3612" s="53" t="s">
        <v>3863</v>
      </c>
      <c r="G3612" s="53" t="s">
        <v>3829</v>
      </c>
      <c r="H3612" s="53">
        <v>0.2</v>
      </c>
      <c r="I3612" s="53">
        <v>0.03364969801553063</v>
      </c>
      <c r="J3612" s="53">
        <v>1.0</v>
      </c>
      <c r="K3612" s="53" t="s">
        <v>53</v>
      </c>
      <c r="L3612" s="53" t="s">
        <v>3864</v>
      </c>
    </row>
    <row r="3613" ht="15.75" customHeight="1">
      <c r="A3613" s="53" t="s">
        <v>924</v>
      </c>
      <c r="B3613" s="53" t="s">
        <v>4945</v>
      </c>
      <c r="D3613" s="53" t="s">
        <v>3842</v>
      </c>
      <c r="E3613" s="53" t="s">
        <v>5086</v>
      </c>
      <c r="F3613" s="53" t="s">
        <v>73</v>
      </c>
      <c r="G3613" s="53" t="s">
        <v>3846</v>
      </c>
      <c r="H3613" s="53">
        <v>1.0</v>
      </c>
      <c r="I3613" s="53">
        <v>0.02040816326530612</v>
      </c>
      <c r="J3613" s="53">
        <v>5.0</v>
      </c>
      <c r="K3613" s="53" t="s">
        <v>53</v>
      </c>
      <c r="L3613" s="53" t="s">
        <v>53</v>
      </c>
    </row>
    <row r="3614" ht="15.75" customHeight="1">
      <c r="A3614" s="53" t="s">
        <v>924</v>
      </c>
      <c r="B3614" s="53" t="s">
        <v>4945</v>
      </c>
      <c r="D3614" s="53" t="s">
        <v>3842</v>
      </c>
      <c r="E3614" s="53" t="s">
        <v>5087</v>
      </c>
      <c r="F3614" s="53" t="s">
        <v>73</v>
      </c>
      <c r="G3614" s="53" t="s">
        <v>3854</v>
      </c>
      <c r="H3614" s="53">
        <v>1.0</v>
      </c>
      <c r="I3614" s="53">
        <v>0.030612244897959183</v>
      </c>
      <c r="J3614" s="53">
        <v>3.0</v>
      </c>
      <c r="K3614" s="53" t="s">
        <v>53</v>
      </c>
      <c r="L3614" s="53" t="s">
        <v>53</v>
      </c>
    </row>
    <row r="3615" ht="15.75" customHeight="1">
      <c r="A3615" s="53" t="s">
        <v>924</v>
      </c>
      <c r="B3615" s="53" t="s">
        <v>4945</v>
      </c>
      <c r="D3615" s="53" t="s">
        <v>3842</v>
      </c>
      <c r="E3615" s="53" t="s">
        <v>5088</v>
      </c>
      <c r="F3615" s="53" t="s">
        <v>73</v>
      </c>
      <c r="G3615" s="53" t="s">
        <v>3850</v>
      </c>
      <c r="H3615" s="53">
        <v>1.0</v>
      </c>
      <c r="I3615" s="53">
        <v>0.030612244897959183</v>
      </c>
      <c r="J3615" s="53">
        <v>1.0</v>
      </c>
      <c r="K3615" s="53" t="s">
        <v>53</v>
      </c>
      <c r="L3615" s="53" t="s">
        <v>53</v>
      </c>
    </row>
    <row r="3616" ht="15.75" customHeight="1">
      <c r="A3616" s="53" t="s">
        <v>924</v>
      </c>
      <c r="B3616" s="53" t="s">
        <v>4945</v>
      </c>
      <c r="D3616" s="53" t="s">
        <v>3829</v>
      </c>
      <c r="E3616" s="53" t="s">
        <v>5089</v>
      </c>
      <c r="F3616" s="53" t="s">
        <v>3875</v>
      </c>
      <c r="G3616" s="53" t="s">
        <v>3837</v>
      </c>
      <c r="H3616" s="53">
        <v>0.2</v>
      </c>
      <c r="I3616" s="53">
        <v>0.03364969801553063</v>
      </c>
      <c r="J3616" s="53">
        <v>1.0</v>
      </c>
      <c r="K3616" s="53" t="s">
        <v>53</v>
      </c>
      <c r="L3616" s="53" t="s">
        <v>3876</v>
      </c>
    </row>
    <row r="3617" ht="15.75" customHeight="1">
      <c r="A3617" s="53" t="s">
        <v>924</v>
      </c>
      <c r="B3617" s="53" t="s">
        <v>4945</v>
      </c>
      <c r="D3617" s="53" t="s">
        <v>3829</v>
      </c>
      <c r="E3617" s="53" t="s">
        <v>5090</v>
      </c>
      <c r="F3617" s="53" t="s">
        <v>3878</v>
      </c>
      <c r="G3617" s="53" t="s">
        <v>3833</v>
      </c>
      <c r="H3617" s="53">
        <v>0.2</v>
      </c>
      <c r="I3617" s="53">
        <v>0.03364969801553063</v>
      </c>
      <c r="J3617" s="53">
        <v>3.0</v>
      </c>
      <c r="K3617" s="53" t="s">
        <v>53</v>
      </c>
      <c r="L3617" s="53" t="s">
        <v>3879</v>
      </c>
    </row>
    <row r="3618" ht="15.75" customHeight="1">
      <c r="A3618" s="53" t="s">
        <v>924</v>
      </c>
      <c r="B3618" s="53" t="s">
        <v>4945</v>
      </c>
      <c r="D3618" s="53" t="s">
        <v>3850</v>
      </c>
      <c r="E3618" s="53" t="s">
        <v>5091</v>
      </c>
      <c r="F3618" s="53" t="s">
        <v>73</v>
      </c>
      <c r="G3618" s="53" t="s">
        <v>3854</v>
      </c>
      <c r="H3618" s="53">
        <v>1.0</v>
      </c>
      <c r="I3618" s="53">
        <v>0.030612244897959183</v>
      </c>
      <c r="J3618" s="53">
        <v>1.0</v>
      </c>
      <c r="K3618" s="53" t="s">
        <v>53</v>
      </c>
      <c r="L3618" s="53" t="s">
        <v>53</v>
      </c>
    </row>
    <row r="3619" ht="15.75" customHeight="1">
      <c r="A3619" s="53" t="s">
        <v>924</v>
      </c>
      <c r="B3619" s="53" t="s">
        <v>4945</v>
      </c>
      <c r="D3619" s="53" t="s">
        <v>3850</v>
      </c>
      <c r="E3619" s="53" t="s">
        <v>5092</v>
      </c>
      <c r="F3619" s="53" t="s">
        <v>73</v>
      </c>
      <c r="G3619" s="53" t="s">
        <v>3846</v>
      </c>
      <c r="H3619" s="53">
        <v>1.0</v>
      </c>
      <c r="I3619" s="53">
        <v>0.030612244897959183</v>
      </c>
      <c r="J3619" s="53">
        <v>3.0</v>
      </c>
      <c r="K3619" s="53" t="s">
        <v>53</v>
      </c>
      <c r="L3619" s="53" t="s">
        <v>53</v>
      </c>
    </row>
    <row r="3620" ht="15.75" customHeight="1">
      <c r="A3620" s="53" t="s">
        <v>924</v>
      </c>
      <c r="B3620" s="53" t="s">
        <v>4945</v>
      </c>
      <c r="D3620" s="53" t="s">
        <v>3837</v>
      </c>
      <c r="E3620" s="53" t="s">
        <v>5093</v>
      </c>
      <c r="F3620" s="53" t="s">
        <v>3887</v>
      </c>
      <c r="G3620" s="53" t="s">
        <v>3833</v>
      </c>
      <c r="H3620" s="53">
        <v>0.2</v>
      </c>
      <c r="I3620" s="53">
        <v>0.03364969801553063</v>
      </c>
      <c r="J3620" s="53">
        <v>1.0</v>
      </c>
      <c r="K3620" s="53" t="s">
        <v>53</v>
      </c>
      <c r="L3620" s="53" t="s">
        <v>3888</v>
      </c>
    </row>
    <row r="3621" ht="15.75" customHeight="1">
      <c r="A3621" s="53" t="s">
        <v>924</v>
      </c>
      <c r="B3621" s="53" t="s">
        <v>4945</v>
      </c>
      <c r="D3621" s="53" t="s">
        <v>3854</v>
      </c>
      <c r="E3621" s="53" t="s">
        <v>5094</v>
      </c>
      <c r="F3621" s="53" t="s">
        <v>73</v>
      </c>
      <c r="G3621" s="53" t="s">
        <v>3846</v>
      </c>
      <c r="H3621" s="53">
        <v>1.0</v>
      </c>
      <c r="I3621" s="53">
        <v>0.030612244897959183</v>
      </c>
      <c r="J3621" s="53">
        <v>1.0</v>
      </c>
      <c r="K3621" s="53" t="s">
        <v>53</v>
      </c>
      <c r="L3621" s="53" t="s">
        <v>53</v>
      </c>
    </row>
    <row r="3622" ht="15.75" customHeight="1">
      <c r="A3622" s="53" t="s">
        <v>2599</v>
      </c>
      <c r="B3622" s="53" t="s">
        <v>4945</v>
      </c>
      <c r="D3622" s="53" t="s">
        <v>2013</v>
      </c>
      <c r="E3622" s="53" t="s">
        <v>2014</v>
      </c>
      <c r="F3622" s="53" t="s">
        <v>2015</v>
      </c>
      <c r="G3622" s="53" t="s">
        <v>2016</v>
      </c>
      <c r="H3622" s="53">
        <v>1.0</v>
      </c>
      <c r="I3622" s="53">
        <v>0.19727891156462585</v>
      </c>
      <c r="J3622" s="53">
        <v>0.0</v>
      </c>
      <c r="K3622" s="53" t="s">
        <v>53</v>
      </c>
      <c r="L3622" s="53" t="s">
        <v>53</v>
      </c>
    </row>
    <row r="3623" ht="15.75" customHeight="1">
      <c r="A3623" s="53" t="s">
        <v>2599</v>
      </c>
      <c r="B3623" s="53" t="s">
        <v>4945</v>
      </c>
      <c r="D3623" s="53" t="s">
        <v>2017</v>
      </c>
      <c r="E3623" s="53" t="s">
        <v>2018</v>
      </c>
      <c r="F3623" s="53" t="s">
        <v>2019</v>
      </c>
      <c r="G3623" s="53" t="s">
        <v>2020</v>
      </c>
      <c r="H3623" s="53">
        <v>1.0</v>
      </c>
      <c r="I3623" s="53">
        <v>0.13793103448275862</v>
      </c>
      <c r="J3623" s="53">
        <v>10.0</v>
      </c>
      <c r="K3623" s="53" t="s">
        <v>53</v>
      </c>
      <c r="L3623" s="53" t="s">
        <v>53</v>
      </c>
    </row>
    <row r="3624" ht="15.75" customHeight="1">
      <c r="A3624" s="53" t="s">
        <v>2599</v>
      </c>
      <c r="B3624" s="53" t="s">
        <v>4945</v>
      </c>
      <c r="D3624" s="53" t="s">
        <v>2017</v>
      </c>
      <c r="E3624" s="53" t="s">
        <v>2021</v>
      </c>
      <c r="F3624" s="53" t="s">
        <v>2019</v>
      </c>
      <c r="G3624" s="53" t="s">
        <v>2022</v>
      </c>
      <c r="H3624" s="53">
        <v>1.0</v>
      </c>
      <c r="I3624" s="53">
        <v>0.18253968253968253</v>
      </c>
      <c r="J3624" s="53">
        <v>1.0</v>
      </c>
      <c r="K3624" s="53" t="s">
        <v>53</v>
      </c>
      <c r="L3624" s="53" t="s">
        <v>53</v>
      </c>
    </row>
    <row r="3625" ht="15.75" customHeight="1">
      <c r="A3625" s="53" t="s">
        <v>2599</v>
      </c>
      <c r="B3625" s="53" t="s">
        <v>4945</v>
      </c>
      <c r="D3625" s="53" t="s">
        <v>2017</v>
      </c>
      <c r="E3625" s="53" t="s">
        <v>2023</v>
      </c>
      <c r="F3625" s="53" t="s">
        <v>2019</v>
      </c>
      <c r="G3625" s="53" t="s">
        <v>2024</v>
      </c>
      <c r="H3625" s="53">
        <v>1.0</v>
      </c>
      <c r="I3625" s="53">
        <v>0.192</v>
      </c>
      <c r="J3625" s="53">
        <v>6.0</v>
      </c>
      <c r="K3625" s="53" t="s">
        <v>53</v>
      </c>
      <c r="L3625" s="53" t="s">
        <v>53</v>
      </c>
    </row>
    <row r="3626" ht="15.75" customHeight="1">
      <c r="A3626" s="53" t="s">
        <v>2599</v>
      </c>
      <c r="B3626" s="53" t="s">
        <v>4945</v>
      </c>
      <c r="D3626" s="53" t="s">
        <v>2017</v>
      </c>
      <c r="E3626" s="53" t="s">
        <v>2025</v>
      </c>
      <c r="F3626" s="53" t="s">
        <v>2019</v>
      </c>
      <c r="G3626" s="53" t="s">
        <v>2026</v>
      </c>
      <c r="H3626" s="53">
        <v>1.0</v>
      </c>
      <c r="I3626" s="53">
        <v>0.1951219512195122</v>
      </c>
      <c r="J3626" s="53">
        <v>8.0</v>
      </c>
      <c r="K3626" s="53" t="s">
        <v>53</v>
      </c>
      <c r="L3626" s="53" t="s">
        <v>53</v>
      </c>
    </row>
    <row r="3627" ht="15.75" customHeight="1">
      <c r="A3627" s="53" t="s">
        <v>2599</v>
      </c>
      <c r="B3627" s="53" t="s">
        <v>4945</v>
      </c>
      <c r="D3627" s="53" t="s">
        <v>2017</v>
      </c>
      <c r="E3627" s="53" t="s">
        <v>2027</v>
      </c>
      <c r="F3627" s="53" t="s">
        <v>2019</v>
      </c>
      <c r="G3627" s="53" t="s">
        <v>2028</v>
      </c>
      <c r="H3627" s="53">
        <v>1.0</v>
      </c>
      <c r="I3627" s="53">
        <v>0.30344827586206896</v>
      </c>
      <c r="J3627" s="53">
        <v>7.0</v>
      </c>
      <c r="K3627" s="53" t="s">
        <v>53</v>
      </c>
      <c r="L3627" s="53" t="s">
        <v>53</v>
      </c>
    </row>
    <row r="3628" ht="15.75" customHeight="1">
      <c r="A3628" s="53" t="s">
        <v>2599</v>
      </c>
      <c r="B3628" s="53" t="s">
        <v>4945</v>
      </c>
      <c r="D3628" s="53" t="s">
        <v>2017</v>
      </c>
      <c r="E3628" s="53" t="s">
        <v>2029</v>
      </c>
      <c r="F3628" s="53" t="s">
        <v>2019</v>
      </c>
      <c r="G3628" s="53" t="s">
        <v>2030</v>
      </c>
      <c r="H3628" s="53">
        <v>1.0</v>
      </c>
      <c r="I3628" s="53">
        <v>0.3103448275862069</v>
      </c>
      <c r="J3628" s="53">
        <v>11.0</v>
      </c>
      <c r="K3628" s="53" t="s">
        <v>53</v>
      </c>
      <c r="L3628" s="53" t="s">
        <v>53</v>
      </c>
    </row>
    <row r="3629" ht="15.75" customHeight="1">
      <c r="A3629" s="53" t="s">
        <v>2599</v>
      </c>
      <c r="B3629" s="53" t="s">
        <v>4945</v>
      </c>
      <c r="D3629" s="53" t="s">
        <v>2017</v>
      </c>
      <c r="E3629" s="53" t="s">
        <v>2031</v>
      </c>
      <c r="F3629" s="53" t="s">
        <v>2019</v>
      </c>
      <c r="G3629" s="53" t="s">
        <v>2032</v>
      </c>
      <c r="H3629" s="53">
        <v>1.0</v>
      </c>
      <c r="I3629" s="53">
        <v>0.375</v>
      </c>
      <c r="J3629" s="53">
        <v>0.0</v>
      </c>
      <c r="K3629" s="53" t="s">
        <v>53</v>
      </c>
      <c r="L3629" s="53" t="s">
        <v>53</v>
      </c>
    </row>
    <row r="3630" ht="15.75" customHeight="1">
      <c r="A3630" s="53" t="s">
        <v>2599</v>
      </c>
      <c r="B3630" s="53" t="s">
        <v>4945</v>
      </c>
      <c r="D3630" s="53" t="s">
        <v>2017</v>
      </c>
      <c r="E3630" s="53" t="s">
        <v>2033</v>
      </c>
      <c r="F3630" s="53" t="s">
        <v>2019</v>
      </c>
      <c r="G3630" s="53" t="s">
        <v>2034</v>
      </c>
      <c r="H3630" s="53">
        <v>1.0</v>
      </c>
      <c r="I3630" s="53">
        <v>0.375</v>
      </c>
      <c r="J3630" s="53">
        <v>9.0</v>
      </c>
      <c r="K3630" s="53" t="s">
        <v>53</v>
      </c>
      <c r="L3630" s="53" t="s">
        <v>53</v>
      </c>
    </row>
    <row r="3631" ht="15.75" customHeight="1">
      <c r="A3631" s="53" t="s">
        <v>2599</v>
      </c>
      <c r="B3631" s="53" t="s">
        <v>4945</v>
      </c>
      <c r="D3631" s="53" t="s">
        <v>2017</v>
      </c>
      <c r="E3631" s="53" t="s">
        <v>2035</v>
      </c>
      <c r="F3631" s="53" t="s">
        <v>2019</v>
      </c>
      <c r="G3631" s="53" t="s">
        <v>2036</v>
      </c>
      <c r="H3631" s="53">
        <v>1.0</v>
      </c>
      <c r="I3631" s="53">
        <v>0.44751381215469616</v>
      </c>
      <c r="J3631" s="53">
        <v>4.0</v>
      </c>
      <c r="K3631" s="53" t="s">
        <v>53</v>
      </c>
      <c r="L3631" s="53" t="s">
        <v>53</v>
      </c>
    </row>
    <row r="3632" ht="15.75" customHeight="1">
      <c r="A3632" s="53" t="s">
        <v>2599</v>
      </c>
      <c r="B3632" s="53" t="s">
        <v>4945</v>
      </c>
      <c r="D3632" s="53" t="s">
        <v>2017</v>
      </c>
      <c r="E3632" s="53" t="s">
        <v>2037</v>
      </c>
      <c r="F3632" s="53" t="s">
        <v>2019</v>
      </c>
      <c r="G3632" s="53" t="s">
        <v>2038</v>
      </c>
      <c r="H3632" s="53">
        <v>1.0</v>
      </c>
      <c r="I3632" s="53">
        <v>0.5049019607843137</v>
      </c>
      <c r="J3632" s="53">
        <v>5.0</v>
      </c>
      <c r="K3632" s="53" t="s">
        <v>53</v>
      </c>
      <c r="L3632" s="53" t="s">
        <v>53</v>
      </c>
    </row>
    <row r="3633" ht="15.75" customHeight="1">
      <c r="A3633" s="53" t="s">
        <v>2599</v>
      </c>
      <c r="B3633" s="53" t="s">
        <v>4945</v>
      </c>
      <c r="D3633" s="53" t="s">
        <v>2017</v>
      </c>
      <c r="E3633" s="53" t="s">
        <v>2039</v>
      </c>
      <c r="F3633" s="53" t="s">
        <v>2019</v>
      </c>
      <c r="G3633" s="53" t="s">
        <v>2040</v>
      </c>
      <c r="H3633" s="53">
        <v>1.0</v>
      </c>
      <c r="I3633" s="53">
        <v>0.6833855799373041</v>
      </c>
      <c r="J3633" s="53">
        <v>2.0</v>
      </c>
      <c r="K3633" s="53" t="s">
        <v>53</v>
      </c>
      <c r="L3633" s="53" t="s">
        <v>53</v>
      </c>
    </row>
    <row r="3634" ht="15.75" customHeight="1">
      <c r="A3634" s="53" t="s">
        <v>2599</v>
      </c>
      <c r="B3634" s="53" t="s">
        <v>4945</v>
      </c>
      <c r="D3634" s="53" t="s">
        <v>2017</v>
      </c>
      <c r="E3634" s="53" t="s">
        <v>2041</v>
      </c>
      <c r="F3634" s="53" t="s">
        <v>2019</v>
      </c>
      <c r="G3634" s="53" t="s">
        <v>2042</v>
      </c>
      <c r="H3634" s="53">
        <v>1.0</v>
      </c>
      <c r="I3634" s="53">
        <v>0.7461928934010152</v>
      </c>
      <c r="J3634" s="53">
        <v>3.0</v>
      </c>
      <c r="K3634" s="53" t="s">
        <v>53</v>
      </c>
      <c r="L3634" s="53" t="s">
        <v>53</v>
      </c>
    </row>
    <row r="3635" ht="15.75" customHeight="1">
      <c r="A3635" s="53" t="s">
        <v>2599</v>
      </c>
      <c r="B3635" s="53" t="s">
        <v>4945</v>
      </c>
      <c r="D3635" s="53" t="s">
        <v>2032</v>
      </c>
      <c r="E3635" s="53" t="s">
        <v>2043</v>
      </c>
      <c r="F3635" s="53" t="s">
        <v>2019</v>
      </c>
      <c r="G3635" s="53" t="s">
        <v>2034</v>
      </c>
      <c r="H3635" s="53">
        <v>1.0</v>
      </c>
      <c r="I3635" s="53">
        <v>0.03125</v>
      </c>
      <c r="J3635" s="53">
        <v>8.0</v>
      </c>
      <c r="K3635" s="53" t="s">
        <v>53</v>
      </c>
      <c r="L3635" s="53" t="s">
        <v>53</v>
      </c>
    </row>
    <row r="3636" ht="15.75" customHeight="1">
      <c r="A3636" s="53" t="s">
        <v>2599</v>
      </c>
      <c r="B3636" s="53" t="s">
        <v>4945</v>
      </c>
      <c r="D3636" s="53" t="s">
        <v>2032</v>
      </c>
      <c r="E3636" s="53" t="s">
        <v>2044</v>
      </c>
      <c r="F3636" s="53" t="s">
        <v>2019</v>
      </c>
      <c r="G3636" s="53" t="s">
        <v>2028</v>
      </c>
      <c r="H3636" s="53">
        <v>1.0</v>
      </c>
      <c r="I3636" s="53">
        <v>0.11875</v>
      </c>
      <c r="J3636" s="53">
        <v>6.0</v>
      </c>
      <c r="K3636" s="53" t="s">
        <v>53</v>
      </c>
      <c r="L3636" s="53" t="s">
        <v>53</v>
      </c>
    </row>
    <row r="3637" ht="15.75" customHeight="1">
      <c r="A3637" s="53" t="s">
        <v>2599</v>
      </c>
      <c r="B3637" s="53" t="s">
        <v>4945</v>
      </c>
      <c r="D3637" s="53" t="s">
        <v>2032</v>
      </c>
      <c r="E3637" s="53" t="s">
        <v>2045</v>
      </c>
      <c r="F3637" s="53" t="s">
        <v>2019</v>
      </c>
      <c r="G3637" s="53" t="s">
        <v>2030</v>
      </c>
      <c r="H3637" s="53">
        <v>1.0</v>
      </c>
      <c r="I3637" s="53">
        <v>0.125</v>
      </c>
      <c r="J3637" s="53">
        <v>10.0</v>
      </c>
      <c r="K3637" s="53" t="s">
        <v>53</v>
      </c>
      <c r="L3637" s="53" t="s">
        <v>53</v>
      </c>
    </row>
    <row r="3638" ht="15.75" customHeight="1">
      <c r="A3638" s="53" t="s">
        <v>2599</v>
      </c>
      <c r="B3638" s="53" t="s">
        <v>4945</v>
      </c>
      <c r="D3638" s="53" t="s">
        <v>2032</v>
      </c>
      <c r="E3638" s="53" t="s">
        <v>2046</v>
      </c>
      <c r="F3638" s="53" t="s">
        <v>2019</v>
      </c>
      <c r="G3638" s="53" t="s">
        <v>2036</v>
      </c>
      <c r="H3638" s="53">
        <v>1.0</v>
      </c>
      <c r="I3638" s="53">
        <v>0.13812154696132597</v>
      </c>
      <c r="J3638" s="53">
        <v>3.0</v>
      </c>
      <c r="K3638" s="53" t="s">
        <v>53</v>
      </c>
      <c r="L3638" s="53" t="s">
        <v>53</v>
      </c>
    </row>
    <row r="3639" ht="15.75" customHeight="1">
      <c r="A3639" s="53" t="s">
        <v>2599</v>
      </c>
      <c r="B3639" s="53" t="s">
        <v>4945</v>
      </c>
      <c r="D3639" s="53" t="s">
        <v>2032</v>
      </c>
      <c r="E3639" s="53" t="s">
        <v>2047</v>
      </c>
      <c r="F3639" s="53" t="s">
        <v>2019</v>
      </c>
      <c r="G3639" s="53" t="s">
        <v>2038</v>
      </c>
      <c r="H3639" s="53">
        <v>1.0</v>
      </c>
      <c r="I3639" s="53">
        <v>0.24509803921568626</v>
      </c>
      <c r="J3639" s="53">
        <v>4.0</v>
      </c>
      <c r="K3639" s="53" t="s">
        <v>53</v>
      </c>
      <c r="L3639" s="53" t="s">
        <v>53</v>
      </c>
    </row>
    <row r="3640" ht="15.75" customHeight="1">
      <c r="A3640" s="53" t="s">
        <v>2599</v>
      </c>
      <c r="B3640" s="53" t="s">
        <v>4945</v>
      </c>
      <c r="D3640" s="53" t="s">
        <v>2032</v>
      </c>
      <c r="E3640" s="53" t="s">
        <v>2048</v>
      </c>
      <c r="F3640" s="53" t="s">
        <v>2019</v>
      </c>
      <c r="G3640" s="53" t="s">
        <v>2024</v>
      </c>
      <c r="H3640" s="53">
        <v>1.0</v>
      </c>
      <c r="I3640" s="53">
        <v>0.25</v>
      </c>
      <c r="J3640" s="53">
        <v>5.0</v>
      </c>
      <c r="K3640" s="53" t="s">
        <v>53</v>
      </c>
      <c r="L3640" s="53" t="s">
        <v>53</v>
      </c>
    </row>
    <row r="3641" ht="15.75" customHeight="1">
      <c r="A3641" s="53" t="s">
        <v>2599</v>
      </c>
      <c r="B3641" s="53" t="s">
        <v>4945</v>
      </c>
      <c r="D3641" s="53" t="s">
        <v>2032</v>
      </c>
      <c r="E3641" s="53" t="s">
        <v>2049</v>
      </c>
      <c r="F3641" s="53" t="s">
        <v>2019</v>
      </c>
      <c r="G3641" s="53" t="s">
        <v>2026</v>
      </c>
      <c r="H3641" s="53">
        <v>1.0</v>
      </c>
      <c r="I3641" s="53">
        <v>0.25</v>
      </c>
      <c r="J3641" s="53">
        <v>7.0</v>
      </c>
      <c r="K3641" s="53" t="s">
        <v>53</v>
      </c>
      <c r="L3641" s="53" t="s">
        <v>53</v>
      </c>
    </row>
    <row r="3642" ht="15.75" customHeight="1">
      <c r="A3642" s="53" t="s">
        <v>2599</v>
      </c>
      <c r="B3642" s="53" t="s">
        <v>4945</v>
      </c>
      <c r="D3642" s="53" t="s">
        <v>2032</v>
      </c>
      <c r="E3642" s="53" t="s">
        <v>2050</v>
      </c>
      <c r="F3642" s="53" t="s">
        <v>2019</v>
      </c>
      <c r="G3642" s="53" t="s">
        <v>2022</v>
      </c>
      <c r="H3642" s="53">
        <v>1.0</v>
      </c>
      <c r="I3642" s="53">
        <v>0.25625</v>
      </c>
      <c r="J3642" s="53">
        <v>0.0</v>
      </c>
      <c r="K3642" s="53" t="s">
        <v>53</v>
      </c>
      <c r="L3642" s="53" t="s">
        <v>53</v>
      </c>
    </row>
    <row r="3643" ht="15.75" customHeight="1">
      <c r="A3643" s="53" t="s">
        <v>2599</v>
      </c>
      <c r="B3643" s="53" t="s">
        <v>4945</v>
      </c>
      <c r="D3643" s="53" t="s">
        <v>2032</v>
      </c>
      <c r="E3643" s="53" t="s">
        <v>2051</v>
      </c>
      <c r="F3643" s="53" t="s">
        <v>2019</v>
      </c>
      <c r="G3643" s="53" t="s">
        <v>2020</v>
      </c>
      <c r="H3643" s="53">
        <v>1.0</v>
      </c>
      <c r="I3643" s="53">
        <v>0.30625</v>
      </c>
      <c r="J3643" s="53">
        <v>9.0</v>
      </c>
      <c r="K3643" s="53" t="s">
        <v>53</v>
      </c>
      <c r="L3643" s="53" t="s">
        <v>53</v>
      </c>
    </row>
    <row r="3644" ht="15.75" customHeight="1">
      <c r="A3644" s="53" t="s">
        <v>2599</v>
      </c>
      <c r="B3644" s="53" t="s">
        <v>4945</v>
      </c>
      <c r="D3644" s="53" t="s">
        <v>2032</v>
      </c>
      <c r="E3644" s="53" t="s">
        <v>2052</v>
      </c>
      <c r="F3644" s="53" t="s">
        <v>2019</v>
      </c>
      <c r="G3644" s="53" t="s">
        <v>2040</v>
      </c>
      <c r="H3644" s="53">
        <v>1.0</v>
      </c>
      <c r="I3644" s="53">
        <v>0.5172413793103449</v>
      </c>
      <c r="J3644" s="53">
        <v>1.0</v>
      </c>
      <c r="K3644" s="53" t="s">
        <v>53</v>
      </c>
      <c r="L3644" s="53" t="s">
        <v>53</v>
      </c>
    </row>
    <row r="3645" ht="15.75" customHeight="1">
      <c r="A3645" s="53" t="s">
        <v>2599</v>
      </c>
      <c r="B3645" s="53" t="s">
        <v>4945</v>
      </c>
      <c r="D3645" s="53" t="s">
        <v>2032</v>
      </c>
      <c r="E3645" s="53" t="s">
        <v>2053</v>
      </c>
      <c r="F3645" s="53" t="s">
        <v>2019</v>
      </c>
      <c r="G3645" s="53" t="s">
        <v>2042</v>
      </c>
      <c r="H3645" s="53">
        <v>1.0</v>
      </c>
      <c r="I3645" s="53">
        <v>0.6091370558375635</v>
      </c>
      <c r="J3645" s="53">
        <v>2.0</v>
      </c>
      <c r="K3645" s="53" t="s">
        <v>53</v>
      </c>
      <c r="L3645" s="53" t="s">
        <v>53</v>
      </c>
    </row>
    <row r="3646" ht="15.75" customHeight="1">
      <c r="A3646" s="53" t="s">
        <v>2599</v>
      </c>
      <c r="B3646" s="53" t="s">
        <v>4945</v>
      </c>
      <c r="D3646" s="53" t="s">
        <v>2022</v>
      </c>
      <c r="E3646" s="53" t="s">
        <v>2054</v>
      </c>
      <c r="F3646" s="53" t="s">
        <v>2019</v>
      </c>
      <c r="G3646" s="53" t="s">
        <v>2024</v>
      </c>
      <c r="H3646" s="53">
        <v>1.0</v>
      </c>
      <c r="I3646" s="53">
        <v>0.047619047619047616</v>
      </c>
      <c r="J3646" s="53">
        <v>4.0</v>
      </c>
      <c r="K3646" s="53" t="s">
        <v>53</v>
      </c>
      <c r="L3646" s="53" t="s">
        <v>53</v>
      </c>
    </row>
    <row r="3647" ht="15.75" customHeight="1">
      <c r="A3647" s="53" t="s">
        <v>2599</v>
      </c>
      <c r="B3647" s="53" t="s">
        <v>4945</v>
      </c>
      <c r="D3647" s="53" t="s">
        <v>2022</v>
      </c>
      <c r="E3647" s="53" t="s">
        <v>2055</v>
      </c>
      <c r="F3647" s="53" t="s">
        <v>2019</v>
      </c>
      <c r="G3647" s="53" t="s">
        <v>2026</v>
      </c>
      <c r="H3647" s="53">
        <v>1.0</v>
      </c>
      <c r="I3647" s="53">
        <v>0.047619047619047616</v>
      </c>
      <c r="J3647" s="53">
        <v>6.0</v>
      </c>
      <c r="K3647" s="53" t="s">
        <v>53</v>
      </c>
      <c r="L3647" s="53" t="s">
        <v>53</v>
      </c>
    </row>
    <row r="3648" ht="15.75" customHeight="1">
      <c r="A3648" s="53" t="s">
        <v>2599</v>
      </c>
      <c r="B3648" s="53" t="s">
        <v>4945</v>
      </c>
      <c r="D3648" s="53" t="s">
        <v>2022</v>
      </c>
      <c r="E3648" s="53" t="s">
        <v>2056</v>
      </c>
      <c r="F3648" s="53" t="s">
        <v>2019</v>
      </c>
      <c r="G3648" s="53" t="s">
        <v>2020</v>
      </c>
      <c r="H3648" s="53">
        <v>1.0</v>
      </c>
      <c r="I3648" s="53">
        <v>0.11904761904761904</v>
      </c>
      <c r="J3648" s="53">
        <v>8.0</v>
      </c>
      <c r="K3648" s="53" t="s">
        <v>53</v>
      </c>
      <c r="L3648" s="53" t="s">
        <v>53</v>
      </c>
    </row>
    <row r="3649" ht="15.75" customHeight="1">
      <c r="A3649" s="53" t="s">
        <v>2599</v>
      </c>
      <c r="B3649" s="53" t="s">
        <v>4945</v>
      </c>
      <c r="D3649" s="53" t="s">
        <v>2022</v>
      </c>
      <c r="E3649" s="53" t="s">
        <v>2057</v>
      </c>
      <c r="F3649" s="53" t="s">
        <v>2019</v>
      </c>
      <c r="G3649" s="53" t="s">
        <v>2028</v>
      </c>
      <c r="H3649" s="53">
        <v>1.0</v>
      </c>
      <c r="I3649" s="53">
        <v>0.16551724137931034</v>
      </c>
      <c r="J3649" s="53">
        <v>5.0</v>
      </c>
      <c r="K3649" s="53" t="s">
        <v>53</v>
      </c>
      <c r="L3649" s="53" t="s">
        <v>53</v>
      </c>
    </row>
    <row r="3650" ht="15.75" customHeight="1">
      <c r="A3650" s="53" t="s">
        <v>2599</v>
      </c>
      <c r="B3650" s="53" t="s">
        <v>4945</v>
      </c>
      <c r="D3650" s="53" t="s">
        <v>2022</v>
      </c>
      <c r="E3650" s="53" t="s">
        <v>2058</v>
      </c>
      <c r="F3650" s="53" t="s">
        <v>2019</v>
      </c>
      <c r="G3650" s="53" t="s">
        <v>2030</v>
      </c>
      <c r="H3650" s="53">
        <v>1.0</v>
      </c>
      <c r="I3650" s="53">
        <v>0.1793103448275862</v>
      </c>
      <c r="J3650" s="53">
        <v>9.0</v>
      </c>
      <c r="K3650" s="53" t="s">
        <v>53</v>
      </c>
      <c r="L3650" s="53" t="s">
        <v>53</v>
      </c>
    </row>
    <row r="3651" ht="15.75" customHeight="1">
      <c r="A3651" s="53" t="s">
        <v>2599</v>
      </c>
      <c r="B3651" s="53" t="s">
        <v>4945</v>
      </c>
      <c r="D3651" s="53" t="s">
        <v>2022</v>
      </c>
      <c r="E3651" s="53" t="s">
        <v>2059</v>
      </c>
      <c r="F3651" s="53" t="s">
        <v>2019</v>
      </c>
      <c r="G3651" s="53" t="s">
        <v>2034</v>
      </c>
      <c r="H3651" s="53">
        <v>1.0</v>
      </c>
      <c r="I3651" s="53">
        <v>0.25625</v>
      </c>
      <c r="J3651" s="53">
        <v>7.0</v>
      </c>
      <c r="K3651" s="53" t="s">
        <v>53</v>
      </c>
      <c r="L3651" s="53" t="s">
        <v>53</v>
      </c>
    </row>
    <row r="3652" ht="15.75" customHeight="1">
      <c r="A3652" s="53" t="s">
        <v>2599</v>
      </c>
      <c r="B3652" s="53" t="s">
        <v>4945</v>
      </c>
      <c r="D3652" s="53" t="s">
        <v>2022</v>
      </c>
      <c r="E3652" s="53" t="s">
        <v>2060</v>
      </c>
      <c r="F3652" s="53" t="s">
        <v>2019</v>
      </c>
      <c r="G3652" s="53" t="s">
        <v>2036</v>
      </c>
      <c r="H3652" s="53">
        <v>1.0</v>
      </c>
      <c r="I3652" s="53">
        <v>0.3314917127071823</v>
      </c>
      <c r="J3652" s="53">
        <v>2.0</v>
      </c>
      <c r="K3652" s="53" t="s">
        <v>53</v>
      </c>
      <c r="L3652" s="53" t="s">
        <v>53</v>
      </c>
    </row>
    <row r="3653" ht="15.75" customHeight="1">
      <c r="A3653" s="53" t="s">
        <v>2599</v>
      </c>
      <c r="B3653" s="53" t="s">
        <v>4945</v>
      </c>
      <c r="D3653" s="53" t="s">
        <v>2022</v>
      </c>
      <c r="E3653" s="53" t="s">
        <v>2061</v>
      </c>
      <c r="F3653" s="53" t="s">
        <v>2019</v>
      </c>
      <c r="G3653" s="53" t="s">
        <v>2038</v>
      </c>
      <c r="H3653" s="53">
        <v>1.0</v>
      </c>
      <c r="I3653" s="53">
        <v>0.4166666666666667</v>
      </c>
      <c r="J3653" s="53">
        <v>3.0</v>
      </c>
      <c r="K3653" s="53" t="s">
        <v>53</v>
      </c>
      <c r="L3653" s="53" t="s">
        <v>53</v>
      </c>
    </row>
    <row r="3654" ht="15.75" customHeight="1">
      <c r="A3654" s="53" t="s">
        <v>2599</v>
      </c>
      <c r="B3654" s="53" t="s">
        <v>4945</v>
      </c>
      <c r="D3654" s="53" t="s">
        <v>2022</v>
      </c>
      <c r="E3654" s="53" t="s">
        <v>2062</v>
      </c>
      <c r="F3654" s="53" t="s">
        <v>2019</v>
      </c>
      <c r="G3654" s="53" t="s">
        <v>2040</v>
      </c>
      <c r="H3654" s="53">
        <v>1.0</v>
      </c>
      <c r="I3654" s="53">
        <v>0.6269592476489029</v>
      </c>
      <c r="J3654" s="53">
        <v>0.0</v>
      </c>
      <c r="K3654" s="53" t="s">
        <v>53</v>
      </c>
      <c r="L3654" s="53" t="s">
        <v>53</v>
      </c>
    </row>
    <row r="3655" ht="15.75" customHeight="1">
      <c r="A3655" s="53" t="s">
        <v>2599</v>
      </c>
      <c r="B3655" s="53" t="s">
        <v>4945</v>
      </c>
      <c r="D3655" s="53" t="s">
        <v>2022</v>
      </c>
      <c r="E3655" s="53" t="s">
        <v>2063</v>
      </c>
      <c r="F3655" s="53" t="s">
        <v>2019</v>
      </c>
      <c r="G3655" s="53" t="s">
        <v>2042</v>
      </c>
      <c r="H3655" s="53">
        <v>1.0</v>
      </c>
      <c r="I3655" s="53">
        <v>0.700507614213198</v>
      </c>
      <c r="J3655" s="53">
        <v>1.0</v>
      </c>
      <c r="K3655" s="53" t="s">
        <v>53</v>
      </c>
      <c r="L3655" s="53" t="s">
        <v>53</v>
      </c>
    </row>
    <row r="3656" ht="15.75" customHeight="1">
      <c r="A3656" s="53" t="s">
        <v>2599</v>
      </c>
      <c r="B3656" s="53" t="s">
        <v>4945</v>
      </c>
      <c r="D3656" s="53" t="s">
        <v>2040</v>
      </c>
      <c r="E3656" s="53" t="s">
        <v>2064</v>
      </c>
      <c r="F3656" s="53" t="s">
        <v>2019</v>
      </c>
      <c r="G3656" s="53" t="s">
        <v>2042</v>
      </c>
      <c r="H3656" s="53">
        <v>1.0</v>
      </c>
      <c r="I3656" s="53">
        <v>0.20050761421319796</v>
      </c>
      <c r="J3656" s="53">
        <v>0.0</v>
      </c>
      <c r="K3656" s="53" t="s">
        <v>53</v>
      </c>
      <c r="L3656" s="53" t="s">
        <v>53</v>
      </c>
    </row>
    <row r="3657" ht="15.75" customHeight="1">
      <c r="A3657" s="53" t="s">
        <v>2599</v>
      </c>
      <c r="B3657" s="53" t="s">
        <v>4945</v>
      </c>
      <c r="D3657" s="53" t="s">
        <v>2040</v>
      </c>
      <c r="E3657" s="53" t="s">
        <v>2065</v>
      </c>
      <c r="F3657" s="53" t="s">
        <v>2019</v>
      </c>
      <c r="G3657" s="53" t="s">
        <v>2038</v>
      </c>
      <c r="H3657" s="53">
        <v>1.0</v>
      </c>
      <c r="I3657" s="53">
        <v>0.36363636363636365</v>
      </c>
      <c r="J3657" s="53">
        <v>2.0</v>
      </c>
      <c r="K3657" s="53" t="s">
        <v>53</v>
      </c>
      <c r="L3657" s="53" t="s">
        <v>53</v>
      </c>
    </row>
    <row r="3658" ht="15.75" customHeight="1">
      <c r="A3658" s="53" t="s">
        <v>2599</v>
      </c>
      <c r="B3658" s="53" t="s">
        <v>4945</v>
      </c>
      <c r="D3658" s="53" t="s">
        <v>2040</v>
      </c>
      <c r="E3658" s="53" t="s">
        <v>2066</v>
      </c>
      <c r="F3658" s="53" t="s">
        <v>2019</v>
      </c>
      <c r="G3658" s="53" t="s">
        <v>2036</v>
      </c>
      <c r="H3658" s="53">
        <v>1.0</v>
      </c>
      <c r="I3658" s="53">
        <v>0.45768025078369906</v>
      </c>
      <c r="J3658" s="53">
        <v>1.0</v>
      </c>
      <c r="K3658" s="53" t="s">
        <v>53</v>
      </c>
      <c r="L3658" s="53" t="s">
        <v>53</v>
      </c>
    </row>
    <row r="3659" ht="15.75" customHeight="1">
      <c r="A3659" s="53" t="s">
        <v>2599</v>
      </c>
      <c r="B3659" s="53" t="s">
        <v>4945</v>
      </c>
      <c r="D3659" s="53" t="s">
        <v>2040</v>
      </c>
      <c r="E3659" s="53" t="s">
        <v>2067</v>
      </c>
      <c r="F3659" s="53" t="s">
        <v>2019</v>
      </c>
      <c r="G3659" s="53" t="s">
        <v>2034</v>
      </c>
      <c r="H3659" s="53">
        <v>1.0</v>
      </c>
      <c r="I3659" s="53">
        <v>0.5172413793103449</v>
      </c>
      <c r="J3659" s="53">
        <v>6.0</v>
      </c>
      <c r="K3659" s="53" t="s">
        <v>53</v>
      </c>
      <c r="L3659" s="53" t="s">
        <v>53</v>
      </c>
    </row>
    <row r="3660" ht="15.75" customHeight="1">
      <c r="A3660" s="53" t="s">
        <v>2599</v>
      </c>
      <c r="B3660" s="53" t="s">
        <v>4945</v>
      </c>
      <c r="D3660" s="53" t="s">
        <v>2040</v>
      </c>
      <c r="E3660" s="53" t="s">
        <v>2068</v>
      </c>
      <c r="F3660" s="53" t="s">
        <v>2019</v>
      </c>
      <c r="G3660" s="53" t="s">
        <v>2030</v>
      </c>
      <c r="H3660" s="53">
        <v>1.0</v>
      </c>
      <c r="I3660" s="53">
        <v>0.5611285266457681</v>
      </c>
      <c r="J3660" s="53">
        <v>8.0</v>
      </c>
      <c r="K3660" s="53" t="s">
        <v>53</v>
      </c>
      <c r="L3660" s="53" t="s">
        <v>53</v>
      </c>
    </row>
    <row r="3661" ht="15.75" customHeight="1">
      <c r="A3661" s="53" t="s">
        <v>2599</v>
      </c>
      <c r="B3661" s="53" t="s">
        <v>4945</v>
      </c>
      <c r="D3661" s="53" t="s">
        <v>2040</v>
      </c>
      <c r="E3661" s="53" t="s">
        <v>2069</v>
      </c>
      <c r="F3661" s="53" t="s">
        <v>2019</v>
      </c>
      <c r="G3661" s="53" t="s">
        <v>2028</v>
      </c>
      <c r="H3661" s="53">
        <v>1.0</v>
      </c>
      <c r="I3661" s="53">
        <v>0.5642633228840125</v>
      </c>
      <c r="J3661" s="53">
        <v>4.0</v>
      </c>
      <c r="K3661" s="53" t="s">
        <v>53</v>
      </c>
      <c r="L3661" s="53" t="s">
        <v>53</v>
      </c>
    </row>
    <row r="3662" ht="15.75" customHeight="1">
      <c r="A3662" s="53" t="s">
        <v>2599</v>
      </c>
      <c r="B3662" s="53" t="s">
        <v>4945</v>
      </c>
      <c r="D3662" s="53" t="s">
        <v>2040</v>
      </c>
      <c r="E3662" s="53" t="s">
        <v>2070</v>
      </c>
      <c r="F3662" s="53" t="s">
        <v>2019</v>
      </c>
      <c r="G3662" s="53" t="s">
        <v>2026</v>
      </c>
      <c r="H3662" s="53">
        <v>1.0</v>
      </c>
      <c r="I3662" s="53">
        <v>0.6175548589341693</v>
      </c>
      <c r="J3662" s="53">
        <v>5.0</v>
      </c>
      <c r="K3662" s="53" t="s">
        <v>53</v>
      </c>
      <c r="L3662" s="53" t="s">
        <v>53</v>
      </c>
    </row>
    <row r="3663" ht="15.75" customHeight="1">
      <c r="A3663" s="53" t="s">
        <v>2599</v>
      </c>
      <c r="B3663" s="53" t="s">
        <v>4945</v>
      </c>
      <c r="D3663" s="53" t="s">
        <v>2040</v>
      </c>
      <c r="E3663" s="53" t="s">
        <v>2071</v>
      </c>
      <c r="F3663" s="53" t="s">
        <v>2019</v>
      </c>
      <c r="G3663" s="53" t="s">
        <v>2024</v>
      </c>
      <c r="H3663" s="53">
        <v>1.0</v>
      </c>
      <c r="I3663" s="53">
        <v>0.6206896551724138</v>
      </c>
      <c r="J3663" s="53">
        <v>3.0</v>
      </c>
      <c r="K3663" s="53" t="s">
        <v>53</v>
      </c>
      <c r="L3663" s="53" t="s">
        <v>53</v>
      </c>
    </row>
    <row r="3664" ht="15.75" customHeight="1">
      <c r="A3664" s="53" t="s">
        <v>2599</v>
      </c>
      <c r="B3664" s="53" t="s">
        <v>4945</v>
      </c>
      <c r="D3664" s="53" t="s">
        <v>2040</v>
      </c>
      <c r="E3664" s="53" t="s">
        <v>2072</v>
      </c>
      <c r="F3664" s="53" t="s">
        <v>2019</v>
      </c>
      <c r="G3664" s="53" t="s">
        <v>2020</v>
      </c>
      <c r="H3664" s="53">
        <v>1.0</v>
      </c>
      <c r="I3664" s="53">
        <v>0.6614420062695925</v>
      </c>
      <c r="J3664" s="53">
        <v>7.0</v>
      </c>
      <c r="K3664" s="53" t="s">
        <v>53</v>
      </c>
      <c r="L3664" s="53" t="s">
        <v>53</v>
      </c>
    </row>
    <row r="3665" ht="15.75" customHeight="1">
      <c r="A3665" s="53" t="s">
        <v>2599</v>
      </c>
      <c r="B3665" s="53" t="s">
        <v>4945</v>
      </c>
      <c r="D3665" s="53" t="s">
        <v>2042</v>
      </c>
      <c r="E3665" s="53" t="s">
        <v>2073</v>
      </c>
      <c r="F3665" s="53" t="s">
        <v>2019</v>
      </c>
      <c r="G3665" s="53" t="s">
        <v>2038</v>
      </c>
      <c r="H3665" s="53">
        <v>1.0</v>
      </c>
      <c r="I3665" s="53">
        <v>0.49238578680203043</v>
      </c>
      <c r="J3665" s="53">
        <v>1.0</v>
      </c>
      <c r="K3665" s="53" t="s">
        <v>53</v>
      </c>
      <c r="L3665" s="53" t="s">
        <v>53</v>
      </c>
    </row>
    <row r="3666" ht="15.75" customHeight="1">
      <c r="A3666" s="53" t="s">
        <v>2599</v>
      </c>
      <c r="B3666" s="53" t="s">
        <v>4945</v>
      </c>
      <c r="D3666" s="53" t="s">
        <v>2042</v>
      </c>
      <c r="E3666" s="53" t="s">
        <v>2074</v>
      </c>
      <c r="F3666" s="53" t="s">
        <v>2019</v>
      </c>
      <c r="G3666" s="53" t="s">
        <v>2036</v>
      </c>
      <c r="H3666" s="53">
        <v>1.0</v>
      </c>
      <c r="I3666" s="53">
        <v>0.5583756345177665</v>
      </c>
      <c r="J3666" s="53">
        <v>0.0</v>
      </c>
      <c r="K3666" s="53" t="s">
        <v>53</v>
      </c>
      <c r="L3666" s="53" t="s">
        <v>53</v>
      </c>
    </row>
    <row r="3667" ht="15.75" customHeight="1">
      <c r="A3667" s="53" t="s">
        <v>2599</v>
      </c>
      <c r="B3667" s="53" t="s">
        <v>4945</v>
      </c>
      <c r="D3667" s="53" t="s">
        <v>2042</v>
      </c>
      <c r="E3667" s="53" t="s">
        <v>2075</v>
      </c>
      <c r="F3667" s="53" t="s">
        <v>2019</v>
      </c>
      <c r="G3667" s="53" t="s">
        <v>2034</v>
      </c>
      <c r="H3667" s="53">
        <v>1.0</v>
      </c>
      <c r="I3667" s="53">
        <v>0.6065989847715736</v>
      </c>
      <c r="J3667" s="53">
        <v>5.0</v>
      </c>
      <c r="K3667" s="53" t="s">
        <v>53</v>
      </c>
      <c r="L3667" s="53" t="s">
        <v>53</v>
      </c>
    </row>
    <row r="3668" ht="15.75" customHeight="1">
      <c r="A3668" s="53" t="s">
        <v>2599</v>
      </c>
      <c r="B3668" s="53" t="s">
        <v>4945</v>
      </c>
      <c r="D3668" s="53" t="s">
        <v>2042</v>
      </c>
      <c r="E3668" s="53" t="s">
        <v>2076</v>
      </c>
      <c r="F3668" s="53" t="s">
        <v>2019</v>
      </c>
      <c r="G3668" s="53" t="s">
        <v>2030</v>
      </c>
      <c r="H3668" s="53">
        <v>1.0</v>
      </c>
      <c r="I3668" s="53">
        <v>0.6446700507614214</v>
      </c>
      <c r="J3668" s="53">
        <v>7.0</v>
      </c>
      <c r="K3668" s="53" t="s">
        <v>53</v>
      </c>
      <c r="L3668" s="53" t="s">
        <v>53</v>
      </c>
    </row>
    <row r="3669" ht="15.75" customHeight="1">
      <c r="A3669" s="53" t="s">
        <v>2599</v>
      </c>
      <c r="B3669" s="53" t="s">
        <v>4945</v>
      </c>
      <c r="D3669" s="53" t="s">
        <v>2042</v>
      </c>
      <c r="E3669" s="53" t="s">
        <v>2077</v>
      </c>
      <c r="F3669" s="53" t="s">
        <v>2019</v>
      </c>
      <c r="G3669" s="53" t="s">
        <v>2028</v>
      </c>
      <c r="H3669" s="53">
        <v>1.0</v>
      </c>
      <c r="I3669" s="53">
        <v>0.6472081218274112</v>
      </c>
      <c r="J3669" s="53">
        <v>3.0</v>
      </c>
      <c r="K3669" s="53" t="s">
        <v>53</v>
      </c>
      <c r="L3669" s="53" t="s">
        <v>53</v>
      </c>
    </row>
    <row r="3670" ht="15.75" customHeight="1">
      <c r="A3670" s="53" t="s">
        <v>2599</v>
      </c>
      <c r="B3670" s="53" t="s">
        <v>4945</v>
      </c>
      <c r="D3670" s="53" t="s">
        <v>2042</v>
      </c>
      <c r="E3670" s="53" t="s">
        <v>2078</v>
      </c>
      <c r="F3670" s="53" t="s">
        <v>2019</v>
      </c>
      <c r="G3670" s="53" t="s">
        <v>2026</v>
      </c>
      <c r="H3670" s="53">
        <v>1.0</v>
      </c>
      <c r="I3670" s="53">
        <v>0.6954314720812182</v>
      </c>
      <c r="J3670" s="53">
        <v>4.0</v>
      </c>
      <c r="K3670" s="53" t="s">
        <v>53</v>
      </c>
      <c r="L3670" s="53" t="s">
        <v>53</v>
      </c>
    </row>
    <row r="3671" ht="15.75" customHeight="1">
      <c r="A3671" s="53" t="s">
        <v>2599</v>
      </c>
      <c r="B3671" s="53" t="s">
        <v>4945</v>
      </c>
      <c r="D3671" s="53" t="s">
        <v>2042</v>
      </c>
      <c r="E3671" s="53" t="s">
        <v>2079</v>
      </c>
      <c r="F3671" s="53" t="s">
        <v>2019</v>
      </c>
      <c r="G3671" s="53" t="s">
        <v>2024</v>
      </c>
      <c r="H3671" s="53">
        <v>1.0</v>
      </c>
      <c r="I3671" s="53">
        <v>0.6979695431472082</v>
      </c>
      <c r="J3671" s="53">
        <v>2.0</v>
      </c>
      <c r="K3671" s="53" t="s">
        <v>53</v>
      </c>
      <c r="L3671" s="53" t="s">
        <v>53</v>
      </c>
    </row>
    <row r="3672" ht="15.75" customHeight="1">
      <c r="A3672" s="53" t="s">
        <v>2599</v>
      </c>
      <c r="B3672" s="53" t="s">
        <v>4945</v>
      </c>
      <c r="D3672" s="53" t="s">
        <v>2042</v>
      </c>
      <c r="E3672" s="53" t="s">
        <v>2080</v>
      </c>
      <c r="F3672" s="53" t="s">
        <v>2019</v>
      </c>
      <c r="G3672" s="53" t="s">
        <v>2020</v>
      </c>
      <c r="H3672" s="53">
        <v>1.0</v>
      </c>
      <c r="I3672" s="53">
        <v>0.7233502538071066</v>
      </c>
      <c r="J3672" s="53">
        <v>6.0</v>
      </c>
      <c r="K3672" s="53" t="s">
        <v>53</v>
      </c>
      <c r="L3672" s="53" t="s">
        <v>53</v>
      </c>
    </row>
    <row r="3673" ht="15.75" customHeight="1">
      <c r="A3673" s="53" t="s">
        <v>2599</v>
      </c>
      <c r="B3673" s="53" t="s">
        <v>4945</v>
      </c>
      <c r="D3673" s="53" t="s">
        <v>2036</v>
      </c>
      <c r="E3673" s="53" t="s">
        <v>2081</v>
      </c>
      <c r="F3673" s="53" t="s">
        <v>2019</v>
      </c>
      <c r="G3673" s="53" t="s">
        <v>2034</v>
      </c>
      <c r="H3673" s="53">
        <v>1.0</v>
      </c>
      <c r="I3673" s="53">
        <v>0.143646408839779</v>
      </c>
      <c r="J3673" s="53">
        <v>4.0</v>
      </c>
      <c r="K3673" s="53" t="s">
        <v>53</v>
      </c>
      <c r="L3673" s="53" t="s">
        <v>53</v>
      </c>
    </row>
    <row r="3674" ht="15.75" customHeight="1">
      <c r="A3674" s="53" t="s">
        <v>2599</v>
      </c>
      <c r="B3674" s="53" t="s">
        <v>4945</v>
      </c>
      <c r="D3674" s="53" t="s">
        <v>2036</v>
      </c>
      <c r="E3674" s="53" t="s">
        <v>2082</v>
      </c>
      <c r="F3674" s="53" t="s">
        <v>2019</v>
      </c>
      <c r="G3674" s="53" t="s">
        <v>2038</v>
      </c>
      <c r="H3674" s="53">
        <v>1.0</v>
      </c>
      <c r="I3674" s="53">
        <v>0.15196078431372548</v>
      </c>
      <c r="J3674" s="53">
        <v>0.0</v>
      </c>
      <c r="K3674" s="53" t="s">
        <v>53</v>
      </c>
      <c r="L3674" s="53" t="s">
        <v>53</v>
      </c>
    </row>
    <row r="3675" ht="15.75" customHeight="1">
      <c r="A3675" s="53" t="s">
        <v>2599</v>
      </c>
      <c r="B3675" s="53" t="s">
        <v>4945</v>
      </c>
      <c r="D3675" s="53" t="s">
        <v>2036</v>
      </c>
      <c r="E3675" s="53" t="s">
        <v>2083</v>
      </c>
      <c r="F3675" s="53" t="s">
        <v>2019</v>
      </c>
      <c r="G3675" s="53" t="s">
        <v>2030</v>
      </c>
      <c r="H3675" s="53">
        <v>1.0</v>
      </c>
      <c r="I3675" s="53">
        <v>0.2265193370165746</v>
      </c>
      <c r="J3675" s="53">
        <v>6.0</v>
      </c>
      <c r="K3675" s="53" t="s">
        <v>53</v>
      </c>
      <c r="L3675" s="53" t="s">
        <v>53</v>
      </c>
    </row>
    <row r="3676" ht="15.75" customHeight="1">
      <c r="A3676" s="53" t="s">
        <v>2599</v>
      </c>
      <c r="B3676" s="53" t="s">
        <v>4945</v>
      </c>
      <c r="D3676" s="53" t="s">
        <v>2036</v>
      </c>
      <c r="E3676" s="53" t="s">
        <v>2084</v>
      </c>
      <c r="F3676" s="53" t="s">
        <v>2019</v>
      </c>
      <c r="G3676" s="53" t="s">
        <v>2028</v>
      </c>
      <c r="H3676" s="53">
        <v>1.0</v>
      </c>
      <c r="I3676" s="53">
        <v>0.2265193370165746</v>
      </c>
      <c r="J3676" s="53">
        <v>2.0</v>
      </c>
      <c r="K3676" s="53" t="s">
        <v>53</v>
      </c>
      <c r="L3676" s="53" t="s">
        <v>53</v>
      </c>
    </row>
    <row r="3677" ht="15.75" customHeight="1">
      <c r="A3677" s="53" t="s">
        <v>2599</v>
      </c>
      <c r="B3677" s="53" t="s">
        <v>4945</v>
      </c>
      <c r="D3677" s="53" t="s">
        <v>2036</v>
      </c>
      <c r="E3677" s="53" t="s">
        <v>2085</v>
      </c>
      <c r="F3677" s="53" t="s">
        <v>2019</v>
      </c>
      <c r="G3677" s="53" t="s">
        <v>2024</v>
      </c>
      <c r="H3677" s="53">
        <v>1.0</v>
      </c>
      <c r="I3677" s="53">
        <v>0.3370165745856354</v>
      </c>
      <c r="J3677" s="53">
        <v>1.0</v>
      </c>
      <c r="K3677" s="53" t="s">
        <v>53</v>
      </c>
      <c r="L3677" s="53" t="s">
        <v>53</v>
      </c>
    </row>
    <row r="3678" ht="15.75" customHeight="1">
      <c r="A3678" s="53" t="s">
        <v>2599</v>
      </c>
      <c r="B3678" s="53" t="s">
        <v>4945</v>
      </c>
      <c r="D3678" s="53" t="s">
        <v>2036</v>
      </c>
      <c r="E3678" s="53" t="s">
        <v>2086</v>
      </c>
      <c r="F3678" s="53" t="s">
        <v>2019</v>
      </c>
      <c r="G3678" s="53" t="s">
        <v>2026</v>
      </c>
      <c r="H3678" s="53">
        <v>1.0</v>
      </c>
      <c r="I3678" s="53">
        <v>0.3370165745856354</v>
      </c>
      <c r="J3678" s="53">
        <v>3.0</v>
      </c>
      <c r="K3678" s="53" t="s">
        <v>53</v>
      </c>
      <c r="L3678" s="53" t="s">
        <v>53</v>
      </c>
    </row>
    <row r="3679" ht="15.75" customHeight="1">
      <c r="A3679" s="53" t="s">
        <v>2599</v>
      </c>
      <c r="B3679" s="53" t="s">
        <v>4945</v>
      </c>
      <c r="D3679" s="53" t="s">
        <v>2036</v>
      </c>
      <c r="E3679" s="53" t="s">
        <v>2087</v>
      </c>
      <c r="F3679" s="53" t="s">
        <v>2019</v>
      </c>
      <c r="G3679" s="53" t="s">
        <v>2020</v>
      </c>
      <c r="H3679" s="53">
        <v>1.0</v>
      </c>
      <c r="I3679" s="53">
        <v>0.3701657458563536</v>
      </c>
      <c r="J3679" s="53">
        <v>5.0</v>
      </c>
      <c r="K3679" s="53" t="s">
        <v>53</v>
      </c>
      <c r="L3679" s="53" t="s">
        <v>53</v>
      </c>
    </row>
    <row r="3680" ht="15.75" customHeight="1">
      <c r="A3680" s="53" t="s">
        <v>2599</v>
      </c>
      <c r="B3680" s="53" t="s">
        <v>4945</v>
      </c>
      <c r="D3680" s="53" t="s">
        <v>2038</v>
      </c>
      <c r="E3680" s="53" t="s">
        <v>2088</v>
      </c>
      <c r="F3680" s="53" t="s">
        <v>2019</v>
      </c>
      <c r="G3680" s="53" t="s">
        <v>2034</v>
      </c>
      <c r="H3680" s="53">
        <v>1.0</v>
      </c>
      <c r="I3680" s="53">
        <v>0.24509803921568626</v>
      </c>
      <c r="J3680" s="53">
        <v>3.0</v>
      </c>
      <c r="K3680" s="53" t="s">
        <v>53</v>
      </c>
      <c r="L3680" s="53" t="s">
        <v>53</v>
      </c>
    </row>
    <row r="3681" ht="15.75" customHeight="1">
      <c r="A3681" s="53" t="s">
        <v>2599</v>
      </c>
      <c r="B3681" s="53" t="s">
        <v>4945</v>
      </c>
      <c r="D3681" s="53" t="s">
        <v>2038</v>
      </c>
      <c r="E3681" s="53" t="s">
        <v>2089</v>
      </c>
      <c r="F3681" s="53" t="s">
        <v>2019</v>
      </c>
      <c r="G3681" s="53" t="s">
        <v>2030</v>
      </c>
      <c r="H3681" s="53">
        <v>1.0</v>
      </c>
      <c r="I3681" s="53">
        <v>0.3137254901960784</v>
      </c>
      <c r="J3681" s="53">
        <v>5.0</v>
      </c>
      <c r="K3681" s="53" t="s">
        <v>53</v>
      </c>
      <c r="L3681" s="53" t="s">
        <v>53</v>
      </c>
    </row>
    <row r="3682" ht="15.75" customHeight="1">
      <c r="A3682" s="53" t="s">
        <v>2599</v>
      </c>
      <c r="B3682" s="53" t="s">
        <v>4945</v>
      </c>
      <c r="D3682" s="53" t="s">
        <v>2038</v>
      </c>
      <c r="E3682" s="53" t="s">
        <v>2090</v>
      </c>
      <c r="F3682" s="53" t="s">
        <v>2019</v>
      </c>
      <c r="G3682" s="53" t="s">
        <v>2028</v>
      </c>
      <c r="H3682" s="53">
        <v>1.0</v>
      </c>
      <c r="I3682" s="53">
        <v>0.31862745098039214</v>
      </c>
      <c r="J3682" s="53">
        <v>1.0</v>
      </c>
      <c r="K3682" s="53" t="s">
        <v>53</v>
      </c>
      <c r="L3682" s="53" t="s">
        <v>53</v>
      </c>
    </row>
    <row r="3683" ht="15.75" customHeight="1">
      <c r="A3683" s="53" t="s">
        <v>2599</v>
      </c>
      <c r="B3683" s="53" t="s">
        <v>4945</v>
      </c>
      <c r="D3683" s="53" t="s">
        <v>2038</v>
      </c>
      <c r="E3683" s="53" t="s">
        <v>2091</v>
      </c>
      <c r="F3683" s="53" t="s">
        <v>2019</v>
      </c>
      <c r="G3683" s="53" t="s">
        <v>2026</v>
      </c>
      <c r="H3683" s="53">
        <v>1.0</v>
      </c>
      <c r="I3683" s="53">
        <v>0.4019607843137255</v>
      </c>
      <c r="J3683" s="53">
        <v>2.0</v>
      </c>
      <c r="K3683" s="53" t="s">
        <v>53</v>
      </c>
      <c r="L3683" s="53" t="s">
        <v>53</v>
      </c>
    </row>
    <row r="3684" ht="15.75" customHeight="1">
      <c r="A3684" s="53" t="s">
        <v>2599</v>
      </c>
      <c r="B3684" s="53" t="s">
        <v>4945</v>
      </c>
      <c r="D3684" s="53" t="s">
        <v>2038</v>
      </c>
      <c r="E3684" s="53" t="s">
        <v>2092</v>
      </c>
      <c r="F3684" s="53" t="s">
        <v>2019</v>
      </c>
      <c r="G3684" s="53" t="s">
        <v>2024</v>
      </c>
      <c r="H3684" s="53">
        <v>1.0</v>
      </c>
      <c r="I3684" s="53">
        <v>0.4068627450980392</v>
      </c>
      <c r="J3684" s="53">
        <v>0.0</v>
      </c>
      <c r="K3684" s="53" t="s">
        <v>53</v>
      </c>
      <c r="L3684" s="53" t="s">
        <v>53</v>
      </c>
    </row>
    <row r="3685" ht="15.75" customHeight="1">
      <c r="A3685" s="53" t="s">
        <v>2599</v>
      </c>
      <c r="B3685" s="53" t="s">
        <v>4945</v>
      </c>
      <c r="D3685" s="53" t="s">
        <v>2038</v>
      </c>
      <c r="E3685" s="53" t="s">
        <v>2093</v>
      </c>
      <c r="F3685" s="53" t="s">
        <v>2019</v>
      </c>
      <c r="G3685" s="53" t="s">
        <v>2020</v>
      </c>
      <c r="H3685" s="53">
        <v>1.0</v>
      </c>
      <c r="I3685" s="53">
        <v>0.47058823529411764</v>
      </c>
      <c r="J3685" s="53">
        <v>4.0</v>
      </c>
      <c r="K3685" s="53" t="s">
        <v>53</v>
      </c>
      <c r="L3685" s="53" t="s">
        <v>53</v>
      </c>
    </row>
    <row r="3686" ht="15.75" customHeight="1">
      <c r="A3686" s="53" t="s">
        <v>2599</v>
      </c>
      <c r="B3686" s="53" t="s">
        <v>4945</v>
      </c>
      <c r="D3686" s="53" t="s">
        <v>2024</v>
      </c>
      <c r="E3686" s="53" t="s">
        <v>2094</v>
      </c>
      <c r="F3686" s="53" t="s">
        <v>2019</v>
      </c>
      <c r="G3686" s="53" t="s">
        <v>2026</v>
      </c>
      <c r="H3686" s="53">
        <v>1.0</v>
      </c>
      <c r="I3686" s="53">
        <v>0.032</v>
      </c>
      <c r="J3686" s="53">
        <v>1.0</v>
      </c>
      <c r="K3686" s="53" t="s">
        <v>53</v>
      </c>
      <c r="L3686" s="53" t="s">
        <v>53</v>
      </c>
    </row>
    <row r="3687" ht="15.75" customHeight="1">
      <c r="A3687" s="53" t="s">
        <v>2599</v>
      </c>
      <c r="B3687" s="53" t="s">
        <v>4945</v>
      </c>
      <c r="D3687" s="53" t="s">
        <v>2024</v>
      </c>
      <c r="E3687" s="53" t="s">
        <v>2095</v>
      </c>
      <c r="F3687" s="53" t="s">
        <v>2019</v>
      </c>
      <c r="G3687" s="53" t="s">
        <v>2020</v>
      </c>
      <c r="H3687" s="53">
        <v>1.0</v>
      </c>
      <c r="I3687" s="53">
        <v>0.12</v>
      </c>
      <c r="J3687" s="53">
        <v>3.0</v>
      </c>
      <c r="K3687" s="53" t="s">
        <v>53</v>
      </c>
      <c r="L3687" s="53" t="s">
        <v>53</v>
      </c>
    </row>
    <row r="3688" ht="15.75" customHeight="1">
      <c r="A3688" s="53" t="s">
        <v>2599</v>
      </c>
      <c r="B3688" s="53" t="s">
        <v>4945</v>
      </c>
      <c r="D3688" s="53" t="s">
        <v>2024</v>
      </c>
      <c r="E3688" s="53" t="s">
        <v>2096</v>
      </c>
      <c r="F3688" s="53" t="s">
        <v>2019</v>
      </c>
      <c r="G3688" s="53" t="s">
        <v>2030</v>
      </c>
      <c r="H3688" s="53">
        <v>1.0</v>
      </c>
      <c r="I3688" s="53">
        <v>0.16551724137931034</v>
      </c>
      <c r="J3688" s="53">
        <v>4.0</v>
      </c>
      <c r="K3688" s="53" t="s">
        <v>53</v>
      </c>
      <c r="L3688" s="53" t="s">
        <v>53</v>
      </c>
    </row>
    <row r="3689" ht="15.75" customHeight="1">
      <c r="A3689" s="53" t="s">
        <v>2599</v>
      </c>
      <c r="B3689" s="53" t="s">
        <v>4945</v>
      </c>
      <c r="D3689" s="53" t="s">
        <v>2024</v>
      </c>
      <c r="E3689" s="53" t="s">
        <v>2097</v>
      </c>
      <c r="F3689" s="53" t="s">
        <v>2019</v>
      </c>
      <c r="G3689" s="53" t="s">
        <v>2028</v>
      </c>
      <c r="H3689" s="53">
        <v>1.0</v>
      </c>
      <c r="I3689" s="53">
        <v>0.16551724137931034</v>
      </c>
      <c r="J3689" s="53">
        <v>0.0</v>
      </c>
      <c r="K3689" s="53" t="s">
        <v>53</v>
      </c>
      <c r="L3689" s="53" t="s">
        <v>53</v>
      </c>
    </row>
    <row r="3690" ht="15.75" customHeight="1">
      <c r="A3690" s="53" t="s">
        <v>2599</v>
      </c>
      <c r="B3690" s="53" t="s">
        <v>4945</v>
      </c>
      <c r="D3690" s="53" t="s">
        <v>2024</v>
      </c>
      <c r="E3690" s="53" t="s">
        <v>2098</v>
      </c>
      <c r="F3690" s="53" t="s">
        <v>2019</v>
      </c>
      <c r="G3690" s="53" t="s">
        <v>2034</v>
      </c>
      <c r="H3690" s="53">
        <v>1.0</v>
      </c>
      <c r="I3690" s="53">
        <v>0.25</v>
      </c>
      <c r="J3690" s="53">
        <v>2.0</v>
      </c>
      <c r="K3690" s="53" t="s">
        <v>53</v>
      </c>
      <c r="L3690" s="53" t="s">
        <v>53</v>
      </c>
    </row>
    <row r="3691" ht="15.75" customHeight="1">
      <c r="A3691" s="53" t="s">
        <v>2599</v>
      </c>
      <c r="B3691" s="53" t="s">
        <v>4945</v>
      </c>
      <c r="D3691" s="53" t="s">
        <v>2028</v>
      </c>
      <c r="E3691" s="53" t="s">
        <v>2099</v>
      </c>
      <c r="F3691" s="53" t="s">
        <v>2019</v>
      </c>
      <c r="G3691" s="53" t="s">
        <v>2030</v>
      </c>
      <c r="H3691" s="53">
        <v>1.0</v>
      </c>
      <c r="I3691" s="53">
        <v>0.034482758620689655</v>
      </c>
      <c r="J3691" s="53">
        <v>3.0</v>
      </c>
      <c r="K3691" s="53" t="s">
        <v>53</v>
      </c>
      <c r="L3691" s="53" t="s">
        <v>53</v>
      </c>
    </row>
    <row r="3692" ht="15.75" customHeight="1">
      <c r="A3692" s="53" t="s">
        <v>2599</v>
      </c>
      <c r="B3692" s="53" t="s">
        <v>4945</v>
      </c>
      <c r="D3692" s="53" t="s">
        <v>2028</v>
      </c>
      <c r="E3692" s="53" t="s">
        <v>2100</v>
      </c>
      <c r="F3692" s="53" t="s">
        <v>2019</v>
      </c>
      <c r="G3692" s="53" t="s">
        <v>2034</v>
      </c>
      <c r="H3692" s="53">
        <v>1.0</v>
      </c>
      <c r="I3692" s="53">
        <v>0.125</v>
      </c>
      <c r="J3692" s="53">
        <v>1.0</v>
      </c>
      <c r="K3692" s="53" t="s">
        <v>53</v>
      </c>
      <c r="L3692" s="53" t="s">
        <v>53</v>
      </c>
    </row>
    <row r="3693" ht="15.75" customHeight="1">
      <c r="A3693" s="53" t="s">
        <v>2599</v>
      </c>
      <c r="B3693" s="53" t="s">
        <v>4945</v>
      </c>
      <c r="D3693" s="53" t="s">
        <v>2028</v>
      </c>
      <c r="E3693" s="53" t="s">
        <v>2101</v>
      </c>
      <c r="F3693" s="53" t="s">
        <v>2019</v>
      </c>
      <c r="G3693" s="53" t="s">
        <v>2026</v>
      </c>
      <c r="H3693" s="53">
        <v>1.0</v>
      </c>
      <c r="I3693" s="53">
        <v>0.1724137931034483</v>
      </c>
      <c r="J3693" s="53">
        <v>0.0</v>
      </c>
      <c r="K3693" s="53" t="s">
        <v>53</v>
      </c>
      <c r="L3693" s="53" t="s">
        <v>53</v>
      </c>
    </row>
    <row r="3694" ht="15.75" customHeight="1">
      <c r="A3694" s="53" t="s">
        <v>2599</v>
      </c>
      <c r="B3694" s="53" t="s">
        <v>4945</v>
      </c>
      <c r="D3694" s="53" t="s">
        <v>2028</v>
      </c>
      <c r="E3694" s="53" t="s">
        <v>2102</v>
      </c>
      <c r="F3694" s="53" t="s">
        <v>2019</v>
      </c>
      <c r="G3694" s="53" t="s">
        <v>2020</v>
      </c>
      <c r="H3694" s="53">
        <v>1.0</v>
      </c>
      <c r="I3694" s="53">
        <v>0.2482758620689655</v>
      </c>
      <c r="J3694" s="53">
        <v>2.0</v>
      </c>
      <c r="K3694" s="53" t="s">
        <v>53</v>
      </c>
      <c r="L3694" s="53" t="s">
        <v>53</v>
      </c>
    </row>
    <row r="3695" ht="15.75" customHeight="1">
      <c r="A3695" s="53" t="s">
        <v>2599</v>
      </c>
      <c r="B3695" s="53" t="s">
        <v>4945</v>
      </c>
      <c r="D3695" s="53" t="s">
        <v>2026</v>
      </c>
      <c r="E3695" s="53" t="s">
        <v>2103</v>
      </c>
      <c r="F3695" s="53" t="s">
        <v>2019</v>
      </c>
      <c r="G3695" s="53" t="s">
        <v>2020</v>
      </c>
      <c r="H3695" s="53">
        <v>1.0</v>
      </c>
      <c r="I3695" s="53">
        <v>0.13008130081300814</v>
      </c>
      <c r="J3695" s="53">
        <v>1.0</v>
      </c>
      <c r="K3695" s="53" t="s">
        <v>53</v>
      </c>
      <c r="L3695" s="53" t="s">
        <v>53</v>
      </c>
    </row>
    <row r="3696" ht="15.75" customHeight="1">
      <c r="A3696" s="53" t="s">
        <v>2599</v>
      </c>
      <c r="B3696" s="53" t="s">
        <v>4945</v>
      </c>
      <c r="D3696" s="53" t="s">
        <v>2026</v>
      </c>
      <c r="E3696" s="53" t="s">
        <v>2104</v>
      </c>
      <c r="F3696" s="53" t="s">
        <v>2019</v>
      </c>
      <c r="G3696" s="53" t="s">
        <v>2030</v>
      </c>
      <c r="H3696" s="53">
        <v>1.0</v>
      </c>
      <c r="I3696" s="53">
        <v>0.16551724137931034</v>
      </c>
      <c r="J3696" s="53">
        <v>2.0</v>
      </c>
      <c r="K3696" s="53" t="s">
        <v>53</v>
      </c>
      <c r="L3696" s="53" t="s">
        <v>53</v>
      </c>
    </row>
    <row r="3697" ht="15.75" customHeight="1">
      <c r="A3697" s="53" t="s">
        <v>2599</v>
      </c>
      <c r="B3697" s="53" t="s">
        <v>4945</v>
      </c>
      <c r="D3697" s="53" t="s">
        <v>2026</v>
      </c>
      <c r="E3697" s="53" t="s">
        <v>2105</v>
      </c>
      <c r="F3697" s="53" t="s">
        <v>2019</v>
      </c>
      <c r="G3697" s="53" t="s">
        <v>2034</v>
      </c>
      <c r="H3697" s="53">
        <v>1.0</v>
      </c>
      <c r="I3697" s="53">
        <v>0.24375</v>
      </c>
      <c r="J3697" s="53">
        <v>0.0</v>
      </c>
      <c r="K3697" s="53" t="s">
        <v>53</v>
      </c>
      <c r="L3697" s="53" t="s">
        <v>53</v>
      </c>
    </row>
    <row r="3698" ht="15.75" customHeight="1">
      <c r="A3698" s="53" t="s">
        <v>2599</v>
      </c>
      <c r="B3698" s="53" t="s">
        <v>4945</v>
      </c>
      <c r="D3698" s="53" t="s">
        <v>2034</v>
      </c>
      <c r="E3698" s="53" t="s">
        <v>2106</v>
      </c>
      <c r="F3698" s="53" t="s">
        <v>2019</v>
      </c>
      <c r="G3698" s="53" t="s">
        <v>2030</v>
      </c>
      <c r="H3698" s="53">
        <v>1.0</v>
      </c>
      <c r="I3698" s="53">
        <v>0.1125</v>
      </c>
      <c r="J3698" s="53">
        <v>1.0</v>
      </c>
      <c r="K3698" s="53" t="s">
        <v>53</v>
      </c>
      <c r="L3698" s="53" t="s">
        <v>53</v>
      </c>
    </row>
    <row r="3699" ht="15.75" customHeight="1">
      <c r="A3699" s="53" t="s">
        <v>2599</v>
      </c>
      <c r="B3699" s="53" t="s">
        <v>4945</v>
      </c>
      <c r="D3699" s="53" t="s">
        <v>2034</v>
      </c>
      <c r="E3699" s="53" t="s">
        <v>2107</v>
      </c>
      <c r="F3699" s="53" t="s">
        <v>2019</v>
      </c>
      <c r="G3699" s="53" t="s">
        <v>2020</v>
      </c>
      <c r="H3699" s="53">
        <v>1.0</v>
      </c>
      <c r="I3699" s="53">
        <v>0.31875</v>
      </c>
      <c r="J3699" s="53">
        <v>0.0</v>
      </c>
      <c r="K3699" s="53" t="s">
        <v>53</v>
      </c>
      <c r="L3699" s="53" t="s">
        <v>53</v>
      </c>
    </row>
    <row r="3700" ht="15.75" customHeight="1">
      <c r="A3700" s="53" t="s">
        <v>2599</v>
      </c>
      <c r="B3700" s="53" t="s">
        <v>4945</v>
      </c>
      <c r="D3700" s="53" t="s">
        <v>2020</v>
      </c>
      <c r="E3700" s="53" t="s">
        <v>2108</v>
      </c>
      <c r="F3700" s="53" t="s">
        <v>2019</v>
      </c>
      <c r="G3700" s="53" t="s">
        <v>2030</v>
      </c>
      <c r="H3700" s="53">
        <v>1.0</v>
      </c>
      <c r="I3700" s="53">
        <v>0.2482758620689655</v>
      </c>
      <c r="J3700" s="53">
        <v>0.0</v>
      </c>
      <c r="K3700" s="53" t="s">
        <v>53</v>
      </c>
      <c r="L3700" s="53" t="s">
        <v>53</v>
      </c>
    </row>
    <row r="3701" ht="15.75" customHeight="1">
      <c r="A3701" s="53" t="s">
        <v>2599</v>
      </c>
      <c r="B3701" s="53" t="s">
        <v>4945</v>
      </c>
      <c r="D3701" s="53" t="s">
        <v>2109</v>
      </c>
      <c r="E3701" s="53" t="s">
        <v>5095</v>
      </c>
      <c r="F3701" s="53" t="s">
        <v>5096</v>
      </c>
      <c r="G3701" s="53" t="s">
        <v>2112</v>
      </c>
      <c r="H3701" s="53">
        <v>1.0</v>
      </c>
      <c r="I3701" s="53">
        <v>0.6005830903790087</v>
      </c>
      <c r="J3701" s="53">
        <v>4.0</v>
      </c>
      <c r="K3701" s="53" t="s">
        <v>53</v>
      </c>
      <c r="L3701" s="53" t="s">
        <v>53</v>
      </c>
    </row>
    <row r="3702" ht="15.75" customHeight="1">
      <c r="A3702" s="53" t="s">
        <v>2599</v>
      </c>
      <c r="B3702" s="53" t="s">
        <v>4945</v>
      </c>
      <c r="D3702" s="53" t="s">
        <v>2109</v>
      </c>
      <c r="E3702" s="53" t="s">
        <v>5097</v>
      </c>
      <c r="F3702" s="53" t="s">
        <v>5098</v>
      </c>
      <c r="G3702" s="53" t="s">
        <v>2115</v>
      </c>
      <c r="H3702" s="53">
        <v>1.0</v>
      </c>
      <c r="I3702" s="53">
        <v>0.685131195335277</v>
      </c>
      <c r="J3702" s="53">
        <v>5.0</v>
      </c>
      <c r="K3702" s="53" t="s">
        <v>53</v>
      </c>
      <c r="L3702" s="53" t="s">
        <v>53</v>
      </c>
    </row>
    <row r="3703" ht="15.75" customHeight="1">
      <c r="A3703" s="53" t="s">
        <v>2599</v>
      </c>
      <c r="B3703" s="53" t="s">
        <v>4945</v>
      </c>
      <c r="D3703" s="53" t="s">
        <v>2109</v>
      </c>
      <c r="E3703" s="53" t="s">
        <v>5099</v>
      </c>
      <c r="F3703" s="53" t="s">
        <v>5098</v>
      </c>
      <c r="G3703" s="53" t="s">
        <v>2117</v>
      </c>
      <c r="H3703" s="53">
        <v>1.0</v>
      </c>
      <c r="I3703" s="53">
        <v>0.685131195335277</v>
      </c>
      <c r="J3703" s="53">
        <v>1.0</v>
      </c>
      <c r="K3703" s="53" t="s">
        <v>53</v>
      </c>
      <c r="L3703" s="53" t="s">
        <v>53</v>
      </c>
    </row>
    <row r="3704" ht="15.75" customHeight="1">
      <c r="A3704" s="53" t="s">
        <v>2599</v>
      </c>
      <c r="B3704" s="53" t="s">
        <v>4945</v>
      </c>
      <c r="D3704" s="53" t="s">
        <v>2109</v>
      </c>
      <c r="E3704" s="53" t="s">
        <v>5100</v>
      </c>
      <c r="F3704" s="53" t="s">
        <v>5098</v>
      </c>
      <c r="G3704" s="53" t="s">
        <v>2119</v>
      </c>
      <c r="H3704" s="53">
        <v>1.0</v>
      </c>
      <c r="I3704" s="53">
        <v>0.6880466472303207</v>
      </c>
      <c r="J3704" s="53">
        <v>0.0</v>
      </c>
      <c r="K3704" s="53" t="s">
        <v>53</v>
      </c>
      <c r="L3704" s="53" t="s">
        <v>53</v>
      </c>
    </row>
    <row r="3705" ht="15.75" customHeight="1">
      <c r="A3705" s="53" t="s">
        <v>2599</v>
      </c>
      <c r="B3705" s="53" t="s">
        <v>4945</v>
      </c>
      <c r="D3705" s="53" t="s">
        <v>2109</v>
      </c>
      <c r="E3705" s="53" t="s">
        <v>5101</v>
      </c>
      <c r="F3705" s="53" t="s">
        <v>5098</v>
      </c>
      <c r="G3705" s="53" t="s">
        <v>2121</v>
      </c>
      <c r="H3705" s="53">
        <v>1.0</v>
      </c>
      <c r="I3705" s="53">
        <v>0.6909620991253644</v>
      </c>
      <c r="J3705" s="53">
        <v>9.0</v>
      </c>
      <c r="K3705" s="53" t="s">
        <v>53</v>
      </c>
      <c r="L3705" s="53" t="s">
        <v>53</v>
      </c>
    </row>
    <row r="3706" ht="15.75" customHeight="1">
      <c r="A3706" s="53" t="s">
        <v>2599</v>
      </c>
      <c r="B3706" s="53" t="s">
        <v>4945</v>
      </c>
      <c r="D3706" s="53" t="s">
        <v>2109</v>
      </c>
      <c r="E3706" s="53" t="s">
        <v>5102</v>
      </c>
      <c r="F3706" s="53" t="s">
        <v>5103</v>
      </c>
      <c r="G3706" s="53" t="s">
        <v>2124</v>
      </c>
      <c r="H3706" s="53">
        <v>1.0</v>
      </c>
      <c r="I3706" s="53">
        <v>0.7667638483965015</v>
      </c>
      <c r="J3706" s="53">
        <v>6.0</v>
      </c>
      <c r="K3706" s="53" t="s">
        <v>53</v>
      </c>
      <c r="L3706" s="53" t="s">
        <v>53</v>
      </c>
    </row>
    <row r="3707" ht="15.75" customHeight="1">
      <c r="A3707" s="53" t="s">
        <v>2599</v>
      </c>
      <c r="B3707" s="53" t="s">
        <v>4945</v>
      </c>
      <c r="D3707" s="53" t="s">
        <v>2109</v>
      </c>
      <c r="E3707" s="53" t="s">
        <v>5104</v>
      </c>
      <c r="F3707" s="53" t="s">
        <v>5103</v>
      </c>
      <c r="G3707" s="53" t="s">
        <v>2126</v>
      </c>
      <c r="H3707" s="53">
        <v>1.0</v>
      </c>
      <c r="I3707" s="53">
        <v>0.7711370262390671</v>
      </c>
      <c r="J3707" s="53">
        <v>7.0</v>
      </c>
      <c r="K3707" s="53" t="s">
        <v>53</v>
      </c>
      <c r="L3707" s="53" t="s">
        <v>53</v>
      </c>
    </row>
    <row r="3708" ht="15.75" customHeight="1">
      <c r="A3708" s="53" t="s">
        <v>2599</v>
      </c>
      <c r="B3708" s="53" t="s">
        <v>4945</v>
      </c>
      <c r="D3708" s="53" t="s">
        <v>2109</v>
      </c>
      <c r="E3708" s="53" t="s">
        <v>5105</v>
      </c>
      <c r="F3708" s="53" t="s">
        <v>5103</v>
      </c>
      <c r="G3708" s="53" t="s">
        <v>2128</v>
      </c>
      <c r="H3708" s="53">
        <v>1.0</v>
      </c>
      <c r="I3708" s="53">
        <v>0.7842565597667639</v>
      </c>
      <c r="J3708" s="53">
        <v>10.0</v>
      </c>
      <c r="K3708" s="53" t="s">
        <v>53</v>
      </c>
      <c r="L3708" s="53" t="s">
        <v>53</v>
      </c>
    </row>
    <row r="3709" ht="15.75" customHeight="1">
      <c r="A3709" s="53" t="s">
        <v>2599</v>
      </c>
      <c r="B3709" s="53" t="s">
        <v>4945</v>
      </c>
      <c r="D3709" s="53" t="s">
        <v>2109</v>
      </c>
      <c r="E3709" s="53" t="s">
        <v>5106</v>
      </c>
      <c r="F3709" s="53" t="s">
        <v>5103</v>
      </c>
      <c r="G3709" s="53" t="s">
        <v>2130</v>
      </c>
      <c r="H3709" s="53">
        <v>1.0</v>
      </c>
      <c r="I3709" s="53">
        <v>0.7871720116618076</v>
      </c>
      <c r="J3709" s="53">
        <v>11.0</v>
      </c>
      <c r="K3709" s="53" t="s">
        <v>53</v>
      </c>
      <c r="L3709" s="53" t="s">
        <v>53</v>
      </c>
    </row>
    <row r="3710" ht="15.75" customHeight="1">
      <c r="A3710" s="53" t="s">
        <v>2599</v>
      </c>
      <c r="B3710" s="53" t="s">
        <v>4945</v>
      </c>
      <c r="D3710" s="53" t="s">
        <v>2109</v>
      </c>
      <c r="E3710" s="53" t="s">
        <v>5107</v>
      </c>
      <c r="F3710" s="53" t="s">
        <v>5108</v>
      </c>
      <c r="G3710" s="53" t="s">
        <v>2133</v>
      </c>
      <c r="H3710" s="53">
        <v>1.0</v>
      </c>
      <c r="I3710" s="53">
        <v>0.8600583090379009</v>
      </c>
      <c r="J3710" s="53">
        <v>12.0</v>
      </c>
      <c r="K3710" s="53" t="s">
        <v>53</v>
      </c>
      <c r="L3710" s="53" t="s">
        <v>5109</v>
      </c>
    </row>
    <row r="3711" ht="15.75" customHeight="1">
      <c r="A3711" s="53" t="s">
        <v>2599</v>
      </c>
      <c r="B3711" s="53" t="s">
        <v>4945</v>
      </c>
      <c r="D3711" s="53" t="s">
        <v>2109</v>
      </c>
      <c r="E3711" s="53" t="s">
        <v>5110</v>
      </c>
      <c r="F3711" s="53" t="s">
        <v>5108</v>
      </c>
      <c r="G3711" s="53" t="s">
        <v>2136</v>
      </c>
      <c r="H3711" s="53">
        <v>1.0</v>
      </c>
      <c r="I3711" s="53">
        <v>0.8644314868804664</v>
      </c>
      <c r="J3711" s="53">
        <v>3.0</v>
      </c>
      <c r="K3711" s="53" t="s">
        <v>53</v>
      </c>
      <c r="L3711" s="53" t="s">
        <v>5109</v>
      </c>
    </row>
    <row r="3712" ht="15.75" customHeight="1">
      <c r="A3712" s="53" t="s">
        <v>2599</v>
      </c>
      <c r="B3712" s="53" t="s">
        <v>4945</v>
      </c>
      <c r="D3712" s="53" t="s">
        <v>2109</v>
      </c>
      <c r="E3712" s="53" t="s">
        <v>5111</v>
      </c>
      <c r="F3712" s="53" t="s">
        <v>5108</v>
      </c>
      <c r="G3712" s="53" t="s">
        <v>52</v>
      </c>
      <c r="H3712" s="53">
        <v>1.0</v>
      </c>
      <c r="I3712" s="53">
        <v>0.8717201166180758</v>
      </c>
      <c r="J3712" s="53">
        <v>2.0</v>
      </c>
      <c r="K3712" s="53" t="s">
        <v>53</v>
      </c>
      <c r="L3712" s="53" t="s">
        <v>5109</v>
      </c>
    </row>
    <row r="3713" ht="15.75" customHeight="1">
      <c r="A3713" s="53" t="s">
        <v>2599</v>
      </c>
      <c r="B3713" s="53" t="s">
        <v>4945</v>
      </c>
      <c r="D3713" s="53" t="s">
        <v>2109</v>
      </c>
      <c r="E3713" s="53" t="s">
        <v>5112</v>
      </c>
      <c r="F3713" s="53" t="s">
        <v>5108</v>
      </c>
      <c r="G3713" s="53" t="s">
        <v>46</v>
      </c>
      <c r="H3713" s="53">
        <v>1.0</v>
      </c>
      <c r="I3713" s="53">
        <v>0.8731778425655977</v>
      </c>
      <c r="J3713" s="53">
        <v>8.0</v>
      </c>
      <c r="K3713" s="53" t="s">
        <v>53</v>
      </c>
      <c r="L3713" s="53" t="s">
        <v>5109</v>
      </c>
    </row>
    <row r="3714" ht="15.75" customHeight="1">
      <c r="A3714" s="53" t="s">
        <v>2599</v>
      </c>
      <c r="B3714" s="53" t="s">
        <v>4945</v>
      </c>
      <c r="D3714" s="53" t="s">
        <v>2119</v>
      </c>
      <c r="E3714" s="53" t="s">
        <v>5113</v>
      </c>
      <c r="F3714" s="53" t="s">
        <v>5114</v>
      </c>
      <c r="G3714" s="53" t="s">
        <v>2121</v>
      </c>
      <c r="H3714" s="53">
        <v>1.0</v>
      </c>
      <c r="I3714" s="53">
        <v>0.06306306306306306</v>
      </c>
      <c r="J3714" s="53">
        <v>8.0</v>
      </c>
      <c r="K3714" s="53" t="s">
        <v>53</v>
      </c>
      <c r="L3714" s="53" t="s">
        <v>53</v>
      </c>
    </row>
    <row r="3715" ht="15.75" customHeight="1">
      <c r="A3715" s="53" t="s">
        <v>2599</v>
      </c>
      <c r="B3715" s="53" t="s">
        <v>4945</v>
      </c>
      <c r="D3715" s="53" t="s">
        <v>2119</v>
      </c>
      <c r="E3715" s="53" t="s">
        <v>5115</v>
      </c>
      <c r="F3715" s="53" t="s">
        <v>5114</v>
      </c>
      <c r="G3715" s="53" t="s">
        <v>2117</v>
      </c>
      <c r="H3715" s="53">
        <v>1.0</v>
      </c>
      <c r="I3715" s="53">
        <v>0.08370044052863436</v>
      </c>
      <c r="J3715" s="53">
        <v>0.0</v>
      </c>
      <c r="K3715" s="53" t="s">
        <v>53</v>
      </c>
      <c r="L3715" s="53" t="s">
        <v>53</v>
      </c>
    </row>
    <row r="3716" ht="15.75" customHeight="1">
      <c r="A3716" s="53" t="s">
        <v>2599</v>
      </c>
      <c r="B3716" s="53" t="s">
        <v>4945</v>
      </c>
      <c r="D3716" s="53" t="s">
        <v>2119</v>
      </c>
      <c r="E3716" s="53" t="s">
        <v>5116</v>
      </c>
      <c r="F3716" s="53" t="s">
        <v>5114</v>
      </c>
      <c r="G3716" s="53" t="s">
        <v>2115</v>
      </c>
      <c r="H3716" s="53">
        <v>1.0</v>
      </c>
      <c r="I3716" s="53">
        <v>0.10775862068965517</v>
      </c>
      <c r="J3716" s="53">
        <v>4.0</v>
      </c>
      <c r="K3716" s="53" t="s">
        <v>53</v>
      </c>
      <c r="L3716" s="53" t="s">
        <v>53</v>
      </c>
    </row>
    <row r="3717" ht="15.75" customHeight="1">
      <c r="A3717" s="53" t="s">
        <v>2599</v>
      </c>
      <c r="B3717" s="53" t="s">
        <v>4945</v>
      </c>
      <c r="D3717" s="53" t="s">
        <v>2119</v>
      </c>
      <c r="E3717" s="53" t="s">
        <v>5117</v>
      </c>
      <c r="F3717" s="53" t="s">
        <v>5118</v>
      </c>
      <c r="G3717" s="53" t="s">
        <v>2112</v>
      </c>
      <c r="H3717" s="53">
        <v>1.0</v>
      </c>
      <c r="I3717" s="53">
        <v>0.26148409893992935</v>
      </c>
      <c r="J3717" s="53">
        <v>3.0</v>
      </c>
      <c r="K3717" s="53" t="s">
        <v>53</v>
      </c>
      <c r="L3717" s="53" t="s">
        <v>53</v>
      </c>
    </row>
    <row r="3718" ht="15.75" customHeight="1">
      <c r="A3718" s="53" t="s">
        <v>2599</v>
      </c>
      <c r="B3718" s="53" t="s">
        <v>4945</v>
      </c>
      <c r="D3718" s="53" t="s">
        <v>2119</v>
      </c>
      <c r="E3718" s="53" t="s">
        <v>5119</v>
      </c>
      <c r="F3718" s="53" t="s">
        <v>5120</v>
      </c>
      <c r="G3718" s="53" t="s">
        <v>2124</v>
      </c>
      <c r="H3718" s="53">
        <v>1.0</v>
      </c>
      <c r="I3718" s="53">
        <v>0.3013698630136986</v>
      </c>
      <c r="J3718" s="53">
        <v>5.0</v>
      </c>
      <c r="K3718" s="53" t="s">
        <v>53</v>
      </c>
      <c r="L3718" s="53" t="s">
        <v>53</v>
      </c>
    </row>
    <row r="3719" ht="15.75" customHeight="1">
      <c r="A3719" s="53" t="s">
        <v>2599</v>
      </c>
      <c r="B3719" s="53" t="s">
        <v>4945</v>
      </c>
      <c r="D3719" s="53" t="s">
        <v>2119</v>
      </c>
      <c r="E3719" s="53" t="s">
        <v>5121</v>
      </c>
      <c r="F3719" s="53" t="s">
        <v>5120</v>
      </c>
      <c r="G3719" s="53" t="s">
        <v>2126</v>
      </c>
      <c r="H3719" s="53">
        <v>1.0</v>
      </c>
      <c r="I3719" s="53">
        <v>0.3059360730593607</v>
      </c>
      <c r="J3719" s="53">
        <v>6.0</v>
      </c>
      <c r="K3719" s="53" t="s">
        <v>53</v>
      </c>
      <c r="L3719" s="53" t="s">
        <v>53</v>
      </c>
    </row>
    <row r="3720" ht="15.75" customHeight="1">
      <c r="A3720" s="53" t="s">
        <v>2599</v>
      </c>
      <c r="B3720" s="53" t="s">
        <v>4945</v>
      </c>
      <c r="D3720" s="53" t="s">
        <v>2119</v>
      </c>
      <c r="E3720" s="53" t="s">
        <v>5122</v>
      </c>
      <c r="F3720" s="53" t="s">
        <v>5120</v>
      </c>
      <c r="G3720" s="53" t="s">
        <v>2128</v>
      </c>
      <c r="H3720" s="53">
        <v>1.0</v>
      </c>
      <c r="I3720" s="53">
        <v>0.3242009132420091</v>
      </c>
      <c r="J3720" s="53">
        <v>9.0</v>
      </c>
      <c r="K3720" s="53" t="s">
        <v>53</v>
      </c>
      <c r="L3720" s="53" t="s">
        <v>53</v>
      </c>
    </row>
    <row r="3721" ht="15.75" customHeight="1">
      <c r="A3721" s="53" t="s">
        <v>2599</v>
      </c>
      <c r="B3721" s="53" t="s">
        <v>4945</v>
      </c>
      <c r="D3721" s="53" t="s">
        <v>2119</v>
      </c>
      <c r="E3721" s="53" t="s">
        <v>5123</v>
      </c>
      <c r="F3721" s="53" t="s">
        <v>5120</v>
      </c>
      <c r="G3721" s="53" t="s">
        <v>2130</v>
      </c>
      <c r="H3721" s="53">
        <v>1.0</v>
      </c>
      <c r="I3721" s="53">
        <v>0.3333333333333333</v>
      </c>
      <c r="J3721" s="53">
        <v>10.0</v>
      </c>
      <c r="K3721" s="53" t="s">
        <v>53</v>
      </c>
      <c r="L3721" s="53" t="s">
        <v>53</v>
      </c>
    </row>
    <row r="3722" ht="15.75" customHeight="1">
      <c r="A3722" s="53" t="s">
        <v>2599</v>
      </c>
      <c r="B3722" s="53" t="s">
        <v>4945</v>
      </c>
      <c r="D3722" s="53" t="s">
        <v>2119</v>
      </c>
      <c r="E3722" s="53" t="s">
        <v>5124</v>
      </c>
      <c r="F3722" s="53" t="s">
        <v>5125</v>
      </c>
      <c r="G3722" s="53" t="s">
        <v>2136</v>
      </c>
      <c r="H3722" s="53">
        <v>1.0</v>
      </c>
      <c r="I3722" s="53">
        <v>0.5707762557077626</v>
      </c>
      <c r="J3722" s="53">
        <v>2.0</v>
      </c>
      <c r="K3722" s="53" t="s">
        <v>53</v>
      </c>
      <c r="L3722" s="53" t="s">
        <v>5109</v>
      </c>
    </row>
    <row r="3723" ht="15.75" customHeight="1">
      <c r="A3723" s="53" t="s">
        <v>2599</v>
      </c>
      <c r="B3723" s="53" t="s">
        <v>4945</v>
      </c>
      <c r="D3723" s="53" t="s">
        <v>2119</v>
      </c>
      <c r="E3723" s="53" t="s">
        <v>5126</v>
      </c>
      <c r="F3723" s="53" t="s">
        <v>5125</v>
      </c>
      <c r="G3723" s="53" t="s">
        <v>2133</v>
      </c>
      <c r="H3723" s="53">
        <v>1.0</v>
      </c>
      <c r="I3723" s="53">
        <v>0.5707762557077626</v>
      </c>
      <c r="J3723" s="53">
        <v>11.0</v>
      </c>
      <c r="K3723" s="53" t="s">
        <v>53</v>
      </c>
      <c r="L3723" s="53" t="s">
        <v>5109</v>
      </c>
    </row>
    <row r="3724" ht="15.75" customHeight="1">
      <c r="A3724" s="53" t="s">
        <v>2599</v>
      </c>
      <c r="B3724" s="53" t="s">
        <v>4945</v>
      </c>
      <c r="D3724" s="53" t="s">
        <v>2119</v>
      </c>
      <c r="E3724" s="53" t="s">
        <v>5127</v>
      </c>
      <c r="F3724" s="53" t="s">
        <v>5125</v>
      </c>
      <c r="G3724" s="53" t="s">
        <v>52</v>
      </c>
      <c r="H3724" s="53">
        <v>1.0</v>
      </c>
      <c r="I3724" s="53">
        <v>0.5981735159817352</v>
      </c>
      <c r="J3724" s="53">
        <v>1.0</v>
      </c>
      <c r="K3724" s="53" t="s">
        <v>53</v>
      </c>
      <c r="L3724" s="53" t="s">
        <v>5109</v>
      </c>
    </row>
    <row r="3725" ht="15.75" customHeight="1">
      <c r="A3725" s="53" t="s">
        <v>2599</v>
      </c>
      <c r="B3725" s="53" t="s">
        <v>4945</v>
      </c>
      <c r="D3725" s="53" t="s">
        <v>2119</v>
      </c>
      <c r="E3725" s="53" t="s">
        <v>5128</v>
      </c>
      <c r="F3725" s="53" t="s">
        <v>5125</v>
      </c>
      <c r="G3725" s="53" t="s">
        <v>46</v>
      </c>
      <c r="H3725" s="53">
        <v>1.0</v>
      </c>
      <c r="I3725" s="53">
        <v>0.6027397260273972</v>
      </c>
      <c r="J3725" s="53">
        <v>7.0</v>
      </c>
      <c r="K3725" s="53" t="s">
        <v>53</v>
      </c>
      <c r="L3725" s="53" t="s">
        <v>5109</v>
      </c>
    </row>
    <row r="3726" ht="15.75" customHeight="1">
      <c r="A3726" s="53" t="s">
        <v>2599</v>
      </c>
      <c r="B3726" s="53" t="s">
        <v>4945</v>
      </c>
      <c r="D3726" s="53" t="s">
        <v>2117</v>
      </c>
      <c r="E3726" s="53" t="s">
        <v>5129</v>
      </c>
      <c r="F3726" s="53" t="s">
        <v>5114</v>
      </c>
      <c r="G3726" s="53" t="s">
        <v>2115</v>
      </c>
      <c r="H3726" s="53">
        <v>1.0</v>
      </c>
      <c r="I3726" s="53">
        <v>0.06896551724137931</v>
      </c>
      <c r="J3726" s="53">
        <v>3.0</v>
      </c>
      <c r="K3726" s="53" t="s">
        <v>53</v>
      </c>
      <c r="L3726" s="53" t="s">
        <v>53</v>
      </c>
    </row>
    <row r="3727" ht="15.75" customHeight="1">
      <c r="A3727" s="53" t="s">
        <v>2599</v>
      </c>
      <c r="B3727" s="53" t="s">
        <v>4945</v>
      </c>
      <c r="D3727" s="53" t="s">
        <v>2117</v>
      </c>
      <c r="E3727" s="53" t="s">
        <v>5130</v>
      </c>
      <c r="F3727" s="53" t="s">
        <v>5114</v>
      </c>
      <c r="G3727" s="53" t="s">
        <v>2121</v>
      </c>
      <c r="H3727" s="53">
        <v>1.0</v>
      </c>
      <c r="I3727" s="53">
        <v>0.08370044052863436</v>
      </c>
      <c r="J3727" s="53">
        <v>7.0</v>
      </c>
      <c r="K3727" s="53" t="s">
        <v>53</v>
      </c>
      <c r="L3727" s="53" t="s">
        <v>53</v>
      </c>
    </row>
    <row r="3728" ht="15.75" customHeight="1">
      <c r="A3728" s="53" t="s">
        <v>2599</v>
      </c>
      <c r="B3728" s="53" t="s">
        <v>4945</v>
      </c>
      <c r="D3728" s="53" t="s">
        <v>2117</v>
      </c>
      <c r="E3728" s="53" t="s">
        <v>5131</v>
      </c>
      <c r="F3728" s="53" t="s">
        <v>5118</v>
      </c>
      <c r="G3728" s="53" t="s">
        <v>2112</v>
      </c>
      <c r="H3728" s="53">
        <v>1.0</v>
      </c>
      <c r="I3728" s="53">
        <v>0.2508833922261484</v>
      </c>
      <c r="J3728" s="53">
        <v>2.0</v>
      </c>
      <c r="K3728" s="53" t="s">
        <v>53</v>
      </c>
      <c r="L3728" s="53" t="s">
        <v>53</v>
      </c>
    </row>
    <row r="3729" ht="15.75" customHeight="1">
      <c r="A3729" s="53" t="s">
        <v>2599</v>
      </c>
      <c r="B3729" s="53" t="s">
        <v>4945</v>
      </c>
      <c r="D3729" s="53" t="s">
        <v>2117</v>
      </c>
      <c r="E3729" s="53" t="s">
        <v>5132</v>
      </c>
      <c r="F3729" s="53" t="s">
        <v>5120</v>
      </c>
      <c r="G3729" s="53" t="s">
        <v>2124</v>
      </c>
      <c r="H3729" s="53">
        <v>1.0</v>
      </c>
      <c r="I3729" s="53">
        <v>0.29955947136563876</v>
      </c>
      <c r="J3729" s="53">
        <v>4.0</v>
      </c>
      <c r="K3729" s="53" t="s">
        <v>53</v>
      </c>
      <c r="L3729" s="53" t="s">
        <v>53</v>
      </c>
    </row>
    <row r="3730" ht="15.75" customHeight="1">
      <c r="A3730" s="53" t="s">
        <v>2599</v>
      </c>
      <c r="B3730" s="53" t="s">
        <v>4945</v>
      </c>
      <c r="D3730" s="53" t="s">
        <v>2117</v>
      </c>
      <c r="E3730" s="53" t="s">
        <v>5133</v>
      </c>
      <c r="F3730" s="53" t="s">
        <v>5120</v>
      </c>
      <c r="G3730" s="53" t="s">
        <v>2126</v>
      </c>
      <c r="H3730" s="53">
        <v>1.0</v>
      </c>
      <c r="I3730" s="53">
        <v>0.3039647577092511</v>
      </c>
      <c r="J3730" s="53">
        <v>5.0</v>
      </c>
      <c r="K3730" s="53" t="s">
        <v>53</v>
      </c>
      <c r="L3730" s="53" t="s">
        <v>53</v>
      </c>
    </row>
    <row r="3731" ht="15.75" customHeight="1">
      <c r="A3731" s="53" t="s">
        <v>2599</v>
      </c>
      <c r="B3731" s="53" t="s">
        <v>4945</v>
      </c>
      <c r="D3731" s="53" t="s">
        <v>2117</v>
      </c>
      <c r="E3731" s="53" t="s">
        <v>5134</v>
      </c>
      <c r="F3731" s="53" t="s">
        <v>5120</v>
      </c>
      <c r="G3731" s="53" t="s">
        <v>2128</v>
      </c>
      <c r="H3731" s="53">
        <v>1.0</v>
      </c>
      <c r="I3731" s="53">
        <v>0.3436123348017621</v>
      </c>
      <c r="J3731" s="53">
        <v>8.0</v>
      </c>
      <c r="K3731" s="53" t="s">
        <v>53</v>
      </c>
      <c r="L3731" s="53" t="s">
        <v>53</v>
      </c>
    </row>
    <row r="3732" ht="15.75" customHeight="1">
      <c r="A3732" s="53" t="s">
        <v>2599</v>
      </c>
      <c r="B3732" s="53" t="s">
        <v>4945</v>
      </c>
      <c r="D3732" s="53" t="s">
        <v>2117</v>
      </c>
      <c r="E3732" s="53" t="s">
        <v>5135</v>
      </c>
      <c r="F3732" s="53" t="s">
        <v>5120</v>
      </c>
      <c r="G3732" s="53" t="s">
        <v>2130</v>
      </c>
      <c r="H3732" s="53">
        <v>1.0</v>
      </c>
      <c r="I3732" s="53">
        <v>0.3524229074889868</v>
      </c>
      <c r="J3732" s="53">
        <v>9.0</v>
      </c>
      <c r="K3732" s="53" t="s">
        <v>53</v>
      </c>
      <c r="L3732" s="53" t="s">
        <v>53</v>
      </c>
    </row>
    <row r="3733" ht="15.75" customHeight="1">
      <c r="A3733" s="53" t="s">
        <v>2599</v>
      </c>
      <c r="B3733" s="53" t="s">
        <v>4945</v>
      </c>
      <c r="D3733" s="53" t="s">
        <v>2117</v>
      </c>
      <c r="E3733" s="53" t="s">
        <v>5136</v>
      </c>
      <c r="F3733" s="53" t="s">
        <v>5125</v>
      </c>
      <c r="G3733" s="53" t="s">
        <v>2133</v>
      </c>
      <c r="H3733" s="53">
        <v>1.0</v>
      </c>
      <c r="I3733" s="53">
        <v>0.5859030837004405</v>
      </c>
      <c r="J3733" s="53">
        <v>10.0</v>
      </c>
      <c r="K3733" s="53" t="s">
        <v>53</v>
      </c>
      <c r="L3733" s="53" t="s">
        <v>5109</v>
      </c>
    </row>
    <row r="3734" ht="15.75" customHeight="1">
      <c r="A3734" s="53" t="s">
        <v>2599</v>
      </c>
      <c r="B3734" s="53" t="s">
        <v>4945</v>
      </c>
      <c r="D3734" s="53" t="s">
        <v>2117</v>
      </c>
      <c r="E3734" s="53" t="s">
        <v>5137</v>
      </c>
      <c r="F3734" s="53" t="s">
        <v>5125</v>
      </c>
      <c r="G3734" s="53" t="s">
        <v>2136</v>
      </c>
      <c r="H3734" s="53">
        <v>1.0</v>
      </c>
      <c r="I3734" s="53">
        <v>0.5947136563876652</v>
      </c>
      <c r="J3734" s="53">
        <v>1.0</v>
      </c>
      <c r="K3734" s="53" t="s">
        <v>53</v>
      </c>
      <c r="L3734" s="53" t="s">
        <v>5109</v>
      </c>
    </row>
    <row r="3735" ht="15.75" customHeight="1">
      <c r="A3735" s="53" t="s">
        <v>2599</v>
      </c>
      <c r="B3735" s="53" t="s">
        <v>4945</v>
      </c>
      <c r="D3735" s="53" t="s">
        <v>2117</v>
      </c>
      <c r="E3735" s="53" t="s">
        <v>5138</v>
      </c>
      <c r="F3735" s="53" t="s">
        <v>5125</v>
      </c>
      <c r="G3735" s="53" t="s">
        <v>46</v>
      </c>
      <c r="H3735" s="53">
        <v>1.0</v>
      </c>
      <c r="I3735" s="53">
        <v>0.6123348017621145</v>
      </c>
      <c r="J3735" s="53">
        <v>6.0</v>
      </c>
      <c r="K3735" s="53" t="s">
        <v>53</v>
      </c>
      <c r="L3735" s="53" t="s">
        <v>5109</v>
      </c>
    </row>
    <row r="3736" ht="15.75" customHeight="1">
      <c r="A3736" s="53" t="s">
        <v>2599</v>
      </c>
      <c r="B3736" s="53" t="s">
        <v>4945</v>
      </c>
      <c r="D3736" s="53" t="s">
        <v>2117</v>
      </c>
      <c r="E3736" s="53" t="s">
        <v>5139</v>
      </c>
      <c r="F3736" s="53" t="s">
        <v>5125</v>
      </c>
      <c r="G3736" s="53" t="s">
        <v>52</v>
      </c>
      <c r="H3736" s="53">
        <v>1.0</v>
      </c>
      <c r="I3736" s="53">
        <v>0.6167400881057269</v>
      </c>
      <c r="J3736" s="53">
        <v>0.0</v>
      </c>
      <c r="K3736" s="53" t="s">
        <v>53</v>
      </c>
      <c r="L3736" s="53" t="s">
        <v>5109</v>
      </c>
    </row>
    <row r="3737" ht="15.75" customHeight="1">
      <c r="A3737" s="53" t="s">
        <v>2599</v>
      </c>
      <c r="B3737" s="53" t="s">
        <v>4945</v>
      </c>
      <c r="D3737" s="53" t="s">
        <v>52</v>
      </c>
      <c r="E3737" s="53" t="s">
        <v>5140</v>
      </c>
      <c r="F3737" s="53" t="s">
        <v>5141</v>
      </c>
      <c r="G3737" s="53" t="s">
        <v>46</v>
      </c>
      <c r="H3737" s="53">
        <v>1.0</v>
      </c>
      <c r="I3737" s="53">
        <v>0.05434782608695652</v>
      </c>
      <c r="J3737" s="53">
        <v>5.0</v>
      </c>
      <c r="K3737" s="53" t="s">
        <v>53</v>
      </c>
      <c r="L3737" s="53" t="s">
        <v>53</v>
      </c>
    </row>
    <row r="3738" ht="15.75" customHeight="1">
      <c r="A3738" s="53" t="s">
        <v>2599</v>
      </c>
      <c r="B3738" s="53" t="s">
        <v>4945</v>
      </c>
      <c r="D3738" s="53" t="s">
        <v>52</v>
      </c>
      <c r="E3738" s="53" t="s">
        <v>5142</v>
      </c>
      <c r="F3738" s="53" t="s">
        <v>5141</v>
      </c>
      <c r="G3738" s="53" t="s">
        <v>2136</v>
      </c>
      <c r="H3738" s="53">
        <v>1.0</v>
      </c>
      <c r="I3738" s="53">
        <v>0.10101010101010101</v>
      </c>
      <c r="J3738" s="53">
        <v>0.0</v>
      </c>
      <c r="K3738" s="53" t="s">
        <v>53</v>
      </c>
      <c r="L3738" s="53" t="s">
        <v>53</v>
      </c>
    </row>
    <row r="3739" ht="15.75" customHeight="1">
      <c r="A3739" s="53" t="s">
        <v>2599</v>
      </c>
      <c r="B3739" s="53" t="s">
        <v>4945</v>
      </c>
      <c r="D3739" s="53" t="s">
        <v>52</v>
      </c>
      <c r="E3739" s="53" t="s">
        <v>5143</v>
      </c>
      <c r="F3739" s="53" t="s">
        <v>5141</v>
      </c>
      <c r="G3739" s="53" t="s">
        <v>2133</v>
      </c>
      <c r="H3739" s="53">
        <v>1.0</v>
      </c>
      <c r="I3739" s="53">
        <v>0.12121212121212122</v>
      </c>
      <c r="J3739" s="53">
        <v>9.0</v>
      </c>
      <c r="K3739" s="53" t="s">
        <v>53</v>
      </c>
      <c r="L3739" s="53" t="s">
        <v>53</v>
      </c>
    </row>
    <row r="3740" ht="15.75" customHeight="1">
      <c r="A3740" s="53" t="s">
        <v>2599</v>
      </c>
      <c r="B3740" s="53" t="s">
        <v>4945</v>
      </c>
      <c r="D3740" s="53" t="s">
        <v>52</v>
      </c>
      <c r="E3740" s="53" t="s">
        <v>5144</v>
      </c>
      <c r="F3740" s="53" t="s">
        <v>5145</v>
      </c>
      <c r="G3740" s="53" t="s">
        <v>2130</v>
      </c>
      <c r="H3740" s="53">
        <v>1.0</v>
      </c>
      <c r="I3740" s="53">
        <v>0.4161073825503356</v>
      </c>
      <c r="J3740" s="53">
        <v>8.0</v>
      </c>
      <c r="K3740" s="53" t="s">
        <v>53</v>
      </c>
      <c r="L3740" s="53" t="s">
        <v>5109</v>
      </c>
    </row>
    <row r="3741" ht="15.75" customHeight="1">
      <c r="A3741" s="53" t="s">
        <v>2599</v>
      </c>
      <c r="B3741" s="53" t="s">
        <v>4945</v>
      </c>
      <c r="D3741" s="53" t="s">
        <v>52</v>
      </c>
      <c r="E3741" s="53" t="s">
        <v>5146</v>
      </c>
      <c r="F3741" s="53" t="s">
        <v>5145</v>
      </c>
      <c r="G3741" s="53" t="s">
        <v>2128</v>
      </c>
      <c r="H3741" s="53">
        <v>1.0</v>
      </c>
      <c r="I3741" s="53">
        <v>0.44936708860759494</v>
      </c>
      <c r="J3741" s="53">
        <v>7.0</v>
      </c>
      <c r="K3741" s="53" t="s">
        <v>53</v>
      </c>
      <c r="L3741" s="53" t="s">
        <v>5109</v>
      </c>
    </row>
    <row r="3742" ht="15.75" customHeight="1">
      <c r="A3742" s="53" t="s">
        <v>2599</v>
      </c>
      <c r="B3742" s="53" t="s">
        <v>4945</v>
      </c>
      <c r="D3742" s="53" t="s">
        <v>52</v>
      </c>
      <c r="E3742" s="53" t="s">
        <v>5147</v>
      </c>
      <c r="F3742" s="53" t="s">
        <v>5145</v>
      </c>
      <c r="G3742" s="53" t="s">
        <v>2126</v>
      </c>
      <c r="H3742" s="53">
        <v>1.0</v>
      </c>
      <c r="I3742" s="53">
        <v>0.4662576687116564</v>
      </c>
      <c r="J3742" s="53">
        <v>4.0</v>
      </c>
      <c r="K3742" s="53" t="s">
        <v>53</v>
      </c>
      <c r="L3742" s="53" t="s">
        <v>5109</v>
      </c>
    </row>
    <row r="3743" ht="15.75" customHeight="1">
      <c r="A3743" s="53" t="s">
        <v>2599</v>
      </c>
      <c r="B3743" s="53" t="s">
        <v>4945</v>
      </c>
      <c r="D3743" s="53" t="s">
        <v>52</v>
      </c>
      <c r="E3743" s="53" t="s">
        <v>5148</v>
      </c>
      <c r="F3743" s="53" t="s">
        <v>5145</v>
      </c>
      <c r="G3743" s="53" t="s">
        <v>2124</v>
      </c>
      <c r="H3743" s="53">
        <v>1.0</v>
      </c>
      <c r="I3743" s="53">
        <v>0.48214285714285715</v>
      </c>
      <c r="J3743" s="53">
        <v>3.0</v>
      </c>
      <c r="K3743" s="53" t="s">
        <v>53</v>
      </c>
      <c r="L3743" s="53" t="s">
        <v>5109</v>
      </c>
    </row>
    <row r="3744" ht="15.75" customHeight="1">
      <c r="A3744" s="53" t="s">
        <v>2599</v>
      </c>
      <c r="B3744" s="53" t="s">
        <v>4945</v>
      </c>
      <c r="D3744" s="53" t="s">
        <v>52</v>
      </c>
      <c r="E3744" s="53" t="s">
        <v>5149</v>
      </c>
      <c r="F3744" s="53" t="s">
        <v>5150</v>
      </c>
      <c r="G3744" s="53" t="s">
        <v>2121</v>
      </c>
      <c r="H3744" s="53">
        <v>1.0</v>
      </c>
      <c r="I3744" s="53">
        <v>0.6081081081081081</v>
      </c>
      <c r="J3744" s="53">
        <v>6.0</v>
      </c>
      <c r="K3744" s="53" t="s">
        <v>53</v>
      </c>
      <c r="L3744" s="53" t="s">
        <v>5109</v>
      </c>
    </row>
    <row r="3745" ht="15.75" customHeight="1">
      <c r="A3745" s="53" t="s">
        <v>2599</v>
      </c>
      <c r="B3745" s="53" t="s">
        <v>4945</v>
      </c>
      <c r="D3745" s="53" t="s">
        <v>52</v>
      </c>
      <c r="E3745" s="53" t="s">
        <v>5151</v>
      </c>
      <c r="F3745" s="53" t="s">
        <v>5150</v>
      </c>
      <c r="G3745" s="53" t="s">
        <v>2115</v>
      </c>
      <c r="H3745" s="53">
        <v>1.0</v>
      </c>
      <c r="I3745" s="53">
        <v>0.625</v>
      </c>
      <c r="J3745" s="53">
        <v>2.0</v>
      </c>
      <c r="K3745" s="53" t="s">
        <v>53</v>
      </c>
      <c r="L3745" s="53" t="s">
        <v>5109</v>
      </c>
    </row>
    <row r="3746" ht="15.75" customHeight="1">
      <c r="A3746" s="53" t="s">
        <v>2599</v>
      </c>
      <c r="B3746" s="53" t="s">
        <v>4945</v>
      </c>
      <c r="D3746" s="53" t="s">
        <v>52</v>
      </c>
      <c r="E3746" s="53" t="s">
        <v>5152</v>
      </c>
      <c r="F3746" s="53" t="s">
        <v>5153</v>
      </c>
      <c r="G3746" s="53" t="s">
        <v>2112</v>
      </c>
      <c r="H3746" s="53">
        <v>1.0</v>
      </c>
      <c r="I3746" s="53">
        <v>0.6925795053003534</v>
      </c>
      <c r="J3746" s="53">
        <v>1.0</v>
      </c>
      <c r="K3746" s="53" t="s">
        <v>53</v>
      </c>
      <c r="L3746" s="53" t="s">
        <v>5109</v>
      </c>
    </row>
    <row r="3747" ht="15.75" customHeight="1">
      <c r="A3747" s="53" t="s">
        <v>2599</v>
      </c>
      <c r="B3747" s="53" t="s">
        <v>4945</v>
      </c>
      <c r="D3747" s="53" t="s">
        <v>2136</v>
      </c>
      <c r="E3747" s="53" t="s">
        <v>5154</v>
      </c>
      <c r="F3747" s="53" t="s">
        <v>5141</v>
      </c>
      <c r="G3747" s="53" t="s">
        <v>46</v>
      </c>
      <c r="H3747" s="53">
        <v>1.0</v>
      </c>
      <c r="I3747" s="53">
        <v>0.12121212121212122</v>
      </c>
      <c r="J3747" s="53">
        <v>4.0</v>
      </c>
      <c r="K3747" s="53" t="s">
        <v>53</v>
      </c>
      <c r="L3747" s="53" t="s">
        <v>53</v>
      </c>
    </row>
    <row r="3748" ht="15.75" customHeight="1">
      <c r="A3748" s="53" t="s">
        <v>2599</v>
      </c>
      <c r="B3748" s="53" t="s">
        <v>4945</v>
      </c>
      <c r="D3748" s="53" t="s">
        <v>2136</v>
      </c>
      <c r="E3748" s="53" t="s">
        <v>5155</v>
      </c>
      <c r="F3748" s="53" t="s">
        <v>5141</v>
      </c>
      <c r="G3748" s="53" t="s">
        <v>2133</v>
      </c>
      <c r="H3748" s="53">
        <v>1.0</v>
      </c>
      <c r="I3748" s="53">
        <v>0.12121212121212122</v>
      </c>
      <c r="J3748" s="53">
        <v>8.0</v>
      </c>
      <c r="K3748" s="53" t="s">
        <v>53</v>
      </c>
      <c r="L3748" s="53" t="s">
        <v>53</v>
      </c>
    </row>
    <row r="3749" ht="15.75" customHeight="1">
      <c r="A3749" s="53" t="s">
        <v>2599</v>
      </c>
      <c r="B3749" s="53" t="s">
        <v>4945</v>
      </c>
      <c r="D3749" s="53" t="s">
        <v>2136</v>
      </c>
      <c r="E3749" s="53" t="s">
        <v>5156</v>
      </c>
      <c r="F3749" s="53" t="s">
        <v>5145</v>
      </c>
      <c r="G3749" s="53" t="s">
        <v>2130</v>
      </c>
      <c r="H3749" s="53">
        <v>1.0</v>
      </c>
      <c r="I3749" s="53">
        <v>0.3959731543624161</v>
      </c>
      <c r="J3749" s="53">
        <v>7.0</v>
      </c>
      <c r="K3749" s="53" t="s">
        <v>53</v>
      </c>
      <c r="L3749" s="53" t="s">
        <v>5109</v>
      </c>
    </row>
    <row r="3750" ht="15.75" customHeight="1">
      <c r="A3750" s="53" t="s">
        <v>2599</v>
      </c>
      <c r="B3750" s="53" t="s">
        <v>4945</v>
      </c>
      <c r="D3750" s="53" t="s">
        <v>2136</v>
      </c>
      <c r="E3750" s="53" t="s">
        <v>5157</v>
      </c>
      <c r="F3750" s="53" t="s">
        <v>5145</v>
      </c>
      <c r="G3750" s="53" t="s">
        <v>2128</v>
      </c>
      <c r="H3750" s="53">
        <v>1.0</v>
      </c>
      <c r="I3750" s="53">
        <v>0.4240506329113924</v>
      </c>
      <c r="J3750" s="53">
        <v>6.0</v>
      </c>
      <c r="K3750" s="53" t="s">
        <v>53</v>
      </c>
      <c r="L3750" s="53" t="s">
        <v>5109</v>
      </c>
    </row>
    <row r="3751" ht="15.75" customHeight="1">
      <c r="A3751" s="53" t="s">
        <v>2599</v>
      </c>
      <c r="B3751" s="53" t="s">
        <v>4945</v>
      </c>
      <c r="D3751" s="53" t="s">
        <v>2136</v>
      </c>
      <c r="E3751" s="53" t="s">
        <v>5158</v>
      </c>
      <c r="F3751" s="53" t="s">
        <v>5145</v>
      </c>
      <c r="G3751" s="53" t="s">
        <v>2126</v>
      </c>
      <c r="H3751" s="53">
        <v>1.0</v>
      </c>
      <c r="I3751" s="53">
        <v>0.44171779141104295</v>
      </c>
      <c r="J3751" s="53">
        <v>3.0</v>
      </c>
      <c r="K3751" s="53" t="s">
        <v>53</v>
      </c>
      <c r="L3751" s="53" t="s">
        <v>5109</v>
      </c>
    </row>
    <row r="3752" ht="15.75" customHeight="1">
      <c r="A3752" s="53" t="s">
        <v>2599</v>
      </c>
      <c r="B3752" s="53" t="s">
        <v>4945</v>
      </c>
      <c r="D3752" s="53" t="s">
        <v>2136</v>
      </c>
      <c r="E3752" s="53" t="s">
        <v>5159</v>
      </c>
      <c r="F3752" s="53" t="s">
        <v>5145</v>
      </c>
      <c r="G3752" s="53" t="s">
        <v>2124</v>
      </c>
      <c r="H3752" s="53">
        <v>1.0</v>
      </c>
      <c r="I3752" s="53">
        <v>0.4583333333333333</v>
      </c>
      <c r="J3752" s="53">
        <v>2.0</v>
      </c>
      <c r="K3752" s="53" t="s">
        <v>53</v>
      </c>
      <c r="L3752" s="53" t="s">
        <v>5109</v>
      </c>
    </row>
    <row r="3753" ht="15.75" customHeight="1">
      <c r="A3753" s="53" t="s">
        <v>2599</v>
      </c>
      <c r="B3753" s="53" t="s">
        <v>4945</v>
      </c>
      <c r="D3753" s="53" t="s">
        <v>2136</v>
      </c>
      <c r="E3753" s="53" t="s">
        <v>5160</v>
      </c>
      <c r="F3753" s="53" t="s">
        <v>5150</v>
      </c>
      <c r="G3753" s="53" t="s">
        <v>2121</v>
      </c>
      <c r="H3753" s="53">
        <v>1.0</v>
      </c>
      <c r="I3753" s="53">
        <v>0.5855855855855856</v>
      </c>
      <c r="J3753" s="53">
        <v>5.0</v>
      </c>
      <c r="K3753" s="53" t="s">
        <v>53</v>
      </c>
      <c r="L3753" s="53" t="s">
        <v>5109</v>
      </c>
    </row>
    <row r="3754" ht="15.75" customHeight="1">
      <c r="A3754" s="53" t="s">
        <v>2599</v>
      </c>
      <c r="B3754" s="53" t="s">
        <v>4945</v>
      </c>
      <c r="D3754" s="53" t="s">
        <v>2136</v>
      </c>
      <c r="E3754" s="53" t="s">
        <v>5161</v>
      </c>
      <c r="F3754" s="53" t="s">
        <v>5150</v>
      </c>
      <c r="G3754" s="53" t="s">
        <v>2115</v>
      </c>
      <c r="H3754" s="53">
        <v>1.0</v>
      </c>
      <c r="I3754" s="53">
        <v>0.603448275862069</v>
      </c>
      <c r="J3754" s="53">
        <v>1.0</v>
      </c>
      <c r="K3754" s="53" t="s">
        <v>53</v>
      </c>
      <c r="L3754" s="53" t="s">
        <v>5109</v>
      </c>
    </row>
    <row r="3755" ht="15.75" customHeight="1">
      <c r="A3755" s="53" t="s">
        <v>2599</v>
      </c>
      <c r="B3755" s="53" t="s">
        <v>4945</v>
      </c>
      <c r="D3755" s="53" t="s">
        <v>2136</v>
      </c>
      <c r="E3755" s="53" t="s">
        <v>5162</v>
      </c>
      <c r="F3755" s="53" t="s">
        <v>5153</v>
      </c>
      <c r="G3755" s="53" t="s">
        <v>2112</v>
      </c>
      <c r="H3755" s="53">
        <v>1.0</v>
      </c>
      <c r="I3755" s="53">
        <v>0.6749116607773852</v>
      </c>
      <c r="J3755" s="53">
        <v>0.0</v>
      </c>
      <c r="K3755" s="53" t="s">
        <v>53</v>
      </c>
      <c r="L3755" s="53" t="s">
        <v>5109</v>
      </c>
    </row>
    <row r="3756" ht="15.75" customHeight="1">
      <c r="A3756" s="53" t="s">
        <v>2599</v>
      </c>
      <c r="B3756" s="53" t="s">
        <v>4945</v>
      </c>
      <c r="D3756" s="53" t="s">
        <v>2112</v>
      </c>
      <c r="E3756" s="53" t="s">
        <v>5163</v>
      </c>
      <c r="F3756" s="53" t="s">
        <v>5164</v>
      </c>
      <c r="G3756" s="53" t="s">
        <v>2115</v>
      </c>
      <c r="H3756" s="53">
        <v>1.0</v>
      </c>
      <c r="I3756" s="53">
        <v>0.24028268551236748</v>
      </c>
      <c r="J3756" s="53">
        <v>0.0</v>
      </c>
      <c r="K3756" s="53" t="s">
        <v>53</v>
      </c>
      <c r="L3756" s="53" t="s">
        <v>53</v>
      </c>
    </row>
    <row r="3757" ht="15.75" customHeight="1">
      <c r="A3757" s="53" t="s">
        <v>2599</v>
      </c>
      <c r="B3757" s="53" t="s">
        <v>4945</v>
      </c>
      <c r="D3757" s="53" t="s">
        <v>2112</v>
      </c>
      <c r="E3757" s="53" t="s">
        <v>5165</v>
      </c>
      <c r="F3757" s="53" t="s">
        <v>5164</v>
      </c>
      <c r="G3757" s="53" t="s">
        <v>2121</v>
      </c>
      <c r="H3757" s="53">
        <v>1.0</v>
      </c>
      <c r="I3757" s="53">
        <v>0.2508833922261484</v>
      </c>
      <c r="J3757" s="53">
        <v>4.0</v>
      </c>
      <c r="K3757" s="53" t="s">
        <v>53</v>
      </c>
      <c r="L3757" s="53" t="s">
        <v>53</v>
      </c>
    </row>
    <row r="3758" ht="15.75" customHeight="1">
      <c r="A3758" s="53" t="s">
        <v>2599</v>
      </c>
      <c r="B3758" s="53" t="s">
        <v>4945</v>
      </c>
      <c r="D3758" s="53" t="s">
        <v>2112</v>
      </c>
      <c r="E3758" s="53" t="s">
        <v>5166</v>
      </c>
      <c r="F3758" s="53" t="s">
        <v>5167</v>
      </c>
      <c r="G3758" s="53" t="s">
        <v>2124</v>
      </c>
      <c r="H3758" s="53">
        <v>1.0</v>
      </c>
      <c r="I3758" s="53">
        <v>0.44876325088339225</v>
      </c>
      <c r="J3758" s="53">
        <v>1.0</v>
      </c>
      <c r="K3758" s="53" t="s">
        <v>53</v>
      </c>
      <c r="L3758" s="53" t="s">
        <v>53</v>
      </c>
    </row>
    <row r="3759" ht="15.75" customHeight="1">
      <c r="A3759" s="53" t="s">
        <v>2599</v>
      </c>
      <c r="B3759" s="53" t="s">
        <v>4945</v>
      </c>
      <c r="D3759" s="53" t="s">
        <v>2112</v>
      </c>
      <c r="E3759" s="53" t="s">
        <v>5168</v>
      </c>
      <c r="F3759" s="53" t="s">
        <v>5167</v>
      </c>
      <c r="G3759" s="53" t="s">
        <v>2126</v>
      </c>
      <c r="H3759" s="53">
        <v>1.0</v>
      </c>
      <c r="I3759" s="53">
        <v>0.4558303886925795</v>
      </c>
      <c r="J3759" s="53">
        <v>2.0</v>
      </c>
      <c r="K3759" s="53" t="s">
        <v>53</v>
      </c>
      <c r="L3759" s="53" t="s">
        <v>53</v>
      </c>
    </row>
    <row r="3760" ht="15.75" customHeight="1">
      <c r="A3760" s="53" t="s">
        <v>2599</v>
      </c>
      <c r="B3760" s="53" t="s">
        <v>4945</v>
      </c>
      <c r="D3760" s="53" t="s">
        <v>2112</v>
      </c>
      <c r="E3760" s="53" t="s">
        <v>5169</v>
      </c>
      <c r="F3760" s="53" t="s">
        <v>5167</v>
      </c>
      <c r="G3760" s="53" t="s">
        <v>2128</v>
      </c>
      <c r="H3760" s="53">
        <v>1.0</v>
      </c>
      <c r="I3760" s="53">
        <v>0.4664310954063604</v>
      </c>
      <c r="J3760" s="53">
        <v>5.0</v>
      </c>
      <c r="K3760" s="53" t="s">
        <v>53</v>
      </c>
      <c r="L3760" s="53" t="s">
        <v>53</v>
      </c>
    </row>
    <row r="3761" ht="15.75" customHeight="1">
      <c r="A3761" s="53" t="s">
        <v>2599</v>
      </c>
      <c r="B3761" s="53" t="s">
        <v>4945</v>
      </c>
      <c r="D3761" s="53" t="s">
        <v>2112</v>
      </c>
      <c r="E3761" s="53" t="s">
        <v>5170</v>
      </c>
      <c r="F3761" s="53" t="s">
        <v>5167</v>
      </c>
      <c r="G3761" s="53" t="s">
        <v>2130</v>
      </c>
      <c r="H3761" s="53">
        <v>1.0</v>
      </c>
      <c r="I3761" s="53">
        <v>0.4734982332155477</v>
      </c>
      <c r="J3761" s="53">
        <v>6.0</v>
      </c>
      <c r="K3761" s="53" t="s">
        <v>53</v>
      </c>
      <c r="L3761" s="53" t="s">
        <v>53</v>
      </c>
    </row>
    <row r="3762" ht="15.75" customHeight="1">
      <c r="A3762" s="53" t="s">
        <v>2599</v>
      </c>
      <c r="B3762" s="53" t="s">
        <v>4945</v>
      </c>
      <c r="D3762" s="53" t="s">
        <v>2112</v>
      </c>
      <c r="E3762" s="53" t="s">
        <v>5171</v>
      </c>
      <c r="F3762" s="53" t="s">
        <v>5172</v>
      </c>
      <c r="G3762" s="53" t="s">
        <v>2133</v>
      </c>
      <c r="H3762" s="53">
        <v>1.0</v>
      </c>
      <c r="I3762" s="53">
        <v>0.6643109540636042</v>
      </c>
      <c r="J3762" s="53">
        <v>7.0</v>
      </c>
      <c r="K3762" s="53" t="s">
        <v>53</v>
      </c>
      <c r="L3762" s="53" t="s">
        <v>5109</v>
      </c>
    </row>
    <row r="3763" ht="15.75" customHeight="1">
      <c r="A3763" s="53" t="s">
        <v>2599</v>
      </c>
      <c r="B3763" s="53" t="s">
        <v>4945</v>
      </c>
      <c r="D3763" s="53" t="s">
        <v>2112</v>
      </c>
      <c r="E3763" s="53" t="s">
        <v>5173</v>
      </c>
      <c r="F3763" s="53" t="s">
        <v>5172</v>
      </c>
      <c r="G3763" s="53" t="s">
        <v>46</v>
      </c>
      <c r="H3763" s="53">
        <v>1.0</v>
      </c>
      <c r="I3763" s="53">
        <v>0.6890459363957597</v>
      </c>
      <c r="J3763" s="53">
        <v>3.0</v>
      </c>
      <c r="K3763" s="53" t="s">
        <v>53</v>
      </c>
      <c r="L3763" s="53" t="s">
        <v>5109</v>
      </c>
    </row>
    <row r="3764" ht="15.75" customHeight="1">
      <c r="A3764" s="53" t="s">
        <v>2599</v>
      </c>
      <c r="B3764" s="53" t="s">
        <v>4945</v>
      </c>
      <c r="D3764" s="53" t="s">
        <v>2115</v>
      </c>
      <c r="E3764" s="53" t="s">
        <v>5174</v>
      </c>
      <c r="F3764" s="53" t="s">
        <v>5114</v>
      </c>
      <c r="G3764" s="53" t="s">
        <v>2121</v>
      </c>
      <c r="H3764" s="53">
        <v>1.0</v>
      </c>
      <c r="I3764" s="53">
        <v>0.10344827586206896</v>
      </c>
      <c r="J3764" s="53">
        <v>3.0</v>
      </c>
      <c r="K3764" s="53" t="s">
        <v>53</v>
      </c>
      <c r="L3764" s="53" t="s">
        <v>53</v>
      </c>
    </row>
    <row r="3765" ht="15.75" customHeight="1">
      <c r="A3765" s="53" t="s">
        <v>2599</v>
      </c>
      <c r="B3765" s="53" t="s">
        <v>4945</v>
      </c>
      <c r="D3765" s="53" t="s">
        <v>2115</v>
      </c>
      <c r="E3765" s="53" t="s">
        <v>5175</v>
      </c>
      <c r="F3765" s="53" t="s">
        <v>5120</v>
      </c>
      <c r="G3765" s="53" t="s">
        <v>2124</v>
      </c>
      <c r="H3765" s="53">
        <v>1.0</v>
      </c>
      <c r="I3765" s="53">
        <v>0.33620689655172414</v>
      </c>
      <c r="J3765" s="53">
        <v>0.0</v>
      </c>
      <c r="K3765" s="53" t="s">
        <v>53</v>
      </c>
      <c r="L3765" s="53" t="s">
        <v>53</v>
      </c>
    </row>
    <row r="3766" ht="15.75" customHeight="1">
      <c r="A3766" s="53" t="s">
        <v>2599</v>
      </c>
      <c r="B3766" s="53" t="s">
        <v>4945</v>
      </c>
      <c r="D3766" s="53" t="s">
        <v>2115</v>
      </c>
      <c r="E3766" s="53" t="s">
        <v>5176</v>
      </c>
      <c r="F3766" s="53" t="s">
        <v>5120</v>
      </c>
      <c r="G3766" s="53" t="s">
        <v>2126</v>
      </c>
      <c r="H3766" s="53">
        <v>1.0</v>
      </c>
      <c r="I3766" s="53">
        <v>0.34051724137931033</v>
      </c>
      <c r="J3766" s="53">
        <v>1.0</v>
      </c>
      <c r="K3766" s="53" t="s">
        <v>53</v>
      </c>
      <c r="L3766" s="53" t="s">
        <v>53</v>
      </c>
    </row>
    <row r="3767" ht="15.75" customHeight="1">
      <c r="A3767" s="53" t="s">
        <v>2599</v>
      </c>
      <c r="B3767" s="53" t="s">
        <v>4945</v>
      </c>
      <c r="D3767" s="53" t="s">
        <v>2115</v>
      </c>
      <c r="E3767" s="53" t="s">
        <v>5177</v>
      </c>
      <c r="F3767" s="53" t="s">
        <v>5120</v>
      </c>
      <c r="G3767" s="53" t="s">
        <v>2128</v>
      </c>
      <c r="H3767" s="53">
        <v>1.0</v>
      </c>
      <c r="I3767" s="53">
        <v>0.35344827586206895</v>
      </c>
      <c r="J3767" s="53">
        <v>4.0</v>
      </c>
      <c r="K3767" s="53" t="s">
        <v>53</v>
      </c>
      <c r="L3767" s="53" t="s">
        <v>53</v>
      </c>
    </row>
    <row r="3768" ht="15.75" customHeight="1">
      <c r="A3768" s="53" t="s">
        <v>2599</v>
      </c>
      <c r="B3768" s="53" t="s">
        <v>4945</v>
      </c>
      <c r="D3768" s="53" t="s">
        <v>2115</v>
      </c>
      <c r="E3768" s="53" t="s">
        <v>5178</v>
      </c>
      <c r="F3768" s="53" t="s">
        <v>5120</v>
      </c>
      <c r="G3768" s="53" t="s">
        <v>2130</v>
      </c>
      <c r="H3768" s="53">
        <v>1.0</v>
      </c>
      <c r="I3768" s="53">
        <v>0.36637931034482757</v>
      </c>
      <c r="J3768" s="53">
        <v>5.0</v>
      </c>
      <c r="K3768" s="53" t="s">
        <v>53</v>
      </c>
      <c r="L3768" s="53" t="s">
        <v>53</v>
      </c>
    </row>
    <row r="3769" ht="15.75" customHeight="1">
      <c r="A3769" s="53" t="s">
        <v>2599</v>
      </c>
      <c r="B3769" s="53" t="s">
        <v>4945</v>
      </c>
      <c r="D3769" s="53" t="s">
        <v>2115</v>
      </c>
      <c r="E3769" s="53" t="s">
        <v>5179</v>
      </c>
      <c r="F3769" s="53" t="s">
        <v>5125</v>
      </c>
      <c r="G3769" s="53" t="s">
        <v>2133</v>
      </c>
      <c r="H3769" s="53">
        <v>1.0</v>
      </c>
      <c r="I3769" s="53">
        <v>0.5948275862068966</v>
      </c>
      <c r="J3769" s="53">
        <v>6.0</v>
      </c>
      <c r="K3769" s="53" t="s">
        <v>53</v>
      </c>
      <c r="L3769" s="53" t="s">
        <v>5109</v>
      </c>
    </row>
    <row r="3770" ht="15.75" customHeight="1">
      <c r="A3770" s="53" t="s">
        <v>2599</v>
      </c>
      <c r="B3770" s="53" t="s">
        <v>4945</v>
      </c>
      <c r="D3770" s="53" t="s">
        <v>2115</v>
      </c>
      <c r="E3770" s="53" t="s">
        <v>5180</v>
      </c>
      <c r="F3770" s="53" t="s">
        <v>5125</v>
      </c>
      <c r="G3770" s="53" t="s">
        <v>46</v>
      </c>
      <c r="H3770" s="53">
        <v>1.0</v>
      </c>
      <c r="I3770" s="53">
        <v>0.6163793103448276</v>
      </c>
      <c r="J3770" s="53">
        <v>2.0</v>
      </c>
      <c r="K3770" s="53" t="s">
        <v>53</v>
      </c>
      <c r="L3770" s="53" t="s">
        <v>5109</v>
      </c>
    </row>
    <row r="3771" ht="15.75" customHeight="1">
      <c r="A3771" s="53" t="s">
        <v>2599</v>
      </c>
      <c r="B3771" s="53" t="s">
        <v>4945</v>
      </c>
      <c r="D3771" s="53" t="s">
        <v>2124</v>
      </c>
      <c r="E3771" s="53" t="s">
        <v>5181</v>
      </c>
      <c r="F3771" s="53" t="s">
        <v>5182</v>
      </c>
      <c r="G3771" s="53" t="s">
        <v>2126</v>
      </c>
      <c r="H3771" s="53">
        <v>1.0</v>
      </c>
      <c r="I3771" s="53">
        <v>0.041666666666666664</v>
      </c>
      <c r="J3771" s="53">
        <v>0.0</v>
      </c>
      <c r="K3771" s="53" t="s">
        <v>53</v>
      </c>
      <c r="L3771" s="53" t="s">
        <v>53</v>
      </c>
    </row>
    <row r="3772" ht="15.75" customHeight="1">
      <c r="A3772" s="53" t="s">
        <v>2599</v>
      </c>
      <c r="B3772" s="53" t="s">
        <v>4945</v>
      </c>
      <c r="D3772" s="53" t="s">
        <v>2124</v>
      </c>
      <c r="E3772" s="53" t="s">
        <v>5183</v>
      </c>
      <c r="F3772" s="53" t="s">
        <v>5182</v>
      </c>
      <c r="G3772" s="53" t="s">
        <v>2128</v>
      </c>
      <c r="H3772" s="53">
        <v>1.0</v>
      </c>
      <c r="I3772" s="53">
        <v>0.11904761904761904</v>
      </c>
      <c r="J3772" s="53">
        <v>3.0</v>
      </c>
      <c r="K3772" s="53" t="s">
        <v>53</v>
      </c>
      <c r="L3772" s="53" t="s">
        <v>53</v>
      </c>
    </row>
    <row r="3773" ht="15.75" customHeight="1">
      <c r="A3773" s="53" t="s">
        <v>2599</v>
      </c>
      <c r="B3773" s="53" t="s">
        <v>4945</v>
      </c>
      <c r="D3773" s="53" t="s">
        <v>2124</v>
      </c>
      <c r="E3773" s="53" t="s">
        <v>5184</v>
      </c>
      <c r="F3773" s="53" t="s">
        <v>5182</v>
      </c>
      <c r="G3773" s="53" t="s">
        <v>2130</v>
      </c>
      <c r="H3773" s="53">
        <v>1.0</v>
      </c>
      <c r="I3773" s="53">
        <v>0.125</v>
      </c>
      <c r="J3773" s="53">
        <v>4.0</v>
      </c>
      <c r="K3773" s="53" t="s">
        <v>53</v>
      </c>
      <c r="L3773" s="53" t="s">
        <v>53</v>
      </c>
    </row>
    <row r="3774" ht="15.75" customHeight="1">
      <c r="A3774" s="53" t="s">
        <v>2599</v>
      </c>
      <c r="B3774" s="53" t="s">
        <v>4945</v>
      </c>
      <c r="D3774" s="53" t="s">
        <v>2124</v>
      </c>
      <c r="E3774" s="53" t="s">
        <v>5185</v>
      </c>
      <c r="F3774" s="53" t="s">
        <v>5186</v>
      </c>
      <c r="G3774" s="53" t="s">
        <v>2121</v>
      </c>
      <c r="H3774" s="53">
        <v>1.0</v>
      </c>
      <c r="I3774" s="53">
        <v>0.3153153153153153</v>
      </c>
      <c r="J3774" s="53">
        <v>2.0</v>
      </c>
      <c r="K3774" s="53" t="s">
        <v>53</v>
      </c>
      <c r="L3774" s="53" t="s">
        <v>53</v>
      </c>
    </row>
    <row r="3775" ht="15.75" customHeight="1">
      <c r="A3775" s="53" t="s">
        <v>2599</v>
      </c>
      <c r="B3775" s="53" t="s">
        <v>4945</v>
      </c>
      <c r="D3775" s="53" t="s">
        <v>2124</v>
      </c>
      <c r="E3775" s="53" t="s">
        <v>5187</v>
      </c>
      <c r="F3775" s="53" t="s">
        <v>5188</v>
      </c>
      <c r="G3775" s="53" t="s">
        <v>2133</v>
      </c>
      <c r="H3775" s="53">
        <v>1.0</v>
      </c>
      <c r="I3775" s="53">
        <v>0.44642857142857145</v>
      </c>
      <c r="J3775" s="53">
        <v>5.0</v>
      </c>
      <c r="K3775" s="53" t="s">
        <v>53</v>
      </c>
      <c r="L3775" s="53" t="s">
        <v>5109</v>
      </c>
    </row>
    <row r="3776" ht="15.75" customHeight="1">
      <c r="A3776" s="53" t="s">
        <v>2599</v>
      </c>
      <c r="B3776" s="53" t="s">
        <v>4945</v>
      </c>
      <c r="D3776" s="53" t="s">
        <v>2124</v>
      </c>
      <c r="E3776" s="53" t="s">
        <v>5189</v>
      </c>
      <c r="F3776" s="53" t="s">
        <v>5188</v>
      </c>
      <c r="G3776" s="53" t="s">
        <v>46</v>
      </c>
      <c r="H3776" s="53">
        <v>1.0</v>
      </c>
      <c r="I3776" s="53">
        <v>0.47619047619047616</v>
      </c>
      <c r="J3776" s="53">
        <v>1.0</v>
      </c>
      <c r="K3776" s="53" t="s">
        <v>53</v>
      </c>
      <c r="L3776" s="53" t="s">
        <v>5109</v>
      </c>
    </row>
    <row r="3777" ht="15.75" customHeight="1">
      <c r="A3777" s="53" t="s">
        <v>2599</v>
      </c>
      <c r="B3777" s="53" t="s">
        <v>4945</v>
      </c>
      <c r="D3777" s="53" t="s">
        <v>2126</v>
      </c>
      <c r="E3777" s="53" t="s">
        <v>5190</v>
      </c>
      <c r="F3777" s="53" t="s">
        <v>5182</v>
      </c>
      <c r="G3777" s="53" t="s">
        <v>2128</v>
      </c>
      <c r="H3777" s="53">
        <v>1.0</v>
      </c>
      <c r="I3777" s="53">
        <v>0.09815950920245399</v>
      </c>
      <c r="J3777" s="53">
        <v>2.0</v>
      </c>
      <c r="K3777" s="53" t="s">
        <v>53</v>
      </c>
      <c r="L3777" s="53" t="s">
        <v>53</v>
      </c>
    </row>
    <row r="3778" ht="15.75" customHeight="1">
      <c r="A3778" s="53" t="s">
        <v>2599</v>
      </c>
      <c r="B3778" s="53" t="s">
        <v>4945</v>
      </c>
      <c r="D3778" s="53" t="s">
        <v>2126</v>
      </c>
      <c r="E3778" s="53" t="s">
        <v>5191</v>
      </c>
      <c r="F3778" s="53" t="s">
        <v>5182</v>
      </c>
      <c r="G3778" s="53" t="s">
        <v>2130</v>
      </c>
      <c r="H3778" s="53">
        <v>1.0</v>
      </c>
      <c r="I3778" s="53">
        <v>0.10429447852760736</v>
      </c>
      <c r="J3778" s="53">
        <v>3.0</v>
      </c>
      <c r="K3778" s="53" t="s">
        <v>53</v>
      </c>
      <c r="L3778" s="53" t="s">
        <v>53</v>
      </c>
    </row>
    <row r="3779" ht="15.75" customHeight="1">
      <c r="A3779" s="53" t="s">
        <v>2599</v>
      </c>
      <c r="B3779" s="53" t="s">
        <v>4945</v>
      </c>
      <c r="D3779" s="53" t="s">
        <v>2126</v>
      </c>
      <c r="E3779" s="53" t="s">
        <v>5192</v>
      </c>
      <c r="F3779" s="53" t="s">
        <v>5186</v>
      </c>
      <c r="G3779" s="53" t="s">
        <v>2121</v>
      </c>
      <c r="H3779" s="53">
        <v>1.0</v>
      </c>
      <c r="I3779" s="53">
        <v>0.31981981981981983</v>
      </c>
      <c r="J3779" s="53">
        <v>1.0</v>
      </c>
      <c r="K3779" s="53" t="s">
        <v>53</v>
      </c>
      <c r="L3779" s="53" t="s">
        <v>53</v>
      </c>
    </row>
    <row r="3780" ht="15.75" customHeight="1">
      <c r="A3780" s="53" t="s">
        <v>2599</v>
      </c>
      <c r="B3780" s="53" t="s">
        <v>4945</v>
      </c>
      <c r="D3780" s="53" t="s">
        <v>2126</v>
      </c>
      <c r="E3780" s="53" t="s">
        <v>5193</v>
      </c>
      <c r="F3780" s="53" t="s">
        <v>5188</v>
      </c>
      <c r="G3780" s="53" t="s">
        <v>2133</v>
      </c>
      <c r="H3780" s="53">
        <v>1.0</v>
      </c>
      <c r="I3780" s="53">
        <v>0.4294478527607362</v>
      </c>
      <c r="J3780" s="53">
        <v>4.0</v>
      </c>
      <c r="K3780" s="53" t="s">
        <v>53</v>
      </c>
      <c r="L3780" s="53" t="s">
        <v>5109</v>
      </c>
    </row>
    <row r="3781" ht="15.75" customHeight="1">
      <c r="A3781" s="53" t="s">
        <v>2599</v>
      </c>
      <c r="B3781" s="53" t="s">
        <v>4945</v>
      </c>
      <c r="D3781" s="53" t="s">
        <v>2126</v>
      </c>
      <c r="E3781" s="53" t="s">
        <v>5194</v>
      </c>
      <c r="F3781" s="53" t="s">
        <v>5188</v>
      </c>
      <c r="G3781" s="53" t="s">
        <v>46</v>
      </c>
      <c r="H3781" s="53">
        <v>1.0</v>
      </c>
      <c r="I3781" s="53">
        <v>0.4601226993865031</v>
      </c>
      <c r="J3781" s="53">
        <v>0.0</v>
      </c>
      <c r="K3781" s="53" t="s">
        <v>53</v>
      </c>
      <c r="L3781" s="53" t="s">
        <v>5109</v>
      </c>
    </row>
    <row r="3782" ht="15.75" customHeight="1">
      <c r="A3782" s="53" t="s">
        <v>2599</v>
      </c>
      <c r="B3782" s="53" t="s">
        <v>4945</v>
      </c>
      <c r="D3782" s="53" t="s">
        <v>46</v>
      </c>
      <c r="E3782" s="53" t="s">
        <v>5195</v>
      </c>
      <c r="F3782" s="53" t="s">
        <v>5141</v>
      </c>
      <c r="G3782" s="53" t="s">
        <v>2133</v>
      </c>
      <c r="H3782" s="53">
        <v>1.0</v>
      </c>
      <c r="I3782" s="53">
        <v>0.12121212121212122</v>
      </c>
      <c r="J3782" s="53">
        <v>3.0</v>
      </c>
      <c r="K3782" s="53" t="s">
        <v>53</v>
      </c>
      <c r="L3782" s="53" t="s">
        <v>53</v>
      </c>
    </row>
    <row r="3783" ht="15.75" customHeight="1">
      <c r="A3783" s="53" t="s">
        <v>2599</v>
      </c>
      <c r="B3783" s="53" t="s">
        <v>4945</v>
      </c>
      <c r="D3783" s="53" t="s">
        <v>46</v>
      </c>
      <c r="E3783" s="53" t="s">
        <v>5196</v>
      </c>
      <c r="F3783" s="53" t="s">
        <v>5145</v>
      </c>
      <c r="G3783" s="53" t="s">
        <v>2130</v>
      </c>
      <c r="H3783" s="53">
        <v>1.0</v>
      </c>
      <c r="I3783" s="53">
        <v>0.4228187919463087</v>
      </c>
      <c r="J3783" s="53">
        <v>2.0</v>
      </c>
      <c r="K3783" s="53" t="s">
        <v>53</v>
      </c>
      <c r="L3783" s="53" t="s">
        <v>5109</v>
      </c>
    </row>
    <row r="3784" ht="15.75" customHeight="1">
      <c r="A3784" s="53" t="s">
        <v>2599</v>
      </c>
      <c r="B3784" s="53" t="s">
        <v>4945</v>
      </c>
      <c r="D3784" s="53" t="s">
        <v>46</v>
      </c>
      <c r="E3784" s="53" t="s">
        <v>5197</v>
      </c>
      <c r="F3784" s="53" t="s">
        <v>5145</v>
      </c>
      <c r="G3784" s="53" t="s">
        <v>2128</v>
      </c>
      <c r="H3784" s="53">
        <v>1.0</v>
      </c>
      <c r="I3784" s="53">
        <v>0.4430379746835443</v>
      </c>
      <c r="J3784" s="53">
        <v>1.0</v>
      </c>
      <c r="K3784" s="53" t="s">
        <v>53</v>
      </c>
      <c r="L3784" s="53" t="s">
        <v>5109</v>
      </c>
    </row>
    <row r="3785" ht="15.75" customHeight="1">
      <c r="A3785" s="53" t="s">
        <v>2599</v>
      </c>
      <c r="B3785" s="53" t="s">
        <v>4945</v>
      </c>
      <c r="D3785" s="53" t="s">
        <v>46</v>
      </c>
      <c r="E3785" s="53" t="s">
        <v>5198</v>
      </c>
      <c r="F3785" s="53" t="s">
        <v>5150</v>
      </c>
      <c r="G3785" s="53" t="s">
        <v>2121</v>
      </c>
      <c r="H3785" s="53">
        <v>1.0</v>
      </c>
      <c r="I3785" s="53">
        <v>0.5990990990990991</v>
      </c>
      <c r="J3785" s="53">
        <v>0.0</v>
      </c>
      <c r="K3785" s="53" t="s">
        <v>53</v>
      </c>
      <c r="L3785" s="53" t="s">
        <v>5109</v>
      </c>
    </row>
    <row r="3786" ht="15.75" customHeight="1">
      <c r="A3786" s="53" t="s">
        <v>2599</v>
      </c>
      <c r="B3786" s="53" t="s">
        <v>4945</v>
      </c>
      <c r="D3786" s="53" t="s">
        <v>2121</v>
      </c>
      <c r="E3786" s="53" t="s">
        <v>5199</v>
      </c>
      <c r="F3786" s="53" t="s">
        <v>5120</v>
      </c>
      <c r="G3786" s="53" t="s">
        <v>2128</v>
      </c>
      <c r="H3786" s="53">
        <v>1.0</v>
      </c>
      <c r="I3786" s="53">
        <v>0.2972972972972973</v>
      </c>
      <c r="J3786" s="53">
        <v>0.0</v>
      </c>
      <c r="K3786" s="53" t="s">
        <v>53</v>
      </c>
      <c r="L3786" s="53" t="s">
        <v>53</v>
      </c>
    </row>
    <row r="3787" ht="15.75" customHeight="1">
      <c r="A3787" s="53" t="s">
        <v>2599</v>
      </c>
      <c r="B3787" s="53" t="s">
        <v>4945</v>
      </c>
      <c r="D3787" s="53" t="s">
        <v>2121</v>
      </c>
      <c r="E3787" s="53" t="s">
        <v>5200</v>
      </c>
      <c r="F3787" s="53" t="s">
        <v>5120</v>
      </c>
      <c r="G3787" s="53" t="s">
        <v>2130</v>
      </c>
      <c r="H3787" s="53">
        <v>1.0</v>
      </c>
      <c r="I3787" s="53">
        <v>0.33783783783783783</v>
      </c>
      <c r="J3787" s="53">
        <v>1.0</v>
      </c>
      <c r="K3787" s="53" t="s">
        <v>53</v>
      </c>
      <c r="L3787" s="53" t="s">
        <v>53</v>
      </c>
    </row>
    <row r="3788" ht="15.75" customHeight="1">
      <c r="A3788" s="53" t="s">
        <v>2599</v>
      </c>
      <c r="B3788" s="53" t="s">
        <v>4945</v>
      </c>
      <c r="D3788" s="53" t="s">
        <v>2121</v>
      </c>
      <c r="E3788" s="53" t="s">
        <v>5201</v>
      </c>
      <c r="F3788" s="53" t="s">
        <v>5125</v>
      </c>
      <c r="G3788" s="53" t="s">
        <v>2133</v>
      </c>
      <c r="H3788" s="53">
        <v>1.0</v>
      </c>
      <c r="I3788" s="53">
        <v>0.5765765765765766</v>
      </c>
      <c r="J3788" s="53">
        <v>2.0</v>
      </c>
      <c r="K3788" s="53" t="s">
        <v>53</v>
      </c>
      <c r="L3788" s="53" t="s">
        <v>5109</v>
      </c>
    </row>
    <row r="3789" ht="15.75" customHeight="1">
      <c r="A3789" s="53" t="s">
        <v>2599</v>
      </c>
      <c r="B3789" s="53" t="s">
        <v>4945</v>
      </c>
      <c r="D3789" s="53" t="s">
        <v>2128</v>
      </c>
      <c r="E3789" s="53" t="s">
        <v>5202</v>
      </c>
      <c r="F3789" s="53" t="s">
        <v>5182</v>
      </c>
      <c r="G3789" s="53" t="s">
        <v>2130</v>
      </c>
      <c r="H3789" s="53">
        <v>1.0</v>
      </c>
      <c r="I3789" s="53">
        <v>0.06962025316455696</v>
      </c>
      <c r="J3789" s="53">
        <v>0.0</v>
      </c>
      <c r="K3789" s="53" t="s">
        <v>53</v>
      </c>
      <c r="L3789" s="53" t="s">
        <v>53</v>
      </c>
    </row>
    <row r="3790" ht="15.75" customHeight="1">
      <c r="A3790" s="53" t="s">
        <v>2599</v>
      </c>
      <c r="B3790" s="53" t="s">
        <v>4945</v>
      </c>
      <c r="D3790" s="53" t="s">
        <v>2128</v>
      </c>
      <c r="E3790" s="53" t="s">
        <v>5203</v>
      </c>
      <c r="F3790" s="53" t="s">
        <v>5188</v>
      </c>
      <c r="G3790" s="53" t="s">
        <v>2133</v>
      </c>
      <c r="H3790" s="53">
        <v>1.0</v>
      </c>
      <c r="I3790" s="53">
        <v>0.4240506329113924</v>
      </c>
      <c r="J3790" s="53">
        <v>1.0</v>
      </c>
      <c r="K3790" s="53" t="s">
        <v>53</v>
      </c>
      <c r="L3790" s="53" t="s">
        <v>5109</v>
      </c>
    </row>
    <row r="3791" ht="15.75" customHeight="1">
      <c r="A3791" s="53" t="s">
        <v>2599</v>
      </c>
      <c r="B3791" s="53" t="s">
        <v>4945</v>
      </c>
      <c r="D3791" s="53" t="s">
        <v>2130</v>
      </c>
      <c r="E3791" s="53" t="s">
        <v>5204</v>
      </c>
      <c r="F3791" s="53" t="s">
        <v>5188</v>
      </c>
      <c r="G3791" s="53" t="s">
        <v>2133</v>
      </c>
      <c r="H3791" s="53">
        <v>1.0</v>
      </c>
      <c r="I3791" s="53">
        <v>0.38926174496644295</v>
      </c>
      <c r="J3791" s="53">
        <v>0.0</v>
      </c>
      <c r="K3791" s="53" t="s">
        <v>53</v>
      </c>
      <c r="L3791" s="53" t="s">
        <v>5109</v>
      </c>
    </row>
    <row r="3792" ht="15.75" customHeight="1">
      <c r="A3792" s="53" t="s">
        <v>320</v>
      </c>
      <c r="B3792" s="53" t="s">
        <v>4945</v>
      </c>
      <c r="D3792" s="53" t="s">
        <v>305</v>
      </c>
      <c r="E3792" s="53" t="s">
        <v>4796</v>
      </c>
      <c r="F3792" s="53" t="s">
        <v>4797</v>
      </c>
      <c r="G3792" s="53" t="s">
        <v>313</v>
      </c>
      <c r="H3792" s="53">
        <v>0.875</v>
      </c>
      <c r="I3792" s="53">
        <v>0.2806236080178174</v>
      </c>
      <c r="J3792" s="53">
        <v>9.0</v>
      </c>
      <c r="K3792" s="53" t="s">
        <v>53</v>
      </c>
      <c r="L3792" s="53" t="s">
        <v>2712</v>
      </c>
    </row>
    <row r="3793" ht="15.75" customHeight="1">
      <c r="A3793" s="53" t="s">
        <v>320</v>
      </c>
      <c r="B3793" s="53" t="s">
        <v>4945</v>
      </c>
      <c r="D3793" s="53" t="s">
        <v>305</v>
      </c>
      <c r="E3793" s="53" t="s">
        <v>4798</v>
      </c>
      <c r="F3793" s="53" t="s">
        <v>4797</v>
      </c>
      <c r="G3793" s="53" t="s">
        <v>2627</v>
      </c>
      <c r="H3793" s="53">
        <v>0.875</v>
      </c>
      <c r="I3793" s="53">
        <v>0.2873051224944321</v>
      </c>
      <c r="J3793" s="53">
        <v>12.0</v>
      </c>
      <c r="K3793" s="53" t="s">
        <v>53</v>
      </c>
      <c r="L3793" s="53" t="s">
        <v>2712</v>
      </c>
    </row>
    <row r="3794" ht="15.75" customHeight="1">
      <c r="A3794" s="53" t="s">
        <v>320</v>
      </c>
      <c r="B3794" s="53" t="s">
        <v>4945</v>
      </c>
      <c r="D3794" s="53" t="s">
        <v>305</v>
      </c>
      <c r="E3794" s="53" t="s">
        <v>4799</v>
      </c>
      <c r="F3794" s="53" t="s">
        <v>4797</v>
      </c>
      <c r="G3794" s="53" t="s">
        <v>2630</v>
      </c>
      <c r="H3794" s="53">
        <v>0.875</v>
      </c>
      <c r="I3794" s="53">
        <v>0.289532293986637</v>
      </c>
      <c r="J3794" s="53">
        <v>11.0</v>
      </c>
      <c r="K3794" s="53" t="s">
        <v>53</v>
      </c>
      <c r="L3794" s="53" t="s">
        <v>2712</v>
      </c>
    </row>
    <row r="3795" ht="15.75" customHeight="1">
      <c r="A3795" s="53" t="s">
        <v>320</v>
      </c>
      <c r="B3795" s="53" t="s">
        <v>4945</v>
      </c>
      <c r="D3795" s="53" t="s">
        <v>305</v>
      </c>
      <c r="E3795" s="53" t="s">
        <v>4800</v>
      </c>
      <c r="F3795" s="53" t="s">
        <v>4797</v>
      </c>
      <c r="G3795" s="53" t="s">
        <v>299</v>
      </c>
      <c r="H3795" s="53">
        <v>0.875</v>
      </c>
      <c r="I3795" s="53">
        <v>0.3276595744680851</v>
      </c>
      <c r="J3795" s="53">
        <v>10.0</v>
      </c>
      <c r="K3795" s="53" t="s">
        <v>53</v>
      </c>
      <c r="L3795" s="53" t="s">
        <v>2712</v>
      </c>
    </row>
    <row r="3796" ht="15.75" customHeight="1">
      <c r="A3796" s="53" t="s">
        <v>320</v>
      </c>
      <c r="B3796" s="53" t="s">
        <v>4945</v>
      </c>
      <c r="D3796" s="53" t="s">
        <v>1573</v>
      </c>
      <c r="E3796" s="53" t="s">
        <v>2600</v>
      </c>
      <c r="F3796" s="53" t="s">
        <v>1575</v>
      </c>
      <c r="G3796" s="53" t="s">
        <v>1576</v>
      </c>
      <c r="H3796" s="53">
        <v>1.0</v>
      </c>
      <c r="I3796" s="53">
        <v>0.04411764705882353</v>
      </c>
      <c r="J3796" s="53">
        <v>0.0</v>
      </c>
      <c r="K3796" s="53" t="s">
        <v>53</v>
      </c>
      <c r="L3796" s="53" t="s">
        <v>53</v>
      </c>
    </row>
    <row r="3797" ht="15.75" customHeight="1">
      <c r="A3797" s="53" t="s">
        <v>320</v>
      </c>
      <c r="B3797" s="53" t="s">
        <v>4945</v>
      </c>
      <c r="D3797" s="53" t="s">
        <v>1198</v>
      </c>
      <c r="E3797" s="53" t="s">
        <v>5205</v>
      </c>
      <c r="F3797" s="53" t="s">
        <v>5206</v>
      </c>
      <c r="G3797" s="53" t="s">
        <v>1195</v>
      </c>
      <c r="H3797" s="53">
        <v>0.6666666666666666</v>
      </c>
      <c r="I3797" s="53">
        <v>0.047244094488188976</v>
      </c>
      <c r="J3797" s="53">
        <v>0.0</v>
      </c>
      <c r="K3797" s="53" t="s">
        <v>53</v>
      </c>
      <c r="L3797" s="53" t="s">
        <v>1199</v>
      </c>
    </row>
    <row r="3798" ht="15.75" customHeight="1">
      <c r="A3798" s="53" t="s">
        <v>320</v>
      </c>
      <c r="B3798" s="53" t="s">
        <v>4945</v>
      </c>
      <c r="D3798" s="53" t="s">
        <v>4763</v>
      </c>
      <c r="E3798" s="53" t="s">
        <v>5207</v>
      </c>
      <c r="F3798" s="53" t="s">
        <v>5208</v>
      </c>
      <c r="G3798" s="53" t="s">
        <v>1227</v>
      </c>
      <c r="H3798" s="53">
        <v>0.8333333333333334</v>
      </c>
      <c r="I3798" s="53">
        <v>0.17183098591549295</v>
      </c>
      <c r="J3798" s="53">
        <v>2.0</v>
      </c>
      <c r="K3798" s="53" t="s">
        <v>53</v>
      </c>
      <c r="L3798" s="53" t="s">
        <v>5209</v>
      </c>
    </row>
    <row r="3799" ht="15.75" customHeight="1">
      <c r="A3799" s="53" t="s">
        <v>320</v>
      </c>
      <c r="B3799" s="53" t="s">
        <v>4945</v>
      </c>
      <c r="D3799" s="53" t="s">
        <v>4763</v>
      </c>
      <c r="E3799" s="53" t="s">
        <v>5210</v>
      </c>
      <c r="F3799" s="53" t="s">
        <v>5208</v>
      </c>
      <c r="G3799" s="53" t="s">
        <v>1230</v>
      </c>
      <c r="H3799" s="53">
        <v>0.8333333333333334</v>
      </c>
      <c r="I3799" s="53">
        <v>0.5293233082706766</v>
      </c>
      <c r="J3799" s="53">
        <v>3.0</v>
      </c>
      <c r="K3799" s="53" t="s">
        <v>53</v>
      </c>
      <c r="L3799" s="53" t="s">
        <v>5209</v>
      </c>
    </row>
    <row r="3800" ht="15.75" customHeight="1">
      <c r="A3800" s="53" t="s">
        <v>320</v>
      </c>
      <c r="B3800" s="53" t="s">
        <v>4945</v>
      </c>
      <c r="D3800" s="53" t="s">
        <v>1224</v>
      </c>
      <c r="E3800" s="53" t="s">
        <v>5211</v>
      </c>
      <c r="F3800" s="53" t="s">
        <v>5212</v>
      </c>
      <c r="G3800" s="53" t="s">
        <v>1227</v>
      </c>
      <c r="H3800" s="53">
        <v>0.8333333333333334</v>
      </c>
      <c r="I3800" s="53">
        <v>0.2857142857142857</v>
      </c>
      <c r="J3800" s="53">
        <v>0.0</v>
      </c>
      <c r="K3800" s="53" t="s">
        <v>53</v>
      </c>
      <c r="L3800" s="53" t="s">
        <v>2714</v>
      </c>
    </row>
    <row r="3801" ht="15.75" customHeight="1">
      <c r="A3801" s="53" t="s">
        <v>320</v>
      </c>
      <c r="B3801" s="53" t="s">
        <v>4945</v>
      </c>
      <c r="D3801" s="53" t="s">
        <v>1224</v>
      </c>
      <c r="E3801" s="53" t="s">
        <v>5213</v>
      </c>
      <c r="F3801" s="53" t="s">
        <v>5212</v>
      </c>
      <c r="G3801" s="53" t="s">
        <v>1230</v>
      </c>
      <c r="H3801" s="53">
        <v>0.8333333333333334</v>
      </c>
      <c r="I3801" s="53">
        <v>0.47218045112781953</v>
      </c>
      <c r="J3801" s="53">
        <v>1.0</v>
      </c>
      <c r="K3801" s="53" t="s">
        <v>53</v>
      </c>
      <c r="L3801" s="53" t="s">
        <v>2714</v>
      </c>
    </row>
    <row r="3802" ht="15.75" customHeight="1">
      <c r="A3802" s="53" t="s">
        <v>320</v>
      </c>
      <c r="B3802" s="53" t="s">
        <v>4945</v>
      </c>
      <c r="D3802" s="53" t="s">
        <v>1227</v>
      </c>
      <c r="E3802" s="53" t="s">
        <v>5214</v>
      </c>
      <c r="F3802" s="53" t="s">
        <v>5215</v>
      </c>
      <c r="G3802" s="53" t="s">
        <v>1230</v>
      </c>
      <c r="H3802" s="53">
        <v>1.0</v>
      </c>
      <c r="I3802" s="53">
        <v>0.4781954887218045</v>
      </c>
      <c r="J3802" s="53">
        <v>0.0</v>
      </c>
      <c r="K3802" s="53" t="s">
        <v>53</v>
      </c>
      <c r="L3802" s="53" t="s">
        <v>53</v>
      </c>
    </row>
    <row r="3803" ht="15.75" customHeight="1">
      <c r="A3803" s="53" t="s">
        <v>320</v>
      </c>
      <c r="B3803" s="53" t="s">
        <v>4945</v>
      </c>
      <c r="D3803" s="53" t="s">
        <v>313</v>
      </c>
      <c r="E3803" s="53" t="s">
        <v>4811</v>
      </c>
      <c r="F3803" s="53" t="s">
        <v>4812</v>
      </c>
      <c r="G3803" s="53" t="s">
        <v>2627</v>
      </c>
      <c r="H3803" s="53">
        <v>1.0</v>
      </c>
      <c r="I3803" s="53">
        <v>0.0641399416909621</v>
      </c>
      <c r="J3803" s="53">
        <v>2.0</v>
      </c>
      <c r="K3803" s="53" t="s">
        <v>53</v>
      </c>
      <c r="L3803" s="53" t="s">
        <v>53</v>
      </c>
    </row>
    <row r="3804" ht="15.75" customHeight="1">
      <c r="A3804" s="53" t="s">
        <v>320</v>
      </c>
      <c r="B3804" s="53" t="s">
        <v>4945</v>
      </c>
      <c r="D3804" s="53" t="s">
        <v>313</v>
      </c>
      <c r="E3804" s="53" t="s">
        <v>4813</v>
      </c>
      <c r="F3804" s="53" t="s">
        <v>4812</v>
      </c>
      <c r="G3804" s="53" t="s">
        <v>2630</v>
      </c>
      <c r="H3804" s="53">
        <v>1.0</v>
      </c>
      <c r="I3804" s="53">
        <v>0.06997084548104957</v>
      </c>
      <c r="J3804" s="53">
        <v>1.0</v>
      </c>
      <c r="K3804" s="53" t="s">
        <v>53</v>
      </c>
      <c r="L3804" s="53" t="s">
        <v>53</v>
      </c>
    </row>
    <row r="3805" ht="15.75" customHeight="1">
      <c r="A3805" s="53" t="s">
        <v>320</v>
      </c>
      <c r="B3805" s="53" t="s">
        <v>4945</v>
      </c>
      <c r="D3805" s="53" t="s">
        <v>313</v>
      </c>
      <c r="E3805" s="53" t="s">
        <v>4814</v>
      </c>
      <c r="F3805" s="53" t="s">
        <v>4812</v>
      </c>
      <c r="G3805" s="53" t="s">
        <v>299</v>
      </c>
      <c r="H3805" s="53">
        <v>1.0</v>
      </c>
      <c r="I3805" s="53">
        <v>0.33617021276595743</v>
      </c>
      <c r="J3805" s="53">
        <v>0.0</v>
      </c>
      <c r="K3805" s="53" t="s">
        <v>53</v>
      </c>
      <c r="L3805" s="53" t="s">
        <v>53</v>
      </c>
    </row>
    <row r="3806" ht="15.75" customHeight="1">
      <c r="A3806" s="53" t="s">
        <v>320</v>
      </c>
      <c r="B3806" s="53" t="s">
        <v>4945</v>
      </c>
      <c r="D3806" s="53" t="s">
        <v>299</v>
      </c>
      <c r="E3806" s="53" t="s">
        <v>4817</v>
      </c>
      <c r="F3806" s="53" t="s">
        <v>4812</v>
      </c>
      <c r="G3806" s="53" t="s">
        <v>2627</v>
      </c>
      <c r="H3806" s="53">
        <v>1.0</v>
      </c>
      <c r="I3806" s="53">
        <v>0.33617021276595743</v>
      </c>
      <c r="J3806" s="53">
        <v>1.0</v>
      </c>
      <c r="K3806" s="53" t="s">
        <v>53</v>
      </c>
      <c r="L3806" s="53" t="s">
        <v>53</v>
      </c>
    </row>
    <row r="3807" ht="15.75" customHeight="1">
      <c r="A3807" s="53" t="s">
        <v>320</v>
      </c>
      <c r="B3807" s="53" t="s">
        <v>4945</v>
      </c>
      <c r="D3807" s="53" t="s">
        <v>299</v>
      </c>
      <c r="E3807" s="53" t="s">
        <v>4818</v>
      </c>
      <c r="F3807" s="53" t="s">
        <v>4812</v>
      </c>
      <c r="G3807" s="53" t="s">
        <v>2630</v>
      </c>
      <c r="H3807" s="53">
        <v>1.0</v>
      </c>
      <c r="I3807" s="53">
        <v>0.3425531914893617</v>
      </c>
      <c r="J3807" s="53">
        <v>0.0</v>
      </c>
      <c r="K3807" s="53" t="s">
        <v>53</v>
      </c>
      <c r="L3807" s="53" t="s">
        <v>53</v>
      </c>
    </row>
    <row r="3808" ht="15.75" customHeight="1">
      <c r="A3808" s="53" t="s">
        <v>320</v>
      </c>
      <c r="B3808" s="53" t="s">
        <v>4945</v>
      </c>
      <c r="D3808" s="53" t="s">
        <v>2630</v>
      </c>
      <c r="E3808" s="53" t="s">
        <v>4820</v>
      </c>
      <c r="F3808" s="53" t="s">
        <v>4812</v>
      </c>
      <c r="G3808" s="53" t="s">
        <v>2627</v>
      </c>
      <c r="H3808" s="53">
        <v>1.0</v>
      </c>
      <c r="I3808" s="53">
        <v>0.012084592145015106</v>
      </c>
      <c r="J3808" s="53">
        <v>0.0</v>
      </c>
      <c r="K3808" s="53" t="s">
        <v>53</v>
      </c>
      <c r="L3808" s="53" t="s">
        <v>53</v>
      </c>
    </row>
    <row r="3809" ht="15.75" customHeight="1">
      <c r="A3809" s="53" t="s">
        <v>411</v>
      </c>
      <c r="B3809" s="53" t="s">
        <v>4945</v>
      </c>
      <c r="D3809" s="53" t="s">
        <v>414</v>
      </c>
      <c r="E3809" s="53" t="s">
        <v>5216</v>
      </c>
      <c r="F3809" s="53" t="s">
        <v>418</v>
      </c>
      <c r="G3809" s="53" t="s">
        <v>2792</v>
      </c>
      <c r="H3809" s="53">
        <v>1.0</v>
      </c>
      <c r="I3809" s="53">
        <v>0.0896551724137931</v>
      </c>
      <c r="J3809" s="53">
        <v>3.0</v>
      </c>
      <c r="K3809" s="53" t="s">
        <v>53</v>
      </c>
      <c r="L3809" s="53" t="s">
        <v>53</v>
      </c>
    </row>
    <row r="3810" ht="15.75" customHeight="1">
      <c r="A3810" s="53" t="s">
        <v>411</v>
      </c>
      <c r="B3810" s="53" t="s">
        <v>4945</v>
      </c>
      <c r="D3810" s="53" t="s">
        <v>414</v>
      </c>
      <c r="E3810" s="53" t="s">
        <v>5217</v>
      </c>
      <c r="F3810" s="53" t="s">
        <v>418</v>
      </c>
      <c r="G3810" s="53" t="s">
        <v>946</v>
      </c>
      <c r="H3810" s="53">
        <v>1.0</v>
      </c>
      <c r="I3810" s="53">
        <v>0.14375</v>
      </c>
      <c r="J3810" s="53">
        <v>1.0</v>
      </c>
      <c r="K3810" s="53" t="s">
        <v>53</v>
      </c>
      <c r="L3810" s="53" t="s">
        <v>53</v>
      </c>
    </row>
    <row r="3811" ht="15.75" customHeight="1">
      <c r="A3811" s="53" t="s">
        <v>411</v>
      </c>
      <c r="B3811" s="53" t="s">
        <v>4945</v>
      </c>
      <c r="D3811" s="53" t="s">
        <v>414</v>
      </c>
      <c r="E3811" s="53" t="s">
        <v>5218</v>
      </c>
      <c r="F3811" s="53" t="s">
        <v>418</v>
      </c>
      <c r="G3811" s="53" t="s">
        <v>2796</v>
      </c>
      <c r="H3811" s="53">
        <v>1.0</v>
      </c>
      <c r="I3811" s="53">
        <v>0.15384615384615385</v>
      </c>
      <c r="J3811" s="53">
        <v>4.0</v>
      </c>
      <c r="K3811" s="53" t="s">
        <v>53</v>
      </c>
      <c r="L3811" s="53" t="s">
        <v>53</v>
      </c>
    </row>
    <row r="3812" ht="15.75" customHeight="1">
      <c r="A3812" s="53" t="s">
        <v>411</v>
      </c>
      <c r="B3812" s="53" t="s">
        <v>4945</v>
      </c>
      <c r="D3812" s="53" t="s">
        <v>414</v>
      </c>
      <c r="E3812" s="53" t="s">
        <v>5219</v>
      </c>
      <c r="F3812" s="53" t="s">
        <v>418</v>
      </c>
      <c r="G3812" s="53" t="s">
        <v>941</v>
      </c>
      <c r="H3812" s="53">
        <v>1.0</v>
      </c>
      <c r="I3812" s="53">
        <v>0.16981132075471697</v>
      </c>
      <c r="J3812" s="53">
        <v>0.0</v>
      </c>
      <c r="K3812" s="53" t="s">
        <v>53</v>
      </c>
      <c r="L3812" s="53" t="s">
        <v>53</v>
      </c>
    </row>
    <row r="3813" ht="15.75" customHeight="1">
      <c r="A3813" s="53" t="s">
        <v>411</v>
      </c>
      <c r="B3813" s="53" t="s">
        <v>4945</v>
      </c>
      <c r="D3813" s="53" t="s">
        <v>414</v>
      </c>
      <c r="E3813" s="53" t="s">
        <v>5220</v>
      </c>
      <c r="F3813" s="53" t="s">
        <v>418</v>
      </c>
      <c r="G3813" s="53" t="s">
        <v>2799</v>
      </c>
      <c r="H3813" s="53">
        <v>1.0</v>
      </c>
      <c r="I3813" s="53">
        <v>0.18705035971223022</v>
      </c>
      <c r="J3813" s="53">
        <v>5.0</v>
      </c>
      <c r="K3813" s="53" t="s">
        <v>53</v>
      </c>
      <c r="L3813" s="53" t="s">
        <v>53</v>
      </c>
    </row>
    <row r="3814" ht="15.75" customHeight="1">
      <c r="A3814" s="53" t="s">
        <v>411</v>
      </c>
      <c r="B3814" s="53" t="s">
        <v>4945</v>
      </c>
      <c r="D3814" s="53" t="s">
        <v>414</v>
      </c>
      <c r="E3814" s="53" t="s">
        <v>5221</v>
      </c>
      <c r="F3814" s="53" t="s">
        <v>418</v>
      </c>
      <c r="G3814" s="53" t="s">
        <v>2801</v>
      </c>
      <c r="H3814" s="53">
        <v>1.0</v>
      </c>
      <c r="I3814" s="53">
        <v>0.18705035971223022</v>
      </c>
      <c r="J3814" s="53">
        <v>6.0</v>
      </c>
      <c r="K3814" s="53" t="s">
        <v>53</v>
      </c>
      <c r="L3814" s="53" t="s">
        <v>53</v>
      </c>
    </row>
    <row r="3815" ht="15.75" customHeight="1">
      <c r="A3815" s="53" t="s">
        <v>411</v>
      </c>
      <c r="B3815" s="53" t="s">
        <v>4945</v>
      </c>
      <c r="D3815" s="53" t="s">
        <v>414</v>
      </c>
      <c r="E3815" s="53" t="s">
        <v>5222</v>
      </c>
      <c r="F3815" s="53" t="s">
        <v>418</v>
      </c>
      <c r="G3815" s="53" t="s">
        <v>420</v>
      </c>
      <c r="H3815" s="53">
        <v>1.0</v>
      </c>
      <c r="I3815" s="53">
        <v>0.2589928057553957</v>
      </c>
      <c r="J3815" s="53">
        <v>7.0</v>
      </c>
      <c r="K3815" s="53" t="s">
        <v>53</v>
      </c>
      <c r="L3815" s="53" t="s">
        <v>53</v>
      </c>
    </row>
    <row r="3816" ht="15.75" customHeight="1">
      <c r="A3816" s="53" t="s">
        <v>411</v>
      </c>
      <c r="B3816" s="53" t="s">
        <v>4945</v>
      </c>
      <c r="D3816" s="53" t="s">
        <v>414</v>
      </c>
      <c r="E3816" s="53" t="s">
        <v>5223</v>
      </c>
      <c r="F3816" s="53" t="s">
        <v>418</v>
      </c>
      <c r="G3816" s="53" t="s">
        <v>950</v>
      </c>
      <c r="H3816" s="53">
        <v>1.0</v>
      </c>
      <c r="I3816" s="53">
        <v>0.27071823204419887</v>
      </c>
      <c r="J3816" s="53">
        <v>2.0</v>
      </c>
      <c r="K3816" s="53" t="s">
        <v>53</v>
      </c>
      <c r="L3816" s="53" t="s">
        <v>53</v>
      </c>
    </row>
    <row r="3817" ht="15.75" customHeight="1">
      <c r="A3817" s="53" t="s">
        <v>411</v>
      </c>
      <c r="B3817" s="53" t="s">
        <v>4945</v>
      </c>
      <c r="D3817" s="53" t="s">
        <v>941</v>
      </c>
      <c r="E3817" s="53" t="s">
        <v>943</v>
      </c>
      <c r="F3817" s="53" t="s">
        <v>418</v>
      </c>
      <c r="G3817" s="53" t="s">
        <v>946</v>
      </c>
      <c r="H3817" s="53">
        <v>1.0</v>
      </c>
      <c r="I3817" s="53">
        <v>0.1</v>
      </c>
      <c r="J3817" s="53">
        <v>0.0</v>
      </c>
      <c r="K3817" s="53" t="s">
        <v>53</v>
      </c>
      <c r="L3817" s="53" t="s">
        <v>53</v>
      </c>
    </row>
    <row r="3818" ht="15.75" customHeight="1">
      <c r="A3818" s="53" t="s">
        <v>411</v>
      </c>
      <c r="B3818" s="53" t="s">
        <v>4945</v>
      </c>
      <c r="D3818" s="53" t="s">
        <v>941</v>
      </c>
      <c r="E3818" s="53" t="s">
        <v>947</v>
      </c>
      <c r="F3818" s="53" t="s">
        <v>418</v>
      </c>
      <c r="G3818" s="53" t="s">
        <v>950</v>
      </c>
      <c r="H3818" s="53">
        <v>1.0</v>
      </c>
      <c r="I3818" s="53">
        <v>0.15469613259668508</v>
      </c>
      <c r="J3818" s="53">
        <v>1.0</v>
      </c>
      <c r="K3818" s="53" t="s">
        <v>53</v>
      </c>
      <c r="L3818" s="53" t="s">
        <v>53</v>
      </c>
    </row>
    <row r="3819" ht="15.75" customHeight="1">
      <c r="A3819" s="53" t="s">
        <v>411</v>
      </c>
      <c r="B3819" s="53" t="s">
        <v>4945</v>
      </c>
      <c r="D3819" s="53" t="s">
        <v>941</v>
      </c>
      <c r="E3819" s="53" t="s">
        <v>5224</v>
      </c>
      <c r="F3819" s="53" t="s">
        <v>418</v>
      </c>
      <c r="G3819" s="53" t="s">
        <v>2792</v>
      </c>
      <c r="H3819" s="53">
        <v>1.0</v>
      </c>
      <c r="I3819" s="53">
        <v>0.18238993710691823</v>
      </c>
      <c r="J3819" s="53">
        <v>2.0</v>
      </c>
      <c r="K3819" s="53" t="s">
        <v>53</v>
      </c>
      <c r="L3819" s="53" t="s">
        <v>53</v>
      </c>
    </row>
    <row r="3820" ht="15.75" customHeight="1">
      <c r="A3820" s="53" t="s">
        <v>411</v>
      </c>
      <c r="B3820" s="53" t="s">
        <v>4945</v>
      </c>
      <c r="D3820" s="53" t="s">
        <v>941</v>
      </c>
      <c r="E3820" s="53" t="s">
        <v>5225</v>
      </c>
      <c r="F3820" s="53" t="s">
        <v>418</v>
      </c>
      <c r="G3820" s="53" t="s">
        <v>2796</v>
      </c>
      <c r="H3820" s="53">
        <v>1.0</v>
      </c>
      <c r="I3820" s="53">
        <v>0.25157232704402516</v>
      </c>
      <c r="J3820" s="53">
        <v>3.0</v>
      </c>
      <c r="K3820" s="53" t="s">
        <v>53</v>
      </c>
      <c r="L3820" s="53" t="s">
        <v>53</v>
      </c>
    </row>
    <row r="3821" ht="15.75" customHeight="1">
      <c r="A3821" s="53" t="s">
        <v>411</v>
      </c>
      <c r="B3821" s="53" t="s">
        <v>4945</v>
      </c>
      <c r="D3821" s="53" t="s">
        <v>941</v>
      </c>
      <c r="E3821" s="53" t="s">
        <v>5226</v>
      </c>
      <c r="F3821" s="53" t="s">
        <v>418</v>
      </c>
      <c r="G3821" s="53" t="s">
        <v>2799</v>
      </c>
      <c r="H3821" s="53">
        <v>1.0</v>
      </c>
      <c r="I3821" s="53">
        <v>0.27672955974842767</v>
      </c>
      <c r="J3821" s="53">
        <v>4.0</v>
      </c>
      <c r="K3821" s="53" t="s">
        <v>53</v>
      </c>
      <c r="L3821" s="53" t="s">
        <v>53</v>
      </c>
    </row>
    <row r="3822" ht="15.75" customHeight="1">
      <c r="A3822" s="53" t="s">
        <v>411</v>
      </c>
      <c r="B3822" s="53" t="s">
        <v>4945</v>
      </c>
      <c r="D3822" s="53" t="s">
        <v>941</v>
      </c>
      <c r="E3822" s="53" t="s">
        <v>5227</v>
      </c>
      <c r="F3822" s="53" t="s">
        <v>418</v>
      </c>
      <c r="G3822" s="53" t="s">
        <v>2801</v>
      </c>
      <c r="H3822" s="53">
        <v>1.0</v>
      </c>
      <c r="I3822" s="53">
        <v>0.27672955974842767</v>
      </c>
      <c r="J3822" s="53">
        <v>5.0</v>
      </c>
      <c r="K3822" s="53" t="s">
        <v>53</v>
      </c>
      <c r="L3822" s="53" t="s">
        <v>53</v>
      </c>
    </row>
    <row r="3823" ht="15.75" customHeight="1">
      <c r="A3823" s="53" t="s">
        <v>411</v>
      </c>
      <c r="B3823" s="53" t="s">
        <v>4945</v>
      </c>
      <c r="D3823" s="53" t="s">
        <v>941</v>
      </c>
      <c r="E3823" s="53" t="s">
        <v>5228</v>
      </c>
      <c r="F3823" s="53" t="s">
        <v>418</v>
      </c>
      <c r="G3823" s="53" t="s">
        <v>420</v>
      </c>
      <c r="H3823" s="53">
        <v>1.0</v>
      </c>
      <c r="I3823" s="53">
        <v>0.3270440251572327</v>
      </c>
      <c r="J3823" s="53">
        <v>6.0</v>
      </c>
      <c r="K3823" s="53" t="s">
        <v>53</v>
      </c>
      <c r="L3823" s="53" t="s">
        <v>53</v>
      </c>
    </row>
    <row r="3824" ht="15.75" customHeight="1">
      <c r="A3824" s="53" t="s">
        <v>411</v>
      </c>
      <c r="B3824" s="53" t="s">
        <v>4945</v>
      </c>
      <c r="D3824" s="53" t="s">
        <v>946</v>
      </c>
      <c r="E3824" s="53" t="s">
        <v>4911</v>
      </c>
      <c r="F3824" s="53" t="s">
        <v>418</v>
      </c>
      <c r="G3824" s="53" t="s">
        <v>950</v>
      </c>
      <c r="H3824" s="53">
        <v>1.0</v>
      </c>
      <c r="I3824" s="53">
        <v>0.17679558011049723</v>
      </c>
      <c r="J3824" s="53">
        <v>0.0</v>
      </c>
      <c r="K3824" s="53" t="s">
        <v>53</v>
      </c>
      <c r="L3824" s="53" t="s">
        <v>53</v>
      </c>
    </row>
    <row r="3825" ht="15.75" customHeight="1">
      <c r="A3825" s="53" t="s">
        <v>411</v>
      </c>
      <c r="B3825" s="53" t="s">
        <v>4945</v>
      </c>
      <c r="D3825" s="53" t="s">
        <v>946</v>
      </c>
      <c r="E3825" s="53" t="s">
        <v>5229</v>
      </c>
      <c r="F3825" s="53" t="s">
        <v>418</v>
      </c>
      <c r="G3825" s="53" t="s">
        <v>2792</v>
      </c>
      <c r="H3825" s="53">
        <v>1.0</v>
      </c>
      <c r="I3825" s="53">
        <v>0.18125</v>
      </c>
      <c r="J3825" s="53">
        <v>1.0</v>
      </c>
      <c r="K3825" s="53" t="s">
        <v>53</v>
      </c>
      <c r="L3825" s="53" t="s">
        <v>53</v>
      </c>
    </row>
    <row r="3826" ht="15.75" customHeight="1">
      <c r="A3826" s="53" t="s">
        <v>411</v>
      </c>
      <c r="B3826" s="53" t="s">
        <v>4945</v>
      </c>
      <c r="D3826" s="53" t="s">
        <v>946</v>
      </c>
      <c r="E3826" s="53" t="s">
        <v>5230</v>
      </c>
      <c r="F3826" s="53" t="s">
        <v>418</v>
      </c>
      <c r="G3826" s="53" t="s">
        <v>2796</v>
      </c>
      <c r="H3826" s="53">
        <v>1.0</v>
      </c>
      <c r="I3826" s="53">
        <v>0.23125</v>
      </c>
      <c r="J3826" s="53">
        <v>2.0</v>
      </c>
      <c r="K3826" s="53" t="s">
        <v>53</v>
      </c>
      <c r="L3826" s="53" t="s">
        <v>53</v>
      </c>
    </row>
    <row r="3827" ht="15.75" customHeight="1">
      <c r="A3827" s="53" t="s">
        <v>411</v>
      </c>
      <c r="B3827" s="53" t="s">
        <v>4945</v>
      </c>
      <c r="D3827" s="53" t="s">
        <v>946</v>
      </c>
      <c r="E3827" s="53" t="s">
        <v>5231</v>
      </c>
      <c r="F3827" s="53" t="s">
        <v>418</v>
      </c>
      <c r="G3827" s="53" t="s">
        <v>2799</v>
      </c>
      <c r="H3827" s="53">
        <v>1.0</v>
      </c>
      <c r="I3827" s="53">
        <v>0.28125</v>
      </c>
      <c r="J3827" s="53">
        <v>3.0</v>
      </c>
      <c r="K3827" s="53" t="s">
        <v>53</v>
      </c>
      <c r="L3827" s="53" t="s">
        <v>53</v>
      </c>
    </row>
    <row r="3828" ht="15.75" customHeight="1">
      <c r="A3828" s="53" t="s">
        <v>411</v>
      </c>
      <c r="B3828" s="53" t="s">
        <v>4945</v>
      </c>
      <c r="D3828" s="53" t="s">
        <v>946</v>
      </c>
      <c r="E3828" s="53" t="s">
        <v>5232</v>
      </c>
      <c r="F3828" s="53" t="s">
        <v>418</v>
      </c>
      <c r="G3828" s="53" t="s">
        <v>2801</v>
      </c>
      <c r="H3828" s="53">
        <v>1.0</v>
      </c>
      <c r="I3828" s="53">
        <v>0.28125</v>
      </c>
      <c r="J3828" s="53">
        <v>4.0</v>
      </c>
      <c r="K3828" s="53" t="s">
        <v>53</v>
      </c>
      <c r="L3828" s="53" t="s">
        <v>53</v>
      </c>
    </row>
    <row r="3829" ht="15.75" customHeight="1">
      <c r="A3829" s="53" t="s">
        <v>411</v>
      </c>
      <c r="B3829" s="53" t="s">
        <v>4945</v>
      </c>
      <c r="D3829" s="53" t="s">
        <v>946</v>
      </c>
      <c r="E3829" s="53" t="s">
        <v>5233</v>
      </c>
      <c r="F3829" s="53" t="s">
        <v>418</v>
      </c>
      <c r="G3829" s="53" t="s">
        <v>420</v>
      </c>
      <c r="H3829" s="53">
        <v>1.0</v>
      </c>
      <c r="I3829" s="53">
        <v>0.3375</v>
      </c>
      <c r="J3829" s="53">
        <v>5.0</v>
      </c>
      <c r="K3829" s="53" t="s">
        <v>53</v>
      </c>
      <c r="L3829" s="53" t="s">
        <v>53</v>
      </c>
    </row>
    <row r="3830" ht="15.75" customHeight="1">
      <c r="A3830" s="53" t="s">
        <v>411</v>
      </c>
      <c r="B3830" s="53" t="s">
        <v>4945</v>
      </c>
      <c r="D3830" s="53" t="s">
        <v>950</v>
      </c>
      <c r="E3830" s="53" t="s">
        <v>5234</v>
      </c>
      <c r="F3830" s="53" t="s">
        <v>418</v>
      </c>
      <c r="G3830" s="53" t="s">
        <v>2792</v>
      </c>
      <c r="H3830" s="53">
        <v>1.0</v>
      </c>
      <c r="I3830" s="53">
        <v>0.26519337016574585</v>
      </c>
      <c r="J3830" s="53">
        <v>0.0</v>
      </c>
      <c r="K3830" s="53" t="s">
        <v>53</v>
      </c>
      <c r="L3830" s="53" t="s">
        <v>53</v>
      </c>
    </row>
    <row r="3831" ht="15.75" customHeight="1">
      <c r="A3831" s="53" t="s">
        <v>411</v>
      </c>
      <c r="B3831" s="53" t="s">
        <v>4945</v>
      </c>
      <c r="D3831" s="53" t="s">
        <v>950</v>
      </c>
      <c r="E3831" s="53" t="s">
        <v>5235</v>
      </c>
      <c r="F3831" s="53" t="s">
        <v>418</v>
      </c>
      <c r="G3831" s="53" t="s">
        <v>2796</v>
      </c>
      <c r="H3831" s="53">
        <v>1.0</v>
      </c>
      <c r="I3831" s="53">
        <v>0.292817679558011</v>
      </c>
      <c r="J3831" s="53">
        <v>1.0</v>
      </c>
      <c r="K3831" s="53" t="s">
        <v>53</v>
      </c>
      <c r="L3831" s="53" t="s">
        <v>53</v>
      </c>
    </row>
    <row r="3832" ht="15.75" customHeight="1">
      <c r="A3832" s="53" t="s">
        <v>411</v>
      </c>
      <c r="B3832" s="53" t="s">
        <v>4945</v>
      </c>
      <c r="D3832" s="53" t="s">
        <v>950</v>
      </c>
      <c r="E3832" s="53" t="s">
        <v>5236</v>
      </c>
      <c r="F3832" s="53" t="s">
        <v>418</v>
      </c>
      <c r="G3832" s="53" t="s">
        <v>2799</v>
      </c>
      <c r="H3832" s="53">
        <v>1.0</v>
      </c>
      <c r="I3832" s="53">
        <v>0.34806629834254144</v>
      </c>
      <c r="J3832" s="53">
        <v>2.0</v>
      </c>
      <c r="K3832" s="53" t="s">
        <v>53</v>
      </c>
      <c r="L3832" s="53" t="s">
        <v>53</v>
      </c>
    </row>
    <row r="3833" ht="15.75" customHeight="1">
      <c r="A3833" s="53" t="s">
        <v>411</v>
      </c>
      <c r="B3833" s="53" t="s">
        <v>4945</v>
      </c>
      <c r="D3833" s="53" t="s">
        <v>950</v>
      </c>
      <c r="E3833" s="53" t="s">
        <v>5237</v>
      </c>
      <c r="F3833" s="53" t="s">
        <v>418</v>
      </c>
      <c r="G3833" s="53" t="s">
        <v>2801</v>
      </c>
      <c r="H3833" s="53">
        <v>1.0</v>
      </c>
      <c r="I3833" s="53">
        <v>0.35359116022099446</v>
      </c>
      <c r="J3833" s="53">
        <v>3.0</v>
      </c>
      <c r="K3833" s="53" t="s">
        <v>53</v>
      </c>
      <c r="L3833" s="53" t="s">
        <v>53</v>
      </c>
    </row>
    <row r="3834" ht="15.75" customHeight="1">
      <c r="A3834" s="53" t="s">
        <v>411</v>
      </c>
      <c r="B3834" s="53" t="s">
        <v>4945</v>
      </c>
      <c r="D3834" s="53" t="s">
        <v>950</v>
      </c>
      <c r="E3834" s="53" t="s">
        <v>5238</v>
      </c>
      <c r="F3834" s="53" t="s">
        <v>418</v>
      </c>
      <c r="G3834" s="53" t="s">
        <v>420</v>
      </c>
      <c r="H3834" s="53">
        <v>1.0</v>
      </c>
      <c r="I3834" s="53">
        <v>0.3867403314917127</v>
      </c>
      <c r="J3834" s="53">
        <v>4.0</v>
      </c>
      <c r="K3834" s="53" t="s">
        <v>53</v>
      </c>
      <c r="L3834" s="53" t="s">
        <v>53</v>
      </c>
    </row>
    <row r="3835" ht="15.75" customHeight="1">
      <c r="A3835" s="53" t="s">
        <v>411</v>
      </c>
      <c r="B3835" s="53" t="s">
        <v>4945</v>
      </c>
      <c r="D3835" s="53" t="s">
        <v>2792</v>
      </c>
      <c r="E3835" s="53" t="s">
        <v>5239</v>
      </c>
      <c r="F3835" s="53" t="s">
        <v>418</v>
      </c>
      <c r="G3835" s="53" t="s">
        <v>2796</v>
      </c>
      <c r="H3835" s="53">
        <v>1.0</v>
      </c>
      <c r="I3835" s="53">
        <v>0.11538461538461539</v>
      </c>
      <c r="J3835" s="53">
        <v>0.0</v>
      </c>
      <c r="K3835" s="53" t="s">
        <v>53</v>
      </c>
      <c r="L3835" s="53" t="s">
        <v>53</v>
      </c>
    </row>
    <row r="3836" ht="15.75" customHeight="1">
      <c r="A3836" s="53" t="s">
        <v>411</v>
      </c>
      <c r="B3836" s="53" t="s">
        <v>4945</v>
      </c>
      <c r="D3836" s="53" t="s">
        <v>2792</v>
      </c>
      <c r="E3836" s="53" t="s">
        <v>5240</v>
      </c>
      <c r="F3836" s="53" t="s">
        <v>418</v>
      </c>
      <c r="G3836" s="53" t="s">
        <v>2799</v>
      </c>
      <c r="H3836" s="53">
        <v>1.0</v>
      </c>
      <c r="I3836" s="53">
        <v>0.20689655172413793</v>
      </c>
      <c r="J3836" s="53">
        <v>1.0</v>
      </c>
      <c r="K3836" s="53" t="s">
        <v>53</v>
      </c>
      <c r="L3836" s="53" t="s">
        <v>53</v>
      </c>
    </row>
    <row r="3837" ht="15.75" customHeight="1">
      <c r="A3837" s="53" t="s">
        <v>411</v>
      </c>
      <c r="B3837" s="53" t="s">
        <v>4945</v>
      </c>
      <c r="D3837" s="53" t="s">
        <v>2792</v>
      </c>
      <c r="E3837" s="53" t="s">
        <v>5241</v>
      </c>
      <c r="F3837" s="53" t="s">
        <v>418</v>
      </c>
      <c r="G3837" s="53" t="s">
        <v>2801</v>
      </c>
      <c r="H3837" s="53">
        <v>1.0</v>
      </c>
      <c r="I3837" s="53">
        <v>0.2206896551724138</v>
      </c>
      <c r="J3837" s="53">
        <v>2.0</v>
      </c>
      <c r="K3837" s="53" t="s">
        <v>53</v>
      </c>
      <c r="L3837" s="53" t="s">
        <v>53</v>
      </c>
    </row>
    <row r="3838" ht="15.75" customHeight="1">
      <c r="A3838" s="53" t="s">
        <v>411</v>
      </c>
      <c r="B3838" s="53" t="s">
        <v>4945</v>
      </c>
      <c r="D3838" s="53" t="s">
        <v>2792</v>
      </c>
      <c r="E3838" s="53" t="s">
        <v>5242</v>
      </c>
      <c r="F3838" s="53" t="s">
        <v>418</v>
      </c>
      <c r="G3838" s="53" t="s">
        <v>420</v>
      </c>
      <c r="H3838" s="53">
        <v>1.0</v>
      </c>
      <c r="I3838" s="53">
        <v>0.25517241379310346</v>
      </c>
      <c r="J3838" s="53">
        <v>3.0</v>
      </c>
      <c r="K3838" s="53" t="s">
        <v>53</v>
      </c>
      <c r="L3838" s="53" t="s">
        <v>53</v>
      </c>
    </row>
    <row r="3839" ht="15.75" customHeight="1">
      <c r="A3839" s="53" t="s">
        <v>411</v>
      </c>
      <c r="B3839" s="53" t="s">
        <v>4945</v>
      </c>
      <c r="D3839" s="53" t="s">
        <v>2796</v>
      </c>
      <c r="E3839" s="53" t="s">
        <v>5243</v>
      </c>
      <c r="F3839" s="53" t="s">
        <v>418</v>
      </c>
      <c r="G3839" s="53" t="s">
        <v>420</v>
      </c>
      <c r="H3839" s="53">
        <v>1.0</v>
      </c>
      <c r="I3839" s="53">
        <v>0.26282051282051283</v>
      </c>
      <c r="J3839" s="53">
        <v>2.0</v>
      </c>
      <c r="K3839" s="53" t="s">
        <v>53</v>
      </c>
      <c r="L3839" s="53" t="s">
        <v>53</v>
      </c>
    </row>
    <row r="3840" ht="15.75" customHeight="1">
      <c r="A3840" s="53" t="s">
        <v>411</v>
      </c>
      <c r="B3840" s="53" t="s">
        <v>4945</v>
      </c>
      <c r="D3840" s="53" t="s">
        <v>2796</v>
      </c>
      <c r="E3840" s="53" t="s">
        <v>5244</v>
      </c>
      <c r="F3840" s="53" t="s">
        <v>418</v>
      </c>
      <c r="G3840" s="53" t="s">
        <v>2799</v>
      </c>
      <c r="H3840" s="53">
        <v>1.0</v>
      </c>
      <c r="I3840" s="53">
        <v>0.26282051282051283</v>
      </c>
      <c r="J3840" s="53">
        <v>0.0</v>
      </c>
      <c r="K3840" s="53" t="s">
        <v>53</v>
      </c>
      <c r="L3840" s="53" t="s">
        <v>53</v>
      </c>
    </row>
    <row r="3841" ht="15.75" customHeight="1">
      <c r="A3841" s="53" t="s">
        <v>411</v>
      </c>
      <c r="B3841" s="53" t="s">
        <v>4945</v>
      </c>
      <c r="D3841" s="53" t="s">
        <v>2796</v>
      </c>
      <c r="E3841" s="53" t="s">
        <v>5245</v>
      </c>
      <c r="F3841" s="53" t="s">
        <v>418</v>
      </c>
      <c r="G3841" s="53" t="s">
        <v>2801</v>
      </c>
      <c r="H3841" s="53">
        <v>1.0</v>
      </c>
      <c r="I3841" s="53">
        <v>0.27564102564102566</v>
      </c>
      <c r="J3841" s="53">
        <v>1.0</v>
      </c>
      <c r="K3841" s="53" t="s">
        <v>53</v>
      </c>
      <c r="L3841" s="53" t="s">
        <v>53</v>
      </c>
    </row>
    <row r="3842" ht="15.75" customHeight="1">
      <c r="A3842" s="53" t="s">
        <v>411</v>
      </c>
      <c r="B3842" s="53" t="s">
        <v>4945</v>
      </c>
      <c r="D3842" s="53" t="s">
        <v>2799</v>
      </c>
      <c r="E3842" s="53" t="s">
        <v>5246</v>
      </c>
      <c r="F3842" s="53" t="s">
        <v>418</v>
      </c>
      <c r="G3842" s="53" t="s">
        <v>2801</v>
      </c>
      <c r="H3842" s="53">
        <v>1.0</v>
      </c>
      <c r="I3842" s="53">
        <v>0.0916030534351145</v>
      </c>
      <c r="J3842" s="53">
        <v>0.0</v>
      </c>
      <c r="K3842" s="53" t="s">
        <v>53</v>
      </c>
      <c r="L3842" s="53" t="s">
        <v>53</v>
      </c>
    </row>
    <row r="3843" ht="15.75" customHeight="1">
      <c r="A3843" s="53" t="s">
        <v>411</v>
      </c>
      <c r="B3843" s="53" t="s">
        <v>4945</v>
      </c>
      <c r="D3843" s="53" t="s">
        <v>2799</v>
      </c>
      <c r="E3843" s="53" t="s">
        <v>5247</v>
      </c>
      <c r="F3843" s="53" t="s">
        <v>418</v>
      </c>
      <c r="G3843" s="53" t="s">
        <v>420</v>
      </c>
      <c r="H3843" s="53">
        <v>1.0</v>
      </c>
      <c r="I3843" s="53">
        <v>0.29927007299270075</v>
      </c>
      <c r="J3843" s="53">
        <v>1.0</v>
      </c>
      <c r="K3843" s="53" t="s">
        <v>53</v>
      </c>
      <c r="L3843" s="53" t="s">
        <v>53</v>
      </c>
    </row>
    <row r="3844" ht="15.75" customHeight="1">
      <c r="A3844" s="53" t="s">
        <v>411</v>
      </c>
      <c r="B3844" s="53" t="s">
        <v>4945</v>
      </c>
      <c r="D3844" s="53" t="s">
        <v>2801</v>
      </c>
      <c r="E3844" s="53" t="s">
        <v>5248</v>
      </c>
      <c r="F3844" s="53" t="s">
        <v>418</v>
      </c>
      <c r="G3844" s="53" t="s">
        <v>420</v>
      </c>
      <c r="H3844" s="53">
        <v>1.0</v>
      </c>
      <c r="I3844" s="53">
        <v>0.29927007299270075</v>
      </c>
      <c r="J3844" s="53">
        <v>0.0</v>
      </c>
      <c r="K3844" s="53" t="s">
        <v>53</v>
      </c>
      <c r="L3844" s="53" t="s">
        <v>53</v>
      </c>
    </row>
    <row r="3845" ht="15.75" customHeight="1">
      <c r="A3845" s="53" t="s">
        <v>411</v>
      </c>
      <c r="B3845" s="53" t="s">
        <v>4945</v>
      </c>
      <c r="D3845" s="53" t="s">
        <v>2825</v>
      </c>
      <c r="E3845" s="53" t="s">
        <v>5249</v>
      </c>
      <c r="F3845" s="53" t="s">
        <v>5250</v>
      </c>
      <c r="G3845" s="53" t="s">
        <v>2828</v>
      </c>
      <c r="H3845" s="53">
        <v>1.0</v>
      </c>
      <c r="I3845" s="53">
        <v>0.10625</v>
      </c>
      <c r="J3845" s="53">
        <v>0.0</v>
      </c>
      <c r="K3845" s="53" t="s">
        <v>53</v>
      </c>
      <c r="L3845" s="53" t="s">
        <v>53</v>
      </c>
    </row>
    <row r="3846" ht="15.75" customHeight="1">
      <c r="A3846" s="53" t="s">
        <v>411</v>
      </c>
      <c r="B3846" s="53" t="s">
        <v>4945</v>
      </c>
      <c r="D3846" s="53" t="s">
        <v>2825</v>
      </c>
      <c r="E3846" s="53" t="s">
        <v>5251</v>
      </c>
      <c r="F3846" s="53" t="s">
        <v>5250</v>
      </c>
      <c r="G3846" s="53" t="s">
        <v>2830</v>
      </c>
      <c r="H3846" s="53">
        <v>1.0</v>
      </c>
      <c r="I3846" s="53">
        <v>0.19375</v>
      </c>
      <c r="J3846" s="53">
        <v>1.0</v>
      </c>
      <c r="K3846" s="53" t="s">
        <v>53</v>
      </c>
      <c r="L3846" s="53" t="s">
        <v>53</v>
      </c>
    </row>
    <row r="3847" ht="15.75" customHeight="1">
      <c r="A3847" s="53" t="s">
        <v>411</v>
      </c>
      <c r="B3847" s="53" t="s">
        <v>4945</v>
      </c>
      <c r="D3847" s="53" t="s">
        <v>2828</v>
      </c>
      <c r="E3847" s="53" t="s">
        <v>5252</v>
      </c>
      <c r="F3847" s="53" t="s">
        <v>5250</v>
      </c>
      <c r="G3847" s="53" t="s">
        <v>2830</v>
      </c>
      <c r="H3847" s="53">
        <v>1.0</v>
      </c>
      <c r="I3847" s="53">
        <v>0.2125</v>
      </c>
      <c r="J3847" s="53">
        <v>0.0</v>
      </c>
      <c r="K3847" s="53" t="s">
        <v>53</v>
      </c>
      <c r="L3847" s="53" t="s">
        <v>53</v>
      </c>
    </row>
    <row r="3848" ht="15.75" customHeight="1">
      <c r="A3848" s="53" t="s">
        <v>411</v>
      </c>
      <c r="B3848" s="53" t="s">
        <v>4945</v>
      </c>
      <c r="D3848" s="53" t="s">
        <v>951</v>
      </c>
      <c r="E3848" s="53" t="s">
        <v>953</v>
      </c>
      <c r="F3848" s="53" t="s">
        <v>471</v>
      </c>
      <c r="G3848" s="53" t="s">
        <v>956</v>
      </c>
      <c r="H3848" s="53">
        <v>1.0</v>
      </c>
      <c r="I3848" s="53">
        <v>0.1111111111111111</v>
      </c>
      <c r="J3848" s="53">
        <v>20.0</v>
      </c>
      <c r="K3848" s="53" t="s">
        <v>53</v>
      </c>
      <c r="L3848" s="53" t="s">
        <v>53</v>
      </c>
    </row>
    <row r="3849" ht="15.75" customHeight="1">
      <c r="A3849" s="53" t="s">
        <v>411</v>
      </c>
      <c r="B3849" s="53" t="s">
        <v>4945</v>
      </c>
      <c r="D3849" s="53" t="s">
        <v>951</v>
      </c>
      <c r="E3849" s="53" t="s">
        <v>5253</v>
      </c>
      <c r="F3849" s="53" t="s">
        <v>471</v>
      </c>
      <c r="G3849" s="53" t="s">
        <v>467</v>
      </c>
      <c r="H3849" s="53">
        <v>1.0</v>
      </c>
      <c r="I3849" s="53">
        <v>0.13392857142857142</v>
      </c>
      <c r="J3849" s="53">
        <v>0.0</v>
      </c>
      <c r="K3849" s="53" t="s">
        <v>53</v>
      </c>
      <c r="L3849" s="53" t="s">
        <v>53</v>
      </c>
    </row>
    <row r="3850" ht="15.75" customHeight="1">
      <c r="A3850" s="53" t="s">
        <v>411</v>
      </c>
      <c r="B3850" s="53" t="s">
        <v>4945</v>
      </c>
      <c r="D3850" s="53" t="s">
        <v>467</v>
      </c>
      <c r="E3850" s="53" t="s">
        <v>5254</v>
      </c>
      <c r="F3850" s="53" t="s">
        <v>471</v>
      </c>
      <c r="G3850" s="53" t="s">
        <v>956</v>
      </c>
      <c r="H3850" s="53">
        <v>1.0</v>
      </c>
      <c r="I3850" s="53">
        <v>0.1623931623931624</v>
      </c>
      <c r="J3850" s="53">
        <v>19.0</v>
      </c>
      <c r="K3850" s="53" t="s">
        <v>53</v>
      </c>
      <c r="L3850" s="53" t="s">
        <v>53</v>
      </c>
    </row>
    <row r="3851" ht="15.75" customHeight="1">
      <c r="A3851" s="53" t="s">
        <v>411</v>
      </c>
      <c r="B3851" s="53" t="s">
        <v>4945</v>
      </c>
      <c r="D3851" s="53" t="s">
        <v>2832</v>
      </c>
      <c r="E3851" s="53" t="s">
        <v>5255</v>
      </c>
      <c r="F3851" s="53" t="s">
        <v>5256</v>
      </c>
      <c r="G3851" s="53" t="s">
        <v>2835</v>
      </c>
      <c r="H3851" s="53">
        <v>1.0</v>
      </c>
      <c r="I3851" s="53">
        <v>0.09701492537313433</v>
      </c>
      <c r="J3851" s="53">
        <v>0.0</v>
      </c>
      <c r="K3851" s="53" t="s">
        <v>53</v>
      </c>
      <c r="L3851" s="53" t="s">
        <v>53</v>
      </c>
    </row>
    <row r="3852" ht="15.75" customHeight="1">
      <c r="A3852" s="53" t="s">
        <v>411</v>
      </c>
      <c r="B3852" s="53" t="s">
        <v>4945</v>
      </c>
      <c r="D3852" s="53" t="s">
        <v>2832</v>
      </c>
      <c r="E3852" s="53" t="s">
        <v>5257</v>
      </c>
      <c r="F3852" s="53" t="s">
        <v>5256</v>
      </c>
      <c r="G3852" s="53" t="s">
        <v>2837</v>
      </c>
      <c r="H3852" s="53">
        <v>1.0</v>
      </c>
      <c r="I3852" s="53">
        <v>0.09701492537313433</v>
      </c>
      <c r="J3852" s="53">
        <v>1.0</v>
      </c>
      <c r="K3852" s="53" t="s">
        <v>53</v>
      </c>
      <c r="L3852" s="53" t="s">
        <v>53</v>
      </c>
    </row>
    <row r="3853" ht="15.75" customHeight="1">
      <c r="A3853" s="53" t="s">
        <v>411</v>
      </c>
      <c r="B3853" s="53" t="s">
        <v>4945</v>
      </c>
      <c r="D3853" s="53" t="s">
        <v>2835</v>
      </c>
      <c r="E3853" s="53" t="s">
        <v>5258</v>
      </c>
      <c r="F3853" s="53" t="s">
        <v>5256</v>
      </c>
      <c r="G3853" s="53" t="s">
        <v>2837</v>
      </c>
      <c r="H3853" s="53">
        <v>1.0</v>
      </c>
      <c r="I3853" s="53">
        <v>0.0546875</v>
      </c>
      <c r="J3853" s="53">
        <v>0.0</v>
      </c>
      <c r="K3853" s="53" t="s">
        <v>53</v>
      </c>
      <c r="L3853" s="53" t="s">
        <v>53</v>
      </c>
    </row>
    <row r="3854" ht="15.75" customHeight="1">
      <c r="A3854" s="53" t="s">
        <v>411</v>
      </c>
      <c r="B3854" s="53" t="s">
        <v>4945</v>
      </c>
      <c r="D3854" s="53" t="s">
        <v>2839</v>
      </c>
      <c r="E3854" s="53" t="s">
        <v>5259</v>
      </c>
      <c r="F3854" s="53" t="s">
        <v>5260</v>
      </c>
      <c r="G3854" s="53" t="s">
        <v>2842</v>
      </c>
      <c r="H3854" s="53">
        <v>1.0</v>
      </c>
      <c r="I3854" s="53">
        <v>0.10218978102189781</v>
      </c>
      <c r="J3854" s="53">
        <v>0.0</v>
      </c>
      <c r="K3854" s="53" t="s">
        <v>53</v>
      </c>
      <c r="L3854" s="53" t="s">
        <v>53</v>
      </c>
    </row>
    <row r="3855" ht="15.75" customHeight="1">
      <c r="A3855" s="53" t="s">
        <v>411</v>
      </c>
      <c r="B3855" s="53" t="s">
        <v>4945</v>
      </c>
      <c r="D3855" s="53" t="s">
        <v>4913</v>
      </c>
      <c r="E3855" s="53" t="s">
        <v>4914</v>
      </c>
      <c r="F3855" s="53" t="s">
        <v>4915</v>
      </c>
      <c r="G3855" s="53" t="s">
        <v>4916</v>
      </c>
      <c r="H3855" s="53">
        <v>1.0</v>
      </c>
      <c r="I3855" s="53">
        <v>0.0898876404494382</v>
      </c>
      <c r="J3855" s="53">
        <v>0.0</v>
      </c>
      <c r="K3855" s="53" t="s">
        <v>53</v>
      </c>
      <c r="L3855" s="53" t="s">
        <v>53</v>
      </c>
    </row>
    <row r="3856" ht="15.75" customHeight="1">
      <c r="A3856" s="53" t="s">
        <v>411</v>
      </c>
      <c r="B3856" s="53" t="s">
        <v>4945</v>
      </c>
      <c r="D3856" s="53" t="s">
        <v>445</v>
      </c>
      <c r="E3856" s="53" t="s">
        <v>447</v>
      </c>
      <c r="F3856" s="53" t="s">
        <v>429</v>
      </c>
      <c r="G3856" s="53" t="s">
        <v>450</v>
      </c>
      <c r="H3856" s="53">
        <v>1.0</v>
      </c>
      <c r="I3856" s="53">
        <v>0.015625</v>
      </c>
      <c r="J3856" s="53">
        <v>5.0</v>
      </c>
      <c r="K3856" s="53" t="s">
        <v>53</v>
      </c>
      <c r="L3856" s="53" t="s">
        <v>53</v>
      </c>
    </row>
    <row r="3857" ht="15.75" customHeight="1">
      <c r="A3857" s="53" t="s">
        <v>411</v>
      </c>
      <c r="B3857" s="53" t="s">
        <v>4945</v>
      </c>
      <c r="D3857" s="53" t="s">
        <v>445</v>
      </c>
      <c r="E3857" s="53" t="s">
        <v>5261</v>
      </c>
      <c r="F3857" s="53" t="s">
        <v>429</v>
      </c>
      <c r="G3857" s="53" t="s">
        <v>425</v>
      </c>
      <c r="H3857" s="53">
        <v>1.0</v>
      </c>
      <c r="I3857" s="53">
        <v>0.0234375</v>
      </c>
      <c r="J3857" s="53">
        <v>1.0</v>
      </c>
      <c r="K3857" s="53" t="s">
        <v>53</v>
      </c>
      <c r="L3857" s="53" t="s">
        <v>53</v>
      </c>
    </row>
    <row r="3858" ht="15.75" customHeight="1">
      <c r="A3858" s="53" t="s">
        <v>411</v>
      </c>
      <c r="B3858" s="53" t="s">
        <v>4945</v>
      </c>
      <c r="D3858" s="53" t="s">
        <v>445</v>
      </c>
      <c r="E3858" s="53" t="s">
        <v>5262</v>
      </c>
      <c r="F3858" s="53" t="s">
        <v>429</v>
      </c>
      <c r="G3858" s="53" t="s">
        <v>436</v>
      </c>
      <c r="H3858" s="53">
        <v>1.0</v>
      </c>
      <c r="I3858" s="53">
        <v>0.0234375</v>
      </c>
      <c r="J3858" s="53">
        <v>2.0</v>
      </c>
      <c r="K3858" s="53" t="s">
        <v>53</v>
      </c>
      <c r="L3858" s="53" t="s">
        <v>53</v>
      </c>
    </row>
    <row r="3859" ht="15.75" customHeight="1">
      <c r="A3859" s="53" t="s">
        <v>411</v>
      </c>
      <c r="B3859" s="53" t="s">
        <v>4945</v>
      </c>
      <c r="D3859" s="53" t="s">
        <v>445</v>
      </c>
      <c r="E3859" s="53" t="s">
        <v>5263</v>
      </c>
      <c r="F3859" s="53" t="s">
        <v>429</v>
      </c>
      <c r="G3859" s="53" t="s">
        <v>431</v>
      </c>
      <c r="H3859" s="53">
        <v>1.0</v>
      </c>
      <c r="I3859" s="53">
        <v>0.0234375</v>
      </c>
      <c r="J3859" s="53">
        <v>0.0</v>
      </c>
      <c r="K3859" s="53" t="s">
        <v>53</v>
      </c>
      <c r="L3859" s="53" t="s">
        <v>53</v>
      </c>
    </row>
    <row r="3860" ht="15.75" customHeight="1">
      <c r="A3860" s="53" t="s">
        <v>411</v>
      </c>
      <c r="B3860" s="53" t="s">
        <v>4945</v>
      </c>
      <c r="D3860" s="53" t="s">
        <v>445</v>
      </c>
      <c r="E3860" s="53" t="s">
        <v>5264</v>
      </c>
      <c r="F3860" s="53" t="s">
        <v>429</v>
      </c>
      <c r="G3860" s="53" t="s">
        <v>444</v>
      </c>
      <c r="H3860" s="53">
        <v>1.0</v>
      </c>
      <c r="I3860" s="53">
        <v>0.0234375</v>
      </c>
      <c r="J3860" s="53">
        <v>4.0</v>
      </c>
      <c r="K3860" s="53" t="s">
        <v>53</v>
      </c>
      <c r="L3860" s="53" t="s">
        <v>53</v>
      </c>
    </row>
    <row r="3861" ht="15.75" customHeight="1">
      <c r="A3861" s="53" t="s">
        <v>411</v>
      </c>
      <c r="B3861" s="53" t="s">
        <v>4945</v>
      </c>
      <c r="D3861" s="53" t="s">
        <v>445</v>
      </c>
      <c r="E3861" s="53" t="s">
        <v>5265</v>
      </c>
      <c r="F3861" s="53" t="s">
        <v>429</v>
      </c>
      <c r="G3861" s="53" t="s">
        <v>440</v>
      </c>
      <c r="H3861" s="53">
        <v>1.0</v>
      </c>
      <c r="I3861" s="53">
        <v>0.031007751937984496</v>
      </c>
      <c r="J3861" s="53">
        <v>3.0</v>
      </c>
      <c r="K3861" s="53" t="s">
        <v>53</v>
      </c>
      <c r="L3861" s="53" t="s">
        <v>53</v>
      </c>
    </row>
    <row r="3862" ht="15.75" customHeight="1">
      <c r="A3862" s="53" t="s">
        <v>411</v>
      </c>
      <c r="B3862" s="53" t="s">
        <v>4945</v>
      </c>
      <c r="D3862" s="53" t="s">
        <v>445</v>
      </c>
      <c r="E3862" s="53" t="s">
        <v>5266</v>
      </c>
      <c r="F3862" s="53" t="s">
        <v>429</v>
      </c>
      <c r="G3862" s="53" t="s">
        <v>454</v>
      </c>
      <c r="H3862" s="53">
        <v>1.0</v>
      </c>
      <c r="I3862" s="53">
        <v>0.03125</v>
      </c>
      <c r="J3862" s="53">
        <v>6.0</v>
      </c>
      <c r="K3862" s="53" t="s">
        <v>53</v>
      </c>
      <c r="L3862" s="53" t="s">
        <v>53</v>
      </c>
    </row>
    <row r="3863" ht="15.75" customHeight="1">
      <c r="A3863" s="53" t="s">
        <v>411</v>
      </c>
      <c r="B3863" s="53" t="s">
        <v>4945</v>
      </c>
      <c r="D3863" s="53" t="s">
        <v>445</v>
      </c>
      <c r="E3863" s="53" t="s">
        <v>5267</v>
      </c>
      <c r="F3863" s="53" t="s">
        <v>429</v>
      </c>
      <c r="G3863" s="53" t="s">
        <v>466</v>
      </c>
      <c r="H3863" s="53">
        <v>1.0</v>
      </c>
      <c r="I3863" s="53">
        <v>0.038461538461538464</v>
      </c>
      <c r="J3863" s="53">
        <v>9.0</v>
      </c>
      <c r="K3863" s="53" t="s">
        <v>53</v>
      </c>
      <c r="L3863" s="53" t="s">
        <v>53</v>
      </c>
    </row>
    <row r="3864" ht="15.75" customHeight="1">
      <c r="A3864" s="53" t="s">
        <v>411</v>
      </c>
      <c r="B3864" s="53" t="s">
        <v>4945</v>
      </c>
      <c r="D3864" s="53" t="s">
        <v>445</v>
      </c>
      <c r="E3864" s="53" t="s">
        <v>5268</v>
      </c>
      <c r="F3864" s="53" t="s">
        <v>429</v>
      </c>
      <c r="G3864" s="53" t="s">
        <v>458</v>
      </c>
      <c r="H3864" s="53">
        <v>1.0</v>
      </c>
      <c r="I3864" s="53">
        <v>0.03875968992248062</v>
      </c>
      <c r="J3864" s="53">
        <v>7.0</v>
      </c>
      <c r="K3864" s="53" t="s">
        <v>53</v>
      </c>
      <c r="L3864" s="53" t="s">
        <v>53</v>
      </c>
    </row>
    <row r="3865" ht="15.75" customHeight="1">
      <c r="A3865" s="53" t="s">
        <v>411</v>
      </c>
      <c r="B3865" s="53" t="s">
        <v>4945</v>
      </c>
      <c r="D3865" s="53" t="s">
        <v>445</v>
      </c>
      <c r="E3865" s="53" t="s">
        <v>5269</v>
      </c>
      <c r="F3865" s="53" t="s">
        <v>429</v>
      </c>
      <c r="G3865" s="53" t="s">
        <v>462</v>
      </c>
      <c r="H3865" s="53">
        <v>1.0</v>
      </c>
      <c r="I3865" s="53">
        <v>0.046153846153846156</v>
      </c>
      <c r="J3865" s="53">
        <v>8.0</v>
      </c>
      <c r="K3865" s="53" t="s">
        <v>53</v>
      </c>
      <c r="L3865" s="53" t="s">
        <v>53</v>
      </c>
    </row>
    <row r="3866" ht="15.75" customHeight="1">
      <c r="A3866" s="53" t="s">
        <v>411</v>
      </c>
      <c r="B3866" s="53" t="s">
        <v>4945</v>
      </c>
      <c r="D3866" s="53" t="s">
        <v>431</v>
      </c>
      <c r="E3866" s="53" t="s">
        <v>5270</v>
      </c>
      <c r="F3866" s="53" t="s">
        <v>429</v>
      </c>
      <c r="G3866" s="53" t="s">
        <v>425</v>
      </c>
      <c r="H3866" s="53">
        <v>1.0</v>
      </c>
      <c r="I3866" s="53">
        <v>0.0078125</v>
      </c>
      <c r="J3866" s="53">
        <v>0.0</v>
      </c>
      <c r="K3866" s="53" t="s">
        <v>53</v>
      </c>
      <c r="L3866" s="53" t="s">
        <v>53</v>
      </c>
    </row>
    <row r="3867" ht="15.75" customHeight="1">
      <c r="A3867" s="53" t="s">
        <v>411</v>
      </c>
      <c r="B3867" s="53" t="s">
        <v>4945</v>
      </c>
      <c r="D3867" s="53" t="s">
        <v>431</v>
      </c>
      <c r="E3867" s="53" t="s">
        <v>3743</v>
      </c>
      <c r="F3867" s="53" t="s">
        <v>429</v>
      </c>
      <c r="G3867" s="53" t="s">
        <v>466</v>
      </c>
      <c r="H3867" s="53">
        <v>1.0</v>
      </c>
      <c r="I3867" s="53">
        <v>0.023076923076923078</v>
      </c>
      <c r="J3867" s="53">
        <v>8.0</v>
      </c>
      <c r="K3867" s="53" t="s">
        <v>53</v>
      </c>
      <c r="L3867" s="53" t="s">
        <v>53</v>
      </c>
    </row>
    <row r="3868" ht="15.75" customHeight="1">
      <c r="A3868" s="53" t="s">
        <v>411</v>
      </c>
      <c r="B3868" s="53" t="s">
        <v>4945</v>
      </c>
      <c r="D3868" s="53" t="s">
        <v>431</v>
      </c>
      <c r="E3868" s="53" t="s">
        <v>3745</v>
      </c>
      <c r="F3868" s="53" t="s">
        <v>429</v>
      </c>
      <c r="G3868" s="53" t="s">
        <v>458</v>
      </c>
      <c r="H3868" s="53">
        <v>1.0</v>
      </c>
      <c r="I3868" s="53">
        <v>0.023255813953488372</v>
      </c>
      <c r="J3868" s="53">
        <v>6.0</v>
      </c>
      <c r="K3868" s="53" t="s">
        <v>53</v>
      </c>
      <c r="L3868" s="53" t="s">
        <v>53</v>
      </c>
    </row>
    <row r="3869" ht="15.75" customHeight="1">
      <c r="A3869" s="53" t="s">
        <v>411</v>
      </c>
      <c r="B3869" s="53" t="s">
        <v>4945</v>
      </c>
      <c r="D3869" s="53" t="s">
        <v>431</v>
      </c>
      <c r="E3869" s="53" t="s">
        <v>3746</v>
      </c>
      <c r="F3869" s="53" t="s">
        <v>429</v>
      </c>
      <c r="G3869" s="53" t="s">
        <v>450</v>
      </c>
      <c r="H3869" s="53">
        <v>1.0</v>
      </c>
      <c r="I3869" s="53">
        <v>0.0234375</v>
      </c>
      <c r="J3869" s="53">
        <v>4.0</v>
      </c>
      <c r="K3869" s="53" t="s">
        <v>53</v>
      </c>
      <c r="L3869" s="53" t="s">
        <v>53</v>
      </c>
    </row>
    <row r="3870" ht="15.75" customHeight="1">
      <c r="A3870" s="53" t="s">
        <v>411</v>
      </c>
      <c r="B3870" s="53" t="s">
        <v>4945</v>
      </c>
      <c r="D3870" s="53" t="s">
        <v>431</v>
      </c>
      <c r="E3870" s="53" t="s">
        <v>3748</v>
      </c>
      <c r="F3870" s="53" t="s">
        <v>429</v>
      </c>
      <c r="G3870" s="53" t="s">
        <v>454</v>
      </c>
      <c r="H3870" s="53">
        <v>1.0</v>
      </c>
      <c r="I3870" s="53">
        <v>0.0234375</v>
      </c>
      <c r="J3870" s="53">
        <v>5.0</v>
      </c>
      <c r="K3870" s="53" t="s">
        <v>53</v>
      </c>
      <c r="L3870" s="53" t="s">
        <v>53</v>
      </c>
    </row>
    <row r="3871" ht="15.75" customHeight="1">
      <c r="A3871" s="53" t="s">
        <v>411</v>
      </c>
      <c r="B3871" s="53" t="s">
        <v>4945</v>
      </c>
      <c r="D3871" s="53" t="s">
        <v>431</v>
      </c>
      <c r="E3871" s="53" t="s">
        <v>3747</v>
      </c>
      <c r="F3871" s="53" t="s">
        <v>429</v>
      </c>
      <c r="G3871" s="53" t="s">
        <v>436</v>
      </c>
      <c r="H3871" s="53">
        <v>1.0</v>
      </c>
      <c r="I3871" s="53">
        <v>0.0234375</v>
      </c>
      <c r="J3871" s="53">
        <v>1.0</v>
      </c>
      <c r="K3871" s="53" t="s">
        <v>53</v>
      </c>
      <c r="L3871" s="53" t="s">
        <v>53</v>
      </c>
    </row>
    <row r="3872" ht="15.75" customHeight="1">
      <c r="A3872" s="53" t="s">
        <v>411</v>
      </c>
      <c r="B3872" s="53" t="s">
        <v>4945</v>
      </c>
      <c r="D3872" s="53" t="s">
        <v>431</v>
      </c>
      <c r="E3872" s="53" t="s">
        <v>3749</v>
      </c>
      <c r="F3872" s="53" t="s">
        <v>429</v>
      </c>
      <c r="G3872" s="53" t="s">
        <v>444</v>
      </c>
      <c r="H3872" s="53">
        <v>1.0</v>
      </c>
      <c r="I3872" s="53">
        <v>0.0234375</v>
      </c>
      <c r="J3872" s="53">
        <v>3.0</v>
      </c>
      <c r="K3872" s="53" t="s">
        <v>53</v>
      </c>
      <c r="L3872" s="53" t="s">
        <v>53</v>
      </c>
    </row>
    <row r="3873" ht="15.75" customHeight="1">
      <c r="A3873" s="53" t="s">
        <v>411</v>
      </c>
      <c r="B3873" s="53" t="s">
        <v>4945</v>
      </c>
      <c r="D3873" s="53" t="s">
        <v>431</v>
      </c>
      <c r="E3873" s="53" t="s">
        <v>3750</v>
      </c>
      <c r="F3873" s="53" t="s">
        <v>429</v>
      </c>
      <c r="G3873" s="53" t="s">
        <v>462</v>
      </c>
      <c r="H3873" s="53">
        <v>1.0</v>
      </c>
      <c r="I3873" s="53">
        <v>0.03076923076923077</v>
      </c>
      <c r="J3873" s="53">
        <v>7.0</v>
      </c>
      <c r="K3873" s="53" t="s">
        <v>53</v>
      </c>
      <c r="L3873" s="53" t="s">
        <v>53</v>
      </c>
    </row>
    <row r="3874" ht="15.75" customHeight="1">
      <c r="A3874" s="53" t="s">
        <v>411</v>
      </c>
      <c r="B3874" s="53" t="s">
        <v>4945</v>
      </c>
      <c r="D3874" s="53" t="s">
        <v>431</v>
      </c>
      <c r="E3874" s="53" t="s">
        <v>3751</v>
      </c>
      <c r="F3874" s="53" t="s">
        <v>429</v>
      </c>
      <c r="G3874" s="53" t="s">
        <v>440</v>
      </c>
      <c r="H3874" s="53">
        <v>1.0</v>
      </c>
      <c r="I3874" s="53">
        <v>0.031007751937984496</v>
      </c>
      <c r="J3874" s="53">
        <v>2.0</v>
      </c>
      <c r="K3874" s="53" t="s">
        <v>53</v>
      </c>
      <c r="L3874" s="53" t="s">
        <v>53</v>
      </c>
    </row>
    <row r="3875" ht="15.75" customHeight="1">
      <c r="A3875" s="53" t="s">
        <v>411</v>
      </c>
      <c r="B3875" s="53" t="s">
        <v>4945</v>
      </c>
      <c r="D3875" s="53" t="s">
        <v>425</v>
      </c>
      <c r="E3875" s="53" t="s">
        <v>5271</v>
      </c>
      <c r="F3875" s="53" t="s">
        <v>429</v>
      </c>
      <c r="G3875" s="53" t="s">
        <v>450</v>
      </c>
      <c r="H3875" s="53">
        <v>1.0</v>
      </c>
      <c r="I3875" s="53">
        <v>0.0234375</v>
      </c>
      <c r="J3875" s="53">
        <v>3.0</v>
      </c>
      <c r="K3875" s="53" t="s">
        <v>53</v>
      </c>
      <c r="L3875" s="53" t="s">
        <v>53</v>
      </c>
    </row>
    <row r="3876" ht="15.75" customHeight="1">
      <c r="A3876" s="53" t="s">
        <v>411</v>
      </c>
      <c r="B3876" s="53" t="s">
        <v>4945</v>
      </c>
      <c r="D3876" s="53" t="s">
        <v>425</v>
      </c>
      <c r="E3876" s="53" t="s">
        <v>451</v>
      </c>
      <c r="F3876" s="53" t="s">
        <v>429</v>
      </c>
      <c r="G3876" s="53" t="s">
        <v>454</v>
      </c>
      <c r="H3876" s="53">
        <v>1.0</v>
      </c>
      <c r="I3876" s="53">
        <v>0.0234375</v>
      </c>
      <c r="J3876" s="53">
        <v>4.0</v>
      </c>
      <c r="K3876" s="53" t="s">
        <v>53</v>
      </c>
      <c r="L3876" s="53" t="s">
        <v>53</v>
      </c>
    </row>
    <row r="3877" ht="15.75" customHeight="1">
      <c r="A3877" s="53" t="s">
        <v>411</v>
      </c>
      <c r="B3877" s="53" t="s">
        <v>4945</v>
      </c>
      <c r="D3877" s="53" t="s">
        <v>425</v>
      </c>
      <c r="E3877" s="53" t="s">
        <v>433</v>
      </c>
      <c r="F3877" s="53" t="s">
        <v>429</v>
      </c>
      <c r="G3877" s="53" t="s">
        <v>436</v>
      </c>
      <c r="H3877" s="53">
        <v>1.0</v>
      </c>
      <c r="I3877" s="53">
        <v>0.0234375</v>
      </c>
      <c r="J3877" s="53">
        <v>0.0</v>
      </c>
      <c r="K3877" s="53" t="s">
        <v>53</v>
      </c>
      <c r="L3877" s="53" t="s">
        <v>53</v>
      </c>
    </row>
    <row r="3878" ht="15.75" customHeight="1">
      <c r="A3878" s="53" t="s">
        <v>411</v>
      </c>
      <c r="B3878" s="53" t="s">
        <v>4945</v>
      </c>
      <c r="D3878" s="53" t="s">
        <v>425</v>
      </c>
      <c r="E3878" s="53" t="s">
        <v>441</v>
      </c>
      <c r="F3878" s="53" t="s">
        <v>429</v>
      </c>
      <c r="G3878" s="53" t="s">
        <v>444</v>
      </c>
      <c r="H3878" s="53">
        <v>1.0</v>
      </c>
      <c r="I3878" s="53">
        <v>0.0234375</v>
      </c>
      <c r="J3878" s="53">
        <v>2.0</v>
      </c>
      <c r="K3878" s="53" t="s">
        <v>53</v>
      </c>
      <c r="L3878" s="53" t="s">
        <v>53</v>
      </c>
    </row>
    <row r="3879" ht="15.75" customHeight="1">
      <c r="A3879" s="53" t="s">
        <v>411</v>
      </c>
      <c r="B3879" s="53" t="s">
        <v>4945</v>
      </c>
      <c r="D3879" s="53" t="s">
        <v>425</v>
      </c>
      <c r="E3879" s="53" t="s">
        <v>463</v>
      </c>
      <c r="F3879" s="53" t="s">
        <v>429</v>
      </c>
      <c r="G3879" s="53" t="s">
        <v>466</v>
      </c>
      <c r="H3879" s="53">
        <v>1.0</v>
      </c>
      <c r="I3879" s="53">
        <v>0.03076923076923077</v>
      </c>
      <c r="J3879" s="53">
        <v>7.0</v>
      </c>
      <c r="K3879" s="53" t="s">
        <v>53</v>
      </c>
      <c r="L3879" s="53" t="s">
        <v>53</v>
      </c>
    </row>
    <row r="3880" ht="15.75" customHeight="1">
      <c r="A3880" s="53" t="s">
        <v>411</v>
      </c>
      <c r="B3880" s="53" t="s">
        <v>4945</v>
      </c>
      <c r="D3880" s="53" t="s">
        <v>425</v>
      </c>
      <c r="E3880" s="53" t="s">
        <v>437</v>
      </c>
      <c r="F3880" s="53" t="s">
        <v>429</v>
      </c>
      <c r="G3880" s="53" t="s">
        <v>440</v>
      </c>
      <c r="H3880" s="53">
        <v>1.0</v>
      </c>
      <c r="I3880" s="53">
        <v>0.031007751937984496</v>
      </c>
      <c r="J3880" s="53">
        <v>1.0</v>
      </c>
      <c r="K3880" s="53" t="s">
        <v>53</v>
      </c>
      <c r="L3880" s="53" t="s">
        <v>53</v>
      </c>
    </row>
    <row r="3881" ht="15.75" customHeight="1">
      <c r="A3881" s="53" t="s">
        <v>411</v>
      </c>
      <c r="B3881" s="53" t="s">
        <v>4945</v>
      </c>
      <c r="D3881" s="53" t="s">
        <v>425</v>
      </c>
      <c r="E3881" s="53" t="s">
        <v>455</v>
      </c>
      <c r="F3881" s="53" t="s">
        <v>429</v>
      </c>
      <c r="G3881" s="53" t="s">
        <v>458</v>
      </c>
      <c r="H3881" s="53">
        <v>1.0</v>
      </c>
      <c r="I3881" s="53">
        <v>0.031007751937984496</v>
      </c>
      <c r="J3881" s="53">
        <v>5.0</v>
      </c>
      <c r="K3881" s="53" t="s">
        <v>53</v>
      </c>
      <c r="L3881" s="53" t="s">
        <v>53</v>
      </c>
    </row>
    <row r="3882" ht="15.75" customHeight="1">
      <c r="A3882" s="53" t="s">
        <v>411</v>
      </c>
      <c r="B3882" s="53" t="s">
        <v>4945</v>
      </c>
      <c r="D3882" s="53" t="s">
        <v>425</v>
      </c>
      <c r="E3882" s="53" t="s">
        <v>459</v>
      </c>
      <c r="F3882" s="53" t="s">
        <v>429</v>
      </c>
      <c r="G3882" s="53" t="s">
        <v>462</v>
      </c>
      <c r="H3882" s="53">
        <v>1.0</v>
      </c>
      <c r="I3882" s="53">
        <v>0.038461538461538464</v>
      </c>
      <c r="J3882" s="53">
        <v>6.0</v>
      </c>
      <c r="K3882" s="53" t="s">
        <v>53</v>
      </c>
      <c r="L3882" s="53" t="s">
        <v>53</v>
      </c>
    </row>
    <row r="3883" ht="15.75" customHeight="1">
      <c r="A3883" s="53" t="s">
        <v>411</v>
      </c>
      <c r="B3883" s="53" t="s">
        <v>4945</v>
      </c>
      <c r="D3883" s="53" t="s">
        <v>436</v>
      </c>
      <c r="E3883" s="53" t="s">
        <v>3752</v>
      </c>
      <c r="F3883" s="53" t="s">
        <v>429</v>
      </c>
      <c r="G3883" s="53" t="s">
        <v>440</v>
      </c>
      <c r="H3883" s="53">
        <v>1.0</v>
      </c>
      <c r="I3883" s="53">
        <v>0.007751937984496124</v>
      </c>
      <c r="J3883" s="53">
        <v>0.0</v>
      </c>
      <c r="K3883" s="53" t="s">
        <v>53</v>
      </c>
      <c r="L3883" s="53" t="s">
        <v>53</v>
      </c>
    </row>
    <row r="3884" ht="15.75" customHeight="1">
      <c r="A3884" s="53" t="s">
        <v>411</v>
      </c>
      <c r="B3884" s="53" t="s">
        <v>4945</v>
      </c>
      <c r="D3884" s="53" t="s">
        <v>436</v>
      </c>
      <c r="E3884" s="53" t="s">
        <v>3753</v>
      </c>
      <c r="F3884" s="53" t="s">
        <v>429</v>
      </c>
      <c r="G3884" s="53" t="s">
        <v>450</v>
      </c>
      <c r="H3884" s="53">
        <v>1.0</v>
      </c>
      <c r="I3884" s="53">
        <v>0.0078125</v>
      </c>
      <c r="J3884" s="53">
        <v>2.0</v>
      </c>
      <c r="K3884" s="53" t="s">
        <v>53</v>
      </c>
      <c r="L3884" s="53" t="s">
        <v>53</v>
      </c>
    </row>
    <row r="3885" ht="15.75" customHeight="1">
      <c r="A3885" s="53" t="s">
        <v>411</v>
      </c>
      <c r="B3885" s="53" t="s">
        <v>4945</v>
      </c>
      <c r="D3885" s="53" t="s">
        <v>436</v>
      </c>
      <c r="E3885" s="53" t="s">
        <v>3754</v>
      </c>
      <c r="F3885" s="53" t="s">
        <v>429</v>
      </c>
      <c r="G3885" s="53" t="s">
        <v>444</v>
      </c>
      <c r="H3885" s="53">
        <v>1.0</v>
      </c>
      <c r="I3885" s="53">
        <v>0.0078125</v>
      </c>
      <c r="J3885" s="53">
        <v>1.0</v>
      </c>
      <c r="K3885" s="53" t="s">
        <v>53</v>
      </c>
      <c r="L3885" s="53" t="s">
        <v>53</v>
      </c>
    </row>
    <row r="3886" ht="15.75" customHeight="1">
      <c r="A3886" s="53" t="s">
        <v>411</v>
      </c>
      <c r="B3886" s="53" t="s">
        <v>4945</v>
      </c>
      <c r="D3886" s="53" t="s">
        <v>436</v>
      </c>
      <c r="E3886" s="53" t="s">
        <v>3755</v>
      </c>
      <c r="F3886" s="53" t="s">
        <v>429</v>
      </c>
      <c r="G3886" s="53" t="s">
        <v>454</v>
      </c>
      <c r="H3886" s="53">
        <v>1.0</v>
      </c>
      <c r="I3886" s="53">
        <v>0.015625</v>
      </c>
      <c r="J3886" s="53">
        <v>3.0</v>
      </c>
      <c r="K3886" s="53" t="s">
        <v>53</v>
      </c>
      <c r="L3886" s="53" t="s">
        <v>53</v>
      </c>
    </row>
    <row r="3887" ht="15.75" customHeight="1">
      <c r="A3887" s="53" t="s">
        <v>411</v>
      </c>
      <c r="B3887" s="53" t="s">
        <v>4945</v>
      </c>
      <c r="D3887" s="53" t="s">
        <v>436</v>
      </c>
      <c r="E3887" s="53" t="s">
        <v>3756</v>
      </c>
      <c r="F3887" s="53" t="s">
        <v>429</v>
      </c>
      <c r="G3887" s="53" t="s">
        <v>458</v>
      </c>
      <c r="H3887" s="53">
        <v>1.0</v>
      </c>
      <c r="I3887" s="53">
        <v>0.023255813953488372</v>
      </c>
      <c r="J3887" s="53">
        <v>4.0</v>
      </c>
      <c r="K3887" s="53" t="s">
        <v>53</v>
      </c>
      <c r="L3887" s="53" t="s">
        <v>53</v>
      </c>
    </row>
    <row r="3888" ht="15.75" customHeight="1">
      <c r="A3888" s="53" t="s">
        <v>411</v>
      </c>
      <c r="B3888" s="53" t="s">
        <v>4945</v>
      </c>
      <c r="D3888" s="53" t="s">
        <v>436</v>
      </c>
      <c r="E3888" s="53" t="s">
        <v>3757</v>
      </c>
      <c r="F3888" s="53" t="s">
        <v>429</v>
      </c>
      <c r="G3888" s="53" t="s">
        <v>462</v>
      </c>
      <c r="H3888" s="53">
        <v>1.0</v>
      </c>
      <c r="I3888" s="53">
        <v>0.03076923076923077</v>
      </c>
      <c r="J3888" s="53">
        <v>5.0</v>
      </c>
      <c r="K3888" s="53" t="s">
        <v>53</v>
      </c>
      <c r="L3888" s="53" t="s">
        <v>53</v>
      </c>
    </row>
    <row r="3889" ht="15.75" customHeight="1">
      <c r="A3889" s="53" t="s">
        <v>411</v>
      </c>
      <c r="B3889" s="53" t="s">
        <v>4945</v>
      </c>
      <c r="D3889" s="53" t="s">
        <v>436</v>
      </c>
      <c r="E3889" s="53" t="s">
        <v>3758</v>
      </c>
      <c r="F3889" s="53" t="s">
        <v>429</v>
      </c>
      <c r="G3889" s="53" t="s">
        <v>466</v>
      </c>
      <c r="H3889" s="53">
        <v>1.0</v>
      </c>
      <c r="I3889" s="53">
        <v>0.038461538461538464</v>
      </c>
      <c r="J3889" s="53">
        <v>6.0</v>
      </c>
      <c r="K3889" s="53" t="s">
        <v>53</v>
      </c>
      <c r="L3889" s="53" t="s">
        <v>53</v>
      </c>
    </row>
    <row r="3890" ht="15.75" customHeight="1">
      <c r="A3890" s="53" t="s">
        <v>411</v>
      </c>
      <c r="B3890" s="53" t="s">
        <v>4945</v>
      </c>
      <c r="D3890" s="53" t="s">
        <v>440</v>
      </c>
      <c r="E3890" s="53" t="s">
        <v>3759</v>
      </c>
      <c r="F3890" s="53" t="s">
        <v>429</v>
      </c>
      <c r="G3890" s="53" t="s">
        <v>450</v>
      </c>
      <c r="H3890" s="53">
        <v>1.0</v>
      </c>
      <c r="I3890" s="53">
        <v>0.015503875968992248</v>
      </c>
      <c r="J3890" s="53">
        <v>1.0</v>
      </c>
      <c r="K3890" s="53" t="s">
        <v>53</v>
      </c>
      <c r="L3890" s="53" t="s">
        <v>53</v>
      </c>
    </row>
    <row r="3891" ht="15.75" customHeight="1">
      <c r="A3891" s="53" t="s">
        <v>411</v>
      </c>
      <c r="B3891" s="53" t="s">
        <v>4945</v>
      </c>
      <c r="D3891" s="53" t="s">
        <v>440</v>
      </c>
      <c r="E3891" s="53" t="s">
        <v>3760</v>
      </c>
      <c r="F3891" s="53" t="s">
        <v>429</v>
      </c>
      <c r="G3891" s="53" t="s">
        <v>444</v>
      </c>
      <c r="H3891" s="53">
        <v>1.0</v>
      </c>
      <c r="I3891" s="53">
        <v>0.015503875968992248</v>
      </c>
      <c r="J3891" s="53">
        <v>0.0</v>
      </c>
      <c r="K3891" s="53" t="s">
        <v>53</v>
      </c>
      <c r="L3891" s="53" t="s">
        <v>53</v>
      </c>
    </row>
    <row r="3892" ht="15.75" customHeight="1">
      <c r="A3892" s="53" t="s">
        <v>411</v>
      </c>
      <c r="B3892" s="53" t="s">
        <v>4945</v>
      </c>
      <c r="D3892" s="53" t="s">
        <v>440</v>
      </c>
      <c r="E3892" s="53" t="s">
        <v>3761</v>
      </c>
      <c r="F3892" s="53" t="s">
        <v>429</v>
      </c>
      <c r="G3892" s="53" t="s">
        <v>454</v>
      </c>
      <c r="H3892" s="53">
        <v>1.0</v>
      </c>
      <c r="I3892" s="53">
        <v>0.023255813953488372</v>
      </c>
      <c r="J3892" s="53">
        <v>2.0</v>
      </c>
      <c r="K3892" s="53" t="s">
        <v>53</v>
      </c>
      <c r="L3892" s="53" t="s">
        <v>53</v>
      </c>
    </row>
    <row r="3893" ht="15.75" customHeight="1">
      <c r="A3893" s="53" t="s">
        <v>411</v>
      </c>
      <c r="B3893" s="53" t="s">
        <v>4945</v>
      </c>
      <c r="D3893" s="53" t="s">
        <v>440</v>
      </c>
      <c r="E3893" s="53" t="s">
        <v>3762</v>
      </c>
      <c r="F3893" s="53" t="s">
        <v>429</v>
      </c>
      <c r="G3893" s="53" t="s">
        <v>458</v>
      </c>
      <c r="H3893" s="53">
        <v>1.0</v>
      </c>
      <c r="I3893" s="53">
        <v>0.031007751937984496</v>
      </c>
      <c r="J3893" s="53">
        <v>3.0</v>
      </c>
      <c r="K3893" s="53" t="s">
        <v>53</v>
      </c>
      <c r="L3893" s="53" t="s">
        <v>53</v>
      </c>
    </row>
    <row r="3894" ht="15.75" customHeight="1">
      <c r="A3894" s="53" t="s">
        <v>411</v>
      </c>
      <c r="B3894" s="53" t="s">
        <v>4945</v>
      </c>
      <c r="D3894" s="53" t="s">
        <v>440</v>
      </c>
      <c r="E3894" s="53" t="s">
        <v>3763</v>
      </c>
      <c r="F3894" s="53" t="s">
        <v>429</v>
      </c>
      <c r="G3894" s="53" t="s">
        <v>462</v>
      </c>
      <c r="H3894" s="53">
        <v>1.0</v>
      </c>
      <c r="I3894" s="53">
        <v>0.038461538461538464</v>
      </c>
      <c r="J3894" s="53">
        <v>4.0</v>
      </c>
      <c r="K3894" s="53" t="s">
        <v>53</v>
      </c>
      <c r="L3894" s="53" t="s">
        <v>53</v>
      </c>
    </row>
    <row r="3895" ht="15.75" customHeight="1">
      <c r="A3895" s="53" t="s">
        <v>411</v>
      </c>
      <c r="B3895" s="53" t="s">
        <v>4945</v>
      </c>
      <c r="D3895" s="53" t="s">
        <v>440</v>
      </c>
      <c r="E3895" s="53" t="s">
        <v>3764</v>
      </c>
      <c r="F3895" s="53" t="s">
        <v>429</v>
      </c>
      <c r="G3895" s="53" t="s">
        <v>466</v>
      </c>
      <c r="H3895" s="53">
        <v>1.0</v>
      </c>
      <c r="I3895" s="53">
        <v>0.046153846153846156</v>
      </c>
      <c r="J3895" s="53">
        <v>5.0</v>
      </c>
      <c r="K3895" s="53" t="s">
        <v>53</v>
      </c>
      <c r="L3895" s="53" t="s">
        <v>53</v>
      </c>
    </row>
    <row r="3896" ht="15.75" customHeight="1">
      <c r="A3896" s="53" t="s">
        <v>411</v>
      </c>
      <c r="B3896" s="53" t="s">
        <v>4945</v>
      </c>
      <c r="D3896" s="53" t="s">
        <v>444</v>
      </c>
      <c r="E3896" s="53" t="s">
        <v>3765</v>
      </c>
      <c r="F3896" s="53" t="s">
        <v>429</v>
      </c>
      <c r="G3896" s="53" t="s">
        <v>450</v>
      </c>
      <c r="H3896" s="53">
        <v>1.0</v>
      </c>
      <c r="I3896" s="53">
        <v>0.0078125</v>
      </c>
      <c r="J3896" s="53">
        <v>0.0</v>
      </c>
      <c r="K3896" s="53" t="s">
        <v>53</v>
      </c>
      <c r="L3896" s="53" t="s">
        <v>53</v>
      </c>
    </row>
    <row r="3897" ht="15.75" customHeight="1">
      <c r="A3897" s="53" t="s">
        <v>411</v>
      </c>
      <c r="B3897" s="53" t="s">
        <v>4945</v>
      </c>
      <c r="D3897" s="53" t="s">
        <v>444</v>
      </c>
      <c r="E3897" s="53" t="s">
        <v>3766</v>
      </c>
      <c r="F3897" s="53" t="s">
        <v>429</v>
      </c>
      <c r="G3897" s="53" t="s">
        <v>454</v>
      </c>
      <c r="H3897" s="53">
        <v>1.0</v>
      </c>
      <c r="I3897" s="53">
        <v>0.015625</v>
      </c>
      <c r="J3897" s="53">
        <v>1.0</v>
      </c>
      <c r="K3897" s="53" t="s">
        <v>53</v>
      </c>
      <c r="L3897" s="53" t="s">
        <v>53</v>
      </c>
    </row>
    <row r="3898" ht="15.75" customHeight="1">
      <c r="A3898" s="53" t="s">
        <v>411</v>
      </c>
      <c r="B3898" s="53" t="s">
        <v>4945</v>
      </c>
      <c r="D3898" s="53" t="s">
        <v>444</v>
      </c>
      <c r="E3898" s="53" t="s">
        <v>3767</v>
      </c>
      <c r="F3898" s="53" t="s">
        <v>429</v>
      </c>
      <c r="G3898" s="53" t="s">
        <v>458</v>
      </c>
      <c r="H3898" s="53">
        <v>1.0</v>
      </c>
      <c r="I3898" s="53">
        <v>0.023255813953488372</v>
      </c>
      <c r="J3898" s="53">
        <v>2.0</v>
      </c>
      <c r="K3898" s="53" t="s">
        <v>53</v>
      </c>
      <c r="L3898" s="53" t="s">
        <v>53</v>
      </c>
    </row>
    <row r="3899" ht="15.75" customHeight="1">
      <c r="A3899" s="53" t="s">
        <v>411</v>
      </c>
      <c r="B3899" s="53" t="s">
        <v>4945</v>
      </c>
      <c r="D3899" s="53" t="s">
        <v>444</v>
      </c>
      <c r="E3899" s="53" t="s">
        <v>3768</v>
      </c>
      <c r="F3899" s="53" t="s">
        <v>429</v>
      </c>
      <c r="G3899" s="53" t="s">
        <v>462</v>
      </c>
      <c r="H3899" s="53">
        <v>1.0</v>
      </c>
      <c r="I3899" s="53">
        <v>0.03076923076923077</v>
      </c>
      <c r="J3899" s="53">
        <v>3.0</v>
      </c>
      <c r="K3899" s="53" t="s">
        <v>53</v>
      </c>
      <c r="L3899" s="53" t="s">
        <v>53</v>
      </c>
    </row>
    <row r="3900" ht="15.75" customHeight="1">
      <c r="A3900" s="53" t="s">
        <v>411</v>
      </c>
      <c r="B3900" s="53" t="s">
        <v>4945</v>
      </c>
      <c r="D3900" s="53" t="s">
        <v>444</v>
      </c>
      <c r="E3900" s="53" t="s">
        <v>3769</v>
      </c>
      <c r="F3900" s="53" t="s">
        <v>429</v>
      </c>
      <c r="G3900" s="53" t="s">
        <v>466</v>
      </c>
      <c r="H3900" s="53">
        <v>1.0</v>
      </c>
      <c r="I3900" s="53">
        <v>0.038461538461538464</v>
      </c>
      <c r="J3900" s="53">
        <v>4.0</v>
      </c>
      <c r="K3900" s="53" t="s">
        <v>53</v>
      </c>
      <c r="L3900" s="53" t="s">
        <v>53</v>
      </c>
    </row>
    <row r="3901" ht="15.75" customHeight="1">
      <c r="A3901" s="53" t="s">
        <v>411</v>
      </c>
      <c r="B3901" s="53" t="s">
        <v>4945</v>
      </c>
      <c r="D3901" s="53" t="s">
        <v>450</v>
      </c>
      <c r="E3901" s="53" t="s">
        <v>3770</v>
      </c>
      <c r="F3901" s="53" t="s">
        <v>429</v>
      </c>
      <c r="G3901" s="53" t="s">
        <v>454</v>
      </c>
      <c r="H3901" s="53">
        <v>1.0</v>
      </c>
      <c r="I3901" s="53">
        <v>0.015625</v>
      </c>
      <c r="J3901" s="53">
        <v>0.0</v>
      </c>
      <c r="K3901" s="53" t="s">
        <v>53</v>
      </c>
      <c r="L3901" s="53" t="s">
        <v>53</v>
      </c>
    </row>
    <row r="3902" ht="15.75" customHeight="1">
      <c r="A3902" s="53" t="s">
        <v>411</v>
      </c>
      <c r="B3902" s="53" t="s">
        <v>4945</v>
      </c>
      <c r="D3902" s="53" t="s">
        <v>450</v>
      </c>
      <c r="E3902" s="53" t="s">
        <v>3771</v>
      </c>
      <c r="F3902" s="53" t="s">
        <v>429</v>
      </c>
      <c r="G3902" s="53" t="s">
        <v>458</v>
      </c>
      <c r="H3902" s="53">
        <v>1.0</v>
      </c>
      <c r="I3902" s="53">
        <v>0.023255813953488372</v>
      </c>
      <c r="J3902" s="53">
        <v>1.0</v>
      </c>
      <c r="K3902" s="53" t="s">
        <v>53</v>
      </c>
      <c r="L3902" s="53" t="s">
        <v>53</v>
      </c>
    </row>
    <row r="3903" ht="15.75" customHeight="1">
      <c r="A3903" s="53" t="s">
        <v>411</v>
      </c>
      <c r="B3903" s="53" t="s">
        <v>4945</v>
      </c>
      <c r="D3903" s="53" t="s">
        <v>450</v>
      </c>
      <c r="E3903" s="53" t="s">
        <v>3772</v>
      </c>
      <c r="F3903" s="53" t="s">
        <v>429</v>
      </c>
      <c r="G3903" s="53" t="s">
        <v>462</v>
      </c>
      <c r="H3903" s="53">
        <v>1.0</v>
      </c>
      <c r="I3903" s="53">
        <v>0.03076923076923077</v>
      </c>
      <c r="J3903" s="53">
        <v>2.0</v>
      </c>
      <c r="K3903" s="53" t="s">
        <v>53</v>
      </c>
      <c r="L3903" s="53" t="s">
        <v>53</v>
      </c>
    </row>
    <row r="3904" ht="15.75" customHeight="1">
      <c r="A3904" s="53" t="s">
        <v>411</v>
      </c>
      <c r="B3904" s="53" t="s">
        <v>4945</v>
      </c>
      <c r="D3904" s="53" t="s">
        <v>450</v>
      </c>
      <c r="E3904" s="53" t="s">
        <v>3773</v>
      </c>
      <c r="F3904" s="53" t="s">
        <v>429</v>
      </c>
      <c r="G3904" s="53" t="s">
        <v>466</v>
      </c>
      <c r="H3904" s="53">
        <v>1.0</v>
      </c>
      <c r="I3904" s="53">
        <v>0.038461538461538464</v>
      </c>
      <c r="J3904" s="53">
        <v>3.0</v>
      </c>
      <c r="K3904" s="53" t="s">
        <v>53</v>
      </c>
      <c r="L3904" s="53" t="s">
        <v>53</v>
      </c>
    </row>
    <row r="3905" ht="15.75" customHeight="1">
      <c r="A3905" s="53" t="s">
        <v>411</v>
      </c>
      <c r="B3905" s="53" t="s">
        <v>4945</v>
      </c>
      <c r="D3905" s="53" t="s">
        <v>454</v>
      </c>
      <c r="E3905" s="53" t="s">
        <v>3774</v>
      </c>
      <c r="F3905" s="53" t="s">
        <v>429</v>
      </c>
      <c r="G3905" s="53" t="s">
        <v>458</v>
      </c>
      <c r="H3905" s="53">
        <v>1.0</v>
      </c>
      <c r="I3905" s="53">
        <v>0.015503875968992248</v>
      </c>
      <c r="J3905" s="53">
        <v>0.0</v>
      </c>
      <c r="K3905" s="53" t="s">
        <v>53</v>
      </c>
      <c r="L3905" s="53" t="s">
        <v>53</v>
      </c>
    </row>
    <row r="3906" ht="15.75" customHeight="1">
      <c r="A3906" s="53" t="s">
        <v>411</v>
      </c>
      <c r="B3906" s="53" t="s">
        <v>4945</v>
      </c>
      <c r="D3906" s="53" t="s">
        <v>454</v>
      </c>
      <c r="E3906" s="53" t="s">
        <v>3775</v>
      </c>
      <c r="F3906" s="53" t="s">
        <v>429</v>
      </c>
      <c r="G3906" s="53" t="s">
        <v>462</v>
      </c>
      <c r="H3906" s="53">
        <v>1.0</v>
      </c>
      <c r="I3906" s="53">
        <v>0.023076923076923078</v>
      </c>
      <c r="J3906" s="53">
        <v>1.0</v>
      </c>
      <c r="K3906" s="53" t="s">
        <v>53</v>
      </c>
      <c r="L3906" s="53" t="s">
        <v>53</v>
      </c>
    </row>
    <row r="3907" ht="15.75" customHeight="1">
      <c r="A3907" s="53" t="s">
        <v>411</v>
      </c>
      <c r="B3907" s="53" t="s">
        <v>4945</v>
      </c>
      <c r="D3907" s="53" t="s">
        <v>454</v>
      </c>
      <c r="E3907" s="53" t="s">
        <v>3776</v>
      </c>
      <c r="F3907" s="53" t="s">
        <v>429</v>
      </c>
      <c r="G3907" s="53" t="s">
        <v>466</v>
      </c>
      <c r="H3907" s="53">
        <v>1.0</v>
      </c>
      <c r="I3907" s="53">
        <v>0.038461538461538464</v>
      </c>
      <c r="J3907" s="53">
        <v>2.0</v>
      </c>
      <c r="K3907" s="53" t="s">
        <v>53</v>
      </c>
      <c r="L3907" s="53" t="s">
        <v>53</v>
      </c>
    </row>
    <row r="3908" ht="15.75" customHeight="1">
      <c r="A3908" s="53" t="s">
        <v>411</v>
      </c>
      <c r="B3908" s="53" t="s">
        <v>4945</v>
      </c>
      <c r="D3908" s="53" t="s">
        <v>458</v>
      </c>
      <c r="E3908" s="53" t="s">
        <v>3777</v>
      </c>
      <c r="F3908" s="53" t="s">
        <v>429</v>
      </c>
      <c r="G3908" s="53" t="s">
        <v>462</v>
      </c>
      <c r="H3908" s="53">
        <v>1.0</v>
      </c>
      <c r="I3908" s="53">
        <v>0.015384615384615385</v>
      </c>
      <c r="J3908" s="53">
        <v>0.0</v>
      </c>
      <c r="K3908" s="53" t="s">
        <v>53</v>
      </c>
      <c r="L3908" s="53" t="s">
        <v>53</v>
      </c>
    </row>
    <row r="3909" ht="15.75" customHeight="1">
      <c r="A3909" s="53" t="s">
        <v>411</v>
      </c>
      <c r="B3909" s="53" t="s">
        <v>4945</v>
      </c>
      <c r="D3909" s="53" t="s">
        <v>458</v>
      </c>
      <c r="E3909" s="53" t="s">
        <v>3778</v>
      </c>
      <c r="F3909" s="53" t="s">
        <v>429</v>
      </c>
      <c r="G3909" s="53" t="s">
        <v>466</v>
      </c>
      <c r="H3909" s="53">
        <v>1.0</v>
      </c>
      <c r="I3909" s="53">
        <v>0.03076923076923077</v>
      </c>
      <c r="J3909" s="53">
        <v>1.0</v>
      </c>
      <c r="K3909" s="53" t="s">
        <v>53</v>
      </c>
      <c r="L3909" s="53" t="s">
        <v>53</v>
      </c>
    </row>
    <row r="3910" ht="15.75" customHeight="1">
      <c r="A3910" s="53" t="s">
        <v>411</v>
      </c>
      <c r="B3910" s="53" t="s">
        <v>4945</v>
      </c>
      <c r="D3910" s="53" t="s">
        <v>462</v>
      </c>
      <c r="E3910" s="53" t="s">
        <v>3779</v>
      </c>
      <c r="F3910" s="53" t="s">
        <v>429</v>
      </c>
      <c r="G3910" s="53" t="s">
        <v>466</v>
      </c>
      <c r="H3910" s="53">
        <v>1.0</v>
      </c>
      <c r="I3910" s="53">
        <v>0.023076923076923078</v>
      </c>
      <c r="J3910" s="53">
        <v>0.0</v>
      </c>
      <c r="K3910" s="53" t="s">
        <v>53</v>
      </c>
      <c r="L3910" s="53" t="s">
        <v>53</v>
      </c>
    </row>
    <row r="3911" ht="15.75" customHeight="1">
      <c r="A3911" s="53" t="s">
        <v>411</v>
      </c>
      <c r="B3911" s="53" t="s">
        <v>4945</v>
      </c>
      <c r="D3911" s="53" t="s">
        <v>960</v>
      </c>
      <c r="E3911" s="53" t="s">
        <v>4917</v>
      </c>
      <c r="F3911" s="53" t="s">
        <v>478</v>
      </c>
      <c r="G3911" s="53" t="s">
        <v>964</v>
      </c>
      <c r="H3911" s="53">
        <v>1.0</v>
      </c>
      <c r="I3911" s="53">
        <v>0.0392156862745098</v>
      </c>
      <c r="J3911" s="53">
        <v>0.0</v>
      </c>
      <c r="K3911" s="53" t="s">
        <v>53</v>
      </c>
      <c r="L3911" s="53" t="s">
        <v>53</v>
      </c>
    </row>
    <row r="3912" ht="15.75" customHeight="1">
      <c r="A3912" s="53" t="s">
        <v>411</v>
      </c>
      <c r="B3912" s="53" t="s">
        <v>4945</v>
      </c>
      <c r="D3912" s="53" t="s">
        <v>960</v>
      </c>
      <c r="E3912" s="53" t="s">
        <v>4918</v>
      </c>
      <c r="F3912" s="53" t="s">
        <v>478</v>
      </c>
      <c r="G3912" s="53" t="s">
        <v>968</v>
      </c>
      <c r="H3912" s="53">
        <v>1.0</v>
      </c>
      <c r="I3912" s="53">
        <v>0.05161290322580645</v>
      </c>
      <c r="J3912" s="53">
        <v>1.0</v>
      </c>
      <c r="K3912" s="53" t="s">
        <v>53</v>
      </c>
      <c r="L3912" s="53" t="s">
        <v>53</v>
      </c>
    </row>
    <row r="3913" ht="15.75" customHeight="1">
      <c r="A3913" s="53" t="s">
        <v>411</v>
      </c>
      <c r="B3913" s="53" t="s">
        <v>4945</v>
      </c>
      <c r="D3913" s="53" t="s">
        <v>960</v>
      </c>
      <c r="E3913" s="53" t="s">
        <v>4919</v>
      </c>
      <c r="F3913" s="53" t="s">
        <v>478</v>
      </c>
      <c r="G3913" s="53" t="s">
        <v>976</v>
      </c>
      <c r="H3913" s="53">
        <v>1.0</v>
      </c>
      <c r="I3913" s="53">
        <v>0.06535947712418301</v>
      </c>
      <c r="J3913" s="53">
        <v>3.0</v>
      </c>
      <c r="K3913" s="53" t="s">
        <v>53</v>
      </c>
      <c r="L3913" s="53" t="s">
        <v>53</v>
      </c>
    </row>
    <row r="3914" ht="15.75" customHeight="1">
      <c r="A3914" s="53" t="s">
        <v>411</v>
      </c>
      <c r="B3914" s="53" t="s">
        <v>4945</v>
      </c>
      <c r="D3914" s="53" t="s">
        <v>960</v>
      </c>
      <c r="E3914" s="53" t="s">
        <v>4920</v>
      </c>
      <c r="F3914" s="53" t="s">
        <v>478</v>
      </c>
      <c r="G3914" s="53" t="s">
        <v>972</v>
      </c>
      <c r="H3914" s="53">
        <v>1.0</v>
      </c>
      <c r="I3914" s="53">
        <v>0.09090909090909091</v>
      </c>
      <c r="J3914" s="53">
        <v>2.0</v>
      </c>
      <c r="K3914" s="53" t="s">
        <v>53</v>
      </c>
      <c r="L3914" s="53" t="s">
        <v>53</v>
      </c>
    </row>
    <row r="3915" ht="15.75" customHeight="1">
      <c r="A3915" s="53" t="s">
        <v>411</v>
      </c>
      <c r="B3915" s="53" t="s">
        <v>4945</v>
      </c>
      <c r="D3915" s="53" t="s">
        <v>960</v>
      </c>
      <c r="E3915" s="53" t="s">
        <v>4921</v>
      </c>
      <c r="F3915" s="53" t="s">
        <v>478</v>
      </c>
      <c r="G3915" s="53" t="s">
        <v>984</v>
      </c>
      <c r="H3915" s="53">
        <v>1.0</v>
      </c>
      <c r="I3915" s="53">
        <v>0.10256410256410256</v>
      </c>
      <c r="J3915" s="53">
        <v>5.0</v>
      </c>
      <c r="K3915" s="53" t="s">
        <v>53</v>
      </c>
      <c r="L3915" s="53" t="s">
        <v>53</v>
      </c>
    </row>
    <row r="3916" ht="15.75" customHeight="1">
      <c r="A3916" s="53" t="s">
        <v>411</v>
      </c>
      <c r="B3916" s="53" t="s">
        <v>4945</v>
      </c>
      <c r="D3916" s="53" t="s">
        <v>960</v>
      </c>
      <c r="E3916" s="53" t="s">
        <v>4922</v>
      </c>
      <c r="F3916" s="53" t="s">
        <v>478</v>
      </c>
      <c r="G3916" s="53" t="s">
        <v>980</v>
      </c>
      <c r="H3916" s="53">
        <v>1.0</v>
      </c>
      <c r="I3916" s="53">
        <v>0.10457516339869281</v>
      </c>
      <c r="J3916" s="53">
        <v>4.0</v>
      </c>
      <c r="K3916" s="53" t="s">
        <v>53</v>
      </c>
      <c r="L3916" s="53" t="s">
        <v>53</v>
      </c>
    </row>
    <row r="3917" ht="15.75" customHeight="1">
      <c r="A3917" s="53" t="s">
        <v>411</v>
      </c>
      <c r="B3917" s="53" t="s">
        <v>4945</v>
      </c>
      <c r="D3917" s="53" t="s">
        <v>960</v>
      </c>
      <c r="E3917" s="53" t="s">
        <v>4923</v>
      </c>
      <c r="F3917" s="53" t="s">
        <v>478</v>
      </c>
      <c r="G3917" s="53" t="s">
        <v>988</v>
      </c>
      <c r="H3917" s="53">
        <v>1.0</v>
      </c>
      <c r="I3917" s="53">
        <v>0.1437908496732026</v>
      </c>
      <c r="J3917" s="53">
        <v>6.0</v>
      </c>
      <c r="K3917" s="53" t="s">
        <v>53</v>
      </c>
      <c r="L3917" s="53" t="s">
        <v>53</v>
      </c>
    </row>
    <row r="3918" ht="15.75" customHeight="1">
      <c r="A3918" s="53" t="s">
        <v>411</v>
      </c>
      <c r="B3918" s="53" t="s">
        <v>4945</v>
      </c>
      <c r="D3918" s="53" t="s">
        <v>960</v>
      </c>
      <c r="E3918" s="53" t="s">
        <v>5272</v>
      </c>
      <c r="F3918" s="53" t="s">
        <v>478</v>
      </c>
      <c r="G3918" s="53" t="s">
        <v>474</v>
      </c>
      <c r="H3918" s="53">
        <v>1.0</v>
      </c>
      <c r="I3918" s="53">
        <v>0.26143790849673204</v>
      </c>
      <c r="J3918" s="53">
        <v>52.0</v>
      </c>
      <c r="K3918" s="53" t="s">
        <v>53</v>
      </c>
      <c r="L3918" s="53" t="s">
        <v>53</v>
      </c>
    </row>
    <row r="3919" ht="15.75" customHeight="1">
      <c r="A3919" s="53" t="s">
        <v>411</v>
      </c>
      <c r="B3919" s="53" t="s">
        <v>4945</v>
      </c>
      <c r="D3919" s="53" t="s">
        <v>960</v>
      </c>
      <c r="E3919" s="53" t="s">
        <v>5273</v>
      </c>
      <c r="F3919" s="53" t="s">
        <v>478</v>
      </c>
      <c r="G3919" s="53" t="s">
        <v>485</v>
      </c>
      <c r="H3919" s="53">
        <v>1.0</v>
      </c>
      <c r="I3919" s="53">
        <v>0.27450980392156865</v>
      </c>
      <c r="J3919" s="53">
        <v>51.0</v>
      </c>
      <c r="K3919" s="53" t="s">
        <v>53</v>
      </c>
      <c r="L3919" s="53" t="s">
        <v>53</v>
      </c>
    </row>
    <row r="3920" ht="15.75" customHeight="1">
      <c r="A3920" s="53" t="s">
        <v>411</v>
      </c>
      <c r="B3920" s="53" t="s">
        <v>4945</v>
      </c>
      <c r="D3920" s="53" t="s">
        <v>960</v>
      </c>
      <c r="E3920" s="53" t="s">
        <v>5274</v>
      </c>
      <c r="F3920" s="53" t="s">
        <v>478</v>
      </c>
      <c r="G3920" s="53" t="s">
        <v>2942</v>
      </c>
      <c r="H3920" s="53">
        <v>1.0</v>
      </c>
      <c r="I3920" s="53">
        <v>0.2875816993464052</v>
      </c>
      <c r="J3920" s="53">
        <v>56.0</v>
      </c>
      <c r="K3920" s="53" t="s">
        <v>53</v>
      </c>
      <c r="L3920" s="53" t="s">
        <v>53</v>
      </c>
    </row>
    <row r="3921" ht="15.75" customHeight="1">
      <c r="A3921" s="53" t="s">
        <v>411</v>
      </c>
      <c r="B3921" s="53" t="s">
        <v>4945</v>
      </c>
      <c r="D3921" s="53" t="s">
        <v>960</v>
      </c>
      <c r="E3921" s="53" t="s">
        <v>5275</v>
      </c>
      <c r="F3921" s="53" t="s">
        <v>478</v>
      </c>
      <c r="G3921" s="53" t="s">
        <v>509</v>
      </c>
      <c r="H3921" s="53">
        <v>1.0</v>
      </c>
      <c r="I3921" s="53">
        <v>0.29411764705882354</v>
      </c>
      <c r="J3921" s="53">
        <v>18.0</v>
      </c>
      <c r="K3921" s="53" t="s">
        <v>53</v>
      </c>
      <c r="L3921" s="53" t="s">
        <v>53</v>
      </c>
    </row>
    <row r="3922" ht="15.75" customHeight="1">
      <c r="A3922" s="53" t="s">
        <v>411</v>
      </c>
      <c r="B3922" s="53" t="s">
        <v>4945</v>
      </c>
      <c r="D3922" s="53" t="s">
        <v>960</v>
      </c>
      <c r="E3922" s="53" t="s">
        <v>5276</v>
      </c>
      <c r="F3922" s="53" t="s">
        <v>478</v>
      </c>
      <c r="G3922" s="53" t="s">
        <v>2948</v>
      </c>
      <c r="H3922" s="53">
        <v>1.0</v>
      </c>
      <c r="I3922" s="53">
        <v>0.30718954248366015</v>
      </c>
      <c r="J3922" s="53">
        <v>54.0</v>
      </c>
      <c r="K3922" s="53" t="s">
        <v>53</v>
      </c>
      <c r="L3922" s="53" t="s">
        <v>53</v>
      </c>
    </row>
    <row r="3923" ht="15.75" customHeight="1">
      <c r="A3923" s="53" t="s">
        <v>411</v>
      </c>
      <c r="B3923" s="53" t="s">
        <v>4945</v>
      </c>
      <c r="D3923" s="53" t="s">
        <v>960</v>
      </c>
      <c r="E3923" s="53" t="s">
        <v>5277</v>
      </c>
      <c r="F3923" s="53" t="s">
        <v>478</v>
      </c>
      <c r="G3923" s="53" t="s">
        <v>2937</v>
      </c>
      <c r="H3923" s="53">
        <v>1.0</v>
      </c>
      <c r="I3923" s="53">
        <v>0.3137254901960784</v>
      </c>
      <c r="J3923" s="53">
        <v>55.0</v>
      </c>
      <c r="K3923" s="53" t="s">
        <v>53</v>
      </c>
      <c r="L3923" s="53" t="s">
        <v>53</v>
      </c>
    </row>
    <row r="3924" ht="15.75" customHeight="1">
      <c r="A3924" s="53" t="s">
        <v>411</v>
      </c>
      <c r="B3924" s="53" t="s">
        <v>4945</v>
      </c>
      <c r="D3924" s="53" t="s">
        <v>960</v>
      </c>
      <c r="E3924" s="53" t="s">
        <v>5278</v>
      </c>
      <c r="F3924" s="53" t="s">
        <v>478</v>
      </c>
      <c r="G3924" s="53" t="s">
        <v>2940</v>
      </c>
      <c r="H3924" s="53">
        <v>1.0</v>
      </c>
      <c r="I3924" s="53">
        <v>0.3137254901960784</v>
      </c>
      <c r="J3924" s="53">
        <v>35.0</v>
      </c>
      <c r="K3924" s="53" t="s">
        <v>53</v>
      </c>
      <c r="L3924" s="53" t="s">
        <v>53</v>
      </c>
    </row>
    <row r="3925" ht="15.75" customHeight="1">
      <c r="A3925" s="53" t="s">
        <v>411</v>
      </c>
      <c r="B3925" s="53" t="s">
        <v>4945</v>
      </c>
      <c r="D3925" s="53" t="s">
        <v>960</v>
      </c>
      <c r="E3925" s="53" t="s">
        <v>5279</v>
      </c>
      <c r="F3925" s="53" t="s">
        <v>478</v>
      </c>
      <c r="G3925" s="53" t="s">
        <v>2954</v>
      </c>
      <c r="H3925" s="53">
        <v>1.0</v>
      </c>
      <c r="I3925" s="53">
        <v>0.3202614379084967</v>
      </c>
      <c r="J3925" s="53">
        <v>33.0</v>
      </c>
      <c r="K3925" s="53" t="s">
        <v>53</v>
      </c>
      <c r="L3925" s="53" t="s">
        <v>53</v>
      </c>
    </row>
    <row r="3926" ht="15.75" customHeight="1">
      <c r="A3926" s="53" t="s">
        <v>411</v>
      </c>
      <c r="B3926" s="53" t="s">
        <v>4945</v>
      </c>
      <c r="D3926" s="53" t="s">
        <v>960</v>
      </c>
      <c r="E3926" s="53" t="s">
        <v>5280</v>
      </c>
      <c r="F3926" s="53" t="s">
        <v>478</v>
      </c>
      <c r="G3926" s="53" t="s">
        <v>495</v>
      </c>
      <c r="H3926" s="53">
        <v>1.0</v>
      </c>
      <c r="I3926" s="53">
        <v>0.3202614379084967</v>
      </c>
      <c r="J3926" s="53">
        <v>53.0</v>
      </c>
      <c r="K3926" s="53" t="s">
        <v>53</v>
      </c>
      <c r="L3926" s="53" t="s">
        <v>53</v>
      </c>
    </row>
    <row r="3927" ht="15.75" customHeight="1">
      <c r="A3927" s="53" t="s">
        <v>411</v>
      </c>
      <c r="B3927" s="53" t="s">
        <v>4945</v>
      </c>
      <c r="D3927" s="53" t="s">
        <v>960</v>
      </c>
      <c r="E3927" s="53" t="s">
        <v>5281</v>
      </c>
      <c r="F3927" s="53" t="s">
        <v>478</v>
      </c>
      <c r="G3927" s="53" t="s">
        <v>2950</v>
      </c>
      <c r="H3927" s="53">
        <v>1.0</v>
      </c>
      <c r="I3927" s="53">
        <v>0.33962264150943394</v>
      </c>
      <c r="J3927" s="53">
        <v>36.0</v>
      </c>
      <c r="K3927" s="53" t="s">
        <v>53</v>
      </c>
      <c r="L3927" s="53" t="s">
        <v>53</v>
      </c>
    </row>
    <row r="3928" ht="15.75" customHeight="1">
      <c r="A3928" s="53" t="s">
        <v>411</v>
      </c>
      <c r="B3928" s="53" t="s">
        <v>4945</v>
      </c>
      <c r="D3928" s="53" t="s">
        <v>960</v>
      </c>
      <c r="E3928" s="53" t="s">
        <v>5282</v>
      </c>
      <c r="F3928" s="53" t="s">
        <v>478</v>
      </c>
      <c r="G3928" s="53" t="s">
        <v>2883</v>
      </c>
      <c r="H3928" s="53">
        <v>1.0</v>
      </c>
      <c r="I3928" s="53">
        <v>0.33986928104575165</v>
      </c>
      <c r="J3928" s="53">
        <v>21.0</v>
      </c>
      <c r="K3928" s="53" t="s">
        <v>53</v>
      </c>
      <c r="L3928" s="53" t="s">
        <v>53</v>
      </c>
    </row>
    <row r="3929" ht="15.75" customHeight="1">
      <c r="A3929" s="53" t="s">
        <v>411</v>
      </c>
      <c r="B3929" s="53" t="s">
        <v>4945</v>
      </c>
      <c r="D3929" s="53" t="s">
        <v>960</v>
      </c>
      <c r="E3929" s="53" t="s">
        <v>5283</v>
      </c>
      <c r="F3929" s="53" t="s">
        <v>478</v>
      </c>
      <c r="G3929" s="53" t="s">
        <v>2899</v>
      </c>
      <c r="H3929" s="53">
        <v>1.0</v>
      </c>
      <c r="I3929" s="53">
        <v>0.33986928104575165</v>
      </c>
      <c r="J3929" s="53">
        <v>31.0</v>
      </c>
      <c r="K3929" s="53" t="s">
        <v>53</v>
      </c>
      <c r="L3929" s="53" t="s">
        <v>53</v>
      </c>
    </row>
    <row r="3930" ht="15.75" customHeight="1">
      <c r="A3930" s="53" t="s">
        <v>411</v>
      </c>
      <c r="B3930" s="53" t="s">
        <v>4945</v>
      </c>
      <c r="D3930" s="53" t="s">
        <v>960</v>
      </c>
      <c r="E3930" s="53" t="s">
        <v>5284</v>
      </c>
      <c r="F3930" s="53" t="s">
        <v>478</v>
      </c>
      <c r="G3930" s="53" t="s">
        <v>2915</v>
      </c>
      <c r="H3930" s="53">
        <v>1.0</v>
      </c>
      <c r="I3930" s="53">
        <v>0.33986928104575165</v>
      </c>
      <c r="J3930" s="53">
        <v>41.0</v>
      </c>
      <c r="K3930" s="53" t="s">
        <v>53</v>
      </c>
      <c r="L3930" s="53" t="s">
        <v>53</v>
      </c>
    </row>
    <row r="3931" ht="15.75" customHeight="1">
      <c r="A3931" s="53" t="s">
        <v>411</v>
      </c>
      <c r="B3931" s="53" t="s">
        <v>4945</v>
      </c>
      <c r="D3931" s="53" t="s">
        <v>960</v>
      </c>
      <c r="E3931" s="53" t="s">
        <v>5285</v>
      </c>
      <c r="F3931" s="53" t="s">
        <v>478</v>
      </c>
      <c r="G3931" s="53" t="s">
        <v>2887</v>
      </c>
      <c r="H3931" s="53">
        <v>1.0</v>
      </c>
      <c r="I3931" s="53">
        <v>0.33986928104575165</v>
      </c>
      <c r="J3931" s="53">
        <v>26.0</v>
      </c>
      <c r="K3931" s="53" t="s">
        <v>53</v>
      </c>
      <c r="L3931" s="53" t="s">
        <v>53</v>
      </c>
    </row>
    <row r="3932" ht="15.75" customHeight="1">
      <c r="A3932" s="53" t="s">
        <v>411</v>
      </c>
      <c r="B3932" s="53" t="s">
        <v>4945</v>
      </c>
      <c r="D3932" s="53" t="s">
        <v>960</v>
      </c>
      <c r="E3932" s="53" t="s">
        <v>5286</v>
      </c>
      <c r="F3932" s="53" t="s">
        <v>478</v>
      </c>
      <c r="G3932" s="53" t="s">
        <v>2903</v>
      </c>
      <c r="H3932" s="53">
        <v>1.0</v>
      </c>
      <c r="I3932" s="53">
        <v>0.3464052287581699</v>
      </c>
      <c r="J3932" s="53">
        <v>17.0</v>
      </c>
      <c r="K3932" s="53" t="s">
        <v>53</v>
      </c>
      <c r="L3932" s="53" t="s">
        <v>53</v>
      </c>
    </row>
    <row r="3933" ht="15.75" customHeight="1">
      <c r="A3933" s="53" t="s">
        <v>411</v>
      </c>
      <c r="B3933" s="53" t="s">
        <v>4945</v>
      </c>
      <c r="D3933" s="53" t="s">
        <v>960</v>
      </c>
      <c r="E3933" s="53" t="s">
        <v>5287</v>
      </c>
      <c r="F3933" s="53" t="s">
        <v>478</v>
      </c>
      <c r="G3933" s="53" t="s">
        <v>2895</v>
      </c>
      <c r="H3933" s="53">
        <v>1.0</v>
      </c>
      <c r="I3933" s="53">
        <v>0.3464052287581699</v>
      </c>
      <c r="J3933" s="53">
        <v>27.0</v>
      </c>
      <c r="K3933" s="53" t="s">
        <v>53</v>
      </c>
      <c r="L3933" s="53" t="s">
        <v>53</v>
      </c>
    </row>
    <row r="3934" ht="15.75" customHeight="1">
      <c r="A3934" s="53" t="s">
        <v>411</v>
      </c>
      <c r="B3934" s="53" t="s">
        <v>4945</v>
      </c>
      <c r="D3934" s="53" t="s">
        <v>960</v>
      </c>
      <c r="E3934" s="53" t="s">
        <v>5288</v>
      </c>
      <c r="F3934" s="53" t="s">
        <v>478</v>
      </c>
      <c r="G3934" s="53" t="s">
        <v>2911</v>
      </c>
      <c r="H3934" s="53">
        <v>1.0</v>
      </c>
      <c r="I3934" s="53">
        <v>0.3464052287581699</v>
      </c>
      <c r="J3934" s="53">
        <v>32.0</v>
      </c>
      <c r="K3934" s="53" t="s">
        <v>53</v>
      </c>
      <c r="L3934" s="53" t="s">
        <v>53</v>
      </c>
    </row>
    <row r="3935" ht="15.75" customHeight="1">
      <c r="A3935" s="53" t="s">
        <v>411</v>
      </c>
      <c r="B3935" s="53" t="s">
        <v>4945</v>
      </c>
      <c r="D3935" s="53" t="s">
        <v>960</v>
      </c>
      <c r="E3935" s="53" t="s">
        <v>5289</v>
      </c>
      <c r="F3935" s="53" t="s">
        <v>478</v>
      </c>
      <c r="G3935" s="53" t="s">
        <v>2897</v>
      </c>
      <c r="H3935" s="53">
        <v>1.0</v>
      </c>
      <c r="I3935" s="53">
        <v>0.3464052287581699</v>
      </c>
      <c r="J3935" s="53">
        <v>24.0</v>
      </c>
      <c r="K3935" s="53" t="s">
        <v>53</v>
      </c>
      <c r="L3935" s="53" t="s">
        <v>53</v>
      </c>
    </row>
    <row r="3936" ht="15.75" customHeight="1">
      <c r="A3936" s="53" t="s">
        <v>411</v>
      </c>
      <c r="B3936" s="53" t="s">
        <v>4945</v>
      </c>
      <c r="D3936" s="53" t="s">
        <v>960</v>
      </c>
      <c r="E3936" s="53" t="s">
        <v>5290</v>
      </c>
      <c r="F3936" s="53" t="s">
        <v>478</v>
      </c>
      <c r="G3936" s="53" t="s">
        <v>2891</v>
      </c>
      <c r="H3936" s="53">
        <v>1.0</v>
      </c>
      <c r="I3936" s="53">
        <v>0.3464052287581699</v>
      </c>
      <c r="J3936" s="53">
        <v>25.0</v>
      </c>
      <c r="K3936" s="53" t="s">
        <v>53</v>
      </c>
      <c r="L3936" s="53" t="s">
        <v>53</v>
      </c>
    </row>
    <row r="3937" ht="15.75" customHeight="1">
      <c r="A3937" s="53" t="s">
        <v>411</v>
      </c>
      <c r="B3937" s="53" t="s">
        <v>4945</v>
      </c>
      <c r="D3937" s="53" t="s">
        <v>960</v>
      </c>
      <c r="E3937" s="53" t="s">
        <v>5291</v>
      </c>
      <c r="F3937" s="53" t="s">
        <v>478</v>
      </c>
      <c r="G3937" s="53" t="s">
        <v>3741</v>
      </c>
      <c r="H3937" s="53">
        <v>1.0</v>
      </c>
      <c r="I3937" s="53">
        <v>0.3464052287581699</v>
      </c>
      <c r="J3937" s="53">
        <v>15.0</v>
      </c>
      <c r="K3937" s="53" t="s">
        <v>53</v>
      </c>
      <c r="L3937" s="53" t="s">
        <v>53</v>
      </c>
    </row>
    <row r="3938" ht="15.75" customHeight="1">
      <c r="A3938" s="53" t="s">
        <v>411</v>
      </c>
      <c r="B3938" s="53" t="s">
        <v>4945</v>
      </c>
      <c r="D3938" s="53" t="s">
        <v>960</v>
      </c>
      <c r="E3938" s="53" t="s">
        <v>5292</v>
      </c>
      <c r="F3938" s="53" t="s">
        <v>478</v>
      </c>
      <c r="G3938" s="53" t="s">
        <v>2885</v>
      </c>
      <c r="H3938" s="53">
        <v>1.0</v>
      </c>
      <c r="I3938" s="53">
        <v>0.3464052287581699</v>
      </c>
      <c r="J3938" s="53">
        <v>20.0</v>
      </c>
      <c r="K3938" s="53" t="s">
        <v>53</v>
      </c>
      <c r="L3938" s="53" t="s">
        <v>53</v>
      </c>
    </row>
    <row r="3939" ht="15.75" customHeight="1">
      <c r="A3939" s="53" t="s">
        <v>411</v>
      </c>
      <c r="B3939" s="53" t="s">
        <v>4945</v>
      </c>
      <c r="D3939" s="53" t="s">
        <v>960</v>
      </c>
      <c r="E3939" s="53" t="s">
        <v>5293</v>
      </c>
      <c r="F3939" s="53" t="s">
        <v>478</v>
      </c>
      <c r="G3939" s="53" t="s">
        <v>2880</v>
      </c>
      <c r="H3939" s="53">
        <v>1.0</v>
      </c>
      <c r="I3939" s="53">
        <v>0.3464052287581699</v>
      </c>
      <c r="J3939" s="53">
        <v>16.0</v>
      </c>
      <c r="K3939" s="53" t="s">
        <v>53</v>
      </c>
      <c r="L3939" s="53" t="s">
        <v>53</v>
      </c>
    </row>
    <row r="3940" ht="15.75" customHeight="1">
      <c r="A3940" s="53" t="s">
        <v>411</v>
      </c>
      <c r="B3940" s="53" t="s">
        <v>4945</v>
      </c>
      <c r="D3940" s="53" t="s">
        <v>960</v>
      </c>
      <c r="E3940" s="53" t="s">
        <v>5294</v>
      </c>
      <c r="F3940" s="53" t="s">
        <v>478</v>
      </c>
      <c r="G3940" s="53" t="s">
        <v>2909</v>
      </c>
      <c r="H3940" s="53">
        <v>1.0</v>
      </c>
      <c r="I3940" s="53">
        <v>0.3464052287581699</v>
      </c>
      <c r="J3940" s="53">
        <v>19.0</v>
      </c>
      <c r="K3940" s="53" t="s">
        <v>53</v>
      </c>
      <c r="L3940" s="53" t="s">
        <v>53</v>
      </c>
    </row>
    <row r="3941" ht="15.75" customHeight="1">
      <c r="A3941" s="53" t="s">
        <v>411</v>
      </c>
      <c r="B3941" s="53" t="s">
        <v>4945</v>
      </c>
      <c r="D3941" s="53" t="s">
        <v>960</v>
      </c>
      <c r="E3941" s="53" t="s">
        <v>5295</v>
      </c>
      <c r="F3941" s="53" t="s">
        <v>478</v>
      </c>
      <c r="G3941" s="53" t="s">
        <v>2905</v>
      </c>
      <c r="H3941" s="53">
        <v>1.0</v>
      </c>
      <c r="I3941" s="53">
        <v>0.3464052287581699</v>
      </c>
      <c r="J3941" s="53">
        <v>34.0</v>
      </c>
      <c r="K3941" s="53" t="s">
        <v>53</v>
      </c>
      <c r="L3941" s="53" t="s">
        <v>53</v>
      </c>
    </row>
    <row r="3942" ht="15.75" customHeight="1">
      <c r="A3942" s="53" t="s">
        <v>411</v>
      </c>
      <c r="B3942" s="53" t="s">
        <v>4945</v>
      </c>
      <c r="D3942" s="53" t="s">
        <v>960</v>
      </c>
      <c r="E3942" s="53" t="s">
        <v>5296</v>
      </c>
      <c r="F3942" s="53" t="s">
        <v>478</v>
      </c>
      <c r="G3942" s="53" t="s">
        <v>2901</v>
      </c>
      <c r="H3942" s="53">
        <v>1.0</v>
      </c>
      <c r="I3942" s="53">
        <v>0.3464052287581699</v>
      </c>
      <c r="J3942" s="53">
        <v>28.0</v>
      </c>
      <c r="K3942" s="53" t="s">
        <v>53</v>
      </c>
      <c r="L3942" s="53" t="s">
        <v>53</v>
      </c>
    </row>
    <row r="3943" ht="15.75" customHeight="1">
      <c r="A3943" s="53" t="s">
        <v>411</v>
      </c>
      <c r="B3943" s="53" t="s">
        <v>4945</v>
      </c>
      <c r="D3943" s="53" t="s">
        <v>960</v>
      </c>
      <c r="E3943" s="53" t="s">
        <v>5297</v>
      </c>
      <c r="F3943" s="53" t="s">
        <v>478</v>
      </c>
      <c r="G3943" s="53" t="s">
        <v>2893</v>
      </c>
      <c r="H3943" s="53">
        <v>1.0</v>
      </c>
      <c r="I3943" s="53">
        <v>0.3464052287581699</v>
      </c>
      <c r="J3943" s="53">
        <v>23.0</v>
      </c>
      <c r="K3943" s="53" t="s">
        <v>53</v>
      </c>
      <c r="L3943" s="53" t="s">
        <v>53</v>
      </c>
    </row>
    <row r="3944" ht="15.75" customHeight="1">
      <c r="A3944" s="53" t="s">
        <v>411</v>
      </c>
      <c r="B3944" s="53" t="s">
        <v>4945</v>
      </c>
      <c r="D3944" s="53" t="s">
        <v>960</v>
      </c>
      <c r="E3944" s="53" t="s">
        <v>5298</v>
      </c>
      <c r="F3944" s="53" t="s">
        <v>478</v>
      </c>
      <c r="G3944" s="53" t="s">
        <v>2889</v>
      </c>
      <c r="H3944" s="53">
        <v>1.0</v>
      </c>
      <c r="I3944" s="53">
        <v>0.3464052287581699</v>
      </c>
      <c r="J3944" s="53">
        <v>29.0</v>
      </c>
      <c r="K3944" s="53" t="s">
        <v>53</v>
      </c>
      <c r="L3944" s="53" t="s">
        <v>53</v>
      </c>
    </row>
    <row r="3945" ht="15.75" customHeight="1">
      <c r="A3945" s="53" t="s">
        <v>411</v>
      </c>
      <c r="B3945" s="53" t="s">
        <v>4945</v>
      </c>
      <c r="D3945" s="53" t="s">
        <v>960</v>
      </c>
      <c r="E3945" s="53" t="s">
        <v>5299</v>
      </c>
      <c r="F3945" s="53" t="s">
        <v>478</v>
      </c>
      <c r="G3945" s="53" t="s">
        <v>2927</v>
      </c>
      <c r="H3945" s="53">
        <v>1.0</v>
      </c>
      <c r="I3945" s="53">
        <v>0.35294117647058826</v>
      </c>
      <c r="J3945" s="53">
        <v>45.0</v>
      </c>
      <c r="K3945" s="53" t="s">
        <v>53</v>
      </c>
      <c r="L3945" s="53" t="s">
        <v>53</v>
      </c>
    </row>
    <row r="3946" ht="15.75" customHeight="1">
      <c r="A3946" s="53" t="s">
        <v>411</v>
      </c>
      <c r="B3946" s="53" t="s">
        <v>4945</v>
      </c>
      <c r="D3946" s="53" t="s">
        <v>960</v>
      </c>
      <c r="E3946" s="53" t="s">
        <v>5300</v>
      </c>
      <c r="F3946" s="53" t="s">
        <v>478</v>
      </c>
      <c r="G3946" s="53" t="s">
        <v>2923</v>
      </c>
      <c r="H3946" s="53">
        <v>1.0</v>
      </c>
      <c r="I3946" s="53">
        <v>0.35294117647058826</v>
      </c>
      <c r="J3946" s="53">
        <v>42.0</v>
      </c>
      <c r="K3946" s="53" t="s">
        <v>53</v>
      </c>
      <c r="L3946" s="53" t="s">
        <v>53</v>
      </c>
    </row>
    <row r="3947" ht="15.75" customHeight="1">
      <c r="A3947" s="53" t="s">
        <v>411</v>
      </c>
      <c r="B3947" s="53" t="s">
        <v>4945</v>
      </c>
      <c r="D3947" s="53" t="s">
        <v>960</v>
      </c>
      <c r="E3947" s="53" t="s">
        <v>5301</v>
      </c>
      <c r="F3947" s="53" t="s">
        <v>478</v>
      </c>
      <c r="G3947" s="53" t="s">
        <v>2931</v>
      </c>
      <c r="H3947" s="53">
        <v>1.0</v>
      </c>
      <c r="I3947" s="53">
        <v>0.35294117647058826</v>
      </c>
      <c r="J3947" s="53">
        <v>40.0</v>
      </c>
      <c r="K3947" s="53" t="s">
        <v>53</v>
      </c>
      <c r="L3947" s="53" t="s">
        <v>53</v>
      </c>
    </row>
    <row r="3948" ht="15.75" customHeight="1">
      <c r="A3948" s="53" t="s">
        <v>411</v>
      </c>
      <c r="B3948" s="53" t="s">
        <v>4945</v>
      </c>
      <c r="D3948" s="53" t="s">
        <v>960</v>
      </c>
      <c r="E3948" s="53" t="s">
        <v>5302</v>
      </c>
      <c r="F3948" s="53" t="s">
        <v>478</v>
      </c>
      <c r="G3948" s="53" t="s">
        <v>2913</v>
      </c>
      <c r="H3948" s="53">
        <v>1.0</v>
      </c>
      <c r="I3948" s="53">
        <v>0.35294117647058826</v>
      </c>
      <c r="J3948" s="53">
        <v>30.0</v>
      </c>
      <c r="K3948" s="53" t="s">
        <v>53</v>
      </c>
      <c r="L3948" s="53" t="s">
        <v>53</v>
      </c>
    </row>
    <row r="3949" ht="15.75" customHeight="1">
      <c r="A3949" s="53" t="s">
        <v>411</v>
      </c>
      <c r="B3949" s="53" t="s">
        <v>4945</v>
      </c>
      <c r="D3949" s="53" t="s">
        <v>960</v>
      </c>
      <c r="E3949" s="53" t="s">
        <v>5303</v>
      </c>
      <c r="F3949" s="53" t="s">
        <v>478</v>
      </c>
      <c r="G3949" s="53" t="s">
        <v>2917</v>
      </c>
      <c r="H3949" s="53">
        <v>1.0</v>
      </c>
      <c r="I3949" s="53">
        <v>0.35294117647058826</v>
      </c>
      <c r="J3949" s="53">
        <v>50.0</v>
      </c>
      <c r="K3949" s="53" t="s">
        <v>53</v>
      </c>
      <c r="L3949" s="53" t="s">
        <v>53</v>
      </c>
    </row>
    <row r="3950" ht="15.75" customHeight="1">
      <c r="A3950" s="53" t="s">
        <v>411</v>
      </c>
      <c r="B3950" s="53" t="s">
        <v>4945</v>
      </c>
      <c r="D3950" s="53" t="s">
        <v>960</v>
      </c>
      <c r="E3950" s="53" t="s">
        <v>5304</v>
      </c>
      <c r="F3950" s="53" t="s">
        <v>478</v>
      </c>
      <c r="G3950" s="53" t="s">
        <v>2907</v>
      </c>
      <c r="H3950" s="53">
        <v>1.0</v>
      </c>
      <c r="I3950" s="53">
        <v>0.35294117647058826</v>
      </c>
      <c r="J3950" s="53">
        <v>49.0</v>
      </c>
      <c r="K3950" s="53" t="s">
        <v>53</v>
      </c>
      <c r="L3950" s="53" t="s">
        <v>53</v>
      </c>
    </row>
    <row r="3951" ht="15.75" customHeight="1">
      <c r="A3951" s="53" t="s">
        <v>411</v>
      </c>
      <c r="B3951" s="53" t="s">
        <v>4945</v>
      </c>
      <c r="D3951" s="53" t="s">
        <v>960</v>
      </c>
      <c r="E3951" s="53" t="s">
        <v>5305</v>
      </c>
      <c r="F3951" s="53" t="s">
        <v>478</v>
      </c>
      <c r="G3951" s="53" t="s">
        <v>2921</v>
      </c>
      <c r="H3951" s="53">
        <v>1.0</v>
      </c>
      <c r="I3951" s="53">
        <v>0.35294117647058826</v>
      </c>
      <c r="J3951" s="53">
        <v>44.0</v>
      </c>
      <c r="K3951" s="53" t="s">
        <v>53</v>
      </c>
      <c r="L3951" s="53" t="s">
        <v>53</v>
      </c>
    </row>
    <row r="3952" ht="15.75" customHeight="1">
      <c r="A3952" s="53" t="s">
        <v>411</v>
      </c>
      <c r="B3952" s="53" t="s">
        <v>4945</v>
      </c>
      <c r="D3952" s="53" t="s">
        <v>960</v>
      </c>
      <c r="E3952" s="53" t="s">
        <v>5306</v>
      </c>
      <c r="F3952" s="53" t="s">
        <v>478</v>
      </c>
      <c r="G3952" s="53" t="s">
        <v>2919</v>
      </c>
      <c r="H3952" s="53">
        <v>1.0</v>
      </c>
      <c r="I3952" s="53">
        <v>0.35947712418300654</v>
      </c>
      <c r="J3952" s="53">
        <v>43.0</v>
      </c>
      <c r="K3952" s="53" t="s">
        <v>53</v>
      </c>
      <c r="L3952" s="53" t="s">
        <v>53</v>
      </c>
    </row>
    <row r="3953" ht="15.75" customHeight="1">
      <c r="A3953" s="53" t="s">
        <v>411</v>
      </c>
      <c r="B3953" s="53" t="s">
        <v>4945</v>
      </c>
      <c r="D3953" s="53" t="s">
        <v>960</v>
      </c>
      <c r="E3953" s="53" t="s">
        <v>5307</v>
      </c>
      <c r="F3953" s="53" t="s">
        <v>478</v>
      </c>
      <c r="G3953" s="53" t="s">
        <v>3738</v>
      </c>
      <c r="H3953" s="53">
        <v>1.0</v>
      </c>
      <c r="I3953" s="53">
        <v>0.35947712418300654</v>
      </c>
      <c r="J3953" s="53">
        <v>14.0</v>
      </c>
      <c r="K3953" s="53" t="s">
        <v>53</v>
      </c>
      <c r="L3953" s="53" t="s">
        <v>53</v>
      </c>
    </row>
    <row r="3954" ht="15.75" customHeight="1">
      <c r="A3954" s="53" t="s">
        <v>411</v>
      </c>
      <c r="B3954" s="53" t="s">
        <v>4945</v>
      </c>
      <c r="D3954" s="53" t="s">
        <v>960</v>
      </c>
      <c r="E3954" s="53" t="s">
        <v>5308</v>
      </c>
      <c r="F3954" s="53" t="s">
        <v>478</v>
      </c>
      <c r="G3954" s="53" t="s">
        <v>2935</v>
      </c>
      <c r="H3954" s="53">
        <v>1.0</v>
      </c>
      <c r="I3954" s="53">
        <v>0.35947712418300654</v>
      </c>
      <c r="J3954" s="53">
        <v>37.0</v>
      </c>
      <c r="K3954" s="53" t="s">
        <v>53</v>
      </c>
      <c r="L3954" s="53" t="s">
        <v>53</v>
      </c>
    </row>
    <row r="3955" ht="15.75" customHeight="1">
      <c r="A3955" s="53" t="s">
        <v>411</v>
      </c>
      <c r="B3955" s="53" t="s">
        <v>4945</v>
      </c>
      <c r="D3955" s="53" t="s">
        <v>960</v>
      </c>
      <c r="E3955" s="53" t="s">
        <v>5309</v>
      </c>
      <c r="F3955" s="53" t="s">
        <v>478</v>
      </c>
      <c r="G3955" s="53" t="s">
        <v>2929</v>
      </c>
      <c r="H3955" s="53">
        <v>1.0</v>
      </c>
      <c r="I3955" s="53">
        <v>0.35947712418300654</v>
      </c>
      <c r="J3955" s="53">
        <v>46.0</v>
      </c>
      <c r="K3955" s="53" t="s">
        <v>53</v>
      </c>
      <c r="L3955" s="53" t="s">
        <v>53</v>
      </c>
    </row>
    <row r="3956" ht="15.75" customHeight="1">
      <c r="A3956" s="53" t="s">
        <v>411</v>
      </c>
      <c r="B3956" s="53" t="s">
        <v>4945</v>
      </c>
      <c r="D3956" s="53" t="s">
        <v>960</v>
      </c>
      <c r="E3956" s="53" t="s">
        <v>5310</v>
      </c>
      <c r="F3956" s="53" t="s">
        <v>478</v>
      </c>
      <c r="G3956" s="53" t="s">
        <v>2957</v>
      </c>
      <c r="H3956" s="53">
        <v>1.0</v>
      </c>
      <c r="I3956" s="53">
        <v>0.36363636363636365</v>
      </c>
      <c r="J3956" s="53">
        <v>38.0</v>
      </c>
      <c r="K3956" s="53" t="s">
        <v>53</v>
      </c>
      <c r="L3956" s="53" t="s">
        <v>53</v>
      </c>
    </row>
    <row r="3957" ht="15.75" customHeight="1">
      <c r="A3957" s="53" t="s">
        <v>411</v>
      </c>
      <c r="B3957" s="53" t="s">
        <v>4945</v>
      </c>
      <c r="D3957" s="53" t="s">
        <v>960</v>
      </c>
      <c r="E3957" s="53" t="s">
        <v>5311</v>
      </c>
      <c r="F3957" s="53" t="s">
        <v>478</v>
      </c>
      <c r="G3957" s="53" t="s">
        <v>2925</v>
      </c>
      <c r="H3957" s="53">
        <v>1.0</v>
      </c>
      <c r="I3957" s="53">
        <v>0.3660130718954248</v>
      </c>
      <c r="J3957" s="53">
        <v>48.0</v>
      </c>
      <c r="K3957" s="53" t="s">
        <v>53</v>
      </c>
      <c r="L3957" s="53" t="s">
        <v>53</v>
      </c>
    </row>
    <row r="3958" ht="15.75" customHeight="1">
      <c r="A3958" s="53" t="s">
        <v>411</v>
      </c>
      <c r="B3958" s="53" t="s">
        <v>4945</v>
      </c>
      <c r="D3958" s="53" t="s">
        <v>960</v>
      </c>
      <c r="E3958" s="53" t="s">
        <v>5312</v>
      </c>
      <c r="F3958" s="53" t="s">
        <v>478</v>
      </c>
      <c r="G3958" s="53" t="s">
        <v>2933</v>
      </c>
      <c r="H3958" s="53">
        <v>1.0</v>
      </c>
      <c r="I3958" s="53">
        <v>0.36875</v>
      </c>
      <c r="J3958" s="53">
        <v>47.0</v>
      </c>
      <c r="K3958" s="53" t="s">
        <v>53</v>
      </c>
      <c r="L3958" s="53" t="s">
        <v>53</v>
      </c>
    </row>
    <row r="3959" ht="15.75" customHeight="1">
      <c r="A3959" s="53" t="s">
        <v>411</v>
      </c>
      <c r="B3959" s="53" t="s">
        <v>4945</v>
      </c>
      <c r="D3959" s="53" t="s">
        <v>960</v>
      </c>
      <c r="E3959" s="53" t="s">
        <v>5313</v>
      </c>
      <c r="F3959" s="53" t="s">
        <v>478</v>
      </c>
      <c r="G3959" s="53" t="s">
        <v>2946</v>
      </c>
      <c r="H3959" s="53">
        <v>1.0</v>
      </c>
      <c r="I3959" s="53">
        <v>0.37575757575757573</v>
      </c>
      <c r="J3959" s="53">
        <v>22.0</v>
      </c>
      <c r="K3959" s="53" t="s">
        <v>53</v>
      </c>
      <c r="L3959" s="53" t="s">
        <v>53</v>
      </c>
    </row>
    <row r="3960" ht="15.75" customHeight="1">
      <c r="A3960" s="53" t="s">
        <v>411</v>
      </c>
      <c r="B3960" s="53" t="s">
        <v>4945</v>
      </c>
      <c r="D3960" s="53" t="s">
        <v>960</v>
      </c>
      <c r="E3960" s="53" t="s">
        <v>5314</v>
      </c>
      <c r="F3960" s="53" t="s">
        <v>478</v>
      </c>
      <c r="G3960" s="53" t="s">
        <v>2944</v>
      </c>
      <c r="H3960" s="53">
        <v>1.0</v>
      </c>
      <c r="I3960" s="53">
        <v>0.38509316770186336</v>
      </c>
      <c r="J3960" s="53">
        <v>39.0</v>
      </c>
      <c r="K3960" s="53" t="s">
        <v>53</v>
      </c>
      <c r="L3960" s="53" t="s">
        <v>53</v>
      </c>
    </row>
    <row r="3961" ht="15.75" customHeight="1">
      <c r="A3961" s="53" t="s">
        <v>411</v>
      </c>
      <c r="B3961" s="53" t="s">
        <v>4945</v>
      </c>
      <c r="D3961" s="53" t="s">
        <v>964</v>
      </c>
      <c r="E3961" s="53" t="s">
        <v>4924</v>
      </c>
      <c r="F3961" s="53" t="s">
        <v>478</v>
      </c>
      <c r="G3961" s="53" t="s">
        <v>972</v>
      </c>
      <c r="H3961" s="53">
        <v>1.0</v>
      </c>
      <c r="I3961" s="53">
        <v>0.05194805194805195</v>
      </c>
      <c r="J3961" s="53">
        <v>1.0</v>
      </c>
      <c r="K3961" s="53" t="s">
        <v>53</v>
      </c>
      <c r="L3961" s="53" t="s">
        <v>53</v>
      </c>
    </row>
    <row r="3962" ht="15.75" customHeight="1">
      <c r="A3962" s="53" t="s">
        <v>411</v>
      </c>
      <c r="B3962" s="53" t="s">
        <v>4945</v>
      </c>
      <c r="D3962" s="53" t="s">
        <v>964</v>
      </c>
      <c r="E3962" s="53" t="s">
        <v>4925</v>
      </c>
      <c r="F3962" s="53" t="s">
        <v>478</v>
      </c>
      <c r="G3962" s="53" t="s">
        <v>984</v>
      </c>
      <c r="H3962" s="53">
        <v>1.0</v>
      </c>
      <c r="I3962" s="53">
        <v>0.0641025641025641</v>
      </c>
      <c r="J3962" s="53">
        <v>4.0</v>
      </c>
      <c r="K3962" s="53" t="s">
        <v>53</v>
      </c>
      <c r="L3962" s="53" t="s">
        <v>53</v>
      </c>
    </row>
    <row r="3963" ht="15.75" customHeight="1">
      <c r="A3963" s="53" t="s">
        <v>411</v>
      </c>
      <c r="B3963" s="53" t="s">
        <v>4945</v>
      </c>
      <c r="D3963" s="53" t="s">
        <v>964</v>
      </c>
      <c r="E3963" s="53" t="s">
        <v>4926</v>
      </c>
      <c r="F3963" s="53" t="s">
        <v>478</v>
      </c>
      <c r="G3963" s="53" t="s">
        <v>980</v>
      </c>
      <c r="H3963" s="53">
        <v>1.0</v>
      </c>
      <c r="I3963" s="53">
        <v>0.06578947368421052</v>
      </c>
      <c r="J3963" s="53">
        <v>3.0</v>
      </c>
      <c r="K3963" s="53" t="s">
        <v>53</v>
      </c>
      <c r="L3963" s="53" t="s">
        <v>53</v>
      </c>
    </row>
    <row r="3964" ht="15.75" customHeight="1">
      <c r="A3964" s="53" t="s">
        <v>411</v>
      </c>
      <c r="B3964" s="53" t="s">
        <v>4945</v>
      </c>
      <c r="D3964" s="53" t="s">
        <v>964</v>
      </c>
      <c r="E3964" s="53" t="s">
        <v>4927</v>
      </c>
      <c r="F3964" s="53" t="s">
        <v>478</v>
      </c>
      <c r="G3964" s="53" t="s">
        <v>968</v>
      </c>
      <c r="H3964" s="53">
        <v>1.0</v>
      </c>
      <c r="I3964" s="53">
        <v>0.09032258064516129</v>
      </c>
      <c r="J3964" s="53">
        <v>0.0</v>
      </c>
      <c r="K3964" s="53" t="s">
        <v>53</v>
      </c>
      <c r="L3964" s="53" t="s">
        <v>53</v>
      </c>
    </row>
    <row r="3965" ht="15.75" customHeight="1">
      <c r="A3965" s="53" t="s">
        <v>411</v>
      </c>
      <c r="B3965" s="53" t="s">
        <v>4945</v>
      </c>
      <c r="D3965" s="53" t="s">
        <v>964</v>
      </c>
      <c r="E3965" s="53" t="s">
        <v>4928</v>
      </c>
      <c r="F3965" s="53" t="s">
        <v>478</v>
      </c>
      <c r="G3965" s="53" t="s">
        <v>976</v>
      </c>
      <c r="H3965" s="53">
        <v>1.0</v>
      </c>
      <c r="I3965" s="53">
        <v>0.10526315789473684</v>
      </c>
      <c r="J3965" s="53">
        <v>2.0</v>
      </c>
      <c r="K3965" s="53" t="s">
        <v>53</v>
      </c>
      <c r="L3965" s="53" t="s">
        <v>53</v>
      </c>
    </row>
    <row r="3966" ht="15.75" customHeight="1">
      <c r="A3966" s="53" t="s">
        <v>411</v>
      </c>
      <c r="B3966" s="53" t="s">
        <v>4945</v>
      </c>
      <c r="D3966" s="53" t="s">
        <v>964</v>
      </c>
      <c r="E3966" s="53" t="s">
        <v>4929</v>
      </c>
      <c r="F3966" s="53" t="s">
        <v>478</v>
      </c>
      <c r="G3966" s="53" t="s">
        <v>988</v>
      </c>
      <c r="H3966" s="53">
        <v>1.0</v>
      </c>
      <c r="I3966" s="53">
        <v>0.13815789473684212</v>
      </c>
      <c r="J3966" s="53">
        <v>5.0</v>
      </c>
      <c r="K3966" s="53" t="s">
        <v>53</v>
      </c>
      <c r="L3966" s="53" t="s">
        <v>53</v>
      </c>
    </row>
    <row r="3967" ht="15.75" customHeight="1">
      <c r="A3967" s="53" t="s">
        <v>411</v>
      </c>
      <c r="B3967" s="53" t="s">
        <v>4945</v>
      </c>
      <c r="D3967" s="53" t="s">
        <v>964</v>
      </c>
      <c r="E3967" s="53" t="s">
        <v>5315</v>
      </c>
      <c r="F3967" s="53" t="s">
        <v>478</v>
      </c>
      <c r="G3967" s="53" t="s">
        <v>474</v>
      </c>
      <c r="H3967" s="53">
        <v>1.0</v>
      </c>
      <c r="I3967" s="53">
        <v>0.2565789473684211</v>
      </c>
      <c r="J3967" s="53">
        <v>51.0</v>
      </c>
      <c r="K3967" s="53" t="s">
        <v>53</v>
      </c>
      <c r="L3967" s="53" t="s">
        <v>53</v>
      </c>
    </row>
    <row r="3968" ht="15.75" customHeight="1">
      <c r="A3968" s="53" t="s">
        <v>411</v>
      </c>
      <c r="B3968" s="53" t="s">
        <v>4945</v>
      </c>
      <c r="D3968" s="53" t="s">
        <v>964</v>
      </c>
      <c r="E3968" s="53" t="s">
        <v>5316</v>
      </c>
      <c r="F3968" s="53" t="s">
        <v>478</v>
      </c>
      <c r="G3968" s="53" t="s">
        <v>485</v>
      </c>
      <c r="H3968" s="53">
        <v>1.0</v>
      </c>
      <c r="I3968" s="53">
        <v>0.26973684210526316</v>
      </c>
      <c r="J3968" s="53">
        <v>50.0</v>
      </c>
      <c r="K3968" s="53" t="s">
        <v>53</v>
      </c>
      <c r="L3968" s="53" t="s">
        <v>53</v>
      </c>
    </row>
    <row r="3969" ht="15.75" customHeight="1">
      <c r="A3969" s="53" t="s">
        <v>411</v>
      </c>
      <c r="B3969" s="53" t="s">
        <v>4945</v>
      </c>
      <c r="D3969" s="53" t="s">
        <v>964</v>
      </c>
      <c r="E3969" s="53" t="s">
        <v>5317</v>
      </c>
      <c r="F3969" s="53" t="s">
        <v>478</v>
      </c>
      <c r="G3969" s="53" t="s">
        <v>2942</v>
      </c>
      <c r="H3969" s="53">
        <v>1.0</v>
      </c>
      <c r="I3969" s="53">
        <v>0.29605263157894735</v>
      </c>
      <c r="J3969" s="53">
        <v>55.0</v>
      </c>
      <c r="K3969" s="53" t="s">
        <v>53</v>
      </c>
      <c r="L3969" s="53" t="s">
        <v>53</v>
      </c>
    </row>
    <row r="3970" ht="15.75" customHeight="1">
      <c r="A3970" s="53" t="s">
        <v>411</v>
      </c>
      <c r="B3970" s="53" t="s">
        <v>4945</v>
      </c>
      <c r="D3970" s="53" t="s">
        <v>964</v>
      </c>
      <c r="E3970" s="53" t="s">
        <v>5318</v>
      </c>
      <c r="F3970" s="53" t="s">
        <v>478</v>
      </c>
      <c r="G3970" s="53" t="s">
        <v>509</v>
      </c>
      <c r="H3970" s="53">
        <v>1.0</v>
      </c>
      <c r="I3970" s="53">
        <v>0.29605263157894735</v>
      </c>
      <c r="J3970" s="53">
        <v>17.0</v>
      </c>
      <c r="K3970" s="53" t="s">
        <v>53</v>
      </c>
      <c r="L3970" s="53" t="s">
        <v>53</v>
      </c>
    </row>
    <row r="3971" ht="15.75" customHeight="1">
      <c r="A3971" s="53" t="s">
        <v>411</v>
      </c>
      <c r="B3971" s="53" t="s">
        <v>4945</v>
      </c>
      <c r="D3971" s="53" t="s">
        <v>964</v>
      </c>
      <c r="E3971" s="53" t="s">
        <v>5319</v>
      </c>
      <c r="F3971" s="53" t="s">
        <v>478</v>
      </c>
      <c r="G3971" s="53" t="s">
        <v>2948</v>
      </c>
      <c r="H3971" s="53">
        <v>1.0</v>
      </c>
      <c r="I3971" s="53">
        <v>0.3026315789473684</v>
      </c>
      <c r="J3971" s="53">
        <v>53.0</v>
      </c>
      <c r="K3971" s="53" t="s">
        <v>53</v>
      </c>
      <c r="L3971" s="53" t="s">
        <v>53</v>
      </c>
    </row>
    <row r="3972" ht="15.75" customHeight="1">
      <c r="A3972" s="53" t="s">
        <v>411</v>
      </c>
      <c r="B3972" s="53" t="s">
        <v>4945</v>
      </c>
      <c r="D3972" s="53" t="s">
        <v>964</v>
      </c>
      <c r="E3972" s="53" t="s">
        <v>5320</v>
      </c>
      <c r="F3972" s="53" t="s">
        <v>478</v>
      </c>
      <c r="G3972" s="53" t="s">
        <v>2937</v>
      </c>
      <c r="H3972" s="53">
        <v>1.0</v>
      </c>
      <c r="I3972" s="53">
        <v>0.3092105263157895</v>
      </c>
      <c r="J3972" s="53">
        <v>54.0</v>
      </c>
      <c r="K3972" s="53" t="s">
        <v>53</v>
      </c>
      <c r="L3972" s="53" t="s">
        <v>53</v>
      </c>
    </row>
    <row r="3973" ht="15.75" customHeight="1">
      <c r="A3973" s="53" t="s">
        <v>411</v>
      </c>
      <c r="B3973" s="53" t="s">
        <v>4945</v>
      </c>
      <c r="D3973" s="53" t="s">
        <v>964</v>
      </c>
      <c r="E3973" s="53" t="s">
        <v>5321</v>
      </c>
      <c r="F3973" s="53" t="s">
        <v>478</v>
      </c>
      <c r="G3973" s="53" t="s">
        <v>2940</v>
      </c>
      <c r="H3973" s="53">
        <v>1.0</v>
      </c>
      <c r="I3973" s="53">
        <v>0.3092105263157895</v>
      </c>
      <c r="J3973" s="53">
        <v>34.0</v>
      </c>
      <c r="K3973" s="53" t="s">
        <v>53</v>
      </c>
      <c r="L3973" s="53" t="s">
        <v>53</v>
      </c>
    </row>
    <row r="3974" ht="15.75" customHeight="1">
      <c r="A3974" s="53" t="s">
        <v>411</v>
      </c>
      <c r="B3974" s="53" t="s">
        <v>4945</v>
      </c>
      <c r="D3974" s="53" t="s">
        <v>964</v>
      </c>
      <c r="E3974" s="53" t="s">
        <v>5322</v>
      </c>
      <c r="F3974" s="53" t="s">
        <v>478</v>
      </c>
      <c r="G3974" s="53" t="s">
        <v>2954</v>
      </c>
      <c r="H3974" s="53">
        <v>1.0</v>
      </c>
      <c r="I3974" s="53">
        <v>0.3157894736842105</v>
      </c>
      <c r="J3974" s="53">
        <v>32.0</v>
      </c>
      <c r="K3974" s="53" t="s">
        <v>53</v>
      </c>
      <c r="L3974" s="53" t="s">
        <v>53</v>
      </c>
    </row>
    <row r="3975" ht="15.75" customHeight="1">
      <c r="A3975" s="53" t="s">
        <v>411</v>
      </c>
      <c r="B3975" s="53" t="s">
        <v>4945</v>
      </c>
      <c r="D3975" s="53" t="s">
        <v>964</v>
      </c>
      <c r="E3975" s="53" t="s">
        <v>5323</v>
      </c>
      <c r="F3975" s="53" t="s">
        <v>478</v>
      </c>
      <c r="G3975" s="53" t="s">
        <v>495</v>
      </c>
      <c r="H3975" s="53">
        <v>1.0</v>
      </c>
      <c r="I3975" s="53">
        <v>0.3157894736842105</v>
      </c>
      <c r="J3975" s="53">
        <v>52.0</v>
      </c>
      <c r="K3975" s="53" t="s">
        <v>53</v>
      </c>
      <c r="L3975" s="53" t="s">
        <v>53</v>
      </c>
    </row>
    <row r="3976" ht="15.75" customHeight="1">
      <c r="A3976" s="53" t="s">
        <v>411</v>
      </c>
      <c r="B3976" s="53" t="s">
        <v>4945</v>
      </c>
      <c r="D3976" s="53" t="s">
        <v>964</v>
      </c>
      <c r="E3976" s="53" t="s">
        <v>5324</v>
      </c>
      <c r="F3976" s="53" t="s">
        <v>478</v>
      </c>
      <c r="G3976" s="53" t="s">
        <v>2915</v>
      </c>
      <c r="H3976" s="53">
        <v>1.0</v>
      </c>
      <c r="I3976" s="53">
        <v>0.3355263157894737</v>
      </c>
      <c r="J3976" s="53">
        <v>40.0</v>
      </c>
      <c r="K3976" s="53" t="s">
        <v>53</v>
      </c>
      <c r="L3976" s="53" t="s">
        <v>53</v>
      </c>
    </row>
    <row r="3977" ht="15.75" customHeight="1">
      <c r="A3977" s="53" t="s">
        <v>411</v>
      </c>
      <c r="B3977" s="53" t="s">
        <v>4945</v>
      </c>
      <c r="D3977" s="53" t="s">
        <v>964</v>
      </c>
      <c r="E3977" s="53" t="s">
        <v>5325</v>
      </c>
      <c r="F3977" s="53" t="s">
        <v>478</v>
      </c>
      <c r="G3977" s="53" t="s">
        <v>2883</v>
      </c>
      <c r="H3977" s="53">
        <v>1.0</v>
      </c>
      <c r="I3977" s="53">
        <v>0.34210526315789475</v>
      </c>
      <c r="J3977" s="53">
        <v>20.0</v>
      </c>
      <c r="K3977" s="53" t="s">
        <v>53</v>
      </c>
      <c r="L3977" s="53" t="s">
        <v>53</v>
      </c>
    </row>
    <row r="3978" ht="15.75" customHeight="1">
      <c r="A3978" s="53" t="s">
        <v>411</v>
      </c>
      <c r="B3978" s="53" t="s">
        <v>4945</v>
      </c>
      <c r="D3978" s="53" t="s">
        <v>964</v>
      </c>
      <c r="E3978" s="53" t="s">
        <v>5326</v>
      </c>
      <c r="F3978" s="53" t="s">
        <v>478</v>
      </c>
      <c r="G3978" s="53" t="s">
        <v>2911</v>
      </c>
      <c r="H3978" s="53">
        <v>1.0</v>
      </c>
      <c r="I3978" s="53">
        <v>0.34210526315789475</v>
      </c>
      <c r="J3978" s="53">
        <v>31.0</v>
      </c>
      <c r="K3978" s="53" t="s">
        <v>53</v>
      </c>
      <c r="L3978" s="53" t="s">
        <v>53</v>
      </c>
    </row>
    <row r="3979" ht="15.75" customHeight="1">
      <c r="A3979" s="53" t="s">
        <v>411</v>
      </c>
      <c r="B3979" s="53" t="s">
        <v>4945</v>
      </c>
      <c r="D3979" s="53" t="s">
        <v>964</v>
      </c>
      <c r="E3979" s="53" t="s">
        <v>5327</v>
      </c>
      <c r="F3979" s="53" t="s">
        <v>478</v>
      </c>
      <c r="G3979" s="53" t="s">
        <v>2913</v>
      </c>
      <c r="H3979" s="53">
        <v>1.0</v>
      </c>
      <c r="I3979" s="53">
        <v>0.34210526315789475</v>
      </c>
      <c r="J3979" s="53">
        <v>29.0</v>
      </c>
      <c r="K3979" s="53" t="s">
        <v>53</v>
      </c>
      <c r="L3979" s="53" t="s">
        <v>53</v>
      </c>
    </row>
    <row r="3980" ht="15.75" customHeight="1">
      <c r="A3980" s="53" t="s">
        <v>411</v>
      </c>
      <c r="B3980" s="53" t="s">
        <v>4945</v>
      </c>
      <c r="D3980" s="53" t="s">
        <v>964</v>
      </c>
      <c r="E3980" s="53" t="s">
        <v>5328</v>
      </c>
      <c r="F3980" s="53" t="s">
        <v>478</v>
      </c>
      <c r="G3980" s="53" t="s">
        <v>2909</v>
      </c>
      <c r="H3980" s="53">
        <v>1.0</v>
      </c>
      <c r="I3980" s="53">
        <v>0.34210526315789475</v>
      </c>
      <c r="J3980" s="53">
        <v>18.0</v>
      </c>
      <c r="K3980" s="53" t="s">
        <v>53</v>
      </c>
      <c r="L3980" s="53" t="s">
        <v>53</v>
      </c>
    </row>
    <row r="3981" ht="15.75" customHeight="1">
      <c r="A3981" s="53" t="s">
        <v>411</v>
      </c>
      <c r="B3981" s="53" t="s">
        <v>4945</v>
      </c>
      <c r="D3981" s="53" t="s">
        <v>964</v>
      </c>
      <c r="E3981" s="53" t="s">
        <v>5329</v>
      </c>
      <c r="F3981" s="53" t="s">
        <v>478</v>
      </c>
      <c r="G3981" s="53" t="s">
        <v>2901</v>
      </c>
      <c r="H3981" s="53">
        <v>1.0</v>
      </c>
      <c r="I3981" s="53">
        <v>0.34210526315789475</v>
      </c>
      <c r="J3981" s="53">
        <v>27.0</v>
      </c>
      <c r="K3981" s="53" t="s">
        <v>53</v>
      </c>
      <c r="L3981" s="53" t="s">
        <v>53</v>
      </c>
    </row>
    <row r="3982" ht="15.75" customHeight="1">
      <c r="A3982" s="53" t="s">
        <v>411</v>
      </c>
      <c r="B3982" s="53" t="s">
        <v>4945</v>
      </c>
      <c r="D3982" s="53" t="s">
        <v>964</v>
      </c>
      <c r="E3982" s="53" t="s">
        <v>5330</v>
      </c>
      <c r="F3982" s="53" t="s">
        <v>478</v>
      </c>
      <c r="G3982" s="53" t="s">
        <v>2903</v>
      </c>
      <c r="H3982" s="53">
        <v>1.0</v>
      </c>
      <c r="I3982" s="53">
        <v>0.34868421052631576</v>
      </c>
      <c r="J3982" s="53">
        <v>16.0</v>
      </c>
      <c r="K3982" s="53" t="s">
        <v>53</v>
      </c>
      <c r="L3982" s="53" t="s">
        <v>53</v>
      </c>
    </row>
    <row r="3983" ht="15.75" customHeight="1">
      <c r="A3983" s="53" t="s">
        <v>411</v>
      </c>
      <c r="B3983" s="53" t="s">
        <v>4945</v>
      </c>
      <c r="D3983" s="53" t="s">
        <v>964</v>
      </c>
      <c r="E3983" s="53" t="s">
        <v>5331</v>
      </c>
      <c r="F3983" s="53" t="s">
        <v>478</v>
      </c>
      <c r="G3983" s="53" t="s">
        <v>2895</v>
      </c>
      <c r="H3983" s="53">
        <v>1.0</v>
      </c>
      <c r="I3983" s="53">
        <v>0.34868421052631576</v>
      </c>
      <c r="J3983" s="53">
        <v>26.0</v>
      </c>
      <c r="K3983" s="53" t="s">
        <v>53</v>
      </c>
      <c r="L3983" s="53" t="s">
        <v>53</v>
      </c>
    </row>
    <row r="3984" ht="15.75" customHeight="1">
      <c r="A3984" s="53" t="s">
        <v>411</v>
      </c>
      <c r="B3984" s="53" t="s">
        <v>4945</v>
      </c>
      <c r="D3984" s="53" t="s">
        <v>964</v>
      </c>
      <c r="E3984" s="53" t="s">
        <v>5332</v>
      </c>
      <c r="F3984" s="53" t="s">
        <v>478</v>
      </c>
      <c r="G3984" s="53" t="s">
        <v>2923</v>
      </c>
      <c r="H3984" s="53">
        <v>1.0</v>
      </c>
      <c r="I3984" s="53">
        <v>0.34868421052631576</v>
      </c>
      <c r="J3984" s="53">
        <v>41.0</v>
      </c>
      <c r="K3984" s="53" t="s">
        <v>53</v>
      </c>
      <c r="L3984" s="53" t="s">
        <v>53</v>
      </c>
    </row>
    <row r="3985" ht="15.75" customHeight="1">
      <c r="A3985" s="53" t="s">
        <v>411</v>
      </c>
      <c r="B3985" s="53" t="s">
        <v>4945</v>
      </c>
      <c r="D3985" s="53" t="s">
        <v>964</v>
      </c>
      <c r="E3985" s="53" t="s">
        <v>5333</v>
      </c>
      <c r="F3985" s="53" t="s">
        <v>478</v>
      </c>
      <c r="G3985" s="53" t="s">
        <v>2897</v>
      </c>
      <c r="H3985" s="53">
        <v>1.0</v>
      </c>
      <c r="I3985" s="53">
        <v>0.34868421052631576</v>
      </c>
      <c r="J3985" s="53">
        <v>23.0</v>
      </c>
      <c r="K3985" s="53" t="s">
        <v>53</v>
      </c>
      <c r="L3985" s="53" t="s">
        <v>53</v>
      </c>
    </row>
    <row r="3986" ht="15.75" customHeight="1">
      <c r="A3986" s="53" t="s">
        <v>411</v>
      </c>
      <c r="B3986" s="53" t="s">
        <v>4945</v>
      </c>
      <c r="D3986" s="53" t="s">
        <v>964</v>
      </c>
      <c r="E3986" s="53" t="s">
        <v>5334</v>
      </c>
      <c r="F3986" s="53" t="s">
        <v>478</v>
      </c>
      <c r="G3986" s="53" t="s">
        <v>2891</v>
      </c>
      <c r="H3986" s="53">
        <v>1.0</v>
      </c>
      <c r="I3986" s="53">
        <v>0.34868421052631576</v>
      </c>
      <c r="J3986" s="53">
        <v>24.0</v>
      </c>
      <c r="K3986" s="53" t="s">
        <v>53</v>
      </c>
      <c r="L3986" s="53" t="s">
        <v>53</v>
      </c>
    </row>
    <row r="3987" ht="15.75" customHeight="1">
      <c r="A3987" s="53" t="s">
        <v>411</v>
      </c>
      <c r="B3987" s="53" t="s">
        <v>4945</v>
      </c>
      <c r="D3987" s="53" t="s">
        <v>964</v>
      </c>
      <c r="E3987" s="53" t="s">
        <v>5335</v>
      </c>
      <c r="F3987" s="53" t="s">
        <v>478</v>
      </c>
      <c r="G3987" s="53" t="s">
        <v>2899</v>
      </c>
      <c r="H3987" s="53">
        <v>1.0</v>
      </c>
      <c r="I3987" s="53">
        <v>0.34868421052631576</v>
      </c>
      <c r="J3987" s="53">
        <v>30.0</v>
      </c>
      <c r="K3987" s="53" t="s">
        <v>53</v>
      </c>
      <c r="L3987" s="53" t="s">
        <v>53</v>
      </c>
    </row>
    <row r="3988" ht="15.75" customHeight="1">
      <c r="A3988" s="53" t="s">
        <v>411</v>
      </c>
      <c r="B3988" s="53" t="s">
        <v>4945</v>
      </c>
      <c r="D3988" s="53" t="s">
        <v>964</v>
      </c>
      <c r="E3988" s="53" t="s">
        <v>5336</v>
      </c>
      <c r="F3988" s="53" t="s">
        <v>478</v>
      </c>
      <c r="G3988" s="53" t="s">
        <v>3741</v>
      </c>
      <c r="H3988" s="53">
        <v>1.0</v>
      </c>
      <c r="I3988" s="53">
        <v>0.34868421052631576</v>
      </c>
      <c r="J3988" s="53">
        <v>14.0</v>
      </c>
      <c r="K3988" s="53" t="s">
        <v>53</v>
      </c>
      <c r="L3988" s="53" t="s">
        <v>53</v>
      </c>
    </row>
    <row r="3989" ht="15.75" customHeight="1">
      <c r="A3989" s="53" t="s">
        <v>411</v>
      </c>
      <c r="B3989" s="53" t="s">
        <v>4945</v>
      </c>
      <c r="D3989" s="53" t="s">
        <v>964</v>
      </c>
      <c r="E3989" s="53" t="s">
        <v>5337</v>
      </c>
      <c r="F3989" s="53" t="s">
        <v>478</v>
      </c>
      <c r="G3989" s="53" t="s">
        <v>2885</v>
      </c>
      <c r="H3989" s="53">
        <v>1.0</v>
      </c>
      <c r="I3989" s="53">
        <v>0.34868421052631576</v>
      </c>
      <c r="J3989" s="53">
        <v>19.0</v>
      </c>
      <c r="K3989" s="53" t="s">
        <v>53</v>
      </c>
      <c r="L3989" s="53" t="s">
        <v>53</v>
      </c>
    </row>
    <row r="3990" ht="15.75" customHeight="1">
      <c r="A3990" s="53" t="s">
        <v>411</v>
      </c>
      <c r="B3990" s="53" t="s">
        <v>4945</v>
      </c>
      <c r="D3990" s="53" t="s">
        <v>964</v>
      </c>
      <c r="E3990" s="53" t="s">
        <v>5338</v>
      </c>
      <c r="F3990" s="53" t="s">
        <v>478</v>
      </c>
      <c r="G3990" s="53" t="s">
        <v>2880</v>
      </c>
      <c r="H3990" s="53">
        <v>1.0</v>
      </c>
      <c r="I3990" s="53">
        <v>0.34868421052631576</v>
      </c>
      <c r="J3990" s="53">
        <v>15.0</v>
      </c>
      <c r="K3990" s="53" t="s">
        <v>53</v>
      </c>
      <c r="L3990" s="53" t="s">
        <v>53</v>
      </c>
    </row>
    <row r="3991" ht="15.75" customHeight="1">
      <c r="A3991" s="53" t="s">
        <v>411</v>
      </c>
      <c r="B3991" s="53" t="s">
        <v>4945</v>
      </c>
      <c r="D3991" s="53" t="s">
        <v>964</v>
      </c>
      <c r="E3991" s="53" t="s">
        <v>5339</v>
      </c>
      <c r="F3991" s="53" t="s">
        <v>478</v>
      </c>
      <c r="G3991" s="53" t="s">
        <v>2905</v>
      </c>
      <c r="H3991" s="53">
        <v>1.0</v>
      </c>
      <c r="I3991" s="53">
        <v>0.34868421052631576</v>
      </c>
      <c r="J3991" s="53">
        <v>33.0</v>
      </c>
      <c r="K3991" s="53" t="s">
        <v>53</v>
      </c>
      <c r="L3991" s="53" t="s">
        <v>53</v>
      </c>
    </row>
    <row r="3992" ht="15.75" customHeight="1">
      <c r="A3992" s="53" t="s">
        <v>411</v>
      </c>
      <c r="B3992" s="53" t="s">
        <v>4945</v>
      </c>
      <c r="D3992" s="53" t="s">
        <v>964</v>
      </c>
      <c r="E3992" s="53" t="s">
        <v>5340</v>
      </c>
      <c r="F3992" s="53" t="s">
        <v>478</v>
      </c>
      <c r="G3992" s="53" t="s">
        <v>2887</v>
      </c>
      <c r="H3992" s="53">
        <v>1.0</v>
      </c>
      <c r="I3992" s="53">
        <v>0.34868421052631576</v>
      </c>
      <c r="J3992" s="53">
        <v>25.0</v>
      </c>
      <c r="K3992" s="53" t="s">
        <v>53</v>
      </c>
      <c r="L3992" s="53" t="s">
        <v>53</v>
      </c>
    </row>
    <row r="3993" ht="15.75" customHeight="1">
      <c r="A3993" s="53" t="s">
        <v>411</v>
      </c>
      <c r="B3993" s="53" t="s">
        <v>4945</v>
      </c>
      <c r="D3993" s="53" t="s">
        <v>964</v>
      </c>
      <c r="E3993" s="53" t="s">
        <v>5341</v>
      </c>
      <c r="F3993" s="53" t="s">
        <v>478</v>
      </c>
      <c r="G3993" s="53" t="s">
        <v>2893</v>
      </c>
      <c r="H3993" s="53">
        <v>1.0</v>
      </c>
      <c r="I3993" s="53">
        <v>0.34868421052631576</v>
      </c>
      <c r="J3993" s="53">
        <v>22.0</v>
      </c>
      <c r="K3993" s="53" t="s">
        <v>53</v>
      </c>
      <c r="L3993" s="53" t="s">
        <v>53</v>
      </c>
    </row>
    <row r="3994" ht="15.75" customHeight="1">
      <c r="A3994" s="53" t="s">
        <v>411</v>
      </c>
      <c r="B3994" s="53" t="s">
        <v>4945</v>
      </c>
      <c r="D3994" s="53" t="s">
        <v>964</v>
      </c>
      <c r="E3994" s="53" t="s">
        <v>5342</v>
      </c>
      <c r="F3994" s="53" t="s">
        <v>478</v>
      </c>
      <c r="G3994" s="53" t="s">
        <v>2889</v>
      </c>
      <c r="H3994" s="53">
        <v>1.0</v>
      </c>
      <c r="I3994" s="53">
        <v>0.34868421052631576</v>
      </c>
      <c r="J3994" s="53">
        <v>28.0</v>
      </c>
      <c r="K3994" s="53" t="s">
        <v>53</v>
      </c>
      <c r="L3994" s="53" t="s">
        <v>53</v>
      </c>
    </row>
    <row r="3995" ht="15.75" customHeight="1">
      <c r="A3995" s="53" t="s">
        <v>411</v>
      </c>
      <c r="B3995" s="53" t="s">
        <v>4945</v>
      </c>
      <c r="D3995" s="53" t="s">
        <v>964</v>
      </c>
      <c r="E3995" s="53" t="s">
        <v>5343</v>
      </c>
      <c r="F3995" s="53" t="s">
        <v>478</v>
      </c>
      <c r="G3995" s="53" t="s">
        <v>2950</v>
      </c>
      <c r="H3995" s="53">
        <v>1.0</v>
      </c>
      <c r="I3995" s="53">
        <v>0.3522012578616352</v>
      </c>
      <c r="J3995" s="53">
        <v>35.0</v>
      </c>
      <c r="K3995" s="53" t="s">
        <v>53</v>
      </c>
      <c r="L3995" s="53" t="s">
        <v>53</v>
      </c>
    </row>
    <row r="3996" ht="15.75" customHeight="1">
      <c r="A3996" s="53" t="s">
        <v>411</v>
      </c>
      <c r="B3996" s="53" t="s">
        <v>4945</v>
      </c>
      <c r="D3996" s="53" t="s">
        <v>964</v>
      </c>
      <c r="E3996" s="53" t="s">
        <v>5344</v>
      </c>
      <c r="F3996" s="53" t="s">
        <v>478</v>
      </c>
      <c r="G3996" s="53" t="s">
        <v>2927</v>
      </c>
      <c r="H3996" s="53">
        <v>1.0</v>
      </c>
      <c r="I3996" s="53">
        <v>0.35526315789473684</v>
      </c>
      <c r="J3996" s="53">
        <v>44.0</v>
      </c>
      <c r="K3996" s="53" t="s">
        <v>53</v>
      </c>
      <c r="L3996" s="53" t="s">
        <v>53</v>
      </c>
    </row>
    <row r="3997" ht="15.75" customHeight="1">
      <c r="A3997" s="53" t="s">
        <v>411</v>
      </c>
      <c r="B3997" s="53" t="s">
        <v>4945</v>
      </c>
      <c r="D3997" s="53" t="s">
        <v>964</v>
      </c>
      <c r="E3997" s="53" t="s">
        <v>5345</v>
      </c>
      <c r="F3997" s="53" t="s">
        <v>478</v>
      </c>
      <c r="G3997" s="53" t="s">
        <v>2931</v>
      </c>
      <c r="H3997" s="53">
        <v>1.0</v>
      </c>
      <c r="I3997" s="53">
        <v>0.35526315789473684</v>
      </c>
      <c r="J3997" s="53">
        <v>39.0</v>
      </c>
      <c r="K3997" s="53" t="s">
        <v>53</v>
      </c>
      <c r="L3997" s="53" t="s">
        <v>53</v>
      </c>
    </row>
    <row r="3998" ht="15.75" customHeight="1">
      <c r="A3998" s="53" t="s">
        <v>411</v>
      </c>
      <c r="B3998" s="53" t="s">
        <v>4945</v>
      </c>
      <c r="D3998" s="53" t="s">
        <v>964</v>
      </c>
      <c r="E3998" s="53" t="s">
        <v>5346</v>
      </c>
      <c r="F3998" s="53" t="s">
        <v>478</v>
      </c>
      <c r="G3998" s="53" t="s">
        <v>2935</v>
      </c>
      <c r="H3998" s="53">
        <v>1.0</v>
      </c>
      <c r="I3998" s="53">
        <v>0.35526315789473684</v>
      </c>
      <c r="J3998" s="53">
        <v>36.0</v>
      </c>
      <c r="K3998" s="53" t="s">
        <v>53</v>
      </c>
      <c r="L3998" s="53" t="s">
        <v>53</v>
      </c>
    </row>
    <row r="3999" ht="15.75" customHeight="1">
      <c r="A3999" s="53" t="s">
        <v>411</v>
      </c>
      <c r="B3999" s="53" t="s">
        <v>4945</v>
      </c>
      <c r="D3999" s="53" t="s">
        <v>964</v>
      </c>
      <c r="E3999" s="53" t="s">
        <v>5347</v>
      </c>
      <c r="F3999" s="53" t="s">
        <v>478</v>
      </c>
      <c r="G3999" s="53" t="s">
        <v>2917</v>
      </c>
      <c r="H3999" s="53">
        <v>1.0</v>
      </c>
      <c r="I3999" s="53">
        <v>0.35526315789473684</v>
      </c>
      <c r="J3999" s="53">
        <v>49.0</v>
      </c>
      <c r="K3999" s="53" t="s">
        <v>53</v>
      </c>
      <c r="L3999" s="53" t="s">
        <v>53</v>
      </c>
    </row>
    <row r="4000" ht="15.75" customHeight="1">
      <c r="A4000" s="53" t="s">
        <v>411</v>
      </c>
      <c r="B4000" s="53" t="s">
        <v>4945</v>
      </c>
      <c r="D4000" s="53" t="s">
        <v>964</v>
      </c>
      <c r="E4000" s="53" t="s">
        <v>5348</v>
      </c>
      <c r="F4000" s="53" t="s">
        <v>478</v>
      </c>
      <c r="G4000" s="53" t="s">
        <v>2907</v>
      </c>
      <c r="H4000" s="53">
        <v>1.0</v>
      </c>
      <c r="I4000" s="53">
        <v>0.35526315789473684</v>
      </c>
      <c r="J4000" s="53">
        <v>48.0</v>
      </c>
      <c r="K4000" s="53" t="s">
        <v>53</v>
      </c>
      <c r="L4000" s="53" t="s">
        <v>53</v>
      </c>
    </row>
    <row r="4001" ht="15.75" customHeight="1">
      <c r="A4001" s="53" t="s">
        <v>411</v>
      </c>
      <c r="B4001" s="53" t="s">
        <v>4945</v>
      </c>
      <c r="D4001" s="53" t="s">
        <v>964</v>
      </c>
      <c r="E4001" s="53" t="s">
        <v>5349</v>
      </c>
      <c r="F4001" s="53" t="s">
        <v>478</v>
      </c>
      <c r="G4001" s="53" t="s">
        <v>2921</v>
      </c>
      <c r="H4001" s="53">
        <v>1.0</v>
      </c>
      <c r="I4001" s="53">
        <v>0.35526315789473684</v>
      </c>
      <c r="J4001" s="53">
        <v>43.0</v>
      </c>
      <c r="K4001" s="53" t="s">
        <v>53</v>
      </c>
      <c r="L4001" s="53" t="s">
        <v>53</v>
      </c>
    </row>
    <row r="4002" ht="15.75" customHeight="1">
      <c r="A4002" s="53" t="s">
        <v>411</v>
      </c>
      <c r="B4002" s="53" t="s">
        <v>4945</v>
      </c>
      <c r="D4002" s="53" t="s">
        <v>964</v>
      </c>
      <c r="E4002" s="53" t="s">
        <v>5350</v>
      </c>
      <c r="F4002" s="53" t="s">
        <v>478</v>
      </c>
      <c r="G4002" s="53" t="s">
        <v>2957</v>
      </c>
      <c r="H4002" s="53">
        <v>1.0</v>
      </c>
      <c r="I4002" s="53">
        <v>0.3575757575757576</v>
      </c>
      <c r="J4002" s="53">
        <v>37.0</v>
      </c>
      <c r="K4002" s="53" t="s">
        <v>53</v>
      </c>
      <c r="L4002" s="53" t="s">
        <v>53</v>
      </c>
    </row>
    <row r="4003" ht="15.75" customHeight="1">
      <c r="A4003" s="53" t="s">
        <v>411</v>
      </c>
      <c r="B4003" s="53" t="s">
        <v>4945</v>
      </c>
      <c r="D4003" s="53" t="s">
        <v>964</v>
      </c>
      <c r="E4003" s="53" t="s">
        <v>5351</v>
      </c>
      <c r="F4003" s="53" t="s">
        <v>478</v>
      </c>
      <c r="G4003" s="53" t="s">
        <v>2929</v>
      </c>
      <c r="H4003" s="53">
        <v>1.0</v>
      </c>
      <c r="I4003" s="53">
        <v>0.35947712418300654</v>
      </c>
      <c r="J4003" s="53">
        <v>45.0</v>
      </c>
      <c r="K4003" s="53" t="s">
        <v>53</v>
      </c>
      <c r="L4003" s="53" t="s">
        <v>53</v>
      </c>
    </row>
    <row r="4004" ht="15.75" customHeight="1">
      <c r="A4004" s="53" t="s">
        <v>411</v>
      </c>
      <c r="B4004" s="53" t="s">
        <v>4945</v>
      </c>
      <c r="D4004" s="53" t="s">
        <v>964</v>
      </c>
      <c r="E4004" s="53" t="s">
        <v>5352</v>
      </c>
      <c r="F4004" s="53" t="s">
        <v>478</v>
      </c>
      <c r="G4004" s="53" t="s">
        <v>2919</v>
      </c>
      <c r="H4004" s="53">
        <v>1.0</v>
      </c>
      <c r="I4004" s="53">
        <v>0.3618421052631579</v>
      </c>
      <c r="J4004" s="53">
        <v>42.0</v>
      </c>
      <c r="K4004" s="53" t="s">
        <v>53</v>
      </c>
      <c r="L4004" s="53" t="s">
        <v>53</v>
      </c>
    </row>
    <row r="4005" ht="15.75" customHeight="1">
      <c r="A4005" s="53" t="s">
        <v>411</v>
      </c>
      <c r="B4005" s="53" t="s">
        <v>4945</v>
      </c>
      <c r="D4005" s="53" t="s">
        <v>964</v>
      </c>
      <c r="E4005" s="53" t="s">
        <v>5353</v>
      </c>
      <c r="F4005" s="53" t="s">
        <v>478</v>
      </c>
      <c r="G4005" s="53" t="s">
        <v>3738</v>
      </c>
      <c r="H4005" s="53">
        <v>1.0</v>
      </c>
      <c r="I4005" s="53">
        <v>0.3618421052631579</v>
      </c>
      <c r="J4005" s="53">
        <v>13.0</v>
      </c>
      <c r="K4005" s="53" t="s">
        <v>53</v>
      </c>
      <c r="L4005" s="53" t="s">
        <v>53</v>
      </c>
    </row>
    <row r="4006" ht="15.75" customHeight="1">
      <c r="A4006" s="53" t="s">
        <v>411</v>
      </c>
      <c r="B4006" s="53" t="s">
        <v>4945</v>
      </c>
      <c r="D4006" s="53" t="s">
        <v>964</v>
      </c>
      <c r="E4006" s="53" t="s">
        <v>5354</v>
      </c>
      <c r="F4006" s="53" t="s">
        <v>478</v>
      </c>
      <c r="G4006" s="53" t="s">
        <v>2925</v>
      </c>
      <c r="H4006" s="53">
        <v>1.0</v>
      </c>
      <c r="I4006" s="53">
        <v>0.3618421052631579</v>
      </c>
      <c r="J4006" s="53">
        <v>47.0</v>
      </c>
      <c r="K4006" s="53" t="s">
        <v>53</v>
      </c>
      <c r="L4006" s="53" t="s">
        <v>53</v>
      </c>
    </row>
    <row r="4007" ht="15.75" customHeight="1">
      <c r="A4007" s="53" t="s">
        <v>411</v>
      </c>
      <c r="B4007" s="53" t="s">
        <v>4945</v>
      </c>
      <c r="D4007" s="53" t="s">
        <v>964</v>
      </c>
      <c r="E4007" s="53" t="s">
        <v>5355</v>
      </c>
      <c r="F4007" s="53" t="s">
        <v>478</v>
      </c>
      <c r="G4007" s="53" t="s">
        <v>2933</v>
      </c>
      <c r="H4007" s="53">
        <v>1.0</v>
      </c>
      <c r="I4007" s="53">
        <v>0.36875</v>
      </c>
      <c r="J4007" s="53">
        <v>46.0</v>
      </c>
      <c r="K4007" s="53" t="s">
        <v>53</v>
      </c>
      <c r="L4007" s="53" t="s">
        <v>53</v>
      </c>
    </row>
    <row r="4008" ht="15.75" customHeight="1">
      <c r="A4008" s="53" t="s">
        <v>411</v>
      </c>
      <c r="B4008" s="53" t="s">
        <v>4945</v>
      </c>
      <c r="D4008" s="53" t="s">
        <v>964</v>
      </c>
      <c r="E4008" s="53" t="s">
        <v>5356</v>
      </c>
      <c r="F4008" s="53" t="s">
        <v>478</v>
      </c>
      <c r="G4008" s="53" t="s">
        <v>2944</v>
      </c>
      <c r="H4008" s="53">
        <v>1.0</v>
      </c>
      <c r="I4008" s="53">
        <v>0.38509316770186336</v>
      </c>
      <c r="J4008" s="53">
        <v>38.0</v>
      </c>
      <c r="K4008" s="53" t="s">
        <v>53</v>
      </c>
      <c r="L4008" s="53" t="s">
        <v>53</v>
      </c>
    </row>
    <row r="4009" ht="15.75" customHeight="1">
      <c r="A4009" s="53" t="s">
        <v>411</v>
      </c>
      <c r="B4009" s="53" t="s">
        <v>4945</v>
      </c>
      <c r="D4009" s="53" t="s">
        <v>964</v>
      </c>
      <c r="E4009" s="53" t="s">
        <v>5357</v>
      </c>
      <c r="F4009" s="53" t="s">
        <v>478</v>
      </c>
      <c r="G4009" s="53" t="s">
        <v>2946</v>
      </c>
      <c r="H4009" s="53">
        <v>1.0</v>
      </c>
      <c r="I4009" s="53">
        <v>0.3878787878787879</v>
      </c>
      <c r="J4009" s="53">
        <v>21.0</v>
      </c>
      <c r="K4009" s="53" t="s">
        <v>53</v>
      </c>
      <c r="L4009" s="53" t="s">
        <v>53</v>
      </c>
    </row>
    <row r="4010" ht="15.75" customHeight="1">
      <c r="A4010" s="53" t="s">
        <v>411</v>
      </c>
      <c r="B4010" s="53" t="s">
        <v>4945</v>
      </c>
      <c r="D4010" s="53" t="s">
        <v>968</v>
      </c>
      <c r="E4010" s="53" t="s">
        <v>4930</v>
      </c>
      <c r="F4010" s="53" t="s">
        <v>478</v>
      </c>
      <c r="G4010" s="53" t="s">
        <v>972</v>
      </c>
      <c r="H4010" s="53">
        <v>1.0</v>
      </c>
      <c r="I4010" s="53">
        <v>0.03870967741935484</v>
      </c>
      <c r="J4010" s="53">
        <v>0.0</v>
      </c>
      <c r="K4010" s="53" t="s">
        <v>53</v>
      </c>
      <c r="L4010" s="53" t="s">
        <v>53</v>
      </c>
    </row>
    <row r="4011" ht="15.75" customHeight="1">
      <c r="A4011" s="53" t="s">
        <v>411</v>
      </c>
      <c r="B4011" s="53" t="s">
        <v>4945</v>
      </c>
      <c r="D4011" s="53" t="s">
        <v>968</v>
      </c>
      <c r="E4011" s="53" t="s">
        <v>4931</v>
      </c>
      <c r="F4011" s="53" t="s">
        <v>478</v>
      </c>
      <c r="G4011" s="53" t="s">
        <v>984</v>
      </c>
      <c r="H4011" s="53">
        <v>1.0</v>
      </c>
      <c r="I4011" s="53">
        <v>0.07692307692307693</v>
      </c>
      <c r="J4011" s="53">
        <v>3.0</v>
      </c>
      <c r="K4011" s="53" t="s">
        <v>53</v>
      </c>
      <c r="L4011" s="53" t="s">
        <v>53</v>
      </c>
    </row>
    <row r="4012" ht="15.75" customHeight="1">
      <c r="A4012" s="53" t="s">
        <v>411</v>
      </c>
      <c r="B4012" s="53" t="s">
        <v>4945</v>
      </c>
      <c r="D4012" s="53" t="s">
        <v>968</v>
      </c>
      <c r="E4012" s="53" t="s">
        <v>4932</v>
      </c>
      <c r="F4012" s="53" t="s">
        <v>478</v>
      </c>
      <c r="G4012" s="53" t="s">
        <v>976</v>
      </c>
      <c r="H4012" s="53">
        <v>1.0</v>
      </c>
      <c r="I4012" s="53">
        <v>0.07741935483870968</v>
      </c>
      <c r="J4012" s="53">
        <v>1.0</v>
      </c>
      <c r="K4012" s="53" t="s">
        <v>53</v>
      </c>
      <c r="L4012" s="53" t="s">
        <v>53</v>
      </c>
    </row>
    <row r="4013" ht="15.75" customHeight="1">
      <c r="A4013" s="53" t="s">
        <v>411</v>
      </c>
      <c r="B4013" s="53" t="s">
        <v>4945</v>
      </c>
      <c r="D4013" s="53" t="s">
        <v>968</v>
      </c>
      <c r="E4013" s="53" t="s">
        <v>4934</v>
      </c>
      <c r="F4013" s="53" t="s">
        <v>478</v>
      </c>
      <c r="G4013" s="53" t="s">
        <v>980</v>
      </c>
      <c r="H4013" s="53">
        <v>1.0</v>
      </c>
      <c r="I4013" s="53">
        <v>0.11612903225806452</v>
      </c>
      <c r="J4013" s="53">
        <v>2.0</v>
      </c>
      <c r="K4013" s="53" t="s">
        <v>53</v>
      </c>
      <c r="L4013" s="53" t="s">
        <v>53</v>
      </c>
    </row>
    <row r="4014" ht="15.75" customHeight="1">
      <c r="A4014" s="53" t="s">
        <v>411</v>
      </c>
      <c r="B4014" s="53" t="s">
        <v>4945</v>
      </c>
      <c r="D4014" s="53" t="s">
        <v>968</v>
      </c>
      <c r="E4014" s="53" t="s">
        <v>4933</v>
      </c>
      <c r="F4014" s="53" t="s">
        <v>478</v>
      </c>
      <c r="G4014" s="53" t="s">
        <v>988</v>
      </c>
      <c r="H4014" s="53">
        <v>1.0</v>
      </c>
      <c r="I4014" s="53">
        <v>0.11612903225806452</v>
      </c>
      <c r="J4014" s="53">
        <v>4.0</v>
      </c>
      <c r="K4014" s="53" t="s">
        <v>53</v>
      </c>
      <c r="L4014" s="53" t="s">
        <v>53</v>
      </c>
    </row>
    <row r="4015" ht="15.75" customHeight="1">
      <c r="A4015" s="53" t="s">
        <v>411</v>
      </c>
      <c r="B4015" s="53" t="s">
        <v>4945</v>
      </c>
      <c r="D4015" s="53" t="s">
        <v>968</v>
      </c>
      <c r="E4015" s="53" t="s">
        <v>5358</v>
      </c>
      <c r="F4015" s="53" t="s">
        <v>478</v>
      </c>
      <c r="G4015" s="53" t="s">
        <v>485</v>
      </c>
      <c r="H4015" s="53">
        <v>1.0</v>
      </c>
      <c r="I4015" s="53">
        <v>0.25161290322580643</v>
      </c>
      <c r="J4015" s="53">
        <v>49.0</v>
      </c>
      <c r="K4015" s="53" t="s">
        <v>53</v>
      </c>
      <c r="L4015" s="53" t="s">
        <v>53</v>
      </c>
    </row>
    <row r="4016" ht="15.75" customHeight="1">
      <c r="A4016" s="53" t="s">
        <v>411</v>
      </c>
      <c r="B4016" s="53" t="s">
        <v>4945</v>
      </c>
      <c r="D4016" s="53" t="s">
        <v>968</v>
      </c>
      <c r="E4016" s="53" t="s">
        <v>5359</v>
      </c>
      <c r="F4016" s="53" t="s">
        <v>478</v>
      </c>
      <c r="G4016" s="53" t="s">
        <v>474</v>
      </c>
      <c r="H4016" s="53">
        <v>1.0</v>
      </c>
      <c r="I4016" s="53">
        <v>0.25161290322580643</v>
      </c>
      <c r="J4016" s="53">
        <v>50.0</v>
      </c>
      <c r="K4016" s="53" t="s">
        <v>53</v>
      </c>
      <c r="L4016" s="53" t="s">
        <v>53</v>
      </c>
    </row>
    <row r="4017" ht="15.75" customHeight="1">
      <c r="A4017" s="53" t="s">
        <v>411</v>
      </c>
      <c r="B4017" s="53" t="s">
        <v>4945</v>
      </c>
      <c r="D4017" s="53" t="s">
        <v>968</v>
      </c>
      <c r="E4017" s="53" t="s">
        <v>5360</v>
      </c>
      <c r="F4017" s="53" t="s">
        <v>478</v>
      </c>
      <c r="G4017" s="53" t="s">
        <v>2942</v>
      </c>
      <c r="H4017" s="53">
        <v>1.0</v>
      </c>
      <c r="I4017" s="53">
        <v>0.2967741935483871</v>
      </c>
      <c r="J4017" s="53">
        <v>54.0</v>
      </c>
      <c r="K4017" s="53" t="s">
        <v>53</v>
      </c>
      <c r="L4017" s="53" t="s">
        <v>53</v>
      </c>
    </row>
    <row r="4018" ht="15.75" customHeight="1">
      <c r="A4018" s="53" t="s">
        <v>411</v>
      </c>
      <c r="B4018" s="53" t="s">
        <v>4945</v>
      </c>
      <c r="D4018" s="53" t="s">
        <v>968</v>
      </c>
      <c r="E4018" s="53" t="s">
        <v>5361</v>
      </c>
      <c r="F4018" s="53" t="s">
        <v>478</v>
      </c>
      <c r="G4018" s="53" t="s">
        <v>509</v>
      </c>
      <c r="H4018" s="53">
        <v>1.0</v>
      </c>
      <c r="I4018" s="53">
        <v>0.2967741935483871</v>
      </c>
      <c r="J4018" s="53">
        <v>16.0</v>
      </c>
      <c r="K4018" s="53" t="s">
        <v>53</v>
      </c>
      <c r="L4018" s="53" t="s">
        <v>53</v>
      </c>
    </row>
    <row r="4019" ht="15.75" customHeight="1">
      <c r="A4019" s="53" t="s">
        <v>411</v>
      </c>
      <c r="B4019" s="53" t="s">
        <v>4945</v>
      </c>
      <c r="D4019" s="53" t="s">
        <v>968</v>
      </c>
      <c r="E4019" s="53" t="s">
        <v>5362</v>
      </c>
      <c r="F4019" s="53" t="s">
        <v>478</v>
      </c>
      <c r="G4019" s="53" t="s">
        <v>2937</v>
      </c>
      <c r="H4019" s="53">
        <v>1.0</v>
      </c>
      <c r="I4019" s="53">
        <v>0.3161290322580645</v>
      </c>
      <c r="J4019" s="53">
        <v>53.0</v>
      </c>
      <c r="K4019" s="53" t="s">
        <v>53</v>
      </c>
      <c r="L4019" s="53" t="s">
        <v>53</v>
      </c>
    </row>
    <row r="4020" ht="15.75" customHeight="1">
      <c r="A4020" s="53" t="s">
        <v>411</v>
      </c>
      <c r="B4020" s="53" t="s">
        <v>4945</v>
      </c>
      <c r="D4020" s="53" t="s">
        <v>968</v>
      </c>
      <c r="E4020" s="53" t="s">
        <v>5363</v>
      </c>
      <c r="F4020" s="53" t="s">
        <v>478</v>
      </c>
      <c r="G4020" s="53" t="s">
        <v>2940</v>
      </c>
      <c r="H4020" s="53">
        <v>1.0</v>
      </c>
      <c r="I4020" s="53">
        <v>0.3161290322580645</v>
      </c>
      <c r="J4020" s="53">
        <v>33.0</v>
      </c>
      <c r="K4020" s="53" t="s">
        <v>53</v>
      </c>
      <c r="L4020" s="53" t="s">
        <v>53</v>
      </c>
    </row>
    <row r="4021" ht="15.75" customHeight="1">
      <c r="A4021" s="53" t="s">
        <v>411</v>
      </c>
      <c r="B4021" s="53" t="s">
        <v>4945</v>
      </c>
      <c r="D4021" s="53" t="s">
        <v>968</v>
      </c>
      <c r="E4021" s="53" t="s">
        <v>5364</v>
      </c>
      <c r="F4021" s="53" t="s">
        <v>478</v>
      </c>
      <c r="G4021" s="53" t="s">
        <v>2948</v>
      </c>
      <c r="H4021" s="53">
        <v>1.0</v>
      </c>
      <c r="I4021" s="53">
        <v>0.3161290322580645</v>
      </c>
      <c r="J4021" s="53">
        <v>52.0</v>
      </c>
      <c r="K4021" s="53" t="s">
        <v>53</v>
      </c>
      <c r="L4021" s="53" t="s">
        <v>53</v>
      </c>
    </row>
    <row r="4022" ht="15.75" customHeight="1">
      <c r="A4022" s="53" t="s">
        <v>411</v>
      </c>
      <c r="B4022" s="53" t="s">
        <v>4945</v>
      </c>
      <c r="D4022" s="53" t="s">
        <v>968</v>
      </c>
      <c r="E4022" s="53" t="s">
        <v>5365</v>
      </c>
      <c r="F4022" s="53" t="s">
        <v>478</v>
      </c>
      <c r="G4022" s="53" t="s">
        <v>2954</v>
      </c>
      <c r="H4022" s="53">
        <v>1.0</v>
      </c>
      <c r="I4022" s="53">
        <v>0.3225806451612903</v>
      </c>
      <c r="J4022" s="53">
        <v>31.0</v>
      </c>
      <c r="K4022" s="53" t="s">
        <v>53</v>
      </c>
      <c r="L4022" s="53" t="s">
        <v>53</v>
      </c>
    </row>
    <row r="4023" ht="15.75" customHeight="1">
      <c r="A4023" s="53" t="s">
        <v>411</v>
      </c>
      <c r="B4023" s="53" t="s">
        <v>4945</v>
      </c>
      <c r="D4023" s="53" t="s">
        <v>968</v>
      </c>
      <c r="E4023" s="53" t="s">
        <v>5366</v>
      </c>
      <c r="F4023" s="53" t="s">
        <v>478</v>
      </c>
      <c r="G4023" s="53" t="s">
        <v>495</v>
      </c>
      <c r="H4023" s="53">
        <v>1.0</v>
      </c>
      <c r="I4023" s="53">
        <v>0.3225806451612903</v>
      </c>
      <c r="J4023" s="53">
        <v>51.0</v>
      </c>
      <c r="K4023" s="53" t="s">
        <v>53</v>
      </c>
      <c r="L4023" s="53" t="s">
        <v>53</v>
      </c>
    </row>
    <row r="4024" ht="15.75" customHeight="1">
      <c r="A4024" s="53" t="s">
        <v>411</v>
      </c>
      <c r="B4024" s="53" t="s">
        <v>4945</v>
      </c>
      <c r="D4024" s="53" t="s">
        <v>968</v>
      </c>
      <c r="E4024" s="53" t="s">
        <v>5367</v>
      </c>
      <c r="F4024" s="53" t="s">
        <v>478</v>
      </c>
      <c r="G4024" s="53" t="s">
        <v>2915</v>
      </c>
      <c r="H4024" s="53">
        <v>1.0</v>
      </c>
      <c r="I4024" s="53">
        <v>0.3225806451612903</v>
      </c>
      <c r="J4024" s="53">
        <v>39.0</v>
      </c>
      <c r="K4024" s="53" t="s">
        <v>53</v>
      </c>
      <c r="L4024" s="53" t="s">
        <v>53</v>
      </c>
    </row>
    <row r="4025" ht="15.75" customHeight="1">
      <c r="A4025" s="53" t="s">
        <v>411</v>
      </c>
      <c r="B4025" s="53" t="s">
        <v>4945</v>
      </c>
      <c r="D4025" s="53" t="s">
        <v>968</v>
      </c>
      <c r="E4025" s="53" t="s">
        <v>5368</v>
      </c>
      <c r="F4025" s="53" t="s">
        <v>478</v>
      </c>
      <c r="G4025" s="53" t="s">
        <v>2883</v>
      </c>
      <c r="H4025" s="53">
        <v>1.0</v>
      </c>
      <c r="I4025" s="53">
        <v>0.32903225806451614</v>
      </c>
      <c r="J4025" s="53">
        <v>19.0</v>
      </c>
      <c r="K4025" s="53" t="s">
        <v>53</v>
      </c>
      <c r="L4025" s="53" t="s">
        <v>53</v>
      </c>
    </row>
    <row r="4026" ht="15.75" customHeight="1">
      <c r="A4026" s="53" t="s">
        <v>411</v>
      </c>
      <c r="B4026" s="53" t="s">
        <v>4945</v>
      </c>
      <c r="D4026" s="53" t="s">
        <v>968</v>
      </c>
      <c r="E4026" s="53" t="s">
        <v>5369</v>
      </c>
      <c r="F4026" s="53" t="s">
        <v>478</v>
      </c>
      <c r="G4026" s="53" t="s">
        <v>2950</v>
      </c>
      <c r="H4026" s="53">
        <v>1.0</v>
      </c>
      <c r="I4026" s="53">
        <v>0.3333333333333333</v>
      </c>
      <c r="J4026" s="53">
        <v>34.0</v>
      </c>
      <c r="K4026" s="53" t="s">
        <v>53</v>
      </c>
      <c r="L4026" s="53" t="s">
        <v>53</v>
      </c>
    </row>
    <row r="4027" ht="15.75" customHeight="1">
      <c r="A4027" s="53" t="s">
        <v>411</v>
      </c>
      <c r="B4027" s="53" t="s">
        <v>4945</v>
      </c>
      <c r="D4027" s="53" t="s">
        <v>968</v>
      </c>
      <c r="E4027" s="53" t="s">
        <v>5370</v>
      </c>
      <c r="F4027" s="53" t="s">
        <v>478</v>
      </c>
      <c r="G4027" s="53" t="s">
        <v>2903</v>
      </c>
      <c r="H4027" s="53">
        <v>1.0</v>
      </c>
      <c r="I4027" s="53">
        <v>0.33548387096774196</v>
      </c>
      <c r="J4027" s="53">
        <v>15.0</v>
      </c>
      <c r="K4027" s="53" t="s">
        <v>53</v>
      </c>
      <c r="L4027" s="53" t="s">
        <v>53</v>
      </c>
    </row>
    <row r="4028" ht="15.75" customHeight="1">
      <c r="A4028" s="53" t="s">
        <v>411</v>
      </c>
      <c r="B4028" s="53" t="s">
        <v>4945</v>
      </c>
      <c r="D4028" s="53" t="s">
        <v>968</v>
      </c>
      <c r="E4028" s="53" t="s">
        <v>5371</v>
      </c>
      <c r="F4028" s="53" t="s">
        <v>478</v>
      </c>
      <c r="G4028" s="53" t="s">
        <v>2897</v>
      </c>
      <c r="H4028" s="53">
        <v>1.0</v>
      </c>
      <c r="I4028" s="53">
        <v>0.33548387096774196</v>
      </c>
      <c r="J4028" s="53">
        <v>22.0</v>
      </c>
      <c r="K4028" s="53" t="s">
        <v>53</v>
      </c>
      <c r="L4028" s="53" t="s">
        <v>53</v>
      </c>
    </row>
    <row r="4029" ht="15.75" customHeight="1">
      <c r="A4029" s="53" t="s">
        <v>411</v>
      </c>
      <c r="B4029" s="53" t="s">
        <v>4945</v>
      </c>
      <c r="D4029" s="53" t="s">
        <v>968</v>
      </c>
      <c r="E4029" s="53" t="s">
        <v>5372</v>
      </c>
      <c r="F4029" s="53" t="s">
        <v>478</v>
      </c>
      <c r="G4029" s="53" t="s">
        <v>2891</v>
      </c>
      <c r="H4029" s="53">
        <v>1.0</v>
      </c>
      <c r="I4029" s="53">
        <v>0.33548387096774196</v>
      </c>
      <c r="J4029" s="53">
        <v>23.0</v>
      </c>
      <c r="K4029" s="53" t="s">
        <v>53</v>
      </c>
      <c r="L4029" s="53" t="s">
        <v>53</v>
      </c>
    </row>
    <row r="4030" ht="15.75" customHeight="1">
      <c r="A4030" s="53" t="s">
        <v>411</v>
      </c>
      <c r="B4030" s="53" t="s">
        <v>4945</v>
      </c>
      <c r="D4030" s="53" t="s">
        <v>968</v>
      </c>
      <c r="E4030" s="53" t="s">
        <v>5373</v>
      </c>
      <c r="F4030" s="53" t="s">
        <v>478</v>
      </c>
      <c r="G4030" s="53" t="s">
        <v>3738</v>
      </c>
      <c r="H4030" s="53">
        <v>1.0</v>
      </c>
      <c r="I4030" s="53">
        <v>0.33548387096774196</v>
      </c>
      <c r="J4030" s="53">
        <v>12.0</v>
      </c>
      <c r="K4030" s="53" t="s">
        <v>53</v>
      </c>
      <c r="L4030" s="53" t="s">
        <v>53</v>
      </c>
    </row>
    <row r="4031" ht="15.75" customHeight="1">
      <c r="A4031" s="53" t="s">
        <v>411</v>
      </c>
      <c r="B4031" s="53" t="s">
        <v>4945</v>
      </c>
      <c r="D4031" s="53" t="s">
        <v>968</v>
      </c>
      <c r="E4031" s="53" t="s">
        <v>5374</v>
      </c>
      <c r="F4031" s="53" t="s">
        <v>478</v>
      </c>
      <c r="G4031" s="53" t="s">
        <v>2885</v>
      </c>
      <c r="H4031" s="53">
        <v>1.0</v>
      </c>
      <c r="I4031" s="53">
        <v>0.33548387096774196</v>
      </c>
      <c r="J4031" s="53">
        <v>18.0</v>
      </c>
      <c r="K4031" s="53" t="s">
        <v>53</v>
      </c>
      <c r="L4031" s="53" t="s">
        <v>53</v>
      </c>
    </row>
    <row r="4032" ht="15.75" customHeight="1">
      <c r="A4032" s="53" t="s">
        <v>411</v>
      </c>
      <c r="B4032" s="53" t="s">
        <v>4945</v>
      </c>
      <c r="D4032" s="53" t="s">
        <v>968</v>
      </c>
      <c r="E4032" s="53" t="s">
        <v>5375</v>
      </c>
      <c r="F4032" s="53" t="s">
        <v>478</v>
      </c>
      <c r="G4032" s="53" t="s">
        <v>2880</v>
      </c>
      <c r="H4032" s="53">
        <v>1.0</v>
      </c>
      <c r="I4032" s="53">
        <v>0.33548387096774196</v>
      </c>
      <c r="J4032" s="53">
        <v>14.0</v>
      </c>
      <c r="K4032" s="53" t="s">
        <v>53</v>
      </c>
      <c r="L4032" s="53" t="s">
        <v>53</v>
      </c>
    </row>
    <row r="4033" ht="15.75" customHeight="1">
      <c r="A4033" s="53" t="s">
        <v>411</v>
      </c>
      <c r="B4033" s="53" t="s">
        <v>4945</v>
      </c>
      <c r="D4033" s="53" t="s">
        <v>968</v>
      </c>
      <c r="E4033" s="53" t="s">
        <v>5376</v>
      </c>
      <c r="F4033" s="53" t="s">
        <v>478</v>
      </c>
      <c r="G4033" s="53" t="s">
        <v>2909</v>
      </c>
      <c r="H4033" s="53">
        <v>1.0</v>
      </c>
      <c r="I4033" s="53">
        <v>0.33548387096774196</v>
      </c>
      <c r="J4033" s="53">
        <v>17.0</v>
      </c>
      <c r="K4033" s="53" t="s">
        <v>53</v>
      </c>
      <c r="L4033" s="53" t="s">
        <v>53</v>
      </c>
    </row>
    <row r="4034" ht="15.75" customHeight="1">
      <c r="A4034" s="53" t="s">
        <v>411</v>
      </c>
      <c r="B4034" s="53" t="s">
        <v>4945</v>
      </c>
      <c r="D4034" s="53" t="s">
        <v>968</v>
      </c>
      <c r="E4034" s="53" t="s">
        <v>5377</v>
      </c>
      <c r="F4034" s="53" t="s">
        <v>478</v>
      </c>
      <c r="G4034" s="53" t="s">
        <v>2901</v>
      </c>
      <c r="H4034" s="53">
        <v>1.0</v>
      </c>
      <c r="I4034" s="53">
        <v>0.33548387096774196</v>
      </c>
      <c r="J4034" s="53">
        <v>26.0</v>
      </c>
      <c r="K4034" s="53" t="s">
        <v>53</v>
      </c>
      <c r="L4034" s="53" t="s">
        <v>53</v>
      </c>
    </row>
    <row r="4035" ht="15.75" customHeight="1">
      <c r="A4035" s="53" t="s">
        <v>411</v>
      </c>
      <c r="B4035" s="53" t="s">
        <v>4945</v>
      </c>
      <c r="D4035" s="53" t="s">
        <v>968</v>
      </c>
      <c r="E4035" s="53" t="s">
        <v>5378</v>
      </c>
      <c r="F4035" s="53" t="s">
        <v>478</v>
      </c>
      <c r="G4035" s="53" t="s">
        <v>2887</v>
      </c>
      <c r="H4035" s="53">
        <v>1.0</v>
      </c>
      <c r="I4035" s="53">
        <v>0.33548387096774196</v>
      </c>
      <c r="J4035" s="53">
        <v>24.0</v>
      </c>
      <c r="K4035" s="53" t="s">
        <v>53</v>
      </c>
      <c r="L4035" s="53" t="s">
        <v>53</v>
      </c>
    </row>
    <row r="4036" ht="15.75" customHeight="1">
      <c r="A4036" s="53" t="s">
        <v>411</v>
      </c>
      <c r="B4036" s="53" t="s">
        <v>4945</v>
      </c>
      <c r="D4036" s="53" t="s">
        <v>968</v>
      </c>
      <c r="E4036" s="53" t="s">
        <v>5379</v>
      </c>
      <c r="F4036" s="53" t="s">
        <v>478</v>
      </c>
      <c r="G4036" s="53" t="s">
        <v>2893</v>
      </c>
      <c r="H4036" s="53">
        <v>1.0</v>
      </c>
      <c r="I4036" s="53">
        <v>0.33548387096774196</v>
      </c>
      <c r="J4036" s="53">
        <v>21.0</v>
      </c>
      <c r="K4036" s="53" t="s">
        <v>53</v>
      </c>
      <c r="L4036" s="53" t="s">
        <v>53</v>
      </c>
    </row>
    <row r="4037" ht="15.75" customHeight="1">
      <c r="A4037" s="53" t="s">
        <v>411</v>
      </c>
      <c r="B4037" s="53" t="s">
        <v>4945</v>
      </c>
      <c r="D4037" s="53" t="s">
        <v>968</v>
      </c>
      <c r="E4037" s="53" t="s">
        <v>5380</v>
      </c>
      <c r="F4037" s="53" t="s">
        <v>478</v>
      </c>
      <c r="G4037" s="53" t="s">
        <v>2889</v>
      </c>
      <c r="H4037" s="53">
        <v>1.0</v>
      </c>
      <c r="I4037" s="53">
        <v>0.33548387096774196</v>
      </c>
      <c r="J4037" s="53">
        <v>27.0</v>
      </c>
      <c r="K4037" s="53" t="s">
        <v>53</v>
      </c>
      <c r="L4037" s="53" t="s">
        <v>53</v>
      </c>
    </row>
    <row r="4038" ht="15.75" customHeight="1">
      <c r="A4038" s="53" t="s">
        <v>411</v>
      </c>
      <c r="B4038" s="53" t="s">
        <v>4945</v>
      </c>
      <c r="D4038" s="53" t="s">
        <v>968</v>
      </c>
      <c r="E4038" s="53" t="s">
        <v>5381</v>
      </c>
      <c r="F4038" s="53" t="s">
        <v>478</v>
      </c>
      <c r="G4038" s="53" t="s">
        <v>2895</v>
      </c>
      <c r="H4038" s="53">
        <v>1.0</v>
      </c>
      <c r="I4038" s="53">
        <v>0.3419354838709677</v>
      </c>
      <c r="J4038" s="53">
        <v>25.0</v>
      </c>
      <c r="K4038" s="53" t="s">
        <v>53</v>
      </c>
      <c r="L4038" s="53" t="s">
        <v>53</v>
      </c>
    </row>
    <row r="4039" ht="15.75" customHeight="1">
      <c r="A4039" s="53" t="s">
        <v>411</v>
      </c>
      <c r="B4039" s="53" t="s">
        <v>4945</v>
      </c>
      <c r="D4039" s="53" t="s">
        <v>968</v>
      </c>
      <c r="E4039" s="53" t="s">
        <v>5382</v>
      </c>
      <c r="F4039" s="53" t="s">
        <v>478</v>
      </c>
      <c r="G4039" s="53" t="s">
        <v>2927</v>
      </c>
      <c r="H4039" s="53">
        <v>1.0</v>
      </c>
      <c r="I4039" s="53">
        <v>0.3419354838709677</v>
      </c>
      <c r="J4039" s="53">
        <v>43.0</v>
      </c>
      <c r="K4039" s="53" t="s">
        <v>53</v>
      </c>
      <c r="L4039" s="53" t="s">
        <v>53</v>
      </c>
    </row>
    <row r="4040" ht="15.75" customHeight="1">
      <c r="A4040" s="53" t="s">
        <v>411</v>
      </c>
      <c r="B4040" s="53" t="s">
        <v>4945</v>
      </c>
      <c r="D4040" s="53" t="s">
        <v>968</v>
      </c>
      <c r="E4040" s="53" t="s">
        <v>5383</v>
      </c>
      <c r="F4040" s="53" t="s">
        <v>478</v>
      </c>
      <c r="G4040" s="53" t="s">
        <v>2911</v>
      </c>
      <c r="H4040" s="53">
        <v>1.0</v>
      </c>
      <c r="I4040" s="53">
        <v>0.3419354838709677</v>
      </c>
      <c r="J4040" s="53">
        <v>30.0</v>
      </c>
      <c r="K4040" s="53" t="s">
        <v>53</v>
      </c>
      <c r="L4040" s="53" t="s">
        <v>53</v>
      </c>
    </row>
    <row r="4041" ht="15.75" customHeight="1">
      <c r="A4041" s="53" t="s">
        <v>411</v>
      </c>
      <c r="B4041" s="53" t="s">
        <v>4945</v>
      </c>
      <c r="D4041" s="53" t="s">
        <v>968</v>
      </c>
      <c r="E4041" s="53" t="s">
        <v>5384</v>
      </c>
      <c r="F4041" s="53" t="s">
        <v>478</v>
      </c>
      <c r="G4041" s="53" t="s">
        <v>2923</v>
      </c>
      <c r="H4041" s="53">
        <v>1.0</v>
      </c>
      <c r="I4041" s="53">
        <v>0.3419354838709677</v>
      </c>
      <c r="J4041" s="53">
        <v>40.0</v>
      </c>
      <c r="K4041" s="53" t="s">
        <v>53</v>
      </c>
      <c r="L4041" s="53" t="s">
        <v>53</v>
      </c>
    </row>
    <row r="4042" ht="15.75" customHeight="1">
      <c r="A4042" s="53" t="s">
        <v>411</v>
      </c>
      <c r="B4042" s="53" t="s">
        <v>4945</v>
      </c>
      <c r="D4042" s="53" t="s">
        <v>968</v>
      </c>
      <c r="E4042" s="53" t="s">
        <v>5385</v>
      </c>
      <c r="F4042" s="53" t="s">
        <v>478</v>
      </c>
      <c r="G4042" s="53" t="s">
        <v>2899</v>
      </c>
      <c r="H4042" s="53">
        <v>1.0</v>
      </c>
      <c r="I4042" s="53">
        <v>0.3419354838709677</v>
      </c>
      <c r="J4042" s="53">
        <v>29.0</v>
      </c>
      <c r="K4042" s="53" t="s">
        <v>53</v>
      </c>
      <c r="L4042" s="53" t="s">
        <v>53</v>
      </c>
    </row>
    <row r="4043" ht="15.75" customHeight="1">
      <c r="A4043" s="53" t="s">
        <v>411</v>
      </c>
      <c r="B4043" s="53" t="s">
        <v>4945</v>
      </c>
      <c r="D4043" s="53" t="s">
        <v>968</v>
      </c>
      <c r="E4043" s="53" t="s">
        <v>5386</v>
      </c>
      <c r="F4043" s="53" t="s">
        <v>478</v>
      </c>
      <c r="G4043" s="53" t="s">
        <v>2913</v>
      </c>
      <c r="H4043" s="53">
        <v>1.0</v>
      </c>
      <c r="I4043" s="53">
        <v>0.3419354838709677</v>
      </c>
      <c r="J4043" s="53">
        <v>28.0</v>
      </c>
      <c r="K4043" s="53" t="s">
        <v>53</v>
      </c>
      <c r="L4043" s="53" t="s">
        <v>53</v>
      </c>
    </row>
    <row r="4044" ht="15.75" customHeight="1">
      <c r="A4044" s="53" t="s">
        <v>411</v>
      </c>
      <c r="B4044" s="53" t="s">
        <v>4945</v>
      </c>
      <c r="D4044" s="53" t="s">
        <v>968</v>
      </c>
      <c r="E4044" s="53" t="s">
        <v>5387</v>
      </c>
      <c r="F4044" s="53" t="s">
        <v>478</v>
      </c>
      <c r="G4044" s="53" t="s">
        <v>2907</v>
      </c>
      <c r="H4044" s="53">
        <v>1.0</v>
      </c>
      <c r="I4044" s="53">
        <v>0.3419354838709677</v>
      </c>
      <c r="J4044" s="53">
        <v>47.0</v>
      </c>
      <c r="K4044" s="53" t="s">
        <v>53</v>
      </c>
      <c r="L4044" s="53" t="s">
        <v>53</v>
      </c>
    </row>
    <row r="4045" ht="15.75" customHeight="1">
      <c r="A4045" s="53" t="s">
        <v>411</v>
      </c>
      <c r="B4045" s="53" t="s">
        <v>4945</v>
      </c>
      <c r="D4045" s="53" t="s">
        <v>968</v>
      </c>
      <c r="E4045" s="53" t="s">
        <v>5388</v>
      </c>
      <c r="F4045" s="53" t="s">
        <v>478</v>
      </c>
      <c r="G4045" s="53" t="s">
        <v>2905</v>
      </c>
      <c r="H4045" s="53">
        <v>1.0</v>
      </c>
      <c r="I4045" s="53">
        <v>0.3419354838709677</v>
      </c>
      <c r="J4045" s="53">
        <v>32.0</v>
      </c>
      <c r="K4045" s="53" t="s">
        <v>53</v>
      </c>
      <c r="L4045" s="53" t="s">
        <v>53</v>
      </c>
    </row>
    <row r="4046" ht="15.75" customHeight="1">
      <c r="A4046" s="53" t="s">
        <v>411</v>
      </c>
      <c r="B4046" s="53" t="s">
        <v>4945</v>
      </c>
      <c r="D4046" s="53" t="s">
        <v>968</v>
      </c>
      <c r="E4046" s="53" t="s">
        <v>5389</v>
      </c>
      <c r="F4046" s="53" t="s">
        <v>478</v>
      </c>
      <c r="G4046" s="53" t="s">
        <v>2921</v>
      </c>
      <c r="H4046" s="53">
        <v>1.0</v>
      </c>
      <c r="I4046" s="53">
        <v>0.3419354838709677</v>
      </c>
      <c r="J4046" s="53">
        <v>42.0</v>
      </c>
      <c r="K4046" s="53" t="s">
        <v>53</v>
      </c>
      <c r="L4046" s="53" t="s">
        <v>53</v>
      </c>
    </row>
    <row r="4047" ht="15.75" customHeight="1">
      <c r="A4047" s="53" t="s">
        <v>411</v>
      </c>
      <c r="B4047" s="53" t="s">
        <v>4945</v>
      </c>
      <c r="D4047" s="53" t="s">
        <v>968</v>
      </c>
      <c r="E4047" s="53" t="s">
        <v>5390</v>
      </c>
      <c r="F4047" s="53" t="s">
        <v>478</v>
      </c>
      <c r="G4047" s="53" t="s">
        <v>2946</v>
      </c>
      <c r="H4047" s="53">
        <v>1.0</v>
      </c>
      <c r="I4047" s="53">
        <v>0.34545454545454546</v>
      </c>
      <c r="J4047" s="53">
        <v>20.0</v>
      </c>
      <c r="K4047" s="53" t="s">
        <v>53</v>
      </c>
      <c r="L4047" s="53" t="s">
        <v>53</v>
      </c>
    </row>
    <row r="4048" ht="15.75" customHeight="1">
      <c r="A4048" s="53" t="s">
        <v>411</v>
      </c>
      <c r="B4048" s="53" t="s">
        <v>4945</v>
      </c>
      <c r="D4048" s="53" t="s">
        <v>968</v>
      </c>
      <c r="E4048" s="53" t="s">
        <v>5391</v>
      </c>
      <c r="F4048" s="53" t="s">
        <v>478</v>
      </c>
      <c r="G4048" s="53" t="s">
        <v>3741</v>
      </c>
      <c r="H4048" s="53">
        <v>1.0</v>
      </c>
      <c r="I4048" s="53">
        <v>0.34838709677419355</v>
      </c>
      <c r="J4048" s="53">
        <v>13.0</v>
      </c>
      <c r="K4048" s="53" t="s">
        <v>53</v>
      </c>
      <c r="L4048" s="53" t="s">
        <v>53</v>
      </c>
    </row>
    <row r="4049" ht="15.75" customHeight="1">
      <c r="A4049" s="53" t="s">
        <v>411</v>
      </c>
      <c r="B4049" s="53" t="s">
        <v>4945</v>
      </c>
      <c r="D4049" s="53" t="s">
        <v>968</v>
      </c>
      <c r="E4049" s="53" t="s">
        <v>5392</v>
      </c>
      <c r="F4049" s="53" t="s">
        <v>478</v>
      </c>
      <c r="G4049" s="53" t="s">
        <v>2931</v>
      </c>
      <c r="H4049" s="53">
        <v>1.0</v>
      </c>
      <c r="I4049" s="53">
        <v>0.34838709677419355</v>
      </c>
      <c r="J4049" s="53">
        <v>38.0</v>
      </c>
      <c r="K4049" s="53" t="s">
        <v>53</v>
      </c>
      <c r="L4049" s="53" t="s">
        <v>53</v>
      </c>
    </row>
    <row r="4050" ht="15.75" customHeight="1">
      <c r="A4050" s="53" t="s">
        <v>411</v>
      </c>
      <c r="B4050" s="53" t="s">
        <v>4945</v>
      </c>
      <c r="D4050" s="53" t="s">
        <v>968</v>
      </c>
      <c r="E4050" s="53" t="s">
        <v>5393</v>
      </c>
      <c r="F4050" s="53" t="s">
        <v>478</v>
      </c>
      <c r="G4050" s="53" t="s">
        <v>2935</v>
      </c>
      <c r="H4050" s="53">
        <v>1.0</v>
      </c>
      <c r="I4050" s="53">
        <v>0.34838709677419355</v>
      </c>
      <c r="J4050" s="53">
        <v>35.0</v>
      </c>
      <c r="K4050" s="53" t="s">
        <v>53</v>
      </c>
      <c r="L4050" s="53" t="s">
        <v>53</v>
      </c>
    </row>
    <row r="4051" ht="15.75" customHeight="1">
      <c r="A4051" s="53" t="s">
        <v>411</v>
      </c>
      <c r="B4051" s="53" t="s">
        <v>4945</v>
      </c>
      <c r="D4051" s="53" t="s">
        <v>968</v>
      </c>
      <c r="E4051" s="53" t="s">
        <v>5394</v>
      </c>
      <c r="F4051" s="53" t="s">
        <v>478</v>
      </c>
      <c r="G4051" s="53" t="s">
        <v>2917</v>
      </c>
      <c r="H4051" s="53">
        <v>1.0</v>
      </c>
      <c r="I4051" s="53">
        <v>0.34838709677419355</v>
      </c>
      <c r="J4051" s="53">
        <v>48.0</v>
      </c>
      <c r="K4051" s="53" t="s">
        <v>53</v>
      </c>
      <c r="L4051" s="53" t="s">
        <v>53</v>
      </c>
    </row>
    <row r="4052" ht="15.75" customHeight="1">
      <c r="A4052" s="53" t="s">
        <v>411</v>
      </c>
      <c r="B4052" s="53" t="s">
        <v>4945</v>
      </c>
      <c r="D4052" s="53" t="s">
        <v>968</v>
      </c>
      <c r="E4052" s="53" t="s">
        <v>5395</v>
      </c>
      <c r="F4052" s="53" t="s">
        <v>478</v>
      </c>
      <c r="G4052" s="53" t="s">
        <v>2925</v>
      </c>
      <c r="H4052" s="53">
        <v>1.0</v>
      </c>
      <c r="I4052" s="53">
        <v>0.34838709677419355</v>
      </c>
      <c r="J4052" s="53">
        <v>46.0</v>
      </c>
      <c r="K4052" s="53" t="s">
        <v>53</v>
      </c>
      <c r="L4052" s="53" t="s">
        <v>53</v>
      </c>
    </row>
    <row r="4053" ht="15.75" customHeight="1">
      <c r="A4053" s="53" t="s">
        <v>411</v>
      </c>
      <c r="B4053" s="53" t="s">
        <v>4945</v>
      </c>
      <c r="D4053" s="53" t="s">
        <v>968</v>
      </c>
      <c r="E4053" s="53" t="s">
        <v>5396</v>
      </c>
      <c r="F4053" s="53" t="s">
        <v>478</v>
      </c>
      <c r="G4053" s="53" t="s">
        <v>2929</v>
      </c>
      <c r="H4053" s="53">
        <v>1.0</v>
      </c>
      <c r="I4053" s="53">
        <v>0.34838709677419355</v>
      </c>
      <c r="J4053" s="53">
        <v>44.0</v>
      </c>
      <c r="K4053" s="53" t="s">
        <v>53</v>
      </c>
      <c r="L4053" s="53" t="s">
        <v>53</v>
      </c>
    </row>
    <row r="4054" ht="15.75" customHeight="1">
      <c r="A4054" s="53" t="s">
        <v>411</v>
      </c>
      <c r="B4054" s="53" t="s">
        <v>4945</v>
      </c>
      <c r="D4054" s="53" t="s">
        <v>968</v>
      </c>
      <c r="E4054" s="53" t="s">
        <v>5397</v>
      </c>
      <c r="F4054" s="53" t="s">
        <v>478</v>
      </c>
      <c r="G4054" s="53" t="s">
        <v>2919</v>
      </c>
      <c r="H4054" s="53">
        <v>1.0</v>
      </c>
      <c r="I4054" s="53">
        <v>0.3548387096774194</v>
      </c>
      <c r="J4054" s="53">
        <v>41.0</v>
      </c>
      <c r="K4054" s="53" t="s">
        <v>53</v>
      </c>
      <c r="L4054" s="53" t="s">
        <v>53</v>
      </c>
    </row>
    <row r="4055" ht="15.75" customHeight="1">
      <c r="A4055" s="53" t="s">
        <v>411</v>
      </c>
      <c r="B4055" s="53" t="s">
        <v>4945</v>
      </c>
      <c r="D4055" s="53" t="s">
        <v>968</v>
      </c>
      <c r="E4055" s="53" t="s">
        <v>5398</v>
      </c>
      <c r="F4055" s="53" t="s">
        <v>478</v>
      </c>
      <c r="G4055" s="53" t="s">
        <v>2933</v>
      </c>
      <c r="H4055" s="53">
        <v>1.0</v>
      </c>
      <c r="I4055" s="53">
        <v>0.3625</v>
      </c>
      <c r="J4055" s="53">
        <v>45.0</v>
      </c>
      <c r="K4055" s="53" t="s">
        <v>53</v>
      </c>
      <c r="L4055" s="53" t="s">
        <v>53</v>
      </c>
    </row>
    <row r="4056" ht="15.75" customHeight="1">
      <c r="A4056" s="53" t="s">
        <v>411</v>
      </c>
      <c r="B4056" s="53" t="s">
        <v>4945</v>
      </c>
      <c r="D4056" s="53" t="s">
        <v>968</v>
      </c>
      <c r="E4056" s="53" t="s">
        <v>5399</v>
      </c>
      <c r="F4056" s="53" t="s">
        <v>478</v>
      </c>
      <c r="G4056" s="53" t="s">
        <v>2957</v>
      </c>
      <c r="H4056" s="53">
        <v>1.0</v>
      </c>
      <c r="I4056" s="53">
        <v>0.36363636363636365</v>
      </c>
      <c r="J4056" s="53">
        <v>36.0</v>
      </c>
      <c r="K4056" s="53" t="s">
        <v>53</v>
      </c>
      <c r="L4056" s="53" t="s">
        <v>53</v>
      </c>
    </row>
    <row r="4057" ht="15.75" customHeight="1">
      <c r="A4057" s="53" t="s">
        <v>411</v>
      </c>
      <c r="B4057" s="53" t="s">
        <v>4945</v>
      </c>
      <c r="D4057" s="53" t="s">
        <v>968</v>
      </c>
      <c r="E4057" s="53" t="s">
        <v>5400</v>
      </c>
      <c r="F4057" s="53" t="s">
        <v>478</v>
      </c>
      <c r="G4057" s="53" t="s">
        <v>2944</v>
      </c>
      <c r="H4057" s="53">
        <v>1.0</v>
      </c>
      <c r="I4057" s="53">
        <v>0.38509316770186336</v>
      </c>
      <c r="J4057" s="53">
        <v>37.0</v>
      </c>
      <c r="K4057" s="53" t="s">
        <v>53</v>
      </c>
      <c r="L4057" s="53" t="s">
        <v>53</v>
      </c>
    </row>
    <row r="4058" ht="15.75" customHeight="1">
      <c r="A4058" s="53" t="s">
        <v>411</v>
      </c>
      <c r="B4058" s="53" t="s">
        <v>4945</v>
      </c>
      <c r="D4058" s="53" t="s">
        <v>972</v>
      </c>
      <c r="E4058" s="53" t="s">
        <v>4935</v>
      </c>
      <c r="F4058" s="53" t="s">
        <v>478</v>
      </c>
      <c r="G4058" s="53" t="s">
        <v>984</v>
      </c>
      <c r="H4058" s="53">
        <v>1.0</v>
      </c>
      <c r="I4058" s="53">
        <v>0.038461538461538464</v>
      </c>
      <c r="J4058" s="53">
        <v>2.0</v>
      </c>
      <c r="K4058" s="53" t="s">
        <v>53</v>
      </c>
      <c r="L4058" s="53" t="s">
        <v>53</v>
      </c>
    </row>
    <row r="4059" ht="15.75" customHeight="1">
      <c r="A4059" s="53" t="s">
        <v>411</v>
      </c>
      <c r="B4059" s="53" t="s">
        <v>4945</v>
      </c>
      <c r="D4059" s="53" t="s">
        <v>972</v>
      </c>
      <c r="E4059" s="53" t="s">
        <v>4936</v>
      </c>
      <c r="F4059" s="53" t="s">
        <v>478</v>
      </c>
      <c r="G4059" s="53" t="s">
        <v>980</v>
      </c>
      <c r="H4059" s="53">
        <v>1.0</v>
      </c>
      <c r="I4059" s="53">
        <v>0.07792207792207792</v>
      </c>
      <c r="J4059" s="53">
        <v>1.0</v>
      </c>
      <c r="K4059" s="53" t="s">
        <v>53</v>
      </c>
      <c r="L4059" s="53" t="s">
        <v>53</v>
      </c>
    </row>
    <row r="4060" ht="15.75" customHeight="1">
      <c r="A4060" s="53" t="s">
        <v>411</v>
      </c>
      <c r="B4060" s="53" t="s">
        <v>4945</v>
      </c>
      <c r="D4060" s="53" t="s">
        <v>972</v>
      </c>
      <c r="E4060" s="53" t="s">
        <v>4937</v>
      </c>
      <c r="F4060" s="53" t="s">
        <v>478</v>
      </c>
      <c r="G4060" s="53" t="s">
        <v>976</v>
      </c>
      <c r="H4060" s="53">
        <v>1.0</v>
      </c>
      <c r="I4060" s="53">
        <v>0.11688311688311688</v>
      </c>
      <c r="J4060" s="53">
        <v>0.0</v>
      </c>
      <c r="K4060" s="53" t="s">
        <v>53</v>
      </c>
      <c r="L4060" s="53" t="s">
        <v>53</v>
      </c>
    </row>
    <row r="4061" ht="15.75" customHeight="1">
      <c r="A4061" s="53" t="s">
        <v>411</v>
      </c>
      <c r="B4061" s="53" t="s">
        <v>4945</v>
      </c>
      <c r="D4061" s="53" t="s">
        <v>972</v>
      </c>
      <c r="E4061" s="53" t="s">
        <v>4938</v>
      </c>
      <c r="F4061" s="53" t="s">
        <v>478</v>
      </c>
      <c r="G4061" s="53" t="s">
        <v>988</v>
      </c>
      <c r="H4061" s="53">
        <v>1.0</v>
      </c>
      <c r="I4061" s="53">
        <v>0.14285714285714285</v>
      </c>
      <c r="J4061" s="53">
        <v>3.0</v>
      </c>
      <c r="K4061" s="53" t="s">
        <v>53</v>
      </c>
      <c r="L4061" s="53" t="s">
        <v>53</v>
      </c>
    </row>
    <row r="4062" ht="15.75" customHeight="1">
      <c r="A4062" s="53" t="s">
        <v>411</v>
      </c>
      <c r="B4062" s="53" t="s">
        <v>4945</v>
      </c>
      <c r="D4062" s="53" t="s">
        <v>972</v>
      </c>
      <c r="E4062" s="53" t="s">
        <v>5401</v>
      </c>
      <c r="F4062" s="53" t="s">
        <v>478</v>
      </c>
      <c r="G4062" s="53" t="s">
        <v>485</v>
      </c>
      <c r="H4062" s="53">
        <v>1.0</v>
      </c>
      <c r="I4062" s="53">
        <v>0.24675324675324675</v>
      </c>
      <c r="J4062" s="53">
        <v>48.0</v>
      </c>
      <c r="K4062" s="53" t="s">
        <v>53</v>
      </c>
      <c r="L4062" s="53" t="s">
        <v>53</v>
      </c>
    </row>
    <row r="4063" ht="15.75" customHeight="1">
      <c r="A4063" s="53" t="s">
        <v>411</v>
      </c>
      <c r="B4063" s="53" t="s">
        <v>4945</v>
      </c>
      <c r="D4063" s="53" t="s">
        <v>972</v>
      </c>
      <c r="E4063" s="53" t="s">
        <v>5402</v>
      </c>
      <c r="F4063" s="53" t="s">
        <v>478</v>
      </c>
      <c r="G4063" s="53" t="s">
        <v>474</v>
      </c>
      <c r="H4063" s="53">
        <v>1.0</v>
      </c>
      <c r="I4063" s="53">
        <v>0.24675324675324675</v>
      </c>
      <c r="J4063" s="53">
        <v>49.0</v>
      </c>
      <c r="K4063" s="53" t="s">
        <v>53</v>
      </c>
      <c r="L4063" s="53" t="s">
        <v>53</v>
      </c>
    </row>
    <row r="4064" ht="15.75" customHeight="1">
      <c r="A4064" s="53" t="s">
        <v>411</v>
      </c>
      <c r="B4064" s="53" t="s">
        <v>4945</v>
      </c>
      <c r="D4064" s="53" t="s">
        <v>972</v>
      </c>
      <c r="E4064" s="53" t="s">
        <v>5403</v>
      </c>
      <c r="F4064" s="53" t="s">
        <v>478</v>
      </c>
      <c r="G4064" s="53" t="s">
        <v>2942</v>
      </c>
      <c r="H4064" s="53">
        <v>1.0</v>
      </c>
      <c r="I4064" s="53">
        <v>0.2987012987012987</v>
      </c>
      <c r="J4064" s="53">
        <v>53.0</v>
      </c>
      <c r="K4064" s="53" t="s">
        <v>53</v>
      </c>
      <c r="L4064" s="53" t="s">
        <v>53</v>
      </c>
    </row>
    <row r="4065" ht="15.75" customHeight="1">
      <c r="A4065" s="53" t="s">
        <v>411</v>
      </c>
      <c r="B4065" s="53" t="s">
        <v>4945</v>
      </c>
      <c r="D4065" s="53" t="s">
        <v>972</v>
      </c>
      <c r="E4065" s="53" t="s">
        <v>5404</v>
      </c>
      <c r="F4065" s="53" t="s">
        <v>478</v>
      </c>
      <c r="G4065" s="53" t="s">
        <v>509</v>
      </c>
      <c r="H4065" s="53">
        <v>1.0</v>
      </c>
      <c r="I4065" s="53">
        <v>0.2987012987012987</v>
      </c>
      <c r="J4065" s="53">
        <v>15.0</v>
      </c>
      <c r="K4065" s="53" t="s">
        <v>53</v>
      </c>
      <c r="L4065" s="53" t="s">
        <v>53</v>
      </c>
    </row>
    <row r="4066" ht="15.75" customHeight="1">
      <c r="A4066" s="53" t="s">
        <v>411</v>
      </c>
      <c r="B4066" s="53" t="s">
        <v>4945</v>
      </c>
      <c r="D4066" s="53" t="s">
        <v>972</v>
      </c>
      <c r="E4066" s="53" t="s">
        <v>5405</v>
      </c>
      <c r="F4066" s="53" t="s">
        <v>478</v>
      </c>
      <c r="G4066" s="53" t="s">
        <v>2937</v>
      </c>
      <c r="H4066" s="53">
        <v>1.0</v>
      </c>
      <c r="I4066" s="53">
        <v>0.3181818181818182</v>
      </c>
      <c r="J4066" s="53">
        <v>52.0</v>
      </c>
      <c r="K4066" s="53" t="s">
        <v>53</v>
      </c>
      <c r="L4066" s="53" t="s">
        <v>53</v>
      </c>
    </row>
    <row r="4067" ht="15.75" customHeight="1">
      <c r="A4067" s="53" t="s">
        <v>411</v>
      </c>
      <c r="B4067" s="53" t="s">
        <v>4945</v>
      </c>
      <c r="D4067" s="53" t="s">
        <v>972</v>
      </c>
      <c r="E4067" s="53" t="s">
        <v>5406</v>
      </c>
      <c r="F4067" s="53" t="s">
        <v>478</v>
      </c>
      <c r="G4067" s="53" t="s">
        <v>2954</v>
      </c>
      <c r="H4067" s="53">
        <v>1.0</v>
      </c>
      <c r="I4067" s="53">
        <v>0.3181818181818182</v>
      </c>
      <c r="J4067" s="53">
        <v>30.0</v>
      </c>
      <c r="K4067" s="53" t="s">
        <v>53</v>
      </c>
      <c r="L4067" s="53" t="s">
        <v>53</v>
      </c>
    </row>
    <row r="4068" ht="15.75" customHeight="1">
      <c r="A4068" s="53" t="s">
        <v>411</v>
      </c>
      <c r="B4068" s="53" t="s">
        <v>4945</v>
      </c>
      <c r="D4068" s="53" t="s">
        <v>972</v>
      </c>
      <c r="E4068" s="53" t="s">
        <v>5407</v>
      </c>
      <c r="F4068" s="53" t="s">
        <v>478</v>
      </c>
      <c r="G4068" s="53" t="s">
        <v>2940</v>
      </c>
      <c r="H4068" s="53">
        <v>1.0</v>
      </c>
      <c r="I4068" s="53">
        <v>0.3181818181818182</v>
      </c>
      <c r="J4068" s="53">
        <v>32.0</v>
      </c>
      <c r="K4068" s="53" t="s">
        <v>53</v>
      </c>
      <c r="L4068" s="53" t="s">
        <v>53</v>
      </c>
    </row>
    <row r="4069" ht="15.75" customHeight="1">
      <c r="A4069" s="53" t="s">
        <v>411</v>
      </c>
      <c r="B4069" s="53" t="s">
        <v>4945</v>
      </c>
      <c r="D4069" s="53" t="s">
        <v>972</v>
      </c>
      <c r="E4069" s="53" t="s">
        <v>5408</v>
      </c>
      <c r="F4069" s="53" t="s">
        <v>478</v>
      </c>
      <c r="G4069" s="53" t="s">
        <v>495</v>
      </c>
      <c r="H4069" s="53">
        <v>1.0</v>
      </c>
      <c r="I4069" s="53">
        <v>0.3181818181818182</v>
      </c>
      <c r="J4069" s="53">
        <v>50.0</v>
      </c>
      <c r="K4069" s="53" t="s">
        <v>53</v>
      </c>
      <c r="L4069" s="53" t="s">
        <v>53</v>
      </c>
    </row>
    <row r="4070" ht="15.75" customHeight="1">
      <c r="A4070" s="53" t="s">
        <v>411</v>
      </c>
      <c r="B4070" s="53" t="s">
        <v>4945</v>
      </c>
      <c r="D4070" s="53" t="s">
        <v>972</v>
      </c>
      <c r="E4070" s="53" t="s">
        <v>5409</v>
      </c>
      <c r="F4070" s="53" t="s">
        <v>478</v>
      </c>
      <c r="G4070" s="53" t="s">
        <v>2948</v>
      </c>
      <c r="H4070" s="53">
        <v>1.0</v>
      </c>
      <c r="I4070" s="53">
        <v>0.3181818181818182</v>
      </c>
      <c r="J4070" s="53">
        <v>51.0</v>
      </c>
      <c r="K4070" s="53" t="s">
        <v>53</v>
      </c>
      <c r="L4070" s="53" t="s">
        <v>53</v>
      </c>
    </row>
    <row r="4071" ht="15.75" customHeight="1">
      <c r="A4071" s="53" t="s">
        <v>411</v>
      </c>
      <c r="B4071" s="53" t="s">
        <v>4945</v>
      </c>
      <c r="D4071" s="53" t="s">
        <v>972</v>
      </c>
      <c r="E4071" s="53" t="s">
        <v>5410</v>
      </c>
      <c r="F4071" s="53" t="s">
        <v>478</v>
      </c>
      <c r="G4071" s="53" t="s">
        <v>2915</v>
      </c>
      <c r="H4071" s="53">
        <v>1.0</v>
      </c>
      <c r="I4071" s="53">
        <v>0.3246753246753247</v>
      </c>
      <c r="J4071" s="53">
        <v>38.0</v>
      </c>
      <c r="K4071" s="53" t="s">
        <v>53</v>
      </c>
      <c r="L4071" s="53" t="s">
        <v>53</v>
      </c>
    </row>
    <row r="4072" ht="15.75" customHeight="1">
      <c r="A4072" s="53" t="s">
        <v>411</v>
      </c>
      <c r="B4072" s="53" t="s">
        <v>4945</v>
      </c>
      <c r="D4072" s="53" t="s">
        <v>972</v>
      </c>
      <c r="E4072" s="53" t="s">
        <v>5411</v>
      </c>
      <c r="F4072" s="53" t="s">
        <v>478</v>
      </c>
      <c r="G4072" s="53" t="s">
        <v>2883</v>
      </c>
      <c r="H4072" s="53">
        <v>1.0</v>
      </c>
      <c r="I4072" s="53">
        <v>0.33116883116883117</v>
      </c>
      <c r="J4072" s="53">
        <v>18.0</v>
      </c>
      <c r="K4072" s="53" t="s">
        <v>53</v>
      </c>
      <c r="L4072" s="53" t="s">
        <v>53</v>
      </c>
    </row>
    <row r="4073" ht="15.75" customHeight="1">
      <c r="A4073" s="53" t="s">
        <v>411</v>
      </c>
      <c r="B4073" s="53" t="s">
        <v>4945</v>
      </c>
      <c r="D4073" s="53" t="s">
        <v>972</v>
      </c>
      <c r="E4073" s="53" t="s">
        <v>5412</v>
      </c>
      <c r="F4073" s="53" t="s">
        <v>478</v>
      </c>
      <c r="G4073" s="53" t="s">
        <v>2913</v>
      </c>
      <c r="H4073" s="53">
        <v>1.0</v>
      </c>
      <c r="I4073" s="53">
        <v>0.33116883116883117</v>
      </c>
      <c r="J4073" s="53">
        <v>27.0</v>
      </c>
      <c r="K4073" s="53" t="s">
        <v>53</v>
      </c>
      <c r="L4073" s="53" t="s">
        <v>53</v>
      </c>
    </row>
    <row r="4074" ht="15.75" customHeight="1">
      <c r="A4074" s="53" t="s">
        <v>411</v>
      </c>
      <c r="B4074" s="53" t="s">
        <v>4945</v>
      </c>
      <c r="D4074" s="53" t="s">
        <v>972</v>
      </c>
      <c r="E4074" s="53" t="s">
        <v>5413</v>
      </c>
      <c r="F4074" s="53" t="s">
        <v>478</v>
      </c>
      <c r="G4074" s="53" t="s">
        <v>3738</v>
      </c>
      <c r="H4074" s="53">
        <v>1.0</v>
      </c>
      <c r="I4074" s="53">
        <v>0.33116883116883117</v>
      </c>
      <c r="J4074" s="53">
        <v>11.0</v>
      </c>
      <c r="K4074" s="53" t="s">
        <v>53</v>
      </c>
      <c r="L4074" s="53" t="s">
        <v>53</v>
      </c>
    </row>
    <row r="4075" ht="15.75" customHeight="1">
      <c r="A4075" s="53" t="s">
        <v>411</v>
      </c>
      <c r="B4075" s="53" t="s">
        <v>4945</v>
      </c>
      <c r="D4075" s="53" t="s">
        <v>972</v>
      </c>
      <c r="E4075" s="53" t="s">
        <v>5414</v>
      </c>
      <c r="F4075" s="53" t="s">
        <v>478</v>
      </c>
      <c r="G4075" s="53" t="s">
        <v>2885</v>
      </c>
      <c r="H4075" s="53">
        <v>1.0</v>
      </c>
      <c r="I4075" s="53">
        <v>0.33116883116883117</v>
      </c>
      <c r="J4075" s="53">
        <v>17.0</v>
      </c>
      <c r="K4075" s="53" t="s">
        <v>53</v>
      </c>
      <c r="L4075" s="53" t="s">
        <v>53</v>
      </c>
    </row>
    <row r="4076" ht="15.75" customHeight="1">
      <c r="A4076" s="53" t="s">
        <v>411</v>
      </c>
      <c r="B4076" s="53" t="s">
        <v>4945</v>
      </c>
      <c r="D4076" s="53" t="s">
        <v>972</v>
      </c>
      <c r="E4076" s="53" t="s">
        <v>5415</v>
      </c>
      <c r="F4076" s="53" t="s">
        <v>478</v>
      </c>
      <c r="G4076" s="53" t="s">
        <v>2901</v>
      </c>
      <c r="H4076" s="53">
        <v>1.0</v>
      </c>
      <c r="I4076" s="53">
        <v>0.33116883116883117</v>
      </c>
      <c r="J4076" s="53">
        <v>25.0</v>
      </c>
      <c r="K4076" s="53" t="s">
        <v>53</v>
      </c>
      <c r="L4076" s="53" t="s">
        <v>53</v>
      </c>
    </row>
    <row r="4077" ht="15.75" customHeight="1">
      <c r="A4077" s="53" t="s">
        <v>411</v>
      </c>
      <c r="B4077" s="53" t="s">
        <v>4945</v>
      </c>
      <c r="D4077" s="53" t="s">
        <v>972</v>
      </c>
      <c r="E4077" s="53" t="s">
        <v>5416</v>
      </c>
      <c r="F4077" s="53" t="s">
        <v>478</v>
      </c>
      <c r="G4077" s="53" t="s">
        <v>2903</v>
      </c>
      <c r="H4077" s="53">
        <v>1.0</v>
      </c>
      <c r="I4077" s="53">
        <v>0.33766233766233766</v>
      </c>
      <c r="J4077" s="53">
        <v>14.0</v>
      </c>
      <c r="K4077" s="53" t="s">
        <v>53</v>
      </c>
      <c r="L4077" s="53" t="s">
        <v>53</v>
      </c>
    </row>
    <row r="4078" ht="15.75" customHeight="1">
      <c r="A4078" s="53" t="s">
        <v>411</v>
      </c>
      <c r="B4078" s="53" t="s">
        <v>4945</v>
      </c>
      <c r="D4078" s="53" t="s">
        <v>972</v>
      </c>
      <c r="E4078" s="53" t="s">
        <v>5417</v>
      </c>
      <c r="F4078" s="53" t="s">
        <v>478</v>
      </c>
      <c r="G4078" s="53" t="s">
        <v>2895</v>
      </c>
      <c r="H4078" s="53">
        <v>1.0</v>
      </c>
      <c r="I4078" s="53">
        <v>0.33766233766233766</v>
      </c>
      <c r="J4078" s="53">
        <v>24.0</v>
      </c>
      <c r="K4078" s="53" t="s">
        <v>53</v>
      </c>
      <c r="L4078" s="53" t="s">
        <v>53</v>
      </c>
    </row>
    <row r="4079" ht="15.75" customHeight="1">
      <c r="A4079" s="53" t="s">
        <v>411</v>
      </c>
      <c r="B4079" s="53" t="s">
        <v>4945</v>
      </c>
      <c r="D4079" s="53" t="s">
        <v>972</v>
      </c>
      <c r="E4079" s="53" t="s">
        <v>5418</v>
      </c>
      <c r="F4079" s="53" t="s">
        <v>478</v>
      </c>
      <c r="G4079" s="53" t="s">
        <v>2911</v>
      </c>
      <c r="H4079" s="53">
        <v>1.0</v>
      </c>
      <c r="I4079" s="53">
        <v>0.33766233766233766</v>
      </c>
      <c r="J4079" s="53">
        <v>29.0</v>
      </c>
      <c r="K4079" s="53" t="s">
        <v>53</v>
      </c>
      <c r="L4079" s="53" t="s">
        <v>53</v>
      </c>
    </row>
    <row r="4080" ht="15.75" customHeight="1">
      <c r="A4080" s="53" t="s">
        <v>411</v>
      </c>
      <c r="B4080" s="53" t="s">
        <v>4945</v>
      </c>
      <c r="D4080" s="53" t="s">
        <v>972</v>
      </c>
      <c r="E4080" s="53" t="s">
        <v>5419</v>
      </c>
      <c r="F4080" s="53" t="s">
        <v>478</v>
      </c>
      <c r="G4080" s="53" t="s">
        <v>2897</v>
      </c>
      <c r="H4080" s="53">
        <v>1.0</v>
      </c>
      <c r="I4080" s="53">
        <v>0.33766233766233766</v>
      </c>
      <c r="J4080" s="53">
        <v>21.0</v>
      </c>
      <c r="K4080" s="53" t="s">
        <v>53</v>
      </c>
      <c r="L4080" s="53" t="s">
        <v>53</v>
      </c>
    </row>
    <row r="4081" ht="15.75" customHeight="1">
      <c r="A4081" s="53" t="s">
        <v>411</v>
      </c>
      <c r="B4081" s="53" t="s">
        <v>4945</v>
      </c>
      <c r="D4081" s="53" t="s">
        <v>972</v>
      </c>
      <c r="E4081" s="53" t="s">
        <v>5420</v>
      </c>
      <c r="F4081" s="53" t="s">
        <v>478</v>
      </c>
      <c r="G4081" s="53" t="s">
        <v>2891</v>
      </c>
      <c r="H4081" s="53">
        <v>1.0</v>
      </c>
      <c r="I4081" s="53">
        <v>0.33766233766233766</v>
      </c>
      <c r="J4081" s="53">
        <v>22.0</v>
      </c>
      <c r="K4081" s="53" t="s">
        <v>53</v>
      </c>
      <c r="L4081" s="53" t="s">
        <v>53</v>
      </c>
    </row>
    <row r="4082" ht="15.75" customHeight="1">
      <c r="A4082" s="53" t="s">
        <v>411</v>
      </c>
      <c r="B4082" s="53" t="s">
        <v>4945</v>
      </c>
      <c r="D4082" s="53" t="s">
        <v>972</v>
      </c>
      <c r="E4082" s="53" t="s">
        <v>5421</v>
      </c>
      <c r="F4082" s="53" t="s">
        <v>478</v>
      </c>
      <c r="G4082" s="53" t="s">
        <v>2899</v>
      </c>
      <c r="H4082" s="53">
        <v>1.0</v>
      </c>
      <c r="I4082" s="53">
        <v>0.33766233766233766</v>
      </c>
      <c r="J4082" s="53">
        <v>28.0</v>
      </c>
      <c r="K4082" s="53" t="s">
        <v>53</v>
      </c>
      <c r="L4082" s="53" t="s">
        <v>53</v>
      </c>
    </row>
    <row r="4083" ht="15.75" customHeight="1">
      <c r="A4083" s="53" t="s">
        <v>411</v>
      </c>
      <c r="B4083" s="53" t="s">
        <v>4945</v>
      </c>
      <c r="D4083" s="53" t="s">
        <v>972</v>
      </c>
      <c r="E4083" s="53" t="s">
        <v>5422</v>
      </c>
      <c r="F4083" s="53" t="s">
        <v>478</v>
      </c>
      <c r="G4083" s="53" t="s">
        <v>2880</v>
      </c>
      <c r="H4083" s="53">
        <v>1.0</v>
      </c>
      <c r="I4083" s="53">
        <v>0.33766233766233766</v>
      </c>
      <c r="J4083" s="53">
        <v>13.0</v>
      </c>
      <c r="K4083" s="53" t="s">
        <v>53</v>
      </c>
      <c r="L4083" s="53" t="s">
        <v>53</v>
      </c>
    </row>
    <row r="4084" ht="15.75" customHeight="1">
      <c r="A4084" s="53" t="s">
        <v>411</v>
      </c>
      <c r="B4084" s="53" t="s">
        <v>4945</v>
      </c>
      <c r="D4084" s="53" t="s">
        <v>972</v>
      </c>
      <c r="E4084" s="53" t="s">
        <v>5423</v>
      </c>
      <c r="F4084" s="53" t="s">
        <v>478</v>
      </c>
      <c r="G4084" s="53" t="s">
        <v>2909</v>
      </c>
      <c r="H4084" s="53">
        <v>1.0</v>
      </c>
      <c r="I4084" s="53">
        <v>0.33766233766233766</v>
      </c>
      <c r="J4084" s="53">
        <v>16.0</v>
      </c>
      <c r="K4084" s="53" t="s">
        <v>53</v>
      </c>
      <c r="L4084" s="53" t="s">
        <v>53</v>
      </c>
    </row>
    <row r="4085" ht="15.75" customHeight="1">
      <c r="A4085" s="53" t="s">
        <v>411</v>
      </c>
      <c r="B4085" s="53" t="s">
        <v>4945</v>
      </c>
      <c r="D4085" s="53" t="s">
        <v>972</v>
      </c>
      <c r="E4085" s="53" t="s">
        <v>5424</v>
      </c>
      <c r="F4085" s="53" t="s">
        <v>478</v>
      </c>
      <c r="G4085" s="53" t="s">
        <v>2905</v>
      </c>
      <c r="H4085" s="53">
        <v>1.0</v>
      </c>
      <c r="I4085" s="53">
        <v>0.33766233766233766</v>
      </c>
      <c r="J4085" s="53">
        <v>31.0</v>
      </c>
      <c r="K4085" s="53" t="s">
        <v>53</v>
      </c>
      <c r="L4085" s="53" t="s">
        <v>53</v>
      </c>
    </row>
    <row r="4086" ht="15.75" customHeight="1">
      <c r="A4086" s="53" t="s">
        <v>411</v>
      </c>
      <c r="B4086" s="53" t="s">
        <v>4945</v>
      </c>
      <c r="D4086" s="53" t="s">
        <v>972</v>
      </c>
      <c r="E4086" s="53" t="s">
        <v>5425</v>
      </c>
      <c r="F4086" s="53" t="s">
        <v>478</v>
      </c>
      <c r="G4086" s="53" t="s">
        <v>2887</v>
      </c>
      <c r="H4086" s="53">
        <v>1.0</v>
      </c>
      <c r="I4086" s="53">
        <v>0.33766233766233766</v>
      </c>
      <c r="J4086" s="53">
        <v>23.0</v>
      </c>
      <c r="K4086" s="53" t="s">
        <v>53</v>
      </c>
      <c r="L4086" s="53" t="s">
        <v>53</v>
      </c>
    </row>
    <row r="4087" ht="15.75" customHeight="1">
      <c r="A4087" s="53" t="s">
        <v>411</v>
      </c>
      <c r="B4087" s="53" t="s">
        <v>4945</v>
      </c>
      <c r="D4087" s="53" t="s">
        <v>972</v>
      </c>
      <c r="E4087" s="53" t="s">
        <v>5426</v>
      </c>
      <c r="F4087" s="53" t="s">
        <v>478</v>
      </c>
      <c r="G4087" s="53" t="s">
        <v>2893</v>
      </c>
      <c r="H4087" s="53">
        <v>1.0</v>
      </c>
      <c r="I4087" s="53">
        <v>0.33766233766233766</v>
      </c>
      <c r="J4087" s="53">
        <v>20.0</v>
      </c>
      <c r="K4087" s="53" t="s">
        <v>53</v>
      </c>
      <c r="L4087" s="53" t="s">
        <v>53</v>
      </c>
    </row>
    <row r="4088" ht="15.75" customHeight="1">
      <c r="A4088" s="53" t="s">
        <v>411</v>
      </c>
      <c r="B4088" s="53" t="s">
        <v>4945</v>
      </c>
      <c r="D4088" s="53" t="s">
        <v>972</v>
      </c>
      <c r="E4088" s="53" t="s">
        <v>5427</v>
      </c>
      <c r="F4088" s="53" t="s">
        <v>478</v>
      </c>
      <c r="G4088" s="53" t="s">
        <v>2889</v>
      </c>
      <c r="H4088" s="53">
        <v>1.0</v>
      </c>
      <c r="I4088" s="53">
        <v>0.33766233766233766</v>
      </c>
      <c r="J4088" s="53">
        <v>26.0</v>
      </c>
      <c r="K4088" s="53" t="s">
        <v>53</v>
      </c>
      <c r="L4088" s="53" t="s">
        <v>53</v>
      </c>
    </row>
    <row r="4089" ht="15.75" customHeight="1">
      <c r="A4089" s="53" t="s">
        <v>411</v>
      </c>
      <c r="B4089" s="53" t="s">
        <v>4945</v>
      </c>
      <c r="D4089" s="53" t="s">
        <v>972</v>
      </c>
      <c r="E4089" s="53" t="s">
        <v>5428</v>
      </c>
      <c r="F4089" s="53" t="s">
        <v>478</v>
      </c>
      <c r="G4089" s="53" t="s">
        <v>2927</v>
      </c>
      <c r="H4089" s="53">
        <v>1.0</v>
      </c>
      <c r="I4089" s="53">
        <v>0.34415584415584416</v>
      </c>
      <c r="J4089" s="53">
        <v>42.0</v>
      </c>
      <c r="K4089" s="53" t="s">
        <v>53</v>
      </c>
      <c r="L4089" s="53" t="s">
        <v>53</v>
      </c>
    </row>
    <row r="4090" ht="15.75" customHeight="1">
      <c r="A4090" s="53" t="s">
        <v>411</v>
      </c>
      <c r="B4090" s="53" t="s">
        <v>4945</v>
      </c>
      <c r="D4090" s="53" t="s">
        <v>972</v>
      </c>
      <c r="E4090" s="53" t="s">
        <v>5429</v>
      </c>
      <c r="F4090" s="53" t="s">
        <v>478</v>
      </c>
      <c r="G4090" s="53" t="s">
        <v>2923</v>
      </c>
      <c r="H4090" s="53">
        <v>1.0</v>
      </c>
      <c r="I4090" s="53">
        <v>0.34415584415584416</v>
      </c>
      <c r="J4090" s="53">
        <v>39.0</v>
      </c>
      <c r="K4090" s="53" t="s">
        <v>53</v>
      </c>
      <c r="L4090" s="53" t="s">
        <v>53</v>
      </c>
    </row>
    <row r="4091" ht="15.75" customHeight="1">
      <c r="A4091" s="53" t="s">
        <v>411</v>
      </c>
      <c r="B4091" s="53" t="s">
        <v>4945</v>
      </c>
      <c r="D4091" s="53" t="s">
        <v>972</v>
      </c>
      <c r="E4091" s="53" t="s">
        <v>5430</v>
      </c>
      <c r="F4091" s="53" t="s">
        <v>478</v>
      </c>
      <c r="G4091" s="53" t="s">
        <v>2917</v>
      </c>
      <c r="H4091" s="53">
        <v>1.0</v>
      </c>
      <c r="I4091" s="53">
        <v>0.34415584415584416</v>
      </c>
      <c r="J4091" s="53">
        <v>47.0</v>
      </c>
      <c r="K4091" s="53" t="s">
        <v>53</v>
      </c>
      <c r="L4091" s="53" t="s">
        <v>53</v>
      </c>
    </row>
    <row r="4092" ht="15.75" customHeight="1">
      <c r="A4092" s="53" t="s">
        <v>411</v>
      </c>
      <c r="B4092" s="53" t="s">
        <v>4945</v>
      </c>
      <c r="D4092" s="53" t="s">
        <v>972</v>
      </c>
      <c r="E4092" s="53" t="s">
        <v>5431</v>
      </c>
      <c r="F4092" s="53" t="s">
        <v>478</v>
      </c>
      <c r="G4092" s="53" t="s">
        <v>2907</v>
      </c>
      <c r="H4092" s="53">
        <v>1.0</v>
      </c>
      <c r="I4092" s="53">
        <v>0.34415584415584416</v>
      </c>
      <c r="J4092" s="53">
        <v>46.0</v>
      </c>
      <c r="K4092" s="53" t="s">
        <v>53</v>
      </c>
      <c r="L4092" s="53" t="s">
        <v>53</v>
      </c>
    </row>
    <row r="4093" ht="15.75" customHeight="1">
      <c r="A4093" s="53" t="s">
        <v>411</v>
      </c>
      <c r="B4093" s="53" t="s">
        <v>4945</v>
      </c>
      <c r="D4093" s="53" t="s">
        <v>972</v>
      </c>
      <c r="E4093" s="53" t="s">
        <v>5432</v>
      </c>
      <c r="F4093" s="53" t="s">
        <v>478</v>
      </c>
      <c r="G4093" s="53" t="s">
        <v>2921</v>
      </c>
      <c r="H4093" s="53">
        <v>1.0</v>
      </c>
      <c r="I4093" s="53">
        <v>0.34415584415584416</v>
      </c>
      <c r="J4093" s="53">
        <v>41.0</v>
      </c>
      <c r="K4093" s="53" t="s">
        <v>53</v>
      </c>
      <c r="L4093" s="53" t="s">
        <v>53</v>
      </c>
    </row>
    <row r="4094" ht="15.75" customHeight="1">
      <c r="A4094" s="53" t="s">
        <v>411</v>
      </c>
      <c r="B4094" s="53" t="s">
        <v>4945</v>
      </c>
      <c r="D4094" s="53" t="s">
        <v>972</v>
      </c>
      <c r="E4094" s="53" t="s">
        <v>5433</v>
      </c>
      <c r="F4094" s="53" t="s">
        <v>478</v>
      </c>
      <c r="G4094" s="53" t="s">
        <v>2950</v>
      </c>
      <c r="H4094" s="53">
        <v>1.0</v>
      </c>
      <c r="I4094" s="53">
        <v>0.34591194968553457</v>
      </c>
      <c r="J4094" s="53">
        <v>33.0</v>
      </c>
      <c r="K4094" s="53" t="s">
        <v>53</v>
      </c>
      <c r="L4094" s="53" t="s">
        <v>53</v>
      </c>
    </row>
    <row r="4095" ht="15.75" customHeight="1">
      <c r="A4095" s="53" t="s">
        <v>411</v>
      </c>
      <c r="B4095" s="53" t="s">
        <v>4945</v>
      </c>
      <c r="D4095" s="53" t="s">
        <v>972</v>
      </c>
      <c r="E4095" s="53" t="s">
        <v>5434</v>
      </c>
      <c r="F4095" s="53" t="s">
        <v>478</v>
      </c>
      <c r="G4095" s="53" t="s">
        <v>2919</v>
      </c>
      <c r="H4095" s="53">
        <v>1.0</v>
      </c>
      <c r="I4095" s="53">
        <v>0.35064935064935066</v>
      </c>
      <c r="J4095" s="53">
        <v>40.0</v>
      </c>
      <c r="K4095" s="53" t="s">
        <v>53</v>
      </c>
      <c r="L4095" s="53" t="s">
        <v>53</v>
      </c>
    </row>
    <row r="4096" ht="15.75" customHeight="1">
      <c r="A4096" s="53" t="s">
        <v>411</v>
      </c>
      <c r="B4096" s="53" t="s">
        <v>4945</v>
      </c>
      <c r="D4096" s="53" t="s">
        <v>972</v>
      </c>
      <c r="E4096" s="53" t="s">
        <v>5435</v>
      </c>
      <c r="F4096" s="53" t="s">
        <v>478</v>
      </c>
      <c r="G4096" s="53" t="s">
        <v>3741</v>
      </c>
      <c r="H4096" s="53">
        <v>1.0</v>
      </c>
      <c r="I4096" s="53">
        <v>0.35064935064935066</v>
      </c>
      <c r="J4096" s="53">
        <v>12.0</v>
      </c>
      <c r="K4096" s="53" t="s">
        <v>53</v>
      </c>
      <c r="L4096" s="53" t="s">
        <v>53</v>
      </c>
    </row>
    <row r="4097" ht="15.75" customHeight="1">
      <c r="A4097" s="53" t="s">
        <v>411</v>
      </c>
      <c r="B4097" s="53" t="s">
        <v>4945</v>
      </c>
      <c r="D4097" s="53" t="s">
        <v>972</v>
      </c>
      <c r="E4097" s="53" t="s">
        <v>5436</v>
      </c>
      <c r="F4097" s="53" t="s">
        <v>478</v>
      </c>
      <c r="G4097" s="53" t="s">
        <v>2931</v>
      </c>
      <c r="H4097" s="53">
        <v>1.0</v>
      </c>
      <c r="I4097" s="53">
        <v>0.35064935064935066</v>
      </c>
      <c r="J4097" s="53">
        <v>37.0</v>
      </c>
      <c r="K4097" s="53" t="s">
        <v>53</v>
      </c>
      <c r="L4097" s="53" t="s">
        <v>53</v>
      </c>
    </row>
    <row r="4098" ht="15.75" customHeight="1">
      <c r="A4098" s="53" t="s">
        <v>411</v>
      </c>
      <c r="B4098" s="53" t="s">
        <v>4945</v>
      </c>
      <c r="D4098" s="53" t="s">
        <v>972</v>
      </c>
      <c r="E4098" s="53" t="s">
        <v>5437</v>
      </c>
      <c r="F4098" s="53" t="s">
        <v>478</v>
      </c>
      <c r="G4098" s="53" t="s">
        <v>2935</v>
      </c>
      <c r="H4098" s="53">
        <v>1.0</v>
      </c>
      <c r="I4098" s="53">
        <v>0.35064935064935066</v>
      </c>
      <c r="J4098" s="53">
        <v>34.0</v>
      </c>
      <c r="K4098" s="53" t="s">
        <v>53</v>
      </c>
      <c r="L4098" s="53" t="s">
        <v>53</v>
      </c>
    </row>
    <row r="4099" ht="15.75" customHeight="1">
      <c r="A4099" s="53" t="s">
        <v>411</v>
      </c>
      <c r="B4099" s="53" t="s">
        <v>4945</v>
      </c>
      <c r="D4099" s="53" t="s">
        <v>972</v>
      </c>
      <c r="E4099" s="53" t="s">
        <v>5438</v>
      </c>
      <c r="F4099" s="53" t="s">
        <v>478</v>
      </c>
      <c r="G4099" s="53" t="s">
        <v>2925</v>
      </c>
      <c r="H4099" s="53">
        <v>1.0</v>
      </c>
      <c r="I4099" s="53">
        <v>0.35064935064935066</v>
      </c>
      <c r="J4099" s="53">
        <v>45.0</v>
      </c>
      <c r="K4099" s="53" t="s">
        <v>53</v>
      </c>
      <c r="L4099" s="53" t="s">
        <v>53</v>
      </c>
    </row>
    <row r="4100" ht="15.75" customHeight="1">
      <c r="A4100" s="53" t="s">
        <v>411</v>
      </c>
      <c r="B4100" s="53" t="s">
        <v>4945</v>
      </c>
      <c r="D4100" s="53" t="s">
        <v>972</v>
      </c>
      <c r="E4100" s="53" t="s">
        <v>5439</v>
      </c>
      <c r="F4100" s="53" t="s">
        <v>478</v>
      </c>
      <c r="G4100" s="53" t="s">
        <v>2929</v>
      </c>
      <c r="H4100" s="53">
        <v>1.0</v>
      </c>
      <c r="I4100" s="53">
        <v>0.35064935064935066</v>
      </c>
      <c r="J4100" s="53">
        <v>43.0</v>
      </c>
      <c r="K4100" s="53" t="s">
        <v>53</v>
      </c>
      <c r="L4100" s="53" t="s">
        <v>53</v>
      </c>
    </row>
    <row r="4101" ht="15.75" customHeight="1">
      <c r="A4101" s="53" t="s">
        <v>411</v>
      </c>
      <c r="B4101" s="53" t="s">
        <v>4945</v>
      </c>
      <c r="D4101" s="53" t="s">
        <v>972</v>
      </c>
      <c r="E4101" s="53" t="s">
        <v>5440</v>
      </c>
      <c r="F4101" s="53" t="s">
        <v>478</v>
      </c>
      <c r="G4101" s="53" t="s">
        <v>2946</v>
      </c>
      <c r="H4101" s="53">
        <v>1.0</v>
      </c>
      <c r="I4101" s="53">
        <v>0.3575757575757576</v>
      </c>
      <c r="J4101" s="53">
        <v>19.0</v>
      </c>
      <c r="K4101" s="53" t="s">
        <v>53</v>
      </c>
      <c r="L4101" s="53" t="s">
        <v>53</v>
      </c>
    </row>
    <row r="4102" ht="15.75" customHeight="1">
      <c r="A4102" s="53" t="s">
        <v>411</v>
      </c>
      <c r="B4102" s="53" t="s">
        <v>4945</v>
      </c>
      <c r="D4102" s="53" t="s">
        <v>972</v>
      </c>
      <c r="E4102" s="53" t="s">
        <v>5441</v>
      </c>
      <c r="F4102" s="53" t="s">
        <v>478</v>
      </c>
      <c r="G4102" s="53" t="s">
        <v>2957</v>
      </c>
      <c r="H4102" s="53">
        <v>1.0</v>
      </c>
      <c r="I4102" s="53">
        <v>0.3575757575757576</v>
      </c>
      <c r="J4102" s="53">
        <v>35.0</v>
      </c>
      <c r="K4102" s="53" t="s">
        <v>53</v>
      </c>
      <c r="L4102" s="53" t="s">
        <v>53</v>
      </c>
    </row>
    <row r="4103" ht="15.75" customHeight="1">
      <c r="A4103" s="53" t="s">
        <v>411</v>
      </c>
      <c r="B4103" s="53" t="s">
        <v>4945</v>
      </c>
      <c r="D4103" s="53" t="s">
        <v>972</v>
      </c>
      <c r="E4103" s="53" t="s">
        <v>5442</v>
      </c>
      <c r="F4103" s="53" t="s">
        <v>478</v>
      </c>
      <c r="G4103" s="53" t="s">
        <v>2933</v>
      </c>
      <c r="H4103" s="53">
        <v>1.0</v>
      </c>
      <c r="I4103" s="53">
        <v>0.3625</v>
      </c>
      <c r="J4103" s="53">
        <v>44.0</v>
      </c>
      <c r="K4103" s="53" t="s">
        <v>53</v>
      </c>
      <c r="L4103" s="53" t="s">
        <v>53</v>
      </c>
    </row>
    <row r="4104" ht="15.75" customHeight="1">
      <c r="A4104" s="53" t="s">
        <v>411</v>
      </c>
      <c r="B4104" s="53" t="s">
        <v>4945</v>
      </c>
      <c r="D4104" s="53" t="s">
        <v>972</v>
      </c>
      <c r="E4104" s="53" t="s">
        <v>5443</v>
      </c>
      <c r="F4104" s="53" t="s">
        <v>478</v>
      </c>
      <c r="G4104" s="53" t="s">
        <v>2944</v>
      </c>
      <c r="H4104" s="53">
        <v>1.0</v>
      </c>
      <c r="I4104" s="53">
        <v>0.37888198757763975</v>
      </c>
      <c r="J4104" s="53">
        <v>36.0</v>
      </c>
      <c r="K4104" s="53" t="s">
        <v>53</v>
      </c>
      <c r="L4104" s="53" t="s">
        <v>53</v>
      </c>
    </row>
    <row r="4105" ht="15.75" customHeight="1">
      <c r="A4105" s="53" t="s">
        <v>411</v>
      </c>
      <c r="B4105" s="53" t="s">
        <v>4945</v>
      </c>
      <c r="D4105" s="53" t="s">
        <v>976</v>
      </c>
      <c r="E4105" s="53" t="s">
        <v>4939</v>
      </c>
      <c r="F4105" s="53" t="s">
        <v>478</v>
      </c>
      <c r="G4105" s="53" t="s">
        <v>980</v>
      </c>
      <c r="H4105" s="53">
        <v>1.0</v>
      </c>
      <c r="I4105" s="53">
        <v>0.09271523178807947</v>
      </c>
      <c r="J4105" s="53">
        <v>0.0</v>
      </c>
      <c r="K4105" s="53" t="s">
        <v>53</v>
      </c>
      <c r="L4105" s="53" t="s">
        <v>53</v>
      </c>
    </row>
    <row r="4106" ht="15.75" customHeight="1">
      <c r="A4106" s="53" t="s">
        <v>411</v>
      </c>
      <c r="B4106" s="53" t="s">
        <v>4945</v>
      </c>
      <c r="D4106" s="53" t="s">
        <v>976</v>
      </c>
      <c r="E4106" s="53" t="s">
        <v>4940</v>
      </c>
      <c r="F4106" s="53" t="s">
        <v>478</v>
      </c>
      <c r="G4106" s="53" t="s">
        <v>984</v>
      </c>
      <c r="H4106" s="53">
        <v>1.0</v>
      </c>
      <c r="I4106" s="53">
        <v>0.1282051282051282</v>
      </c>
      <c r="J4106" s="53">
        <v>1.0</v>
      </c>
      <c r="K4106" s="53" t="s">
        <v>53</v>
      </c>
      <c r="L4106" s="53" t="s">
        <v>53</v>
      </c>
    </row>
    <row r="4107" ht="15.75" customHeight="1">
      <c r="A4107" s="53" t="s">
        <v>411</v>
      </c>
      <c r="B4107" s="53" t="s">
        <v>4945</v>
      </c>
      <c r="D4107" s="53" t="s">
        <v>976</v>
      </c>
      <c r="E4107" s="53" t="s">
        <v>4941</v>
      </c>
      <c r="F4107" s="53" t="s">
        <v>478</v>
      </c>
      <c r="G4107" s="53" t="s">
        <v>988</v>
      </c>
      <c r="H4107" s="53">
        <v>1.0</v>
      </c>
      <c r="I4107" s="53">
        <v>0.17218543046357615</v>
      </c>
      <c r="J4107" s="53">
        <v>2.0</v>
      </c>
      <c r="K4107" s="53" t="s">
        <v>53</v>
      </c>
      <c r="L4107" s="53" t="s">
        <v>53</v>
      </c>
    </row>
    <row r="4108" ht="15.75" customHeight="1">
      <c r="A4108" s="53" t="s">
        <v>411</v>
      </c>
      <c r="B4108" s="53" t="s">
        <v>4945</v>
      </c>
      <c r="D4108" s="53" t="s">
        <v>976</v>
      </c>
      <c r="E4108" s="53" t="s">
        <v>5444</v>
      </c>
      <c r="F4108" s="53" t="s">
        <v>478</v>
      </c>
      <c r="G4108" s="53" t="s">
        <v>495</v>
      </c>
      <c r="H4108" s="53">
        <v>1.0</v>
      </c>
      <c r="I4108" s="53">
        <v>0.26490066225165565</v>
      </c>
      <c r="J4108" s="53">
        <v>49.0</v>
      </c>
      <c r="K4108" s="53" t="s">
        <v>53</v>
      </c>
      <c r="L4108" s="53" t="s">
        <v>53</v>
      </c>
    </row>
    <row r="4109" ht="15.75" customHeight="1">
      <c r="A4109" s="53" t="s">
        <v>411</v>
      </c>
      <c r="B4109" s="53" t="s">
        <v>4945</v>
      </c>
      <c r="D4109" s="53" t="s">
        <v>976</v>
      </c>
      <c r="E4109" s="53" t="s">
        <v>5445</v>
      </c>
      <c r="F4109" s="53" t="s">
        <v>478</v>
      </c>
      <c r="G4109" s="53" t="s">
        <v>474</v>
      </c>
      <c r="H4109" s="53">
        <v>1.0</v>
      </c>
      <c r="I4109" s="53">
        <v>0.2781456953642384</v>
      </c>
      <c r="J4109" s="53">
        <v>48.0</v>
      </c>
      <c r="K4109" s="53" t="s">
        <v>53</v>
      </c>
      <c r="L4109" s="53" t="s">
        <v>53</v>
      </c>
    </row>
    <row r="4110" ht="15.75" customHeight="1">
      <c r="A4110" s="53" t="s">
        <v>411</v>
      </c>
      <c r="B4110" s="53" t="s">
        <v>4945</v>
      </c>
      <c r="D4110" s="53" t="s">
        <v>976</v>
      </c>
      <c r="E4110" s="53" t="s">
        <v>5446</v>
      </c>
      <c r="F4110" s="53" t="s">
        <v>478</v>
      </c>
      <c r="G4110" s="53" t="s">
        <v>485</v>
      </c>
      <c r="H4110" s="53">
        <v>1.0</v>
      </c>
      <c r="I4110" s="53">
        <v>0.2847682119205298</v>
      </c>
      <c r="J4110" s="53">
        <v>47.0</v>
      </c>
      <c r="K4110" s="53" t="s">
        <v>53</v>
      </c>
      <c r="L4110" s="53" t="s">
        <v>53</v>
      </c>
    </row>
    <row r="4111" ht="15.75" customHeight="1">
      <c r="A4111" s="53" t="s">
        <v>411</v>
      </c>
      <c r="B4111" s="53" t="s">
        <v>4945</v>
      </c>
      <c r="D4111" s="53" t="s">
        <v>976</v>
      </c>
      <c r="E4111" s="53" t="s">
        <v>5447</v>
      </c>
      <c r="F4111" s="53" t="s">
        <v>478</v>
      </c>
      <c r="G4111" s="53" t="s">
        <v>2942</v>
      </c>
      <c r="H4111" s="53">
        <v>1.0</v>
      </c>
      <c r="I4111" s="53">
        <v>0.304635761589404</v>
      </c>
      <c r="J4111" s="53">
        <v>52.0</v>
      </c>
      <c r="K4111" s="53" t="s">
        <v>53</v>
      </c>
      <c r="L4111" s="53" t="s">
        <v>53</v>
      </c>
    </row>
    <row r="4112" ht="15.75" customHeight="1">
      <c r="A4112" s="53" t="s">
        <v>411</v>
      </c>
      <c r="B4112" s="53" t="s">
        <v>4945</v>
      </c>
      <c r="D4112" s="53" t="s">
        <v>976</v>
      </c>
      <c r="E4112" s="53" t="s">
        <v>5448</v>
      </c>
      <c r="F4112" s="53" t="s">
        <v>478</v>
      </c>
      <c r="G4112" s="53" t="s">
        <v>509</v>
      </c>
      <c r="H4112" s="53">
        <v>1.0</v>
      </c>
      <c r="I4112" s="53">
        <v>0.31788079470198677</v>
      </c>
      <c r="J4112" s="53">
        <v>14.0</v>
      </c>
      <c r="K4112" s="53" t="s">
        <v>53</v>
      </c>
      <c r="L4112" s="53" t="s">
        <v>53</v>
      </c>
    </row>
    <row r="4113" ht="15.75" customHeight="1">
      <c r="A4113" s="53" t="s">
        <v>411</v>
      </c>
      <c r="B4113" s="53" t="s">
        <v>4945</v>
      </c>
      <c r="D4113" s="53" t="s">
        <v>976</v>
      </c>
      <c r="E4113" s="53" t="s">
        <v>5449</v>
      </c>
      <c r="F4113" s="53" t="s">
        <v>478</v>
      </c>
      <c r="G4113" s="53" t="s">
        <v>2937</v>
      </c>
      <c r="H4113" s="53">
        <v>1.0</v>
      </c>
      <c r="I4113" s="53">
        <v>0.32450331125827814</v>
      </c>
      <c r="J4113" s="53">
        <v>51.0</v>
      </c>
      <c r="K4113" s="53" t="s">
        <v>53</v>
      </c>
      <c r="L4113" s="53" t="s">
        <v>53</v>
      </c>
    </row>
    <row r="4114" ht="15.75" customHeight="1">
      <c r="A4114" s="53" t="s">
        <v>411</v>
      </c>
      <c r="B4114" s="53" t="s">
        <v>4945</v>
      </c>
      <c r="D4114" s="53" t="s">
        <v>976</v>
      </c>
      <c r="E4114" s="53" t="s">
        <v>5450</v>
      </c>
      <c r="F4114" s="53" t="s">
        <v>478</v>
      </c>
      <c r="G4114" s="53" t="s">
        <v>2940</v>
      </c>
      <c r="H4114" s="53">
        <v>1.0</v>
      </c>
      <c r="I4114" s="53">
        <v>0.32450331125827814</v>
      </c>
      <c r="J4114" s="53">
        <v>31.0</v>
      </c>
      <c r="K4114" s="53" t="s">
        <v>53</v>
      </c>
      <c r="L4114" s="53" t="s">
        <v>53</v>
      </c>
    </row>
    <row r="4115" ht="15.75" customHeight="1">
      <c r="A4115" s="53" t="s">
        <v>411</v>
      </c>
      <c r="B4115" s="53" t="s">
        <v>4945</v>
      </c>
      <c r="D4115" s="53" t="s">
        <v>976</v>
      </c>
      <c r="E4115" s="53" t="s">
        <v>5451</v>
      </c>
      <c r="F4115" s="53" t="s">
        <v>478</v>
      </c>
      <c r="G4115" s="53" t="s">
        <v>2948</v>
      </c>
      <c r="H4115" s="53">
        <v>1.0</v>
      </c>
      <c r="I4115" s="53">
        <v>0.32450331125827814</v>
      </c>
      <c r="J4115" s="53">
        <v>50.0</v>
      </c>
      <c r="K4115" s="53" t="s">
        <v>53</v>
      </c>
      <c r="L4115" s="53" t="s">
        <v>53</v>
      </c>
    </row>
    <row r="4116" ht="15.75" customHeight="1">
      <c r="A4116" s="53" t="s">
        <v>411</v>
      </c>
      <c r="B4116" s="53" t="s">
        <v>4945</v>
      </c>
      <c r="D4116" s="53" t="s">
        <v>976</v>
      </c>
      <c r="E4116" s="53" t="s">
        <v>5452</v>
      </c>
      <c r="F4116" s="53" t="s">
        <v>478</v>
      </c>
      <c r="G4116" s="53" t="s">
        <v>2954</v>
      </c>
      <c r="H4116" s="53">
        <v>1.0</v>
      </c>
      <c r="I4116" s="53">
        <v>0.33112582781456956</v>
      </c>
      <c r="J4116" s="53">
        <v>29.0</v>
      </c>
      <c r="K4116" s="53" t="s">
        <v>53</v>
      </c>
      <c r="L4116" s="53" t="s">
        <v>53</v>
      </c>
    </row>
    <row r="4117" ht="15.75" customHeight="1">
      <c r="A4117" s="53" t="s">
        <v>411</v>
      </c>
      <c r="B4117" s="53" t="s">
        <v>4945</v>
      </c>
      <c r="D4117" s="53" t="s">
        <v>976</v>
      </c>
      <c r="E4117" s="53" t="s">
        <v>5453</v>
      </c>
      <c r="F4117" s="53" t="s">
        <v>478</v>
      </c>
      <c r="G4117" s="53" t="s">
        <v>2883</v>
      </c>
      <c r="H4117" s="53">
        <v>1.0</v>
      </c>
      <c r="I4117" s="53">
        <v>0.33774834437086093</v>
      </c>
      <c r="J4117" s="53">
        <v>17.0</v>
      </c>
      <c r="K4117" s="53" t="s">
        <v>53</v>
      </c>
      <c r="L4117" s="53" t="s">
        <v>53</v>
      </c>
    </row>
    <row r="4118" ht="15.75" customHeight="1">
      <c r="A4118" s="53" t="s">
        <v>411</v>
      </c>
      <c r="B4118" s="53" t="s">
        <v>4945</v>
      </c>
      <c r="D4118" s="53" t="s">
        <v>976</v>
      </c>
      <c r="E4118" s="53" t="s">
        <v>5454</v>
      </c>
      <c r="F4118" s="53" t="s">
        <v>478</v>
      </c>
      <c r="G4118" s="53" t="s">
        <v>2899</v>
      </c>
      <c r="H4118" s="53">
        <v>1.0</v>
      </c>
      <c r="I4118" s="53">
        <v>0.33774834437086093</v>
      </c>
      <c r="J4118" s="53">
        <v>27.0</v>
      </c>
      <c r="K4118" s="53" t="s">
        <v>53</v>
      </c>
      <c r="L4118" s="53" t="s">
        <v>53</v>
      </c>
    </row>
    <row r="4119" ht="15.75" customHeight="1">
      <c r="A4119" s="53" t="s">
        <v>411</v>
      </c>
      <c r="B4119" s="53" t="s">
        <v>4945</v>
      </c>
      <c r="D4119" s="53" t="s">
        <v>976</v>
      </c>
      <c r="E4119" s="53" t="s">
        <v>5455</v>
      </c>
      <c r="F4119" s="53" t="s">
        <v>478</v>
      </c>
      <c r="G4119" s="53" t="s">
        <v>2887</v>
      </c>
      <c r="H4119" s="53">
        <v>1.0</v>
      </c>
      <c r="I4119" s="53">
        <v>0.33774834437086093</v>
      </c>
      <c r="J4119" s="53">
        <v>22.0</v>
      </c>
      <c r="K4119" s="53" t="s">
        <v>53</v>
      </c>
      <c r="L4119" s="53" t="s">
        <v>53</v>
      </c>
    </row>
    <row r="4120" ht="15.75" customHeight="1">
      <c r="A4120" s="53" t="s">
        <v>411</v>
      </c>
      <c r="B4120" s="53" t="s">
        <v>4945</v>
      </c>
      <c r="D4120" s="53" t="s">
        <v>976</v>
      </c>
      <c r="E4120" s="53" t="s">
        <v>5456</v>
      </c>
      <c r="F4120" s="53" t="s">
        <v>478</v>
      </c>
      <c r="G4120" s="53" t="s">
        <v>2950</v>
      </c>
      <c r="H4120" s="53">
        <v>1.0</v>
      </c>
      <c r="I4120" s="53">
        <v>0.33962264150943394</v>
      </c>
      <c r="J4120" s="53">
        <v>32.0</v>
      </c>
      <c r="K4120" s="53" t="s">
        <v>53</v>
      </c>
      <c r="L4120" s="53" t="s">
        <v>53</v>
      </c>
    </row>
    <row r="4121" ht="15.75" customHeight="1">
      <c r="A4121" s="53" t="s">
        <v>411</v>
      </c>
      <c r="B4121" s="53" t="s">
        <v>4945</v>
      </c>
      <c r="D4121" s="53" t="s">
        <v>976</v>
      </c>
      <c r="E4121" s="53" t="s">
        <v>5457</v>
      </c>
      <c r="F4121" s="53" t="s">
        <v>478</v>
      </c>
      <c r="G4121" s="53" t="s">
        <v>2903</v>
      </c>
      <c r="H4121" s="53">
        <v>1.0</v>
      </c>
      <c r="I4121" s="53">
        <v>0.3443708609271523</v>
      </c>
      <c r="J4121" s="53">
        <v>13.0</v>
      </c>
      <c r="K4121" s="53" t="s">
        <v>53</v>
      </c>
      <c r="L4121" s="53" t="s">
        <v>53</v>
      </c>
    </row>
    <row r="4122" ht="15.75" customHeight="1">
      <c r="A4122" s="53" t="s">
        <v>411</v>
      </c>
      <c r="B4122" s="53" t="s">
        <v>4945</v>
      </c>
      <c r="D4122" s="53" t="s">
        <v>976</v>
      </c>
      <c r="E4122" s="53" t="s">
        <v>5458</v>
      </c>
      <c r="F4122" s="53" t="s">
        <v>478</v>
      </c>
      <c r="G4122" s="53" t="s">
        <v>2895</v>
      </c>
      <c r="H4122" s="53">
        <v>1.0</v>
      </c>
      <c r="I4122" s="53">
        <v>0.3443708609271523</v>
      </c>
      <c r="J4122" s="53">
        <v>23.0</v>
      </c>
      <c r="K4122" s="53" t="s">
        <v>53</v>
      </c>
      <c r="L4122" s="53" t="s">
        <v>53</v>
      </c>
    </row>
    <row r="4123" ht="15.75" customHeight="1">
      <c r="A4123" s="53" t="s">
        <v>411</v>
      </c>
      <c r="B4123" s="53" t="s">
        <v>4945</v>
      </c>
      <c r="D4123" s="53" t="s">
        <v>976</v>
      </c>
      <c r="E4123" s="53" t="s">
        <v>5459</v>
      </c>
      <c r="F4123" s="53" t="s">
        <v>478</v>
      </c>
      <c r="G4123" s="53" t="s">
        <v>2911</v>
      </c>
      <c r="H4123" s="53">
        <v>1.0</v>
      </c>
      <c r="I4123" s="53">
        <v>0.3443708609271523</v>
      </c>
      <c r="J4123" s="53">
        <v>28.0</v>
      </c>
      <c r="K4123" s="53" t="s">
        <v>53</v>
      </c>
      <c r="L4123" s="53" t="s">
        <v>53</v>
      </c>
    </row>
    <row r="4124" ht="15.75" customHeight="1">
      <c r="A4124" s="53" t="s">
        <v>411</v>
      </c>
      <c r="B4124" s="53" t="s">
        <v>4945</v>
      </c>
      <c r="D4124" s="53" t="s">
        <v>976</v>
      </c>
      <c r="E4124" s="53" t="s">
        <v>5460</v>
      </c>
      <c r="F4124" s="53" t="s">
        <v>478</v>
      </c>
      <c r="G4124" s="53" t="s">
        <v>2885</v>
      </c>
      <c r="H4124" s="53">
        <v>1.0</v>
      </c>
      <c r="I4124" s="53">
        <v>0.3443708609271523</v>
      </c>
      <c r="J4124" s="53">
        <v>16.0</v>
      </c>
      <c r="K4124" s="53" t="s">
        <v>53</v>
      </c>
      <c r="L4124" s="53" t="s">
        <v>53</v>
      </c>
    </row>
    <row r="4125" ht="15.75" customHeight="1">
      <c r="A4125" s="53" t="s">
        <v>411</v>
      </c>
      <c r="B4125" s="53" t="s">
        <v>4945</v>
      </c>
      <c r="D4125" s="53" t="s">
        <v>976</v>
      </c>
      <c r="E4125" s="53" t="s">
        <v>5461</v>
      </c>
      <c r="F4125" s="53" t="s">
        <v>478</v>
      </c>
      <c r="G4125" s="53" t="s">
        <v>2880</v>
      </c>
      <c r="H4125" s="53">
        <v>1.0</v>
      </c>
      <c r="I4125" s="53">
        <v>0.3443708609271523</v>
      </c>
      <c r="J4125" s="53">
        <v>12.0</v>
      </c>
      <c r="K4125" s="53" t="s">
        <v>53</v>
      </c>
      <c r="L4125" s="53" t="s">
        <v>53</v>
      </c>
    </row>
    <row r="4126" ht="15.75" customHeight="1">
      <c r="A4126" s="53" t="s">
        <v>411</v>
      </c>
      <c r="B4126" s="53" t="s">
        <v>4945</v>
      </c>
      <c r="D4126" s="53" t="s">
        <v>976</v>
      </c>
      <c r="E4126" s="53" t="s">
        <v>5462</v>
      </c>
      <c r="F4126" s="53" t="s">
        <v>478</v>
      </c>
      <c r="G4126" s="53" t="s">
        <v>2905</v>
      </c>
      <c r="H4126" s="53">
        <v>1.0</v>
      </c>
      <c r="I4126" s="53">
        <v>0.3443708609271523</v>
      </c>
      <c r="J4126" s="53">
        <v>30.0</v>
      </c>
      <c r="K4126" s="53" t="s">
        <v>53</v>
      </c>
      <c r="L4126" s="53" t="s">
        <v>53</v>
      </c>
    </row>
    <row r="4127" ht="15.75" customHeight="1">
      <c r="A4127" s="53" t="s">
        <v>411</v>
      </c>
      <c r="B4127" s="53" t="s">
        <v>4945</v>
      </c>
      <c r="D4127" s="53" t="s">
        <v>976</v>
      </c>
      <c r="E4127" s="53" t="s">
        <v>5463</v>
      </c>
      <c r="F4127" s="53" t="s">
        <v>478</v>
      </c>
      <c r="G4127" s="53" t="s">
        <v>2901</v>
      </c>
      <c r="H4127" s="53">
        <v>1.0</v>
      </c>
      <c r="I4127" s="53">
        <v>0.3443708609271523</v>
      </c>
      <c r="J4127" s="53">
        <v>24.0</v>
      </c>
      <c r="K4127" s="53" t="s">
        <v>53</v>
      </c>
      <c r="L4127" s="53" t="s">
        <v>53</v>
      </c>
    </row>
    <row r="4128" ht="15.75" customHeight="1">
      <c r="A4128" s="53" t="s">
        <v>411</v>
      </c>
      <c r="B4128" s="53" t="s">
        <v>4945</v>
      </c>
      <c r="D4128" s="53" t="s">
        <v>976</v>
      </c>
      <c r="E4128" s="53" t="s">
        <v>5464</v>
      </c>
      <c r="F4128" s="53" t="s">
        <v>478</v>
      </c>
      <c r="G4128" s="53" t="s">
        <v>2897</v>
      </c>
      <c r="H4128" s="53">
        <v>1.0</v>
      </c>
      <c r="I4128" s="53">
        <v>0.3509933774834437</v>
      </c>
      <c r="J4128" s="53">
        <v>20.0</v>
      </c>
      <c r="K4128" s="53" t="s">
        <v>53</v>
      </c>
      <c r="L4128" s="53" t="s">
        <v>53</v>
      </c>
    </row>
    <row r="4129" ht="15.75" customHeight="1">
      <c r="A4129" s="53" t="s">
        <v>411</v>
      </c>
      <c r="B4129" s="53" t="s">
        <v>4945</v>
      </c>
      <c r="D4129" s="53" t="s">
        <v>976</v>
      </c>
      <c r="E4129" s="53" t="s">
        <v>5465</v>
      </c>
      <c r="F4129" s="53" t="s">
        <v>478</v>
      </c>
      <c r="G4129" s="53" t="s">
        <v>2891</v>
      </c>
      <c r="H4129" s="53">
        <v>1.0</v>
      </c>
      <c r="I4129" s="53">
        <v>0.3509933774834437</v>
      </c>
      <c r="J4129" s="53">
        <v>21.0</v>
      </c>
      <c r="K4129" s="53" t="s">
        <v>53</v>
      </c>
      <c r="L4129" s="53" t="s">
        <v>53</v>
      </c>
    </row>
    <row r="4130" ht="15.75" customHeight="1">
      <c r="A4130" s="53" t="s">
        <v>411</v>
      </c>
      <c r="B4130" s="53" t="s">
        <v>4945</v>
      </c>
      <c r="D4130" s="53" t="s">
        <v>976</v>
      </c>
      <c r="E4130" s="53" t="s">
        <v>5466</v>
      </c>
      <c r="F4130" s="53" t="s">
        <v>478</v>
      </c>
      <c r="G4130" s="53" t="s">
        <v>2907</v>
      </c>
      <c r="H4130" s="53">
        <v>1.0</v>
      </c>
      <c r="I4130" s="53">
        <v>0.3509933774834437</v>
      </c>
      <c r="J4130" s="53">
        <v>45.0</v>
      </c>
      <c r="K4130" s="53" t="s">
        <v>53</v>
      </c>
      <c r="L4130" s="53" t="s">
        <v>53</v>
      </c>
    </row>
    <row r="4131" ht="15.75" customHeight="1">
      <c r="A4131" s="53" t="s">
        <v>411</v>
      </c>
      <c r="B4131" s="53" t="s">
        <v>4945</v>
      </c>
      <c r="D4131" s="53" t="s">
        <v>976</v>
      </c>
      <c r="E4131" s="53" t="s">
        <v>5467</v>
      </c>
      <c r="F4131" s="53" t="s">
        <v>478</v>
      </c>
      <c r="G4131" s="53" t="s">
        <v>2909</v>
      </c>
      <c r="H4131" s="53">
        <v>1.0</v>
      </c>
      <c r="I4131" s="53">
        <v>0.3509933774834437</v>
      </c>
      <c r="J4131" s="53">
        <v>15.0</v>
      </c>
      <c r="K4131" s="53" t="s">
        <v>53</v>
      </c>
      <c r="L4131" s="53" t="s">
        <v>53</v>
      </c>
    </row>
    <row r="4132" ht="15.75" customHeight="1">
      <c r="A4132" s="53" t="s">
        <v>411</v>
      </c>
      <c r="B4132" s="53" t="s">
        <v>4945</v>
      </c>
      <c r="D4132" s="53" t="s">
        <v>976</v>
      </c>
      <c r="E4132" s="53" t="s">
        <v>5468</v>
      </c>
      <c r="F4132" s="53" t="s">
        <v>478</v>
      </c>
      <c r="G4132" s="53" t="s">
        <v>2893</v>
      </c>
      <c r="H4132" s="53">
        <v>1.0</v>
      </c>
      <c r="I4132" s="53">
        <v>0.3509933774834437</v>
      </c>
      <c r="J4132" s="53">
        <v>19.0</v>
      </c>
      <c r="K4132" s="53" t="s">
        <v>53</v>
      </c>
      <c r="L4132" s="53" t="s">
        <v>53</v>
      </c>
    </row>
    <row r="4133" ht="15.75" customHeight="1">
      <c r="A4133" s="53" t="s">
        <v>411</v>
      </c>
      <c r="B4133" s="53" t="s">
        <v>4945</v>
      </c>
      <c r="D4133" s="53" t="s">
        <v>976</v>
      </c>
      <c r="E4133" s="53" t="s">
        <v>5469</v>
      </c>
      <c r="F4133" s="53" t="s">
        <v>478</v>
      </c>
      <c r="G4133" s="53" t="s">
        <v>2889</v>
      </c>
      <c r="H4133" s="53">
        <v>1.0</v>
      </c>
      <c r="I4133" s="53">
        <v>0.3509933774834437</v>
      </c>
      <c r="J4133" s="53">
        <v>25.0</v>
      </c>
      <c r="K4133" s="53" t="s">
        <v>53</v>
      </c>
      <c r="L4133" s="53" t="s">
        <v>53</v>
      </c>
    </row>
    <row r="4134" ht="15.75" customHeight="1">
      <c r="A4134" s="53" t="s">
        <v>411</v>
      </c>
      <c r="B4134" s="53" t="s">
        <v>4945</v>
      </c>
      <c r="D4134" s="53" t="s">
        <v>976</v>
      </c>
      <c r="E4134" s="53" t="s">
        <v>5470</v>
      </c>
      <c r="F4134" s="53" t="s">
        <v>478</v>
      </c>
      <c r="G4134" s="53" t="s">
        <v>3741</v>
      </c>
      <c r="H4134" s="53">
        <v>1.0</v>
      </c>
      <c r="I4134" s="53">
        <v>0.3576158940397351</v>
      </c>
      <c r="J4134" s="53">
        <v>11.0</v>
      </c>
      <c r="K4134" s="53" t="s">
        <v>53</v>
      </c>
      <c r="L4134" s="53" t="s">
        <v>53</v>
      </c>
    </row>
    <row r="4135" ht="15.75" customHeight="1">
      <c r="A4135" s="53" t="s">
        <v>411</v>
      </c>
      <c r="B4135" s="53" t="s">
        <v>4945</v>
      </c>
      <c r="D4135" s="53" t="s">
        <v>976</v>
      </c>
      <c r="E4135" s="53" t="s">
        <v>5471</v>
      </c>
      <c r="F4135" s="53" t="s">
        <v>478</v>
      </c>
      <c r="G4135" s="53" t="s">
        <v>2917</v>
      </c>
      <c r="H4135" s="53">
        <v>1.0</v>
      </c>
      <c r="I4135" s="53">
        <v>0.3576158940397351</v>
      </c>
      <c r="J4135" s="53">
        <v>46.0</v>
      </c>
      <c r="K4135" s="53" t="s">
        <v>53</v>
      </c>
      <c r="L4135" s="53" t="s">
        <v>53</v>
      </c>
    </row>
    <row r="4136" ht="15.75" customHeight="1">
      <c r="A4136" s="53" t="s">
        <v>411</v>
      </c>
      <c r="B4136" s="53" t="s">
        <v>4945</v>
      </c>
      <c r="D4136" s="53" t="s">
        <v>976</v>
      </c>
      <c r="E4136" s="53" t="s">
        <v>5472</v>
      </c>
      <c r="F4136" s="53" t="s">
        <v>478</v>
      </c>
      <c r="G4136" s="53" t="s">
        <v>2931</v>
      </c>
      <c r="H4136" s="53">
        <v>1.0</v>
      </c>
      <c r="I4136" s="53">
        <v>0.3618421052631579</v>
      </c>
      <c r="J4136" s="53">
        <v>36.0</v>
      </c>
      <c r="K4136" s="53" t="s">
        <v>53</v>
      </c>
      <c r="L4136" s="53" t="s">
        <v>53</v>
      </c>
    </row>
    <row r="4137" ht="15.75" customHeight="1">
      <c r="A4137" s="53" t="s">
        <v>411</v>
      </c>
      <c r="B4137" s="53" t="s">
        <v>4945</v>
      </c>
      <c r="D4137" s="53" t="s">
        <v>976</v>
      </c>
      <c r="E4137" s="53" t="s">
        <v>5473</v>
      </c>
      <c r="F4137" s="53" t="s">
        <v>478</v>
      </c>
      <c r="G4137" s="53" t="s">
        <v>2923</v>
      </c>
      <c r="H4137" s="53">
        <v>1.0</v>
      </c>
      <c r="I4137" s="53">
        <v>0.36423841059602646</v>
      </c>
      <c r="J4137" s="53">
        <v>38.0</v>
      </c>
      <c r="K4137" s="53" t="s">
        <v>53</v>
      </c>
      <c r="L4137" s="53" t="s">
        <v>53</v>
      </c>
    </row>
    <row r="4138" ht="15.75" customHeight="1">
      <c r="A4138" s="53" t="s">
        <v>411</v>
      </c>
      <c r="B4138" s="53" t="s">
        <v>4945</v>
      </c>
      <c r="D4138" s="53" t="s">
        <v>976</v>
      </c>
      <c r="E4138" s="53" t="s">
        <v>5474</v>
      </c>
      <c r="F4138" s="53" t="s">
        <v>478</v>
      </c>
      <c r="G4138" s="53" t="s">
        <v>2913</v>
      </c>
      <c r="H4138" s="53">
        <v>1.0</v>
      </c>
      <c r="I4138" s="53">
        <v>0.36423841059602646</v>
      </c>
      <c r="J4138" s="53">
        <v>26.0</v>
      </c>
      <c r="K4138" s="53" t="s">
        <v>53</v>
      </c>
      <c r="L4138" s="53" t="s">
        <v>53</v>
      </c>
    </row>
    <row r="4139" ht="15.75" customHeight="1">
      <c r="A4139" s="53" t="s">
        <v>411</v>
      </c>
      <c r="B4139" s="53" t="s">
        <v>4945</v>
      </c>
      <c r="D4139" s="53" t="s">
        <v>976</v>
      </c>
      <c r="E4139" s="53" t="s">
        <v>5475</v>
      </c>
      <c r="F4139" s="53" t="s">
        <v>478</v>
      </c>
      <c r="G4139" s="53" t="s">
        <v>2915</v>
      </c>
      <c r="H4139" s="53">
        <v>1.0</v>
      </c>
      <c r="I4139" s="53">
        <v>0.36423841059602646</v>
      </c>
      <c r="J4139" s="53">
        <v>37.0</v>
      </c>
      <c r="K4139" s="53" t="s">
        <v>53</v>
      </c>
      <c r="L4139" s="53" t="s">
        <v>53</v>
      </c>
    </row>
    <row r="4140" ht="15.75" customHeight="1">
      <c r="A4140" s="53" t="s">
        <v>411</v>
      </c>
      <c r="B4140" s="53" t="s">
        <v>4945</v>
      </c>
      <c r="D4140" s="53" t="s">
        <v>976</v>
      </c>
      <c r="E4140" s="53" t="s">
        <v>5476</v>
      </c>
      <c r="F4140" s="53" t="s">
        <v>478</v>
      </c>
      <c r="G4140" s="53" t="s">
        <v>3738</v>
      </c>
      <c r="H4140" s="53">
        <v>1.0</v>
      </c>
      <c r="I4140" s="53">
        <v>0.36423841059602646</v>
      </c>
      <c r="J4140" s="53">
        <v>10.0</v>
      </c>
      <c r="K4140" s="53" t="s">
        <v>53</v>
      </c>
      <c r="L4140" s="53" t="s">
        <v>53</v>
      </c>
    </row>
    <row r="4141" ht="15.75" customHeight="1">
      <c r="A4141" s="53" t="s">
        <v>411</v>
      </c>
      <c r="B4141" s="53" t="s">
        <v>4945</v>
      </c>
      <c r="D4141" s="53" t="s">
        <v>976</v>
      </c>
      <c r="E4141" s="53" t="s">
        <v>5477</v>
      </c>
      <c r="F4141" s="53" t="s">
        <v>478</v>
      </c>
      <c r="G4141" s="53" t="s">
        <v>2929</v>
      </c>
      <c r="H4141" s="53">
        <v>1.0</v>
      </c>
      <c r="I4141" s="53">
        <v>0.3660130718954248</v>
      </c>
      <c r="J4141" s="53">
        <v>42.0</v>
      </c>
      <c r="K4141" s="53" t="s">
        <v>53</v>
      </c>
      <c r="L4141" s="53" t="s">
        <v>53</v>
      </c>
    </row>
    <row r="4142" ht="15.75" customHeight="1">
      <c r="A4142" s="53" t="s">
        <v>411</v>
      </c>
      <c r="B4142" s="53" t="s">
        <v>4945</v>
      </c>
      <c r="D4142" s="53" t="s">
        <v>976</v>
      </c>
      <c r="E4142" s="53" t="s">
        <v>5478</v>
      </c>
      <c r="F4142" s="53" t="s">
        <v>478</v>
      </c>
      <c r="G4142" s="53" t="s">
        <v>2919</v>
      </c>
      <c r="H4142" s="53">
        <v>1.0</v>
      </c>
      <c r="I4142" s="53">
        <v>0.3708609271523179</v>
      </c>
      <c r="J4142" s="53">
        <v>39.0</v>
      </c>
      <c r="K4142" s="53" t="s">
        <v>53</v>
      </c>
      <c r="L4142" s="53" t="s">
        <v>53</v>
      </c>
    </row>
    <row r="4143" ht="15.75" customHeight="1">
      <c r="A4143" s="53" t="s">
        <v>411</v>
      </c>
      <c r="B4143" s="53" t="s">
        <v>4945</v>
      </c>
      <c r="D4143" s="53" t="s">
        <v>976</v>
      </c>
      <c r="E4143" s="53" t="s">
        <v>5479</v>
      </c>
      <c r="F4143" s="53" t="s">
        <v>478</v>
      </c>
      <c r="G4143" s="53" t="s">
        <v>2927</v>
      </c>
      <c r="H4143" s="53">
        <v>1.0</v>
      </c>
      <c r="I4143" s="53">
        <v>0.3708609271523179</v>
      </c>
      <c r="J4143" s="53">
        <v>41.0</v>
      </c>
      <c r="K4143" s="53" t="s">
        <v>53</v>
      </c>
      <c r="L4143" s="53" t="s">
        <v>53</v>
      </c>
    </row>
    <row r="4144" ht="15.75" customHeight="1">
      <c r="A4144" s="53" t="s">
        <v>411</v>
      </c>
      <c r="B4144" s="53" t="s">
        <v>4945</v>
      </c>
      <c r="D4144" s="53" t="s">
        <v>976</v>
      </c>
      <c r="E4144" s="53" t="s">
        <v>5480</v>
      </c>
      <c r="F4144" s="53" t="s">
        <v>478</v>
      </c>
      <c r="G4144" s="53" t="s">
        <v>2935</v>
      </c>
      <c r="H4144" s="53">
        <v>1.0</v>
      </c>
      <c r="I4144" s="53">
        <v>0.3708609271523179</v>
      </c>
      <c r="J4144" s="53">
        <v>33.0</v>
      </c>
      <c r="K4144" s="53" t="s">
        <v>53</v>
      </c>
      <c r="L4144" s="53" t="s">
        <v>53</v>
      </c>
    </row>
    <row r="4145" ht="15.75" customHeight="1">
      <c r="A4145" s="53" t="s">
        <v>411</v>
      </c>
      <c r="B4145" s="53" t="s">
        <v>4945</v>
      </c>
      <c r="D4145" s="53" t="s">
        <v>976</v>
      </c>
      <c r="E4145" s="53" t="s">
        <v>5481</v>
      </c>
      <c r="F4145" s="53" t="s">
        <v>478</v>
      </c>
      <c r="G4145" s="53" t="s">
        <v>2925</v>
      </c>
      <c r="H4145" s="53">
        <v>1.0</v>
      </c>
      <c r="I4145" s="53">
        <v>0.3708609271523179</v>
      </c>
      <c r="J4145" s="53">
        <v>44.0</v>
      </c>
      <c r="K4145" s="53" t="s">
        <v>53</v>
      </c>
      <c r="L4145" s="53" t="s">
        <v>53</v>
      </c>
    </row>
    <row r="4146" ht="15.75" customHeight="1">
      <c r="A4146" s="53" t="s">
        <v>411</v>
      </c>
      <c r="B4146" s="53" t="s">
        <v>4945</v>
      </c>
      <c r="D4146" s="53" t="s">
        <v>976</v>
      </c>
      <c r="E4146" s="53" t="s">
        <v>5482</v>
      </c>
      <c r="F4146" s="53" t="s">
        <v>478</v>
      </c>
      <c r="G4146" s="53" t="s">
        <v>2921</v>
      </c>
      <c r="H4146" s="53">
        <v>1.0</v>
      </c>
      <c r="I4146" s="53">
        <v>0.3708609271523179</v>
      </c>
      <c r="J4146" s="53">
        <v>40.0</v>
      </c>
      <c r="K4146" s="53" t="s">
        <v>53</v>
      </c>
      <c r="L4146" s="53" t="s">
        <v>53</v>
      </c>
    </row>
    <row r="4147" ht="15.75" customHeight="1">
      <c r="A4147" s="53" t="s">
        <v>411</v>
      </c>
      <c r="B4147" s="53" t="s">
        <v>4945</v>
      </c>
      <c r="D4147" s="53" t="s">
        <v>976</v>
      </c>
      <c r="E4147" s="53" t="s">
        <v>5483</v>
      </c>
      <c r="F4147" s="53" t="s">
        <v>478</v>
      </c>
      <c r="G4147" s="53" t="s">
        <v>2957</v>
      </c>
      <c r="H4147" s="53">
        <v>1.0</v>
      </c>
      <c r="I4147" s="53">
        <v>0.38181818181818183</v>
      </c>
      <c r="J4147" s="53">
        <v>34.0</v>
      </c>
      <c r="K4147" s="53" t="s">
        <v>53</v>
      </c>
      <c r="L4147" s="53" t="s">
        <v>53</v>
      </c>
    </row>
    <row r="4148" ht="15.75" customHeight="1">
      <c r="A4148" s="53" t="s">
        <v>411</v>
      </c>
      <c r="B4148" s="53" t="s">
        <v>4945</v>
      </c>
      <c r="D4148" s="53" t="s">
        <v>976</v>
      </c>
      <c r="E4148" s="53" t="s">
        <v>5484</v>
      </c>
      <c r="F4148" s="53" t="s">
        <v>478</v>
      </c>
      <c r="G4148" s="53" t="s">
        <v>2933</v>
      </c>
      <c r="H4148" s="53">
        <v>1.0</v>
      </c>
      <c r="I4148" s="53">
        <v>0.3875</v>
      </c>
      <c r="J4148" s="53">
        <v>43.0</v>
      </c>
      <c r="K4148" s="53" t="s">
        <v>53</v>
      </c>
      <c r="L4148" s="53" t="s">
        <v>53</v>
      </c>
    </row>
    <row r="4149" ht="15.75" customHeight="1">
      <c r="A4149" s="53" t="s">
        <v>411</v>
      </c>
      <c r="B4149" s="53" t="s">
        <v>4945</v>
      </c>
      <c r="D4149" s="53" t="s">
        <v>976</v>
      </c>
      <c r="E4149" s="53" t="s">
        <v>5485</v>
      </c>
      <c r="F4149" s="53" t="s">
        <v>478</v>
      </c>
      <c r="G4149" s="53" t="s">
        <v>2946</v>
      </c>
      <c r="H4149" s="53">
        <v>1.0</v>
      </c>
      <c r="I4149" s="53">
        <v>0.3939393939393939</v>
      </c>
      <c r="J4149" s="53">
        <v>18.0</v>
      </c>
      <c r="K4149" s="53" t="s">
        <v>53</v>
      </c>
      <c r="L4149" s="53" t="s">
        <v>53</v>
      </c>
    </row>
    <row r="4150" ht="15.75" customHeight="1">
      <c r="A4150" s="53" t="s">
        <v>411</v>
      </c>
      <c r="B4150" s="53" t="s">
        <v>4945</v>
      </c>
      <c r="D4150" s="53" t="s">
        <v>976</v>
      </c>
      <c r="E4150" s="53" t="s">
        <v>5486</v>
      </c>
      <c r="F4150" s="53" t="s">
        <v>478</v>
      </c>
      <c r="G4150" s="53" t="s">
        <v>2944</v>
      </c>
      <c r="H4150" s="53">
        <v>1.0</v>
      </c>
      <c r="I4150" s="53">
        <v>0.40372670807453415</v>
      </c>
      <c r="J4150" s="53">
        <v>35.0</v>
      </c>
      <c r="K4150" s="53" t="s">
        <v>53</v>
      </c>
      <c r="L4150" s="53" t="s">
        <v>53</v>
      </c>
    </row>
    <row r="4151" ht="15.75" customHeight="1">
      <c r="A4151" s="53" t="s">
        <v>411</v>
      </c>
      <c r="B4151" s="53" t="s">
        <v>4945</v>
      </c>
      <c r="D4151" s="53" t="s">
        <v>980</v>
      </c>
      <c r="E4151" s="53" t="s">
        <v>4942</v>
      </c>
      <c r="F4151" s="53" t="s">
        <v>478</v>
      </c>
      <c r="G4151" s="53" t="s">
        <v>984</v>
      </c>
      <c r="H4151" s="53">
        <v>1.0</v>
      </c>
      <c r="I4151" s="53">
        <v>0.08974358974358974</v>
      </c>
      <c r="J4151" s="53">
        <v>0.0</v>
      </c>
      <c r="K4151" s="53" t="s">
        <v>53</v>
      </c>
      <c r="L4151" s="53" t="s">
        <v>53</v>
      </c>
    </row>
    <row r="4152" ht="15.75" customHeight="1">
      <c r="A4152" s="53" t="s">
        <v>411</v>
      </c>
      <c r="B4152" s="53" t="s">
        <v>4945</v>
      </c>
      <c r="D4152" s="53" t="s">
        <v>980</v>
      </c>
      <c r="E4152" s="53" t="s">
        <v>4943</v>
      </c>
      <c r="F4152" s="53" t="s">
        <v>478</v>
      </c>
      <c r="G4152" s="53" t="s">
        <v>988</v>
      </c>
      <c r="H4152" s="53">
        <v>1.0</v>
      </c>
      <c r="I4152" s="53">
        <v>0.15333333333333332</v>
      </c>
      <c r="J4152" s="53">
        <v>1.0</v>
      </c>
      <c r="K4152" s="53" t="s">
        <v>53</v>
      </c>
      <c r="L4152" s="53" t="s">
        <v>53</v>
      </c>
    </row>
    <row r="4153" ht="15.75" customHeight="1">
      <c r="A4153" s="53" t="s">
        <v>411</v>
      </c>
      <c r="B4153" s="53" t="s">
        <v>4945</v>
      </c>
      <c r="D4153" s="53" t="s">
        <v>980</v>
      </c>
      <c r="E4153" s="53" t="s">
        <v>5487</v>
      </c>
      <c r="F4153" s="53" t="s">
        <v>478</v>
      </c>
      <c r="G4153" s="53" t="s">
        <v>495</v>
      </c>
      <c r="H4153" s="53">
        <v>1.0</v>
      </c>
      <c r="I4153" s="53">
        <v>0.26</v>
      </c>
      <c r="J4153" s="53">
        <v>48.0</v>
      </c>
      <c r="K4153" s="53" t="s">
        <v>53</v>
      </c>
      <c r="L4153" s="53" t="s">
        <v>53</v>
      </c>
    </row>
    <row r="4154" ht="15.75" customHeight="1">
      <c r="A4154" s="53" t="s">
        <v>411</v>
      </c>
      <c r="B4154" s="53" t="s">
        <v>4945</v>
      </c>
      <c r="D4154" s="53" t="s">
        <v>980</v>
      </c>
      <c r="E4154" s="53" t="s">
        <v>5488</v>
      </c>
      <c r="F4154" s="53" t="s">
        <v>478</v>
      </c>
      <c r="G4154" s="53" t="s">
        <v>474</v>
      </c>
      <c r="H4154" s="53">
        <v>1.0</v>
      </c>
      <c r="I4154" s="53">
        <v>0.2733333333333333</v>
      </c>
      <c r="J4154" s="53">
        <v>47.0</v>
      </c>
      <c r="K4154" s="53" t="s">
        <v>53</v>
      </c>
      <c r="L4154" s="53" t="s">
        <v>53</v>
      </c>
    </row>
    <row r="4155" ht="15.75" customHeight="1">
      <c r="A4155" s="53" t="s">
        <v>411</v>
      </c>
      <c r="B4155" s="53" t="s">
        <v>4945</v>
      </c>
      <c r="D4155" s="53" t="s">
        <v>980</v>
      </c>
      <c r="E4155" s="53" t="s">
        <v>5489</v>
      </c>
      <c r="F4155" s="53" t="s">
        <v>478</v>
      </c>
      <c r="G4155" s="53" t="s">
        <v>485</v>
      </c>
      <c r="H4155" s="53">
        <v>1.0</v>
      </c>
      <c r="I4155" s="53">
        <v>0.28</v>
      </c>
      <c r="J4155" s="53">
        <v>46.0</v>
      </c>
      <c r="K4155" s="53" t="s">
        <v>53</v>
      </c>
      <c r="L4155" s="53" t="s">
        <v>53</v>
      </c>
    </row>
    <row r="4156" ht="15.75" customHeight="1">
      <c r="A4156" s="53" t="s">
        <v>411</v>
      </c>
      <c r="B4156" s="53" t="s">
        <v>4945</v>
      </c>
      <c r="D4156" s="53" t="s">
        <v>980</v>
      </c>
      <c r="E4156" s="53" t="s">
        <v>5490</v>
      </c>
      <c r="F4156" s="53" t="s">
        <v>478</v>
      </c>
      <c r="G4156" s="53" t="s">
        <v>2942</v>
      </c>
      <c r="H4156" s="53">
        <v>1.0</v>
      </c>
      <c r="I4156" s="53">
        <v>0.30666666666666664</v>
      </c>
      <c r="J4156" s="53">
        <v>51.0</v>
      </c>
      <c r="K4156" s="53" t="s">
        <v>53</v>
      </c>
      <c r="L4156" s="53" t="s">
        <v>53</v>
      </c>
    </row>
    <row r="4157" ht="15.75" customHeight="1">
      <c r="A4157" s="53" t="s">
        <v>411</v>
      </c>
      <c r="B4157" s="53" t="s">
        <v>4945</v>
      </c>
      <c r="D4157" s="53" t="s">
        <v>980</v>
      </c>
      <c r="E4157" s="53" t="s">
        <v>5491</v>
      </c>
      <c r="F4157" s="53" t="s">
        <v>478</v>
      </c>
      <c r="G4157" s="53" t="s">
        <v>509</v>
      </c>
      <c r="H4157" s="53">
        <v>1.0</v>
      </c>
      <c r="I4157" s="53">
        <v>0.31333333333333335</v>
      </c>
      <c r="J4157" s="53">
        <v>13.0</v>
      </c>
      <c r="K4157" s="53" t="s">
        <v>53</v>
      </c>
      <c r="L4157" s="53" t="s">
        <v>53</v>
      </c>
    </row>
    <row r="4158" ht="15.75" customHeight="1">
      <c r="A4158" s="53" t="s">
        <v>411</v>
      </c>
      <c r="B4158" s="53" t="s">
        <v>4945</v>
      </c>
      <c r="D4158" s="53" t="s">
        <v>980</v>
      </c>
      <c r="E4158" s="53" t="s">
        <v>5492</v>
      </c>
      <c r="F4158" s="53" t="s">
        <v>478</v>
      </c>
      <c r="G4158" s="53" t="s">
        <v>2940</v>
      </c>
      <c r="H4158" s="53">
        <v>1.0</v>
      </c>
      <c r="I4158" s="53">
        <v>0.32</v>
      </c>
      <c r="J4158" s="53">
        <v>30.0</v>
      </c>
      <c r="K4158" s="53" t="s">
        <v>53</v>
      </c>
      <c r="L4158" s="53" t="s">
        <v>53</v>
      </c>
    </row>
    <row r="4159" ht="15.75" customHeight="1">
      <c r="A4159" s="53" t="s">
        <v>411</v>
      </c>
      <c r="B4159" s="53" t="s">
        <v>4945</v>
      </c>
      <c r="D4159" s="53" t="s">
        <v>980</v>
      </c>
      <c r="E4159" s="53" t="s">
        <v>5493</v>
      </c>
      <c r="F4159" s="53" t="s">
        <v>478</v>
      </c>
      <c r="G4159" s="53" t="s">
        <v>3738</v>
      </c>
      <c r="H4159" s="53">
        <v>1.0</v>
      </c>
      <c r="I4159" s="53">
        <v>0.32</v>
      </c>
      <c r="J4159" s="53">
        <v>9.0</v>
      </c>
      <c r="K4159" s="53" t="s">
        <v>53</v>
      </c>
      <c r="L4159" s="53" t="s">
        <v>53</v>
      </c>
    </row>
    <row r="4160" ht="15.75" customHeight="1">
      <c r="A4160" s="53" t="s">
        <v>411</v>
      </c>
      <c r="B4160" s="53" t="s">
        <v>4945</v>
      </c>
      <c r="D4160" s="53" t="s">
        <v>980</v>
      </c>
      <c r="E4160" s="53" t="s">
        <v>5494</v>
      </c>
      <c r="F4160" s="53" t="s">
        <v>478</v>
      </c>
      <c r="G4160" s="53" t="s">
        <v>2948</v>
      </c>
      <c r="H4160" s="53">
        <v>1.0</v>
      </c>
      <c r="I4160" s="53">
        <v>0.32</v>
      </c>
      <c r="J4160" s="53">
        <v>49.0</v>
      </c>
      <c r="K4160" s="53" t="s">
        <v>53</v>
      </c>
      <c r="L4160" s="53" t="s">
        <v>53</v>
      </c>
    </row>
    <row r="4161" ht="15.75" customHeight="1">
      <c r="A4161" s="53" t="s">
        <v>411</v>
      </c>
      <c r="B4161" s="53" t="s">
        <v>4945</v>
      </c>
      <c r="D4161" s="53" t="s">
        <v>980</v>
      </c>
      <c r="E4161" s="53" t="s">
        <v>5495</v>
      </c>
      <c r="F4161" s="53" t="s">
        <v>478</v>
      </c>
      <c r="G4161" s="53" t="s">
        <v>2937</v>
      </c>
      <c r="H4161" s="53">
        <v>1.0</v>
      </c>
      <c r="I4161" s="53">
        <v>0.32666666666666666</v>
      </c>
      <c r="J4161" s="53">
        <v>50.0</v>
      </c>
      <c r="K4161" s="53" t="s">
        <v>53</v>
      </c>
      <c r="L4161" s="53" t="s">
        <v>53</v>
      </c>
    </row>
    <row r="4162" ht="15.75" customHeight="1">
      <c r="A4162" s="53" t="s">
        <v>411</v>
      </c>
      <c r="B4162" s="53" t="s">
        <v>4945</v>
      </c>
      <c r="D4162" s="53" t="s">
        <v>980</v>
      </c>
      <c r="E4162" s="53" t="s">
        <v>5496</v>
      </c>
      <c r="F4162" s="53" t="s">
        <v>478</v>
      </c>
      <c r="G4162" s="53" t="s">
        <v>2954</v>
      </c>
      <c r="H4162" s="53">
        <v>1.0</v>
      </c>
      <c r="I4162" s="53">
        <v>0.32666666666666666</v>
      </c>
      <c r="J4162" s="53">
        <v>28.0</v>
      </c>
      <c r="K4162" s="53" t="s">
        <v>53</v>
      </c>
      <c r="L4162" s="53" t="s">
        <v>53</v>
      </c>
    </row>
    <row r="4163" ht="15.75" customHeight="1">
      <c r="A4163" s="53" t="s">
        <v>411</v>
      </c>
      <c r="B4163" s="53" t="s">
        <v>4945</v>
      </c>
      <c r="D4163" s="53" t="s">
        <v>980</v>
      </c>
      <c r="E4163" s="53" t="s">
        <v>5497</v>
      </c>
      <c r="F4163" s="53" t="s">
        <v>478</v>
      </c>
      <c r="G4163" s="53" t="s">
        <v>2883</v>
      </c>
      <c r="H4163" s="53">
        <v>1.0</v>
      </c>
      <c r="I4163" s="53">
        <v>0.3466666666666667</v>
      </c>
      <c r="J4163" s="53">
        <v>16.0</v>
      </c>
      <c r="K4163" s="53" t="s">
        <v>53</v>
      </c>
      <c r="L4163" s="53" t="s">
        <v>53</v>
      </c>
    </row>
    <row r="4164" ht="15.75" customHeight="1">
      <c r="A4164" s="53" t="s">
        <v>411</v>
      </c>
      <c r="B4164" s="53" t="s">
        <v>4945</v>
      </c>
      <c r="D4164" s="53" t="s">
        <v>980</v>
      </c>
      <c r="E4164" s="53" t="s">
        <v>5498</v>
      </c>
      <c r="F4164" s="53" t="s">
        <v>478</v>
      </c>
      <c r="G4164" s="53" t="s">
        <v>2911</v>
      </c>
      <c r="H4164" s="53">
        <v>1.0</v>
      </c>
      <c r="I4164" s="53">
        <v>0.3466666666666667</v>
      </c>
      <c r="J4164" s="53">
        <v>27.0</v>
      </c>
      <c r="K4164" s="53" t="s">
        <v>53</v>
      </c>
      <c r="L4164" s="53" t="s">
        <v>53</v>
      </c>
    </row>
    <row r="4165" ht="15.75" customHeight="1">
      <c r="A4165" s="53" t="s">
        <v>411</v>
      </c>
      <c r="B4165" s="53" t="s">
        <v>4945</v>
      </c>
      <c r="D4165" s="53" t="s">
        <v>980</v>
      </c>
      <c r="E4165" s="53" t="s">
        <v>5499</v>
      </c>
      <c r="F4165" s="53" t="s">
        <v>478</v>
      </c>
      <c r="G4165" s="53" t="s">
        <v>2899</v>
      </c>
      <c r="H4165" s="53">
        <v>1.0</v>
      </c>
      <c r="I4165" s="53">
        <v>0.3466666666666667</v>
      </c>
      <c r="J4165" s="53">
        <v>26.0</v>
      </c>
      <c r="K4165" s="53" t="s">
        <v>53</v>
      </c>
      <c r="L4165" s="53" t="s">
        <v>53</v>
      </c>
    </row>
    <row r="4166" ht="15.75" customHeight="1">
      <c r="A4166" s="53" t="s">
        <v>411</v>
      </c>
      <c r="B4166" s="53" t="s">
        <v>4945</v>
      </c>
      <c r="D4166" s="53" t="s">
        <v>980</v>
      </c>
      <c r="E4166" s="53" t="s">
        <v>5500</v>
      </c>
      <c r="F4166" s="53" t="s">
        <v>478</v>
      </c>
      <c r="G4166" s="53" t="s">
        <v>2887</v>
      </c>
      <c r="H4166" s="53">
        <v>1.0</v>
      </c>
      <c r="I4166" s="53">
        <v>0.3466666666666667</v>
      </c>
      <c r="J4166" s="53">
        <v>21.0</v>
      </c>
      <c r="K4166" s="53" t="s">
        <v>53</v>
      </c>
      <c r="L4166" s="53" t="s">
        <v>53</v>
      </c>
    </row>
    <row r="4167" ht="15.75" customHeight="1">
      <c r="A4167" s="53" t="s">
        <v>411</v>
      </c>
      <c r="B4167" s="53" t="s">
        <v>4945</v>
      </c>
      <c r="D4167" s="53" t="s">
        <v>980</v>
      </c>
      <c r="E4167" s="53" t="s">
        <v>5501</v>
      </c>
      <c r="F4167" s="53" t="s">
        <v>478</v>
      </c>
      <c r="G4167" s="53" t="s">
        <v>2950</v>
      </c>
      <c r="H4167" s="53">
        <v>1.0</v>
      </c>
      <c r="I4167" s="53">
        <v>0.3522012578616352</v>
      </c>
      <c r="J4167" s="53">
        <v>31.0</v>
      </c>
      <c r="K4167" s="53" t="s">
        <v>53</v>
      </c>
      <c r="L4167" s="53" t="s">
        <v>53</v>
      </c>
    </row>
    <row r="4168" ht="15.75" customHeight="1">
      <c r="A4168" s="53" t="s">
        <v>411</v>
      </c>
      <c r="B4168" s="53" t="s">
        <v>4945</v>
      </c>
      <c r="D4168" s="53" t="s">
        <v>980</v>
      </c>
      <c r="E4168" s="53" t="s">
        <v>5502</v>
      </c>
      <c r="F4168" s="53" t="s">
        <v>478</v>
      </c>
      <c r="G4168" s="53" t="s">
        <v>2903</v>
      </c>
      <c r="H4168" s="53">
        <v>1.0</v>
      </c>
      <c r="I4168" s="53">
        <v>0.35333333333333333</v>
      </c>
      <c r="J4168" s="53">
        <v>12.0</v>
      </c>
      <c r="K4168" s="53" t="s">
        <v>53</v>
      </c>
      <c r="L4168" s="53" t="s">
        <v>53</v>
      </c>
    </row>
    <row r="4169" ht="15.75" customHeight="1">
      <c r="A4169" s="53" t="s">
        <v>411</v>
      </c>
      <c r="B4169" s="53" t="s">
        <v>4945</v>
      </c>
      <c r="D4169" s="53" t="s">
        <v>980</v>
      </c>
      <c r="E4169" s="53" t="s">
        <v>5503</v>
      </c>
      <c r="F4169" s="53" t="s">
        <v>478</v>
      </c>
      <c r="G4169" s="53" t="s">
        <v>2895</v>
      </c>
      <c r="H4169" s="53">
        <v>1.0</v>
      </c>
      <c r="I4169" s="53">
        <v>0.35333333333333333</v>
      </c>
      <c r="J4169" s="53">
        <v>22.0</v>
      </c>
      <c r="K4169" s="53" t="s">
        <v>53</v>
      </c>
      <c r="L4169" s="53" t="s">
        <v>53</v>
      </c>
    </row>
    <row r="4170" ht="15.75" customHeight="1">
      <c r="A4170" s="53" t="s">
        <v>411</v>
      </c>
      <c r="B4170" s="53" t="s">
        <v>4945</v>
      </c>
      <c r="D4170" s="53" t="s">
        <v>980</v>
      </c>
      <c r="E4170" s="53" t="s">
        <v>5504</v>
      </c>
      <c r="F4170" s="53" t="s">
        <v>478</v>
      </c>
      <c r="G4170" s="53" t="s">
        <v>2897</v>
      </c>
      <c r="H4170" s="53">
        <v>1.0</v>
      </c>
      <c r="I4170" s="53">
        <v>0.35333333333333333</v>
      </c>
      <c r="J4170" s="53">
        <v>19.0</v>
      </c>
      <c r="K4170" s="53" t="s">
        <v>53</v>
      </c>
      <c r="L4170" s="53" t="s">
        <v>53</v>
      </c>
    </row>
    <row r="4171" ht="15.75" customHeight="1">
      <c r="A4171" s="53" t="s">
        <v>411</v>
      </c>
      <c r="B4171" s="53" t="s">
        <v>4945</v>
      </c>
      <c r="D4171" s="53" t="s">
        <v>980</v>
      </c>
      <c r="E4171" s="53" t="s">
        <v>5505</v>
      </c>
      <c r="F4171" s="53" t="s">
        <v>478</v>
      </c>
      <c r="G4171" s="53" t="s">
        <v>2891</v>
      </c>
      <c r="H4171" s="53">
        <v>1.0</v>
      </c>
      <c r="I4171" s="53">
        <v>0.35333333333333333</v>
      </c>
      <c r="J4171" s="53">
        <v>20.0</v>
      </c>
      <c r="K4171" s="53" t="s">
        <v>53</v>
      </c>
      <c r="L4171" s="53" t="s">
        <v>53</v>
      </c>
    </row>
    <row r="4172" ht="15.75" customHeight="1">
      <c r="A4172" s="53" t="s">
        <v>411</v>
      </c>
      <c r="B4172" s="53" t="s">
        <v>4945</v>
      </c>
      <c r="D4172" s="53" t="s">
        <v>980</v>
      </c>
      <c r="E4172" s="53" t="s">
        <v>5506</v>
      </c>
      <c r="F4172" s="53" t="s">
        <v>478</v>
      </c>
      <c r="G4172" s="53" t="s">
        <v>2913</v>
      </c>
      <c r="H4172" s="53">
        <v>1.0</v>
      </c>
      <c r="I4172" s="53">
        <v>0.35333333333333333</v>
      </c>
      <c r="J4172" s="53">
        <v>25.0</v>
      </c>
      <c r="K4172" s="53" t="s">
        <v>53</v>
      </c>
      <c r="L4172" s="53" t="s">
        <v>53</v>
      </c>
    </row>
    <row r="4173" ht="15.75" customHeight="1">
      <c r="A4173" s="53" t="s">
        <v>411</v>
      </c>
      <c r="B4173" s="53" t="s">
        <v>4945</v>
      </c>
      <c r="D4173" s="53" t="s">
        <v>980</v>
      </c>
      <c r="E4173" s="53" t="s">
        <v>5507</v>
      </c>
      <c r="F4173" s="53" t="s">
        <v>478</v>
      </c>
      <c r="G4173" s="53" t="s">
        <v>2885</v>
      </c>
      <c r="H4173" s="53">
        <v>1.0</v>
      </c>
      <c r="I4173" s="53">
        <v>0.35333333333333333</v>
      </c>
      <c r="J4173" s="53">
        <v>15.0</v>
      </c>
      <c r="K4173" s="53" t="s">
        <v>53</v>
      </c>
      <c r="L4173" s="53" t="s">
        <v>53</v>
      </c>
    </row>
    <row r="4174" ht="15.75" customHeight="1">
      <c r="A4174" s="53" t="s">
        <v>411</v>
      </c>
      <c r="B4174" s="53" t="s">
        <v>4945</v>
      </c>
      <c r="D4174" s="53" t="s">
        <v>980</v>
      </c>
      <c r="E4174" s="53" t="s">
        <v>5508</v>
      </c>
      <c r="F4174" s="53" t="s">
        <v>478</v>
      </c>
      <c r="G4174" s="53" t="s">
        <v>2880</v>
      </c>
      <c r="H4174" s="53">
        <v>1.0</v>
      </c>
      <c r="I4174" s="53">
        <v>0.35333333333333333</v>
      </c>
      <c r="J4174" s="53">
        <v>11.0</v>
      </c>
      <c r="K4174" s="53" t="s">
        <v>53</v>
      </c>
      <c r="L4174" s="53" t="s">
        <v>53</v>
      </c>
    </row>
    <row r="4175" ht="15.75" customHeight="1">
      <c r="A4175" s="53" t="s">
        <v>411</v>
      </c>
      <c r="B4175" s="53" t="s">
        <v>4945</v>
      </c>
      <c r="D4175" s="53" t="s">
        <v>980</v>
      </c>
      <c r="E4175" s="53" t="s">
        <v>5509</v>
      </c>
      <c r="F4175" s="53" t="s">
        <v>478</v>
      </c>
      <c r="G4175" s="53" t="s">
        <v>2909</v>
      </c>
      <c r="H4175" s="53">
        <v>1.0</v>
      </c>
      <c r="I4175" s="53">
        <v>0.35333333333333333</v>
      </c>
      <c r="J4175" s="53">
        <v>14.0</v>
      </c>
      <c r="K4175" s="53" t="s">
        <v>53</v>
      </c>
      <c r="L4175" s="53" t="s">
        <v>53</v>
      </c>
    </row>
    <row r="4176" ht="15.75" customHeight="1">
      <c r="A4176" s="53" t="s">
        <v>411</v>
      </c>
      <c r="B4176" s="53" t="s">
        <v>4945</v>
      </c>
      <c r="D4176" s="53" t="s">
        <v>980</v>
      </c>
      <c r="E4176" s="53" t="s">
        <v>5510</v>
      </c>
      <c r="F4176" s="53" t="s">
        <v>478</v>
      </c>
      <c r="G4176" s="53" t="s">
        <v>2905</v>
      </c>
      <c r="H4176" s="53">
        <v>1.0</v>
      </c>
      <c r="I4176" s="53">
        <v>0.35333333333333333</v>
      </c>
      <c r="J4176" s="53">
        <v>29.0</v>
      </c>
      <c r="K4176" s="53" t="s">
        <v>53</v>
      </c>
      <c r="L4176" s="53" t="s">
        <v>53</v>
      </c>
    </row>
    <row r="4177" ht="15.75" customHeight="1">
      <c r="A4177" s="53" t="s">
        <v>411</v>
      </c>
      <c r="B4177" s="53" t="s">
        <v>4945</v>
      </c>
      <c r="D4177" s="53" t="s">
        <v>980</v>
      </c>
      <c r="E4177" s="53" t="s">
        <v>5511</v>
      </c>
      <c r="F4177" s="53" t="s">
        <v>478</v>
      </c>
      <c r="G4177" s="53" t="s">
        <v>2901</v>
      </c>
      <c r="H4177" s="53">
        <v>1.0</v>
      </c>
      <c r="I4177" s="53">
        <v>0.35333333333333333</v>
      </c>
      <c r="J4177" s="53">
        <v>23.0</v>
      </c>
      <c r="K4177" s="53" t="s">
        <v>53</v>
      </c>
      <c r="L4177" s="53" t="s">
        <v>53</v>
      </c>
    </row>
    <row r="4178" ht="15.75" customHeight="1">
      <c r="A4178" s="53" t="s">
        <v>411</v>
      </c>
      <c r="B4178" s="53" t="s">
        <v>4945</v>
      </c>
      <c r="D4178" s="53" t="s">
        <v>980</v>
      </c>
      <c r="E4178" s="53" t="s">
        <v>5512</v>
      </c>
      <c r="F4178" s="53" t="s">
        <v>478</v>
      </c>
      <c r="G4178" s="53" t="s">
        <v>2893</v>
      </c>
      <c r="H4178" s="53">
        <v>1.0</v>
      </c>
      <c r="I4178" s="53">
        <v>0.35333333333333333</v>
      </c>
      <c r="J4178" s="53">
        <v>18.0</v>
      </c>
      <c r="K4178" s="53" t="s">
        <v>53</v>
      </c>
      <c r="L4178" s="53" t="s">
        <v>53</v>
      </c>
    </row>
    <row r="4179" ht="15.75" customHeight="1">
      <c r="A4179" s="53" t="s">
        <v>411</v>
      </c>
      <c r="B4179" s="53" t="s">
        <v>4945</v>
      </c>
      <c r="D4179" s="53" t="s">
        <v>980</v>
      </c>
      <c r="E4179" s="53" t="s">
        <v>5513</v>
      </c>
      <c r="F4179" s="53" t="s">
        <v>478</v>
      </c>
      <c r="G4179" s="53" t="s">
        <v>2889</v>
      </c>
      <c r="H4179" s="53">
        <v>1.0</v>
      </c>
      <c r="I4179" s="53">
        <v>0.35333333333333333</v>
      </c>
      <c r="J4179" s="53">
        <v>24.0</v>
      </c>
      <c r="K4179" s="53" t="s">
        <v>53</v>
      </c>
      <c r="L4179" s="53" t="s">
        <v>53</v>
      </c>
    </row>
    <row r="4180" ht="15.75" customHeight="1">
      <c r="A4180" s="53" t="s">
        <v>411</v>
      </c>
      <c r="B4180" s="53" t="s">
        <v>4945</v>
      </c>
      <c r="D4180" s="53" t="s">
        <v>980</v>
      </c>
      <c r="E4180" s="53" t="s">
        <v>5514</v>
      </c>
      <c r="F4180" s="53" t="s">
        <v>478</v>
      </c>
      <c r="G4180" s="53" t="s">
        <v>2923</v>
      </c>
      <c r="H4180" s="53">
        <v>1.0</v>
      </c>
      <c r="I4180" s="53">
        <v>0.36</v>
      </c>
      <c r="J4180" s="53">
        <v>37.0</v>
      </c>
      <c r="K4180" s="53" t="s">
        <v>53</v>
      </c>
      <c r="L4180" s="53" t="s">
        <v>53</v>
      </c>
    </row>
    <row r="4181" ht="15.75" customHeight="1">
      <c r="A4181" s="53" t="s">
        <v>411</v>
      </c>
      <c r="B4181" s="53" t="s">
        <v>4945</v>
      </c>
      <c r="D4181" s="53" t="s">
        <v>980</v>
      </c>
      <c r="E4181" s="53" t="s">
        <v>5515</v>
      </c>
      <c r="F4181" s="53" t="s">
        <v>478</v>
      </c>
      <c r="G4181" s="53" t="s">
        <v>3741</v>
      </c>
      <c r="H4181" s="53">
        <v>1.0</v>
      </c>
      <c r="I4181" s="53">
        <v>0.36</v>
      </c>
      <c r="J4181" s="53">
        <v>10.0</v>
      </c>
      <c r="K4181" s="53" t="s">
        <v>53</v>
      </c>
      <c r="L4181" s="53" t="s">
        <v>53</v>
      </c>
    </row>
    <row r="4182" ht="15.75" customHeight="1">
      <c r="A4182" s="53" t="s">
        <v>411</v>
      </c>
      <c r="B4182" s="53" t="s">
        <v>4945</v>
      </c>
      <c r="D4182" s="53" t="s">
        <v>980</v>
      </c>
      <c r="E4182" s="53" t="s">
        <v>5516</v>
      </c>
      <c r="F4182" s="53" t="s">
        <v>478</v>
      </c>
      <c r="G4182" s="53" t="s">
        <v>2915</v>
      </c>
      <c r="H4182" s="53">
        <v>1.0</v>
      </c>
      <c r="I4182" s="53">
        <v>0.36</v>
      </c>
      <c r="J4182" s="53">
        <v>36.0</v>
      </c>
      <c r="K4182" s="53" t="s">
        <v>53</v>
      </c>
      <c r="L4182" s="53" t="s">
        <v>53</v>
      </c>
    </row>
    <row r="4183" ht="15.75" customHeight="1">
      <c r="A4183" s="53" t="s">
        <v>411</v>
      </c>
      <c r="B4183" s="53" t="s">
        <v>4945</v>
      </c>
      <c r="D4183" s="53" t="s">
        <v>980</v>
      </c>
      <c r="E4183" s="53" t="s">
        <v>5517</v>
      </c>
      <c r="F4183" s="53" t="s">
        <v>478</v>
      </c>
      <c r="G4183" s="53" t="s">
        <v>2907</v>
      </c>
      <c r="H4183" s="53">
        <v>1.0</v>
      </c>
      <c r="I4183" s="53">
        <v>0.36</v>
      </c>
      <c r="J4183" s="53">
        <v>44.0</v>
      </c>
      <c r="K4183" s="53" t="s">
        <v>53</v>
      </c>
      <c r="L4183" s="53" t="s">
        <v>53</v>
      </c>
    </row>
    <row r="4184" ht="15.75" customHeight="1">
      <c r="A4184" s="53" t="s">
        <v>411</v>
      </c>
      <c r="B4184" s="53" t="s">
        <v>4945</v>
      </c>
      <c r="D4184" s="53" t="s">
        <v>980</v>
      </c>
      <c r="E4184" s="53" t="s">
        <v>5518</v>
      </c>
      <c r="F4184" s="53" t="s">
        <v>478</v>
      </c>
      <c r="G4184" s="53" t="s">
        <v>2931</v>
      </c>
      <c r="H4184" s="53">
        <v>1.0</v>
      </c>
      <c r="I4184" s="53">
        <v>0.3618421052631579</v>
      </c>
      <c r="J4184" s="53">
        <v>35.0</v>
      </c>
      <c r="K4184" s="53" t="s">
        <v>53</v>
      </c>
      <c r="L4184" s="53" t="s">
        <v>53</v>
      </c>
    </row>
    <row r="4185" ht="15.75" customHeight="1">
      <c r="A4185" s="53" t="s">
        <v>411</v>
      </c>
      <c r="B4185" s="53" t="s">
        <v>4945</v>
      </c>
      <c r="D4185" s="53" t="s">
        <v>980</v>
      </c>
      <c r="E4185" s="53" t="s">
        <v>5519</v>
      </c>
      <c r="F4185" s="53" t="s">
        <v>478</v>
      </c>
      <c r="G4185" s="53" t="s">
        <v>2927</v>
      </c>
      <c r="H4185" s="53">
        <v>1.0</v>
      </c>
      <c r="I4185" s="53">
        <v>0.36666666666666664</v>
      </c>
      <c r="J4185" s="53">
        <v>40.0</v>
      </c>
      <c r="K4185" s="53" t="s">
        <v>53</v>
      </c>
      <c r="L4185" s="53" t="s">
        <v>53</v>
      </c>
    </row>
    <row r="4186" ht="15.75" customHeight="1">
      <c r="A4186" s="53" t="s">
        <v>411</v>
      </c>
      <c r="B4186" s="53" t="s">
        <v>4945</v>
      </c>
      <c r="D4186" s="53" t="s">
        <v>980</v>
      </c>
      <c r="E4186" s="53" t="s">
        <v>5520</v>
      </c>
      <c r="F4186" s="53" t="s">
        <v>478</v>
      </c>
      <c r="G4186" s="53" t="s">
        <v>2917</v>
      </c>
      <c r="H4186" s="53">
        <v>1.0</v>
      </c>
      <c r="I4186" s="53">
        <v>0.36666666666666664</v>
      </c>
      <c r="J4186" s="53">
        <v>45.0</v>
      </c>
      <c r="K4186" s="53" t="s">
        <v>53</v>
      </c>
      <c r="L4186" s="53" t="s">
        <v>53</v>
      </c>
    </row>
    <row r="4187" ht="15.75" customHeight="1">
      <c r="A4187" s="53" t="s">
        <v>411</v>
      </c>
      <c r="B4187" s="53" t="s">
        <v>4945</v>
      </c>
      <c r="D4187" s="53" t="s">
        <v>980</v>
      </c>
      <c r="E4187" s="53" t="s">
        <v>5521</v>
      </c>
      <c r="F4187" s="53" t="s">
        <v>478</v>
      </c>
      <c r="G4187" s="53" t="s">
        <v>2921</v>
      </c>
      <c r="H4187" s="53">
        <v>1.0</v>
      </c>
      <c r="I4187" s="53">
        <v>0.36666666666666664</v>
      </c>
      <c r="J4187" s="53">
        <v>39.0</v>
      </c>
      <c r="K4187" s="53" t="s">
        <v>53</v>
      </c>
      <c r="L4187" s="53" t="s">
        <v>53</v>
      </c>
    </row>
    <row r="4188" ht="15.75" customHeight="1">
      <c r="A4188" s="53" t="s">
        <v>411</v>
      </c>
      <c r="B4188" s="53" t="s">
        <v>4945</v>
      </c>
      <c r="D4188" s="53" t="s">
        <v>980</v>
      </c>
      <c r="E4188" s="53" t="s">
        <v>5522</v>
      </c>
      <c r="F4188" s="53" t="s">
        <v>478</v>
      </c>
      <c r="G4188" s="53" t="s">
        <v>2919</v>
      </c>
      <c r="H4188" s="53">
        <v>1.0</v>
      </c>
      <c r="I4188" s="53">
        <v>0.3708609271523179</v>
      </c>
      <c r="J4188" s="53">
        <v>38.0</v>
      </c>
      <c r="K4188" s="53" t="s">
        <v>53</v>
      </c>
      <c r="L4188" s="53" t="s">
        <v>53</v>
      </c>
    </row>
    <row r="4189" ht="15.75" customHeight="1">
      <c r="A4189" s="53" t="s">
        <v>411</v>
      </c>
      <c r="B4189" s="53" t="s">
        <v>4945</v>
      </c>
      <c r="D4189" s="53" t="s">
        <v>980</v>
      </c>
      <c r="E4189" s="53" t="s">
        <v>5523</v>
      </c>
      <c r="F4189" s="53" t="s">
        <v>478</v>
      </c>
      <c r="G4189" s="53" t="s">
        <v>2925</v>
      </c>
      <c r="H4189" s="53">
        <v>1.0</v>
      </c>
      <c r="I4189" s="53">
        <v>0.3708609271523179</v>
      </c>
      <c r="J4189" s="53">
        <v>43.0</v>
      </c>
      <c r="K4189" s="53" t="s">
        <v>53</v>
      </c>
      <c r="L4189" s="53" t="s">
        <v>53</v>
      </c>
    </row>
    <row r="4190" ht="15.75" customHeight="1">
      <c r="A4190" s="53" t="s">
        <v>411</v>
      </c>
      <c r="B4190" s="53" t="s">
        <v>4945</v>
      </c>
      <c r="D4190" s="53" t="s">
        <v>980</v>
      </c>
      <c r="E4190" s="53" t="s">
        <v>5524</v>
      </c>
      <c r="F4190" s="53" t="s">
        <v>478</v>
      </c>
      <c r="G4190" s="53" t="s">
        <v>2929</v>
      </c>
      <c r="H4190" s="53">
        <v>1.0</v>
      </c>
      <c r="I4190" s="53">
        <v>0.37254901960784315</v>
      </c>
      <c r="J4190" s="53">
        <v>41.0</v>
      </c>
      <c r="K4190" s="53" t="s">
        <v>53</v>
      </c>
      <c r="L4190" s="53" t="s">
        <v>53</v>
      </c>
    </row>
    <row r="4191" ht="15.75" customHeight="1">
      <c r="A4191" s="53" t="s">
        <v>411</v>
      </c>
      <c r="B4191" s="53" t="s">
        <v>4945</v>
      </c>
      <c r="D4191" s="53" t="s">
        <v>980</v>
      </c>
      <c r="E4191" s="53" t="s">
        <v>5525</v>
      </c>
      <c r="F4191" s="53" t="s">
        <v>478</v>
      </c>
      <c r="G4191" s="53" t="s">
        <v>2957</v>
      </c>
      <c r="H4191" s="53">
        <v>1.0</v>
      </c>
      <c r="I4191" s="53">
        <v>0.37575757575757573</v>
      </c>
      <c r="J4191" s="53">
        <v>33.0</v>
      </c>
      <c r="K4191" s="53" t="s">
        <v>53</v>
      </c>
      <c r="L4191" s="53" t="s">
        <v>53</v>
      </c>
    </row>
    <row r="4192" ht="15.75" customHeight="1">
      <c r="A4192" s="53" t="s">
        <v>411</v>
      </c>
      <c r="B4192" s="53" t="s">
        <v>4945</v>
      </c>
      <c r="D4192" s="53" t="s">
        <v>980</v>
      </c>
      <c r="E4192" s="53" t="s">
        <v>5526</v>
      </c>
      <c r="F4192" s="53" t="s">
        <v>478</v>
      </c>
      <c r="G4192" s="53" t="s">
        <v>2935</v>
      </c>
      <c r="H4192" s="53">
        <v>1.0</v>
      </c>
      <c r="I4192" s="53">
        <v>0.37748344370860926</v>
      </c>
      <c r="J4192" s="53">
        <v>32.0</v>
      </c>
      <c r="K4192" s="53" t="s">
        <v>53</v>
      </c>
      <c r="L4192" s="53" t="s">
        <v>53</v>
      </c>
    </row>
    <row r="4193" ht="15.75" customHeight="1">
      <c r="A4193" s="53" t="s">
        <v>411</v>
      </c>
      <c r="B4193" s="53" t="s">
        <v>4945</v>
      </c>
      <c r="D4193" s="53" t="s">
        <v>980</v>
      </c>
      <c r="E4193" s="53" t="s">
        <v>5527</v>
      </c>
      <c r="F4193" s="53" t="s">
        <v>478</v>
      </c>
      <c r="G4193" s="53" t="s">
        <v>2933</v>
      </c>
      <c r="H4193" s="53">
        <v>1.0</v>
      </c>
      <c r="I4193" s="53">
        <v>0.3875</v>
      </c>
      <c r="J4193" s="53">
        <v>42.0</v>
      </c>
      <c r="K4193" s="53" t="s">
        <v>53</v>
      </c>
      <c r="L4193" s="53" t="s">
        <v>53</v>
      </c>
    </row>
    <row r="4194" ht="15.75" customHeight="1">
      <c r="A4194" s="53" t="s">
        <v>411</v>
      </c>
      <c r="B4194" s="53" t="s">
        <v>4945</v>
      </c>
      <c r="D4194" s="53" t="s">
        <v>980</v>
      </c>
      <c r="E4194" s="53" t="s">
        <v>5528</v>
      </c>
      <c r="F4194" s="53" t="s">
        <v>478</v>
      </c>
      <c r="G4194" s="53" t="s">
        <v>2944</v>
      </c>
      <c r="H4194" s="53">
        <v>1.0</v>
      </c>
      <c r="I4194" s="53">
        <v>0.40372670807453415</v>
      </c>
      <c r="J4194" s="53">
        <v>34.0</v>
      </c>
      <c r="K4194" s="53" t="s">
        <v>53</v>
      </c>
      <c r="L4194" s="53" t="s">
        <v>53</v>
      </c>
    </row>
    <row r="4195" ht="15.75" customHeight="1">
      <c r="A4195" s="53" t="s">
        <v>411</v>
      </c>
      <c r="B4195" s="53" t="s">
        <v>4945</v>
      </c>
      <c r="D4195" s="53" t="s">
        <v>980</v>
      </c>
      <c r="E4195" s="53" t="s">
        <v>5529</v>
      </c>
      <c r="F4195" s="53" t="s">
        <v>478</v>
      </c>
      <c r="G4195" s="53" t="s">
        <v>2946</v>
      </c>
      <c r="H4195" s="53">
        <v>1.0</v>
      </c>
      <c r="I4195" s="53">
        <v>0.4121212121212121</v>
      </c>
      <c r="J4195" s="53">
        <v>17.0</v>
      </c>
      <c r="K4195" s="53" t="s">
        <v>53</v>
      </c>
      <c r="L4195" s="53" t="s">
        <v>53</v>
      </c>
    </row>
    <row r="4196" ht="15.75" customHeight="1">
      <c r="A4196" s="53" t="s">
        <v>411</v>
      </c>
      <c r="B4196" s="53" t="s">
        <v>4945</v>
      </c>
      <c r="D4196" s="53" t="s">
        <v>984</v>
      </c>
      <c r="E4196" s="53" t="s">
        <v>4944</v>
      </c>
      <c r="F4196" s="53" t="s">
        <v>478</v>
      </c>
      <c r="G4196" s="53" t="s">
        <v>988</v>
      </c>
      <c r="H4196" s="53">
        <v>1.0</v>
      </c>
      <c r="I4196" s="53">
        <v>0.10256410256410256</v>
      </c>
      <c r="J4196" s="53">
        <v>0.0</v>
      </c>
      <c r="K4196" s="53" t="s">
        <v>53</v>
      </c>
      <c r="L4196" s="53" t="s">
        <v>53</v>
      </c>
    </row>
    <row r="4197" ht="15.75" customHeight="1">
      <c r="A4197" s="53" t="s">
        <v>411</v>
      </c>
      <c r="B4197" s="53" t="s">
        <v>4945</v>
      </c>
      <c r="D4197" s="53" t="s">
        <v>984</v>
      </c>
      <c r="E4197" s="53" t="s">
        <v>5530</v>
      </c>
      <c r="F4197" s="53" t="s">
        <v>478</v>
      </c>
      <c r="G4197" s="53" t="s">
        <v>485</v>
      </c>
      <c r="H4197" s="53">
        <v>1.0</v>
      </c>
      <c r="I4197" s="53">
        <v>0.28205128205128205</v>
      </c>
      <c r="J4197" s="53">
        <v>45.0</v>
      </c>
      <c r="K4197" s="53" t="s">
        <v>53</v>
      </c>
      <c r="L4197" s="53" t="s">
        <v>53</v>
      </c>
    </row>
    <row r="4198" ht="15.75" customHeight="1">
      <c r="A4198" s="53" t="s">
        <v>411</v>
      </c>
      <c r="B4198" s="53" t="s">
        <v>4945</v>
      </c>
      <c r="D4198" s="53" t="s">
        <v>984</v>
      </c>
      <c r="E4198" s="53" t="s">
        <v>5531</v>
      </c>
      <c r="F4198" s="53" t="s">
        <v>478</v>
      </c>
      <c r="G4198" s="53" t="s">
        <v>474</v>
      </c>
      <c r="H4198" s="53">
        <v>1.0</v>
      </c>
      <c r="I4198" s="53">
        <v>0.28205128205128205</v>
      </c>
      <c r="J4198" s="53">
        <v>46.0</v>
      </c>
      <c r="K4198" s="53" t="s">
        <v>53</v>
      </c>
      <c r="L4198" s="53" t="s">
        <v>53</v>
      </c>
    </row>
    <row r="4199" ht="15.75" customHeight="1">
      <c r="A4199" s="53" t="s">
        <v>411</v>
      </c>
      <c r="B4199" s="53" t="s">
        <v>4945</v>
      </c>
      <c r="D4199" s="53" t="s">
        <v>984</v>
      </c>
      <c r="E4199" s="53" t="s">
        <v>5532</v>
      </c>
      <c r="F4199" s="53" t="s">
        <v>478</v>
      </c>
      <c r="G4199" s="53" t="s">
        <v>509</v>
      </c>
      <c r="H4199" s="53">
        <v>1.0</v>
      </c>
      <c r="I4199" s="53">
        <v>0.2948717948717949</v>
      </c>
      <c r="J4199" s="53">
        <v>12.0</v>
      </c>
      <c r="K4199" s="53" t="s">
        <v>53</v>
      </c>
      <c r="L4199" s="53" t="s">
        <v>53</v>
      </c>
    </row>
    <row r="4200" ht="15.75" customHeight="1">
      <c r="A4200" s="53" t="s">
        <v>411</v>
      </c>
      <c r="B4200" s="53" t="s">
        <v>4945</v>
      </c>
      <c r="D4200" s="53" t="s">
        <v>984</v>
      </c>
      <c r="E4200" s="53" t="s">
        <v>5533</v>
      </c>
      <c r="F4200" s="53" t="s">
        <v>478</v>
      </c>
      <c r="G4200" s="53" t="s">
        <v>2942</v>
      </c>
      <c r="H4200" s="53">
        <v>1.0</v>
      </c>
      <c r="I4200" s="53">
        <v>0.3076923076923077</v>
      </c>
      <c r="J4200" s="53">
        <v>50.0</v>
      </c>
      <c r="K4200" s="53" t="s">
        <v>53</v>
      </c>
      <c r="L4200" s="53" t="s">
        <v>53</v>
      </c>
    </row>
    <row r="4201" ht="15.75" customHeight="1">
      <c r="A4201" s="53" t="s">
        <v>411</v>
      </c>
      <c r="B4201" s="53" t="s">
        <v>4945</v>
      </c>
      <c r="D4201" s="53" t="s">
        <v>984</v>
      </c>
      <c r="E4201" s="53" t="s">
        <v>5534</v>
      </c>
      <c r="F4201" s="53" t="s">
        <v>478</v>
      </c>
      <c r="G4201" s="53" t="s">
        <v>2954</v>
      </c>
      <c r="H4201" s="53">
        <v>1.0</v>
      </c>
      <c r="I4201" s="53">
        <v>0.3141025641025641</v>
      </c>
      <c r="J4201" s="53">
        <v>27.0</v>
      </c>
      <c r="K4201" s="53" t="s">
        <v>53</v>
      </c>
      <c r="L4201" s="53" t="s">
        <v>53</v>
      </c>
    </row>
    <row r="4202" ht="15.75" customHeight="1">
      <c r="A4202" s="53" t="s">
        <v>411</v>
      </c>
      <c r="B4202" s="53" t="s">
        <v>4945</v>
      </c>
      <c r="D4202" s="53" t="s">
        <v>984</v>
      </c>
      <c r="E4202" s="53" t="s">
        <v>5535</v>
      </c>
      <c r="F4202" s="53" t="s">
        <v>478</v>
      </c>
      <c r="G4202" s="53" t="s">
        <v>2948</v>
      </c>
      <c r="H4202" s="53">
        <v>1.0</v>
      </c>
      <c r="I4202" s="53">
        <v>0.32051282051282054</v>
      </c>
      <c r="J4202" s="53">
        <v>48.0</v>
      </c>
      <c r="K4202" s="53" t="s">
        <v>53</v>
      </c>
      <c r="L4202" s="53" t="s">
        <v>53</v>
      </c>
    </row>
    <row r="4203" ht="15.75" customHeight="1">
      <c r="A4203" s="53" t="s">
        <v>411</v>
      </c>
      <c r="B4203" s="53" t="s">
        <v>4945</v>
      </c>
      <c r="D4203" s="53" t="s">
        <v>984</v>
      </c>
      <c r="E4203" s="53" t="s">
        <v>5536</v>
      </c>
      <c r="F4203" s="53" t="s">
        <v>478</v>
      </c>
      <c r="G4203" s="53" t="s">
        <v>2937</v>
      </c>
      <c r="H4203" s="53">
        <v>1.0</v>
      </c>
      <c r="I4203" s="53">
        <v>0.3269230769230769</v>
      </c>
      <c r="J4203" s="53">
        <v>49.0</v>
      </c>
      <c r="K4203" s="53" t="s">
        <v>53</v>
      </c>
      <c r="L4203" s="53" t="s">
        <v>53</v>
      </c>
    </row>
    <row r="4204" ht="15.75" customHeight="1">
      <c r="A4204" s="53" t="s">
        <v>411</v>
      </c>
      <c r="B4204" s="53" t="s">
        <v>4945</v>
      </c>
      <c r="D4204" s="53" t="s">
        <v>984</v>
      </c>
      <c r="E4204" s="53" t="s">
        <v>5537</v>
      </c>
      <c r="F4204" s="53" t="s">
        <v>478</v>
      </c>
      <c r="G4204" s="53" t="s">
        <v>2940</v>
      </c>
      <c r="H4204" s="53">
        <v>1.0</v>
      </c>
      <c r="I4204" s="53">
        <v>0.3269230769230769</v>
      </c>
      <c r="J4204" s="53">
        <v>29.0</v>
      </c>
      <c r="K4204" s="53" t="s">
        <v>53</v>
      </c>
      <c r="L4204" s="53" t="s">
        <v>53</v>
      </c>
    </row>
    <row r="4205" ht="15.75" customHeight="1">
      <c r="A4205" s="53" t="s">
        <v>411</v>
      </c>
      <c r="B4205" s="53" t="s">
        <v>4945</v>
      </c>
      <c r="D4205" s="53" t="s">
        <v>984</v>
      </c>
      <c r="E4205" s="53" t="s">
        <v>5538</v>
      </c>
      <c r="F4205" s="53" t="s">
        <v>478</v>
      </c>
      <c r="G4205" s="53" t="s">
        <v>495</v>
      </c>
      <c r="H4205" s="53">
        <v>1.0</v>
      </c>
      <c r="I4205" s="53">
        <v>0.3269230769230769</v>
      </c>
      <c r="J4205" s="53">
        <v>47.0</v>
      </c>
      <c r="K4205" s="53" t="s">
        <v>53</v>
      </c>
      <c r="L4205" s="53" t="s">
        <v>53</v>
      </c>
    </row>
    <row r="4206" ht="15.75" customHeight="1">
      <c r="A4206" s="53" t="s">
        <v>411</v>
      </c>
      <c r="B4206" s="53" t="s">
        <v>4945</v>
      </c>
      <c r="D4206" s="53" t="s">
        <v>984</v>
      </c>
      <c r="E4206" s="53" t="s">
        <v>5539</v>
      </c>
      <c r="F4206" s="53" t="s">
        <v>478</v>
      </c>
      <c r="G4206" s="53" t="s">
        <v>2915</v>
      </c>
      <c r="H4206" s="53">
        <v>1.0</v>
      </c>
      <c r="I4206" s="53">
        <v>0.33974358974358976</v>
      </c>
      <c r="J4206" s="53">
        <v>35.0</v>
      </c>
      <c r="K4206" s="53" t="s">
        <v>53</v>
      </c>
      <c r="L4206" s="53" t="s">
        <v>53</v>
      </c>
    </row>
    <row r="4207" ht="15.75" customHeight="1">
      <c r="A4207" s="53" t="s">
        <v>411</v>
      </c>
      <c r="B4207" s="53" t="s">
        <v>4945</v>
      </c>
      <c r="D4207" s="53" t="s">
        <v>984</v>
      </c>
      <c r="E4207" s="53" t="s">
        <v>5540</v>
      </c>
      <c r="F4207" s="53" t="s">
        <v>478</v>
      </c>
      <c r="G4207" s="53" t="s">
        <v>2883</v>
      </c>
      <c r="H4207" s="53">
        <v>1.0</v>
      </c>
      <c r="I4207" s="53">
        <v>0.34615384615384615</v>
      </c>
      <c r="J4207" s="53">
        <v>15.0</v>
      </c>
      <c r="K4207" s="53" t="s">
        <v>53</v>
      </c>
      <c r="L4207" s="53" t="s">
        <v>53</v>
      </c>
    </row>
    <row r="4208" ht="15.75" customHeight="1">
      <c r="A4208" s="53" t="s">
        <v>411</v>
      </c>
      <c r="B4208" s="53" t="s">
        <v>4945</v>
      </c>
      <c r="D4208" s="53" t="s">
        <v>984</v>
      </c>
      <c r="E4208" s="53" t="s">
        <v>5541</v>
      </c>
      <c r="F4208" s="53" t="s">
        <v>478</v>
      </c>
      <c r="G4208" s="53" t="s">
        <v>2950</v>
      </c>
      <c r="H4208" s="53">
        <v>1.0</v>
      </c>
      <c r="I4208" s="53">
        <v>0.3522012578616352</v>
      </c>
      <c r="J4208" s="53">
        <v>30.0</v>
      </c>
      <c r="K4208" s="53" t="s">
        <v>53</v>
      </c>
      <c r="L4208" s="53" t="s">
        <v>53</v>
      </c>
    </row>
    <row r="4209" ht="15.75" customHeight="1">
      <c r="A4209" s="53" t="s">
        <v>411</v>
      </c>
      <c r="B4209" s="53" t="s">
        <v>4945</v>
      </c>
      <c r="D4209" s="53" t="s">
        <v>984</v>
      </c>
      <c r="E4209" s="53" t="s">
        <v>5542</v>
      </c>
      <c r="F4209" s="53" t="s">
        <v>478</v>
      </c>
      <c r="G4209" s="53" t="s">
        <v>2903</v>
      </c>
      <c r="H4209" s="53">
        <v>1.0</v>
      </c>
      <c r="I4209" s="53">
        <v>0.3525641025641026</v>
      </c>
      <c r="J4209" s="53">
        <v>11.0</v>
      </c>
      <c r="K4209" s="53" t="s">
        <v>53</v>
      </c>
      <c r="L4209" s="53" t="s">
        <v>53</v>
      </c>
    </row>
    <row r="4210" ht="15.75" customHeight="1">
      <c r="A4210" s="53" t="s">
        <v>411</v>
      </c>
      <c r="B4210" s="53" t="s">
        <v>4945</v>
      </c>
      <c r="D4210" s="53" t="s">
        <v>984</v>
      </c>
      <c r="E4210" s="53" t="s">
        <v>5543</v>
      </c>
      <c r="F4210" s="53" t="s">
        <v>478</v>
      </c>
      <c r="G4210" s="53" t="s">
        <v>2895</v>
      </c>
      <c r="H4210" s="53">
        <v>1.0</v>
      </c>
      <c r="I4210" s="53">
        <v>0.3525641025641026</v>
      </c>
      <c r="J4210" s="53">
        <v>21.0</v>
      </c>
      <c r="K4210" s="53" t="s">
        <v>53</v>
      </c>
      <c r="L4210" s="53" t="s">
        <v>53</v>
      </c>
    </row>
    <row r="4211" ht="15.75" customHeight="1">
      <c r="A4211" s="53" t="s">
        <v>411</v>
      </c>
      <c r="B4211" s="53" t="s">
        <v>4945</v>
      </c>
      <c r="D4211" s="53" t="s">
        <v>984</v>
      </c>
      <c r="E4211" s="53" t="s">
        <v>5544</v>
      </c>
      <c r="F4211" s="53" t="s">
        <v>478</v>
      </c>
      <c r="G4211" s="53" t="s">
        <v>2927</v>
      </c>
      <c r="H4211" s="53">
        <v>1.0</v>
      </c>
      <c r="I4211" s="53">
        <v>0.3525641025641026</v>
      </c>
      <c r="J4211" s="53">
        <v>39.0</v>
      </c>
      <c r="K4211" s="53" t="s">
        <v>53</v>
      </c>
      <c r="L4211" s="53" t="s">
        <v>53</v>
      </c>
    </row>
    <row r="4212" ht="15.75" customHeight="1">
      <c r="A4212" s="53" t="s">
        <v>411</v>
      </c>
      <c r="B4212" s="53" t="s">
        <v>4945</v>
      </c>
      <c r="D4212" s="53" t="s">
        <v>984</v>
      </c>
      <c r="E4212" s="53" t="s">
        <v>5545</v>
      </c>
      <c r="F4212" s="53" t="s">
        <v>478</v>
      </c>
      <c r="G4212" s="53" t="s">
        <v>2911</v>
      </c>
      <c r="H4212" s="53">
        <v>1.0</v>
      </c>
      <c r="I4212" s="53">
        <v>0.3525641025641026</v>
      </c>
      <c r="J4212" s="53">
        <v>26.0</v>
      </c>
      <c r="K4212" s="53" t="s">
        <v>53</v>
      </c>
      <c r="L4212" s="53" t="s">
        <v>53</v>
      </c>
    </row>
    <row r="4213" ht="15.75" customHeight="1">
      <c r="A4213" s="53" t="s">
        <v>411</v>
      </c>
      <c r="B4213" s="53" t="s">
        <v>4945</v>
      </c>
      <c r="D4213" s="53" t="s">
        <v>984</v>
      </c>
      <c r="E4213" s="53" t="s">
        <v>5546</v>
      </c>
      <c r="F4213" s="53" t="s">
        <v>478</v>
      </c>
      <c r="G4213" s="53" t="s">
        <v>2923</v>
      </c>
      <c r="H4213" s="53">
        <v>1.0</v>
      </c>
      <c r="I4213" s="53">
        <v>0.3525641025641026</v>
      </c>
      <c r="J4213" s="53">
        <v>36.0</v>
      </c>
      <c r="K4213" s="53" t="s">
        <v>53</v>
      </c>
      <c r="L4213" s="53" t="s">
        <v>53</v>
      </c>
    </row>
    <row r="4214" ht="15.75" customHeight="1">
      <c r="A4214" s="53" t="s">
        <v>411</v>
      </c>
      <c r="B4214" s="53" t="s">
        <v>4945</v>
      </c>
      <c r="D4214" s="53" t="s">
        <v>984</v>
      </c>
      <c r="E4214" s="53" t="s">
        <v>5547</v>
      </c>
      <c r="F4214" s="53" t="s">
        <v>478</v>
      </c>
      <c r="G4214" s="53" t="s">
        <v>2897</v>
      </c>
      <c r="H4214" s="53">
        <v>1.0</v>
      </c>
      <c r="I4214" s="53">
        <v>0.3525641025641026</v>
      </c>
      <c r="J4214" s="53">
        <v>18.0</v>
      </c>
      <c r="K4214" s="53" t="s">
        <v>53</v>
      </c>
      <c r="L4214" s="53" t="s">
        <v>53</v>
      </c>
    </row>
    <row r="4215" ht="15.75" customHeight="1">
      <c r="A4215" s="53" t="s">
        <v>411</v>
      </c>
      <c r="B4215" s="53" t="s">
        <v>4945</v>
      </c>
      <c r="D4215" s="53" t="s">
        <v>984</v>
      </c>
      <c r="E4215" s="53" t="s">
        <v>5548</v>
      </c>
      <c r="F4215" s="53" t="s">
        <v>478</v>
      </c>
      <c r="G4215" s="53" t="s">
        <v>2891</v>
      </c>
      <c r="H4215" s="53">
        <v>1.0</v>
      </c>
      <c r="I4215" s="53">
        <v>0.3525641025641026</v>
      </c>
      <c r="J4215" s="53">
        <v>19.0</v>
      </c>
      <c r="K4215" s="53" t="s">
        <v>53</v>
      </c>
      <c r="L4215" s="53" t="s">
        <v>53</v>
      </c>
    </row>
    <row r="4216" ht="15.75" customHeight="1">
      <c r="A4216" s="53" t="s">
        <v>411</v>
      </c>
      <c r="B4216" s="53" t="s">
        <v>4945</v>
      </c>
      <c r="D4216" s="53" t="s">
        <v>984</v>
      </c>
      <c r="E4216" s="53" t="s">
        <v>5549</v>
      </c>
      <c r="F4216" s="53" t="s">
        <v>478</v>
      </c>
      <c r="G4216" s="53" t="s">
        <v>2913</v>
      </c>
      <c r="H4216" s="53">
        <v>1.0</v>
      </c>
      <c r="I4216" s="53">
        <v>0.3525641025641026</v>
      </c>
      <c r="J4216" s="53">
        <v>24.0</v>
      </c>
      <c r="K4216" s="53" t="s">
        <v>53</v>
      </c>
      <c r="L4216" s="53" t="s">
        <v>53</v>
      </c>
    </row>
    <row r="4217" ht="15.75" customHeight="1">
      <c r="A4217" s="53" t="s">
        <v>411</v>
      </c>
      <c r="B4217" s="53" t="s">
        <v>4945</v>
      </c>
      <c r="D4217" s="53" t="s">
        <v>984</v>
      </c>
      <c r="E4217" s="53" t="s">
        <v>5550</v>
      </c>
      <c r="F4217" s="53" t="s">
        <v>478</v>
      </c>
      <c r="G4217" s="53" t="s">
        <v>2885</v>
      </c>
      <c r="H4217" s="53">
        <v>1.0</v>
      </c>
      <c r="I4217" s="53">
        <v>0.3525641025641026</v>
      </c>
      <c r="J4217" s="53">
        <v>14.0</v>
      </c>
      <c r="K4217" s="53" t="s">
        <v>53</v>
      </c>
      <c r="L4217" s="53" t="s">
        <v>53</v>
      </c>
    </row>
    <row r="4218" ht="15.75" customHeight="1">
      <c r="A4218" s="53" t="s">
        <v>411</v>
      </c>
      <c r="B4218" s="53" t="s">
        <v>4945</v>
      </c>
      <c r="D4218" s="53" t="s">
        <v>984</v>
      </c>
      <c r="E4218" s="53" t="s">
        <v>5551</v>
      </c>
      <c r="F4218" s="53" t="s">
        <v>478</v>
      </c>
      <c r="G4218" s="53" t="s">
        <v>2909</v>
      </c>
      <c r="H4218" s="53">
        <v>1.0</v>
      </c>
      <c r="I4218" s="53">
        <v>0.3525641025641026</v>
      </c>
      <c r="J4218" s="53">
        <v>13.0</v>
      </c>
      <c r="K4218" s="53" t="s">
        <v>53</v>
      </c>
      <c r="L4218" s="53" t="s">
        <v>53</v>
      </c>
    </row>
    <row r="4219" ht="15.75" customHeight="1">
      <c r="A4219" s="53" t="s">
        <v>411</v>
      </c>
      <c r="B4219" s="53" t="s">
        <v>4945</v>
      </c>
      <c r="D4219" s="53" t="s">
        <v>984</v>
      </c>
      <c r="E4219" s="53" t="s">
        <v>5552</v>
      </c>
      <c r="F4219" s="53" t="s">
        <v>478</v>
      </c>
      <c r="G4219" s="53" t="s">
        <v>2905</v>
      </c>
      <c r="H4219" s="53">
        <v>1.0</v>
      </c>
      <c r="I4219" s="53">
        <v>0.3525641025641026</v>
      </c>
      <c r="J4219" s="53">
        <v>28.0</v>
      </c>
      <c r="K4219" s="53" t="s">
        <v>53</v>
      </c>
      <c r="L4219" s="53" t="s">
        <v>53</v>
      </c>
    </row>
    <row r="4220" ht="15.75" customHeight="1">
      <c r="A4220" s="53" t="s">
        <v>411</v>
      </c>
      <c r="B4220" s="53" t="s">
        <v>4945</v>
      </c>
      <c r="D4220" s="53" t="s">
        <v>984</v>
      </c>
      <c r="E4220" s="53" t="s">
        <v>5553</v>
      </c>
      <c r="F4220" s="53" t="s">
        <v>478</v>
      </c>
      <c r="G4220" s="53" t="s">
        <v>2901</v>
      </c>
      <c r="H4220" s="53">
        <v>1.0</v>
      </c>
      <c r="I4220" s="53">
        <v>0.3525641025641026</v>
      </c>
      <c r="J4220" s="53">
        <v>22.0</v>
      </c>
      <c r="K4220" s="53" t="s">
        <v>53</v>
      </c>
      <c r="L4220" s="53" t="s">
        <v>53</v>
      </c>
    </row>
    <row r="4221" ht="15.75" customHeight="1">
      <c r="A4221" s="53" t="s">
        <v>411</v>
      </c>
      <c r="B4221" s="53" t="s">
        <v>4945</v>
      </c>
      <c r="D4221" s="53" t="s">
        <v>984</v>
      </c>
      <c r="E4221" s="53" t="s">
        <v>5554</v>
      </c>
      <c r="F4221" s="53" t="s">
        <v>478</v>
      </c>
      <c r="G4221" s="53" t="s">
        <v>2887</v>
      </c>
      <c r="H4221" s="53">
        <v>1.0</v>
      </c>
      <c r="I4221" s="53">
        <v>0.3525641025641026</v>
      </c>
      <c r="J4221" s="53">
        <v>20.0</v>
      </c>
      <c r="K4221" s="53" t="s">
        <v>53</v>
      </c>
      <c r="L4221" s="53" t="s">
        <v>53</v>
      </c>
    </row>
    <row r="4222" ht="15.75" customHeight="1">
      <c r="A4222" s="53" t="s">
        <v>411</v>
      </c>
      <c r="B4222" s="53" t="s">
        <v>4945</v>
      </c>
      <c r="D4222" s="53" t="s">
        <v>984</v>
      </c>
      <c r="E4222" s="53" t="s">
        <v>5555</v>
      </c>
      <c r="F4222" s="53" t="s">
        <v>478</v>
      </c>
      <c r="G4222" s="53" t="s">
        <v>2893</v>
      </c>
      <c r="H4222" s="53">
        <v>1.0</v>
      </c>
      <c r="I4222" s="53">
        <v>0.3525641025641026</v>
      </c>
      <c r="J4222" s="53">
        <v>17.0</v>
      </c>
      <c r="K4222" s="53" t="s">
        <v>53</v>
      </c>
      <c r="L4222" s="53" t="s">
        <v>53</v>
      </c>
    </row>
    <row r="4223" ht="15.75" customHeight="1">
      <c r="A4223" s="53" t="s">
        <v>411</v>
      </c>
      <c r="B4223" s="53" t="s">
        <v>4945</v>
      </c>
      <c r="D4223" s="53" t="s">
        <v>984</v>
      </c>
      <c r="E4223" s="53" t="s">
        <v>5556</v>
      </c>
      <c r="F4223" s="53" t="s">
        <v>478</v>
      </c>
      <c r="G4223" s="53" t="s">
        <v>2921</v>
      </c>
      <c r="H4223" s="53">
        <v>1.0</v>
      </c>
      <c r="I4223" s="53">
        <v>0.3525641025641026</v>
      </c>
      <c r="J4223" s="53">
        <v>38.0</v>
      </c>
      <c r="K4223" s="53" t="s">
        <v>53</v>
      </c>
      <c r="L4223" s="53" t="s">
        <v>53</v>
      </c>
    </row>
    <row r="4224" ht="15.75" customHeight="1">
      <c r="A4224" s="53" t="s">
        <v>411</v>
      </c>
      <c r="B4224" s="53" t="s">
        <v>4945</v>
      </c>
      <c r="D4224" s="53" t="s">
        <v>984</v>
      </c>
      <c r="E4224" s="53" t="s">
        <v>5557</v>
      </c>
      <c r="F4224" s="53" t="s">
        <v>478</v>
      </c>
      <c r="G4224" s="53" t="s">
        <v>2899</v>
      </c>
      <c r="H4224" s="53">
        <v>1.0</v>
      </c>
      <c r="I4224" s="53">
        <v>0.358974358974359</v>
      </c>
      <c r="J4224" s="53">
        <v>25.0</v>
      </c>
      <c r="K4224" s="53" t="s">
        <v>53</v>
      </c>
      <c r="L4224" s="53" t="s">
        <v>53</v>
      </c>
    </row>
    <row r="4225" ht="15.75" customHeight="1">
      <c r="A4225" s="53" t="s">
        <v>411</v>
      </c>
      <c r="B4225" s="53" t="s">
        <v>4945</v>
      </c>
      <c r="D4225" s="53" t="s">
        <v>984</v>
      </c>
      <c r="E4225" s="53" t="s">
        <v>5558</v>
      </c>
      <c r="F4225" s="53" t="s">
        <v>478</v>
      </c>
      <c r="G4225" s="53" t="s">
        <v>3741</v>
      </c>
      <c r="H4225" s="53">
        <v>1.0</v>
      </c>
      <c r="I4225" s="53">
        <v>0.358974358974359</v>
      </c>
      <c r="J4225" s="53">
        <v>9.0</v>
      </c>
      <c r="K4225" s="53" t="s">
        <v>53</v>
      </c>
      <c r="L4225" s="53" t="s">
        <v>53</v>
      </c>
    </row>
    <row r="4226" ht="15.75" customHeight="1">
      <c r="A4226" s="53" t="s">
        <v>411</v>
      </c>
      <c r="B4226" s="53" t="s">
        <v>4945</v>
      </c>
      <c r="D4226" s="53" t="s">
        <v>984</v>
      </c>
      <c r="E4226" s="53" t="s">
        <v>5559</v>
      </c>
      <c r="F4226" s="53" t="s">
        <v>478</v>
      </c>
      <c r="G4226" s="53" t="s">
        <v>2931</v>
      </c>
      <c r="H4226" s="53">
        <v>1.0</v>
      </c>
      <c r="I4226" s="53">
        <v>0.358974358974359</v>
      </c>
      <c r="J4226" s="53">
        <v>34.0</v>
      </c>
      <c r="K4226" s="53" t="s">
        <v>53</v>
      </c>
      <c r="L4226" s="53" t="s">
        <v>53</v>
      </c>
    </row>
    <row r="4227" ht="15.75" customHeight="1">
      <c r="A4227" s="53" t="s">
        <v>411</v>
      </c>
      <c r="B4227" s="53" t="s">
        <v>4945</v>
      </c>
      <c r="D4227" s="53" t="s">
        <v>984</v>
      </c>
      <c r="E4227" s="53" t="s">
        <v>5560</v>
      </c>
      <c r="F4227" s="53" t="s">
        <v>478</v>
      </c>
      <c r="G4227" s="53" t="s">
        <v>2907</v>
      </c>
      <c r="H4227" s="53">
        <v>1.0</v>
      </c>
      <c r="I4227" s="53">
        <v>0.358974358974359</v>
      </c>
      <c r="J4227" s="53">
        <v>43.0</v>
      </c>
      <c r="K4227" s="53" t="s">
        <v>53</v>
      </c>
      <c r="L4227" s="53" t="s">
        <v>53</v>
      </c>
    </row>
    <row r="4228" ht="15.75" customHeight="1">
      <c r="A4228" s="53" t="s">
        <v>411</v>
      </c>
      <c r="B4228" s="53" t="s">
        <v>4945</v>
      </c>
      <c r="D4228" s="53" t="s">
        <v>984</v>
      </c>
      <c r="E4228" s="53" t="s">
        <v>5561</v>
      </c>
      <c r="F4228" s="53" t="s">
        <v>478</v>
      </c>
      <c r="G4228" s="53" t="s">
        <v>2880</v>
      </c>
      <c r="H4228" s="53">
        <v>1.0</v>
      </c>
      <c r="I4228" s="53">
        <v>0.358974358974359</v>
      </c>
      <c r="J4228" s="53">
        <v>10.0</v>
      </c>
      <c r="K4228" s="53" t="s">
        <v>53</v>
      </c>
      <c r="L4228" s="53" t="s">
        <v>53</v>
      </c>
    </row>
    <row r="4229" ht="15.75" customHeight="1">
      <c r="A4229" s="53" t="s">
        <v>411</v>
      </c>
      <c r="B4229" s="53" t="s">
        <v>4945</v>
      </c>
      <c r="D4229" s="53" t="s">
        <v>984</v>
      </c>
      <c r="E4229" s="53" t="s">
        <v>5562</v>
      </c>
      <c r="F4229" s="53" t="s">
        <v>478</v>
      </c>
      <c r="G4229" s="53" t="s">
        <v>2889</v>
      </c>
      <c r="H4229" s="53">
        <v>1.0</v>
      </c>
      <c r="I4229" s="53">
        <v>0.358974358974359</v>
      </c>
      <c r="J4229" s="53">
        <v>23.0</v>
      </c>
      <c r="K4229" s="53" t="s">
        <v>53</v>
      </c>
      <c r="L4229" s="53" t="s">
        <v>53</v>
      </c>
    </row>
    <row r="4230" ht="15.75" customHeight="1">
      <c r="A4230" s="53" t="s">
        <v>411</v>
      </c>
      <c r="B4230" s="53" t="s">
        <v>4945</v>
      </c>
      <c r="D4230" s="53" t="s">
        <v>984</v>
      </c>
      <c r="E4230" s="53" t="s">
        <v>5563</v>
      </c>
      <c r="F4230" s="53" t="s">
        <v>478</v>
      </c>
      <c r="G4230" s="53" t="s">
        <v>2957</v>
      </c>
      <c r="H4230" s="53">
        <v>1.0</v>
      </c>
      <c r="I4230" s="53">
        <v>0.36363636363636365</v>
      </c>
      <c r="J4230" s="53">
        <v>32.0</v>
      </c>
      <c r="K4230" s="53" t="s">
        <v>53</v>
      </c>
      <c r="L4230" s="53" t="s">
        <v>53</v>
      </c>
    </row>
    <row r="4231" ht="15.75" customHeight="1">
      <c r="A4231" s="53" t="s">
        <v>411</v>
      </c>
      <c r="B4231" s="53" t="s">
        <v>4945</v>
      </c>
      <c r="D4231" s="53" t="s">
        <v>984</v>
      </c>
      <c r="E4231" s="53" t="s">
        <v>5564</v>
      </c>
      <c r="F4231" s="53" t="s">
        <v>478</v>
      </c>
      <c r="G4231" s="53" t="s">
        <v>2919</v>
      </c>
      <c r="H4231" s="53">
        <v>1.0</v>
      </c>
      <c r="I4231" s="53">
        <v>0.36538461538461536</v>
      </c>
      <c r="J4231" s="53">
        <v>37.0</v>
      </c>
      <c r="K4231" s="53" t="s">
        <v>53</v>
      </c>
      <c r="L4231" s="53" t="s">
        <v>53</v>
      </c>
    </row>
    <row r="4232" ht="15.75" customHeight="1">
      <c r="A4232" s="53" t="s">
        <v>411</v>
      </c>
      <c r="B4232" s="53" t="s">
        <v>4945</v>
      </c>
      <c r="D4232" s="53" t="s">
        <v>984</v>
      </c>
      <c r="E4232" s="53" t="s">
        <v>5565</v>
      </c>
      <c r="F4232" s="53" t="s">
        <v>478</v>
      </c>
      <c r="G4232" s="53" t="s">
        <v>3738</v>
      </c>
      <c r="H4232" s="53">
        <v>1.0</v>
      </c>
      <c r="I4232" s="53">
        <v>0.36538461538461536</v>
      </c>
      <c r="J4232" s="53">
        <v>8.0</v>
      </c>
      <c r="K4232" s="53" t="s">
        <v>53</v>
      </c>
      <c r="L4232" s="53" t="s">
        <v>53</v>
      </c>
    </row>
    <row r="4233" ht="15.75" customHeight="1">
      <c r="A4233" s="53" t="s">
        <v>411</v>
      </c>
      <c r="B4233" s="53" t="s">
        <v>4945</v>
      </c>
      <c r="D4233" s="53" t="s">
        <v>984</v>
      </c>
      <c r="E4233" s="53" t="s">
        <v>5566</v>
      </c>
      <c r="F4233" s="53" t="s">
        <v>478</v>
      </c>
      <c r="G4233" s="53" t="s">
        <v>2935</v>
      </c>
      <c r="H4233" s="53">
        <v>1.0</v>
      </c>
      <c r="I4233" s="53">
        <v>0.36538461538461536</v>
      </c>
      <c r="J4233" s="53">
        <v>31.0</v>
      </c>
      <c r="K4233" s="53" t="s">
        <v>53</v>
      </c>
      <c r="L4233" s="53" t="s">
        <v>53</v>
      </c>
    </row>
    <row r="4234" ht="15.75" customHeight="1">
      <c r="A4234" s="53" t="s">
        <v>411</v>
      </c>
      <c r="B4234" s="53" t="s">
        <v>4945</v>
      </c>
      <c r="D4234" s="53" t="s">
        <v>984</v>
      </c>
      <c r="E4234" s="53" t="s">
        <v>5567</v>
      </c>
      <c r="F4234" s="53" t="s">
        <v>478</v>
      </c>
      <c r="G4234" s="53" t="s">
        <v>2917</v>
      </c>
      <c r="H4234" s="53">
        <v>1.0</v>
      </c>
      <c r="I4234" s="53">
        <v>0.36538461538461536</v>
      </c>
      <c r="J4234" s="53">
        <v>44.0</v>
      </c>
      <c r="K4234" s="53" t="s">
        <v>53</v>
      </c>
      <c r="L4234" s="53" t="s">
        <v>53</v>
      </c>
    </row>
    <row r="4235" ht="15.75" customHeight="1">
      <c r="A4235" s="53" t="s">
        <v>411</v>
      </c>
      <c r="B4235" s="53" t="s">
        <v>4945</v>
      </c>
      <c r="D4235" s="53" t="s">
        <v>984</v>
      </c>
      <c r="E4235" s="53" t="s">
        <v>5568</v>
      </c>
      <c r="F4235" s="53" t="s">
        <v>478</v>
      </c>
      <c r="G4235" s="53" t="s">
        <v>2925</v>
      </c>
      <c r="H4235" s="53">
        <v>1.0</v>
      </c>
      <c r="I4235" s="53">
        <v>0.36538461538461536</v>
      </c>
      <c r="J4235" s="53">
        <v>42.0</v>
      </c>
      <c r="K4235" s="53" t="s">
        <v>53</v>
      </c>
      <c r="L4235" s="53" t="s">
        <v>53</v>
      </c>
    </row>
    <row r="4236" ht="15.75" customHeight="1">
      <c r="A4236" s="53" t="s">
        <v>411</v>
      </c>
      <c r="B4236" s="53" t="s">
        <v>4945</v>
      </c>
      <c r="D4236" s="53" t="s">
        <v>984</v>
      </c>
      <c r="E4236" s="53" t="s">
        <v>5569</v>
      </c>
      <c r="F4236" s="53" t="s">
        <v>478</v>
      </c>
      <c r="G4236" s="53" t="s">
        <v>2929</v>
      </c>
      <c r="H4236" s="53">
        <v>1.0</v>
      </c>
      <c r="I4236" s="53">
        <v>0.3717948717948718</v>
      </c>
      <c r="J4236" s="53">
        <v>40.0</v>
      </c>
      <c r="K4236" s="53" t="s">
        <v>53</v>
      </c>
      <c r="L4236" s="53" t="s">
        <v>53</v>
      </c>
    </row>
    <row r="4237" ht="15.75" customHeight="1">
      <c r="A4237" s="53" t="s">
        <v>411</v>
      </c>
      <c r="B4237" s="53" t="s">
        <v>4945</v>
      </c>
      <c r="D4237" s="53" t="s">
        <v>984</v>
      </c>
      <c r="E4237" s="53" t="s">
        <v>5570</v>
      </c>
      <c r="F4237" s="53" t="s">
        <v>478</v>
      </c>
      <c r="G4237" s="53" t="s">
        <v>2933</v>
      </c>
      <c r="H4237" s="53">
        <v>1.0</v>
      </c>
      <c r="I4237" s="53">
        <v>0.38125</v>
      </c>
      <c r="J4237" s="53">
        <v>41.0</v>
      </c>
      <c r="K4237" s="53" t="s">
        <v>53</v>
      </c>
      <c r="L4237" s="53" t="s">
        <v>53</v>
      </c>
    </row>
    <row r="4238" ht="15.75" customHeight="1">
      <c r="A4238" s="53" t="s">
        <v>411</v>
      </c>
      <c r="B4238" s="53" t="s">
        <v>4945</v>
      </c>
      <c r="D4238" s="53" t="s">
        <v>984</v>
      </c>
      <c r="E4238" s="53" t="s">
        <v>5571</v>
      </c>
      <c r="F4238" s="53" t="s">
        <v>478</v>
      </c>
      <c r="G4238" s="53" t="s">
        <v>2946</v>
      </c>
      <c r="H4238" s="53">
        <v>1.0</v>
      </c>
      <c r="I4238" s="53">
        <v>0.38181818181818183</v>
      </c>
      <c r="J4238" s="53">
        <v>16.0</v>
      </c>
      <c r="K4238" s="53" t="s">
        <v>53</v>
      </c>
      <c r="L4238" s="53" t="s">
        <v>53</v>
      </c>
    </row>
    <row r="4239" ht="15.75" customHeight="1">
      <c r="A4239" s="53" t="s">
        <v>411</v>
      </c>
      <c r="B4239" s="53" t="s">
        <v>4945</v>
      </c>
      <c r="D4239" s="53" t="s">
        <v>984</v>
      </c>
      <c r="E4239" s="53" t="s">
        <v>5572</v>
      </c>
      <c r="F4239" s="53" t="s">
        <v>478</v>
      </c>
      <c r="G4239" s="53" t="s">
        <v>2944</v>
      </c>
      <c r="H4239" s="53">
        <v>1.0</v>
      </c>
      <c r="I4239" s="53">
        <v>0.391304347826087</v>
      </c>
      <c r="J4239" s="53">
        <v>33.0</v>
      </c>
      <c r="K4239" s="53" t="s">
        <v>53</v>
      </c>
      <c r="L4239" s="53" t="s">
        <v>53</v>
      </c>
    </row>
    <row r="4240" ht="15.75" customHeight="1">
      <c r="A4240" s="53" t="s">
        <v>411</v>
      </c>
      <c r="B4240" s="53" t="s">
        <v>4945</v>
      </c>
      <c r="D4240" s="53" t="s">
        <v>988</v>
      </c>
      <c r="E4240" s="53" t="s">
        <v>5573</v>
      </c>
      <c r="F4240" s="53" t="s">
        <v>478</v>
      </c>
      <c r="G4240" s="53" t="s">
        <v>509</v>
      </c>
      <c r="H4240" s="53">
        <v>1.0</v>
      </c>
      <c r="I4240" s="53">
        <v>0.2620689655172414</v>
      </c>
      <c r="J4240" s="53">
        <v>11.0</v>
      </c>
      <c r="K4240" s="53" t="s">
        <v>53</v>
      </c>
      <c r="L4240" s="53" t="s">
        <v>53</v>
      </c>
    </row>
    <row r="4241" ht="15.75" customHeight="1">
      <c r="A4241" s="53" t="s">
        <v>411</v>
      </c>
      <c r="B4241" s="53" t="s">
        <v>4945</v>
      </c>
      <c r="D4241" s="53" t="s">
        <v>988</v>
      </c>
      <c r="E4241" s="53" t="s">
        <v>5574</v>
      </c>
      <c r="F4241" s="53" t="s">
        <v>478</v>
      </c>
      <c r="G4241" s="53" t="s">
        <v>2954</v>
      </c>
      <c r="H4241" s="53">
        <v>1.0</v>
      </c>
      <c r="I4241" s="53">
        <v>0.27586206896551724</v>
      </c>
      <c r="J4241" s="53">
        <v>26.0</v>
      </c>
      <c r="K4241" s="53" t="s">
        <v>53</v>
      </c>
      <c r="L4241" s="53" t="s">
        <v>53</v>
      </c>
    </row>
    <row r="4242" ht="15.75" customHeight="1">
      <c r="A4242" s="53" t="s">
        <v>411</v>
      </c>
      <c r="B4242" s="53" t="s">
        <v>4945</v>
      </c>
      <c r="D4242" s="53" t="s">
        <v>988</v>
      </c>
      <c r="E4242" s="53" t="s">
        <v>5575</v>
      </c>
      <c r="F4242" s="53" t="s">
        <v>478</v>
      </c>
      <c r="G4242" s="53" t="s">
        <v>2942</v>
      </c>
      <c r="H4242" s="53">
        <v>1.0</v>
      </c>
      <c r="I4242" s="53">
        <v>0.2896551724137931</v>
      </c>
      <c r="J4242" s="53">
        <v>49.0</v>
      </c>
      <c r="K4242" s="53" t="s">
        <v>53</v>
      </c>
      <c r="L4242" s="53" t="s">
        <v>53</v>
      </c>
    </row>
    <row r="4243" ht="15.75" customHeight="1">
      <c r="A4243" s="53" t="s">
        <v>411</v>
      </c>
      <c r="B4243" s="53" t="s">
        <v>4945</v>
      </c>
      <c r="D4243" s="53" t="s">
        <v>988</v>
      </c>
      <c r="E4243" s="53" t="s">
        <v>5576</v>
      </c>
      <c r="F4243" s="53" t="s">
        <v>478</v>
      </c>
      <c r="G4243" s="53" t="s">
        <v>485</v>
      </c>
      <c r="H4243" s="53">
        <v>1.0</v>
      </c>
      <c r="I4243" s="53">
        <v>0.2896551724137931</v>
      </c>
      <c r="J4243" s="53">
        <v>44.0</v>
      </c>
      <c r="K4243" s="53" t="s">
        <v>53</v>
      </c>
      <c r="L4243" s="53" t="s">
        <v>53</v>
      </c>
    </row>
    <row r="4244" ht="15.75" customHeight="1">
      <c r="A4244" s="53" t="s">
        <v>411</v>
      </c>
      <c r="B4244" s="53" t="s">
        <v>4945</v>
      </c>
      <c r="D4244" s="53" t="s">
        <v>988</v>
      </c>
      <c r="E4244" s="53" t="s">
        <v>5577</v>
      </c>
      <c r="F4244" s="53" t="s">
        <v>478</v>
      </c>
      <c r="G4244" s="53" t="s">
        <v>474</v>
      </c>
      <c r="H4244" s="53">
        <v>1.0</v>
      </c>
      <c r="I4244" s="53">
        <v>0.2945205479452055</v>
      </c>
      <c r="J4244" s="53">
        <v>45.0</v>
      </c>
      <c r="K4244" s="53" t="s">
        <v>53</v>
      </c>
      <c r="L4244" s="53" t="s">
        <v>53</v>
      </c>
    </row>
    <row r="4245" ht="15.75" customHeight="1">
      <c r="A4245" s="53" t="s">
        <v>411</v>
      </c>
      <c r="B4245" s="53" t="s">
        <v>4945</v>
      </c>
      <c r="D4245" s="53" t="s">
        <v>988</v>
      </c>
      <c r="E4245" s="53" t="s">
        <v>5578</v>
      </c>
      <c r="F4245" s="53" t="s">
        <v>478</v>
      </c>
      <c r="G4245" s="53" t="s">
        <v>2940</v>
      </c>
      <c r="H4245" s="53">
        <v>1.0</v>
      </c>
      <c r="I4245" s="53">
        <v>0.296551724137931</v>
      </c>
      <c r="J4245" s="53">
        <v>28.0</v>
      </c>
      <c r="K4245" s="53" t="s">
        <v>53</v>
      </c>
      <c r="L4245" s="53" t="s">
        <v>53</v>
      </c>
    </row>
    <row r="4246" ht="15.75" customHeight="1">
      <c r="A4246" s="53" t="s">
        <v>411</v>
      </c>
      <c r="B4246" s="53" t="s">
        <v>4945</v>
      </c>
      <c r="D4246" s="53" t="s">
        <v>988</v>
      </c>
      <c r="E4246" s="53" t="s">
        <v>5579</v>
      </c>
      <c r="F4246" s="53" t="s">
        <v>478</v>
      </c>
      <c r="G4246" s="53" t="s">
        <v>2937</v>
      </c>
      <c r="H4246" s="53">
        <v>1.0</v>
      </c>
      <c r="I4246" s="53">
        <v>0.30344827586206896</v>
      </c>
      <c r="J4246" s="53">
        <v>48.0</v>
      </c>
      <c r="K4246" s="53" t="s">
        <v>53</v>
      </c>
      <c r="L4246" s="53" t="s">
        <v>53</v>
      </c>
    </row>
    <row r="4247" ht="15.75" customHeight="1">
      <c r="A4247" s="53" t="s">
        <v>411</v>
      </c>
      <c r="B4247" s="53" t="s">
        <v>4945</v>
      </c>
      <c r="D4247" s="53" t="s">
        <v>988</v>
      </c>
      <c r="E4247" s="53" t="s">
        <v>5580</v>
      </c>
      <c r="F4247" s="53" t="s">
        <v>478</v>
      </c>
      <c r="G4247" s="53" t="s">
        <v>2948</v>
      </c>
      <c r="H4247" s="53">
        <v>1.0</v>
      </c>
      <c r="I4247" s="53">
        <v>0.30344827586206896</v>
      </c>
      <c r="J4247" s="53">
        <v>47.0</v>
      </c>
      <c r="K4247" s="53" t="s">
        <v>53</v>
      </c>
      <c r="L4247" s="53" t="s">
        <v>53</v>
      </c>
    </row>
    <row r="4248" ht="15.75" customHeight="1">
      <c r="A4248" s="53" t="s">
        <v>411</v>
      </c>
      <c r="B4248" s="53" t="s">
        <v>4945</v>
      </c>
      <c r="D4248" s="53" t="s">
        <v>988</v>
      </c>
      <c r="E4248" s="53" t="s">
        <v>5581</v>
      </c>
      <c r="F4248" s="53" t="s">
        <v>478</v>
      </c>
      <c r="G4248" s="53" t="s">
        <v>2883</v>
      </c>
      <c r="H4248" s="53">
        <v>1.0</v>
      </c>
      <c r="I4248" s="53">
        <v>0.31724137931034485</v>
      </c>
      <c r="J4248" s="53">
        <v>14.0</v>
      </c>
      <c r="K4248" s="53" t="s">
        <v>53</v>
      </c>
      <c r="L4248" s="53" t="s">
        <v>53</v>
      </c>
    </row>
    <row r="4249" ht="15.75" customHeight="1">
      <c r="A4249" s="53" t="s">
        <v>411</v>
      </c>
      <c r="B4249" s="53" t="s">
        <v>4945</v>
      </c>
      <c r="D4249" s="53" t="s">
        <v>988</v>
      </c>
      <c r="E4249" s="53" t="s">
        <v>5582</v>
      </c>
      <c r="F4249" s="53" t="s">
        <v>478</v>
      </c>
      <c r="G4249" s="53" t="s">
        <v>2903</v>
      </c>
      <c r="H4249" s="53">
        <v>1.0</v>
      </c>
      <c r="I4249" s="53">
        <v>0.31724137931034485</v>
      </c>
      <c r="J4249" s="53">
        <v>10.0</v>
      </c>
      <c r="K4249" s="53" t="s">
        <v>53</v>
      </c>
      <c r="L4249" s="53" t="s">
        <v>53</v>
      </c>
    </row>
    <row r="4250" ht="15.75" customHeight="1">
      <c r="A4250" s="53" t="s">
        <v>411</v>
      </c>
      <c r="B4250" s="53" t="s">
        <v>4945</v>
      </c>
      <c r="D4250" s="53" t="s">
        <v>988</v>
      </c>
      <c r="E4250" s="53" t="s">
        <v>5583</v>
      </c>
      <c r="F4250" s="53" t="s">
        <v>478</v>
      </c>
      <c r="G4250" s="53" t="s">
        <v>2895</v>
      </c>
      <c r="H4250" s="53">
        <v>1.0</v>
      </c>
      <c r="I4250" s="53">
        <v>0.32413793103448274</v>
      </c>
      <c r="J4250" s="53">
        <v>20.0</v>
      </c>
      <c r="K4250" s="53" t="s">
        <v>53</v>
      </c>
      <c r="L4250" s="53" t="s">
        <v>53</v>
      </c>
    </row>
    <row r="4251" ht="15.75" customHeight="1">
      <c r="A4251" s="53" t="s">
        <v>411</v>
      </c>
      <c r="B4251" s="53" t="s">
        <v>4945</v>
      </c>
      <c r="D4251" s="53" t="s">
        <v>988</v>
      </c>
      <c r="E4251" s="53" t="s">
        <v>5584</v>
      </c>
      <c r="F4251" s="53" t="s">
        <v>478</v>
      </c>
      <c r="G4251" s="53" t="s">
        <v>2911</v>
      </c>
      <c r="H4251" s="53">
        <v>1.0</v>
      </c>
      <c r="I4251" s="53">
        <v>0.32413793103448274</v>
      </c>
      <c r="J4251" s="53">
        <v>25.0</v>
      </c>
      <c r="K4251" s="53" t="s">
        <v>53</v>
      </c>
      <c r="L4251" s="53" t="s">
        <v>53</v>
      </c>
    </row>
    <row r="4252" ht="15.75" customHeight="1">
      <c r="A4252" s="53" t="s">
        <v>411</v>
      </c>
      <c r="B4252" s="53" t="s">
        <v>4945</v>
      </c>
      <c r="D4252" s="53" t="s">
        <v>988</v>
      </c>
      <c r="E4252" s="53" t="s">
        <v>5585</v>
      </c>
      <c r="F4252" s="53" t="s">
        <v>478</v>
      </c>
      <c r="G4252" s="53" t="s">
        <v>2897</v>
      </c>
      <c r="H4252" s="53">
        <v>1.0</v>
      </c>
      <c r="I4252" s="53">
        <v>0.32413793103448274</v>
      </c>
      <c r="J4252" s="53">
        <v>17.0</v>
      </c>
      <c r="K4252" s="53" t="s">
        <v>53</v>
      </c>
      <c r="L4252" s="53" t="s">
        <v>53</v>
      </c>
    </row>
    <row r="4253" ht="15.75" customHeight="1">
      <c r="A4253" s="53" t="s">
        <v>411</v>
      </c>
      <c r="B4253" s="53" t="s">
        <v>4945</v>
      </c>
      <c r="D4253" s="53" t="s">
        <v>988</v>
      </c>
      <c r="E4253" s="53" t="s">
        <v>5586</v>
      </c>
      <c r="F4253" s="53" t="s">
        <v>478</v>
      </c>
      <c r="G4253" s="53" t="s">
        <v>2891</v>
      </c>
      <c r="H4253" s="53">
        <v>1.0</v>
      </c>
      <c r="I4253" s="53">
        <v>0.32413793103448274</v>
      </c>
      <c r="J4253" s="53">
        <v>18.0</v>
      </c>
      <c r="K4253" s="53" t="s">
        <v>53</v>
      </c>
      <c r="L4253" s="53" t="s">
        <v>53</v>
      </c>
    </row>
    <row r="4254" ht="15.75" customHeight="1">
      <c r="A4254" s="53" t="s">
        <v>411</v>
      </c>
      <c r="B4254" s="53" t="s">
        <v>4945</v>
      </c>
      <c r="D4254" s="53" t="s">
        <v>988</v>
      </c>
      <c r="E4254" s="53" t="s">
        <v>5587</v>
      </c>
      <c r="F4254" s="53" t="s">
        <v>478</v>
      </c>
      <c r="G4254" s="53" t="s">
        <v>2899</v>
      </c>
      <c r="H4254" s="53">
        <v>1.0</v>
      </c>
      <c r="I4254" s="53">
        <v>0.32413793103448274</v>
      </c>
      <c r="J4254" s="53">
        <v>24.0</v>
      </c>
      <c r="K4254" s="53" t="s">
        <v>53</v>
      </c>
      <c r="L4254" s="53" t="s">
        <v>53</v>
      </c>
    </row>
    <row r="4255" ht="15.75" customHeight="1">
      <c r="A4255" s="53" t="s">
        <v>411</v>
      </c>
      <c r="B4255" s="53" t="s">
        <v>4945</v>
      </c>
      <c r="D4255" s="53" t="s">
        <v>988</v>
      </c>
      <c r="E4255" s="53" t="s">
        <v>5588</v>
      </c>
      <c r="F4255" s="53" t="s">
        <v>478</v>
      </c>
      <c r="G4255" s="53" t="s">
        <v>3738</v>
      </c>
      <c r="H4255" s="53">
        <v>1.0</v>
      </c>
      <c r="I4255" s="53">
        <v>0.32413793103448274</v>
      </c>
      <c r="J4255" s="53">
        <v>7.0</v>
      </c>
      <c r="K4255" s="53" t="s">
        <v>53</v>
      </c>
      <c r="L4255" s="53" t="s">
        <v>53</v>
      </c>
    </row>
    <row r="4256" ht="15.75" customHeight="1">
      <c r="A4256" s="53" t="s">
        <v>411</v>
      </c>
      <c r="B4256" s="53" t="s">
        <v>4945</v>
      </c>
      <c r="D4256" s="53" t="s">
        <v>988</v>
      </c>
      <c r="E4256" s="53" t="s">
        <v>5589</v>
      </c>
      <c r="F4256" s="53" t="s">
        <v>478</v>
      </c>
      <c r="G4256" s="53" t="s">
        <v>2907</v>
      </c>
      <c r="H4256" s="53">
        <v>1.0</v>
      </c>
      <c r="I4256" s="53">
        <v>0.32413793103448274</v>
      </c>
      <c r="J4256" s="53">
        <v>42.0</v>
      </c>
      <c r="K4256" s="53" t="s">
        <v>53</v>
      </c>
      <c r="L4256" s="53" t="s">
        <v>53</v>
      </c>
    </row>
    <row r="4257" ht="15.75" customHeight="1">
      <c r="A4257" s="53" t="s">
        <v>411</v>
      </c>
      <c r="B4257" s="53" t="s">
        <v>4945</v>
      </c>
      <c r="D4257" s="53" t="s">
        <v>988</v>
      </c>
      <c r="E4257" s="53" t="s">
        <v>5590</v>
      </c>
      <c r="F4257" s="53" t="s">
        <v>478</v>
      </c>
      <c r="G4257" s="53" t="s">
        <v>2885</v>
      </c>
      <c r="H4257" s="53">
        <v>1.0</v>
      </c>
      <c r="I4257" s="53">
        <v>0.32413793103448274</v>
      </c>
      <c r="J4257" s="53">
        <v>13.0</v>
      </c>
      <c r="K4257" s="53" t="s">
        <v>53</v>
      </c>
      <c r="L4257" s="53" t="s">
        <v>53</v>
      </c>
    </row>
    <row r="4258" ht="15.75" customHeight="1">
      <c r="A4258" s="53" t="s">
        <v>411</v>
      </c>
      <c r="B4258" s="53" t="s">
        <v>4945</v>
      </c>
      <c r="D4258" s="53" t="s">
        <v>988</v>
      </c>
      <c r="E4258" s="53" t="s">
        <v>5591</v>
      </c>
      <c r="F4258" s="53" t="s">
        <v>478</v>
      </c>
      <c r="G4258" s="53" t="s">
        <v>2880</v>
      </c>
      <c r="H4258" s="53">
        <v>1.0</v>
      </c>
      <c r="I4258" s="53">
        <v>0.32413793103448274</v>
      </c>
      <c r="J4258" s="53">
        <v>9.0</v>
      </c>
      <c r="K4258" s="53" t="s">
        <v>53</v>
      </c>
      <c r="L4258" s="53" t="s">
        <v>53</v>
      </c>
    </row>
    <row r="4259" ht="15.75" customHeight="1">
      <c r="A4259" s="53" t="s">
        <v>411</v>
      </c>
      <c r="B4259" s="53" t="s">
        <v>4945</v>
      </c>
      <c r="D4259" s="53" t="s">
        <v>988</v>
      </c>
      <c r="E4259" s="53" t="s">
        <v>5592</v>
      </c>
      <c r="F4259" s="53" t="s">
        <v>478</v>
      </c>
      <c r="G4259" s="53" t="s">
        <v>2901</v>
      </c>
      <c r="H4259" s="53">
        <v>1.0</v>
      </c>
      <c r="I4259" s="53">
        <v>0.32413793103448274</v>
      </c>
      <c r="J4259" s="53">
        <v>21.0</v>
      </c>
      <c r="K4259" s="53" t="s">
        <v>53</v>
      </c>
      <c r="L4259" s="53" t="s">
        <v>53</v>
      </c>
    </row>
    <row r="4260" ht="15.75" customHeight="1">
      <c r="A4260" s="53" t="s">
        <v>411</v>
      </c>
      <c r="B4260" s="53" t="s">
        <v>4945</v>
      </c>
      <c r="D4260" s="53" t="s">
        <v>988</v>
      </c>
      <c r="E4260" s="53" t="s">
        <v>5593</v>
      </c>
      <c r="F4260" s="53" t="s">
        <v>478</v>
      </c>
      <c r="G4260" s="53" t="s">
        <v>2887</v>
      </c>
      <c r="H4260" s="53">
        <v>1.0</v>
      </c>
      <c r="I4260" s="53">
        <v>0.32413793103448274</v>
      </c>
      <c r="J4260" s="53">
        <v>19.0</v>
      </c>
      <c r="K4260" s="53" t="s">
        <v>53</v>
      </c>
      <c r="L4260" s="53" t="s">
        <v>53</v>
      </c>
    </row>
    <row r="4261" ht="15.75" customHeight="1">
      <c r="A4261" s="53" t="s">
        <v>411</v>
      </c>
      <c r="B4261" s="53" t="s">
        <v>4945</v>
      </c>
      <c r="D4261" s="53" t="s">
        <v>988</v>
      </c>
      <c r="E4261" s="53" t="s">
        <v>5594</v>
      </c>
      <c r="F4261" s="53" t="s">
        <v>478</v>
      </c>
      <c r="G4261" s="53" t="s">
        <v>2893</v>
      </c>
      <c r="H4261" s="53">
        <v>1.0</v>
      </c>
      <c r="I4261" s="53">
        <v>0.32413793103448274</v>
      </c>
      <c r="J4261" s="53">
        <v>16.0</v>
      </c>
      <c r="K4261" s="53" t="s">
        <v>53</v>
      </c>
      <c r="L4261" s="53" t="s">
        <v>53</v>
      </c>
    </row>
    <row r="4262" ht="15.75" customHeight="1">
      <c r="A4262" s="53" t="s">
        <v>411</v>
      </c>
      <c r="B4262" s="53" t="s">
        <v>4945</v>
      </c>
      <c r="D4262" s="53" t="s">
        <v>988</v>
      </c>
      <c r="E4262" s="53" t="s">
        <v>5595</v>
      </c>
      <c r="F4262" s="53" t="s">
        <v>478</v>
      </c>
      <c r="G4262" s="53" t="s">
        <v>495</v>
      </c>
      <c r="H4262" s="53">
        <v>1.0</v>
      </c>
      <c r="I4262" s="53">
        <v>0.3310344827586207</v>
      </c>
      <c r="J4262" s="53">
        <v>46.0</v>
      </c>
      <c r="K4262" s="53" t="s">
        <v>53</v>
      </c>
      <c r="L4262" s="53" t="s">
        <v>53</v>
      </c>
    </row>
    <row r="4263" ht="15.75" customHeight="1">
      <c r="A4263" s="53" t="s">
        <v>411</v>
      </c>
      <c r="B4263" s="53" t="s">
        <v>4945</v>
      </c>
      <c r="D4263" s="53" t="s">
        <v>988</v>
      </c>
      <c r="E4263" s="53" t="s">
        <v>5596</v>
      </c>
      <c r="F4263" s="53" t="s">
        <v>478</v>
      </c>
      <c r="G4263" s="53" t="s">
        <v>3741</v>
      </c>
      <c r="H4263" s="53">
        <v>1.0</v>
      </c>
      <c r="I4263" s="53">
        <v>0.3310344827586207</v>
      </c>
      <c r="J4263" s="53">
        <v>8.0</v>
      </c>
      <c r="K4263" s="53" t="s">
        <v>53</v>
      </c>
      <c r="L4263" s="53" t="s">
        <v>53</v>
      </c>
    </row>
    <row r="4264" ht="15.75" customHeight="1">
      <c r="A4264" s="53" t="s">
        <v>411</v>
      </c>
      <c r="B4264" s="53" t="s">
        <v>4945</v>
      </c>
      <c r="D4264" s="53" t="s">
        <v>988</v>
      </c>
      <c r="E4264" s="53" t="s">
        <v>5597</v>
      </c>
      <c r="F4264" s="53" t="s">
        <v>478</v>
      </c>
      <c r="G4264" s="53" t="s">
        <v>2915</v>
      </c>
      <c r="H4264" s="53">
        <v>1.0</v>
      </c>
      <c r="I4264" s="53">
        <v>0.3310344827586207</v>
      </c>
      <c r="J4264" s="53">
        <v>34.0</v>
      </c>
      <c r="K4264" s="53" t="s">
        <v>53</v>
      </c>
      <c r="L4264" s="53" t="s">
        <v>53</v>
      </c>
    </row>
    <row r="4265" ht="15.75" customHeight="1">
      <c r="A4265" s="53" t="s">
        <v>411</v>
      </c>
      <c r="B4265" s="53" t="s">
        <v>4945</v>
      </c>
      <c r="D4265" s="53" t="s">
        <v>988</v>
      </c>
      <c r="E4265" s="53" t="s">
        <v>5598</v>
      </c>
      <c r="F4265" s="53" t="s">
        <v>478</v>
      </c>
      <c r="G4265" s="53" t="s">
        <v>2905</v>
      </c>
      <c r="H4265" s="53">
        <v>1.0</v>
      </c>
      <c r="I4265" s="53">
        <v>0.3310344827586207</v>
      </c>
      <c r="J4265" s="53">
        <v>27.0</v>
      </c>
      <c r="K4265" s="53" t="s">
        <v>53</v>
      </c>
      <c r="L4265" s="53" t="s">
        <v>53</v>
      </c>
    </row>
    <row r="4266" ht="15.75" customHeight="1">
      <c r="A4266" s="53" t="s">
        <v>411</v>
      </c>
      <c r="B4266" s="53" t="s">
        <v>4945</v>
      </c>
      <c r="D4266" s="53" t="s">
        <v>988</v>
      </c>
      <c r="E4266" s="53" t="s">
        <v>5599</v>
      </c>
      <c r="F4266" s="53" t="s">
        <v>478</v>
      </c>
      <c r="G4266" s="53" t="s">
        <v>2889</v>
      </c>
      <c r="H4266" s="53">
        <v>1.0</v>
      </c>
      <c r="I4266" s="53">
        <v>0.3310344827586207</v>
      </c>
      <c r="J4266" s="53">
        <v>22.0</v>
      </c>
      <c r="K4266" s="53" t="s">
        <v>53</v>
      </c>
      <c r="L4266" s="53" t="s">
        <v>53</v>
      </c>
    </row>
    <row r="4267" ht="15.75" customHeight="1">
      <c r="A4267" s="53" t="s">
        <v>411</v>
      </c>
      <c r="B4267" s="53" t="s">
        <v>4945</v>
      </c>
      <c r="D4267" s="53" t="s">
        <v>988</v>
      </c>
      <c r="E4267" s="53" t="s">
        <v>5600</v>
      </c>
      <c r="F4267" s="53" t="s">
        <v>478</v>
      </c>
      <c r="G4267" s="53" t="s">
        <v>2927</v>
      </c>
      <c r="H4267" s="53">
        <v>1.0</v>
      </c>
      <c r="I4267" s="53">
        <v>0.33557046979865773</v>
      </c>
      <c r="J4267" s="53">
        <v>38.0</v>
      </c>
      <c r="K4267" s="53" t="s">
        <v>53</v>
      </c>
      <c r="L4267" s="53" t="s">
        <v>53</v>
      </c>
    </row>
    <row r="4268" ht="15.75" customHeight="1">
      <c r="A4268" s="53" t="s">
        <v>411</v>
      </c>
      <c r="B4268" s="53" t="s">
        <v>4945</v>
      </c>
      <c r="D4268" s="53" t="s">
        <v>988</v>
      </c>
      <c r="E4268" s="53" t="s">
        <v>5601</v>
      </c>
      <c r="F4268" s="53" t="s">
        <v>478</v>
      </c>
      <c r="G4268" s="53" t="s">
        <v>2923</v>
      </c>
      <c r="H4268" s="53">
        <v>1.0</v>
      </c>
      <c r="I4268" s="53">
        <v>0.33783783783783783</v>
      </c>
      <c r="J4268" s="53">
        <v>35.0</v>
      </c>
      <c r="K4268" s="53" t="s">
        <v>53</v>
      </c>
      <c r="L4268" s="53" t="s">
        <v>53</v>
      </c>
    </row>
    <row r="4269" ht="15.75" customHeight="1">
      <c r="A4269" s="53" t="s">
        <v>411</v>
      </c>
      <c r="B4269" s="53" t="s">
        <v>4945</v>
      </c>
      <c r="D4269" s="53" t="s">
        <v>988</v>
      </c>
      <c r="E4269" s="53" t="s">
        <v>5602</v>
      </c>
      <c r="F4269" s="53" t="s">
        <v>478</v>
      </c>
      <c r="G4269" s="53" t="s">
        <v>2913</v>
      </c>
      <c r="H4269" s="53">
        <v>1.0</v>
      </c>
      <c r="I4269" s="53">
        <v>0.33793103448275863</v>
      </c>
      <c r="J4269" s="53">
        <v>23.0</v>
      </c>
      <c r="K4269" s="53" t="s">
        <v>53</v>
      </c>
      <c r="L4269" s="53" t="s">
        <v>53</v>
      </c>
    </row>
    <row r="4270" ht="15.75" customHeight="1">
      <c r="A4270" s="53" t="s">
        <v>411</v>
      </c>
      <c r="B4270" s="53" t="s">
        <v>4945</v>
      </c>
      <c r="D4270" s="53" t="s">
        <v>988</v>
      </c>
      <c r="E4270" s="53" t="s">
        <v>5603</v>
      </c>
      <c r="F4270" s="53" t="s">
        <v>478</v>
      </c>
      <c r="G4270" s="53" t="s">
        <v>2917</v>
      </c>
      <c r="H4270" s="53">
        <v>1.0</v>
      </c>
      <c r="I4270" s="53">
        <v>0.33793103448275863</v>
      </c>
      <c r="J4270" s="53">
        <v>43.0</v>
      </c>
      <c r="K4270" s="53" t="s">
        <v>53</v>
      </c>
      <c r="L4270" s="53" t="s">
        <v>53</v>
      </c>
    </row>
    <row r="4271" ht="15.75" customHeight="1">
      <c r="A4271" s="53" t="s">
        <v>411</v>
      </c>
      <c r="B4271" s="53" t="s">
        <v>4945</v>
      </c>
      <c r="D4271" s="53" t="s">
        <v>988</v>
      </c>
      <c r="E4271" s="53" t="s">
        <v>5604</v>
      </c>
      <c r="F4271" s="53" t="s">
        <v>478</v>
      </c>
      <c r="G4271" s="53" t="s">
        <v>2909</v>
      </c>
      <c r="H4271" s="53">
        <v>1.0</v>
      </c>
      <c r="I4271" s="53">
        <v>0.33793103448275863</v>
      </c>
      <c r="J4271" s="53">
        <v>12.0</v>
      </c>
      <c r="K4271" s="53" t="s">
        <v>53</v>
      </c>
      <c r="L4271" s="53" t="s">
        <v>53</v>
      </c>
    </row>
    <row r="4272" ht="15.75" customHeight="1">
      <c r="A4272" s="53" t="s">
        <v>411</v>
      </c>
      <c r="B4272" s="53" t="s">
        <v>4945</v>
      </c>
      <c r="D4272" s="53" t="s">
        <v>988</v>
      </c>
      <c r="E4272" s="53" t="s">
        <v>5605</v>
      </c>
      <c r="F4272" s="53" t="s">
        <v>478</v>
      </c>
      <c r="G4272" s="53" t="s">
        <v>2921</v>
      </c>
      <c r="H4272" s="53">
        <v>1.0</v>
      </c>
      <c r="I4272" s="53">
        <v>0.3422818791946309</v>
      </c>
      <c r="J4272" s="53">
        <v>37.0</v>
      </c>
      <c r="K4272" s="53" t="s">
        <v>53</v>
      </c>
      <c r="L4272" s="53" t="s">
        <v>53</v>
      </c>
    </row>
    <row r="4273" ht="15.75" customHeight="1">
      <c r="A4273" s="53" t="s">
        <v>411</v>
      </c>
      <c r="B4273" s="53" t="s">
        <v>4945</v>
      </c>
      <c r="D4273" s="53" t="s">
        <v>988</v>
      </c>
      <c r="E4273" s="53" t="s">
        <v>5606</v>
      </c>
      <c r="F4273" s="53" t="s">
        <v>478</v>
      </c>
      <c r="G4273" s="53" t="s">
        <v>2919</v>
      </c>
      <c r="H4273" s="53">
        <v>1.0</v>
      </c>
      <c r="I4273" s="53">
        <v>0.3443708609271523</v>
      </c>
      <c r="J4273" s="53">
        <v>36.0</v>
      </c>
      <c r="K4273" s="53" t="s">
        <v>53</v>
      </c>
      <c r="L4273" s="53" t="s">
        <v>53</v>
      </c>
    </row>
    <row r="4274" ht="15.75" customHeight="1">
      <c r="A4274" s="53" t="s">
        <v>411</v>
      </c>
      <c r="B4274" s="53" t="s">
        <v>4945</v>
      </c>
      <c r="D4274" s="53" t="s">
        <v>988</v>
      </c>
      <c r="E4274" s="53" t="s">
        <v>5607</v>
      </c>
      <c r="F4274" s="53" t="s">
        <v>478</v>
      </c>
      <c r="G4274" s="53" t="s">
        <v>2935</v>
      </c>
      <c r="H4274" s="53">
        <v>1.0</v>
      </c>
      <c r="I4274" s="53">
        <v>0.3443708609271523</v>
      </c>
      <c r="J4274" s="53">
        <v>30.0</v>
      </c>
      <c r="K4274" s="53" t="s">
        <v>53</v>
      </c>
      <c r="L4274" s="53" t="s">
        <v>53</v>
      </c>
    </row>
    <row r="4275" ht="15.75" customHeight="1">
      <c r="A4275" s="53" t="s">
        <v>411</v>
      </c>
      <c r="B4275" s="53" t="s">
        <v>4945</v>
      </c>
      <c r="D4275" s="53" t="s">
        <v>988</v>
      </c>
      <c r="E4275" s="53" t="s">
        <v>5608</v>
      </c>
      <c r="F4275" s="53" t="s">
        <v>478</v>
      </c>
      <c r="G4275" s="53" t="s">
        <v>2925</v>
      </c>
      <c r="H4275" s="53">
        <v>1.0</v>
      </c>
      <c r="I4275" s="53">
        <v>0.3443708609271523</v>
      </c>
      <c r="J4275" s="53">
        <v>41.0</v>
      </c>
      <c r="K4275" s="53" t="s">
        <v>53</v>
      </c>
      <c r="L4275" s="53" t="s">
        <v>53</v>
      </c>
    </row>
    <row r="4276" ht="15.75" customHeight="1">
      <c r="A4276" s="53" t="s">
        <v>411</v>
      </c>
      <c r="B4276" s="53" t="s">
        <v>4945</v>
      </c>
      <c r="D4276" s="53" t="s">
        <v>988</v>
      </c>
      <c r="E4276" s="53" t="s">
        <v>5609</v>
      </c>
      <c r="F4276" s="53" t="s">
        <v>478</v>
      </c>
      <c r="G4276" s="53" t="s">
        <v>2950</v>
      </c>
      <c r="H4276" s="53">
        <v>1.0</v>
      </c>
      <c r="I4276" s="53">
        <v>0.34591194968553457</v>
      </c>
      <c r="J4276" s="53">
        <v>29.0</v>
      </c>
      <c r="K4276" s="53" t="s">
        <v>53</v>
      </c>
      <c r="L4276" s="53" t="s">
        <v>53</v>
      </c>
    </row>
    <row r="4277" ht="15.75" customHeight="1">
      <c r="A4277" s="53" t="s">
        <v>411</v>
      </c>
      <c r="B4277" s="53" t="s">
        <v>4945</v>
      </c>
      <c r="D4277" s="53" t="s">
        <v>988</v>
      </c>
      <c r="E4277" s="53" t="s">
        <v>5610</v>
      </c>
      <c r="F4277" s="53" t="s">
        <v>478</v>
      </c>
      <c r="G4277" s="53" t="s">
        <v>2929</v>
      </c>
      <c r="H4277" s="53">
        <v>1.0</v>
      </c>
      <c r="I4277" s="53">
        <v>0.3464052287581699</v>
      </c>
      <c r="J4277" s="53">
        <v>39.0</v>
      </c>
      <c r="K4277" s="53" t="s">
        <v>53</v>
      </c>
      <c r="L4277" s="53" t="s">
        <v>53</v>
      </c>
    </row>
    <row r="4278" ht="15.75" customHeight="1">
      <c r="A4278" s="53" t="s">
        <v>411</v>
      </c>
      <c r="B4278" s="53" t="s">
        <v>4945</v>
      </c>
      <c r="D4278" s="53" t="s">
        <v>988</v>
      </c>
      <c r="E4278" s="53" t="s">
        <v>5611</v>
      </c>
      <c r="F4278" s="53" t="s">
        <v>478</v>
      </c>
      <c r="G4278" s="53" t="s">
        <v>2931</v>
      </c>
      <c r="H4278" s="53">
        <v>1.0</v>
      </c>
      <c r="I4278" s="53">
        <v>0.34868421052631576</v>
      </c>
      <c r="J4278" s="53">
        <v>33.0</v>
      </c>
      <c r="K4278" s="53" t="s">
        <v>53</v>
      </c>
      <c r="L4278" s="53" t="s">
        <v>53</v>
      </c>
    </row>
    <row r="4279" ht="15.75" customHeight="1">
      <c r="A4279" s="53" t="s">
        <v>411</v>
      </c>
      <c r="B4279" s="53" t="s">
        <v>4945</v>
      </c>
      <c r="D4279" s="53" t="s">
        <v>988</v>
      </c>
      <c r="E4279" s="53" t="s">
        <v>5612</v>
      </c>
      <c r="F4279" s="53" t="s">
        <v>478</v>
      </c>
      <c r="G4279" s="53" t="s">
        <v>2957</v>
      </c>
      <c r="H4279" s="53">
        <v>1.0</v>
      </c>
      <c r="I4279" s="53">
        <v>0.3575757575757576</v>
      </c>
      <c r="J4279" s="53">
        <v>31.0</v>
      </c>
      <c r="K4279" s="53" t="s">
        <v>53</v>
      </c>
      <c r="L4279" s="53" t="s">
        <v>53</v>
      </c>
    </row>
    <row r="4280" ht="15.75" customHeight="1">
      <c r="A4280" s="53" t="s">
        <v>411</v>
      </c>
      <c r="B4280" s="53" t="s">
        <v>4945</v>
      </c>
      <c r="D4280" s="53" t="s">
        <v>988</v>
      </c>
      <c r="E4280" s="53" t="s">
        <v>5613</v>
      </c>
      <c r="F4280" s="53" t="s">
        <v>478</v>
      </c>
      <c r="G4280" s="53" t="s">
        <v>2933</v>
      </c>
      <c r="H4280" s="53">
        <v>1.0</v>
      </c>
      <c r="I4280" s="53">
        <v>0.375</v>
      </c>
      <c r="J4280" s="53">
        <v>40.0</v>
      </c>
      <c r="K4280" s="53" t="s">
        <v>53</v>
      </c>
      <c r="L4280" s="53" t="s">
        <v>53</v>
      </c>
    </row>
    <row r="4281" ht="15.75" customHeight="1">
      <c r="A4281" s="53" t="s">
        <v>411</v>
      </c>
      <c r="B4281" s="53" t="s">
        <v>4945</v>
      </c>
      <c r="D4281" s="53" t="s">
        <v>988</v>
      </c>
      <c r="E4281" s="53" t="s">
        <v>5614</v>
      </c>
      <c r="F4281" s="53" t="s">
        <v>478</v>
      </c>
      <c r="G4281" s="53" t="s">
        <v>2946</v>
      </c>
      <c r="H4281" s="53">
        <v>1.0</v>
      </c>
      <c r="I4281" s="53">
        <v>0.37575757575757573</v>
      </c>
      <c r="J4281" s="53">
        <v>15.0</v>
      </c>
      <c r="K4281" s="53" t="s">
        <v>53</v>
      </c>
      <c r="L4281" s="53" t="s">
        <v>53</v>
      </c>
    </row>
    <row r="4282" ht="15.75" customHeight="1">
      <c r="A4282" s="53" t="s">
        <v>411</v>
      </c>
      <c r="B4282" s="53" t="s">
        <v>4945</v>
      </c>
      <c r="D4282" s="53" t="s">
        <v>988</v>
      </c>
      <c r="E4282" s="53" t="s">
        <v>5615</v>
      </c>
      <c r="F4282" s="53" t="s">
        <v>478</v>
      </c>
      <c r="G4282" s="53" t="s">
        <v>2944</v>
      </c>
      <c r="H4282" s="53">
        <v>1.0</v>
      </c>
      <c r="I4282" s="53">
        <v>0.391304347826087</v>
      </c>
      <c r="J4282" s="53">
        <v>32.0</v>
      </c>
      <c r="K4282" s="53" t="s">
        <v>53</v>
      </c>
      <c r="L4282" s="53" t="s">
        <v>53</v>
      </c>
    </row>
    <row r="4283" ht="15.75" customHeight="1">
      <c r="A4283" s="53" t="s">
        <v>411</v>
      </c>
      <c r="B4283" s="53" t="s">
        <v>4945</v>
      </c>
      <c r="D4283" s="53" t="s">
        <v>1031</v>
      </c>
      <c r="E4283" s="53" t="s">
        <v>5616</v>
      </c>
      <c r="F4283" s="53" t="s">
        <v>1035</v>
      </c>
      <c r="G4283" s="53" t="s">
        <v>2854</v>
      </c>
      <c r="H4283" s="53">
        <v>1.0</v>
      </c>
      <c r="I4283" s="53">
        <v>0.10434782608695652</v>
      </c>
      <c r="J4283" s="53">
        <v>0.0</v>
      </c>
      <c r="K4283" s="53" t="s">
        <v>53</v>
      </c>
      <c r="L4283" s="53" t="s">
        <v>53</v>
      </c>
    </row>
    <row r="4284" ht="15.75" customHeight="1">
      <c r="A4284" s="53" t="s">
        <v>411</v>
      </c>
      <c r="B4284" s="53" t="s">
        <v>4945</v>
      </c>
      <c r="D4284" s="53" t="s">
        <v>1031</v>
      </c>
      <c r="E4284" s="53" t="s">
        <v>5617</v>
      </c>
      <c r="F4284" s="53" t="s">
        <v>1035</v>
      </c>
      <c r="G4284" s="53" t="s">
        <v>2856</v>
      </c>
      <c r="H4284" s="53">
        <v>1.0</v>
      </c>
      <c r="I4284" s="53">
        <v>0.11206896551724138</v>
      </c>
      <c r="J4284" s="53">
        <v>1.0</v>
      </c>
      <c r="K4284" s="53" t="s">
        <v>53</v>
      </c>
      <c r="L4284" s="53" t="s">
        <v>53</v>
      </c>
    </row>
    <row r="4285" ht="15.75" customHeight="1">
      <c r="A4285" s="53" t="s">
        <v>411</v>
      </c>
      <c r="B4285" s="53" t="s">
        <v>4945</v>
      </c>
      <c r="D4285" s="53" t="s">
        <v>1031</v>
      </c>
      <c r="E4285" s="53" t="s">
        <v>5618</v>
      </c>
      <c r="F4285" s="53" t="s">
        <v>1035</v>
      </c>
      <c r="G4285" s="53" t="s">
        <v>2858</v>
      </c>
      <c r="H4285" s="53">
        <v>1.0</v>
      </c>
      <c r="I4285" s="53">
        <v>0.1271186440677966</v>
      </c>
      <c r="J4285" s="53">
        <v>2.0</v>
      </c>
      <c r="K4285" s="53" t="s">
        <v>53</v>
      </c>
      <c r="L4285" s="53" t="s">
        <v>53</v>
      </c>
    </row>
    <row r="4286" ht="15.75" customHeight="1">
      <c r="A4286" s="53" t="s">
        <v>411</v>
      </c>
      <c r="B4286" s="53" t="s">
        <v>4945</v>
      </c>
      <c r="D4286" s="53" t="s">
        <v>1031</v>
      </c>
      <c r="E4286" s="53" t="s">
        <v>5619</v>
      </c>
      <c r="F4286" s="53" t="s">
        <v>1035</v>
      </c>
      <c r="G4286" s="53" t="s">
        <v>2860</v>
      </c>
      <c r="H4286" s="53">
        <v>1.0</v>
      </c>
      <c r="I4286" s="53">
        <v>0.14166666666666666</v>
      </c>
      <c r="J4286" s="53">
        <v>3.0</v>
      </c>
      <c r="K4286" s="53" t="s">
        <v>53</v>
      </c>
      <c r="L4286" s="53" t="s">
        <v>53</v>
      </c>
    </row>
    <row r="4287" ht="15.75" customHeight="1">
      <c r="A4287" s="53" t="s">
        <v>411</v>
      </c>
      <c r="B4287" s="53" t="s">
        <v>4945</v>
      </c>
      <c r="D4287" s="53" t="s">
        <v>1031</v>
      </c>
      <c r="E4287" s="53" t="s">
        <v>5620</v>
      </c>
      <c r="F4287" s="53" t="s">
        <v>1035</v>
      </c>
      <c r="G4287" s="53" t="s">
        <v>2862</v>
      </c>
      <c r="H4287" s="53">
        <v>1.0</v>
      </c>
      <c r="I4287" s="53">
        <v>0.15254237288135594</v>
      </c>
      <c r="J4287" s="53">
        <v>4.0</v>
      </c>
      <c r="K4287" s="53" t="s">
        <v>53</v>
      </c>
      <c r="L4287" s="53" t="s">
        <v>53</v>
      </c>
    </row>
    <row r="4288" ht="15.75" customHeight="1">
      <c r="A4288" s="53" t="s">
        <v>411</v>
      </c>
      <c r="B4288" s="53" t="s">
        <v>4945</v>
      </c>
      <c r="D4288" s="53" t="s">
        <v>1031</v>
      </c>
      <c r="E4288" s="53" t="s">
        <v>5621</v>
      </c>
      <c r="F4288" s="53" t="s">
        <v>1035</v>
      </c>
      <c r="G4288" s="53" t="s">
        <v>2864</v>
      </c>
      <c r="H4288" s="53">
        <v>1.0</v>
      </c>
      <c r="I4288" s="53">
        <v>0.16260162601626016</v>
      </c>
      <c r="J4288" s="53">
        <v>5.0</v>
      </c>
      <c r="K4288" s="53" t="s">
        <v>53</v>
      </c>
      <c r="L4288" s="53" t="s">
        <v>53</v>
      </c>
    </row>
    <row r="4289" ht="15.75" customHeight="1">
      <c r="A4289" s="53" t="s">
        <v>411</v>
      </c>
      <c r="B4289" s="53" t="s">
        <v>4945</v>
      </c>
      <c r="D4289" s="53" t="s">
        <v>2854</v>
      </c>
      <c r="E4289" s="53" t="s">
        <v>5622</v>
      </c>
      <c r="F4289" s="53" t="s">
        <v>1035</v>
      </c>
      <c r="G4289" s="53" t="s">
        <v>2856</v>
      </c>
      <c r="H4289" s="53">
        <v>1.0</v>
      </c>
      <c r="I4289" s="53">
        <v>0.017241379310344827</v>
      </c>
      <c r="J4289" s="53">
        <v>0.0</v>
      </c>
      <c r="K4289" s="53" t="s">
        <v>53</v>
      </c>
      <c r="L4289" s="53" t="s">
        <v>53</v>
      </c>
    </row>
    <row r="4290" ht="15.75" customHeight="1">
      <c r="A4290" s="53" t="s">
        <v>411</v>
      </c>
      <c r="B4290" s="53" t="s">
        <v>4945</v>
      </c>
      <c r="D4290" s="53" t="s">
        <v>2854</v>
      </c>
      <c r="E4290" s="53" t="s">
        <v>5623</v>
      </c>
      <c r="F4290" s="53" t="s">
        <v>1035</v>
      </c>
      <c r="G4290" s="53" t="s">
        <v>2858</v>
      </c>
      <c r="H4290" s="53">
        <v>1.0</v>
      </c>
      <c r="I4290" s="53">
        <v>0.09322033898305085</v>
      </c>
      <c r="J4290" s="53">
        <v>1.0</v>
      </c>
      <c r="K4290" s="53" t="s">
        <v>53</v>
      </c>
      <c r="L4290" s="53" t="s">
        <v>53</v>
      </c>
    </row>
    <row r="4291" ht="15.75" customHeight="1">
      <c r="A4291" s="53" t="s">
        <v>411</v>
      </c>
      <c r="B4291" s="53" t="s">
        <v>4945</v>
      </c>
      <c r="D4291" s="53" t="s">
        <v>2854</v>
      </c>
      <c r="E4291" s="53" t="s">
        <v>5624</v>
      </c>
      <c r="F4291" s="53" t="s">
        <v>1035</v>
      </c>
      <c r="G4291" s="53" t="s">
        <v>2860</v>
      </c>
      <c r="H4291" s="53">
        <v>1.0</v>
      </c>
      <c r="I4291" s="53">
        <v>0.10833333333333334</v>
      </c>
      <c r="J4291" s="53">
        <v>2.0</v>
      </c>
      <c r="K4291" s="53" t="s">
        <v>53</v>
      </c>
      <c r="L4291" s="53" t="s">
        <v>53</v>
      </c>
    </row>
    <row r="4292" ht="15.75" customHeight="1">
      <c r="A4292" s="53" t="s">
        <v>411</v>
      </c>
      <c r="B4292" s="53" t="s">
        <v>4945</v>
      </c>
      <c r="D4292" s="53" t="s">
        <v>2854</v>
      </c>
      <c r="E4292" s="53" t="s">
        <v>5625</v>
      </c>
      <c r="F4292" s="53" t="s">
        <v>1035</v>
      </c>
      <c r="G4292" s="53" t="s">
        <v>2862</v>
      </c>
      <c r="H4292" s="53">
        <v>1.0</v>
      </c>
      <c r="I4292" s="53">
        <v>0.13559322033898305</v>
      </c>
      <c r="J4292" s="53">
        <v>3.0</v>
      </c>
      <c r="K4292" s="53" t="s">
        <v>53</v>
      </c>
      <c r="L4292" s="53" t="s">
        <v>53</v>
      </c>
    </row>
    <row r="4293" ht="15.75" customHeight="1">
      <c r="A4293" s="53" t="s">
        <v>411</v>
      </c>
      <c r="B4293" s="53" t="s">
        <v>4945</v>
      </c>
      <c r="D4293" s="53" t="s">
        <v>2854</v>
      </c>
      <c r="E4293" s="53" t="s">
        <v>5626</v>
      </c>
      <c r="F4293" s="53" t="s">
        <v>1035</v>
      </c>
      <c r="G4293" s="53" t="s">
        <v>2864</v>
      </c>
      <c r="H4293" s="53">
        <v>1.0</v>
      </c>
      <c r="I4293" s="53">
        <v>0.13821138211382114</v>
      </c>
      <c r="J4293" s="53">
        <v>4.0</v>
      </c>
      <c r="K4293" s="53" t="s">
        <v>53</v>
      </c>
      <c r="L4293" s="53" t="s">
        <v>53</v>
      </c>
    </row>
    <row r="4294" ht="15.75" customHeight="1">
      <c r="A4294" s="53" t="s">
        <v>411</v>
      </c>
      <c r="B4294" s="53" t="s">
        <v>4945</v>
      </c>
      <c r="D4294" s="53" t="s">
        <v>2856</v>
      </c>
      <c r="E4294" s="53" t="s">
        <v>5627</v>
      </c>
      <c r="F4294" s="53" t="s">
        <v>1035</v>
      </c>
      <c r="G4294" s="53" t="s">
        <v>2858</v>
      </c>
      <c r="H4294" s="53">
        <v>1.0</v>
      </c>
      <c r="I4294" s="53">
        <v>0.09322033898305085</v>
      </c>
      <c r="J4294" s="53">
        <v>0.0</v>
      </c>
      <c r="K4294" s="53" t="s">
        <v>53</v>
      </c>
      <c r="L4294" s="53" t="s">
        <v>53</v>
      </c>
    </row>
    <row r="4295" ht="15.75" customHeight="1">
      <c r="A4295" s="53" t="s">
        <v>411</v>
      </c>
      <c r="B4295" s="53" t="s">
        <v>4945</v>
      </c>
      <c r="D4295" s="53" t="s">
        <v>2856</v>
      </c>
      <c r="E4295" s="53" t="s">
        <v>5628</v>
      </c>
      <c r="F4295" s="53" t="s">
        <v>1035</v>
      </c>
      <c r="G4295" s="53" t="s">
        <v>2860</v>
      </c>
      <c r="H4295" s="53">
        <v>1.0</v>
      </c>
      <c r="I4295" s="53">
        <v>0.10833333333333334</v>
      </c>
      <c r="J4295" s="53">
        <v>1.0</v>
      </c>
      <c r="K4295" s="53" t="s">
        <v>53</v>
      </c>
      <c r="L4295" s="53" t="s">
        <v>53</v>
      </c>
    </row>
    <row r="4296" ht="15.75" customHeight="1">
      <c r="A4296" s="53" t="s">
        <v>411</v>
      </c>
      <c r="B4296" s="53" t="s">
        <v>4945</v>
      </c>
      <c r="D4296" s="53" t="s">
        <v>2856</v>
      </c>
      <c r="E4296" s="53" t="s">
        <v>5629</v>
      </c>
      <c r="F4296" s="53" t="s">
        <v>1035</v>
      </c>
      <c r="G4296" s="53" t="s">
        <v>2862</v>
      </c>
      <c r="H4296" s="53">
        <v>1.0</v>
      </c>
      <c r="I4296" s="53">
        <v>0.13559322033898305</v>
      </c>
      <c r="J4296" s="53">
        <v>2.0</v>
      </c>
      <c r="K4296" s="53" t="s">
        <v>53</v>
      </c>
      <c r="L4296" s="53" t="s">
        <v>53</v>
      </c>
    </row>
    <row r="4297" ht="15.75" customHeight="1">
      <c r="A4297" s="53" t="s">
        <v>411</v>
      </c>
      <c r="B4297" s="53" t="s">
        <v>4945</v>
      </c>
      <c r="D4297" s="53" t="s">
        <v>2856</v>
      </c>
      <c r="E4297" s="53" t="s">
        <v>5630</v>
      </c>
      <c r="F4297" s="53" t="s">
        <v>1035</v>
      </c>
      <c r="G4297" s="53" t="s">
        <v>2864</v>
      </c>
      <c r="H4297" s="53">
        <v>1.0</v>
      </c>
      <c r="I4297" s="53">
        <v>0.13821138211382114</v>
      </c>
      <c r="J4297" s="53">
        <v>3.0</v>
      </c>
      <c r="K4297" s="53" t="s">
        <v>53</v>
      </c>
      <c r="L4297" s="53" t="s">
        <v>53</v>
      </c>
    </row>
    <row r="4298" ht="15.75" customHeight="1">
      <c r="A4298" s="53" t="s">
        <v>411</v>
      </c>
      <c r="B4298" s="53" t="s">
        <v>4945</v>
      </c>
      <c r="D4298" s="53" t="s">
        <v>2858</v>
      </c>
      <c r="E4298" s="53" t="s">
        <v>5631</v>
      </c>
      <c r="F4298" s="53" t="s">
        <v>1035</v>
      </c>
      <c r="G4298" s="53" t="s">
        <v>2860</v>
      </c>
      <c r="H4298" s="53">
        <v>1.0</v>
      </c>
      <c r="I4298" s="53">
        <v>0.016666666666666666</v>
      </c>
      <c r="J4298" s="53">
        <v>0.0</v>
      </c>
      <c r="K4298" s="53" t="s">
        <v>53</v>
      </c>
      <c r="L4298" s="53" t="s">
        <v>53</v>
      </c>
    </row>
    <row r="4299" ht="15.75" customHeight="1">
      <c r="A4299" s="53" t="s">
        <v>411</v>
      </c>
      <c r="B4299" s="53" t="s">
        <v>4945</v>
      </c>
      <c r="D4299" s="53" t="s">
        <v>2858</v>
      </c>
      <c r="E4299" s="53" t="s">
        <v>5632</v>
      </c>
      <c r="F4299" s="53" t="s">
        <v>1035</v>
      </c>
      <c r="G4299" s="53" t="s">
        <v>2864</v>
      </c>
      <c r="H4299" s="53">
        <v>1.0</v>
      </c>
      <c r="I4299" s="53">
        <v>0.07317073170731707</v>
      </c>
      <c r="J4299" s="53">
        <v>2.0</v>
      </c>
      <c r="K4299" s="53" t="s">
        <v>53</v>
      </c>
      <c r="L4299" s="53" t="s">
        <v>53</v>
      </c>
    </row>
    <row r="4300" ht="15.75" customHeight="1">
      <c r="A4300" s="53" t="s">
        <v>411</v>
      </c>
      <c r="B4300" s="53" t="s">
        <v>4945</v>
      </c>
      <c r="D4300" s="53" t="s">
        <v>2858</v>
      </c>
      <c r="E4300" s="53" t="s">
        <v>5633</v>
      </c>
      <c r="F4300" s="53" t="s">
        <v>1035</v>
      </c>
      <c r="G4300" s="53" t="s">
        <v>2862</v>
      </c>
      <c r="H4300" s="53">
        <v>1.0</v>
      </c>
      <c r="I4300" s="53">
        <v>0.07627118644067797</v>
      </c>
      <c r="J4300" s="53">
        <v>1.0</v>
      </c>
      <c r="K4300" s="53" t="s">
        <v>53</v>
      </c>
      <c r="L4300" s="53" t="s">
        <v>53</v>
      </c>
    </row>
    <row r="4301" ht="15.75" customHeight="1">
      <c r="A4301" s="53" t="s">
        <v>411</v>
      </c>
      <c r="B4301" s="53" t="s">
        <v>4945</v>
      </c>
      <c r="D4301" s="53" t="s">
        <v>2860</v>
      </c>
      <c r="E4301" s="53" t="s">
        <v>5634</v>
      </c>
      <c r="F4301" s="53" t="s">
        <v>1035</v>
      </c>
      <c r="G4301" s="53" t="s">
        <v>2864</v>
      </c>
      <c r="H4301" s="53">
        <v>1.0</v>
      </c>
      <c r="I4301" s="53">
        <v>0.07317073170731707</v>
      </c>
      <c r="J4301" s="53">
        <v>1.0</v>
      </c>
      <c r="K4301" s="53" t="s">
        <v>53</v>
      </c>
      <c r="L4301" s="53" t="s">
        <v>53</v>
      </c>
    </row>
    <row r="4302" ht="15.75" customHeight="1">
      <c r="A4302" s="53" t="s">
        <v>411</v>
      </c>
      <c r="B4302" s="53" t="s">
        <v>4945</v>
      </c>
      <c r="D4302" s="53" t="s">
        <v>2860</v>
      </c>
      <c r="E4302" s="53" t="s">
        <v>5635</v>
      </c>
      <c r="F4302" s="53" t="s">
        <v>1035</v>
      </c>
      <c r="G4302" s="53" t="s">
        <v>2862</v>
      </c>
      <c r="H4302" s="53">
        <v>1.0</v>
      </c>
      <c r="I4302" s="53">
        <v>0.08333333333333333</v>
      </c>
      <c r="J4302" s="53">
        <v>0.0</v>
      </c>
      <c r="K4302" s="53" t="s">
        <v>53</v>
      </c>
      <c r="L4302" s="53" t="s">
        <v>53</v>
      </c>
    </row>
    <row r="4303" ht="15.75" customHeight="1">
      <c r="A4303" s="53" t="s">
        <v>411</v>
      </c>
      <c r="B4303" s="53" t="s">
        <v>4945</v>
      </c>
      <c r="D4303" s="53" t="s">
        <v>2862</v>
      </c>
      <c r="E4303" s="53" t="s">
        <v>5636</v>
      </c>
      <c r="F4303" s="53" t="s">
        <v>1035</v>
      </c>
      <c r="G4303" s="53" t="s">
        <v>2864</v>
      </c>
      <c r="H4303" s="53">
        <v>1.0</v>
      </c>
      <c r="I4303" s="53">
        <v>0.11382113821138211</v>
      </c>
      <c r="J4303" s="53">
        <v>0.0</v>
      </c>
      <c r="K4303" s="53" t="s">
        <v>53</v>
      </c>
      <c r="L4303" s="53" t="s">
        <v>53</v>
      </c>
    </row>
    <row r="4304" ht="15.75" customHeight="1">
      <c r="A4304" s="53" t="s">
        <v>411</v>
      </c>
      <c r="B4304" s="53" t="s">
        <v>4945</v>
      </c>
      <c r="D4304" s="53" t="s">
        <v>3738</v>
      </c>
      <c r="E4304" s="53" t="s">
        <v>5637</v>
      </c>
      <c r="F4304" s="53" t="s">
        <v>478</v>
      </c>
      <c r="G4304" s="53" t="s">
        <v>3741</v>
      </c>
      <c r="H4304" s="53">
        <v>1.0</v>
      </c>
      <c r="I4304" s="53">
        <v>0.11594202898550725</v>
      </c>
      <c r="J4304" s="53">
        <v>0.0</v>
      </c>
      <c r="K4304" s="53" t="s">
        <v>53</v>
      </c>
      <c r="L4304" s="53" t="s">
        <v>53</v>
      </c>
    </row>
    <row r="4305" ht="15.75" customHeight="1">
      <c r="A4305" s="53" t="s">
        <v>411</v>
      </c>
      <c r="B4305" s="53" t="s">
        <v>4945</v>
      </c>
      <c r="D4305" s="53" t="s">
        <v>3738</v>
      </c>
      <c r="E4305" s="53" t="s">
        <v>5638</v>
      </c>
      <c r="F4305" s="53" t="s">
        <v>478</v>
      </c>
      <c r="G4305" s="53" t="s">
        <v>2954</v>
      </c>
      <c r="H4305" s="53">
        <v>1.0</v>
      </c>
      <c r="I4305" s="53">
        <v>0.28169014084507044</v>
      </c>
      <c r="J4305" s="53">
        <v>18.0</v>
      </c>
      <c r="K4305" s="53" t="s">
        <v>53</v>
      </c>
      <c r="L4305" s="53" t="s">
        <v>53</v>
      </c>
    </row>
    <row r="4306" ht="15.75" customHeight="1">
      <c r="A4306" s="53" t="s">
        <v>411</v>
      </c>
      <c r="B4306" s="53" t="s">
        <v>4945</v>
      </c>
      <c r="D4306" s="53" t="s">
        <v>3738</v>
      </c>
      <c r="E4306" s="53" t="s">
        <v>5639</v>
      </c>
      <c r="F4306" s="53" t="s">
        <v>478</v>
      </c>
      <c r="G4306" s="53" t="s">
        <v>2911</v>
      </c>
      <c r="H4306" s="53">
        <v>1.0</v>
      </c>
      <c r="I4306" s="53">
        <v>0.2887323943661972</v>
      </c>
      <c r="J4306" s="53">
        <v>17.0</v>
      </c>
      <c r="K4306" s="53" t="s">
        <v>53</v>
      </c>
      <c r="L4306" s="53" t="s">
        <v>53</v>
      </c>
    </row>
    <row r="4307" ht="15.75" customHeight="1">
      <c r="A4307" s="53" t="s">
        <v>411</v>
      </c>
      <c r="B4307" s="53" t="s">
        <v>4945</v>
      </c>
      <c r="D4307" s="53" t="s">
        <v>3738</v>
      </c>
      <c r="E4307" s="53" t="s">
        <v>5640</v>
      </c>
      <c r="F4307" s="53" t="s">
        <v>478</v>
      </c>
      <c r="G4307" s="53" t="s">
        <v>495</v>
      </c>
      <c r="H4307" s="53">
        <v>1.0</v>
      </c>
      <c r="I4307" s="53">
        <v>0.2971014492753623</v>
      </c>
      <c r="J4307" s="53">
        <v>38.0</v>
      </c>
      <c r="K4307" s="53" t="s">
        <v>53</v>
      </c>
      <c r="L4307" s="53" t="s">
        <v>53</v>
      </c>
    </row>
    <row r="4308" ht="15.75" customHeight="1">
      <c r="A4308" s="53" t="s">
        <v>411</v>
      </c>
      <c r="B4308" s="53" t="s">
        <v>4945</v>
      </c>
      <c r="D4308" s="53" t="s">
        <v>3738</v>
      </c>
      <c r="E4308" s="53" t="s">
        <v>5641</v>
      </c>
      <c r="F4308" s="53" t="s">
        <v>478</v>
      </c>
      <c r="G4308" s="53" t="s">
        <v>2921</v>
      </c>
      <c r="H4308" s="53">
        <v>1.0</v>
      </c>
      <c r="I4308" s="53">
        <v>0.30201342281879195</v>
      </c>
      <c r="J4308" s="53">
        <v>29.0</v>
      </c>
      <c r="K4308" s="53" t="s">
        <v>53</v>
      </c>
      <c r="L4308" s="53" t="s">
        <v>53</v>
      </c>
    </row>
    <row r="4309" ht="15.75" customHeight="1">
      <c r="A4309" s="53" t="s">
        <v>411</v>
      </c>
      <c r="B4309" s="53" t="s">
        <v>4945</v>
      </c>
      <c r="D4309" s="53" t="s">
        <v>3738</v>
      </c>
      <c r="E4309" s="53" t="s">
        <v>5642</v>
      </c>
      <c r="F4309" s="53" t="s">
        <v>478</v>
      </c>
      <c r="G4309" s="53" t="s">
        <v>2913</v>
      </c>
      <c r="H4309" s="53">
        <v>1.0</v>
      </c>
      <c r="I4309" s="53">
        <v>0.3028169014084507</v>
      </c>
      <c r="J4309" s="53">
        <v>15.0</v>
      </c>
      <c r="K4309" s="53" t="s">
        <v>53</v>
      </c>
      <c r="L4309" s="53" t="s">
        <v>53</v>
      </c>
    </row>
    <row r="4310" ht="15.75" customHeight="1">
      <c r="A4310" s="53" t="s">
        <v>411</v>
      </c>
      <c r="B4310" s="53" t="s">
        <v>4945</v>
      </c>
      <c r="D4310" s="53" t="s">
        <v>3738</v>
      </c>
      <c r="E4310" s="53" t="s">
        <v>5643</v>
      </c>
      <c r="F4310" s="53" t="s">
        <v>478</v>
      </c>
      <c r="G4310" s="53" t="s">
        <v>2915</v>
      </c>
      <c r="H4310" s="53">
        <v>1.0</v>
      </c>
      <c r="I4310" s="53">
        <v>0.30344827586206896</v>
      </c>
      <c r="J4310" s="53">
        <v>26.0</v>
      </c>
      <c r="K4310" s="53" t="s">
        <v>53</v>
      </c>
      <c r="L4310" s="53" t="s">
        <v>53</v>
      </c>
    </row>
    <row r="4311" ht="15.75" customHeight="1">
      <c r="A4311" s="53" t="s">
        <v>411</v>
      </c>
      <c r="B4311" s="53" t="s">
        <v>4945</v>
      </c>
      <c r="D4311" s="53" t="s">
        <v>3738</v>
      </c>
      <c r="E4311" s="53" t="s">
        <v>5644</v>
      </c>
      <c r="F4311" s="53" t="s">
        <v>478</v>
      </c>
      <c r="G4311" s="53" t="s">
        <v>2919</v>
      </c>
      <c r="H4311" s="53">
        <v>1.0</v>
      </c>
      <c r="I4311" s="53">
        <v>0.304635761589404</v>
      </c>
      <c r="J4311" s="53">
        <v>28.0</v>
      </c>
      <c r="K4311" s="53" t="s">
        <v>53</v>
      </c>
      <c r="L4311" s="53" t="s">
        <v>53</v>
      </c>
    </row>
    <row r="4312" ht="15.75" customHeight="1">
      <c r="A4312" s="53" t="s">
        <v>411</v>
      </c>
      <c r="B4312" s="53" t="s">
        <v>4945</v>
      </c>
      <c r="D4312" s="53" t="s">
        <v>3738</v>
      </c>
      <c r="E4312" s="53" t="s">
        <v>5645</v>
      </c>
      <c r="F4312" s="53" t="s">
        <v>478</v>
      </c>
      <c r="G4312" s="53" t="s">
        <v>2925</v>
      </c>
      <c r="H4312" s="53">
        <v>1.0</v>
      </c>
      <c r="I4312" s="53">
        <v>0.304635761589404</v>
      </c>
      <c r="J4312" s="53">
        <v>33.0</v>
      </c>
      <c r="K4312" s="53" t="s">
        <v>53</v>
      </c>
      <c r="L4312" s="53" t="s">
        <v>53</v>
      </c>
    </row>
    <row r="4313" ht="15.75" customHeight="1">
      <c r="A4313" s="53" t="s">
        <v>411</v>
      </c>
      <c r="B4313" s="53" t="s">
        <v>4945</v>
      </c>
      <c r="D4313" s="53" t="s">
        <v>3738</v>
      </c>
      <c r="E4313" s="53" t="s">
        <v>5646</v>
      </c>
      <c r="F4313" s="53" t="s">
        <v>478</v>
      </c>
      <c r="G4313" s="53" t="s">
        <v>474</v>
      </c>
      <c r="H4313" s="53">
        <v>1.0</v>
      </c>
      <c r="I4313" s="53">
        <v>0.3082191780821918</v>
      </c>
      <c r="J4313" s="53">
        <v>37.0</v>
      </c>
      <c r="K4313" s="53" t="s">
        <v>53</v>
      </c>
      <c r="L4313" s="53" t="s">
        <v>53</v>
      </c>
    </row>
    <row r="4314" ht="15.75" customHeight="1">
      <c r="A4314" s="53" t="s">
        <v>411</v>
      </c>
      <c r="B4314" s="53" t="s">
        <v>4945</v>
      </c>
      <c r="D4314" s="53" t="s">
        <v>3738</v>
      </c>
      <c r="E4314" s="53" t="s">
        <v>5647</v>
      </c>
      <c r="F4314" s="53" t="s">
        <v>478</v>
      </c>
      <c r="G4314" s="53" t="s">
        <v>2927</v>
      </c>
      <c r="H4314" s="53">
        <v>1.0</v>
      </c>
      <c r="I4314" s="53">
        <v>0.3087248322147651</v>
      </c>
      <c r="J4314" s="53">
        <v>30.0</v>
      </c>
      <c r="K4314" s="53" t="s">
        <v>53</v>
      </c>
      <c r="L4314" s="53" t="s">
        <v>53</v>
      </c>
    </row>
    <row r="4315" ht="15.75" customHeight="1">
      <c r="A4315" s="53" t="s">
        <v>411</v>
      </c>
      <c r="B4315" s="53" t="s">
        <v>4945</v>
      </c>
      <c r="D4315" s="53" t="s">
        <v>3738</v>
      </c>
      <c r="E4315" s="53" t="s">
        <v>5648</v>
      </c>
      <c r="F4315" s="53" t="s">
        <v>478</v>
      </c>
      <c r="G4315" s="53" t="s">
        <v>2931</v>
      </c>
      <c r="H4315" s="53">
        <v>1.0</v>
      </c>
      <c r="I4315" s="53">
        <v>0.3092105263157895</v>
      </c>
      <c r="J4315" s="53">
        <v>25.0</v>
      </c>
      <c r="K4315" s="53" t="s">
        <v>53</v>
      </c>
      <c r="L4315" s="53" t="s">
        <v>53</v>
      </c>
    </row>
    <row r="4316" ht="15.75" customHeight="1">
      <c r="A4316" s="53" t="s">
        <v>411</v>
      </c>
      <c r="B4316" s="53" t="s">
        <v>4945</v>
      </c>
      <c r="D4316" s="53" t="s">
        <v>3738</v>
      </c>
      <c r="E4316" s="53" t="s">
        <v>5649</v>
      </c>
      <c r="F4316" s="53" t="s">
        <v>478</v>
      </c>
      <c r="G4316" s="53" t="s">
        <v>2923</v>
      </c>
      <c r="H4316" s="53">
        <v>1.0</v>
      </c>
      <c r="I4316" s="53">
        <v>0.3108108108108108</v>
      </c>
      <c r="J4316" s="53">
        <v>27.0</v>
      </c>
      <c r="K4316" s="53" t="s">
        <v>53</v>
      </c>
      <c r="L4316" s="53" t="s">
        <v>53</v>
      </c>
    </row>
    <row r="4317" ht="15.75" customHeight="1">
      <c r="A4317" s="53" t="s">
        <v>411</v>
      </c>
      <c r="B4317" s="53" t="s">
        <v>4945</v>
      </c>
      <c r="D4317" s="53" t="s">
        <v>3738</v>
      </c>
      <c r="E4317" s="53" t="s">
        <v>5650</v>
      </c>
      <c r="F4317" s="53" t="s">
        <v>478</v>
      </c>
      <c r="G4317" s="53" t="s">
        <v>2935</v>
      </c>
      <c r="H4317" s="53">
        <v>1.0</v>
      </c>
      <c r="I4317" s="53">
        <v>0.31125827814569534</v>
      </c>
      <c r="J4317" s="53">
        <v>22.0</v>
      </c>
      <c r="K4317" s="53" t="s">
        <v>53</v>
      </c>
      <c r="L4317" s="53" t="s">
        <v>53</v>
      </c>
    </row>
    <row r="4318" ht="15.75" customHeight="1">
      <c r="A4318" s="53" t="s">
        <v>411</v>
      </c>
      <c r="B4318" s="53" t="s">
        <v>4945</v>
      </c>
      <c r="D4318" s="53" t="s">
        <v>3738</v>
      </c>
      <c r="E4318" s="53" t="s">
        <v>5651</v>
      </c>
      <c r="F4318" s="53" t="s">
        <v>478</v>
      </c>
      <c r="G4318" s="53" t="s">
        <v>2883</v>
      </c>
      <c r="H4318" s="53">
        <v>1.0</v>
      </c>
      <c r="I4318" s="53">
        <v>0.3115942028985507</v>
      </c>
      <c r="J4318" s="53">
        <v>6.0</v>
      </c>
      <c r="K4318" s="53" t="s">
        <v>53</v>
      </c>
      <c r="L4318" s="53" t="s">
        <v>53</v>
      </c>
    </row>
    <row r="4319" ht="15.75" customHeight="1">
      <c r="A4319" s="53" t="s">
        <v>411</v>
      </c>
      <c r="B4319" s="53" t="s">
        <v>4945</v>
      </c>
      <c r="D4319" s="53" t="s">
        <v>3738</v>
      </c>
      <c r="E4319" s="53" t="s">
        <v>5652</v>
      </c>
      <c r="F4319" s="53" t="s">
        <v>478</v>
      </c>
      <c r="G4319" s="53" t="s">
        <v>2903</v>
      </c>
      <c r="H4319" s="53">
        <v>1.0</v>
      </c>
      <c r="I4319" s="53">
        <v>0.3115942028985507</v>
      </c>
      <c r="J4319" s="53">
        <v>2.0</v>
      </c>
      <c r="K4319" s="53" t="s">
        <v>53</v>
      </c>
      <c r="L4319" s="53" t="s">
        <v>53</v>
      </c>
    </row>
    <row r="4320" ht="15.75" customHeight="1">
      <c r="A4320" s="53" t="s">
        <v>411</v>
      </c>
      <c r="B4320" s="53" t="s">
        <v>4945</v>
      </c>
      <c r="D4320" s="53" t="s">
        <v>3738</v>
      </c>
      <c r="E4320" s="53" t="s">
        <v>5653</v>
      </c>
      <c r="F4320" s="53" t="s">
        <v>478</v>
      </c>
      <c r="G4320" s="53" t="s">
        <v>509</v>
      </c>
      <c r="H4320" s="53">
        <v>1.0</v>
      </c>
      <c r="I4320" s="53">
        <v>0.3115942028985507</v>
      </c>
      <c r="J4320" s="53">
        <v>3.0</v>
      </c>
      <c r="K4320" s="53" t="s">
        <v>53</v>
      </c>
      <c r="L4320" s="53" t="s">
        <v>53</v>
      </c>
    </row>
    <row r="4321" ht="15.75" customHeight="1">
      <c r="A4321" s="53" t="s">
        <v>411</v>
      </c>
      <c r="B4321" s="53" t="s">
        <v>4945</v>
      </c>
      <c r="D4321" s="53" t="s">
        <v>3738</v>
      </c>
      <c r="E4321" s="53" t="s">
        <v>5654</v>
      </c>
      <c r="F4321" s="53" t="s">
        <v>478</v>
      </c>
      <c r="G4321" s="53" t="s">
        <v>485</v>
      </c>
      <c r="H4321" s="53">
        <v>1.0</v>
      </c>
      <c r="I4321" s="53">
        <v>0.3125</v>
      </c>
      <c r="J4321" s="53">
        <v>36.0</v>
      </c>
      <c r="K4321" s="53" t="s">
        <v>53</v>
      </c>
      <c r="L4321" s="53" t="s">
        <v>53</v>
      </c>
    </row>
    <row r="4322" ht="15.75" customHeight="1">
      <c r="A4322" s="53" t="s">
        <v>411</v>
      </c>
      <c r="B4322" s="53" t="s">
        <v>4945</v>
      </c>
      <c r="D4322" s="53" t="s">
        <v>3738</v>
      </c>
      <c r="E4322" s="53" t="s">
        <v>5655</v>
      </c>
      <c r="F4322" s="53" t="s">
        <v>478</v>
      </c>
      <c r="G4322" s="53" t="s">
        <v>2929</v>
      </c>
      <c r="H4322" s="53">
        <v>1.0</v>
      </c>
      <c r="I4322" s="53">
        <v>0.3137254901960784</v>
      </c>
      <c r="J4322" s="53">
        <v>31.0</v>
      </c>
      <c r="K4322" s="53" t="s">
        <v>53</v>
      </c>
      <c r="L4322" s="53" t="s">
        <v>53</v>
      </c>
    </row>
    <row r="4323" ht="15.75" customHeight="1">
      <c r="A4323" s="53" t="s">
        <v>411</v>
      </c>
      <c r="B4323" s="53" t="s">
        <v>4945</v>
      </c>
      <c r="D4323" s="53" t="s">
        <v>3738</v>
      </c>
      <c r="E4323" s="53" t="s">
        <v>5656</v>
      </c>
      <c r="F4323" s="53" t="s">
        <v>478</v>
      </c>
      <c r="G4323" s="53" t="s">
        <v>2950</v>
      </c>
      <c r="H4323" s="53">
        <v>1.0</v>
      </c>
      <c r="I4323" s="53">
        <v>0.31446540880503143</v>
      </c>
      <c r="J4323" s="53">
        <v>21.0</v>
      </c>
      <c r="K4323" s="53" t="s">
        <v>53</v>
      </c>
      <c r="L4323" s="53" t="s">
        <v>53</v>
      </c>
    </row>
    <row r="4324" ht="15.75" customHeight="1">
      <c r="A4324" s="53" t="s">
        <v>411</v>
      </c>
      <c r="B4324" s="53" t="s">
        <v>4945</v>
      </c>
      <c r="D4324" s="53" t="s">
        <v>3738</v>
      </c>
      <c r="E4324" s="53" t="s">
        <v>5657</v>
      </c>
      <c r="F4324" s="53" t="s">
        <v>478</v>
      </c>
      <c r="G4324" s="53" t="s">
        <v>2917</v>
      </c>
      <c r="H4324" s="53">
        <v>1.0</v>
      </c>
      <c r="I4324" s="53">
        <v>0.3146853146853147</v>
      </c>
      <c r="J4324" s="53">
        <v>35.0</v>
      </c>
      <c r="K4324" s="53" t="s">
        <v>53</v>
      </c>
      <c r="L4324" s="53" t="s">
        <v>53</v>
      </c>
    </row>
    <row r="4325" ht="15.75" customHeight="1">
      <c r="A4325" s="53" t="s">
        <v>411</v>
      </c>
      <c r="B4325" s="53" t="s">
        <v>4945</v>
      </c>
      <c r="D4325" s="53" t="s">
        <v>3738</v>
      </c>
      <c r="E4325" s="53" t="s">
        <v>5658</v>
      </c>
      <c r="F4325" s="53" t="s">
        <v>478</v>
      </c>
      <c r="G4325" s="53" t="s">
        <v>2907</v>
      </c>
      <c r="H4325" s="53">
        <v>1.0</v>
      </c>
      <c r="I4325" s="53">
        <v>0.31654676258992803</v>
      </c>
      <c r="J4325" s="53">
        <v>34.0</v>
      </c>
      <c r="K4325" s="53" t="s">
        <v>53</v>
      </c>
      <c r="L4325" s="53" t="s">
        <v>53</v>
      </c>
    </row>
    <row r="4326" ht="15.75" customHeight="1">
      <c r="A4326" s="53" t="s">
        <v>411</v>
      </c>
      <c r="B4326" s="53" t="s">
        <v>4945</v>
      </c>
      <c r="D4326" s="53" t="s">
        <v>3738</v>
      </c>
      <c r="E4326" s="53" t="s">
        <v>5659</v>
      </c>
      <c r="F4326" s="53" t="s">
        <v>478</v>
      </c>
      <c r="G4326" s="53" t="s">
        <v>2940</v>
      </c>
      <c r="H4326" s="53">
        <v>1.0</v>
      </c>
      <c r="I4326" s="53">
        <v>0.3188405797101449</v>
      </c>
      <c r="J4326" s="53">
        <v>20.0</v>
      </c>
      <c r="K4326" s="53" t="s">
        <v>53</v>
      </c>
      <c r="L4326" s="53" t="s">
        <v>53</v>
      </c>
    </row>
    <row r="4327" ht="15.75" customHeight="1">
      <c r="A4327" s="53" t="s">
        <v>411</v>
      </c>
      <c r="B4327" s="53" t="s">
        <v>4945</v>
      </c>
      <c r="D4327" s="53" t="s">
        <v>3738</v>
      </c>
      <c r="E4327" s="53" t="s">
        <v>5660</v>
      </c>
      <c r="F4327" s="53" t="s">
        <v>478</v>
      </c>
      <c r="G4327" s="53" t="s">
        <v>2897</v>
      </c>
      <c r="H4327" s="53">
        <v>1.0</v>
      </c>
      <c r="I4327" s="53">
        <v>0.3188405797101449</v>
      </c>
      <c r="J4327" s="53">
        <v>9.0</v>
      </c>
      <c r="K4327" s="53" t="s">
        <v>53</v>
      </c>
      <c r="L4327" s="53" t="s">
        <v>53</v>
      </c>
    </row>
    <row r="4328" ht="15.75" customHeight="1">
      <c r="A4328" s="53" t="s">
        <v>411</v>
      </c>
      <c r="B4328" s="53" t="s">
        <v>4945</v>
      </c>
      <c r="D4328" s="53" t="s">
        <v>3738</v>
      </c>
      <c r="E4328" s="53" t="s">
        <v>5661</v>
      </c>
      <c r="F4328" s="53" t="s">
        <v>478</v>
      </c>
      <c r="G4328" s="53" t="s">
        <v>2891</v>
      </c>
      <c r="H4328" s="53">
        <v>1.0</v>
      </c>
      <c r="I4328" s="53">
        <v>0.3188405797101449</v>
      </c>
      <c r="J4328" s="53">
        <v>10.0</v>
      </c>
      <c r="K4328" s="53" t="s">
        <v>53</v>
      </c>
      <c r="L4328" s="53" t="s">
        <v>53</v>
      </c>
    </row>
    <row r="4329" ht="15.75" customHeight="1">
      <c r="A4329" s="53" t="s">
        <v>411</v>
      </c>
      <c r="B4329" s="53" t="s">
        <v>4945</v>
      </c>
      <c r="D4329" s="53" t="s">
        <v>3738</v>
      </c>
      <c r="E4329" s="53" t="s">
        <v>5662</v>
      </c>
      <c r="F4329" s="53" t="s">
        <v>478</v>
      </c>
      <c r="G4329" s="53" t="s">
        <v>2899</v>
      </c>
      <c r="H4329" s="53">
        <v>1.0</v>
      </c>
      <c r="I4329" s="53">
        <v>0.3188405797101449</v>
      </c>
      <c r="J4329" s="53">
        <v>16.0</v>
      </c>
      <c r="K4329" s="53" t="s">
        <v>53</v>
      </c>
      <c r="L4329" s="53" t="s">
        <v>53</v>
      </c>
    </row>
    <row r="4330" ht="15.75" customHeight="1">
      <c r="A4330" s="53" t="s">
        <v>411</v>
      </c>
      <c r="B4330" s="53" t="s">
        <v>4945</v>
      </c>
      <c r="D4330" s="53" t="s">
        <v>3738</v>
      </c>
      <c r="E4330" s="53" t="s">
        <v>5663</v>
      </c>
      <c r="F4330" s="53" t="s">
        <v>478</v>
      </c>
      <c r="G4330" s="53" t="s">
        <v>2880</v>
      </c>
      <c r="H4330" s="53">
        <v>1.0</v>
      </c>
      <c r="I4330" s="53">
        <v>0.3188405797101449</v>
      </c>
      <c r="J4330" s="53">
        <v>1.0</v>
      </c>
      <c r="K4330" s="53" t="s">
        <v>53</v>
      </c>
      <c r="L4330" s="53" t="s">
        <v>53</v>
      </c>
    </row>
    <row r="4331" ht="15.75" customHeight="1">
      <c r="A4331" s="53" t="s">
        <v>411</v>
      </c>
      <c r="B4331" s="53" t="s">
        <v>4945</v>
      </c>
      <c r="D4331" s="53" t="s">
        <v>3738</v>
      </c>
      <c r="E4331" s="53" t="s">
        <v>5664</v>
      </c>
      <c r="F4331" s="53" t="s">
        <v>478</v>
      </c>
      <c r="G4331" s="53" t="s">
        <v>2901</v>
      </c>
      <c r="H4331" s="53">
        <v>1.0</v>
      </c>
      <c r="I4331" s="53">
        <v>0.3188405797101449</v>
      </c>
      <c r="J4331" s="53">
        <v>13.0</v>
      </c>
      <c r="K4331" s="53" t="s">
        <v>53</v>
      </c>
      <c r="L4331" s="53" t="s">
        <v>53</v>
      </c>
    </row>
    <row r="4332" ht="15.75" customHeight="1">
      <c r="A4332" s="53" t="s">
        <v>411</v>
      </c>
      <c r="B4332" s="53" t="s">
        <v>4945</v>
      </c>
      <c r="D4332" s="53" t="s">
        <v>3738</v>
      </c>
      <c r="E4332" s="53" t="s">
        <v>5665</v>
      </c>
      <c r="F4332" s="53" t="s">
        <v>478</v>
      </c>
      <c r="G4332" s="53" t="s">
        <v>2887</v>
      </c>
      <c r="H4332" s="53">
        <v>1.0</v>
      </c>
      <c r="I4332" s="53">
        <v>0.3188405797101449</v>
      </c>
      <c r="J4332" s="53">
        <v>11.0</v>
      </c>
      <c r="K4332" s="53" t="s">
        <v>53</v>
      </c>
      <c r="L4332" s="53" t="s">
        <v>53</v>
      </c>
    </row>
    <row r="4333" ht="15.75" customHeight="1">
      <c r="A4333" s="53" t="s">
        <v>411</v>
      </c>
      <c r="B4333" s="53" t="s">
        <v>4945</v>
      </c>
      <c r="D4333" s="53" t="s">
        <v>3738</v>
      </c>
      <c r="E4333" s="53" t="s">
        <v>5666</v>
      </c>
      <c r="F4333" s="53" t="s">
        <v>478</v>
      </c>
      <c r="G4333" s="53" t="s">
        <v>2889</v>
      </c>
      <c r="H4333" s="53">
        <v>1.0</v>
      </c>
      <c r="I4333" s="53">
        <v>0.3188405797101449</v>
      </c>
      <c r="J4333" s="53">
        <v>14.0</v>
      </c>
      <c r="K4333" s="53" t="s">
        <v>53</v>
      </c>
      <c r="L4333" s="53" t="s">
        <v>53</v>
      </c>
    </row>
    <row r="4334" ht="15.75" customHeight="1">
      <c r="A4334" s="53" t="s">
        <v>411</v>
      </c>
      <c r="B4334" s="53" t="s">
        <v>4945</v>
      </c>
      <c r="D4334" s="53" t="s">
        <v>3738</v>
      </c>
      <c r="E4334" s="53" t="s">
        <v>5667</v>
      </c>
      <c r="F4334" s="53" t="s">
        <v>478</v>
      </c>
      <c r="G4334" s="53" t="s">
        <v>2909</v>
      </c>
      <c r="H4334" s="53">
        <v>1.0</v>
      </c>
      <c r="I4334" s="53">
        <v>0.3191489361702128</v>
      </c>
      <c r="J4334" s="53">
        <v>4.0</v>
      </c>
      <c r="K4334" s="53" t="s">
        <v>53</v>
      </c>
      <c r="L4334" s="53" t="s">
        <v>53</v>
      </c>
    </row>
    <row r="4335" ht="15.75" customHeight="1">
      <c r="A4335" s="53" t="s">
        <v>411</v>
      </c>
      <c r="B4335" s="53" t="s">
        <v>4945</v>
      </c>
      <c r="D4335" s="53" t="s">
        <v>3738</v>
      </c>
      <c r="E4335" s="53" t="s">
        <v>5668</v>
      </c>
      <c r="F4335" s="53" t="s">
        <v>478</v>
      </c>
      <c r="G4335" s="53" t="s">
        <v>2942</v>
      </c>
      <c r="H4335" s="53">
        <v>1.0</v>
      </c>
      <c r="I4335" s="53">
        <v>0.32142857142857145</v>
      </c>
      <c r="J4335" s="53">
        <v>41.0</v>
      </c>
      <c r="K4335" s="53" t="s">
        <v>53</v>
      </c>
      <c r="L4335" s="53" t="s">
        <v>53</v>
      </c>
    </row>
    <row r="4336" ht="15.75" customHeight="1">
      <c r="A4336" s="53" t="s">
        <v>411</v>
      </c>
      <c r="B4336" s="53" t="s">
        <v>4945</v>
      </c>
      <c r="D4336" s="53" t="s">
        <v>3738</v>
      </c>
      <c r="E4336" s="53" t="s">
        <v>5669</v>
      </c>
      <c r="F4336" s="53" t="s">
        <v>478</v>
      </c>
      <c r="G4336" s="53" t="s">
        <v>2948</v>
      </c>
      <c r="H4336" s="53">
        <v>1.0</v>
      </c>
      <c r="I4336" s="53">
        <v>0.323943661971831</v>
      </c>
      <c r="J4336" s="53">
        <v>39.0</v>
      </c>
      <c r="K4336" s="53" t="s">
        <v>53</v>
      </c>
      <c r="L4336" s="53" t="s">
        <v>53</v>
      </c>
    </row>
    <row r="4337" ht="15.75" customHeight="1">
      <c r="A4337" s="53" t="s">
        <v>411</v>
      </c>
      <c r="B4337" s="53" t="s">
        <v>4945</v>
      </c>
      <c r="D4337" s="53" t="s">
        <v>3738</v>
      </c>
      <c r="E4337" s="53" t="s">
        <v>5670</v>
      </c>
      <c r="F4337" s="53" t="s">
        <v>478</v>
      </c>
      <c r="G4337" s="53" t="s">
        <v>2895</v>
      </c>
      <c r="H4337" s="53">
        <v>1.0</v>
      </c>
      <c r="I4337" s="53">
        <v>0.32608695652173914</v>
      </c>
      <c r="J4337" s="53">
        <v>12.0</v>
      </c>
      <c r="K4337" s="53" t="s">
        <v>53</v>
      </c>
      <c r="L4337" s="53" t="s">
        <v>53</v>
      </c>
    </row>
    <row r="4338" ht="15.75" customHeight="1">
      <c r="A4338" s="53" t="s">
        <v>411</v>
      </c>
      <c r="B4338" s="53" t="s">
        <v>4945</v>
      </c>
      <c r="D4338" s="53" t="s">
        <v>3738</v>
      </c>
      <c r="E4338" s="53" t="s">
        <v>5671</v>
      </c>
      <c r="F4338" s="53" t="s">
        <v>478</v>
      </c>
      <c r="G4338" s="53" t="s">
        <v>2885</v>
      </c>
      <c r="H4338" s="53">
        <v>1.0</v>
      </c>
      <c r="I4338" s="53">
        <v>0.32608695652173914</v>
      </c>
      <c r="J4338" s="53">
        <v>5.0</v>
      </c>
      <c r="K4338" s="53" t="s">
        <v>53</v>
      </c>
      <c r="L4338" s="53" t="s">
        <v>53</v>
      </c>
    </row>
    <row r="4339" ht="15.75" customHeight="1">
      <c r="A4339" s="53" t="s">
        <v>411</v>
      </c>
      <c r="B4339" s="53" t="s">
        <v>4945</v>
      </c>
      <c r="D4339" s="53" t="s">
        <v>3738</v>
      </c>
      <c r="E4339" s="53" t="s">
        <v>5672</v>
      </c>
      <c r="F4339" s="53" t="s">
        <v>478</v>
      </c>
      <c r="G4339" s="53" t="s">
        <v>2905</v>
      </c>
      <c r="H4339" s="53">
        <v>1.0</v>
      </c>
      <c r="I4339" s="53">
        <v>0.32608695652173914</v>
      </c>
      <c r="J4339" s="53">
        <v>19.0</v>
      </c>
      <c r="K4339" s="53" t="s">
        <v>53</v>
      </c>
      <c r="L4339" s="53" t="s">
        <v>53</v>
      </c>
    </row>
    <row r="4340" ht="15.75" customHeight="1">
      <c r="A4340" s="53" t="s">
        <v>411</v>
      </c>
      <c r="B4340" s="53" t="s">
        <v>4945</v>
      </c>
      <c r="D4340" s="53" t="s">
        <v>3738</v>
      </c>
      <c r="E4340" s="53" t="s">
        <v>5673</v>
      </c>
      <c r="F4340" s="53" t="s">
        <v>478</v>
      </c>
      <c r="G4340" s="53" t="s">
        <v>2893</v>
      </c>
      <c r="H4340" s="53">
        <v>1.0</v>
      </c>
      <c r="I4340" s="53">
        <v>0.32608695652173914</v>
      </c>
      <c r="J4340" s="53">
        <v>8.0</v>
      </c>
      <c r="K4340" s="53" t="s">
        <v>53</v>
      </c>
      <c r="L4340" s="53" t="s">
        <v>53</v>
      </c>
    </row>
    <row r="4341" ht="15.75" customHeight="1">
      <c r="A4341" s="53" t="s">
        <v>411</v>
      </c>
      <c r="B4341" s="53" t="s">
        <v>4945</v>
      </c>
      <c r="D4341" s="53" t="s">
        <v>3738</v>
      </c>
      <c r="E4341" s="53" t="s">
        <v>5674</v>
      </c>
      <c r="F4341" s="53" t="s">
        <v>478</v>
      </c>
      <c r="G4341" s="53" t="s">
        <v>2957</v>
      </c>
      <c r="H4341" s="53">
        <v>1.0</v>
      </c>
      <c r="I4341" s="53">
        <v>0.32727272727272727</v>
      </c>
      <c r="J4341" s="53">
        <v>23.0</v>
      </c>
      <c r="K4341" s="53" t="s">
        <v>53</v>
      </c>
      <c r="L4341" s="53" t="s">
        <v>53</v>
      </c>
    </row>
    <row r="4342" ht="15.75" customHeight="1">
      <c r="A4342" s="53" t="s">
        <v>411</v>
      </c>
      <c r="B4342" s="53" t="s">
        <v>4945</v>
      </c>
      <c r="D4342" s="53" t="s">
        <v>3738</v>
      </c>
      <c r="E4342" s="53" t="s">
        <v>5675</v>
      </c>
      <c r="F4342" s="53" t="s">
        <v>478</v>
      </c>
      <c r="G4342" s="53" t="s">
        <v>2933</v>
      </c>
      <c r="H4342" s="53">
        <v>1.0</v>
      </c>
      <c r="I4342" s="53">
        <v>0.33125</v>
      </c>
      <c r="J4342" s="53">
        <v>32.0</v>
      </c>
      <c r="K4342" s="53" t="s">
        <v>53</v>
      </c>
      <c r="L4342" s="53" t="s">
        <v>53</v>
      </c>
    </row>
    <row r="4343" ht="15.75" customHeight="1">
      <c r="A4343" s="53" t="s">
        <v>411</v>
      </c>
      <c r="B4343" s="53" t="s">
        <v>4945</v>
      </c>
      <c r="D4343" s="53" t="s">
        <v>3738</v>
      </c>
      <c r="E4343" s="53" t="s">
        <v>5676</v>
      </c>
      <c r="F4343" s="53" t="s">
        <v>478</v>
      </c>
      <c r="G4343" s="53" t="s">
        <v>2946</v>
      </c>
      <c r="H4343" s="53">
        <v>1.0</v>
      </c>
      <c r="I4343" s="53">
        <v>0.34545454545454546</v>
      </c>
      <c r="J4343" s="53">
        <v>7.0</v>
      </c>
      <c r="K4343" s="53" t="s">
        <v>53</v>
      </c>
      <c r="L4343" s="53" t="s">
        <v>53</v>
      </c>
    </row>
    <row r="4344" ht="15.75" customHeight="1">
      <c r="A4344" s="53" t="s">
        <v>411</v>
      </c>
      <c r="B4344" s="53" t="s">
        <v>4945</v>
      </c>
      <c r="D4344" s="53" t="s">
        <v>3738</v>
      </c>
      <c r="E4344" s="53" t="s">
        <v>5677</v>
      </c>
      <c r="F4344" s="53" t="s">
        <v>478</v>
      </c>
      <c r="G4344" s="53" t="s">
        <v>2937</v>
      </c>
      <c r="H4344" s="53">
        <v>1.0</v>
      </c>
      <c r="I4344" s="53">
        <v>0.34782608695652173</v>
      </c>
      <c r="J4344" s="53">
        <v>40.0</v>
      </c>
      <c r="K4344" s="53" t="s">
        <v>53</v>
      </c>
      <c r="L4344" s="53" t="s">
        <v>53</v>
      </c>
    </row>
    <row r="4345" ht="15.75" customHeight="1">
      <c r="A4345" s="53" t="s">
        <v>411</v>
      </c>
      <c r="B4345" s="53" t="s">
        <v>4945</v>
      </c>
      <c r="D4345" s="53" t="s">
        <v>3738</v>
      </c>
      <c r="E4345" s="53" t="s">
        <v>5678</v>
      </c>
      <c r="F4345" s="53" t="s">
        <v>478</v>
      </c>
      <c r="G4345" s="53" t="s">
        <v>2944</v>
      </c>
      <c r="H4345" s="53">
        <v>1.0</v>
      </c>
      <c r="I4345" s="53">
        <v>0.35403726708074534</v>
      </c>
      <c r="J4345" s="53">
        <v>24.0</v>
      </c>
      <c r="K4345" s="53" t="s">
        <v>53</v>
      </c>
      <c r="L4345" s="53" t="s">
        <v>53</v>
      </c>
    </row>
    <row r="4346" ht="15.75" customHeight="1">
      <c r="A4346" s="53" t="s">
        <v>411</v>
      </c>
      <c r="B4346" s="53" t="s">
        <v>4945</v>
      </c>
      <c r="D4346" s="53" t="s">
        <v>3741</v>
      </c>
      <c r="E4346" s="53" t="s">
        <v>5679</v>
      </c>
      <c r="F4346" s="53" t="s">
        <v>478</v>
      </c>
      <c r="G4346" s="53" t="s">
        <v>2923</v>
      </c>
      <c r="H4346" s="53">
        <v>1.0</v>
      </c>
      <c r="I4346" s="53">
        <v>0.23648648648648649</v>
      </c>
      <c r="J4346" s="53">
        <v>26.0</v>
      </c>
      <c r="K4346" s="53" t="s">
        <v>53</v>
      </c>
      <c r="L4346" s="53" t="s">
        <v>53</v>
      </c>
    </row>
    <row r="4347" ht="15.75" customHeight="1">
      <c r="A4347" s="53" t="s">
        <v>411</v>
      </c>
      <c r="B4347" s="53" t="s">
        <v>4945</v>
      </c>
      <c r="D4347" s="53" t="s">
        <v>3741</v>
      </c>
      <c r="E4347" s="53" t="s">
        <v>5680</v>
      </c>
      <c r="F4347" s="53" t="s">
        <v>478</v>
      </c>
      <c r="G4347" s="53" t="s">
        <v>2911</v>
      </c>
      <c r="H4347" s="53">
        <v>1.0</v>
      </c>
      <c r="I4347" s="53">
        <v>0.23943661971830985</v>
      </c>
      <c r="J4347" s="53">
        <v>16.0</v>
      </c>
      <c r="K4347" s="53" t="s">
        <v>53</v>
      </c>
      <c r="L4347" s="53" t="s">
        <v>53</v>
      </c>
    </row>
    <row r="4348" ht="15.75" customHeight="1">
      <c r="A4348" s="53" t="s">
        <v>411</v>
      </c>
      <c r="B4348" s="53" t="s">
        <v>4945</v>
      </c>
      <c r="D4348" s="53" t="s">
        <v>3741</v>
      </c>
      <c r="E4348" s="53" t="s">
        <v>5681</v>
      </c>
      <c r="F4348" s="53" t="s">
        <v>478</v>
      </c>
      <c r="G4348" s="53" t="s">
        <v>2915</v>
      </c>
      <c r="H4348" s="53">
        <v>1.0</v>
      </c>
      <c r="I4348" s="53">
        <v>0.2413793103448276</v>
      </c>
      <c r="J4348" s="53">
        <v>25.0</v>
      </c>
      <c r="K4348" s="53" t="s">
        <v>53</v>
      </c>
      <c r="L4348" s="53" t="s">
        <v>53</v>
      </c>
    </row>
    <row r="4349" ht="15.75" customHeight="1">
      <c r="A4349" s="53" t="s">
        <v>411</v>
      </c>
      <c r="B4349" s="53" t="s">
        <v>4945</v>
      </c>
      <c r="D4349" s="53" t="s">
        <v>3741</v>
      </c>
      <c r="E4349" s="53" t="s">
        <v>5682</v>
      </c>
      <c r="F4349" s="53" t="s">
        <v>478</v>
      </c>
      <c r="G4349" s="53" t="s">
        <v>2927</v>
      </c>
      <c r="H4349" s="53">
        <v>1.0</v>
      </c>
      <c r="I4349" s="53">
        <v>0.24161073825503357</v>
      </c>
      <c r="J4349" s="53">
        <v>29.0</v>
      </c>
      <c r="K4349" s="53" t="s">
        <v>53</v>
      </c>
      <c r="L4349" s="53" t="s">
        <v>53</v>
      </c>
    </row>
    <row r="4350" ht="15.75" customHeight="1">
      <c r="A4350" s="53" t="s">
        <v>411</v>
      </c>
      <c r="B4350" s="53" t="s">
        <v>4945</v>
      </c>
      <c r="D4350" s="53" t="s">
        <v>3741</v>
      </c>
      <c r="E4350" s="53" t="s">
        <v>5683</v>
      </c>
      <c r="F4350" s="53" t="s">
        <v>478</v>
      </c>
      <c r="G4350" s="53" t="s">
        <v>2921</v>
      </c>
      <c r="H4350" s="53">
        <v>1.0</v>
      </c>
      <c r="I4350" s="53">
        <v>0.24161073825503357</v>
      </c>
      <c r="J4350" s="53">
        <v>28.0</v>
      </c>
      <c r="K4350" s="53" t="s">
        <v>53</v>
      </c>
      <c r="L4350" s="53" t="s">
        <v>53</v>
      </c>
    </row>
    <row r="4351" ht="15.75" customHeight="1">
      <c r="A4351" s="53" t="s">
        <v>411</v>
      </c>
      <c r="B4351" s="53" t="s">
        <v>4945</v>
      </c>
      <c r="D4351" s="53" t="s">
        <v>3741</v>
      </c>
      <c r="E4351" s="53" t="s">
        <v>5684</v>
      </c>
      <c r="F4351" s="53" t="s">
        <v>478</v>
      </c>
      <c r="G4351" s="53" t="s">
        <v>2931</v>
      </c>
      <c r="H4351" s="53">
        <v>1.0</v>
      </c>
      <c r="I4351" s="53">
        <v>0.25</v>
      </c>
      <c r="J4351" s="53">
        <v>24.0</v>
      </c>
      <c r="K4351" s="53" t="s">
        <v>53</v>
      </c>
      <c r="L4351" s="53" t="s">
        <v>53</v>
      </c>
    </row>
    <row r="4352" ht="15.75" customHeight="1">
      <c r="A4352" s="53" t="s">
        <v>411</v>
      </c>
      <c r="B4352" s="53" t="s">
        <v>4945</v>
      </c>
      <c r="D4352" s="53" t="s">
        <v>3741</v>
      </c>
      <c r="E4352" s="53" t="s">
        <v>5685</v>
      </c>
      <c r="F4352" s="53" t="s">
        <v>478</v>
      </c>
      <c r="G4352" s="53" t="s">
        <v>2919</v>
      </c>
      <c r="H4352" s="53">
        <v>1.0</v>
      </c>
      <c r="I4352" s="53">
        <v>0.25165562913907286</v>
      </c>
      <c r="J4352" s="53">
        <v>27.0</v>
      </c>
      <c r="K4352" s="53" t="s">
        <v>53</v>
      </c>
      <c r="L4352" s="53" t="s">
        <v>53</v>
      </c>
    </row>
    <row r="4353" ht="15.75" customHeight="1">
      <c r="A4353" s="53" t="s">
        <v>411</v>
      </c>
      <c r="B4353" s="53" t="s">
        <v>4945</v>
      </c>
      <c r="D4353" s="53" t="s">
        <v>3741</v>
      </c>
      <c r="E4353" s="53" t="s">
        <v>5686</v>
      </c>
      <c r="F4353" s="53" t="s">
        <v>478</v>
      </c>
      <c r="G4353" s="53" t="s">
        <v>2925</v>
      </c>
      <c r="H4353" s="53">
        <v>1.0</v>
      </c>
      <c r="I4353" s="53">
        <v>0.25165562913907286</v>
      </c>
      <c r="J4353" s="53">
        <v>32.0</v>
      </c>
      <c r="K4353" s="53" t="s">
        <v>53</v>
      </c>
      <c r="L4353" s="53" t="s">
        <v>53</v>
      </c>
    </row>
    <row r="4354" ht="15.75" customHeight="1">
      <c r="A4354" s="53" t="s">
        <v>411</v>
      </c>
      <c r="B4354" s="53" t="s">
        <v>4945</v>
      </c>
      <c r="D4354" s="53" t="s">
        <v>3741</v>
      </c>
      <c r="E4354" s="53" t="s">
        <v>5687</v>
      </c>
      <c r="F4354" s="53" t="s">
        <v>478</v>
      </c>
      <c r="G4354" s="53" t="s">
        <v>2917</v>
      </c>
      <c r="H4354" s="53">
        <v>1.0</v>
      </c>
      <c r="I4354" s="53">
        <v>0.2517482517482518</v>
      </c>
      <c r="J4354" s="53">
        <v>34.0</v>
      </c>
      <c r="K4354" s="53" t="s">
        <v>53</v>
      </c>
      <c r="L4354" s="53" t="s">
        <v>53</v>
      </c>
    </row>
    <row r="4355" ht="15.75" customHeight="1">
      <c r="A4355" s="53" t="s">
        <v>411</v>
      </c>
      <c r="B4355" s="53" t="s">
        <v>4945</v>
      </c>
      <c r="D4355" s="53" t="s">
        <v>3741</v>
      </c>
      <c r="E4355" s="53" t="s">
        <v>5688</v>
      </c>
      <c r="F4355" s="53" t="s">
        <v>478</v>
      </c>
      <c r="G4355" s="53" t="s">
        <v>2891</v>
      </c>
      <c r="H4355" s="53">
        <v>1.0</v>
      </c>
      <c r="I4355" s="53">
        <v>0.2536231884057971</v>
      </c>
      <c r="J4355" s="53">
        <v>9.0</v>
      </c>
      <c r="K4355" s="53" t="s">
        <v>53</v>
      </c>
      <c r="L4355" s="53" t="s">
        <v>53</v>
      </c>
    </row>
    <row r="4356" ht="15.75" customHeight="1">
      <c r="A4356" s="53" t="s">
        <v>411</v>
      </c>
      <c r="B4356" s="53" t="s">
        <v>4945</v>
      </c>
      <c r="D4356" s="53" t="s">
        <v>3741</v>
      </c>
      <c r="E4356" s="53" t="s">
        <v>5689</v>
      </c>
      <c r="F4356" s="53" t="s">
        <v>478</v>
      </c>
      <c r="G4356" s="53" t="s">
        <v>2929</v>
      </c>
      <c r="H4356" s="53">
        <v>1.0</v>
      </c>
      <c r="I4356" s="53">
        <v>0.2549019607843137</v>
      </c>
      <c r="J4356" s="53">
        <v>30.0</v>
      </c>
      <c r="K4356" s="53" t="s">
        <v>53</v>
      </c>
      <c r="L4356" s="53" t="s">
        <v>53</v>
      </c>
    </row>
    <row r="4357" ht="15.75" customHeight="1">
      <c r="A4357" s="53" t="s">
        <v>411</v>
      </c>
      <c r="B4357" s="53" t="s">
        <v>4945</v>
      </c>
      <c r="D4357" s="53" t="s">
        <v>3741</v>
      </c>
      <c r="E4357" s="53" t="s">
        <v>5690</v>
      </c>
      <c r="F4357" s="53" t="s">
        <v>478</v>
      </c>
      <c r="G4357" s="53" t="s">
        <v>2909</v>
      </c>
      <c r="H4357" s="53">
        <v>1.0</v>
      </c>
      <c r="I4357" s="53">
        <v>0.2553191489361702</v>
      </c>
      <c r="J4357" s="53">
        <v>3.0</v>
      </c>
      <c r="K4357" s="53" t="s">
        <v>53</v>
      </c>
      <c r="L4357" s="53" t="s">
        <v>53</v>
      </c>
    </row>
    <row r="4358" ht="15.75" customHeight="1">
      <c r="A4358" s="53" t="s">
        <v>411</v>
      </c>
      <c r="B4358" s="53" t="s">
        <v>4945</v>
      </c>
      <c r="D4358" s="53" t="s">
        <v>3741</v>
      </c>
      <c r="E4358" s="53" t="s">
        <v>5691</v>
      </c>
      <c r="F4358" s="53" t="s">
        <v>478</v>
      </c>
      <c r="G4358" s="53" t="s">
        <v>2897</v>
      </c>
      <c r="H4358" s="53">
        <v>1.0</v>
      </c>
      <c r="I4358" s="53">
        <v>0.25547445255474455</v>
      </c>
      <c r="J4358" s="53">
        <v>8.0</v>
      </c>
      <c r="K4358" s="53" t="s">
        <v>53</v>
      </c>
      <c r="L4358" s="53" t="s">
        <v>53</v>
      </c>
    </row>
    <row r="4359" ht="15.75" customHeight="1">
      <c r="A4359" s="53" t="s">
        <v>411</v>
      </c>
      <c r="B4359" s="53" t="s">
        <v>4945</v>
      </c>
      <c r="D4359" s="53" t="s">
        <v>3741</v>
      </c>
      <c r="E4359" s="53" t="s">
        <v>5692</v>
      </c>
      <c r="F4359" s="53" t="s">
        <v>478</v>
      </c>
      <c r="G4359" s="53" t="s">
        <v>2883</v>
      </c>
      <c r="H4359" s="53">
        <v>1.0</v>
      </c>
      <c r="I4359" s="53">
        <v>0.25735294117647056</v>
      </c>
      <c r="J4359" s="53">
        <v>5.0</v>
      </c>
      <c r="K4359" s="53" t="s">
        <v>53</v>
      </c>
      <c r="L4359" s="53" t="s">
        <v>53</v>
      </c>
    </row>
    <row r="4360" ht="15.75" customHeight="1">
      <c r="A4360" s="53" t="s">
        <v>411</v>
      </c>
      <c r="B4360" s="53" t="s">
        <v>4945</v>
      </c>
      <c r="D4360" s="53" t="s">
        <v>3741</v>
      </c>
      <c r="E4360" s="53" t="s">
        <v>5693</v>
      </c>
      <c r="F4360" s="53" t="s">
        <v>478</v>
      </c>
      <c r="G4360" s="53" t="s">
        <v>2889</v>
      </c>
      <c r="H4360" s="53">
        <v>1.0</v>
      </c>
      <c r="I4360" s="53">
        <v>0.25735294117647056</v>
      </c>
      <c r="J4360" s="53">
        <v>13.0</v>
      </c>
      <c r="K4360" s="53" t="s">
        <v>53</v>
      </c>
      <c r="L4360" s="53" t="s">
        <v>53</v>
      </c>
    </row>
    <row r="4361" ht="15.75" customHeight="1">
      <c r="A4361" s="53" t="s">
        <v>411</v>
      </c>
      <c r="B4361" s="53" t="s">
        <v>4945</v>
      </c>
      <c r="D4361" s="53" t="s">
        <v>3741</v>
      </c>
      <c r="E4361" s="53" t="s">
        <v>5694</v>
      </c>
      <c r="F4361" s="53" t="s">
        <v>478</v>
      </c>
      <c r="G4361" s="53" t="s">
        <v>2935</v>
      </c>
      <c r="H4361" s="53">
        <v>1.0</v>
      </c>
      <c r="I4361" s="53">
        <v>0.2582781456953642</v>
      </c>
      <c r="J4361" s="53">
        <v>21.0</v>
      </c>
      <c r="K4361" s="53" t="s">
        <v>53</v>
      </c>
      <c r="L4361" s="53" t="s">
        <v>53</v>
      </c>
    </row>
    <row r="4362" ht="15.75" customHeight="1">
      <c r="A4362" s="53" t="s">
        <v>411</v>
      </c>
      <c r="B4362" s="53" t="s">
        <v>4945</v>
      </c>
      <c r="D4362" s="53" t="s">
        <v>3741</v>
      </c>
      <c r="E4362" s="53" t="s">
        <v>5695</v>
      </c>
      <c r="F4362" s="53" t="s">
        <v>478</v>
      </c>
      <c r="G4362" s="53" t="s">
        <v>2907</v>
      </c>
      <c r="H4362" s="53">
        <v>1.0</v>
      </c>
      <c r="I4362" s="53">
        <v>0.2589928057553957</v>
      </c>
      <c r="J4362" s="53">
        <v>33.0</v>
      </c>
      <c r="K4362" s="53" t="s">
        <v>53</v>
      </c>
      <c r="L4362" s="53" t="s">
        <v>53</v>
      </c>
    </row>
    <row r="4363" ht="15.75" customHeight="1">
      <c r="A4363" s="53" t="s">
        <v>411</v>
      </c>
      <c r="B4363" s="53" t="s">
        <v>4945</v>
      </c>
      <c r="D4363" s="53" t="s">
        <v>3741</v>
      </c>
      <c r="E4363" s="53" t="s">
        <v>5696</v>
      </c>
      <c r="F4363" s="53" t="s">
        <v>478</v>
      </c>
      <c r="G4363" s="53" t="s">
        <v>2913</v>
      </c>
      <c r="H4363" s="53">
        <v>1.0</v>
      </c>
      <c r="I4363" s="53">
        <v>0.2605633802816901</v>
      </c>
      <c r="J4363" s="53">
        <v>14.0</v>
      </c>
      <c r="K4363" s="53" t="s">
        <v>53</v>
      </c>
      <c r="L4363" s="53" t="s">
        <v>53</v>
      </c>
    </row>
    <row r="4364" ht="15.75" customHeight="1">
      <c r="A4364" s="53" t="s">
        <v>411</v>
      </c>
      <c r="B4364" s="53" t="s">
        <v>4945</v>
      </c>
      <c r="D4364" s="53" t="s">
        <v>3741</v>
      </c>
      <c r="E4364" s="53" t="s">
        <v>5697</v>
      </c>
      <c r="F4364" s="53" t="s">
        <v>478</v>
      </c>
      <c r="G4364" s="53" t="s">
        <v>2893</v>
      </c>
      <c r="H4364" s="53">
        <v>1.0</v>
      </c>
      <c r="I4364" s="53">
        <v>0.2608695652173913</v>
      </c>
      <c r="J4364" s="53">
        <v>7.0</v>
      </c>
      <c r="K4364" s="53" t="s">
        <v>53</v>
      </c>
      <c r="L4364" s="53" t="s">
        <v>53</v>
      </c>
    </row>
    <row r="4365" ht="15.75" customHeight="1">
      <c r="A4365" s="53" t="s">
        <v>411</v>
      </c>
      <c r="B4365" s="53" t="s">
        <v>4945</v>
      </c>
      <c r="D4365" s="53" t="s">
        <v>3741</v>
      </c>
      <c r="E4365" s="53" t="s">
        <v>5698</v>
      </c>
      <c r="F4365" s="53" t="s">
        <v>478</v>
      </c>
      <c r="G4365" s="53" t="s">
        <v>2937</v>
      </c>
      <c r="H4365" s="53">
        <v>1.0</v>
      </c>
      <c r="I4365" s="53">
        <v>0.26277372262773724</v>
      </c>
      <c r="J4365" s="53">
        <v>39.0</v>
      </c>
      <c r="K4365" s="53" t="s">
        <v>53</v>
      </c>
      <c r="L4365" s="53" t="s">
        <v>53</v>
      </c>
    </row>
    <row r="4366" ht="15.75" customHeight="1">
      <c r="A4366" s="53" t="s">
        <v>411</v>
      </c>
      <c r="B4366" s="53" t="s">
        <v>4945</v>
      </c>
      <c r="D4366" s="53" t="s">
        <v>3741</v>
      </c>
      <c r="E4366" s="53" t="s">
        <v>5699</v>
      </c>
      <c r="F4366" s="53" t="s">
        <v>478</v>
      </c>
      <c r="G4366" s="53" t="s">
        <v>2903</v>
      </c>
      <c r="H4366" s="53">
        <v>1.0</v>
      </c>
      <c r="I4366" s="53">
        <v>0.2647058823529412</v>
      </c>
      <c r="J4366" s="53">
        <v>1.0</v>
      </c>
      <c r="K4366" s="53" t="s">
        <v>53</v>
      </c>
      <c r="L4366" s="53" t="s">
        <v>53</v>
      </c>
    </row>
    <row r="4367" ht="15.75" customHeight="1">
      <c r="A4367" s="53" t="s">
        <v>411</v>
      </c>
      <c r="B4367" s="53" t="s">
        <v>4945</v>
      </c>
      <c r="D4367" s="53" t="s">
        <v>3741</v>
      </c>
      <c r="E4367" s="53" t="s">
        <v>5700</v>
      </c>
      <c r="F4367" s="53" t="s">
        <v>478</v>
      </c>
      <c r="G4367" s="53" t="s">
        <v>2885</v>
      </c>
      <c r="H4367" s="53">
        <v>1.0</v>
      </c>
      <c r="I4367" s="53">
        <v>0.2647058823529412</v>
      </c>
      <c r="J4367" s="53">
        <v>4.0</v>
      </c>
      <c r="K4367" s="53" t="s">
        <v>53</v>
      </c>
      <c r="L4367" s="53" t="s">
        <v>53</v>
      </c>
    </row>
    <row r="4368" ht="15.75" customHeight="1">
      <c r="A4368" s="53" t="s">
        <v>411</v>
      </c>
      <c r="B4368" s="53" t="s">
        <v>4945</v>
      </c>
      <c r="D4368" s="53" t="s">
        <v>3741</v>
      </c>
      <c r="E4368" s="53" t="s">
        <v>5701</v>
      </c>
      <c r="F4368" s="53" t="s">
        <v>478</v>
      </c>
      <c r="G4368" s="53" t="s">
        <v>2880</v>
      </c>
      <c r="H4368" s="53">
        <v>1.0</v>
      </c>
      <c r="I4368" s="53">
        <v>0.2647058823529412</v>
      </c>
      <c r="J4368" s="53">
        <v>0.0</v>
      </c>
      <c r="K4368" s="53" t="s">
        <v>53</v>
      </c>
      <c r="L4368" s="53" t="s">
        <v>53</v>
      </c>
    </row>
    <row r="4369" ht="15.75" customHeight="1">
      <c r="A4369" s="53" t="s">
        <v>411</v>
      </c>
      <c r="B4369" s="53" t="s">
        <v>4945</v>
      </c>
      <c r="D4369" s="53" t="s">
        <v>3741</v>
      </c>
      <c r="E4369" s="53" t="s">
        <v>5702</v>
      </c>
      <c r="F4369" s="53" t="s">
        <v>478</v>
      </c>
      <c r="G4369" s="53" t="s">
        <v>2901</v>
      </c>
      <c r="H4369" s="53">
        <v>1.0</v>
      </c>
      <c r="I4369" s="53">
        <v>0.2647058823529412</v>
      </c>
      <c r="J4369" s="53">
        <v>12.0</v>
      </c>
      <c r="K4369" s="53" t="s">
        <v>53</v>
      </c>
      <c r="L4369" s="53" t="s">
        <v>53</v>
      </c>
    </row>
    <row r="4370" ht="15.75" customHeight="1">
      <c r="A4370" s="53" t="s">
        <v>411</v>
      </c>
      <c r="B4370" s="53" t="s">
        <v>4945</v>
      </c>
      <c r="D4370" s="53" t="s">
        <v>3741</v>
      </c>
      <c r="E4370" s="53" t="s">
        <v>5703</v>
      </c>
      <c r="F4370" s="53" t="s">
        <v>478</v>
      </c>
      <c r="G4370" s="53" t="s">
        <v>2887</v>
      </c>
      <c r="H4370" s="53">
        <v>1.0</v>
      </c>
      <c r="I4370" s="53">
        <v>0.2647058823529412</v>
      </c>
      <c r="J4370" s="53">
        <v>10.0</v>
      </c>
      <c r="K4370" s="53" t="s">
        <v>53</v>
      </c>
      <c r="L4370" s="53" t="s">
        <v>53</v>
      </c>
    </row>
    <row r="4371" ht="15.75" customHeight="1">
      <c r="A4371" s="53" t="s">
        <v>411</v>
      </c>
      <c r="B4371" s="53" t="s">
        <v>4945</v>
      </c>
      <c r="D4371" s="53" t="s">
        <v>3741</v>
      </c>
      <c r="E4371" s="53" t="s">
        <v>5704</v>
      </c>
      <c r="F4371" s="53" t="s">
        <v>478</v>
      </c>
      <c r="G4371" s="53" t="s">
        <v>2895</v>
      </c>
      <c r="H4371" s="53">
        <v>1.0</v>
      </c>
      <c r="I4371" s="53">
        <v>0.27007299270072993</v>
      </c>
      <c r="J4371" s="53">
        <v>11.0</v>
      </c>
      <c r="K4371" s="53" t="s">
        <v>53</v>
      </c>
      <c r="L4371" s="53" t="s">
        <v>53</v>
      </c>
    </row>
    <row r="4372" ht="15.75" customHeight="1">
      <c r="A4372" s="53" t="s">
        <v>411</v>
      </c>
      <c r="B4372" s="53" t="s">
        <v>4945</v>
      </c>
      <c r="D4372" s="53" t="s">
        <v>3741</v>
      </c>
      <c r="E4372" s="53" t="s">
        <v>5705</v>
      </c>
      <c r="F4372" s="53" t="s">
        <v>478</v>
      </c>
      <c r="G4372" s="53" t="s">
        <v>2899</v>
      </c>
      <c r="H4372" s="53">
        <v>1.0</v>
      </c>
      <c r="I4372" s="53">
        <v>0.27205882352941174</v>
      </c>
      <c r="J4372" s="53">
        <v>15.0</v>
      </c>
      <c r="K4372" s="53" t="s">
        <v>53</v>
      </c>
      <c r="L4372" s="53" t="s">
        <v>53</v>
      </c>
    </row>
    <row r="4373" ht="15.75" customHeight="1">
      <c r="A4373" s="53" t="s">
        <v>411</v>
      </c>
      <c r="B4373" s="53" t="s">
        <v>4945</v>
      </c>
      <c r="D4373" s="53" t="s">
        <v>3741</v>
      </c>
      <c r="E4373" s="53" t="s">
        <v>5706</v>
      </c>
      <c r="F4373" s="53" t="s">
        <v>478</v>
      </c>
      <c r="G4373" s="53" t="s">
        <v>2905</v>
      </c>
      <c r="H4373" s="53">
        <v>1.0</v>
      </c>
      <c r="I4373" s="53">
        <v>0.27205882352941174</v>
      </c>
      <c r="J4373" s="53">
        <v>18.0</v>
      </c>
      <c r="K4373" s="53" t="s">
        <v>53</v>
      </c>
      <c r="L4373" s="53" t="s">
        <v>53</v>
      </c>
    </row>
    <row r="4374" ht="15.75" customHeight="1">
      <c r="A4374" s="53" t="s">
        <v>411</v>
      </c>
      <c r="B4374" s="53" t="s">
        <v>4945</v>
      </c>
      <c r="D4374" s="53" t="s">
        <v>3741</v>
      </c>
      <c r="E4374" s="53" t="s">
        <v>5707</v>
      </c>
      <c r="F4374" s="53" t="s">
        <v>478</v>
      </c>
      <c r="G4374" s="53" t="s">
        <v>2933</v>
      </c>
      <c r="H4374" s="53">
        <v>1.0</v>
      </c>
      <c r="I4374" s="53">
        <v>0.275</v>
      </c>
      <c r="J4374" s="53">
        <v>31.0</v>
      </c>
      <c r="K4374" s="53" t="s">
        <v>53</v>
      </c>
      <c r="L4374" s="53" t="s">
        <v>53</v>
      </c>
    </row>
    <row r="4375" ht="15.75" customHeight="1">
      <c r="A4375" s="53" t="s">
        <v>411</v>
      </c>
      <c r="B4375" s="53" t="s">
        <v>4945</v>
      </c>
      <c r="D4375" s="53" t="s">
        <v>3741</v>
      </c>
      <c r="E4375" s="53" t="s">
        <v>5708</v>
      </c>
      <c r="F4375" s="53" t="s">
        <v>478</v>
      </c>
      <c r="G4375" s="53" t="s">
        <v>2954</v>
      </c>
      <c r="H4375" s="53">
        <v>1.0</v>
      </c>
      <c r="I4375" s="53">
        <v>0.28169014084507044</v>
      </c>
      <c r="J4375" s="53">
        <v>17.0</v>
      </c>
      <c r="K4375" s="53" t="s">
        <v>53</v>
      </c>
      <c r="L4375" s="53" t="s">
        <v>53</v>
      </c>
    </row>
    <row r="4376" ht="15.75" customHeight="1">
      <c r="A4376" s="53" t="s">
        <v>411</v>
      </c>
      <c r="B4376" s="53" t="s">
        <v>4945</v>
      </c>
      <c r="D4376" s="53" t="s">
        <v>3741</v>
      </c>
      <c r="E4376" s="53" t="s">
        <v>5709</v>
      </c>
      <c r="F4376" s="53" t="s">
        <v>478</v>
      </c>
      <c r="G4376" s="53" t="s">
        <v>509</v>
      </c>
      <c r="H4376" s="53">
        <v>1.0</v>
      </c>
      <c r="I4376" s="53">
        <v>0.2846715328467153</v>
      </c>
      <c r="J4376" s="53">
        <v>2.0</v>
      </c>
      <c r="K4376" s="53" t="s">
        <v>53</v>
      </c>
      <c r="L4376" s="53" t="s">
        <v>53</v>
      </c>
    </row>
    <row r="4377" ht="15.75" customHeight="1">
      <c r="A4377" s="53" t="s">
        <v>411</v>
      </c>
      <c r="B4377" s="53" t="s">
        <v>4945</v>
      </c>
      <c r="D4377" s="53" t="s">
        <v>3741</v>
      </c>
      <c r="E4377" s="53" t="s">
        <v>5710</v>
      </c>
      <c r="F4377" s="53" t="s">
        <v>478</v>
      </c>
      <c r="G4377" s="53" t="s">
        <v>2946</v>
      </c>
      <c r="H4377" s="53">
        <v>1.0</v>
      </c>
      <c r="I4377" s="53">
        <v>0.2909090909090909</v>
      </c>
      <c r="J4377" s="53">
        <v>6.0</v>
      </c>
      <c r="K4377" s="53" t="s">
        <v>53</v>
      </c>
      <c r="L4377" s="53" t="s">
        <v>53</v>
      </c>
    </row>
    <row r="4378" ht="15.75" customHeight="1">
      <c r="A4378" s="53" t="s">
        <v>411</v>
      </c>
      <c r="B4378" s="53" t="s">
        <v>4945</v>
      </c>
      <c r="D4378" s="53" t="s">
        <v>3741</v>
      </c>
      <c r="E4378" s="53" t="s">
        <v>5711</v>
      </c>
      <c r="F4378" s="53" t="s">
        <v>478</v>
      </c>
      <c r="G4378" s="53" t="s">
        <v>2944</v>
      </c>
      <c r="H4378" s="53">
        <v>1.0</v>
      </c>
      <c r="I4378" s="53">
        <v>0.2919254658385093</v>
      </c>
      <c r="J4378" s="53">
        <v>23.0</v>
      </c>
      <c r="K4378" s="53" t="s">
        <v>53</v>
      </c>
      <c r="L4378" s="53" t="s">
        <v>53</v>
      </c>
    </row>
    <row r="4379" ht="15.75" customHeight="1">
      <c r="A4379" s="53" t="s">
        <v>411</v>
      </c>
      <c r="B4379" s="53" t="s">
        <v>4945</v>
      </c>
      <c r="D4379" s="53" t="s">
        <v>3741</v>
      </c>
      <c r="E4379" s="53" t="s">
        <v>5712</v>
      </c>
      <c r="F4379" s="53" t="s">
        <v>478</v>
      </c>
      <c r="G4379" s="53" t="s">
        <v>2942</v>
      </c>
      <c r="H4379" s="53">
        <v>1.0</v>
      </c>
      <c r="I4379" s="53">
        <v>0.29285714285714287</v>
      </c>
      <c r="J4379" s="53">
        <v>40.0</v>
      </c>
      <c r="K4379" s="53" t="s">
        <v>53</v>
      </c>
      <c r="L4379" s="53" t="s">
        <v>53</v>
      </c>
    </row>
    <row r="4380" ht="15.75" customHeight="1">
      <c r="A4380" s="53" t="s">
        <v>411</v>
      </c>
      <c r="B4380" s="53" t="s">
        <v>4945</v>
      </c>
      <c r="D4380" s="53" t="s">
        <v>3741</v>
      </c>
      <c r="E4380" s="53" t="s">
        <v>5713</v>
      </c>
      <c r="F4380" s="53" t="s">
        <v>478</v>
      </c>
      <c r="G4380" s="53" t="s">
        <v>474</v>
      </c>
      <c r="H4380" s="53">
        <v>1.0</v>
      </c>
      <c r="I4380" s="53">
        <v>0.2945205479452055</v>
      </c>
      <c r="J4380" s="53">
        <v>36.0</v>
      </c>
      <c r="K4380" s="53" t="s">
        <v>53</v>
      </c>
      <c r="L4380" s="53" t="s">
        <v>53</v>
      </c>
    </row>
    <row r="4381" ht="15.75" customHeight="1">
      <c r="A4381" s="53" t="s">
        <v>411</v>
      </c>
      <c r="B4381" s="53" t="s">
        <v>4945</v>
      </c>
      <c r="D4381" s="53" t="s">
        <v>3741</v>
      </c>
      <c r="E4381" s="53" t="s">
        <v>5714</v>
      </c>
      <c r="F4381" s="53" t="s">
        <v>478</v>
      </c>
      <c r="G4381" s="53" t="s">
        <v>2950</v>
      </c>
      <c r="H4381" s="53">
        <v>1.0</v>
      </c>
      <c r="I4381" s="53">
        <v>0.29559748427672955</v>
      </c>
      <c r="J4381" s="53">
        <v>20.0</v>
      </c>
      <c r="K4381" s="53" t="s">
        <v>53</v>
      </c>
      <c r="L4381" s="53" t="s">
        <v>53</v>
      </c>
    </row>
    <row r="4382" ht="15.75" customHeight="1">
      <c r="A4382" s="53" t="s">
        <v>411</v>
      </c>
      <c r="B4382" s="53" t="s">
        <v>4945</v>
      </c>
      <c r="D4382" s="53" t="s">
        <v>3741</v>
      </c>
      <c r="E4382" s="53" t="s">
        <v>5715</v>
      </c>
      <c r="F4382" s="53" t="s">
        <v>478</v>
      </c>
      <c r="G4382" s="53" t="s">
        <v>485</v>
      </c>
      <c r="H4382" s="53">
        <v>1.0</v>
      </c>
      <c r="I4382" s="53">
        <v>0.2986111111111111</v>
      </c>
      <c r="J4382" s="53">
        <v>35.0</v>
      </c>
      <c r="K4382" s="53" t="s">
        <v>53</v>
      </c>
      <c r="L4382" s="53" t="s">
        <v>53</v>
      </c>
    </row>
    <row r="4383" ht="15.75" customHeight="1">
      <c r="A4383" s="53" t="s">
        <v>411</v>
      </c>
      <c r="B4383" s="53" t="s">
        <v>4945</v>
      </c>
      <c r="D4383" s="53" t="s">
        <v>3741</v>
      </c>
      <c r="E4383" s="53" t="s">
        <v>5716</v>
      </c>
      <c r="F4383" s="53" t="s">
        <v>478</v>
      </c>
      <c r="G4383" s="53" t="s">
        <v>2948</v>
      </c>
      <c r="H4383" s="53">
        <v>1.0</v>
      </c>
      <c r="I4383" s="53">
        <v>0.3028169014084507</v>
      </c>
      <c r="J4383" s="53">
        <v>38.0</v>
      </c>
      <c r="K4383" s="53" t="s">
        <v>53</v>
      </c>
      <c r="L4383" s="53" t="s">
        <v>53</v>
      </c>
    </row>
    <row r="4384" ht="15.75" customHeight="1">
      <c r="A4384" s="53" t="s">
        <v>411</v>
      </c>
      <c r="B4384" s="53" t="s">
        <v>4945</v>
      </c>
      <c r="D4384" s="53" t="s">
        <v>3741</v>
      </c>
      <c r="E4384" s="53" t="s">
        <v>5717</v>
      </c>
      <c r="F4384" s="53" t="s">
        <v>478</v>
      </c>
      <c r="G4384" s="53" t="s">
        <v>2957</v>
      </c>
      <c r="H4384" s="53">
        <v>1.0</v>
      </c>
      <c r="I4384" s="53">
        <v>0.3212121212121212</v>
      </c>
      <c r="J4384" s="53">
        <v>22.0</v>
      </c>
      <c r="K4384" s="53" t="s">
        <v>53</v>
      </c>
      <c r="L4384" s="53" t="s">
        <v>53</v>
      </c>
    </row>
    <row r="4385" ht="15.75" customHeight="1">
      <c r="A4385" s="53" t="s">
        <v>411</v>
      </c>
      <c r="B4385" s="53" t="s">
        <v>4945</v>
      </c>
      <c r="D4385" s="53" t="s">
        <v>3741</v>
      </c>
      <c r="E4385" s="53" t="s">
        <v>5718</v>
      </c>
      <c r="F4385" s="53" t="s">
        <v>478</v>
      </c>
      <c r="G4385" s="53" t="s">
        <v>2940</v>
      </c>
      <c r="H4385" s="53">
        <v>1.0</v>
      </c>
      <c r="I4385" s="53">
        <v>0.3235294117647059</v>
      </c>
      <c r="J4385" s="53">
        <v>19.0</v>
      </c>
      <c r="K4385" s="53" t="s">
        <v>53</v>
      </c>
      <c r="L4385" s="53" t="s">
        <v>53</v>
      </c>
    </row>
    <row r="4386" ht="15.75" customHeight="1">
      <c r="A4386" s="53" t="s">
        <v>411</v>
      </c>
      <c r="B4386" s="53" t="s">
        <v>4945</v>
      </c>
      <c r="D4386" s="53" t="s">
        <v>3741</v>
      </c>
      <c r="E4386" s="53" t="s">
        <v>5719</v>
      </c>
      <c r="F4386" s="53" t="s">
        <v>478</v>
      </c>
      <c r="G4386" s="53" t="s">
        <v>495</v>
      </c>
      <c r="H4386" s="53">
        <v>1.0</v>
      </c>
      <c r="I4386" s="53">
        <v>0.34782608695652173</v>
      </c>
      <c r="J4386" s="53">
        <v>37.0</v>
      </c>
      <c r="K4386" s="53" t="s">
        <v>53</v>
      </c>
      <c r="L4386" s="53" t="s">
        <v>53</v>
      </c>
    </row>
    <row r="4387" ht="15.75" customHeight="1">
      <c r="A4387" s="53" t="s">
        <v>411</v>
      </c>
      <c r="B4387" s="53" t="s">
        <v>4945</v>
      </c>
      <c r="D4387" s="53" t="s">
        <v>2880</v>
      </c>
      <c r="E4387" s="53" t="s">
        <v>5720</v>
      </c>
      <c r="F4387" s="53" t="s">
        <v>478</v>
      </c>
      <c r="G4387" s="53" t="s">
        <v>2883</v>
      </c>
      <c r="H4387" s="53">
        <v>1.0</v>
      </c>
      <c r="I4387" s="53">
        <v>0.05925925925925926</v>
      </c>
      <c r="J4387" s="53">
        <v>4.0</v>
      </c>
      <c r="K4387" s="53" t="s">
        <v>53</v>
      </c>
      <c r="L4387" s="53" t="s">
        <v>53</v>
      </c>
    </row>
    <row r="4388" ht="15.75" customHeight="1">
      <c r="A4388" s="53" t="s">
        <v>411</v>
      </c>
      <c r="B4388" s="53" t="s">
        <v>4945</v>
      </c>
      <c r="D4388" s="53" t="s">
        <v>2880</v>
      </c>
      <c r="E4388" s="53" t="s">
        <v>5721</v>
      </c>
      <c r="F4388" s="53" t="s">
        <v>478</v>
      </c>
      <c r="G4388" s="53" t="s">
        <v>2885</v>
      </c>
      <c r="H4388" s="53">
        <v>1.0</v>
      </c>
      <c r="I4388" s="53">
        <v>0.05925925925925926</v>
      </c>
      <c r="J4388" s="53">
        <v>3.0</v>
      </c>
      <c r="K4388" s="53" t="s">
        <v>53</v>
      </c>
      <c r="L4388" s="53" t="s">
        <v>53</v>
      </c>
    </row>
    <row r="4389" ht="15.75" customHeight="1">
      <c r="A4389" s="53" t="s">
        <v>411</v>
      </c>
      <c r="B4389" s="53" t="s">
        <v>4945</v>
      </c>
      <c r="D4389" s="53" t="s">
        <v>2880</v>
      </c>
      <c r="E4389" s="53" t="s">
        <v>5722</v>
      </c>
      <c r="F4389" s="53" t="s">
        <v>478</v>
      </c>
      <c r="G4389" s="53" t="s">
        <v>2887</v>
      </c>
      <c r="H4389" s="53">
        <v>1.0</v>
      </c>
      <c r="I4389" s="53">
        <v>0.05925925925925926</v>
      </c>
      <c r="J4389" s="53">
        <v>9.0</v>
      </c>
      <c r="K4389" s="53" t="s">
        <v>53</v>
      </c>
      <c r="L4389" s="53" t="s">
        <v>53</v>
      </c>
    </row>
    <row r="4390" ht="15.75" customHeight="1">
      <c r="A4390" s="53" t="s">
        <v>411</v>
      </c>
      <c r="B4390" s="53" t="s">
        <v>4945</v>
      </c>
      <c r="D4390" s="53" t="s">
        <v>2880</v>
      </c>
      <c r="E4390" s="53" t="s">
        <v>5723</v>
      </c>
      <c r="F4390" s="53" t="s">
        <v>478</v>
      </c>
      <c r="G4390" s="53" t="s">
        <v>2889</v>
      </c>
      <c r="H4390" s="53">
        <v>1.0</v>
      </c>
      <c r="I4390" s="53">
        <v>0.0661764705882353</v>
      </c>
      <c r="J4390" s="53">
        <v>12.0</v>
      </c>
      <c r="K4390" s="53" t="s">
        <v>53</v>
      </c>
      <c r="L4390" s="53" t="s">
        <v>53</v>
      </c>
    </row>
    <row r="4391" ht="15.75" customHeight="1">
      <c r="A4391" s="53" t="s">
        <v>411</v>
      </c>
      <c r="B4391" s="53" t="s">
        <v>4945</v>
      </c>
      <c r="D4391" s="53" t="s">
        <v>2880</v>
      </c>
      <c r="E4391" s="53" t="s">
        <v>5724</v>
      </c>
      <c r="F4391" s="53" t="s">
        <v>478</v>
      </c>
      <c r="G4391" s="53" t="s">
        <v>2891</v>
      </c>
      <c r="H4391" s="53">
        <v>1.0</v>
      </c>
      <c r="I4391" s="53">
        <v>0.07246376811594203</v>
      </c>
      <c r="J4391" s="53">
        <v>8.0</v>
      </c>
      <c r="K4391" s="53" t="s">
        <v>53</v>
      </c>
      <c r="L4391" s="53" t="s">
        <v>53</v>
      </c>
    </row>
    <row r="4392" ht="15.75" customHeight="1">
      <c r="A4392" s="53" t="s">
        <v>411</v>
      </c>
      <c r="B4392" s="53" t="s">
        <v>4945</v>
      </c>
      <c r="D4392" s="53" t="s">
        <v>2880</v>
      </c>
      <c r="E4392" s="53" t="s">
        <v>5725</v>
      </c>
      <c r="F4392" s="53" t="s">
        <v>478</v>
      </c>
      <c r="G4392" s="53" t="s">
        <v>2893</v>
      </c>
      <c r="H4392" s="53">
        <v>1.0</v>
      </c>
      <c r="I4392" s="53">
        <v>0.07246376811594203</v>
      </c>
      <c r="J4392" s="53">
        <v>6.0</v>
      </c>
      <c r="K4392" s="53" t="s">
        <v>53</v>
      </c>
      <c r="L4392" s="53" t="s">
        <v>53</v>
      </c>
    </row>
    <row r="4393" ht="15.75" customHeight="1">
      <c r="A4393" s="53" t="s">
        <v>411</v>
      </c>
      <c r="B4393" s="53" t="s">
        <v>4945</v>
      </c>
      <c r="D4393" s="53" t="s">
        <v>2880</v>
      </c>
      <c r="E4393" s="53" t="s">
        <v>5726</v>
      </c>
      <c r="F4393" s="53" t="s">
        <v>478</v>
      </c>
      <c r="G4393" s="53" t="s">
        <v>2895</v>
      </c>
      <c r="H4393" s="53">
        <v>1.0</v>
      </c>
      <c r="I4393" s="53">
        <v>0.072992700729927</v>
      </c>
      <c r="J4393" s="53">
        <v>10.0</v>
      </c>
      <c r="K4393" s="53" t="s">
        <v>53</v>
      </c>
      <c r="L4393" s="53" t="s">
        <v>53</v>
      </c>
    </row>
    <row r="4394" ht="15.75" customHeight="1">
      <c r="A4394" s="53" t="s">
        <v>411</v>
      </c>
      <c r="B4394" s="53" t="s">
        <v>4945</v>
      </c>
      <c r="D4394" s="53" t="s">
        <v>2880</v>
      </c>
      <c r="E4394" s="53" t="s">
        <v>5727</v>
      </c>
      <c r="F4394" s="53" t="s">
        <v>478</v>
      </c>
      <c r="G4394" s="53" t="s">
        <v>2897</v>
      </c>
      <c r="H4394" s="53">
        <v>1.0</v>
      </c>
      <c r="I4394" s="53">
        <v>0.072992700729927</v>
      </c>
      <c r="J4394" s="53">
        <v>7.0</v>
      </c>
      <c r="K4394" s="53" t="s">
        <v>53</v>
      </c>
      <c r="L4394" s="53" t="s">
        <v>53</v>
      </c>
    </row>
    <row r="4395" ht="15.75" customHeight="1">
      <c r="A4395" s="53" t="s">
        <v>411</v>
      </c>
      <c r="B4395" s="53" t="s">
        <v>4945</v>
      </c>
      <c r="D4395" s="53" t="s">
        <v>2880</v>
      </c>
      <c r="E4395" s="53" t="s">
        <v>5728</v>
      </c>
      <c r="F4395" s="53" t="s">
        <v>478</v>
      </c>
      <c r="G4395" s="53" t="s">
        <v>2899</v>
      </c>
      <c r="H4395" s="53">
        <v>1.0</v>
      </c>
      <c r="I4395" s="53">
        <v>0.07407407407407407</v>
      </c>
      <c r="J4395" s="53">
        <v>14.0</v>
      </c>
      <c r="K4395" s="53" t="s">
        <v>53</v>
      </c>
      <c r="L4395" s="53" t="s">
        <v>53</v>
      </c>
    </row>
    <row r="4396" ht="15.75" customHeight="1">
      <c r="A4396" s="53" t="s">
        <v>411</v>
      </c>
      <c r="B4396" s="53" t="s">
        <v>4945</v>
      </c>
      <c r="D4396" s="53" t="s">
        <v>2880</v>
      </c>
      <c r="E4396" s="53" t="s">
        <v>5729</v>
      </c>
      <c r="F4396" s="53" t="s">
        <v>478</v>
      </c>
      <c r="G4396" s="53" t="s">
        <v>2901</v>
      </c>
      <c r="H4396" s="53">
        <v>1.0</v>
      </c>
      <c r="I4396" s="53">
        <v>0.07407407407407407</v>
      </c>
      <c r="J4396" s="53">
        <v>11.0</v>
      </c>
      <c r="K4396" s="53" t="s">
        <v>53</v>
      </c>
      <c r="L4396" s="53" t="s">
        <v>53</v>
      </c>
    </row>
    <row r="4397" ht="15.75" customHeight="1">
      <c r="A4397" s="53" t="s">
        <v>411</v>
      </c>
      <c r="B4397" s="53" t="s">
        <v>4945</v>
      </c>
      <c r="D4397" s="53" t="s">
        <v>2880</v>
      </c>
      <c r="E4397" s="53" t="s">
        <v>5730</v>
      </c>
      <c r="F4397" s="53" t="s">
        <v>478</v>
      </c>
      <c r="G4397" s="53" t="s">
        <v>2903</v>
      </c>
      <c r="H4397" s="53">
        <v>1.0</v>
      </c>
      <c r="I4397" s="53">
        <v>0.08088235294117647</v>
      </c>
      <c r="J4397" s="53">
        <v>0.0</v>
      </c>
      <c r="K4397" s="53" t="s">
        <v>53</v>
      </c>
      <c r="L4397" s="53" t="s">
        <v>53</v>
      </c>
    </row>
    <row r="4398" ht="15.75" customHeight="1">
      <c r="A4398" s="53" t="s">
        <v>411</v>
      </c>
      <c r="B4398" s="53" t="s">
        <v>4945</v>
      </c>
      <c r="D4398" s="53" t="s">
        <v>2880</v>
      </c>
      <c r="E4398" s="53" t="s">
        <v>5731</v>
      </c>
      <c r="F4398" s="53" t="s">
        <v>478</v>
      </c>
      <c r="G4398" s="53" t="s">
        <v>2905</v>
      </c>
      <c r="H4398" s="53">
        <v>1.0</v>
      </c>
      <c r="I4398" s="53">
        <v>0.08088235294117647</v>
      </c>
      <c r="J4398" s="53">
        <v>17.0</v>
      </c>
      <c r="K4398" s="53" t="s">
        <v>53</v>
      </c>
      <c r="L4398" s="53" t="s">
        <v>53</v>
      </c>
    </row>
    <row r="4399" ht="15.75" customHeight="1">
      <c r="A4399" s="53" t="s">
        <v>411</v>
      </c>
      <c r="B4399" s="53" t="s">
        <v>4945</v>
      </c>
      <c r="D4399" s="53" t="s">
        <v>2880</v>
      </c>
      <c r="E4399" s="53" t="s">
        <v>5732</v>
      </c>
      <c r="F4399" s="53" t="s">
        <v>478</v>
      </c>
      <c r="G4399" s="53" t="s">
        <v>2907</v>
      </c>
      <c r="H4399" s="53">
        <v>1.0</v>
      </c>
      <c r="I4399" s="53">
        <v>0.09352517985611511</v>
      </c>
      <c r="J4399" s="53">
        <v>32.0</v>
      </c>
      <c r="K4399" s="53" t="s">
        <v>53</v>
      </c>
      <c r="L4399" s="53" t="s">
        <v>53</v>
      </c>
    </row>
    <row r="4400" ht="15.75" customHeight="1">
      <c r="A4400" s="53" t="s">
        <v>411</v>
      </c>
      <c r="B4400" s="53" t="s">
        <v>4945</v>
      </c>
      <c r="D4400" s="53" t="s">
        <v>2880</v>
      </c>
      <c r="E4400" s="53" t="s">
        <v>5733</v>
      </c>
      <c r="F4400" s="53" t="s">
        <v>478</v>
      </c>
      <c r="G4400" s="53" t="s">
        <v>2909</v>
      </c>
      <c r="H4400" s="53">
        <v>1.0</v>
      </c>
      <c r="I4400" s="53">
        <v>0.09929078014184398</v>
      </c>
      <c r="J4400" s="53">
        <v>2.0</v>
      </c>
      <c r="K4400" s="53" t="s">
        <v>53</v>
      </c>
      <c r="L4400" s="53" t="s">
        <v>53</v>
      </c>
    </row>
    <row r="4401" ht="15.75" customHeight="1">
      <c r="A4401" s="53" t="s">
        <v>411</v>
      </c>
      <c r="B4401" s="53" t="s">
        <v>4945</v>
      </c>
      <c r="D4401" s="53" t="s">
        <v>2880</v>
      </c>
      <c r="E4401" s="53" t="s">
        <v>5734</v>
      </c>
      <c r="F4401" s="53" t="s">
        <v>478</v>
      </c>
      <c r="G4401" s="53" t="s">
        <v>2911</v>
      </c>
      <c r="H4401" s="53">
        <v>1.0</v>
      </c>
      <c r="I4401" s="53">
        <v>0.1056338028169014</v>
      </c>
      <c r="J4401" s="53">
        <v>15.0</v>
      </c>
      <c r="K4401" s="53" t="s">
        <v>53</v>
      </c>
      <c r="L4401" s="53" t="s">
        <v>53</v>
      </c>
    </row>
    <row r="4402" ht="15.75" customHeight="1">
      <c r="A4402" s="53" t="s">
        <v>411</v>
      </c>
      <c r="B4402" s="53" t="s">
        <v>4945</v>
      </c>
      <c r="D4402" s="53" t="s">
        <v>2880</v>
      </c>
      <c r="E4402" s="53" t="s">
        <v>5735</v>
      </c>
      <c r="F4402" s="53" t="s">
        <v>478</v>
      </c>
      <c r="G4402" s="53" t="s">
        <v>2913</v>
      </c>
      <c r="H4402" s="53">
        <v>1.0</v>
      </c>
      <c r="I4402" s="53">
        <v>0.11267605633802817</v>
      </c>
      <c r="J4402" s="53">
        <v>13.0</v>
      </c>
      <c r="K4402" s="53" t="s">
        <v>53</v>
      </c>
      <c r="L4402" s="53" t="s">
        <v>53</v>
      </c>
    </row>
    <row r="4403" ht="15.75" customHeight="1">
      <c r="A4403" s="53" t="s">
        <v>411</v>
      </c>
      <c r="B4403" s="53" t="s">
        <v>4945</v>
      </c>
      <c r="D4403" s="53" t="s">
        <v>2880</v>
      </c>
      <c r="E4403" s="53" t="s">
        <v>5736</v>
      </c>
      <c r="F4403" s="53" t="s">
        <v>478</v>
      </c>
      <c r="G4403" s="53" t="s">
        <v>2915</v>
      </c>
      <c r="H4403" s="53">
        <v>1.0</v>
      </c>
      <c r="I4403" s="53">
        <v>0.11724137931034483</v>
      </c>
      <c r="J4403" s="53">
        <v>24.0</v>
      </c>
      <c r="K4403" s="53" t="s">
        <v>53</v>
      </c>
      <c r="L4403" s="53" t="s">
        <v>53</v>
      </c>
    </row>
    <row r="4404" ht="15.75" customHeight="1">
      <c r="A4404" s="53" t="s">
        <v>411</v>
      </c>
      <c r="B4404" s="53" t="s">
        <v>4945</v>
      </c>
      <c r="D4404" s="53" t="s">
        <v>2880</v>
      </c>
      <c r="E4404" s="53" t="s">
        <v>5737</v>
      </c>
      <c r="F4404" s="53" t="s">
        <v>478</v>
      </c>
      <c r="G4404" s="53" t="s">
        <v>2917</v>
      </c>
      <c r="H4404" s="53">
        <v>1.0</v>
      </c>
      <c r="I4404" s="53">
        <v>0.11888111888111888</v>
      </c>
      <c r="J4404" s="53">
        <v>33.0</v>
      </c>
      <c r="K4404" s="53" t="s">
        <v>53</v>
      </c>
      <c r="L4404" s="53" t="s">
        <v>53</v>
      </c>
    </row>
    <row r="4405" ht="15.75" customHeight="1">
      <c r="A4405" s="53" t="s">
        <v>411</v>
      </c>
      <c r="B4405" s="53" t="s">
        <v>4945</v>
      </c>
      <c r="D4405" s="53" t="s">
        <v>2880</v>
      </c>
      <c r="E4405" s="53" t="s">
        <v>5738</v>
      </c>
      <c r="F4405" s="53" t="s">
        <v>478</v>
      </c>
      <c r="G4405" s="53" t="s">
        <v>2919</v>
      </c>
      <c r="H4405" s="53">
        <v>1.0</v>
      </c>
      <c r="I4405" s="53">
        <v>0.13245033112582782</v>
      </c>
      <c r="J4405" s="53">
        <v>26.0</v>
      </c>
      <c r="K4405" s="53" t="s">
        <v>53</v>
      </c>
      <c r="L4405" s="53" t="s">
        <v>53</v>
      </c>
    </row>
    <row r="4406" ht="15.75" customHeight="1">
      <c r="A4406" s="53" t="s">
        <v>411</v>
      </c>
      <c r="B4406" s="53" t="s">
        <v>4945</v>
      </c>
      <c r="D4406" s="53" t="s">
        <v>2880</v>
      </c>
      <c r="E4406" s="53" t="s">
        <v>5739</v>
      </c>
      <c r="F4406" s="53" t="s">
        <v>478</v>
      </c>
      <c r="G4406" s="53" t="s">
        <v>2921</v>
      </c>
      <c r="H4406" s="53">
        <v>1.0</v>
      </c>
      <c r="I4406" s="53">
        <v>0.1342281879194631</v>
      </c>
      <c r="J4406" s="53">
        <v>27.0</v>
      </c>
      <c r="K4406" s="53" t="s">
        <v>53</v>
      </c>
      <c r="L4406" s="53" t="s">
        <v>53</v>
      </c>
    </row>
    <row r="4407" ht="15.75" customHeight="1">
      <c r="A4407" s="53" t="s">
        <v>411</v>
      </c>
      <c r="B4407" s="53" t="s">
        <v>4945</v>
      </c>
      <c r="D4407" s="53" t="s">
        <v>2880</v>
      </c>
      <c r="E4407" s="53" t="s">
        <v>5740</v>
      </c>
      <c r="F4407" s="53" t="s">
        <v>478</v>
      </c>
      <c r="G4407" s="53" t="s">
        <v>2923</v>
      </c>
      <c r="H4407" s="53">
        <v>1.0</v>
      </c>
      <c r="I4407" s="53">
        <v>0.13513513513513514</v>
      </c>
      <c r="J4407" s="53">
        <v>25.0</v>
      </c>
      <c r="K4407" s="53" t="s">
        <v>53</v>
      </c>
      <c r="L4407" s="53" t="s">
        <v>53</v>
      </c>
    </row>
    <row r="4408" ht="15.75" customHeight="1">
      <c r="A4408" s="53" t="s">
        <v>411</v>
      </c>
      <c r="B4408" s="53" t="s">
        <v>4945</v>
      </c>
      <c r="D4408" s="53" t="s">
        <v>2880</v>
      </c>
      <c r="E4408" s="53" t="s">
        <v>5741</v>
      </c>
      <c r="F4408" s="53" t="s">
        <v>478</v>
      </c>
      <c r="G4408" s="53" t="s">
        <v>2925</v>
      </c>
      <c r="H4408" s="53">
        <v>1.0</v>
      </c>
      <c r="I4408" s="53">
        <v>0.1390728476821192</v>
      </c>
      <c r="J4408" s="53">
        <v>31.0</v>
      </c>
      <c r="K4408" s="53" t="s">
        <v>53</v>
      </c>
      <c r="L4408" s="53" t="s">
        <v>53</v>
      </c>
    </row>
    <row r="4409" ht="15.75" customHeight="1">
      <c r="A4409" s="53" t="s">
        <v>411</v>
      </c>
      <c r="B4409" s="53" t="s">
        <v>4945</v>
      </c>
      <c r="D4409" s="53" t="s">
        <v>2880</v>
      </c>
      <c r="E4409" s="53" t="s">
        <v>5742</v>
      </c>
      <c r="F4409" s="53" t="s">
        <v>478</v>
      </c>
      <c r="G4409" s="53" t="s">
        <v>2927</v>
      </c>
      <c r="H4409" s="53">
        <v>1.0</v>
      </c>
      <c r="I4409" s="53">
        <v>0.14093959731543623</v>
      </c>
      <c r="J4409" s="53">
        <v>28.0</v>
      </c>
      <c r="K4409" s="53" t="s">
        <v>53</v>
      </c>
      <c r="L4409" s="53" t="s">
        <v>53</v>
      </c>
    </row>
    <row r="4410" ht="15.75" customHeight="1">
      <c r="A4410" s="53" t="s">
        <v>411</v>
      </c>
      <c r="B4410" s="53" t="s">
        <v>4945</v>
      </c>
      <c r="D4410" s="53" t="s">
        <v>2880</v>
      </c>
      <c r="E4410" s="53" t="s">
        <v>5743</v>
      </c>
      <c r="F4410" s="53" t="s">
        <v>478</v>
      </c>
      <c r="G4410" s="53" t="s">
        <v>2929</v>
      </c>
      <c r="H4410" s="53">
        <v>1.0</v>
      </c>
      <c r="I4410" s="53">
        <v>0.1437908496732026</v>
      </c>
      <c r="J4410" s="53">
        <v>29.0</v>
      </c>
      <c r="K4410" s="53" t="s">
        <v>53</v>
      </c>
      <c r="L4410" s="53" t="s">
        <v>53</v>
      </c>
    </row>
    <row r="4411" ht="15.75" customHeight="1">
      <c r="A4411" s="53" t="s">
        <v>411</v>
      </c>
      <c r="B4411" s="53" t="s">
        <v>4945</v>
      </c>
      <c r="D4411" s="53" t="s">
        <v>2880</v>
      </c>
      <c r="E4411" s="53" t="s">
        <v>5744</v>
      </c>
      <c r="F4411" s="53" t="s">
        <v>478</v>
      </c>
      <c r="G4411" s="53" t="s">
        <v>2931</v>
      </c>
      <c r="H4411" s="53">
        <v>1.0</v>
      </c>
      <c r="I4411" s="53">
        <v>0.16447368421052633</v>
      </c>
      <c r="J4411" s="53">
        <v>23.0</v>
      </c>
      <c r="K4411" s="53" t="s">
        <v>53</v>
      </c>
      <c r="L4411" s="53" t="s">
        <v>53</v>
      </c>
    </row>
    <row r="4412" ht="15.75" customHeight="1">
      <c r="A4412" s="53" t="s">
        <v>411</v>
      </c>
      <c r="B4412" s="53" t="s">
        <v>4945</v>
      </c>
      <c r="D4412" s="53" t="s">
        <v>2880</v>
      </c>
      <c r="E4412" s="53" t="s">
        <v>5745</v>
      </c>
      <c r="F4412" s="53" t="s">
        <v>478</v>
      </c>
      <c r="G4412" s="53" t="s">
        <v>2933</v>
      </c>
      <c r="H4412" s="53">
        <v>1.0</v>
      </c>
      <c r="I4412" s="53">
        <v>0.19375</v>
      </c>
      <c r="J4412" s="53">
        <v>30.0</v>
      </c>
      <c r="K4412" s="53" t="s">
        <v>53</v>
      </c>
      <c r="L4412" s="53" t="s">
        <v>53</v>
      </c>
    </row>
    <row r="4413" ht="15.75" customHeight="1">
      <c r="A4413" s="53" t="s">
        <v>411</v>
      </c>
      <c r="B4413" s="53" t="s">
        <v>4945</v>
      </c>
      <c r="D4413" s="53" t="s">
        <v>2880</v>
      </c>
      <c r="E4413" s="53" t="s">
        <v>5746</v>
      </c>
      <c r="F4413" s="53" t="s">
        <v>478</v>
      </c>
      <c r="G4413" s="53" t="s">
        <v>2935</v>
      </c>
      <c r="H4413" s="53">
        <v>1.0</v>
      </c>
      <c r="I4413" s="53">
        <v>0.1986754966887417</v>
      </c>
      <c r="J4413" s="53">
        <v>20.0</v>
      </c>
      <c r="K4413" s="53" t="s">
        <v>53</v>
      </c>
      <c r="L4413" s="53" t="s">
        <v>53</v>
      </c>
    </row>
    <row r="4414" ht="15.75" customHeight="1">
      <c r="A4414" s="53" t="s">
        <v>411</v>
      </c>
      <c r="B4414" s="53" t="s">
        <v>4945</v>
      </c>
      <c r="D4414" s="53" t="s">
        <v>2880</v>
      </c>
      <c r="E4414" s="53" t="s">
        <v>5747</v>
      </c>
      <c r="F4414" s="53" t="s">
        <v>478</v>
      </c>
      <c r="G4414" s="53" t="s">
        <v>2937</v>
      </c>
      <c r="H4414" s="53">
        <v>1.0</v>
      </c>
      <c r="I4414" s="53">
        <v>0.20437956204379562</v>
      </c>
      <c r="J4414" s="53">
        <v>38.0</v>
      </c>
      <c r="K4414" s="53" t="s">
        <v>53</v>
      </c>
      <c r="L4414" s="53" t="s">
        <v>53</v>
      </c>
    </row>
    <row r="4415" ht="15.75" customHeight="1">
      <c r="A4415" s="53" t="s">
        <v>411</v>
      </c>
      <c r="B4415" s="53" t="s">
        <v>4945</v>
      </c>
      <c r="D4415" s="53" t="s">
        <v>2880</v>
      </c>
      <c r="E4415" s="53" t="s">
        <v>5748</v>
      </c>
      <c r="F4415" s="53" t="s">
        <v>478</v>
      </c>
      <c r="G4415" s="53" t="s">
        <v>509</v>
      </c>
      <c r="H4415" s="53">
        <v>1.0</v>
      </c>
      <c r="I4415" s="53">
        <v>0.2116788321167883</v>
      </c>
      <c r="J4415" s="53">
        <v>1.0</v>
      </c>
      <c r="K4415" s="53" t="s">
        <v>53</v>
      </c>
      <c r="L4415" s="53" t="s">
        <v>53</v>
      </c>
    </row>
    <row r="4416" ht="15.75" customHeight="1">
      <c r="A4416" s="53" t="s">
        <v>411</v>
      </c>
      <c r="B4416" s="53" t="s">
        <v>4945</v>
      </c>
      <c r="D4416" s="53" t="s">
        <v>2880</v>
      </c>
      <c r="E4416" s="53" t="s">
        <v>5749</v>
      </c>
      <c r="F4416" s="53" t="s">
        <v>478</v>
      </c>
      <c r="G4416" s="53" t="s">
        <v>2940</v>
      </c>
      <c r="H4416" s="53">
        <v>1.0</v>
      </c>
      <c r="I4416" s="53">
        <v>0.21481481481481482</v>
      </c>
      <c r="J4416" s="53">
        <v>18.0</v>
      </c>
      <c r="K4416" s="53" t="s">
        <v>53</v>
      </c>
      <c r="L4416" s="53" t="s">
        <v>53</v>
      </c>
    </row>
    <row r="4417" ht="15.75" customHeight="1">
      <c r="A4417" s="53" t="s">
        <v>411</v>
      </c>
      <c r="B4417" s="53" t="s">
        <v>4945</v>
      </c>
      <c r="D4417" s="53" t="s">
        <v>2880</v>
      </c>
      <c r="E4417" s="53" t="s">
        <v>5750</v>
      </c>
      <c r="F4417" s="53" t="s">
        <v>478</v>
      </c>
      <c r="G4417" s="53" t="s">
        <v>2942</v>
      </c>
      <c r="H4417" s="53">
        <v>1.0</v>
      </c>
      <c r="I4417" s="53">
        <v>0.22857142857142856</v>
      </c>
      <c r="J4417" s="53">
        <v>39.0</v>
      </c>
      <c r="K4417" s="53" t="s">
        <v>53</v>
      </c>
      <c r="L4417" s="53" t="s">
        <v>53</v>
      </c>
    </row>
    <row r="4418" ht="15.75" customHeight="1">
      <c r="A4418" s="53" t="s">
        <v>411</v>
      </c>
      <c r="B4418" s="53" t="s">
        <v>4945</v>
      </c>
      <c r="D4418" s="53" t="s">
        <v>2880</v>
      </c>
      <c r="E4418" s="53" t="s">
        <v>5751</v>
      </c>
      <c r="F4418" s="53" t="s">
        <v>478</v>
      </c>
      <c r="G4418" s="53" t="s">
        <v>2944</v>
      </c>
      <c r="H4418" s="53">
        <v>1.0</v>
      </c>
      <c r="I4418" s="53">
        <v>0.22981366459627328</v>
      </c>
      <c r="J4418" s="53">
        <v>22.0</v>
      </c>
      <c r="K4418" s="53" t="s">
        <v>53</v>
      </c>
      <c r="L4418" s="53" t="s">
        <v>53</v>
      </c>
    </row>
    <row r="4419" ht="15.75" customHeight="1">
      <c r="A4419" s="53" t="s">
        <v>411</v>
      </c>
      <c r="B4419" s="53" t="s">
        <v>4945</v>
      </c>
      <c r="D4419" s="53" t="s">
        <v>2880</v>
      </c>
      <c r="E4419" s="53" t="s">
        <v>5752</v>
      </c>
      <c r="F4419" s="53" t="s">
        <v>478</v>
      </c>
      <c r="G4419" s="53" t="s">
        <v>2946</v>
      </c>
      <c r="H4419" s="53">
        <v>1.0</v>
      </c>
      <c r="I4419" s="53">
        <v>0.23030303030303031</v>
      </c>
      <c r="J4419" s="53">
        <v>5.0</v>
      </c>
      <c r="K4419" s="53" t="s">
        <v>53</v>
      </c>
      <c r="L4419" s="53" t="s">
        <v>53</v>
      </c>
    </row>
    <row r="4420" ht="15.75" customHeight="1">
      <c r="A4420" s="53" t="s">
        <v>411</v>
      </c>
      <c r="B4420" s="53" t="s">
        <v>4945</v>
      </c>
      <c r="D4420" s="53" t="s">
        <v>2880</v>
      </c>
      <c r="E4420" s="53" t="s">
        <v>5753</v>
      </c>
      <c r="F4420" s="53" t="s">
        <v>478</v>
      </c>
      <c r="G4420" s="53" t="s">
        <v>2948</v>
      </c>
      <c r="H4420" s="53">
        <v>1.0</v>
      </c>
      <c r="I4420" s="53">
        <v>0.2323943661971831</v>
      </c>
      <c r="J4420" s="53">
        <v>37.0</v>
      </c>
      <c r="K4420" s="53" t="s">
        <v>53</v>
      </c>
      <c r="L4420" s="53" t="s">
        <v>53</v>
      </c>
    </row>
    <row r="4421" ht="15.75" customHeight="1">
      <c r="A4421" s="53" t="s">
        <v>411</v>
      </c>
      <c r="B4421" s="53" t="s">
        <v>4945</v>
      </c>
      <c r="D4421" s="53" t="s">
        <v>2880</v>
      </c>
      <c r="E4421" s="53" t="s">
        <v>5754</v>
      </c>
      <c r="F4421" s="53" t="s">
        <v>478</v>
      </c>
      <c r="G4421" s="53" t="s">
        <v>2950</v>
      </c>
      <c r="H4421" s="53">
        <v>1.0</v>
      </c>
      <c r="I4421" s="53">
        <v>0.23270440251572327</v>
      </c>
      <c r="J4421" s="53">
        <v>19.0</v>
      </c>
      <c r="K4421" s="53" t="s">
        <v>53</v>
      </c>
      <c r="L4421" s="53" t="s">
        <v>53</v>
      </c>
    </row>
    <row r="4422" ht="15.75" customHeight="1">
      <c r="A4422" s="53" t="s">
        <v>411</v>
      </c>
      <c r="B4422" s="53" t="s">
        <v>4945</v>
      </c>
      <c r="D4422" s="53" t="s">
        <v>2880</v>
      </c>
      <c r="E4422" s="53" t="s">
        <v>5755</v>
      </c>
      <c r="F4422" s="53" t="s">
        <v>478</v>
      </c>
      <c r="G4422" s="53" t="s">
        <v>485</v>
      </c>
      <c r="H4422" s="53">
        <v>1.0</v>
      </c>
      <c r="I4422" s="53">
        <v>0.2569444444444444</v>
      </c>
      <c r="J4422" s="53">
        <v>34.0</v>
      </c>
      <c r="K4422" s="53" t="s">
        <v>53</v>
      </c>
      <c r="L4422" s="53" t="s">
        <v>53</v>
      </c>
    </row>
    <row r="4423" ht="15.75" customHeight="1">
      <c r="A4423" s="53" t="s">
        <v>411</v>
      </c>
      <c r="B4423" s="53" t="s">
        <v>4945</v>
      </c>
      <c r="D4423" s="53" t="s">
        <v>2880</v>
      </c>
      <c r="E4423" s="53" t="s">
        <v>5756</v>
      </c>
      <c r="F4423" s="53" t="s">
        <v>478</v>
      </c>
      <c r="G4423" s="53" t="s">
        <v>2954</v>
      </c>
      <c r="H4423" s="53">
        <v>1.0</v>
      </c>
      <c r="I4423" s="53">
        <v>0.2605633802816901</v>
      </c>
      <c r="J4423" s="53">
        <v>16.0</v>
      </c>
      <c r="K4423" s="53" t="s">
        <v>53</v>
      </c>
      <c r="L4423" s="53" t="s">
        <v>53</v>
      </c>
    </row>
    <row r="4424" ht="15.75" customHeight="1">
      <c r="A4424" s="53" t="s">
        <v>411</v>
      </c>
      <c r="B4424" s="53" t="s">
        <v>4945</v>
      </c>
      <c r="D4424" s="53" t="s">
        <v>2880</v>
      </c>
      <c r="E4424" s="53" t="s">
        <v>5757</v>
      </c>
      <c r="F4424" s="53" t="s">
        <v>478</v>
      </c>
      <c r="G4424" s="53" t="s">
        <v>495</v>
      </c>
      <c r="H4424" s="53">
        <v>1.0</v>
      </c>
      <c r="I4424" s="53">
        <v>0.2608695652173913</v>
      </c>
      <c r="J4424" s="53">
        <v>36.0</v>
      </c>
      <c r="K4424" s="53" t="s">
        <v>53</v>
      </c>
      <c r="L4424" s="53" t="s">
        <v>53</v>
      </c>
    </row>
    <row r="4425" ht="15.75" customHeight="1">
      <c r="A4425" s="53" t="s">
        <v>411</v>
      </c>
      <c r="B4425" s="53" t="s">
        <v>4945</v>
      </c>
      <c r="D4425" s="53" t="s">
        <v>2880</v>
      </c>
      <c r="E4425" s="53" t="s">
        <v>5758</v>
      </c>
      <c r="F4425" s="53" t="s">
        <v>478</v>
      </c>
      <c r="G4425" s="53" t="s">
        <v>2957</v>
      </c>
      <c r="H4425" s="53">
        <v>1.0</v>
      </c>
      <c r="I4425" s="53">
        <v>0.26666666666666666</v>
      </c>
      <c r="J4425" s="53">
        <v>21.0</v>
      </c>
      <c r="K4425" s="53" t="s">
        <v>53</v>
      </c>
      <c r="L4425" s="53" t="s">
        <v>53</v>
      </c>
    </row>
    <row r="4426" ht="15.75" customHeight="1">
      <c r="A4426" s="53" t="s">
        <v>411</v>
      </c>
      <c r="B4426" s="53" t="s">
        <v>4945</v>
      </c>
      <c r="D4426" s="53" t="s">
        <v>2880</v>
      </c>
      <c r="E4426" s="53" t="s">
        <v>5759</v>
      </c>
      <c r="F4426" s="53" t="s">
        <v>478</v>
      </c>
      <c r="G4426" s="53" t="s">
        <v>474</v>
      </c>
      <c r="H4426" s="53">
        <v>1.0</v>
      </c>
      <c r="I4426" s="53">
        <v>0.2671232876712329</v>
      </c>
      <c r="J4426" s="53">
        <v>35.0</v>
      </c>
      <c r="K4426" s="53" t="s">
        <v>53</v>
      </c>
      <c r="L4426" s="53" t="s">
        <v>53</v>
      </c>
    </row>
    <row r="4427" ht="15.75" customHeight="1">
      <c r="A4427" s="53" t="s">
        <v>411</v>
      </c>
      <c r="B4427" s="53" t="s">
        <v>4945</v>
      </c>
      <c r="D4427" s="53" t="s">
        <v>2903</v>
      </c>
      <c r="E4427" s="53" t="s">
        <v>5760</v>
      </c>
      <c r="F4427" s="53" t="s">
        <v>478</v>
      </c>
      <c r="G4427" s="53" t="s">
        <v>2885</v>
      </c>
      <c r="H4427" s="53">
        <v>1.0</v>
      </c>
      <c r="I4427" s="53">
        <v>0.058823529411764705</v>
      </c>
      <c r="J4427" s="53">
        <v>2.0</v>
      </c>
      <c r="K4427" s="53" t="s">
        <v>53</v>
      </c>
      <c r="L4427" s="53" t="s">
        <v>53</v>
      </c>
    </row>
    <row r="4428" ht="15.75" customHeight="1">
      <c r="A4428" s="53" t="s">
        <v>411</v>
      </c>
      <c r="B4428" s="53" t="s">
        <v>4945</v>
      </c>
      <c r="D4428" s="53" t="s">
        <v>2903</v>
      </c>
      <c r="E4428" s="53" t="s">
        <v>5761</v>
      </c>
      <c r="F4428" s="53" t="s">
        <v>478</v>
      </c>
      <c r="G4428" s="53" t="s">
        <v>2883</v>
      </c>
      <c r="H4428" s="53">
        <v>1.0</v>
      </c>
      <c r="I4428" s="53">
        <v>0.0661764705882353</v>
      </c>
      <c r="J4428" s="53">
        <v>3.0</v>
      </c>
      <c r="K4428" s="53" t="s">
        <v>53</v>
      </c>
      <c r="L4428" s="53" t="s">
        <v>53</v>
      </c>
    </row>
    <row r="4429" ht="15.75" customHeight="1">
      <c r="A4429" s="53" t="s">
        <v>411</v>
      </c>
      <c r="B4429" s="53" t="s">
        <v>4945</v>
      </c>
      <c r="D4429" s="53" t="s">
        <v>2903</v>
      </c>
      <c r="E4429" s="53" t="s">
        <v>5762</v>
      </c>
      <c r="F4429" s="53" t="s">
        <v>478</v>
      </c>
      <c r="G4429" s="53" t="s">
        <v>2901</v>
      </c>
      <c r="H4429" s="53">
        <v>1.0</v>
      </c>
      <c r="I4429" s="53">
        <v>0.0661764705882353</v>
      </c>
      <c r="J4429" s="53">
        <v>10.0</v>
      </c>
      <c r="K4429" s="53" t="s">
        <v>53</v>
      </c>
      <c r="L4429" s="53" t="s">
        <v>53</v>
      </c>
    </row>
    <row r="4430" ht="15.75" customHeight="1">
      <c r="A4430" s="53" t="s">
        <v>411</v>
      </c>
      <c r="B4430" s="53" t="s">
        <v>4945</v>
      </c>
      <c r="D4430" s="53" t="s">
        <v>2903</v>
      </c>
      <c r="E4430" s="53" t="s">
        <v>5763</v>
      </c>
      <c r="F4430" s="53" t="s">
        <v>478</v>
      </c>
      <c r="G4430" s="53" t="s">
        <v>2899</v>
      </c>
      <c r="H4430" s="53">
        <v>1.0</v>
      </c>
      <c r="I4430" s="53">
        <v>0.07352941176470588</v>
      </c>
      <c r="J4430" s="53">
        <v>13.0</v>
      </c>
      <c r="K4430" s="53" t="s">
        <v>53</v>
      </c>
      <c r="L4430" s="53" t="s">
        <v>53</v>
      </c>
    </row>
    <row r="4431" ht="15.75" customHeight="1">
      <c r="A4431" s="53" t="s">
        <v>411</v>
      </c>
      <c r="B4431" s="53" t="s">
        <v>4945</v>
      </c>
      <c r="D4431" s="53" t="s">
        <v>2903</v>
      </c>
      <c r="E4431" s="53" t="s">
        <v>5764</v>
      </c>
      <c r="F4431" s="53" t="s">
        <v>478</v>
      </c>
      <c r="G4431" s="53" t="s">
        <v>2887</v>
      </c>
      <c r="H4431" s="53">
        <v>1.0</v>
      </c>
      <c r="I4431" s="53">
        <v>0.07352941176470588</v>
      </c>
      <c r="J4431" s="53">
        <v>8.0</v>
      </c>
      <c r="K4431" s="53" t="s">
        <v>53</v>
      </c>
      <c r="L4431" s="53" t="s">
        <v>53</v>
      </c>
    </row>
    <row r="4432" ht="15.75" customHeight="1">
      <c r="A4432" s="53" t="s">
        <v>411</v>
      </c>
      <c r="B4432" s="53" t="s">
        <v>4945</v>
      </c>
      <c r="D4432" s="53" t="s">
        <v>2903</v>
      </c>
      <c r="E4432" s="53" t="s">
        <v>5765</v>
      </c>
      <c r="F4432" s="53" t="s">
        <v>478</v>
      </c>
      <c r="G4432" s="53" t="s">
        <v>2895</v>
      </c>
      <c r="H4432" s="53">
        <v>1.0</v>
      </c>
      <c r="I4432" s="53">
        <v>0.08029197080291971</v>
      </c>
      <c r="J4432" s="53">
        <v>9.0</v>
      </c>
      <c r="K4432" s="53" t="s">
        <v>53</v>
      </c>
      <c r="L4432" s="53" t="s">
        <v>53</v>
      </c>
    </row>
    <row r="4433" ht="15.75" customHeight="1">
      <c r="A4433" s="53" t="s">
        <v>411</v>
      </c>
      <c r="B4433" s="53" t="s">
        <v>4945</v>
      </c>
      <c r="D4433" s="53" t="s">
        <v>2903</v>
      </c>
      <c r="E4433" s="53" t="s">
        <v>5766</v>
      </c>
      <c r="F4433" s="53" t="s">
        <v>478</v>
      </c>
      <c r="G4433" s="53" t="s">
        <v>2905</v>
      </c>
      <c r="H4433" s="53">
        <v>1.0</v>
      </c>
      <c r="I4433" s="53">
        <v>0.08088235294117647</v>
      </c>
      <c r="J4433" s="53">
        <v>16.0</v>
      </c>
      <c r="K4433" s="53" t="s">
        <v>53</v>
      </c>
      <c r="L4433" s="53" t="s">
        <v>53</v>
      </c>
    </row>
    <row r="4434" ht="15.75" customHeight="1">
      <c r="A4434" s="53" t="s">
        <v>411</v>
      </c>
      <c r="B4434" s="53" t="s">
        <v>4945</v>
      </c>
      <c r="D4434" s="53" t="s">
        <v>2903</v>
      </c>
      <c r="E4434" s="53" t="s">
        <v>5767</v>
      </c>
      <c r="F4434" s="53" t="s">
        <v>478</v>
      </c>
      <c r="G4434" s="53" t="s">
        <v>2889</v>
      </c>
      <c r="H4434" s="53">
        <v>1.0</v>
      </c>
      <c r="I4434" s="53">
        <v>0.08088235294117647</v>
      </c>
      <c r="J4434" s="53">
        <v>11.0</v>
      </c>
      <c r="K4434" s="53" t="s">
        <v>53</v>
      </c>
      <c r="L4434" s="53" t="s">
        <v>53</v>
      </c>
    </row>
    <row r="4435" ht="15.75" customHeight="1">
      <c r="A4435" s="53" t="s">
        <v>411</v>
      </c>
      <c r="B4435" s="53" t="s">
        <v>4945</v>
      </c>
      <c r="D4435" s="53" t="s">
        <v>2903</v>
      </c>
      <c r="E4435" s="53" t="s">
        <v>5768</v>
      </c>
      <c r="F4435" s="53" t="s">
        <v>478</v>
      </c>
      <c r="G4435" s="53" t="s">
        <v>2897</v>
      </c>
      <c r="H4435" s="53">
        <v>1.0</v>
      </c>
      <c r="I4435" s="53">
        <v>0.08759124087591241</v>
      </c>
      <c r="J4435" s="53">
        <v>6.0</v>
      </c>
      <c r="K4435" s="53" t="s">
        <v>53</v>
      </c>
      <c r="L4435" s="53" t="s">
        <v>53</v>
      </c>
    </row>
    <row r="4436" ht="15.75" customHeight="1">
      <c r="A4436" s="53" t="s">
        <v>411</v>
      </c>
      <c r="B4436" s="53" t="s">
        <v>4945</v>
      </c>
      <c r="D4436" s="53" t="s">
        <v>2903</v>
      </c>
      <c r="E4436" s="53" t="s">
        <v>5769</v>
      </c>
      <c r="F4436" s="53" t="s">
        <v>478</v>
      </c>
      <c r="G4436" s="53" t="s">
        <v>2913</v>
      </c>
      <c r="H4436" s="53">
        <v>1.0</v>
      </c>
      <c r="I4436" s="53">
        <v>0.09154929577464789</v>
      </c>
      <c r="J4436" s="53">
        <v>12.0</v>
      </c>
      <c r="K4436" s="53" t="s">
        <v>53</v>
      </c>
      <c r="L4436" s="53" t="s">
        <v>53</v>
      </c>
    </row>
    <row r="4437" ht="15.75" customHeight="1">
      <c r="A4437" s="53" t="s">
        <v>411</v>
      </c>
      <c r="B4437" s="53" t="s">
        <v>4945</v>
      </c>
      <c r="D4437" s="53" t="s">
        <v>2903</v>
      </c>
      <c r="E4437" s="53" t="s">
        <v>5770</v>
      </c>
      <c r="F4437" s="53" t="s">
        <v>478</v>
      </c>
      <c r="G4437" s="53" t="s">
        <v>2909</v>
      </c>
      <c r="H4437" s="53">
        <v>1.0</v>
      </c>
      <c r="I4437" s="53">
        <v>0.09219858156028368</v>
      </c>
      <c r="J4437" s="53">
        <v>1.0</v>
      </c>
      <c r="K4437" s="53" t="s">
        <v>53</v>
      </c>
      <c r="L4437" s="53" t="s">
        <v>53</v>
      </c>
    </row>
    <row r="4438" ht="15.75" customHeight="1">
      <c r="A4438" s="53" t="s">
        <v>411</v>
      </c>
      <c r="B4438" s="53" t="s">
        <v>4945</v>
      </c>
      <c r="D4438" s="53" t="s">
        <v>2903</v>
      </c>
      <c r="E4438" s="53" t="s">
        <v>5771</v>
      </c>
      <c r="F4438" s="53" t="s">
        <v>478</v>
      </c>
      <c r="G4438" s="53" t="s">
        <v>2907</v>
      </c>
      <c r="H4438" s="53">
        <v>1.0</v>
      </c>
      <c r="I4438" s="53">
        <v>0.09352517985611511</v>
      </c>
      <c r="J4438" s="53">
        <v>31.0</v>
      </c>
      <c r="K4438" s="53" t="s">
        <v>53</v>
      </c>
      <c r="L4438" s="53" t="s">
        <v>53</v>
      </c>
    </row>
    <row r="4439" ht="15.75" customHeight="1">
      <c r="A4439" s="53" t="s">
        <v>411</v>
      </c>
      <c r="B4439" s="53" t="s">
        <v>4945</v>
      </c>
      <c r="D4439" s="53" t="s">
        <v>2903</v>
      </c>
      <c r="E4439" s="53" t="s">
        <v>5772</v>
      </c>
      <c r="F4439" s="53" t="s">
        <v>478</v>
      </c>
      <c r="G4439" s="53" t="s">
        <v>2891</v>
      </c>
      <c r="H4439" s="53">
        <v>1.0</v>
      </c>
      <c r="I4439" s="53">
        <v>0.09420289855072464</v>
      </c>
      <c r="J4439" s="53">
        <v>7.0</v>
      </c>
      <c r="K4439" s="53" t="s">
        <v>53</v>
      </c>
      <c r="L4439" s="53" t="s">
        <v>53</v>
      </c>
    </row>
    <row r="4440" ht="15.75" customHeight="1">
      <c r="A4440" s="53" t="s">
        <v>411</v>
      </c>
      <c r="B4440" s="53" t="s">
        <v>4945</v>
      </c>
      <c r="D4440" s="53" t="s">
        <v>2903</v>
      </c>
      <c r="E4440" s="53" t="s">
        <v>5773</v>
      </c>
      <c r="F4440" s="53" t="s">
        <v>478</v>
      </c>
      <c r="G4440" s="53" t="s">
        <v>2893</v>
      </c>
      <c r="H4440" s="53">
        <v>1.0</v>
      </c>
      <c r="I4440" s="53">
        <v>0.09420289855072464</v>
      </c>
      <c r="J4440" s="53">
        <v>5.0</v>
      </c>
      <c r="K4440" s="53" t="s">
        <v>53</v>
      </c>
      <c r="L4440" s="53" t="s">
        <v>53</v>
      </c>
    </row>
    <row r="4441" ht="15.75" customHeight="1">
      <c r="A4441" s="53" t="s">
        <v>411</v>
      </c>
      <c r="B4441" s="53" t="s">
        <v>4945</v>
      </c>
      <c r="D4441" s="53" t="s">
        <v>2903</v>
      </c>
      <c r="E4441" s="53" t="s">
        <v>5774</v>
      </c>
      <c r="F4441" s="53" t="s">
        <v>478</v>
      </c>
      <c r="G4441" s="53" t="s">
        <v>2917</v>
      </c>
      <c r="H4441" s="53">
        <v>1.0</v>
      </c>
      <c r="I4441" s="53">
        <v>0.11888111888111888</v>
      </c>
      <c r="J4441" s="53">
        <v>32.0</v>
      </c>
      <c r="K4441" s="53" t="s">
        <v>53</v>
      </c>
      <c r="L4441" s="53" t="s">
        <v>53</v>
      </c>
    </row>
    <row r="4442" ht="15.75" customHeight="1">
      <c r="A4442" s="53" t="s">
        <v>411</v>
      </c>
      <c r="B4442" s="53" t="s">
        <v>4945</v>
      </c>
      <c r="D4442" s="53" t="s">
        <v>2903</v>
      </c>
      <c r="E4442" s="53" t="s">
        <v>5775</v>
      </c>
      <c r="F4442" s="53" t="s">
        <v>478</v>
      </c>
      <c r="G4442" s="53" t="s">
        <v>2911</v>
      </c>
      <c r="H4442" s="53">
        <v>1.0</v>
      </c>
      <c r="I4442" s="53">
        <v>0.11971830985915492</v>
      </c>
      <c r="J4442" s="53">
        <v>14.0</v>
      </c>
      <c r="K4442" s="53" t="s">
        <v>53</v>
      </c>
      <c r="L4442" s="53" t="s">
        <v>53</v>
      </c>
    </row>
    <row r="4443" ht="15.75" customHeight="1">
      <c r="A4443" s="53" t="s">
        <v>411</v>
      </c>
      <c r="B4443" s="53" t="s">
        <v>4945</v>
      </c>
      <c r="D4443" s="53" t="s">
        <v>2903</v>
      </c>
      <c r="E4443" s="53" t="s">
        <v>5776</v>
      </c>
      <c r="F4443" s="53" t="s">
        <v>478</v>
      </c>
      <c r="G4443" s="53" t="s">
        <v>2915</v>
      </c>
      <c r="H4443" s="53">
        <v>1.0</v>
      </c>
      <c r="I4443" s="53">
        <v>0.1310344827586207</v>
      </c>
      <c r="J4443" s="53">
        <v>23.0</v>
      </c>
      <c r="K4443" s="53" t="s">
        <v>53</v>
      </c>
      <c r="L4443" s="53" t="s">
        <v>53</v>
      </c>
    </row>
    <row r="4444" ht="15.75" customHeight="1">
      <c r="A4444" s="53" t="s">
        <v>411</v>
      </c>
      <c r="B4444" s="53" t="s">
        <v>4945</v>
      </c>
      <c r="D4444" s="53" t="s">
        <v>2903</v>
      </c>
      <c r="E4444" s="53" t="s">
        <v>5777</v>
      </c>
      <c r="F4444" s="53" t="s">
        <v>478</v>
      </c>
      <c r="G4444" s="53" t="s">
        <v>2923</v>
      </c>
      <c r="H4444" s="53">
        <v>1.0</v>
      </c>
      <c r="I4444" s="53">
        <v>0.13513513513513514</v>
      </c>
      <c r="J4444" s="53">
        <v>24.0</v>
      </c>
      <c r="K4444" s="53" t="s">
        <v>53</v>
      </c>
      <c r="L4444" s="53" t="s">
        <v>53</v>
      </c>
    </row>
    <row r="4445" ht="15.75" customHeight="1">
      <c r="A4445" s="53" t="s">
        <v>411</v>
      </c>
      <c r="B4445" s="53" t="s">
        <v>4945</v>
      </c>
      <c r="D4445" s="53" t="s">
        <v>2903</v>
      </c>
      <c r="E4445" s="53" t="s">
        <v>5778</v>
      </c>
      <c r="F4445" s="53" t="s">
        <v>478</v>
      </c>
      <c r="G4445" s="53" t="s">
        <v>2927</v>
      </c>
      <c r="H4445" s="53">
        <v>1.0</v>
      </c>
      <c r="I4445" s="53">
        <v>0.14093959731543623</v>
      </c>
      <c r="J4445" s="53">
        <v>27.0</v>
      </c>
      <c r="K4445" s="53" t="s">
        <v>53</v>
      </c>
      <c r="L4445" s="53" t="s">
        <v>53</v>
      </c>
    </row>
    <row r="4446" ht="15.75" customHeight="1">
      <c r="A4446" s="53" t="s">
        <v>411</v>
      </c>
      <c r="B4446" s="53" t="s">
        <v>4945</v>
      </c>
      <c r="D4446" s="53" t="s">
        <v>2903</v>
      </c>
      <c r="E4446" s="53" t="s">
        <v>5779</v>
      </c>
      <c r="F4446" s="53" t="s">
        <v>478</v>
      </c>
      <c r="G4446" s="53" t="s">
        <v>2931</v>
      </c>
      <c r="H4446" s="53">
        <v>1.0</v>
      </c>
      <c r="I4446" s="53">
        <v>0.1513157894736842</v>
      </c>
      <c r="J4446" s="53">
        <v>22.0</v>
      </c>
      <c r="K4446" s="53" t="s">
        <v>53</v>
      </c>
      <c r="L4446" s="53" t="s">
        <v>53</v>
      </c>
    </row>
    <row r="4447" ht="15.75" customHeight="1">
      <c r="A4447" s="53" t="s">
        <v>411</v>
      </c>
      <c r="B4447" s="53" t="s">
        <v>4945</v>
      </c>
      <c r="D4447" s="53" t="s">
        <v>2903</v>
      </c>
      <c r="E4447" s="53" t="s">
        <v>5780</v>
      </c>
      <c r="F4447" s="53" t="s">
        <v>478</v>
      </c>
      <c r="G4447" s="53" t="s">
        <v>2925</v>
      </c>
      <c r="H4447" s="53">
        <v>1.0</v>
      </c>
      <c r="I4447" s="53">
        <v>0.152317880794702</v>
      </c>
      <c r="J4447" s="53">
        <v>30.0</v>
      </c>
      <c r="K4447" s="53" t="s">
        <v>53</v>
      </c>
      <c r="L4447" s="53" t="s">
        <v>53</v>
      </c>
    </row>
    <row r="4448" ht="15.75" customHeight="1">
      <c r="A4448" s="53" t="s">
        <v>411</v>
      </c>
      <c r="B4448" s="53" t="s">
        <v>4945</v>
      </c>
      <c r="D4448" s="53" t="s">
        <v>2903</v>
      </c>
      <c r="E4448" s="53" t="s">
        <v>5781</v>
      </c>
      <c r="F4448" s="53" t="s">
        <v>478</v>
      </c>
      <c r="G4448" s="53" t="s">
        <v>2921</v>
      </c>
      <c r="H4448" s="53">
        <v>1.0</v>
      </c>
      <c r="I4448" s="53">
        <v>0.15436241610738255</v>
      </c>
      <c r="J4448" s="53">
        <v>26.0</v>
      </c>
      <c r="K4448" s="53" t="s">
        <v>53</v>
      </c>
      <c r="L4448" s="53" t="s">
        <v>53</v>
      </c>
    </row>
    <row r="4449" ht="15.75" customHeight="1">
      <c r="A4449" s="53" t="s">
        <v>411</v>
      </c>
      <c r="B4449" s="53" t="s">
        <v>4945</v>
      </c>
      <c r="D4449" s="53" t="s">
        <v>2903</v>
      </c>
      <c r="E4449" s="53" t="s">
        <v>5782</v>
      </c>
      <c r="F4449" s="53" t="s">
        <v>478</v>
      </c>
      <c r="G4449" s="53" t="s">
        <v>2919</v>
      </c>
      <c r="H4449" s="53">
        <v>1.0</v>
      </c>
      <c r="I4449" s="53">
        <v>0.15894039735099338</v>
      </c>
      <c r="J4449" s="53">
        <v>25.0</v>
      </c>
      <c r="K4449" s="53" t="s">
        <v>53</v>
      </c>
      <c r="L4449" s="53" t="s">
        <v>53</v>
      </c>
    </row>
    <row r="4450" ht="15.75" customHeight="1">
      <c r="A4450" s="53" t="s">
        <v>411</v>
      </c>
      <c r="B4450" s="53" t="s">
        <v>4945</v>
      </c>
      <c r="D4450" s="53" t="s">
        <v>2903</v>
      </c>
      <c r="E4450" s="53" t="s">
        <v>5783</v>
      </c>
      <c r="F4450" s="53" t="s">
        <v>478</v>
      </c>
      <c r="G4450" s="53" t="s">
        <v>2929</v>
      </c>
      <c r="H4450" s="53">
        <v>1.0</v>
      </c>
      <c r="I4450" s="53">
        <v>0.16993464052287582</v>
      </c>
      <c r="J4450" s="53">
        <v>28.0</v>
      </c>
      <c r="K4450" s="53" t="s">
        <v>53</v>
      </c>
      <c r="L4450" s="53" t="s">
        <v>53</v>
      </c>
    </row>
    <row r="4451" ht="15.75" customHeight="1">
      <c r="A4451" s="53" t="s">
        <v>411</v>
      </c>
      <c r="B4451" s="53" t="s">
        <v>4945</v>
      </c>
      <c r="D4451" s="53" t="s">
        <v>2903</v>
      </c>
      <c r="E4451" s="53" t="s">
        <v>5784</v>
      </c>
      <c r="F4451" s="53" t="s">
        <v>478</v>
      </c>
      <c r="G4451" s="53" t="s">
        <v>2933</v>
      </c>
      <c r="H4451" s="53">
        <v>1.0</v>
      </c>
      <c r="I4451" s="53">
        <v>0.19375</v>
      </c>
      <c r="J4451" s="53">
        <v>29.0</v>
      </c>
      <c r="K4451" s="53" t="s">
        <v>53</v>
      </c>
      <c r="L4451" s="53" t="s">
        <v>53</v>
      </c>
    </row>
    <row r="4452" ht="15.75" customHeight="1">
      <c r="A4452" s="53" t="s">
        <v>411</v>
      </c>
      <c r="B4452" s="53" t="s">
        <v>4945</v>
      </c>
      <c r="D4452" s="53" t="s">
        <v>2903</v>
      </c>
      <c r="E4452" s="53" t="s">
        <v>5785</v>
      </c>
      <c r="F4452" s="53" t="s">
        <v>478</v>
      </c>
      <c r="G4452" s="53" t="s">
        <v>2935</v>
      </c>
      <c r="H4452" s="53">
        <v>1.0</v>
      </c>
      <c r="I4452" s="53">
        <v>0.2052980132450331</v>
      </c>
      <c r="J4452" s="53">
        <v>19.0</v>
      </c>
      <c r="K4452" s="53" t="s">
        <v>53</v>
      </c>
      <c r="L4452" s="53" t="s">
        <v>53</v>
      </c>
    </row>
    <row r="4453" ht="15.75" customHeight="1">
      <c r="A4453" s="53" t="s">
        <v>411</v>
      </c>
      <c r="B4453" s="53" t="s">
        <v>4945</v>
      </c>
      <c r="D4453" s="53" t="s">
        <v>2903</v>
      </c>
      <c r="E4453" s="53" t="s">
        <v>5786</v>
      </c>
      <c r="F4453" s="53" t="s">
        <v>478</v>
      </c>
      <c r="G4453" s="53" t="s">
        <v>2940</v>
      </c>
      <c r="H4453" s="53">
        <v>1.0</v>
      </c>
      <c r="I4453" s="53">
        <v>0.20588235294117646</v>
      </c>
      <c r="J4453" s="53">
        <v>17.0</v>
      </c>
      <c r="K4453" s="53" t="s">
        <v>53</v>
      </c>
      <c r="L4453" s="53" t="s">
        <v>53</v>
      </c>
    </row>
    <row r="4454" ht="15.75" customHeight="1">
      <c r="A4454" s="53" t="s">
        <v>411</v>
      </c>
      <c r="B4454" s="53" t="s">
        <v>4945</v>
      </c>
      <c r="D4454" s="53" t="s">
        <v>2903</v>
      </c>
      <c r="E4454" s="53" t="s">
        <v>5787</v>
      </c>
      <c r="F4454" s="53" t="s">
        <v>478</v>
      </c>
      <c r="G4454" s="53" t="s">
        <v>2937</v>
      </c>
      <c r="H4454" s="53">
        <v>1.0</v>
      </c>
      <c r="I4454" s="53">
        <v>0.2116788321167883</v>
      </c>
      <c r="J4454" s="53">
        <v>37.0</v>
      </c>
      <c r="K4454" s="53" t="s">
        <v>53</v>
      </c>
      <c r="L4454" s="53" t="s">
        <v>53</v>
      </c>
    </row>
    <row r="4455" ht="15.75" customHeight="1">
      <c r="A4455" s="53" t="s">
        <v>411</v>
      </c>
      <c r="B4455" s="53" t="s">
        <v>4945</v>
      </c>
      <c r="D4455" s="53" t="s">
        <v>2903</v>
      </c>
      <c r="E4455" s="53" t="s">
        <v>5788</v>
      </c>
      <c r="F4455" s="53" t="s">
        <v>478</v>
      </c>
      <c r="G4455" s="53" t="s">
        <v>509</v>
      </c>
      <c r="H4455" s="53">
        <v>1.0</v>
      </c>
      <c r="I4455" s="53">
        <v>0.21897810218978103</v>
      </c>
      <c r="J4455" s="53">
        <v>0.0</v>
      </c>
      <c r="K4455" s="53" t="s">
        <v>53</v>
      </c>
      <c r="L4455" s="53" t="s">
        <v>53</v>
      </c>
    </row>
    <row r="4456" ht="15.75" customHeight="1">
      <c r="A4456" s="53" t="s">
        <v>411</v>
      </c>
      <c r="B4456" s="53" t="s">
        <v>4945</v>
      </c>
      <c r="D4456" s="53" t="s">
        <v>2903</v>
      </c>
      <c r="E4456" s="53" t="s">
        <v>5789</v>
      </c>
      <c r="F4456" s="53" t="s">
        <v>478</v>
      </c>
      <c r="G4456" s="53" t="s">
        <v>2950</v>
      </c>
      <c r="H4456" s="53">
        <v>1.0</v>
      </c>
      <c r="I4456" s="53">
        <v>0.22641509433962265</v>
      </c>
      <c r="J4456" s="53">
        <v>18.0</v>
      </c>
      <c r="K4456" s="53" t="s">
        <v>53</v>
      </c>
      <c r="L4456" s="53" t="s">
        <v>53</v>
      </c>
    </row>
    <row r="4457" ht="15.75" customHeight="1">
      <c r="A4457" s="53" t="s">
        <v>411</v>
      </c>
      <c r="B4457" s="53" t="s">
        <v>4945</v>
      </c>
      <c r="D4457" s="53" t="s">
        <v>2903</v>
      </c>
      <c r="E4457" s="53" t="s">
        <v>5790</v>
      </c>
      <c r="F4457" s="53" t="s">
        <v>478</v>
      </c>
      <c r="G4457" s="53" t="s">
        <v>2942</v>
      </c>
      <c r="H4457" s="53">
        <v>1.0</v>
      </c>
      <c r="I4457" s="53">
        <v>0.2357142857142857</v>
      </c>
      <c r="J4457" s="53">
        <v>38.0</v>
      </c>
      <c r="K4457" s="53" t="s">
        <v>53</v>
      </c>
      <c r="L4457" s="53" t="s">
        <v>53</v>
      </c>
    </row>
    <row r="4458" ht="15.75" customHeight="1">
      <c r="A4458" s="53" t="s">
        <v>411</v>
      </c>
      <c r="B4458" s="53" t="s">
        <v>4945</v>
      </c>
      <c r="D4458" s="53" t="s">
        <v>2903</v>
      </c>
      <c r="E4458" s="53" t="s">
        <v>5791</v>
      </c>
      <c r="F4458" s="53" t="s">
        <v>478</v>
      </c>
      <c r="G4458" s="53" t="s">
        <v>2946</v>
      </c>
      <c r="H4458" s="53">
        <v>1.0</v>
      </c>
      <c r="I4458" s="53">
        <v>0.23636363636363636</v>
      </c>
      <c r="J4458" s="53">
        <v>4.0</v>
      </c>
      <c r="K4458" s="53" t="s">
        <v>53</v>
      </c>
      <c r="L4458" s="53" t="s">
        <v>53</v>
      </c>
    </row>
    <row r="4459" ht="15.75" customHeight="1">
      <c r="A4459" s="53" t="s">
        <v>411</v>
      </c>
      <c r="B4459" s="53" t="s">
        <v>4945</v>
      </c>
      <c r="D4459" s="53" t="s">
        <v>2903</v>
      </c>
      <c r="E4459" s="53" t="s">
        <v>5792</v>
      </c>
      <c r="F4459" s="53" t="s">
        <v>478</v>
      </c>
      <c r="G4459" s="53" t="s">
        <v>2948</v>
      </c>
      <c r="H4459" s="53">
        <v>1.0</v>
      </c>
      <c r="I4459" s="53">
        <v>0.24647887323943662</v>
      </c>
      <c r="J4459" s="53">
        <v>36.0</v>
      </c>
      <c r="K4459" s="53" t="s">
        <v>53</v>
      </c>
      <c r="L4459" s="53" t="s">
        <v>53</v>
      </c>
    </row>
    <row r="4460" ht="15.75" customHeight="1">
      <c r="A4460" s="53" t="s">
        <v>411</v>
      </c>
      <c r="B4460" s="53" t="s">
        <v>4945</v>
      </c>
      <c r="D4460" s="53" t="s">
        <v>2903</v>
      </c>
      <c r="E4460" s="53" t="s">
        <v>5793</v>
      </c>
      <c r="F4460" s="53" t="s">
        <v>478</v>
      </c>
      <c r="G4460" s="53" t="s">
        <v>2944</v>
      </c>
      <c r="H4460" s="53">
        <v>1.0</v>
      </c>
      <c r="I4460" s="53">
        <v>0.2484472049689441</v>
      </c>
      <c r="J4460" s="53">
        <v>21.0</v>
      </c>
      <c r="K4460" s="53" t="s">
        <v>53</v>
      </c>
      <c r="L4460" s="53" t="s">
        <v>53</v>
      </c>
    </row>
    <row r="4461" ht="15.75" customHeight="1">
      <c r="A4461" s="53" t="s">
        <v>411</v>
      </c>
      <c r="B4461" s="53" t="s">
        <v>4945</v>
      </c>
      <c r="D4461" s="53" t="s">
        <v>2903</v>
      </c>
      <c r="E4461" s="53" t="s">
        <v>5794</v>
      </c>
      <c r="F4461" s="53" t="s">
        <v>478</v>
      </c>
      <c r="G4461" s="53" t="s">
        <v>2954</v>
      </c>
      <c r="H4461" s="53">
        <v>1.0</v>
      </c>
      <c r="I4461" s="53">
        <v>0.2605633802816901</v>
      </c>
      <c r="J4461" s="53">
        <v>15.0</v>
      </c>
      <c r="K4461" s="53" t="s">
        <v>53</v>
      </c>
      <c r="L4461" s="53" t="s">
        <v>53</v>
      </c>
    </row>
    <row r="4462" ht="15.75" customHeight="1">
      <c r="A4462" s="53" t="s">
        <v>411</v>
      </c>
      <c r="B4462" s="53" t="s">
        <v>4945</v>
      </c>
      <c r="D4462" s="53" t="s">
        <v>2903</v>
      </c>
      <c r="E4462" s="53" t="s">
        <v>5795</v>
      </c>
      <c r="F4462" s="53" t="s">
        <v>478</v>
      </c>
      <c r="G4462" s="53" t="s">
        <v>485</v>
      </c>
      <c r="H4462" s="53">
        <v>1.0</v>
      </c>
      <c r="I4462" s="53">
        <v>0.2638888888888889</v>
      </c>
      <c r="J4462" s="53">
        <v>33.0</v>
      </c>
      <c r="K4462" s="53" t="s">
        <v>53</v>
      </c>
      <c r="L4462" s="53" t="s">
        <v>53</v>
      </c>
    </row>
    <row r="4463" ht="15.75" customHeight="1">
      <c r="A4463" s="53" t="s">
        <v>411</v>
      </c>
      <c r="B4463" s="53" t="s">
        <v>4945</v>
      </c>
      <c r="D4463" s="53" t="s">
        <v>2903</v>
      </c>
      <c r="E4463" s="53" t="s">
        <v>5796</v>
      </c>
      <c r="F4463" s="53" t="s">
        <v>478</v>
      </c>
      <c r="G4463" s="53" t="s">
        <v>474</v>
      </c>
      <c r="H4463" s="53">
        <v>1.0</v>
      </c>
      <c r="I4463" s="53">
        <v>0.273972602739726</v>
      </c>
      <c r="J4463" s="53">
        <v>34.0</v>
      </c>
      <c r="K4463" s="53" t="s">
        <v>53</v>
      </c>
      <c r="L4463" s="53" t="s">
        <v>53</v>
      </c>
    </row>
    <row r="4464" ht="15.75" customHeight="1">
      <c r="A4464" s="53" t="s">
        <v>411</v>
      </c>
      <c r="B4464" s="53" t="s">
        <v>4945</v>
      </c>
      <c r="D4464" s="53" t="s">
        <v>2903</v>
      </c>
      <c r="E4464" s="53" t="s">
        <v>5797</v>
      </c>
      <c r="F4464" s="53" t="s">
        <v>478</v>
      </c>
      <c r="G4464" s="53" t="s">
        <v>495</v>
      </c>
      <c r="H4464" s="53">
        <v>1.0</v>
      </c>
      <c r="I4464" s="53">
        <v>0.2753623188405797</v>
      </c>
      <c r="J4464" s="53">
        <v>35.0</v>
      </c>
      <c r="K4464" s="53" t="s">
        <v>53</v>
      </c>
      <c r="L4464" s="53" t="s">
        <v>53</v>
      </c>
    </row>
    <row r="4465" ht="15.75" customHeight="1">
      <c r="A4465" s="53" t="s">
        <v>411</v>
      </c>
      <c r="B4465" s="53" t="s">
        <v>4945</v>
      </c>
      <c r="D4465" s="53" t="s">
        <v>2903</v>
      </c>
      <c r="E4465" s="53" t="s">
        <v>5798</v>
      </c>
      <c r="F4465" s="53" t="s">
        <v>478</v>
      </c>
      <c r="G4465" s="53" t="s">
        <v>2957</v>
      </c>
      <c r="H4465" s="53">
        <v>1.0</v>
      </c>
      <c r="I4465" s="53">
        <v>0.2787878787878788</v>
      </c>
      <c r="J4465" s="53">
        <v>20.0</v>
      </c>
      <c r="K4465" s="53" t="s">
        <v>53</v>
      </c>
      <c r="L4465" s="53" t="s">
        <v>53</v>
      </c>
    </row>
    <row r="4466" ht="15.75" customHeight="1">
      <c r="A4466" s="53" t="s">
        <v>411</v>
      </c>
      <c r="B4466" s="53" t="s">
        <v>4945</v>
      </c>
      <c r="D4466" s="53" t="s">
        <v>509</v>
      </c>
      <c r="E4466" s="53" t="s">
        <v>5799</v>
      </c>
      <c r="F4466" s="53" t="s">
        <v>478</v>
      </c>
      <c r="G4466" s="53" t="s">
        <v>2940</v>
      </c>
      <c r="H4466" s="53">
        <v>1.0</v>
      </c>
      <c r="I4466" s="53">
        <v>0.16058394160583941</v>
      </c>
      <c r="J4466" s="53">
        <v>16.0</v>
      </c>
      <c r="K4466" s="53" t="s">
        <v>53</v>
      </c>
      <c r="L4466" s="53" t="s">
        <v>53</v>
      </c>
    </row>
    <row r="4467" ht="15.75" customHeight="1">
      <c r="A4467" s="53" t="s">
        <v>411</v>
      </c>
      <c r="B4467" s="53" t="s">
        <v>4945</v>
      </c>
      <c r="D4467" s="53" t="s">
        <v>509</v>
      </c>
      <c r="E4467" s="53" t="s">
        <v>5800</v>
      </c>
      <c r="F4467" s="53" t="s">
        <v>478</v>
      </c>
      <c r="G4467" s="53" t="s">
        <v>2942</v>
      </c>
      <c r="H4467" s="53">
        <v>1.0</v>
      </c>
      <c r="I4467" s="53">
        <v>0.16428571428571428</v>
      </c>
      <c r="J4467" s="53">
        <v>37.0</v>
      </c>
      <c r="K4467" s="53" t="s">
        <v>53</v>
      </c>
      <c r="L4467" s="53" t="s">
        <v>53</v>
      </c>
    </row>
    <row r="4468" ht="15.75" customHeight="1">
      <c r="A4468" s="53" t="s">
        <v>411</v>
      </c>
      <c r="B4468" s="53" t="s">
        <v>4945</v>
      </c>
      <c r="D4468" s="53" t="s">
        <v>509</v>
      </c>
      <c r="E4468" s="53" t="s">
        <v>5801</v>
      </c>
      <c r="F4468" s="53" t="s">
        <v>478</v>
      </c>
      <c r="G4468" s="53" t="s">
        <v>2948</v>
      </c>
      <c r="H4468" s="53">
        <v>1.0</v>
      </c>
      <c r="I4468" s="53">
        <v>0.18309859154929578</v>
      </c>
      <c r="J4468" s="53">
        <v>35.0</v>
      </c>
      <c r="K4468" s="53" t="s">
        <v>53</v>
      </c>
      <c r="L4468" s="53" t="s">
        <v>53</v>
      </c>
    </row>
    <row r="4469" ht="15.75" customHeight="1">
      <c r="A4469" s="53" t="s">
        <v>411</v>
      </c>
      <c r="B4469" s="53" t="s">
        <v>4945</v>
      </c>
      <c r="D4469" s="53" t="s">
        <v>509</v>
      </c>
      <c r="E4469" s="53" t="s">
        <v>5802</v>
      </c>
      <c r="F4469" s="53" t="s">
        <v>478</v>
      </c>
      <c r="G4469" s="53" t="s">
        <v>474</v>
      </c>
      <c r="H4469" s="53">
        <v>1.0</v>
      </c>
      <c r="I4469" s="53">
        <v>0.18493150684931506</v>
      </c>
      <c r="J4469" s="53">
        <v>33.0</v>
      </c>
      <c r="K4469" s="53" t="s">
        <v>53</v>
      </c>
      <c r="L4469" s="53" t="s">
        <v>53</v>
      </c>
    </row>
    <row r="4470" ht="15.75" customHeight="1">
      <c r="A4470" s="53" t="s">
        <v>411</v>
      </c>
      <c r="B4470" s="53" t="s">
        <v>4945</v>
      </c>
      <c r="D4470" s="53" t="s">
        <v>509</v>
      </c>
      <c r="E4470" s="53" t="s">
        <v>5803</v>
      </c>
      <c r="F4470" s="53" t="s">
        <v>478</v>
      </c>
      <c r="G4470" s="53" t="s">
        <v>485</v>
      </c>
      <c r="H4470" s="53">
        <v>1.0</v>
      </c>
      <c r="I4470" s="53">
        <v>0.1875</v>
      </c>
      <c r="J4470" s="53">
        <v>32.0</v>
      </c>
      <c r="K4470" s="53" t="s">
        <v>53</v>
      </c>
      <c r="L4470" s="53" t="s">
        <v>53</v>
      </c>
    </row>
    <row r="4471" ht="15.75" customHeight="1">
      <c r="A4471" s="53" t="s">
        <v>411</v>
      </c>
      <c r="B4471" s="53" t="s">
        <v>4945</v>
      </c>
      <c r="D4471" s="53" t="s">
        <v>509</v>
      </c>
      <c r="E4471" s="53" t="s">
        <v>5804</v>
      </c>
      <c r="F4471" s="53" t="s">
        <v>478</v>
      </c>
      <c r="G4471" s="53" t="s">
        <v>2954</v>
      </c>
      <c r="H4471" s="53">
        <v>1.0</v>
      </c>
      <c r="I4471" s="53">
        <v>0.19014084507042253</v>
      </c>
      <c r="J4471" s="53">
        <v>14.0</v>
      </c>
      <c r="K4471" s="53" t="s">
        <v>53</v>
      </c>
      <c r="L4471" s="53" t="s">
        <v>53</v>
      </c>
    </row>
    <row r="4472" ht="15.75" customHeight="1">
      <c r="A4472" s="53" t="s">
        <v>411</v>
      </c>
      <c r="B4472" s="53" t="s">
        <v>4945</v>
      </c>
      <c r="D4472" s="53" t="s">
        <v>509</v>
      </c>
      <c r="E4472" s="53" t="s">
        <v>5805</v>
      </c>
      <c r="F4472" s="53" t="s">
        <v>478</v>
      </c>
      <c r="G4472" s="53" t="s">
        <v>2897</v>
      </c>
      <c r="H4472" s="53">
        <v>1.0</v>
      </c>
      <c r="I4472" s="53">
        <v>0.19708029197080293</v>
      </c>
      <c r="J4472" s="53">
        <v>5.0</v>
      </c>
      <c r="K4472" s="53" t="s">
        <v>53</v>
      </c>
      <c r="L4472" s="53" t="s">
        <v>53</v>
      </c>
    </row>
    <row r="4473" ht="15.75" customHeight="1">
      <c r="A4473" s="53" t="s">
        <v>411</v>
      </c>
      <c r="B4473" s="53" t="s">
        <v>4945</v>
      </c>
      <c r="D4473" s="53" t="s">
        <v>509</v>
      </c>
      <c r="E4473" s="53" t="s">
        <v>5806</v>
      </c>
      <c r="F4473" s="53" t="s">
        <v>478</v>
      </c>
      <c r="G4473" s="53" t="s">
        <v>2891</v>
      </c>
      <c r="H4473" s="53">
        <v>1.0</v>
      </c>
      <c r="I4473" s="53">
        <v>0.2028985507246377</v>
      </c>
      <c r="J4473" s="53">
        <v>6.0</v>
      </c>
      <c r="K4473" s="53" t="s">
        <v>53</v>
      </c>
      <c r="L4473" s="53" t="s">
        <v>53</v>
      </c>
    </row>
    <row r="4474" ht="15.75" customHeight="1">
      <c r="A4474" s="53" t="s">
        <v>411</v>
      </c>
      <c r="B4474" s="53" t="s">
        <v>4945</v>
      </c>
      <c r="D4474" s="53" t="s">
        <v>509</v>
      </c>
      <c r="E4474" s="53" t="s">
        <v>5807</v>
      </c>
      <c r="F4474" s="53" t="s">
        <v>478</v>
      </c>
      <c r="G4474" s="53" t="s">
        <v>2883</v>
      </c>
      <c r="H4474" s="53">
        <v>1.0</v>
      </c>
      <c r="I4474" s="53">
        <v>0.20437956204379562</v>
      </c>
      <c r="J4474" s="53">
        <v>2.0</v>
      </c>
      <c r="K4474" s="53" t="s">
        <v>53</v>
      </c>
      <c r="L4474" s="53" t="s">
        <v>53</v>
      </c>
    </row>
    <row r="4475" ht="15.75" customHeight="1">
      <c r="A4475" s="53" t="s">
        <v>411</v>
      </c>
      <c r="B4475" s="53" t="s">
        <v>4945</v>
      </c>
      <c r="D4475" s="53" t="s">
        <v>509</v>
      </c>
      <c r="E4475" s="53" t="s">
        <v>5808</v>
      </c>
      <c r="F4475" s="53" t="s">
        <v>478</v>
      </c>
      <c r="G4475" s="53" t="s">
        <v>2937</v>
      </c>
      <c r="H4475" s="53">
        <v>1.0</v>
      </c>
      <c r="I4475" s="53">
        <v>0.20437956204379562</v>
      </c>
      <c r="J4475" s="53">
        <v>36.0</v>
      </c>
      <c r="K4475" s="53" t="s">
        <v>53</v>
      </c>
      <c r="L4475" s="53" t="s">
        <v>53</v>
      </c>
    </row>
    <row r="4476" ht="15.75" customHeight="1">
      <c r="A4476" s="53" t="s">
        <v>411</v>
      </c>
      <c r="B4476" s="53" t="s">
        <v>4945</v>
      </c>
      <c r="D4476" s="53" t="s">
        <v>509</v>
      </c>
      <c r="E4476" s="53" t="s">
        <v>5809</v>
      </c>
      <c r="F4476" s="53" t="s">
        <v>478</v>
      </c>
      <c r="G4476" s="53" t="s">
        <v>2885</v>
      </c>
      <c r="H4476" s="53">
        <v>1.0</v>
      </c>
      <c r="I4476" s="53">
        <v>0.20437956204379562</v>
      </c>
      <c r="J4476" s="53">
        <v>1.0</v>
      </c>
      <c r="K4476" s="53" t="s">
        <v>53</v>
      </c>
      <c r="L4476" s="53" t="s">
        <v>53</v>
      </c>
    </row>
    <row r="4477" ht="15.75" customHeight="1">
      <c r="A4477" s="53" t="s">
        <v>411</v>
      </c>
      <c r="B4477" s="53" t="s">
        <v>4945</v>
      </c>
      <c r="D4477" s="53" t="s">
        <v>509</v>
      </c>
      <c r="E4477" s="53" t="s">
        <v>5810</v>
      </c>
      <c r="F4477" s="53" t="s">
        <v>478</v>
      </c>
      <c r="G4477" s="53" t="s">
        <v>2887</v>
      </c>
      <c r="H4477" s="53">
        <v>1.0</v>
      </c>
      <c r="I4477" s="53">
        <v>0.20437956204379562</v>
      </c>
      <c r="J4477" s="53">
        <v>7.0</v>
      </c>
      <c r="K4477" s="53" t="s">
        <v>53</v>
      </c>
      <c r="L4477" s="53" t="s">
        <v>53</v>
      </c>
    </row>
    <row r="4478" ht="15.75" customHeight="1">
      <c r="A4478" s="53" t="s">
        <v>411</v>
      </c>
      <c r="B4478" s="53" t="s">
        <v>4945</v>
      </c>
      <c r="D4478" s="53" t="s">
        <v>509</v>
      </c>
      <c r="E4478" s="53" t="s">
        <v>5811</v>
      </c>
      <c r="F4478" s="53" t="s">
        <v>478</v>
      </c>
      <c r="G4478" s="53" t="s">
        <v>2889</v>
      </c>
      <c r="H4478" s="53">
        <v>1.0</v>
      </c>
      <c r="I4478" s="53">
        <v>0.20437956204379562</v>
      </c>
      <c r="J4478" s="53">
        <v>10.0</v>
      </c>
      <c r="K4478" s="53" t="s">
        <v>53</v>
      </c>
      <c r="L4478" s="53" t="s">
        <v>53</v>
      </c>
    </row>
    <row r="4479" ht="15.75" customHeight="1">
      <c r="A4479" s="53" t="s">
        <v>411</v>
      </c>
      <c r="B4479" s="53" t="s">
        <v>4945</v>
      </c>
      <c r="D4479" s="53" t="s">
        <v>509</v>
      </c>
      <c r="E4479" s="53" t="s">
        <v>5812</v>
      </c>
      <c r="F4479" s="53" t="s">
        <v>478</v>
      </c>
      <c r="G4479" s="53" t="s">
        <v>2915</v>
      </c>
      <c r="H4479" s="53">
        <v>1.0</v>
      </c>
      <c r="I4479" s="53">
        <v>0.20689655172413793</v>
      </c>
      <c r="J4479" s="53">
        <v>22.0</v>
      </c>
      <c r="K4479" s="53" t="s">
        <v>53</v>
      </c>
      <c r="L4479" s="53" t="s">
        <v>53</v>
      </c>
    </row>
    <row r="4480" ht="15.75" customHeight="1">
      <c r="A4480" s="53" t="s">
        <v>411</v>
      </c>
      <c r="B4480" s="53" t="s">
        <v>4945</v>
      </c>
      <c r="D4480" s="53" t="s">
        <v>509</v>
      </c>
      <c r="E4480" s="53" t="s">
        <v>5813</v>
      </c>
      <c r="F4480" s="53" t="s">
        <v>478</v>
      </c>
      <c r="G4480" s="53" t="s">
        <v>495</v>
      </c>
      <c r="H4480" s="53">
        <v>1.0</v>
      </c>
      <c r="I4480" s="53">
        <v>0.21014492753623187</v>
      </c>
      <c r="J4480" s="53">
        <v>34.0</v>
      </c>
      <c r="K4480" s="53" t="s">
        <v>53</v>
      </c>
      <c r="L4480" s="53" t="s">
        <v>53</v>
      </c>
    </row>
    <row r="4481" ht="15.75" customHeight="1">
      <c r="A4481" s="53" t="s">
        <v>411</v>
      </c>
      <c r="B4481" s="53" t="s">
        <v>4945</v>
      </c>
      <c r="D4481" s="53" t="s">
        <v>509</v>
      </c>
      <c r="E4481" s="53" t="s">
        <v>5814</v>
      </c>
      <c r="F4481" s="53" t="s">
        <v>478</v>
      </c>
      <c r="G4481" s="53" t="s">
        <v>2893</v>
      </c>
      <c r="H4481" s="53">
        <v>1.0</v>
      </c>
      <c r="I4481" s="53">
        <v>0.21014492753623187</v>
      </c>
      <c r="J4481" s="53">
        <v>4.0</v>
      </c>
      <c r="K4481" s="53" t="s">
        <v>53</v>
      </c>
      <c r="L4481" s="53" t="s">
        <v>53</v>
      </c>
    </row>
    <row r="4482" ht="15.75" customHeight="1">
      <c r="A4482" s="53" t="s">
        <v>411</v>
      </c>
      <c r="B4482" s="53" t="s">
        <v>4945</v>
      </c>
      <c r="D4482" s="53" t="s">
        <v>509</v>
      </c>
      <c r="E4482" s="53" t="s">
        <v>5815</v>
      </c>
      <c r="F4482" s="53" t="s">
        <v>478</v>
      </c>
      <c r="G4482" s="53" t="s">
        <v>2911</v>
      </c>
      <c r="H4482" s="53">
        <v>1.0</v>
      </c>
      <c r="I4482" s="53">
        <v>0.2112676056338028</v>
      </c>
      <c r="J4482" s="53">
        <v>13.0</v>
      </c>
      <c r="K4482" s="53" t="s">
        <v>53</v>
      </c>
      <c r="L4482" s="53" t="s">
        <v>53</v>
      </c>
    </row>
    <row r="4483" ht="15.75" customHeight="1">
      <c r="A4483" s="53" t="s">
        <v>411</v>
      </c>
      <c r="B4483" s="53" t="s">
        <v>4945</v>
      </c>
      <c r="D4483" s="53" t="s">
        <v>509</v>
      </c>
      <c r="E4483" s="53" t="s">
        <v>5816</v>
      </c>
      <c r="F4483" s="53" t="s">
        <v>478</v>
      </c>
      <c r="G4483" s="53" t="s">
        <v>2895</v>
      </c>
      <c r="H4483" s="53">
        <v>1.0</v>
      </c>
      <c r="I4483" s="53">
        <v>0.2116788321167883</v>
      </c>
      <c r="J4483" s="53">
        <v>8.0</v>
      </c>
      <c r="K4483" s="53" t="s">
        <v>53</v>
      </c>
      <c r="L4483" s="53" t="s">
        <v>53</v>
      </c>
    </row>
    <row r="4484" ht="15.75" customHeight="1">
      <c r="A4484" s="53" t="s">
        <v>411</v>
      </c>
      <c r="B4484" s="53" t="s">
        <v>4945</v>
      </c>
      <c r="D4484" s="53" t="s">
        <v>509</v>
      </c>
      <c r="E4484" s="53" t="s">
        <v>5817</v>
      </c>
      <c r="F4484" s="53" t="s">
        <v>478</v>
      </c>
      <c r="G4484" s="53" t="s">
        <v>2905</v>
      </c>
      <c r="H4484" s="53">
        <v>1.0</v>
      </c>
      <c r="I4484" s="53">
        <v>0.2116788321167883</v>
      </c>
      <c r="J4484" s="53">
        <v>15.0</v>
      </c>
      <c r="K4484" s="53" t="s">
        <v>53</v>
      </c>
      <c r="L4484" s="53" t="s">
        <v>53</v>
      </c>
    </row>
    <row r="4485" ht="15.75" customHeight="1">
      <c r="A4485" s="53" t="s">
        <v>411</v>
      </c>
      <c r="B4485" s="53" t="s">
        <v>4945</v>
      </c>
      <c r="D4485" s="53" t="s">
        <v>509</v>
      </c>
      <c r="E4485" s="53" t="s">
        <v>5818</v>
      </c>
      <c r="F4485" s="53" t="s">
        <v>478</v>
      </c>
      <c r="G4485" s="53" t="s">
        <v>2901</v>
      </c>
      <c r="H4485" s="53">
        <v>1.0</v>
      </c>
      <c r="I4485" s="53">
        <v>0.2116788321167883</v>
      </c>
      <c r="J4485" s="53">
        <v>9.0</v>
      </c>
      <c r="K4485" s="53" t="s">
        <v>53</v>
      </c>
      <c r="L4485" s="53" t="s">
        <v>53</v>
      </c>
    </row>
    <row r="4486" ht="15.75" customHeight="1">
      <c r="A4486" s="53" t="s">
        <v>411</v>
      </c>
      <c r="B4486" s="53" t="s">
        <v>4945</v>
      </c>
      <c r="D4486" s="53" t="s">
        <v>509</v>
      </c>
      <c r="E4486" s="53" t="s">
        <v>5819</v>
      </c>
      <c r="F4486" s="53" t="s">
        <v>478</v>
      </c>
      <c r="G4486" s="53" t="s">
        <v>2913</v>
      </c>
      <c r="H4486" s="53">
        <v>1.0</v>
      </c>
      <c r="I4486" s="53">
        <v>0.21830985915492956</v>
      </c>
      <c r="J4486" s="53">
        <v>11.0</v>
      </c>
      <c r="K4486" s="53" t="s">
        <v>53</v>
      </c>
      <c r="L4486" s="53" t="s">
        <v>53</v>
      </c>
    </row>
    <row r="4487" ht="15.75" customHeight="1">
      <c r="A4487" s="53" t="s">
        <v>411</v>
      </c>
      <c r="B4487" s="53" t="s">
        <v>4945</v>
      </c>
      <c r="D4487" s="53" t="s">
        <v>509</v>
      </c>
      <c r="E4487" s="53" t="s">
        <v>5820</v>
      </c>
      <c r="F4487" s="53" t="s">
        <v>478</v>
      </c>
      <c r="G4487" s="53" t="s">
        <v>2899</v>
      </c>
      <c r="H4487" s="53">
        <v>1.0</v>
      </c>
      <c r="I4487" s="53">
        <v>0.21897810218978103</v>
      </c>
      <c r="J4487" s="53">
        <v>12.0</v>
      </c>
      <c r="K4487" s="53" t="s">
        <v>53</v>
      </c>
      <c r="L4487" s="53" t="s">
        <v>53</v>
      </c>
    </row>
    <row r="4488" ht="15.75" customHeight="1">
      <c r="A4488" s="53" t="s">
        <v>411</v>
      </c>
      <c r="B4488" s="53" t="s">
        <v>4945</v>
      </c>
      <c r="D4488" s="53" t="s">
        <v>509</v>
      </c>
      <c r="E4488" s="53" t="s">
        <v>5821</v>
      </c>
      <c r="F4488" s="53" t="s">
        <v>478</v>
      </c>
      <c r="G4488" s="53" t="s">
        <v>2907</v>
      </c>
      <c r="H4488" s="53">
        <v>1.0</v>
      </c>
      <c r="I4488" s="53">
        <v>0.22302158273381295</v>
      </c>
      <c r="J4488" s="53">
        <v>30.0</v>
      </c>
      <c r="K4488" s="53" t="s">
        <v>53</v>
      </c>
      <c r="L4488" s="53" t="s">
        <v>53</v>
      </c>
    </row>
    <row r="4489" ht="15.75" customHeight="1">
      <c r="A4489" s="53" t="s">
        <v>411</v>
      </c>
      <c r="B4489" s="53" t="s">
        <v>4945</v>
      </c>
      <c r="D4489" s="53" t="s">
        <v>509</v>
      </c>
      <c r="E4489" s="53" t="s">
        <v>5822</v>
      </c>
      <c r="F4489" s="53" t="s">
        <v>478</v>
      </c>
      <c r="G4489" s="53" t="s">
        <v>2909</v>
      </c>
      <c r="H4489" s="53">
        <v>1.0</v>
      </c>
      <c r="I4489" s="53">
        <v>0.22695035460992907</v>
      </c>
      <c r="J4489" s="53">
        <v>0.0</v>
      </c>
      <c r="K4489" s="53" t="s">
        <v>53</v>
      </c>
      <c r="L4489" s="53" t="s">
        <v>53</v>
      </c>
    </row>
    <row r="4490" ht="15.75" customHeight="1">
      <c r="A4490" s="53" t="s">
        <v>411</v>
      </c>
      <c r="B4490" s="53" t="s">
        <v>4945</v>
      </c>
      <c r="D4490" s="53" t="s">
        <v>509</v>
      </c>
      <c r="E4490" s="53" t="s">
        <v>5823</v>
      </c>
      <c r="F4490" s="53" t="s">
        <v>478</v>
      </c>
      <c r="G4490" s="53" t="s">
        <v>2917</v>
      </c>
      <c r="H4490" s="53">
        <v>1.0</v>
      </c>
      <c r="I4490" s="53">
        <v>0.23076923076923078</v>
      </c>
      <c r="J4490" s="53">
        <v>31.0</v>
      </c>
      <c r="K4490" s="53" t="s">
        <v>53</v>
      </c>
      <c r="L4490" s="53" t="s">
        <v>53</v>
      </c>
    </row>
    <row r="4491" ht="15.75" customHeight="1">
      <c r="A4491" s="53" t="s">
        <v>411</v>
      </c>
      <c r="B4491" s="53" t="s">
        <v>4945</v>
      </c>
      <c r="D4491" s="53" t="s">
        <v>509</v>
      </c>
      <c r="E4491" s="53" t="s">
        <v>5824</v>
      </c>
      <c r="F4491" s="53" t="s">
        <v>478</v>
      </c>
      <c r="G4491" s="53" t="s">
        <v>2923</v>
      </c>
      <c r="H4491" s="53">
        <v>1.0</v>
      </c>
      <c r="I4491" s="53">
        <v>0.23648648648648649</v>
      </c>
      <c r="J4491" s="53">
        <v>23.0</v>
      </c>
      <c r="K4491" s="53" t="s">
        <v>53</v>
      </c>
      <c r="L4491" s="53" t="s">
        <v>53</v>
      </c>
    </row>
    <row r="4492" ht="15.75" customHeight="1">
      <c r="A4492" s="53" t="s">
        <v>411</v>
      </c>
      <c r="B4492" s="53" t="s">
        <v>4945</v>
      </c>
      <c r="D4492" s="53" t="s">
        <v>509</v>
      </c>
      <c r="E4492" s="53" t="s">
        <v>5825</v>
      </c>
      <c r="F4492" s="53" t="s">
        <v>478</v>
      </c>
      <c r="G4492" s="53" t="s">
        <v>2950</v>
      </c>
      <c r="H4492" s="53">
        <v>1.0</v>
      </c>
      <c r="I4492" s="53">
        <v>0.2389937106918239</v>
      </c>
      <c r="J4492" s="53">
        <v>17.0</v>
      </c>
      <c r="K4492" s="53" t="s">
        <v>53</v>
      </c>
      <c r="L4492" s="53" t="s">
        <v>53</v>
      </c>
    </row>
    <row r="4493" ht="15.75" customHeight="1">
      <c r="A4493" s="53" t="s">
        <v>411</v>
      </c>
      <c r="B4493" s="53" t="s">
        <v>4945</v>
      </c>
      <c r="D4493" s="53" t="s">
        <v>509</v>
      </c>
      <c r="E4493" s="53" t="s">
        <v>5826</v>
      </c>
      <c r="F4493" s="53" t="s">
        <v>478</v>
      </c>
      <c r="G4493" s="53" t="s">
        <v>2927</v>
      </c>
      <c r="H4493" s="53">
        <v>1.0</v>
      </c>
      <c r="I4493" s="53">
        <v>0.24161073825503357</v>
      </c>
      <c r="J4493" s="53">
        <v>26.0</v>
      </c>
      <c r="K4493" s="53" t="s">
        <v>53</v>
      </c>
      <c r="L4493" s="53" t="s">
        <v>53</v>
      </c>
    </row>
    <row r="4494" ht="15.75" customHeight="1">
      <c r="A4494" s="53" t="s">
        <v>411</v>
      </c>
      <c r="B4494" s="53" t="s">
        <v>4945</v>
      </c>
      <c r="D4494" s="53" t="s">
        <v>509</v>
      </c>
      <c r="E4494" s="53" t="s">
        <v>5827</v>
      </c>
      <c r="F4494" s="53" t="s">
        <v>478</v>
      </c>
      <c r="G4494" s="53" t="s">
        <v>2925</v>
      </c>
      <c r="H4494" s="53">
        <v>1.0</v>
      </c>
      <c r="I4494" s="53">
        <v>0.24503311258278146</v>
      </c>
      <c r="J4494" s="53">
        <v>29.0</v>
      </c>
      <c r="K4494" s="53" t="s">
        <v>53</v>
      </c>
      <c r="L4494" s="53" t="s">
        <v>53</v>
      </c>
    </row>
    <row r="4495" ht="15.75" customHeight="1">
      <c r="A4495" s="53" t="s">
        <v>411</v>
      </c>
      <c r="B4495" s="53" t="s">
        <v>4945</v>
      </c>
      <c r="D4495" s="53" t="s">
        <v>509</v>
      </c>
      <c r="E4495" s="53" t="s">
        <v>5828</v>
      </c>
      <c r="F4495" s="53" t="s">
        <v>478</v>
      </c>
      <c r="G4495" s="53" t="s">
        <v>2921</v>
      </c>
      <c r="H4495" s="53">
        <v>1.0</v>
      </c>
      <c r="I4495" s="53">
        <v>0.2483221476510067</v>
      </c>
      <c r="J4495" s="53">
        <v>25.0</v>
      </c>
      <c r="K4495" s="53" t="s">
        <v>53</v>
      </c>
      <c r="L4495" s="53" t="s">
        <v>53</v>
      </c>
    </row>
    <row r="4496" ht="15.75" customHeight="1">
      <c r="A4496" s="53" t="s">
        <v>411</v>
      </c>
      <c r="B4496" s="53" t="s">
        <v>4945</v>
      </c>
      <c r="D4496" s="53" t="s">
        <v>509</v>
      </c>
      <c r="E4496" s="53" t="s">
        <v>5829</v>
      </c>
      <c r="F4496" s="53" t="s">
        <v>478</v>
      </c>
      <c r="G4496" s="53" t="s">
        <v>2931</v>
      </c>
      <c r="H4496" s="53">
        <v>1.0</v>
      </c>
      <c r="I4496" s="53">
        <v>0.25</v>
      </c>
      <c r="J4496" s="53">
        <v>21.0</v>
      </c>
      <c r="K4496" s="53" t="s">
        <v>53</v>
      </c>
      <c r="L4496" s="53" t="s">
        <v>53</v>
      </c>
    </row>
    <row r="4497" ht="15.75" customHeight="1">
      <c r="A4497" s="53" t="s">
        <v>411</v>
      </c>
      <c r="B4497" s="53" t="s">
        <v>4945</v>
      </c>
      <c r="D4497" s="53" t="s">
        <v>509</v>
      </c>
      <c r="E4497" s="53" t="s">
        <v>5830</v>
      </c>
      <c r="F4497" s="53" t="s">
        <v>478</v>
      </c>
      <c r="G4497" s="53" t="s">
        <v>2919</v>
      </c>
      <c r="H4497" s="53">
        <v>1.0</v>
      </c>
      <c r="I4497" s="53">
        <v>0.2582781456953642</v>
      </c>
      <c r="J4497" s="53">
        <v>24.0</v>
      </c>
      <c r="K4497" s="53" t="s">
        <v>53</v>
      </c>
      <c r="L4497" s="53" t="s">
        <v>53</v>
      </c>
    </row>
    <row r="4498" ht="15.75" customHeight="1">
      <c r="A4498" s="53" t="s">
        <v>411</v>
      </c>
      <c r="B4498" s="53" t="s">
        <v>4945</v>
      </c>
      <c r="D4498" s="53" t="s">
        <v>509</v>
      </c>
      <c r="E4498" s="53" t="s">
        <v>5831</v>
      </c>
      <c r="F4498" s="53" t="s">
        <v>478</v>
      </c>
      <c r="G4498" s="53" t="s">
        <v>2935</v>
      </c>
      <c r="H4498" s="53">
        <v>1.0</v>
      </c>
      <c r="I4498" s="53">
        <v>0.2582781456953642</v>
      </c>
      <c r="J4498" s="53">
        <v>18.0</v>
      </c>
      <c r="K4498" s="53" t="s">
        <v>53</v>
      </c>
      <c r="L4498" s="53" t="s">
        <v>53</v>
      </c>
    </row>
    <row r="4499" ht="15.75" customHeight="1">
      <c r="A4499" s="53" t="s">
        <v>411</v>
      </c>
      <c r="B4499" s="53" t="s">
        <v>4945</v>
      </c>
      <c r="D4499" s="53" t="s">
        <v>509</v>
      </c>
      <c r="E4499" s="53" t="s">
        <v>5832</v>
      </c>
      <c r="F4499" s="53" t="s">
        <v>478</v>
      </c>
      <c r="G4499" s="53" t="s">
        <v>2929</v>
      </c>
      <c r="H4499" s="53">
        <v>1.0</v>
      </c>
      <c r="I4499" s="53">
        <v>0.26143790849673204</v>
      </c>
      <c r="J4499" s="53">
        <v>27.0</v>
      </c>
      <c r="K4499" s="53" t="s">
        <v>53</v>
      </c>
      <c r="L4499" s="53" t="s">
        <v>53</v>
      </c>
    </row>
    <row r="4500" ht="15.75" customHeight="1">
      <c r="A4500" s="53" t="s">
        <v>411</v>
      </c>
      <c r="B4500" s="53" t="s">
        <v>4945</v>
      </c>
      <c r="D4500" s="53" t="s">
        <v>509</v>
      </c>
      <c r="E4500" s="53" t="s">
        <v>5833</v>
      </c>
      <c r="F4500" s="53" t="s">
        <v>478</v>
      </c>
      <c r="G4500" s="53" t="s">
        <v>2957</v>
      </c>
      <c r="H4500" s="53">
        <v>1.0</v>
      </c>
      <c r="I4500" s="53">
        <v>0.26666666666666666</v>
      </c>
      <c r="J4500" s="53">
        <v>19.0</v>
      </c>
      <c r="K4500" s="53" t="s">
        <v>53</v>
      </c>
      <c r="L4500" s="53" t="s">
        <v>53</v>
      </c>
    </row>
    <row r="4501" ht="15.75" customHeight="1">
      <c r="A4501" s="53" t="s">
        <v>411</v>
      </c>
      <c r="B4501" s="53" t="s">
        <v>4945</v>
      </c>
      <c r="D4501" s="53" t="s">
        <v>509</v>
      </c>
      <c r="E4501" s="53" t="s">
        <v>5834</v>
      </c>
      <c r="F4501" s="53" t="s">
        <v>478</v>
      </c>
      <c r="G4501" s="53" t="s">
        <v>2944</v>
      </c>
      <c r="H4501" s="53">
        <v>1.0</v>
      </c>
      <c r="I4501" s="53">
        <v>0.2857142857142857</v>
      </c>
      <c r="J4501" s="53">
        <v>20.0</v>
      </c>
      <c r="K4501" s="53" t="s">
        <v>53</v>
      </c>
      <c r="L4501" s="53" t="s">
        <v>53</v>
      </c>
    </row>
    <row r="4502" ht="15.75" customHeight="1">
      <c r="A4502" s="53" t="s">
        <v>411</v>
      </c>
      <c r="B4502" s="53" t="s">
        <v>4945</v>
      </c>
      <c r="D4502" s="53" t="s">
        <v>509</v>
      </c>
      <c r="E4502" s="53" t="s">
        <v>5835</v>
      </c>
      <c r="F4502" s="53" t="s">
        <v>478</v>
      </c>
      <c r="G4502" s="53" t="s">
        <v>2933</v>
      </c>
      <c r="H4502" s="53">
        <v>1.0</v>
      </c>
      <c r="I4502" s="53">
        <v>0.2875</v>
      </c>
      <c r="J4502" s="53">
        <v>28.0</v>
      </c>
      <c r="K4502" s="53" t="s">
        <v>53</v>
      </c>
      <c r="L4502" s="53" t="s">
        <v>53</v>
      </c>
    </row>
    <row r="4503" ht="15.75" customHeight="1">
      <c r="A4503" s="53" t="s">
        <v>411</v>
      </c>
      <c r="B4503" s="53" t="s">
        <v>4945</v>
      </c>
      <c r="D4503" s="53" t="s">
        <v>509</v>
      </c>
      <c r="E4503" s="53" t="s">
        <v>5836</v>
      </c>
      <c r="F4503" s="53" t="s">
        <v>478</v>
      </c>
      <c r="G4503" s="53" t="s">
        <v>2946</v>
      </c>
      <c r="H4503" s="53">
        <v>1.0</v>
      </c>
      <c r="I4503" s="53">
        <v>0.3212121212121212</v>
      </c>
      <c r="J4503" s="53">
        <v>3.0</v>
      </c>
      <c r="K4503" s="53" t="s">
        <v>53</v>
      </c>
      <c r="L4503" s="53" t="s">
        <v>53</v>
      </c>
    </row>
    <row r="4504" ht="15.75" customHeight="1">
      <c r="A4504" s="53" t="s">
        <v>411</v>
      </c>
      <c r="B4504" s="53" t="s">
        <v>4945</v>
      </c>
      <c r="D4504" s="53" t="s">
        <v>2909</v>
      </c>
      <c r="E4504" s="53" t="s">
        <v>5837</v>
      </c>
      <c r="F4504" s="53" t="s">
        <v>478</v>
      </c>
      <c r="G4504" s="53" t="s">
        <v>2897</v>
      </c>
      <c r="H4504" s="53">
        <v>1.0</v>
      </c>
      <c r="I4504" s="53">
        <v>0.07801418439716312</v>
      </c>
      <c r="J4504" s="53">
        <v>4.0</v>
      </c>
      <c r="K4504" s="53" t="s">
        <v>53</v>
      </c>
      <c r="L4504" s="53" t="s">
        <v>53</v>
      </c>
    </row>
    <row r="4505" ht="15.75" customHeight="1">
      <c r="A4505" s="53" t="s">
        <v>411</v>
      </c>
      <c r="B4505" s="53" t="s">
        <v>4945</v>
      </c>
      <c r="D4505" s="53" t="s">
        <v>2909</v>
      </c>
      <c r="E4505" s="53" t="s">
        <v>5838</v>
      </c>
      <c r="F4505" s="53" t="s">
        <v>478</v>
      </c>
      <c r="G4505" s="53" t="s">
        <v>2907</v>
      </c>
      <c r="H4505" s="53">
        <v>1.0</v>
      </c>
      <c r="I4505" s="53">
        <v>0.07801418439716312</v>
      </c>
      <c r="J4505" s="53">
        <v>29.0</v>
      </c>
      <c r="K4505" s="53" t="s">
        <v>53</v>
      </c>
      <c r="L4505" s="53" t="s">
        <v>53</v>
      </c>
    </row>
    <row r="4506" ht="15.75" customHeight="1">
      <c r="A4506" s="53" t="s">
        <v>411</v>
      </c>
      <c r="B4506" s="53" t="s">
        <v>4945</v>
      </c>
      <c r="D4506" s="53" t="s">
        <v>2909</v>
      </c>
      <c r="E4506" s="53" t="s">
        <v>5839</v>
      </c>
      <c r="F4506" s="53" t="s">
        <v>478</v>
      </c>
      <c r="G4506" s="53" t="s">
        <v>2883</v>
      </c>
      <c r="H4506" s="53">
        <v>1.0</v>
      </c>
      <c r="I4506" s="53">
        <v>0.0851063829787234</v>
      </c>
      <c r="J4506" s="53">
        <v>1.0</v>
      </c>
      <c r="K4506" s="53" t="s">
        <v>53</v>
      </c>
      <c r="L4506" s="53" t="s">
        <v>53</v>
      </c>
    </row>
    <row r="4507" ht="15.75" customHeight="1">
      <c r="A4507" s="53" t="s">
        <v>411</v>
      </c>
      <c r="B4507" s="53" t="s">
        <v>4945</v>
      </c>
      <c r="D4507" s="53" t="s">
        <v>2909</v>
      </c>
      <c r="E4507" s="53" t="s">
        <v>5840</v>
      </c>
      <c r="F4507" s="53" t="s">
        <v>478</v>
      </c>
      <c r="G4507" s="53" t="s">
        <v>2891</v>
      </c>
      <c r="H4507" s="53">
        <v>1.0</v>
      </c>
      <c r="I4507" s="53">
        <v>0.0851063829787234</v>
      </c>
      <c r="J4507" s="53">
        <v>5.0</v>
      </c>
      <c r="K4507" s="53" t="s">
        <v>53</v>
      </c>
      <c r="L4507" s="53" t="s">
        <v>53</v>
      </c>
    </row>
    <row r="4508" ht="15.75" customHeight="1">
      <c r="A4508" s="53" t="s">
        <v>411</v>
      </c>
      <c r="B4508" s="53" t="s">
        <v>4945</v>
      </c>
      <c r="D4508" s="53" t="s">
        <v>2909</v>
      </c>
      <c r="E4508" s="53" t="s">
        <v>5841</v>
      </c>
      <c r="F4508" s="53" t="s">
        <v>478</v>
      </c>
      <c r="G4508" s="53" t="s">
        <v>2885</v>
      </c>
      <c r="H4508" s="53">
        <v>1.0</v>
      </c>
      <c r="I4508" s="53">
        <v>0.0851063829787234</v>
      </c>
      <c r="J4508" s="53">
        <v>0.0</v>
      </c>
      <c r="K4508" s="53" t="s">
        <v>53</v>
      </c>
      <c r="L4508" s="53" t="s">
        <v>53</v>
      </c>
    </row>
    <row r="4509" ht="15.75" customHeight="1">
      <c r="A4509" s="53" t="s">
        <v>411</v>
      </c>
      <c r="B4509" s="53" t="s">
        <v>4945</v>
      </c>
      <c r="D4509" s="53" t="s">
        <v>2909</v>
      </c>
      <c r="E4509" s="53" t="s">
        <v>5842</v>
      </c>
      <c r="F4509" s="53" t="s">
        <v>478</v>
      </c>
      <c r="G4509" s="53" t="s">
        <v>2905</v>
      </c>
      <c r="H4509" s="53">
        <v>1.0</v>
      </c>
      <c r="I4509" s="53">
        <v>0.0851063829787234</v>
      </c>
      <c r="J4509" s="53">
        <v>14.0</v>
      </c>
      <c r="K4509" s="53" t="s">
        <v>53</v>
      </c>
      <c r="L4509" s="53" t="s">
        <v>53</v>
      </c>
    </row>
    <row r="4510" ht="15.75" customHeight="1">
      <c r="A4510" s="53" t="s">
        <v>411</v>
      </c>
      <c r="B4510" s="53" t="s">
        <v>4945</v>
      </c>
      <c r="D4510" s="53" t="s">
        <v>2909</v>
      </c>
      <c r="E4510" s="53" t="s">
        <v>5843</v>
      </c>
      <c r="F4510" s="53" t="s">
        <v>478</v>
      </c>
      <c r="G4510" s="53" t="s">
        <v>2893</v>
      </c>
      <c r="H4510" s="53">
        <v>1.0</v>
      </c>
      <c r="I4510" s="53">
        <v>0.0851063829787234</v>
      </c>
      <c r="J4510" s="53">
        <v>3.0</v>
      </c>
      <c r="K4510" s="53" t="s">
        <v>53</v>
      </c>
      <c r="L4510" s="53" t="s">
        <v>53</v>
      </c>
    </row>
    <row r="4511" ht="15.75" customHeight="1">
      <c r="A4511" s="53" t="s">
        <v>411</v>
      </c>
      <c r="B4511" s="53" t="s">
        <v>4945</v>
      </c>
      <c r="D4511" s="53" t="s">
        <v>2909</v>
      </c>
      <c r="E4511" s="53" t="s">
        <v>5844</v>
      </c>
      <c r="F4511" s="53" t="s">
        <v>478</v>
      </c>
      <c r="G4511" s="53" t="s">
        <v>2889</v>
      </c>
      <c r="H4511" s="53">
        <v>1.0</v>
      </c>
      <c r="I4511" s="53">
        <v>0.09219858156028368</v>
      </c>
      <c r="J4511" s="53">
        <v>9.0</v>
      </c>
      <c r="K4511" s="53" t="s">
        <v>53</v>
      </c>
      <c r="L4511" s="53" t="s">
        <v>53</v>
      </c>
    </row>
    <row r="4512" ht="15.75" customHeight="1">
      <c r="A4512" s="53" t="s">
        <v>411</v>
      </c>
      <c r="B4512" s="53" t="s">
        <v>4945</v>
      </c>
      <c r="D4512" s="53" t="s">
        <v>2909</v>
      </c>
      <c r="E4512" s="53" t="s">
        <v>5845</v>
      </c>
      <c r="F4512" s="53" t="s">
        <v>478</v>
      </c>
      <c r="G4512" s="53" t="s">
        <v>2899</v>
      </c>
      <c r="H4512" s="53">
        <v>1.0</v>
      </c>
      <c r="I4512" s="53">
        <v>0.09929078014184398</v>
      </c>
      <c r="J4512" s="53">
        <v>11.0</v>
      </c>
      <c r="K4512" s="53" t="s">
        <v>53</v>
      </c>
      <c r="L4512" s="53" t="s">
        <v>53</v>
      </c>
    </row>
    <row r="4513" ht="15.75" customHeight="1">
      <c r="A4513" s="53" t="s">
        <v>411</v>
      </c>
      <c r="B4513" s="53" t="s">
        <v>4945</v>
      </c>
      <c r="D4513" s="53" t="s">
        <v>2909</v>
      </c>
      <c r="E4513" s="53" t="s">
        <v>5846</v>
      </c>
      <c r="F4513" s="53" t="s">
        <v>478</v>
      </c>
      <c r="G4513" s="53" t="s">
        <v>2901</v>
      </c>
      <c r="H4513" s="53">
        <v>1.0</v>
      </c>
      <c r="I4513" s="53">
        <v>0.09929078014184398</v>
      </c>
      <c r="J4513" s="53">
        <v>8.0</v>
      </c>
      <c r="K4513" s="53" t="s">
        <v>53</v>
      </c>
      <c r="L4513" s="53" t="s">
        <v>53</v>
      </c>
    </row>
    <row r="4514" ht="15.75" customHeight="1">
      <c r="A4514" s="53" t="s">
        <v>411</v>
      </c>
      <c r="B4514" s="53" t="s">
        <v>4945</v>
      </c>
      <c r="D4514" s="53" t="s">
        <v>2909</v>
      </c>
      <c r="E4514" s="53" t="s">
        <v>5847</v>
      </c>
      <c r="F4514" s="53" t="s">
        <v>478</v>
      </c>
      <c r="G4514" s="53" t="s">
        <v>2887</v>
      </c>
      <c r="H4514" s="53">
        <v>1.0</v>
      </c>
      <c r="I4514" s="53">
        <v>0.09929078014184398</v>
      </c>
      <c r="J4514" s="53">
        <v>6.0</v>
      </c>
      <c r="K4514" s="53" t="s">
        <v>53</v>
      </c>
      <c r="L4514" s="53" t="s">
        <v>53</v>
      </c>
    </row>
    <row r="4515" ht="15.75" customHeight="1">
      <c r="A4515" s="53" t="s">
        <v>411</v>
      </c>
      <c r="B4515" s="53" t="s">
        <v>4945</v>
      </c>
      <c r="D4515" s="53" t="s">
        <v>2909</v>
      </c>
      <c r="E4515" s="53" t="s">
        <v>5848</v>
      </c>
      <c r="F4515" s="53" t="s">
        <v>478</v>
      </c>
      <c r="G4515" s="53" t="s">
        <v>2895</v>
      </c>
      <c r="H4515" s="53">
        <v>1.0</v>
      </c>
      <c r="I4515" s="53">
        <v>0.10638297872340426</v>
      </c>
      <c r="J4515" s="53">
        <v>7.0</v>
      </c>
      <c r="K4515" s="53" t="s">
        <v>53</v>
      </c>
      <c r="L4515" s="53" t="s">
        <v>53</v>
      </c>
    </row>
    <row r="4516" ht="15.75" customHeight="1">
      <c r="A4516" s="53" t="s">
        <v>411</v>
      </c>
      <c r="B4516" s="53" t="s">
        <v>4945</v>
      </c>
      <c r="D4516" s="53" t="s">
        <v>2909</v>
      </c>
      <c r="E4516" s="53" t="s">
        <v>5849</v>
      </c>
      <c r="F4516" s="53" t="s">
        <v>478</v>
      </c>
      <c r="G4516" s="53" t="s">
        <v>2917</v>
      </c>
      <c r="H4516" s="53">
        <v>1.0</v>
      </c>
      <c r="I4516" s="53">
        <v>0.11188811188811189</v>
      </c>
      <c r="J4516" s="53">
        <v>30.0</v>
      </c>
      <c r="K4516" s="53" t="s">
        <v>53</v>
      </c>
      <c r="L4516" s="53" t="s">
        <v>53</v>
      </c>
    </row>
    <row r="4517" ht="15.75" customHeight="1">
      <c r="A4517" s="53" t="s">
        <v>411</v>
      </c>
      <c r="B4517" s="53" t="s">
        <v>4945</v>
      </c>
      <c r="D4517" s="53" t="s">
        <v>2909</v>
      </c>
      <c r="E4517" s="53" t="s">
        <v>5850</v>
      </c>
      <c r="F4517" s="53" t="s">
        <v>478</v>
      </c>
      <c r="G4517" s="53" t="s">
        <v>2911</v>
      </c>
      <c r="H4517" s="53">
        <v>1.0</v>
      </c>
      <c r="I4517" s="53">
        <v>0.11267605633802817</v>
      </c>
      <c r="J4517" s="53">
        <v>12.0</v>
      </c>
      <c r="K4517" s="53" t="s">
        <v>53</v>
      </c>
      <c r="L4517" s="53" t="s">
        <v>53</v>
      </c>
    </row>
    <row r="4518" ht="15.75" customHeight="1">
      <c r="A4518" s="53" t="s">
        <v>411</v>
      </c>
      <c r="B4518" s="53" t="s">
        <v>4945</v>
      </c>
      <c r="D4518" s="53" t="s">
        <v>2909</v>
      </c>
      <c r="E4518" s="53" t="s">
        <v>5851</v>
      </c>
      <c r="F4518" s="53" t="s">
        <v>478</v>
      </c>
      <c r="G4518" s="53" t="s">
        <v>2913</v>
      </c>
      <c r="H4518" s="53">
        <v>1.0</v>
      </c>
      <c r="I4518" s="53">
        <v>0.11267605633802817</v>
      </c>
      <c r="J4518" s="53">
        <v>10.0</v>
      </c>
      <c r="K4518" s="53" t="s">
        <v>53</v>
      </c>
      <c r="L4518" s="53" t="s">
        <v>53</v>
      </c>
    </row>
    <row r="4519" ht="15.75" customHeight="1">
      <c r="A4519" s="53" t="s">
        <v>411</v>
      </c>
      <c r="B4519" s="53" t="s">
        <v>4945</v>
      </c>
      <c r="D4519" s="53" t="s">
        <v>2909</v>
      </c>
      <c r="E4519" s="53" t="s">
        <v>5852</v>
      </c>
      <c r="F4519" s="53" t="s">
        <v>478</v>
      </c>
      <c r="G4519" s="53" t="s">
        <v>2915</v>
      </c>
      <c r="H4519" s="53">
        <v>1.0</v>
      </c>
      <c r="I4519" s="53">
        <v>0.11724137931034483</v>
      </c>
      <c r="J4519" s="53">
        <v>21.0</v>
      </c>
      <c r="K4519" s="53" t="s">
        <v>53</v>
      </c>
      <c r="L4519" s="53" t="s">
        <v>53</v>
      </c>
    </row>
    <row r="4520" ht="15.75" customHeight="1">
      <c r="A4520" s="53" t="s">
        <v>411</v>
      </c>
      <c r="B4520" s="53" t="s">
        <v>4945</v>
      </c>
      <c r="D4520" s="53" t="s">
        <v>2909</v>
      </c>
      <c r="E4520" s="53" t="s">
        <v>5853</v>
      </c>
      <c r="F4520" s="53" t="s">
        <v>478</v>
      </c>
      <c r="G4520" s="53" t="s">
        <v>2931</v>
      </c>
      <c r="H4520" s="53">
        <v>1.0</v>
      </c>
      <c r="I4520" s="53">
        <v>0.13157894736842105</v>
      </c>
      <c r="J4520" s="53">
        <v>20.0</v>
      </c>
      <c r="K4520" s="53" t="s">
        <v>53</v>
      </c>
      <c r="L4520" s="53" t="s">
        <v>53</v>
      </c>
    </row>
    <row r="4521" ht="15.75" customHeight="1">
      <c r="A4521" s="53" t="s">
        <v>411</v>
      </c>
      <c r="B4521" s="53" t="s">
        <v>4945</v>
      </c>
      <c r="D4521" s="53" t="s">
        <v>2909</v>
      </c>
      <c r="E4521" s="53" t="s">
        <v>5854</v>
      </c>
      <c r="F4521" s="53" t="s">
        <v>478</v>
      </c>
      <c r="G4521" s="53" t="s">
        <v>2923</v>
      </c>
      <c r="H4521" s="53">
        <v>1.0</v>
      </c>
      <c r="I4521" s="53">
        <v>0.13513513513513514</v>
      </c>
      <c r="J4521" s="53">
        <v>22.0</v>
      </c>
      <c r="K4521" s="53" t="s">
        <v>53</v>
      </c>
      <c r="L4521" s="53" t="s">
        <v>53</v>
      </c>
    </row>
    <row r="4522" ht="15.75" customHeight="1">
      <c r="A4522" s="53" t="s">
        <v>411</v>
      </c>
      <c r="B4522" s="53" t="s">
        <v>4945</v>
      </c>
      <c r="D4522" s="53" t="s">
        <v>2909</v>
      </c>
      <c r="E4522" s="53" t="s">
        <v>5855</v>
      </c>
      <c r="F4522" s="53" t="s">
        <v>478</v>
      </c>
      <c r="G4522" s="53" t="s">
        <v>2927</v>
      </c>
      <c r="H4522" s="53">
        <v>1.0</v>
      </c>
      <c r="I4522" s="53">
        <v>0.14093959731543623</v>
      </c>
      <c r="J4522" s="53">
        <v>25.0</v>
      </c>
      <c r="K4522" s="53" t="s">
        <v>53</v>
      </c>
      <c r="L4522" s="53" t="s">
        <v>53</v>
      </c>
    </row>
    <row r="4523" ht="15.75" customHeight="1">
      <c r="A4523" s="53" t="s">
        <v>411</v>
      </c>
      <c r="B4523" s="53" t="s">
        <v>4945</v>
      </c>
      <c r="D4523" s="53" t="s">
        <v>2909</v>
      </c>
      <c r="E4523" s="53" t="s">
        <v>5856</v>
      </c>
      <c r="F4523" s="53" t="s">
        <v>478</v>
      </c>
      <c r="G4523" s="53" t="s">
        <v>2921</v>
      </c>
      <c r="H4523" s="53">
        <v>1.0</v>
      </c>
      <c r="I4523" s="53">
        <v>0.1476510067114094</v>
      </c>
      <c r="J4523" s="53">
        <v>24.0</v>
      </c>
      <c r="K4523" s="53" t="s">
        <v>53</v>
      </c>
      <c r="L4523" s="53" t="s">
        <v>53</v>
      </c>
    </row>
    <row r="4524" ht="15.75" customHeight="1">
      <c r="A4524" s="53" t="s">
        <v>411</v>
      </c>
      <c r="B4524" s="53" t="s">
        <v>4945</v>
      </c>
      <c r="D4524" s="53" t="s">
        <v>2909</v>
      </c>
      <c r="E4524" s="53" t="s">
        <v>5857</v>
      </c>
      <c r="F4524" s="53" t="s">
        <v>478</v>
      </c>
      <c r="G4524" s="53" t="s">
        <v>2919</v>
      </c>
      <c r="H4524" s="53">
        <v>1.0</v>
      </c>
      <c r="I4524" s="53">
        <v>0.16556291390728478</v>
      </c>
      <c r="J4524" s="53">
        <v>23.0</v>
      </c>
      <c r="K4524" s="53" t="s">
        <v>53</v>
      </c>
      <c r="L4524" s="53" t="s">
        <v>53</v>
      </c>
    </row>
    <row r="4525" ht="15.75" customHeight="1">
      <c r="A4525" s="53" t="s">
        <v>411</v>
      </c>
      <c r="B4525" s="53" t="s">
        <v>4945</v>
      </c>
      <c r="D4525" s="53" t="s">
        <v>2909</v>
      </c>
      <c r="E4525" s="53" t="s">
        <v>5858</v>
      </c>
      <c r="F4525" s="53" t="s">
        <v>478</v>
      </c>
      <c r="G4525" s="53" t="s">
        <v>2925</v>
      </c>
      <c r="H4525" s="53">
        <v>1.0</v>
      </c>
      <c r="I4525" s="53">
        <v>0.16556291390728478</v>
      </c>
      <c r="J4525" s="53">
        <v>28.0</v>
      </c>
      <c r="K4525" s="53" t="s">
        <v>53</v>
      </c>
      <c r="L4525" s="53" t="s">
        <v>53</v>
      </c>
    </row>
    <row r="4526" ht="15.75" customHeight="1">
      <c r="A4526" s="53" t="s">
        <v>411</v>
      </c>
      <c r="B4526" s="53" t="s">
        <v>4945</v>
      </c>
      <c r="D4526" s="53" t="s">
        <v>2909</v>
      </c>
      <c r="E4526" s="53" t="s">
        <v>5859</v>
      </c>
      <c r="F4526" s="53" t="s">
        <v>478</v>
      </c>
      <c r="G4526" s="53" t="s">
        <v>2929</v>
      </c>
      <c r="H4526" s="53">
        <v>1.0</v>
      </c>
      <c r="I4526" s="53">
        <v>0.16993464052287582</v>
      </c>
      <c r="J4526" s="53">
        <v>26.0</v>
      </c>
      <c r="K4526" s="53" t="s">
        <v>53</v>
      </c>
      <c r="L4526" s="53" t="s">
        <v>53</v>
      </c>
    </row>
    <row r="4527" ht="15.75" customHeight="1">
      <c r="A4527" s="53" t="s">
        <v>411</v>
      </c>
      <c r="B4527" s="53" t="s">
        <v>4945</v>
      </c>
      <c r="D4527" s="53" t="s">
        <v>2909</v>
      </c>
      <c r="E4527" s="53" t="s">
        <v>5860</v>
      </c>
      <c r="F4527" s="53" t="s">
        <v>478</v>
      </c>
      <c r="G4527" s="53" t="s">
        <v>2933</v>
      </c>
      <c r="H4527" s="53">
        <v>1.0</v>
      </c>
      <c r="I4527" s="53">
        <v>0.1875</v>
      </c>
      <c r="J4527" s="53">
        <v>27.0</v>
      </c>
      <c r="K4527" s="53" t="s">
        <v>53</v>
      </c>
      <c r="L4527" s="53" t="s">
        <v>53</v>
      </c>
    </row>
    <row r="4528" ht="15.75" customHeight="1">
      <c r="A4528" s="53" t="s">
        <v>411</v>
      </c>
      <c r="B4528" s="53" t="s">
        <v>4945</v>
      </c>
      <c r="D4528" s="53" t="s">
        <v>2909</v>
      </c>
      <c r="E4528" s="53" t="s">
        <v>5861</v>
      </c>
      <c r="F4528" s="53" t="s">
        <v>478</v>
      </c>
      <c r="G4528" s="53" t="s">
        <v>2935</v>
      </c>
      <c r="H4528" s="53">
        <v>1.0</v>
      </c>
      <c r="I4528" s="53">
        <v>0.1986754966887417</v>
      </c>
      <c r="J4528" s="53">
        <v>17.0</v>
      </c>
      <c r="K4528" s="53" t="s">
        <v>53</v>
      </c>
      <c r="L4528" s="53" t="s">
        <v>53</v>
      </c>
    </row>
    <row r="4529" ht="15.75" customHeight="1">
      <c r="A4529" s="53" t="s">
        <v>411</v>
      </c>
      <c r="B4529" s="53" t="s">
        <v>4945</v>
      </c>
      <c r="D4529" s="53" t="s">
        <v>2909</v>
      </c>
      <c r="E4529" s="53" t="s">
        <v>5862</v>
      </c>
      <c r="F4529" s="53" t="s">
        <v>478</v>
      </c>
      <c r="G4529" s="53" t="s">
        <v>2940</v>
      </c>
      <c r="H4529" s="53">
        <v>1.0</v>
      </c>
      <c r="I4529" s="53">
        <v>0.20567375886524822</v>
      </c>
      <c r="J4529" s="53">
        <v>15.0</v>
      </c>
      <c r="K4529" s="53" t="s">
        <v>53</v>
      </c>
      <c r="L4529" s="53" t="s">
        <v>53</v>
      </c>
    </row>
    <row r="4530" ht="15.75" customHeight="1">
      <c r="A4530" s="53" t="s">
        <v>411</v>
      </c>
      <c r="B4530" s="53" t="s">
        <v>4945</v>
      </c>
      <c r="D4530" s="53" t="s">
        <v>2909</v>
      </c>
      <c r="E4530" s="53" t="s">
        <v>5863</v>
      </c>
      <c r="F4530" s="53" t="s">
        <v>478</v>
      </c>
      <c r="G4530" s="53" t="s">
        <v>2937</v>
      </c>
      <c r="H4530" s="53">
        <v>1.0</v>
      </c>
      <c r="I4530" s="53">
        <v>0.2198581560283688</v>
      </c>
      <c r="J4530" s="53">
        <v>35.0</v>
      </c>
      <c r="K4530" s="53" t="s">
        <v>53</v>
      </c>
      <c r="L4530" s="53" t="s">
        <v>53</v>
      </c>
    </row>
    <row r="4531" ht="15.75" customHeight="1">
      <c r="A4531" s="53" t="s">
        <v>411</v>
      </c>
      <c r="B4531" s="53" t="s">
        <v>4945</v>
      </c>
      <c r="D4531" s="53" t="s">
        <v>2909</v>
      </c>
      <c r="E4531" s="53" t="s">
        <v>5864</v>
      </c>
      <c r="F4531" s="53" t="s">
        <v>478</v>
      </c>
      <c r="G4531" s="53" t="s">
        <v>2946</v>
      </c>
      <c r="H4531" s="53">
        <v>1.0</v>
      </c>
      <c r="I4531" s="53">
        <v>0.22424242424242424</v>
      </c>
      <c r="J4531" s="53">
        <v>2.0</v>
      </c>
      <c r="K4531" s="53" t="s">
        <v>53</v>
      </c>
      <c r="L4531" s="53" t="s">
        <v>53</v>
      </c>
    </row>
    <row r="4532" ht="15.75" customHeight="1">
      <c r="A4532" s="53" t="s">
        <v>411</v>
      </c>
      <c r="B4532" s="53" t="s">
        <v>4945</v>
      </c>
      <c r="D4532" s="53" t="s">
        <v>2909</v>
      </c>
      <c r="E4532" s="53" t="s">
        <v>5865</v>
      </c>
      <c r="F4532" s="53" t="s">
        <v>478</v>
      </c>
      <c r="G4532" s="53" t="s">
        <v>2950</v>
      </c>
      <c r="H4532" s="53">
        <v>1.0</v>
      </c>
      <c r="I4532" s="53">
        <v>0.22641509433962265</v>
      </c>
      <c r="J4532" s="53">
        <v>16.0</v>
      </c>
      <c r="K4532" s="53" t="s">
        <v>53</v>
      </c>
      <c r="L4532" s="53" t="s">
        <v>53</v>
      </c>
    </row>
    <row r="4533" ht="15.75" customHeight="1">
      <c r="A4533" s="53" t="s">
        <v>411</v>
      </c>
      <c r="B4533" s="53" t="s">
        <v>4945</v>
      </c>
      <c r="D4533" s="53" t="s">
        <v>2909</v>
      </c>
      <c r="E4533" s="53" t="s">
        <v>5866</v>
      </c>
      <c r="F4533" s="53" t="s">
        <v>478</v>
      </c>
      <c r="G4533" s="53" t="s">
        <v>2944</v>
      </c>
      <c r="H4533" s="53">
        <v>1.0</v>
      </c>
      <c r="I4533" s="53">
        <v>0.2360248447204969</v>
      </c>
      <c r="J4533" s="53">
        <v>19.0</v>
      </c>
      <c r="K4533" s="53" t="s">
        <v>53</v>
      </c>
      <c r="L4533" s="53" t="s">
        <v>53</v>
      </c>
    </row>
    <row r="4534" ht="15.75" customHeight="1">
      <c r="A4534" s="53" t="s">
        <v>411</v>
      </c>
      <c r="B4534" s="53" t="s">
        <v>4945</v>
      </c>
      <c r="D4534" s="53" t="s">
        <v>2909</v>
      </c>
      <c r="E4534" s="53" t="s">
        <v>5867</v>
      </c>
      <c r="F4534" s="53" t="s">
        <v>478</v>
      </c>
      <c r="G4534" s="53" t="s">
        <v>2942</v>
      </c>
      <c r="H4534" s="53">
        <v>1.0</v>
      </c>
      <c r="I4534" s="53">
        <v>0.2553191489361702</v>
      </c>
      <c r="J4534" s="53">
        <v>36.0</v>
      </c>
      <c r="K4534" s="53" t="s">
        <v>53</v>
      </c>
      <c r="L4534" s="53" t="s">
        <v>53</v>
      </c>
    </row>
    <row r="4535" ht="15.75" customHeight="1">
      <c r="A4535" s="53" t="s">
        <v>411</v>
      </c>
      <c r="B4535" s="53" t="s">
        <v>4945</v>
      </c>
      <c r="D4535" s="53" t="s">
        <v>2909</v>
      </c>
      <c r="E4535" s="53" t="s">
        <v>5868</v>
      </c>
      <c r="F4535" s="53" t="s">
        <v>478</v>
      </c>
      <c r="G4535" s="53" t="s">
        <v>2954</v>
      </c>
      <c r="H4535" s="53">
        <v>1.0</v>
      </c>
      <c r="I4535" s="53">
        <v>0.2605633802816901</v>
      </c>
      <c r="J4535" s="53">
        <v>13.0</v>
      </c>
      <c r="K4535" s="53" t="s">
        <v>53</v>
      </c>
      <c r="L4535" s="53" t="s">
        <v>53</v>
      </c>
    </row>
    <row r="4536" ht="15.75" customHeight="1">
      <c r="A4536" s="53" t="s">
        <v>411</v>
      </c>
      <c r="B4536" s="53" t="s">
        <v>4945</v>
      </c>
      <c r="D4536" s="53" t="s">
        <v>2909</v>
      </c>
      <c r="E4536" s="53" t="s">
        <v>5869</v>
      </c>
      <c r="F4536" s="53" t="s">
        <v>478</v>
      </c>
      <c r="G4536" s="53" t="s">
        <v>2948</v>
      </c>
      <c r="H4536" s="53">
        <v>1.0</v>
      </c>
      <c r="I4536" s="53">
        <v>0.2605633802816901</v>
      </c>
      <c r="J4536" s="53">
        <v>34.0</v>
      </c>
      <c r="K4536" s="53" t="s">
        <v>53</v>
      </c>
      <c r="L4536" s="53" t="s">
        <v>53</v>
      </c>
    </row>
    <row r="4537" ht="15.75" customHeight="1">
      <c r="A4537" s="53" t="s">
        <v>411</v>
      </c>
      <c r="B4537" s="53" t="s">
        <v>4945</v>
      </c>
      <c r="D4537" s="53" t="s">
        <v>2909</v>
      </c>
      <c r="E4537" s="53" t="s">
        <v>5870</v>
      </c>
      <c r="F4537" s="53" t="s">
        <v>478</v>
      </c>
      <c r="G4537" s="53" t="s">
        <v>485</v>
      </c>
      <c r="H4537" s="53">
        <v>1.0</v>
      </c>
      <c r="I4537" s="53">
        <v>0.2638888888888889</v>
      </c>
      <c r="J4537" s="53">
        <v>31.0</v>
      </c>
      <c r="K4537" s="53" t="s">
        <v>53</v>
      </c>
      <c r="L4537" s="53" t="s">
        <v>53</v>
      </c>
    </row>
    <row r="4538" ht="15.75" customHeight="1">
      <c r="A4538" s="53" t="s">
        <v>411</v>
      </c>
      <c r="B4538" s="53" t="s">
        <v>4945</v>
      </c>
      <c r="D4538" s="53" t="s">
        <v>2909</v>
      </c>
      <c r="E4538" s="53" t="s">
        <v>5871</v>
      </c>
      <c r="F4538" s="53" t="s">
        <v>478</v>
      </c>
      <c r="G4538" s="53" t="s">
        <v>474</v>
      </c>
      <c r="H4538" s="53">
        <v>1.0</v>
      </c>
      <c r="I4538" s="53">
        <v>0.2671232876712329</v>
      </c>
      <c r="J4538" s="53">
        <v>32.0</v>
      </c>
      <c r="K4538" s="53" t="s">
        <v>53</v>
      </c>
      <c r="L4538" s="53" t="s">
        <v>53</v>
      </c>
    </row>
    <row r="4539" ht="15.75" customHeight="1">
      <c r="A4539" s="53" t="s">
        <v>411</v>
      </c>
      <c r="B4539" s="53" t="s">
        <v>4945</v>
      </c>
      <c r="D4539" s="53" t="s">
        <v>2909</v>
      </c>
      <c r="E4539" s="53" t="s">
        <v>5872</v>
      </c>
      <c r="F4539" s="53" t="s">
        <v>478</v>
      </c>
      <c r="G4539" s="53" t="s">
        <v>2957</v>
      </c>
      <c r="H4539" s="53">
        <v>1.0</v>
      </c>
      <c r="I4539" s="53">
        <v>0.2787878787878788</v>
      </c>
      <c r="J4539" s="53">
        <v>18.0</v>
      </c>
      <c r="K4539" s="53" t="s">
        <v>53</v>
      </c>
      <c r="L4539" s="53" t="s">
        <v>53</v>
      </c>
    </row>
    <row r="4540" ht="15.75" customHeight="1">
      <c r="A4540" s="53" t="s">
        <v>411</v>
      </c>
      <c r="B4540" s="53" t="s">
        <v>4945</v>
      </c>
      <c r="D4540" s="53" t="s">
        <v>2909</v>
      </c>
      <c r="E4540" s="53" t="s">
        <v>5873</v>
      </c>
      <c r="F4540" s="53" t="s">
        <v>478</v>
      </c>
      <c r="G4540" s="53" t="s">
        <v>495</v>
      </c>
      <c r="H4540" s="53">
        <v>1.0</v>
      </c>
      <c r="I4540" s="53">
        <v>0.2907801418439716</v>
      </c>
      <c r="J4540" s="53">
        <v>33.0</v>
      </c>
      <c r="K4540" s="53" t="s">
        <v>53</v>
      </c>
      <c r="L4540" s="53" t="s">
        <v>53</v>
      </c>
    </row>
    <row r="4541" ht="15.75" customHeight="1">
      <c r="A4541" s="53" t="s">
        <v>411</v>
      </c>
      <c r="B4541" s="53" t="s">
        <v>4945</v>
      </c>
      <c r="D4541" s="53" t="s">
        <v>2885</v>
      </c>
      <c r="E4541" s="53" t="s">
        <v>5874</v>
      </c>
      <c r="F4541" s="53" t="s">
        <v>478</v>
      </c>
      <c r="G4541" s="53" t="s">
        <v>2883</v>
      </c>
      <c r="H4541" s="53">
        <v>1.0</v>
      </c>
      <c r="I4541" s="53">
        <v>0.05185185185185185</v>
      </c>
      <c r="J4541" s="53">
        <v>0.0</v>
      </c>
      <c r="K4541" s="53" t="s">
        <v>53</v>
      </c>
      <c r="L4541" s="53" t="s">
        <v>53</v>
      </c>
    </row>
    <row r="4542" ht="15.75" customHeight="1">
      <c r="A4542" s="53" t="s">
        <v>411</v>
      </c>
      <c r="B4542" s="53" t="s">
        <v>4945</v>
      </c>
      <c r="D4542" s="53" t="s">
        <v>2885</v>
      </c>
      <c r="E4542" s="53" t="s">
        <v>5875</v>
      </c>
      <c r="F4542" s="53" t="s">
        <v>478</v>
      </c>
      <c r="G4542" s="53" t="s">
        <v>2897</v>
      </c>
      <c r="H4542" s="53">
        <v>1.0</v>
      </c>
      <c r="I4542" s="53">
        <v>0.06569343065693431</v>
      </c>
      <c r="J4542" s="53">
        <v>3.0</v>
      </c>
      <c r="K4542" s="53" t="s">
        <v>53</v>
      </c>
      <c r="L4542" s="53" t="s">
        <v>53</v>
      </c>
    </row>
    <row r="4543" ht="15.75" customHeight="1">
      <c r="A4543" s="53" t="s">
        <v>411</v>
      </c>
      <c r="B4543" s="53" t="s">
        <v>4945</v>
      </c>
      <c r="D4543" s="53" t="s">
        <v>2885</v>
      </c>
      <c r="E4543" s="53" t="s">
        <v>5876</v>
      </c>
      <c r="F4543" s="53" t="s">
        <v>478</v>
      </c>
      <c r="G4543" s="53" t="s">
        <v>2901</v>
      </c>
      <c r="H4543" s="53">
        <v>1.0</v>
      </c>
      <c r="I4543" s="53">
        <v>0.06666666666666667</v>
      </c>
      <c r="J4543" s="53">
        <v>7.0</v>
      </c>
      <c r="K4543" s="53" t="s">
        <v>53</v>
      </c>
      <c r="L4543" s="53" t="s">
        <v>53</v>
      </c>
    </row>
    <row r="4544" ht="15.75" customHeight="1">
      <c r="A4544" s="53" t="s">
        <v>411</v>
      </c>
      <c r="B4544" s="53" t="s">
        <v>4945</v>
      </c>
      <c r="D4544" s="53" t="s">
        <v>2885</v>
      </c>
      <c r="E4544" s="53" t="s">
        <v>5877</v>
      </c>
      <c r="F4544" s="53" t="s">
        <v>478</v>
      </c>
      <c r="G4544" s="53" t="s">
        <v>2891</v>
      </c>
      <c r="H4544" s="53">
        <v>1.0</v>
      </c>
      <c r="I4544" s="53">
        <v>0.07246376811594203</v>
      </c>
      <c r="J4544" s="53">
        <v>4.0</v>
      </c>
      <c r="K4544" s="53" t="s">
        <v>53</v>
      </c>
      <c r="L4544" s="53" t="s">
        <v>53</v>
      </c>
    </row>
    <row r="4545" ht="15.75" customHeight="1">
      <c r="A4545" s="53" t="s">
        <v>411</v>
      </c>
      <c r="B4545" s="53" t="s">
        <v>4945</v>
      </c>
      <c r="D4545" s="53" t="s">
        <v>2885</v>
      </c>
      <c r="E4545" s="53" t="s">
        <v>5878</v>
      </c>
      <c r="F4545" s="53" t="s">
        <v>478</v>
      </c>
      <c r="G4545" s="53" t="s">
        <v>2899</v>
      </c>
      <c r="H4545" s="53">
        <v>1.0</v>
      </c>
      <c r="I4545" s="53">
        <v>0.07407407407407407</v>
      </c>
      <c r="J4545" s="53">
        <v>10.0</v>
      </c>
      <c r="K4545" s="53" t="s">
        <v>53</v>
      </c>
      <c r="L4545" s="53" t="s">
        <v>53</v>
      </c>
    </row>
    <row r="4546" ht="15.75" customHeight="1">
      <c r="A4546" s="53" t="s">
        <v>411</v>
      </c>
      <c r="B4546" s="53" t="s">
        <v>4945</v>
      </c>
      <c r="D4546" s="53" t="s">
        <v>2885</v>
      </c>
      <c r="E4546" s="53" t="s">
        <v>5879</v>
      </c>
      <c r="F4546" s="53" t="s">
        <v>478</v>
      </c>
      <c r="G4546" s="53" t="s">
        <v>2887</v>
      </c>
      <c r="H4546" s="53">
        <v>1.0</v>
      </c>
      <c r="I4546" s="53">
        <v>0.07407407407407407</v>
      </c>
      <c r="J4546" s="53">
        <v>5.0</v>
      </c>
      <c r="K4546" s="53" t="s">
        <v>53</v>
      </c>
      <c r="L4546" s="53" t="s">
        <v>53</v>
      </c>
    </row>
    <row r="4547" ht="15.75" customHeight="1">
      <c r="A4547" s="53" t="s">
        <v>411</v>
      </c>
      <c r="B4547" s="53" t="s">
        <v>4945</v>
      </c>
      <c r="D4547" s="53" t="s">
        <v>2885</v>
      </c>
      <c r="E4547" s="53" t="s">
        <v>5880</v>
      </c>
      <c r="F4547" s="53" t="s">
        <v>478</v>
      </c>
      <c r="G4547" s="53" t="s">
        <v>2893</v>
      </c>
      <c r="H4547" s="53">
        <v>1.0</v>
      </c>
      <c r="I4547" s="53">
        <v>0.07971014492753623</v>
      </c>
      <c r="J4547" s="53">
        <v>2.0</v>
      </c>
      <c r="K4547" s="53" t="s">
        <v>53</v>
      </c>
      <c r="L4547" s="53" t="s">
        <v>53</v>
      </c>
    </row>
    <row r="4548" ht="15.75" customHeight="1">
      <c r="A4548" s="53" t="s">
        <v>411</v>
      </c>
      <c r="B4548" s="53" t="s">
        <v>4945</v>
      </c>
      <c r="D4548" s="53" t="s">
        <v>2885</v>
      </c>
      <c r="E4548" s="53" t="s">
        <v>5881</v>
      </c>
      <c r="F4548" s="53" t="s">
        <v>478</v>
      </c>
      <c r="G4548" s="53" t="s">
        <v>2895</v>
      </c>
      <c r="H4548" s="53">
        <v>1.0</v>
      </c>
      <c r="I4548" s="53">
        <v>0.08029197080291971</v>
      </c>
      <c r="J4548" s="53">
        <v>6.0</v>
      </c>
      <c r="K4548" s="53" t="s">
        <v>53</v>
      </c>
      <c r="L4548" s="53" t="s">
        <v>53</v>
      </c>
    </row>
    <row r="4549" ht="15.75" customHeight="1">
      <c r="A4549" s="53" t="s">
        <v>411</v>
      </c>
      <c r="B4549" s="53" t="s">
        <v>4945</v>
      </c>
      <c r="D4549" s="53" t="s">
        <v>2885</v>
      </c>
      <c r="E4549" s="53" t="s">
        <v>5882</v>
      </c>
      <c r="F4549" s="53" t="s">
        <v>478</v>
      </c>
      <c r="G4549" s="53" t="s">
        <v>2905</v>
      </c>
      <c r="H4549" s="53">
        <v>1.0</v>
      </c>
      <c r="I4549" s="53">
        <v>0.08088235294117647</v>
      </c>
      <c r="J4549" s="53">
        <v>13.0</v>
      </c>
      <c r="K4549" s="53" t="s">
        <v>53</v>
      </c>
      <c r="L4549" s="53" t="s">
        <v>53</v>
      </c>
    </row>
    <row r="4550" ht="15.75" customHeight="1">
      <c r="A4550" s="53" t="s">
        <v>411</v>
      </c>
      <c r="B4550" s="53" t="s">
        <v>4945</v>
      </c>
      <c r="D4550" s="53" t="s">
        <v>2885</v>
      </c>
      <c r="E4550" s="53" t="s">
        <v>5883</v>
      </c>
      <c r="F4550" s="53" t="s">
        <v>478</v>
      </c>
      <c r="G4550" s="53" t="s">
        <v>2889</v>
      </c>
      <c r="H4550" s="53">
        <v>1.0</v>
      </c>
      <c r="I4550" s="53">
        <v>0.08088235294117647</v>
      </c>
      <c r="J4550" s="53">
        <v>8.0</v>
      </c>
      <c r="K4550" s="53" t="s">
        <v>53</v>
      </c>
      <c r="L4550" s="53" t="s">
        <v>53</v>
      </c>
    </row>
    <row r="4551" ht="15.75" customHeight="1">
      <c r="A4551" s="53" t="s">
        <v>411</v>
      </c>
      <c r="B4551" s="53" t="s">
        <v>4945</v>
      </c>
      <c r="D4551" s="53" t="s">
        <v>2885</v>
      </c>
      <c r="E4551" s="53" t="s">
        <v>5884</v>
      </c>
      <c r="F4551" s="53" t="s">
        <v>478</v>
      </c>
      <c r="G4551" s="53" t="s">
        <v>2907</v>
      </c>
      <c r="H4551" s="53">
        <v>1.0</v>
      </c>
      <c r="I4551" s="53">
        <v>0.08633093525179857</v>
      </c>
      <c r="J4551" s="53">
        <v>28.0</v>
      </c>
      <c r="K4551" s="53" t="s">
        <v>53</v>
      </c>
      <c r="L4551" s="53" t="s">
        <v>53</v>
      </c>
    </row>
    <row r="4552" ht="15.75" customHeight="1">
      <c r="A4552" s="53" t="s">
        <v>411</v>
      </c>
      <c r="B4552" s="53" t="s">
        <v>4945</v>
      </c>
      <c r="D4552" s="53" t="s">
        <v>2885</v>
      </c>
      <c r="E4552" s="53" t="s">
        <v>5885</v>
      </c>
      <c r="F4552" s="53" t="s">
        <v>478</v>
      </c>
      <c r="G4552" s="53" t="s">
        <v>2913</v>
      </c>
      <c r="H4552" s="53">
        <v>1.0</v>
      </c>
      <c r="I4552" s="53">
        <v>0.09154929577464789</v>
      </c>
      <c r="J4552" s="53">
        <v>9.0</v>
      </c>
      <c r="K4552" s="53" t="s">
        <v>53</v>
      </c>
      <c r="L4552" s="53" t="s">
        <v>53</v>
      </c>
    </row>
    <row r="4553" ht="15.75" customHeight="1">
      <c r="A4553" s="53" t="s">
        <v>411</v>
      </c>
      <c r="B4553" s="53" t="s">
        <v>4945</v>
      </c>
      <c r="D4553" s="53" t="s">
        <v>2885</v>
      </c>
      <c r="E4553" s="53" t="s">
        <v>5886</v>
      </c>
      <c r="F4553" s="53" t="s">
        <v>478</v>
      </c>
      <c r="G4553" s="53" t="s">
        <v>2917</v>
      </c>
      <c r="H4553" s="53">
        <v>1.0</v>
      </c>
      <c r="I4553" s="53">
        <v>0.0979020979020979</v>
      </c>
      <c r="J4553" s="53">
        <v>29.0</v>
      </c>
      <c r="K4553" s="53" t="s">
        <v>53</v>
      </c>
      <c r="L4553" s="53" t="s">
        <v>53</v>
      </c>
    </row>
    <row r="4554" ht="15.75" customHeight="1">
      <c r="A4554" s="53" t="s">
        <v>411</v>
      </c>
      <c r="B4554" s="53" t="s">
        <v>4945</v>
      </c>
      <c r="D4554" s="53" t="s">
        <v>2885</v>
      </c>
      <c r="E4554" s="53" t="s">
        <v>5887</v>
      </c>
      <c r="F4554" s="53" t="s">
        <v>478</v>
      </c>
      <c r="G4554" s="53" t="s">
        <v>2911</v>
      </c>
      <c r="H4554" s="53">
        <v>1.0</v>
      </c>
      <c r="I4554" s="53">
        <v>0.1056338028169014</v>
      </c>
      <c r="J4554" s="53">
        <v>11.0</v>
      </c>
      <c r="K4554" s="53" t="s">
        <v>53</v>
      </c>
      <c r="L4554" s="53" t="s">
        <v>53</v>
      </c>
    </row>
    <row r="4555" ht="15.75" customHeight="1">
      <c r="A4555" s="53" t="s">
        <v>411</v>
      </c>
      <c r="B4555" s="53" t="s">
        <v>4945</v>
      </c>
      <c r="D4555" s="53" t="s">
        <v>2885</v>
      </c>
      <c r="E4555" s="53" t="s">
        <v>5888</v>
      </c>
      <c r="F4555" s="53" t="s">
        <v>478</v>
      </c>
      <c r="G4555" s="53" t="s">
        <v>2915</v>
      </c>
      <c r="H4555" s="53">
        <v>1.0</v>
      </c>
      <c r="I4555" s="53">
        <v>0.12413793103448276</v>
      </c>
      <c r="J4555" s="53">
        <v>20.0</v>
      </c>
      <c r="K4555" s="53" t="s">
        <v>53</v>
      </c>
      <c r="L4555" s="53" t="s">
        <v>53</v>
      </c>
    </row>
    <row r="4556" ht="15.75" customHeight="1">
      <c r="A4556" s="53" t="s">
        <v>411</v>
      </c>
      <c r="B4556" s="53" t="s">
        <v>4945</v>
      </c>
      <c r="D4556" s="53" t="s">
        <v>2885</v>
      </c>
      <c r="E4556" s="53" t="s">
        <v>5889</v>
      </c>
      <c r="F4556" s="53" t="s">
        <v>478</v>
      </c>
      <c r="G4556" s="53" t="s">
        <v>2923</v>
      </c>
      <c r="H4556" s="53">
        <v>1.0</v>
      </c>
      <c r="I4556" s="53">
        <v>0.12837837837837837</v>
      </c>
      <c r="J4556" s="53">
        <v>21.0</v>
      </c>
      <c r="K4556" s="53" t="s">
        <v>53</v>
      </c>
      <c r="L4556" s="53" t="s">
        <v>53</v>
      </c>
    </row>
    <row r="4557" ht="15.75" customHeight="1">
      <c r="A4557" s="53" t="s">
        <v>411</v>
      </c>
      <c r="B4557" s="53" t="s">
        <v>4945</v>
      </c>
      <c r="D4557" s="53" t="s">
        <v>2885</v>
      </c>
      <c r="E4557" s="53" t="s">
        <v>5890</v>
      </c>
      <c r="F4557" s="53" t="s">
        <v>478</v>
      </c>
      <c r="G4557" s="53" t="s">
        <v>2927</v>
      </c>
      <c r="H4557" s="53">
        <v>1.0</v>
      </c>
      <c r="I4557" s="53">
        <v>0.1476510067114094</v>
      </c>
      <c r="J4557" s="53">
        <v>24.0</v>
      </c>
      <c r="K4557" s="53" t="s">
        <v>53</v>
      </c>
      <c r="L4557" s="53" t="s">
        <v>53</v>
      </c>
    </row>
    <row r="4558" ht="15.75" customHeight="1">
      <c r="A4558" s="53" t="s">
        <v>411</v>
      </c>
      <c r="B4558" s="53" t="s">
        <v>4945</v>
      </c>
      <c r="D4558" s="53" t="s">
        <v>2885</v>
      </c>
      <c r="E4558" s="53" t="s">
        <v>5891</v>
      </c>
      <c r="F4558" s="53" t="s">
        <v>478</v>
      </c>
      <c r="G4558" s="53" t="s">
        <v>2931</v>
      </c>
      <c r="H4558" s="53">
        <v>1.0</v>
      </c>
      <c r="I4558" s="53">
        <v>0.1513157894736842</v>
      </c>
      <c r="J4558" s="53">
        <v>19.0</v>
      </c>
      <c r="K4558" s="53" t="s">
        <v>53</v>
      </c>
      <c r="L4558" s="53" t="s">
        <v>53</v>
      </c>
    </row>
    <row r="4559" ht="15.75" customHeight="1">
      <c r="A4559" s="53" t="s">
        <v>411</v>
      </c>
      <c r="B4559" s="53" t="s">
        <v>4945</v>
      </c>
      <c r="D4559" s="53" t="s">
        <v>2885</v>
      </c>
      <c r="E4559" s="53" t="s">
        <v>5892</v>
      </c>
      <c r="F4559" s="53" t="s">
        <v>478</v>
      </c>
      <c r="G4559" s="53" t="s">
        <v>2921</v>
      </c>
      <c r="H4559" s="53">
        <v>1.0</v>
      </c>
      <c r="I4559" s="53">
        <v>0.15436241610738255</v>
      </c>
      <c r="J4559" s="53">
        <v>23.0</v>
      </c>
      <c r="K4559" s="53" t="s">
        <v>53</v>
      </c>
      <c r="L4559" s="53" t="s">
        <v>53</v>
      </c>
    </row>
    <row r="4560" ht="15.75" customHeight="1">
      <c r="A4560" s="53" t="s">
        <v>411</v>
      </c>
      <c r="B4560" s="53" t="s">
        <v>4945</v>
      </c>
      <c r="D4560" s="53" t="s">
        <v>2885</v>
      </c>
      <c r="E4560" s="53" t="s">
        <v>5893</v>
      </c>
      <c r="F4560" s="53" t="s">
        <v>478</v>
      </c>
      <c r="G4560" s="53" t="s">
        <v>2925</v>
      </c>
      <c r="H4560" s="53">
        <v>1.0</v>
      </c>
      <c r="I4560" s="53">
        <v>0.15894039735099338</v>
      </c>
      <c r="J4560" s="53">
        <v>27.0</v>
      </c>
      <c r="K4560" s="53" t="s">
        <v>53</v>
      </c>
      <c r="L4560" s="53" t="s">
        <v>53</v>
      </c>
    </row>
    <row r="4561" ht="15.75" customHeight="1">
      <c r="A4561" s="53" t="s">
        <v>411</v>
      </c>
      <c r="B4561" s="53" t="s">
        <v>4945</v>
      </c>
      <c r="D4561" s="53" t="s">
        <v>2885</v>
      </c>
      <c r="E4561" s="53" t="s">
        <v>5894</v>
      </c>
      <c r="F4561" s="53" t="s">
        <v>478</v>
      </c>
      <c r="G4561" s="53" t="s">
        <v>2919</v>
      </c>
      <c r="H4561" s="53">
        <v>1.0</v>
      </c>
      <c r="I4561" s="53">
        <v>0.16556291390728478</v>
      </c>
      <c r="J4561" s="53">
        <v>22.0</v>
      </c>
      <c r="K4561" s="53" t="s">
        <v>53</v>
      </c>
      <c r="L4561" s="53" t="s">
        <v>53</v>
      </c>
    </row>
    <row r="4562" ht="15.75" customHeight="1">
      <c r="A4562" s="53" t="s">
        <v>411</v>
      </c>
      <c r="B4562" s="53" t="s">
        <v>4945</v>
      </c>
      <c r="D4562" s="53" t="s">
        <v>2885</v>
      </c>
      <c r="E4562" s="53" t="s">
        <v>5895</v>
      </c>
      <c r="F4562" s="53" t="s">
        <v>478</v>
      </c>
      <c r="G4562" s="53" t="s">
        <v>2929</v>
      </c>
      <c r="H4562" s="53">
        <v>1.0</v>
      </c>
      <c r="I4562" s="53">
        <v>0.16993464052287582</v>
      </c>
      <c r="J4562" s="53">
        <v>25.0</v>
      </c>
      <c r="K4562" s="53" t="s">
        <v>53</v>
      </c>
      <c r="L4562" s="53" t="s">
        <v>53</v>
      </c>
    </row>
    <row r="4563" ht="15.75" customHeight="1">
      <c r="A4563" s="53" t="s">
        <v>411</v>
      </c>
      <c r="B4563" s="53" t="s">
        <v>4945</v>
      </c>
      <c r="D4563" s="53" t="s">
        <v>2885</v>
      </c>
      <c r="E4563" s="53" t="s">
        <v>5896</v>
      </c>
      <c r="F4563" s="53" t="s">
        <v>478</v>
      </c>
      <c r="G4563" s="53" t="s">
        <v>2935</v>
      </c>
      <c r="H4563" s="53">
        <v>1.0</v>
      </c>
      <c r="I4563" s="53">
        <v>0.19205298013245034</v>
      </c>
      <c r="J4563" s="53">
        <v>16.0</v>
      </c>
      <c r="K4563" s="53" t="s">
        <v>53</v>
      </c>
      <c r="L4563" s="53" t="s">
        <v>53</v>
      </c>
    </row>
    <row r="4564" ht="15.75" customHeight="1">
      <c r="A4564" s="53" t="s">
        <v>411</v>
      </c>
      <c r="B4564" s="53" t="s">
        <v>4945</v>
      </c>
      <c r="D4564" s="53" t="s">
        <v>2885</v>
      </c>
      <c r="E4564" s="53" t="s">
        <v>5897</v>
      </c>
      <c r="F4564" s="53" t="s">
        <v>478</v>
      </c>
      <c r="G4564" s="53" t="s">
        <v>2940</v>
      </c>
      <c r="H4564" s="53">
        <v>1.0</v>
      </c>
      <c r="I4564" s="53">
        <v>0.2</v>
      </c>
      <c r="J4564" s="53">
        <v>14.0</v>
      </c>
      <c r="K4564" s="53" t="s">
        <v>53</v>
      </c>
      <c r="L4564" s="53" t="s">
        <v>53</v>
      </c>
    </row>
    <row r="4565" ht="15.75" customHeight="1">
      <c r="A4565" s="53" t="s">
        <v>411</v>
      </c>
      <c r="B4565" s="53" t="s">
        <v>4945</v>
      </c>
      <c r="D4565" s="53" t="s">
        <v>2885</v>
      </c>
      <c r="E4565" s="53" t="s">
        <v>5898</v>
      </c>
      <c r="F4565" s="53" t="s">
        <v>478</v>
      </c>
      <c r="G4565" s="53" t="s">
        <v>2933</v>
      </c>
      <c r="H4565" s="53">
        <v>1.0</v>
      </c>
      <c r="I4565" s="53">
        <v>0.2</v>
      </c>
      <c r="J4565" s="53">
        <v>26.0</v>
      </c>
      <c r="K4565" s="53" t="s">
        <v>53</v>
      </c>
      <c r="L4565" s="53" t="s">
        <v>53</v>
      </c>
    </row>
    <row r="4566" ht="15.75" customHeight="1">
      <c r="A4566" s="53" t="s">
        <v>411</v>
      </c>
      <c r="B4566" s="53" t="s">
        <v>4945</v>
      </c>
      <c r="D4566" s="53" t="s">
        <v>2885</v>
      </c>
      <c r="E4566" s="53" t="s">
        <v>5899</v>
      </c>
      <c r="F4566" s="53" t="s">
        <v>478</v>
      </c>
      <c r="G4566" s="53" t="s">
        <v>2937</v>
      </c>
      <c r="H4566" s="53">
        <v>1.0</v>
      </c>
      <c r="I4566" s="53">
        <v>0.20437956204379562</v>
      </c>
      <c r="J4566" s="53">
        <v>34.0</v>
      </c>
      <c r="K4566" s="53" t="s">
        <v>53</v>
      </c>
      <c r="L4566" s="53" t="s">
        <v>53</v>
      </c>
    </row>
    <row r="4567" ht="15.75" customHeight="1">
      <c r="A4567" s="53" t="s">
        <v>411</v>
      </c>
      <c r="B4567" s="53" t="s">
        <v>4945</v>
      </c>
      <c r="D4567" s="53" t="s">
        <v>2885</v>
      </c>
      <c r="E4567" s="53" t="s">
        <v>5900</v>
      </c>
      <c r="F4567" s="53" t="s">
        <v>478</v>
      </c>
      <c r="G4567" s="53" t="s">
        <v>2950</v>
      </c>
      <c r="H4567" s="53">
        <v>1.0</v>
      </c>
      <c r="I4567" s="53">
        <v>0.22641509433962265</v>
      </c>
      <c r="J4567" s="53">
        <v>15.0</v>
      </c>
      <c r="K4567" s="53" t="s">
        <v>53</v>
      </c>
      <c r="L4567" s="53" t="s">
        <v>53</v>
      </c>
    </row>
    <row r="4568" ht="15.75" customHeight="1">
      <c r="A4568" s="53" t="s">
        <v>411</v>
      </c>
      <c r="B4568" s="53" t="s">
        <v>4945</v>
      </c>
      <c r="D4568" s="53" t="s">
        <v>2885</v>
      </c>
      <c r="E4568" s="53" t="s">
        <v>5901</v>
      </c>
      <c r="F4568" s="53" t="s">
        <v>478</v>
      </c>
      <c r="G4568" s="53" t="s">
        <v>2942</v>
      </c>
      <c r="H4568" s="53">
        <v>1.0</v>
      </c>
      <c r="I4568" s="53">
        <v>0.22857142857142856</v>
      </c>
      <c r="J4568" s="53">
        <v>35.0</v>
      </c>
      <c r="K4568" s="53" t="s">
        <v>53</v>
      </c>
      <c r="L4568" s="53" t="s">
        <v>53</v>
      </c>
    </row>
    <row r="4569" ht="15.75" customHeight="1">
      <c r="A4569" s="53" t="s">
        <v>411</v>
      </c>
      <c r="B4569" s="53" t="s">
        <v>4945</v>
      </c>
      <c r="D4569" s="53" t="s">
        <v>2885</v>
      </c>
      <c r="E4569" s="53" t="s">
        <v>5902</v>
      </c>
      <c r="F4569" s="53" t="s">
        <v>478</v>
      </c>
      <c r="G4569" s="53" t="s">
        <v>2946</v>
      </c>
      <c r="H4569" s="53">
        <v>1.0</v>
      </c>
      <c r="I4569" s="53">
        <v>0.23030303030303031</v>
      </c>
      <c r="J4569" s="53">
        <v>1.0</v>
      </c>
      <c r="K4569" s="53" t="s">
        <v>53</v>
      </c>
      <c r="L4569" s="53" t="s">
        <v>53</v>
      </c>
    </row>
    <row r="4570" ht="15.75" customHeight="1">
      <c r="A4570" s="53" t="s">
        <v>411</v>
      </c>
      <c r="B4570" s="53" t="s">
        <v>4945</v>
      </c>
      <c r="D4570" s="53" t="s">
        <v>2885</v>
      </c>
      <c r="E4570" s="53" t="s">
        <v>5903</v>
      </c>
      <c r="F4570" s="53" t="s">
        <v>478</v>
      </c>
      <c r="G4570" s="53" t="s">
        <v>2948</v>
      </c>
      <c r="H4570" s="53">
        <v>1.0</v>
      </c>
      <c r="I4570" s="53">
        <v>0.23943661971830985</v>
      </c>
      <c r="J4570" s="53">
        <v>33.0</v>
      </c>
      <c r="K4570" s="53" t="s">
        <v>53</v>
      </c>
      <c r="L4570" s="53" t="s">
        <v>53</v>
      </c>
    </row>
    <row r="4571" ht="15.75" customHeight="1">
      <c r="A4571" s="53" t="s">
        <v>411</v>
      </c>
      <c r="B4571" s="53" t="s">
        <v>4945</v>
      </c>
      <c r="D4571" s="53" t="s">
        <v>2885</v>
      </c>
      <c r="E4571" s="53" t="s">
        <v>5904</v>
      </c>
      <c r="F4571" s="53" t="s">
        <v>478</v>
      </c>
      <c r="G4571" s="53" t="s">
        <v>2944</v>
      </c>
      <c r="H4571" s="53">
        <v>1.0</v>
      </c>
      <c r="I4571" s="53">
        <v>0.2484472049689441</v>
      </c>
      <c r="J4571" s="53">
        <v>18.0</v>
      </c>
      <c r="K4571" s="53" t="s">
        <v>53</v>
      </c>
      <c r="L4571" s="53" t="s">
        <v>53</v>
      </c>
    </row>
    <row r="4572" ht="15.75" customHeight="1">
      <c r="A4572" s="53" t="s">
        <v>411</v>
      </c>
      <c r="B4572" s="53" t="s">
        <v>4945</v>
      </c>
      <c r="D4572" s="53" t="s">
        <v>2885</v>
      </c>
      <c r="E4572" s="53" t="s">
        <v>5905</v>
      </c>
      <c r="F4572" s="53" t="s">
        <v>478</v>
      </c>
      <c r="G4572" s="53" t="s">
        <v>485</v>
      </c>
      <c r="H4572" s="53">
        <v>1.0</v>
      </c>
      <c r="I4572" s="53">
        <v>0.2638888888888889</v>
      </c>
      <c r="J4572" s="53">
        <v>30.0</v>
      </c>
      <c r="K4572" s="53" t="s">
        <v>53</v>
      </c>
      <c r="L4572" s="53" t="s">
        <v>53</v>
      </c>
    </row>
    <row r="4573" ht="15.75" customHeight="1">
      <c r="A4573" s="53" t="s">
        <v>411</v>
      </c>
      <c r="B4573" s="53" t="s">
        <v>4945</v>
      </c>
      <c r="D4573" s="53" t="s">
        <v>2885</v>
      </c>
      <c r="E4573" s="53" t="s">
        <v>5906</v>
      </c>
      <c r="F4573" s="53" t="s">
        <v>478</v>
      </c>
      <c r="G4573" s="53" t="s">
        <v>474</v>
      </c>
      <c r="H4573" s="53">
        <v>1.0</v>
      </c>
      <c r="I4573" s="53">
        <v>0.2671232876712329</v>
      </c>
      <c r="J4573" s="53">
        <v>31.0</v>
      </c>
      <c r="K4573" s="53" t="s">
        <v>53</v>
      </c>
      <c r="L4573" s="53" t="s">
        <v>53</v>
      </c>
    </row>
    <row r="4574" ht="15.75" customHeight="1">
      <c r="A4574" s="53" t="s">
        <v>411</v>
      </c>
      <c r="B4574" s="53" t="s">
        <v>4945</v>
      </c>
      <c r="D4574" s="53" t="s">
        <v>2885</v>
      </c>
      <c r="E4574" s="53" t="s">
        <v>5907</v>
      </c>
      <c r="F4574" s="53" t="s">
        <v>478</v>
      </c>
      <c r="G4574" s="53" t="s">
        <v>2954</v>
      </c>
      <c r="H4574" s="53">
        <v>1.0</v>
      </c>
      <c r="I4574" s="53">
        <v>0.2676056338028169</v>
      </c>
      <c r="J4574" s="53">
        <v>12.0</v>
      </c>
      <c r="K4574" s="53" t="s">
        <v>53</v>
      </c>
      <c r="L4574" s="53" t="s">
        <v>53</v>
      </c>
    </row>
    <row r="4575" ht="15.75" customHeight="1">
      <c r="A4575" s="53" t="s">
        <v>411</v>
      </c>
      <c r="B4575" s="53" t="s">
        <v>4945</v>
      </c>
      <c r="D4575" s="53" t="s">
        <v>2885</v>
      </c>
      <c r="E4575" s="53" t="s">
        <v>5908</v>
      </c>
      <c r="F4575" s="53" t="s">
        <v>478</v>
      </c>
      <c r="G4575" s="53" t="s">
        <v>495</v>
      </c>
      <c r="H4575" s="53">
        <v>1.0</v>
      </c>
      <c r="I4575" s="53">
        <v>0.26811594202898553</v>
      </c>
      <c r="J4575" s="53">
        <v>32.0</v>
      </c>
      <c r="K4575" s="53" t="s">
        <v>53</v>
      </c>
      <c r="L4575" s="53" t="s">
        <v>53</v>
      </c>
    </row>
    <row r="4576" ht="15.75" customHeight="1">
      <c r="A4576" s="53" t="s">
        <v>411</v>
      </c>
      <c r="B4576" s="53" t="s">
        <v>4945</v>
      </c>
      <c r="D4576" s="53" t="s">
        <v>2885</v>
      </c>
      <c r="E4576" s="53" t="s">
        <v>5909</v>
      </c>
      <c r="F4576" s="53" t="s">
        <v>478</v>
      </c>
      <c r="G4576" s="53" t="s">
        <v>2957</v>
      </c>
      <c r="H4576" s="53">
        <v>1.0</v>
      </c>
      <c r="I4576" s="53">
        <v>0.2787878787878788</v>
      </c>
      <c r="J4576" s="53">
        <v>17.0</v>
      </c>
      <c r="K4576" s="53" t="s">
        <v>53</v>
      </c>
      <c r="L4576" s="53" t="s">
        <v>53</v>
      </c>
    </row>
    <row r="4577" ht="15.75" customHeight="1">
      <c r="A4577" s="53" t="s">
        <v>411</v>
      </c>
      <c r="B4577" s="53" t="s">
        <v>4945</v>
      </c>
      <c r="D4577" s="53" t="s">
        <v>2883</v>
      </c>
      <c r="E4577" s="53" t="s">
        <v>5910</v>
      </c>
      <c r="F4577" s="53" t="s">
        <v>478</v>
      </c>
      <c r="G4577" s="53" t="s">
        <v>2887</v>
      </c>
      <c r="H4577" s="53">
        <v>1.0</v>
      </c>
      <c r="I4577" s="53">
        <v>0.04477611940298507</v>
      </c>
      <c r="J4577" s="53">
        <v>4.0</v>
      </c>
      <c r="K4577" s="53" t="s">
        <v>53</v>
      </c>
      <c r="L4577" s="53" t="s">
        <v>53</v>
      </c>
    </row>
    <row r="4578" ht="15.75" customHeight="1">
      <c r="A4578" s="53" t="s">
        <v>411</v>
      </c>
      <c r="B4578" s="53" t="s">
        <v>4945</v>
      </c>
      <c r="D4578" s="53" t="s">
        <v>2883</v>
      </c>
      <c r="E4578" s="53" t="s">
        <v>5911</v>
      </c>
      <c r="F4578" s="53" t="s">
        <v>478</v>
      </c>
      <c r="G4578" s="53" t="s">
        <v>2897</v>
      </c>
      <c r="H4578" s="53">
        <v>1.0</v>
      </c>
      <c r="I4578" s="53">
        <v>0.051094890510948905</v>
      </c>
      <c r="J4578" s="53">
        <v>2.0</v>
      </c>
      <c r="K4578" s="53" t="s">
        <v>53</v>
      </c>
      <c r="L4578" s="53" t="s">
        <v>53</v>
      </c>
    </row>
    <row r="4579" ht="15.75" customHeight="1">
      <c r="A4579" s="53" t="s">
        <v>411</v>
      </c>
      <c r="B4579" s="53" t="s">
        <v>4945</v>
      </c>
      <c r="D4579" s="53" t="s">
        <v>2883</v>
      </c>
      <c r="E4579" s="53" t="s">
        <v>5912</v>
      </c>
      <c r="F4579" s="53" t="s">
        <v>478</v>
      </c>
      <c r="G4579" s="53" t="s">
        <v>2891</v>
      </c>
      <c r="H4579" s="53">
        <v>1.0</v>
      </c>
      <c r="I4579" s="53">
        <v>0.057971014492753624</v>
      </c>
      <c r="J4579" s="53">
        <v>3.0</v>
      </c>
      <c r="K4579" s="53" t="s">
        <v>53</v>
      </c>
      <c r="L4579" s="53" t="s">
        <v>53</v>
      </c>
    </row>
    <row r="4580" ht="15.75" customHeight="1">
      <c r="A4580" s="53" t="s">
        <v>411</v>
      </c>
      <c r="B4580" s="53" t="s">
        <v>4945</v>
      </c>
      <c r="D4580" s="53" t="s">
        <v>2883</v>
      </c>
      <c r="E4580" s="53" t="s">
        <v>5913</v>
      </c>
      <c r="F4580" s="53" t="s">
        <v>478</v>
      </c>
      <c r="G4580" s="53" t="s">
        <v>2893</v>
      </c>
      <c r="H4580" s="53">
        <v>1.0</v>
      </c>
      <c r="I4580" s="53">
        <v>0.057971014492753624</v>
      </c>
      <c r="J4580" s="53">
        <v>1.0</v>
      </c>
      <c r="K4580" s="53" t="s">
        <v>53</v>
      </c>
      <c r="L4580" s="53" t="s">
        <v>53</v>
      </c>
    </row>
    <row r="4581" ht="15.75" customHeight="1">
      <c r="A4581" s="53" t="s">
        <v>411</v>
      </c>
      <c r="B4581" s="53" t="s">
        <v>4945</v>
      </c>
      <c r="D4581" s="53" t="s">
        <v>2883</v>
      </c>
      <c r="E4581" s="53" t="s">
        <v>5914</v>
      </c>
      <c r="F4581" s="53" t="s">
        <v>478</v>
      </c>
      <c r="G4581" s="53" t="s">
        <v>2889</v>
      </c>
      <c r="H4581" s="53">
        <v>1.0</v>
      </c>
      <c r="I4581" s="53">
        <v>0.0661764705882353</v>
      </c>
      <c r="J4581" s="53">
        <v>7.0</v>
      </c>
      <c r="K4581" s="53" t="s">
        <v>53</v>
      </c>
      <c r="L4581" s="53" t="s">
        <v>53</v>
      </c>
    </row>
    <row r="4582" ht="15.75" customHeight="1">
      <c r="A4582" s="53" t="s">
        <v>411</v>
      </c>
      <c r="B4582" s="53" t="s">
        <v>4945</v>
      </c>
      <c r="D4582" s="53" t="s">
        <v>2883</v>
      </c>
      <c r="E4582" s="53" t="s">
        <v>5915</v>
      </c>
      <c r="F4582" s="53" t="s">
        <v>478</v>
      </c>
      <c r="G4582" s="53" t="s">
        <v>2901</v>
      </c>
      <c r="H4582" s="53">
        <v>1.0</v>
      </c>
      <c r="I4582" s="53">
        <v>0.06666666666666667</v>
      </c>
      <c r="J4582" s="53">
        <v>6.0</v>
      </c>
      <c r="K4582" s="53" t="s">
        <v>53</v>
      </c>
      <c r="L4582" s="53" t="s">
        <v>53</v>
      </c>
    </row>
    <row r="4583" ht="15.75" customHeight="1">
      <c r="A4583" s="53" t="s">
        <v>411</v>
      </c>
      <c r="B4583" s="53" t="s">
        <v>4945</v>
      </c>
      <c r="D4583" s="53" t="s">
        <v>2883</v>
      </c>
      <c r="E4583" s="53" t="s">
        <v>5916</v>
      </c>
      <c r="F4583" s="53" t="s">
        <v>478</v>
      </c>
      <c r="G4583" s="53" t="s">
        <v>2895</v>
      </c>
      <c r="H4583" s="53">
        <v>1.0</v>
      </c>
      <c r="I4583" s="53">
        <v>0.072992700729927</v>
      </c>
      <c r="J4583" s="53">
        <v>5.0</v>
      </c>
      <c r="K4583" s="53" t="s">
        <v>53</v>
      </c>
      <c r="L4583" s="53" t="s">
        <v>53</v>
      </c>
    </row>
    <row r="4584" ht="15.75" customHeight="1">
      <c r="A4584" s="53" t="s">
        <v>411</v>
      </c>
      <c r="B4584" s="53" t="s">
        <v>4945</v>
      </c>
      <c r="D4584" s="53" t="s">
        <v>2883</v>
      </c>
      <c r="E4584" s="53" t="s">
        <v>5917</v>
      </c>
      <c r="F4584" s="53" t="s">
        <v>478</v>
      </c>
      <c r="G4584" s="53" t="s">
        <v>2905</v>
      </c>
      <c r="H4584" s="53">
        <v>1.0</v>
      </c>
      <c r="I4584" s="53">
        <v>0.07352941176470588</v>
      </c>
      <c r="J4584" s="53">
        <v>12.0</v>
      </c>
      <c r="K4584" s="53" t="s">
        <v>53</v>
      </c>
      <c r="L4584" s="53" t="s">
        <v>53</v>
      </c>
    </row>
    <row r="4585" ht="15.75" customHeight="1">
      <c r="A4585" s="53" t="s">
        <v>411</v>
      </c>
      <c r="B4585" s="53" t="s">
        <v>4945</v>
      </c>
      <c r="D4585" s="53" t="s">
        <v>2883</v>
      </c>
      <c r="E4585" s="53" t="s">
        <v>5918</v>
      </c>
      <c r="F4585" s="53" t="s">
        <v>478</v>
      </c>
      <c r="G4585" s="53" t="s">
        <v>2899</v>
      </c>
      <c r="H4585" s="53">
        <v>1.0</v>
      </c>
      <c r="I4585" s="53">
        <v>0.07462686567164178</v>
      </c>
      <c r="J4585" s="53">
        <v>9.0</v>
      </c>
      <c r="K4585" s="53" t="s">
        <v>53</v>
      </c>
      <c r="L4585" s="53" t="s">
        <v>53</v>
      </c>
    </row>
    <row r="4586" ht="15.75" customHeight="1">
      <c r="A4586" s="53" t="s">
        <v>411</v>
      </c>
      <c r="B4586" s="53" t="s">
        <v>4945</v>
      </c>
      <c r="D4586" s="53" t="s">
        <v>2883</v>
      </c>
      <c r="E4586" s="53" t="s">
        <v>5919</v>
      </c>
      <c r="F4586" s="53" t="s">
        <v>478</v>
      </c>
      <c r="G4586" s="53" t="s">
        <v>2907</v>
      </c>
      <c r="H4586" s="53">
        <v>1.0</v>
      </c>
      <c r="I4586" s="53">
        <v>0.08633093525179857</v>
      </c>
      <c r="J4586" s="53">
        <v>27.0</v>
      </c>
      <c r="K4586" s="53" t="s">
        <v>53</v>
      </c>
      <c r="L4586" s="53" t="s">
        <v>53</v>
      </c>
    </row>
    <row r="4587" ht="15.75" customHeight="1">
      <c r="A4587" s="53" t="s">
        <v>411</v>
      </c>
      <c r="B4587" s="53" t="s">
        <v>4945</v>
      </c>
      <c r="D4587" s="53" t="s">
        <v>2883</v>
      </c>
      <c r="E4587" s="53" t="s">
        <v>5920</v>
      </c>
      <c r="F4587" s="53" t="s">
        <v>478</v>
      </c>
      <c r="G4587" s="53" t="s">
        <v>2917</v>
      </c>
      <c r="H4587" s="53">
        <v>1.0</v>
      </c>
      <c r="I4587" s="53">
        <v>0.0979020979020979</v>
      </c>
      <c r="J4587" s="53">
        <v>28.0</v>
      </c>
      <c r="K4587" s="53" t="s">
        <v>53</v>
      </c>
      <c r="L4587" s="53" t="s">
        <v>53</v>
      </c>
    </row>
    <row r="4588" ht="15.75" customHeight="1">
      <c r="A4588" s="53" t="s">
        <v>411</v>
      </c>
      <c r="B4588" s="53" t="s">
        <v>4945</v>
      </c>
      <c r="D4588" s="53" t="s">
        <v>2883</v>
      </c>
      <c r="E4588" s="53" t="s">
        <v>5921</v>
      </c>
      <c r="F4588" s="53" t="s">
        <v>478</v>
      </c>
      <c r="G4588" s="53" t="s">
        <v>2913</v>
      </c>
      <c r="H4588" s="53">
        <v>1.0</v>
      </c>
      <c r="I4588" s="53">
        <v>0.09859154929577464</v>
      </c>
      <c r="J4588" s="53">
        <v>8.0</v>
      </c>
      <c r="K4588" s="53" t="s">
        <v>53</v>
      </c>
      <c r="L4588" s="53" t="s">
        <v>53</v>
      </c>
    </row>
    <row r="4589" ht="15.75" customHeight="1">
      <c r="A4589" s="53" t="s">
        <v>411</v>
      </c>
      <c r="B4589" s="53" t="s">
        <v>4945</v>
      </c>
      <c r="D4589" s="53" t="s">
        <v>2883</v>
      </c>
      <c r="E4589" s="53" t="s">
        <v>5922</v>
      </c>
      <c r="F4589" s="53" t="s">
        <v>478</v>
      </c>
      <c r="G4589" s="53" t="s">
        <v>2911</v>
      </c>
      <c r="H4589" s="53">
        <v>1.0</v>
      </c>
      <c r="I4589" s="53">
        <v>0.11267605633802817</v>
      </c>
      <c r="J4589" s="53">
        <v>10.0</v>
      </c>
      <c r="K4589" s="53" t="s">
        <v>53</v>
      </c>
      <c r="L4589" s="53" t="s">
        <v>53</v>
      </c>
    </row>
    <row r="4590" ht="15.75" customHeight="1">
      <c r="A4590" s="53" t="s">
        <v>411</v>
      </c>
      <c r="B4590" s="53" t="s">
        <v>4945</v>
      </c>
      <c r="D4590" s="53" t="s">
        <v>2883</v>
      </c>
      <c r="E4590" s="53" t="s">
        <v>5923</v>
      </c>
      <c r="F4590" s="53" t="s">
        <v>478</v>
      </c>
      <c r="G4590" s="53" t="s">
        <v>2915</v>
      </c>
      <c r="H4590" s="53">
        <v>1.0</v>
      </c>
      <c r="I4590" s="53">
        <v>0.11724137931034483</v>
      </c>
      <c r="J4590" s="53">
        <v>19.0</v>
      </c>
      <c r="K4590" s="53" t="s">
        <v>53</v>
      </c>
      <c r="L4590" s="53" t="s">
        <v>53</v>
      </c>
    </row>
    <row r="4591" ht="15.75" customHeight="1">
      <c r="A4591" s="53" t="s">
        <v>411</v>
      </c>
      <c r="B4591" s="53" t="s">
        <v>4945</v>
      </c>
      <c r="D4591" s="53" t="s">
        <v>2883</v>
      </c>
      <c r="E4591" s="53" t="s">
        <v>5924</v>
      </c>
      <c r="F4591" s="53" t="s">
        <v>478</v>
      </c>
      <c r="G4591" s="53" t="s">
        <v>2923</v>
      </c>
      <c r="H4591" s="53">
        <v>1.0</v>
      </c>
      <c r="I4591" s="53">
        <v>0.12162162162162163</v>
      </c>
      <c r="J4591" s="53">
        <v>20.0</v>
      </c>
      <c r="K4591" s="53" t="s">
        <v>53</v>
      </c>
      <c r="L4591" s="53" t="s">
        <v>53</v>
      </c>
    </row>
    <row r="4592" ht="15.75" customHeight="1">
      <c r="A4592" s="53" t="s">
        <v>411</v>
      </c>
      <c r="B4592" s="53" t="s">
        <v>4945</v>
      </c>
      <c r="D4592" s="53" t="s">
        <v>2883</v>
      </c>
      <c r="E4592" s="53" t="s">
        <v>5925</v>
      </c>
      <c r="F4592" s="53" t="s">
        <v>478</v>
      </c>
      <c r="G4592" s="53" t="s">
        <v>2927</v>
      </c>
      <c r="H4592" s="53">
        <v>1.0</v>
      </c>
      <c r="I4592" s="53">
        <v>0.1342281879194631</v>
      </c>
      <c r="J4592" s="53">
        <v>23.0</v>
      </c>
      <c r="K4592" s="53" t="s">
        <v>53</v>
      </c>
      <c r="L4592" s="53" t="s">
        <v>53</v>
      </c>
    </row>
    <row r="4593" ht="15.75" customHeight="1">
      <c r="A4593" s="53" t="s">
        <v>411</v>
      </c>
      <c r="B4593" s="53" t="s">
        <v>4945</v>
      </c>
      <c r="D4593" s="53" t="s">
        <v>2883</v>
      </c>
      <c r="E4593" s="53" t="s">
        <v>5926</v>
      </c>
      <c r="F4593" s="53" t="s">
        <v>478</v>
      </c>
      <c r="G4593" s="53" t="s">
        <v>2921</v>
      </c>
      <c r="H4593" s="53">
        <v>1.0</v>
      </c>
      <c r="I4593" s="53">
        <v>0.14093959731543623</v>
      </c>
      <c r="J4593" s="53">
        <v>22.0</v>
      </c>
      <c r="K4593" s="53" t="s">
        <v>53</v>
      </c>
      <c r="L4593" s="53" t="s">
        <v>53</v>
      </c>
    </row>
    <row r="4594" ht="15.75" customHeight="1">
      <c r="A4594" s="53" t="s">
        <v>411</v>
      </c>
      <c r="B4594" s="53" t="s">
        <v>4945</v>
      </c>
      <c r="D4594" s="53" t="s">
        <v>2883</v>
      </c>
      <c r="E4594" s="53" t="s">
        <v>5927</v>
      </c>
      <c r="F4594" s="53" t="s">
        <v>478</v>
      </c>
      <c r="G4594" s="53" t="s">
        <v>2931</v>
      </c>
      <c r="H4594" s="53">
        <v>1.0</v>
      </c>
      <c r="I4594" s="53">
        <v>0.14473684210526316</v>
      </c>
      <c r="J4594" s="53">
        <v>18.0</v>
      </c>
      <c r="K4594" s="53" t="s">
        <v>53</v>
      </c>
      <c r="L4594" s="53" t="s">
        <v>53</v>
      </c>
    </row>
    <row r="4595" ht="15.75" customHeight="1">
      <c r="A4595" s="53" t="s">
        <v>411</v>
      </c>
      <c r="B4595" s="53" t="s">
        <v>4945</v>
      </c>
      <c r="D4595" s="53" t="s">
        <v>2883</v>
      </c>
      <c r="E4595" s="53" t="s">
        <v>5928</v>
      </c>
      <c r="F4595" s="53" t="s">
        <v>478</v>
      </c>
      <c r="G4595" s="53" t="s">
        <v>2925</v>
      </c>
      <c r="H4595" s="53">
        <v>1.0</v>
      </c>
      <c r="I4595" s="53">
        <v>0.1456953642384106</v>
      </c>
      <c r="J4595" s="53">
        <v>26.0</v>
      </c>
      <c r="K4595" s="53" t="s">
        <v>53</v>
      </c>
      <c r="L4595" s="53" t="s">
        <v>53</v>
      </c>
    </row>
    <row r="4596" ht="15.75" customHeight="1">
      <c r="A4596" s="53" t="s">
        <v>411</v>
      </c>
      <c r="B4596" s="53" t="s">
        <v>4945</v>
      </c>
      <c r="D4596" s="53" t="s">
        <v>2883</v>
      </c>
      <c r="E4596" s="53" t="s">
        <v>5929</v>
      </c>
      <c r="F4596" s="53" t="s">
        <v>478</v>
      </c>
      <c r="G4596" s="53" t="s">
        <v>2929</v>
      </c>
      <c r="H4596" s="53">
        <v>1.0</v>
      </c>
      <c r="I4596" s="53">
        <v>0.1503267973856209</v>
      </c>
      <c r="J4596" s="53">
        <v>24.0</v>
      </c>
      <c r="K4596" s="53" t="s">
        <v>53</v>
      </c>
      <c r="L4596" s="53" t="s">
        <v>53</v>
      </c>
    </row>
    <row r="4597" ht="15.75" customHeight="1">
      <c r="A4597" s="53" t="s">
        <v>411</v>
      </c>
      <c r="B4597" s="53" t="s">
        <v>4945</v>
      </c>
      <c r="D4597" s="53" t="s">
        <v>2883</v>
      </c>
      <c r="E4597" s="53" t="s">
        <v>5930</v>
      </c>
      <c r="F4597" s="53" t="s">
        <v>478</v>
      </c>
      <c r="G4597" s="53" t="s">
        <v>2919</v>
      </c>
      <c r="H4597" s="53">
        <v>1.0</v>
      </c>
      <c r="I4597" s="53">
        <v>0.15894039735099338</v>
      </c>
      <c r="J4597" s="53">
        <v>21.0</v>
      </c>
      <c r="K4597" s="53" t="s">
        <v>53</v>
      </c>
      <c r="L4597" s="53" t="s">
        <v>53</v>
      </c>
    </row>
    <row r="4598" ht="15.75" customHeight="1">
      <c r="A4598" s="53" t="s">
        <v>411</v>
      </c>
      <c r="B4598" s="53" t="s">
        <v>4945</v>
      </c>
      <c r="D4598" s="53" t="s">
        <v>2883</v>
      </c>
      <c r="E4598" s="53" t="s">
        <v>5931</v>
      </c>
      <c r="F4598" s="53" t="s">
        <v>478</v>
      </c>
      <c r="G4598" s="53" t="s">
        <v>2935</v>
      </c>
      <c r="H4598" s="53">
        <v>1.0</v>
      </c>
      <c r="I4598" s="53">
        <v>0.17880794701986755</v>
      </c>
      <c r="J4598" s="53">
        <v>15.0</v>
      </c>
      <c r="K4598" s="53" t="s">
        <v>53</v>
      </c>
      <c r="L4598" s="53" t="s">
        <v>53</v>
      </c>
    </row>
    <row r="4599" ht="15.75" customHeight="1">
      <c r="A4599" s="53" t="s">
        <v>411</v>
      </c>
      <c r="B4599" s="53" t="s">
        <v>4945</v>
      </c>
      <c r="D4599" s="53" t="s">
        <v>2883</v>
      </c>
      <c r="E4599" s="53" t="s">
        <v>5932</v>
      </c>
      <c r="F4599" s="53" t="s">
        <v>478</v>
      </c>
      <c r="G4599" s="53" t="s">
        <v>2933</v>
      </c>
      <c r="H4599" s="53">
        <v>1.0</v>
      </c>
      <c r="I4599" s="53">
        <v>0.1875</v>
      </c>
      <c r="J4599" s="53">
        <v>25.0</v>
      </c>
      <c r="K4599" s="53" t="s">
        <v>53</v>
      </c>
      <c r="L4599" s="53" t="s">
        <v>53</v>
      </c>
    </row>
    <row r="4600" ht="15.75" customHeight="1">
      <c r="A4600" s="53" t="s">
        <v>411</v>
      </c>
      <c r="B4600" s="53" t="s">
        <v>4945</v>
      </c>
      <c r="D4600" s="53" t="s">
        <v>2883</v>
      </c>
      <c r="E4600" s="53" t="s">
        <v>5933</v>
      </c>
      <c r="F4600" s="53" t="s">
        <v>478</v>
      </c>
      <c r="G4600" s="53" t="s">
        <v>2937</v>
      </c>
      <c r="H4600" s="53">
        <v>1.0</v>
      </c>
      <c r="I4600" s="53">
        <v>0.19708029197080293</v>
      </c>
      <c r="J4600" s="53">
        <v>33.0</v>
      </c>
      <c r="K4600" s="53" t="s">
        <v>53</v>
      </c>
      <c r="L4600" s="53" t="s">
        <v>53</v>
      </c>
    </row>
    <row r="4601" ht="15.75" customHeight="1">
      <c r="A4601" s="53" t="s">
        <v>411</v>
      </c>
      <c r="B4601" s="53" t="s">
        <v>4945</v>
      </c>
      <c r="D4601" s="53" t="s">
        <v>2883</v>
      </c>
      <c r="E4601" s="53" t="s">
        <v>5934</v>
      </c>
      <c r="F4601" s="53" t="s">
        <v>478</v>
      </c>
      <c r="G4601" s="53" t="s">
        <v>2940</v>
      </c>
      <c r="H4601" s="53">
        <v>1.0</v>
      </c>
      <c r="I4601" s="53">
        <v>0.20149253731343283</v>
      </c>
      <c r="J4601" s="53">
        <v>13.0</v>
      </c>
      <c r="K4601" s="53" t="s">
        <v>53</v>
      </c>
      <c r="L4601" s="53" t="s">
        <v>53</v>
      </c>
    </row>
    <row r="4602" ht="15.75" customHeight="1">
      <c r="A4602" s="53" t="s">
        <v>411</v>
      </c>
      <c r="B4602" s="53" t="s">
        <v>4945</v>
      </c>
      <c r="D4602" s="53" t="s">
        <v>2883</v>
      </c>
      <c r="E4602" s="53" t="s">
        <v>5935</v>
      </c>
      <c r="F4602" s="53" t="s">
        <v>478</v>
      </c>
      <c r="G4602" s="53" t="s">
        <v>2942</v>
      </c>
      <c r="H4602" s="53">
        <v>1.0</v>
      </c>
      <c r="I4602" s="53">
        <v>0.22142857142857142</v>
      </c>
      <c r="J4602" s="53">
        <v>34.0</v>
      </c>
      <c r="K4602" s="53" t="s">
        <v>53</v>
      </c>
      <c r="L4602" s="53" t="s">
        <v>53</v>
      </c>
    </row>
    <row r="4603" ht="15.75" customHeight="1">
      <c r="A4603" s="53" t="s">
        <v>411</v>
      </c>
      <c r="B4603" s="53" t="s">
        <v>4945</v>
      </c>
      <c r="D4603" s="53" t="s">
        <v>2883</v>
      </c>
      <c r="E4603" s="53" t="s">
        <v>5936</v>
      </c>
      <c r="F4603" s="53" t="s">
        <v>478</v>
      </c>
      <c r="G4603" s="53" t="s">
        <v>2946</v>
      </c>
      <c r="H4603" s="53">
        <v>1.0</v>
      </c>
      <c r="I4603" s="53">
        <v>0.22424242424242424</v>
      </c>
      <c r="J4603" s="53">
        <v>0.0</v>
      </c>
      <c r="K4603" s="53" t="s">
        <v>53</v>
      </c>
      <c r="L4603" s="53" t="s">
        <v>53</v>
      </c>
    </row>
    <row r="4604" ht="15.75" customHeight="1">
      <c r="A4604" s="53" t="s">
        <v>411</v>
      </c>
      <c r="B4604" s="53" t="s">
        <v>4945</v>
      </c>
      <c r="D4604" s="53" t="s">
        <v>2883</v>
      </c>
      <c r="E4604" s="53" t="s">
        <v>5937</v>
      </c>
      <c r="F4604" s="53" t="s">
        <v>478</v>
      </c>
      <c r="G4604" s="53" t="s">
        <v>2950</v>
      </c>
      <c r="H4604" s="53">
        <v>1.0</v>
      </c>
      <c r="I4604" s="53">
        <v>0.22641509433962265</v>
      </c>
      <c r="J4604" s="53">
        <v>14.0</v>
      </c>
      <c r="K4604" s="53" t="s">
        <v>53</v>
      </c>
      <c r="L4604" s="53" t="s">
        <v>53</v>
      </c>
    </row>
    <row r="4605" ht="15.75" customHeight="1">
      <c r="A4605" s="53" t="s">
        <v>411</v>
      </c>
      <c r="B4605" s="53" t="s">
        <v>4945</v>
      </c>
      <c r="D4605" s="53" t="s">
        <v>2883</v>
      </c>
      <c r="E4605" s="53" t="s">
        <v>5938</v>
      </c>
      <c r="F4605" s="53" t="s">
        <v>478</v>
      </c>
      <c r="G4605" s="53" t="s">
        <v>2948</v>
      </c>
      <c r="H4605" s="53">
        <v>1.0</v>
      </c>
      <c r="I4605" s="53">
        <v>0.2323943661971831</v>
      </c>
      <c r="J4605" s="53">
        <v>32.0</v>
      </c>
      <c r="K4605" s="53" t="s">
        <v>53</v>
      </c>
      <c r="L4605" s="53" t="s">
        <v>53</v>
      </c>
    </row>
    <row r="4606" ht="15.75" customHeight="1">
      <c r="A4606" s="53" t="s">
        <v>411</v>
      </c>
      <c r="B4606" s="53" t="s">
        <v>4945</v>
      </c>
      <c r="D4606" s="53" t="s">
        <v>2883</v>
      </c>
      <c r="E4606" s="53" t="s">
        <v>5939</v>
      </c>
      <c r="F4606" s="53" t="s">
        <v>478</v>
      </c>
      <c r="G4606" s="53" t="s">
        <v>2944</v>
      </c>
      <c r="H4606" s="53">
        <v>1.0</v>
      </c>
      <c r="I4606" s="53">
        <v>0.2422360248447205</v>
      </c>
      <c r="J4606" s="53">
        <v>17.0</v>
      </c>
      <c r="K4606" s="53" t="s">
        <v>53</v>
      </c>
      <c r="L4606" s="53" t="s">
        <v>53</v>
      </c>
    </row>
    <row r="4607" ht="15.75" customHeight="1">
      <c r="A4607" s="53" t="s">
        <v>411</v>
      </c>
      <c r="B4607" s="53" t="s">
        <v>4945</v>
      </c>
      <c r="D4607" s="53" t="s">
        <v>2883</v>
      </c>
      <c r="E4607" s="53" t="s">
        <v>5940</v>
      </c>
      <c r="F4607" s="53" t="s">
        <v>478</v>
      </c>
      <c r="G4607" s="53" t="s">
        <v>2954</v>
      </c>
      <c r="H4607" s="53">
        <v>1.0</v>
      </c>
      <c r="I4607" s="53">
        <v>0.2605633802816901</v>
      </c>
      <c r="J4607" s="53">
        <v>11.0</v>
      </c>
      <c r="K4607" s="53" t="s">
        <v>53</v>
      </c>
      <c r="L4607" s="53" t="s">
        <v>53</v>
      </c>
    </row>
    <row r="4608" ht="15.75" customHeight="1">
      <c r="A4608" s="53" t="s">
        <v>411</v>
      </c>
      <c r="B4608" s="53" t="s">
        <v>4945</v>
      </c>
      <c r="D4608" s="53" t="s">
        <v>2883</v>
      </c>
      <c r="E4608" s="53" t="s">
        <v>5941</v>
      </c>
      <c r="F4608" s="53" t="s">
        <v>478</v>
      </c>
      <c r="G4608" s="53" t="s">
        <v>495</v>
      </c>
      <c r="H4608" s="53">
        <v>1.0</v>
      </c>
      <c r="I4608" s="53">
        <v>0.2608695652173913</v>
      </c>
      <c r="J4608" s="53">
        <v>31.0</v>
      </c>
      <c r="K4608" s="53" t="s">
        <v>53</v>
      </c>
      <c r="L4608" s="53" t="s">
        <v>53</v>
      </c>
    </row>
    <row r="4609" ht="15.75" customHeight="1">
      <c r="A4609" s="53" t="s">
        <v>411</v>
      </c>
      <c r="B4609" s="53" t="s">
        <v>4945</v>
      </c>
      <c r="D4609" s="53" t="s">
        <v>2883</v>
      </c>
      <c r="E4609" s="53" t="s">
        <v>5942</v>
      </c>
      <c r="F4609" s="53" t="s">
        <v>478</v>
      </c>
      <c r="G4609" s="53" t="s">
        <v>485</v>
      </c>
      <c r="H4609" s="53">
        <v>1.0</v>
      </c>
      <c r="I4609" s="53">
        <v>0.2638888888888889</v>
      </c>
      <c r="J4609" s="53">
        <v>29.0</v>
      </c>
      <c r="K4609" s="53" t="s">
        <v>53</v>
      </c>
      <c r="L4609" s="53" t="s">
        <v>53</v>
      </c>
    </row>
    <row r="4610" ht="15.75" customHeight="1">
      <c r="A4610" s="53" t="s">
        <v>411</v>
      </c>
      <c r="B4610" s="53" t="s">
        <v>4945</v>
      </c>
      <c r="D4610" s="53" t="s">
        <v>2883</v>
      </c>
      <c r="E4610" s="53" t="s">
        <v>5943</v>
      </c>
      <c r="F4610" s="53" t="s">
        <v>478</v>
      </c>
      <c r="G4610" s="53" t="s">
        <v>474</v>
      </c>
      <c r="H4610" s="53">
        <v>1.0</v>
      </c>
      <c r="I4610" s="53">
        <v>0.2671232876712329</v>
      </c>
      <c r="J4610" s="53">
        <v>30.0</v>
      </c>
      <c r="K4610" s="53" t="s">
        <v>53</v>
      </c>
      <c r="L4610" s="53" t="s">
        <v>53</v>
      </c>
    </row>
    <row r="4611" ht="15.75" customHeight="1">
      <c r="A4611" s="53" t="s">
        <v>411</v>
      </c>
      <c r="B4611" s="53" t="s">
        <v>4945</v>
      </c>
      <c r="D4611" s="53" t="s">
        <v>2883</v>
      </c>
      <c r="E4611" s="53" t="s">
        <v>5944</v>
      </c>
      <c r="F4611" s="53" t="s">
        <v>478</v>
      </c>
      <c r="G4611" s="53" t="s">
        <v>2957</v>
      </c>
      <c r="H4611" s="53">
        <v>1.0</v>
      </c>
      <c r="I4611" s="53">
        <v>0.28484848484848485</v>
      </c>
      <c r="J4611" s="53">
        <v>16.0</v>
      </c>
      <c r="K4611" s="53" t="s">
        <v>53</v>
      </c>
      <c r="L4611" s="53" t="s">
        <v>53</v>
      </c>
    </row>
    <row r="4612" ht="15.75" customHeight="1">
      <c r="A4612" s="53" t="s">
        <v>411</v>
      </c>
      <c r="B4612" s="53" t="s">
        <v>4945</v>
      </c>
      <c r="D4612" s="53" t="s">
        <v>2946</v>
      </c>
      <c r="E4612" s="53" t="s">
        <v>5945</v>
      </c>
      <c r="F4612" s="53" t="s">
        <v>478</v>
      </c>
      <c r="G4612" s="53" t="s">
        <v>2917</v>
      </c>
      <c r="H4612" s="53">
        <v>1.0</v>
      </c>
      <c r="I4612" s="53">
        <v>0.21818181818181817</v>
      </c>
      <c r="J4612" s="53">
        <v>27.0</v>
      </c>
      <c r="K4612" s="53" t="s">
        <v>53</v>
      </c>
      <c r="L4612" s="53" t="s">
        <v>53</v>
      </c>
    </row>
    <row r="4613" ht="15.75" customHeight="1">
      <c r="A4613" s="53" t="s">
        <v>411</v>
      </c>
      <c r="B4613" s="53" t="s">
        <v>4945</v>
      </c>
      <c r="D4613" s="53" t="s">
        <v>2946</v>
      </c>
      <c r="E4613" s="53" t="s">
        <v>5946</v>
      </c>
      <c r="F4613" s="53" t="s">
        <v>478</v>
      </c>
      <c r="G4613" s="53" t="s">
        <v>2905</v>
      </c>
      <c r="H4613" s="53">
        <v>1.0</v>
      </c>
      <c r="I4613" s="53">
        <v>0.21818181818181817</v>
      </c>
      <c r="J4613" s="53">
        <v>11.0</v>
      </c>
      <c r="K4613" s="53" t="s">
        <v>53</v>
      </c>
      <c r="L4613" s="53" t="s">
        <v>53</v>
      </c>
    </row>
    <row r="4614" ht="15.75" customHeight="1">
      <c r="A4614" s="53" t="s">
        <v>411</v>
      </c>
      <c r="B4614" s="53" t="s">
        <v>4945</v>
      </c>
      <c r="D4614" s="53" t="s">
        <v>2946</v>
      </c>
      <c r="E4614" s="53" t="s">
        <v>5947</v>
      </c>
      <c r="F4614" s="53" t="s">
        <v>478</v>
      </c>
      <c r="G4614" s="53" t="s">
        <v>2901</v>
      </c>
      <c r="H4614" s="53">
        <v>1.0</v>
      </c>
      <c r="I4614" s="53">
        <v>0.21818181818181817</v>
      </c>
      <c r="J4614" s="53">
        <v>5.0</v>
      </c>
      <c r="K4614" s="53" t="s">
        <v>53</v>
      </c>
      <c r="L4614" s="53" t="s">
        <v>53</v>
      </c>
    </row>
    <row r="4615" ht="15.75" customHeight="1">
      <c r="A4615" s="53" t="s">
        <v>411</v>
      </c>
      <c r="B4615" s="53" t="s">
        <v>4945</v>
      </c>
      <c r="D4615" s="53" t="s">
        <v>2946</v>
      </c>
      <c r="E4615" s="53" t="s">
        <v>5948</v>
      </c>
      <c r="F4615" s="53" t="s">
        <v>478</v>
      </c>
      <c r="G4615" s="53" t="s">
        <v>2889</v>
      </c>
      <c r="H4615" s="53">
        <v>1.0</v>
      </c>
      <c r="I4615" s="53">
        <v>0.21818181818181817</v>
      </c>
      <c r="J4615" s="53">
        <v>6.0</v>
      </c>
      <c r="K4615" s="53" t="s">
        <v>53</v>
      </c>
      <c r="L4615" s="53" t="s">
        <v>53</v>
      </c>
    </row>
    <row r="4616" ht="15.75" customHeight="1">
      <c r="A4616" s="53" t="s">
        <v>411</v>
      </c>
      <c r="B4616" s="53" t="s">
        <v>4945</v>
      </c>
      <c r="D4616" s="53" t="s">
        <v>2946</v>
      </c>
      <c r="E4616" s="53" t="s">
        <v>5949</v>
      </c>
      <c r="F4616" s="53" t="s">
        <v>478</v>
      </c>
      <c r="G4616" s="53" t="s">
        <v>2895</v>
      </c>
      <c r="H4616" s="53">
        <v>1.0</v>
      </c>
      <c r="I4616" s="53">
        <v>0.22424242424242424</v>
      </c>
      <c r="J4616" s="53">
        <v>4.0</v>
      </c>
      <c r="K4616" s="53" t="s">
        <v>53</v>
      </c>
      <c r="L4616" s="53" t="s">
        <v>53</v>
      </c>
    </row>
    <row r="4617" ht="15.75" customHeight="1">
      <c r="A4617" s="53" t="s">
        <v>411</v>
      </c>
      <c r="B4617" s="53" t="s">
        <v>4945</v>
      </c>
      <c r="D4617" s="53" t="s">
        <v>2946</v>
      </c>
      <c r="E4617" s="53" t="s">
        <v>5950</v>
      </c>
      <c r="F4617" s="53" t="s">
        <v>478</v>
      </c>
      <c r="G4617" s="53" t="s">
        <v>2911</v>
      </c>
      <c r="H4617" s="53">
        <v>1.0</v>
      </c>
      <c r="I4617" s="53">
        <v>0.22424242424242424</v>
      </c>
      <c r="J4617" s="53">
        <v>9.0</v>
      </c>
      <c r="K4617" s="53" t="s">
        <v>53</v>
      </c>
      <c r="L4617" s="53" t="s">
        <v>53</v>
      </c>
    </row>
    <row r="4618" ht="15.75" customHeight="1">
      <c r="A4618" s="53" t="s">
        <v>411</v>
      </c>
      <c r="B4618" s="53" t="s">
        <v>4945</v>
      </c>
      <c r="D4618" s="53" t="s">
        <v>2946</v>
      </c>
      <c r="E4618" s="53" t="s">
        <v>5951</v>
      </c>
      <c r="F4618" s="53" t="s">
        <v>478</v>
      </c>
      <c r="G4618" s="53" t="s">
        <v>2923</v>
      </c>
      <c r="H4618" s="53">
        <v>1.0</v>
      </c>
      <c r="I4618" s="53">
        <v>0.22424242424242424</v>
      </c>
      <c r="J4618" s="53">
        <v>19.0</v>
      </c>
      <c r="K4618" s="53" t="s">
        <v>53</v>
      </c>
      <c r="L4618" s="53" t="s">
        <v>53</v>
      </c>
    </row>
    <row r="4619" ht="15.75" customHeight="1">
      <c r="A4619" s="53" t="s">
        <v>411</v>
      </c>
      <c r="B4619" s="53" t="s">
        <v>4945</v>
      </c>
      <c r="D4619" s="53" t="s">
        <v>2946</v>
      </c>
      <c r="E4619" s="53" t="s">
        <v>5952</v>
      </c>
      <c r="F4619" s="53" t="s">
        <v>478</v>
      </c>
      <c r="G4619" s="53" t="s">
        <v>2897</v>
      </c>
      <c r="H4619" s="53">
        <v>1.0</v>
      </c>
      <c r="I4619" s="53">
        <v>0.22424242424242424</v>
      </c>
      <c r="J4619" s="53">
        <v>1.0</v>
      </c>
      <c r="K4619" s="53" t="s">
        <v>53</v>
      </c>
      <c r="L4619" s="53" t="s">
        <v>53</v>
      </c>
    </row>
    <row r="4620" ht="15.75" customHeight="1">
      <c r="A4620" s="53" t="s">
        <v>411</v>
      </c>
      <c r="B4620" s="53" t="s">
        <v>4945</v>
      </c>
      <c r="D4620" s="53" t="s">
        <v>2946</v>
      </c>
      <c r="E4620" s="53" t="s">
        <v>5953</v>
      </c>
      <c r="F4620" s="53" t="s">
        <v>478</v>
      </c>
      <c r="G4620" s="53" t="s">
        <v>2891</v>
      </c>
      <c r="H4620" s="53">
        <v>1.0</v>
      </c>
      <c r="I4620" s="53">
        <v>0.22424242424242424</v>
      </c>
      <c r="J4620" s="53">
        <v>2.0</v>
      </c>
      <c r="K4620" s="53" t="s">
        <v>53</v>
      </c>
      <c r="L4620" s="53" t="s">
        <v>53</v>
      </c>
    </row>
    <row r="4621" ht="15.75" customHeight="1">
      <c r="A4621" s="53" t="s">
        <v>411</v>
      </c>
      <c r="B4621" s="53" t="s">
        <v>4945</v>
      </c>
      <c r="D4621" s="53" t="s">
        <v>2946</v>
      </c>
      <c r="E4621" s="53" t="s">
        <v>5954</v>
      </c>
      <c r="F4621" s="53" t="s">
        <v>478</v>
      </c>
      <c r="G4621" s="53" t="s">
        <v>2899</v>
      </c>
      <c r="H4621" s="53">
        <v>1.0</v>
      </c>
      <c r="I4621" s="53">
        <v>0.22424242424242424</v>
      </c>
      <c r="J4621" s="53">
        <v>8.0</v>
      </c>
      <c r="K4621" s="53" t="s">
        <v>53</v>
      </c>
      <c r="L4621" s="53" t="s">
        <v>53</v>
      </c>
    </row>
    <row r="4622" ht="15.75" customHeight="1">
      <c r="A4622" s="53" t="s">
        <v>411</v>
      </c>
      <c r="B4622" s="53" t="s">
        <v>4945</v>
      </c>
      <c r="D4622" s="53" t="s">
        <v>2946</v>
      </c>
      <c r="E4622" s="53" t="s">
        <v>5955</v>
      </c>
      <c r="F4622" s="53" t="s">
        <v>478</v>
      </c>
      <c r="G4622" s="53" t="s">
        <v>2913</v>
      </c>
      <c r="H4622" s="53">
        <v>1.0</v>
      </c>
      <c r="I4622" s="53">
        <v>0.22424242424242424</v>
      </c>
      <c r="J4622" s="53">
        <v>7.0</v>
      </c>
      <c r="K4622" s="53" t="s">
        <v>53</v>
      </c>
      <c r="L4622" s="53" t="s">
        <v>53</v>
      </c>
    </row>
    <row r="4623" ht="15.75" customHeight="1">
      <c r="A4623" s="53" t="s">
        <v>411</v>
      </c>
      <c r="B4623" s="53" t="s">
        <v>4945</v>
      </c>
      <c r="D4623" s="53" t="s">
        <v>2946</v>
      </c>
      <c r="E4623" s="53" t="s">
        <v>5956</v>
      </c>
      <c r="F4623" s="53" t="s">
        <v>478</v>
      </c>
      <c r="G4623" s="53" t="s">
        <v>2907</v>
      </c>
      <c r="H4623" s="53">
        <v>1.0</v>
      </c>
      <c r="I4623" s="53">
        <v>0.22424242424242424</v>
      </c>
      <c r="J4623" s="53">
        <v>26.0</v>
      </c>
      <c r="K4623" s="53" t="s">
        <v>53</v>
      </c>
      <c r="L4623" s="53" t="s">
        <v>53</v>
      </c>
    </row>
    <row r="4624" ht="15.75" customHeight="1">
      <c r="A4624" s="53" t="s">
        <v>411</v>
      </c>
      <c r="B4624" s="53" t="s">
        <v>4945</v>
      </c>
      <c r="D4624" s="53" t="s">
        <v>2946</v>
      </c>
      <c r="E4624" s="53" t="s">
        <v>5957</v>
      </c>
      <c r="F4624" s="53" t="s">
        <v>478</v>
      </c>
      <c r="G4624" s="53" t="s">
        <v>2929</v>
      </c>
      <c r="H4624" s="53">
        <v>1.0</v>
      </c>
      <c r="I4624" s="53">
        <v>0.22424242424242424</v>
      </c>
      <c r="J4624" s="53">
        <v>23.0</v>
      </c>
      <c r="K4624" s="53" t="s">
        <v>53</v>
      </c>
      <c r="L4624" s="53" t="s">
        <v>53</v>
      </c>
    </row>
    <row r="4625" ht="15.75" customHeight="1">
      <c r="A4625" s="53" t="s">
        <v>411</v>
      </c>
      <c r="B4625" s="53" t="s">
        <v>4945</v>
      </c>
      <c r="D4625" s="53" t="s">
        <v>2946</v>
      </c>
      <c r="E4625" s="53" t="s">
        <v>5958</v>
      </c>
      <c r="F4625" s="53" t="s">
        <v>478</v>
      </c>
      <c r="G4625" s="53" t="s">
        <v>2887</v>
      </c>
      <c r="H4625" s="53">
        <v>1.0</v>
      </c>
      <c r="I4625" s="53">
        <v>0.22424242424242424</v>
      </c>
      <c r="J4625" s="53">
        <v>3.0</v>
      </c>
      <c r="K4625" s="53" t="s">
        <v>53</v>
      </c>
      <c r="L4625" s="53" t="s">
        <v>53</v>
      </c>
    </row>
    <row r="4626" ht="15.75" customHeight="1">
      <c r="A4626" s="53" t="s">
        <v>411</v>
      </c>
      <c r="B4626" s="53" t="s">
        <v>4945</v>
      </c>
      <c r="D4626" s="53" t="s">
        <v>2946</v>
      </c>
      <c r="E4626" s="53" t="s">
        <v>5959</v>
      </c>
      <c r="F4626" s="53" t="s">
        <v>478</v>
      </c>
      <c r="G4626" s="53" t="s">
        <v>2927</v>
      </c>
      <c r="H4626" s="53">
        <v>1.0</v>
      </c>
      <c r="I4626" s="53">
        <v>0.23030303030303031</v>
      </c>
      <c r="J4626" s="53">
        <v>22.0</v>
      </c>
      <c r="K4626" s="53" t="s">
        <v>53</v>
      </c>
      <c r="L4626" s="53" t="s">
        <v>53</v>
      </c>
    </row>
    <row r="4627" ht="15.75" customHeight="1">
      <c r="A4627" s="53" t="s">
        <v>411</v>
      </c>
      <c r="B4627" s="53" t="s">
        <v>4945</v>
      </c>
      <c r="D4627" s="53" t="s">
        <v>2946</v>
      </c>
      <c r="E4627" s="53" t="s">
        <v>5960</v>
      </c>
      <c r="F4627" s="53" t="s">
        <v>478</v>
      </c>
      <c r="G4627" s="53" t="s">
        <v>2933</v>
      </c>
      <c r="H4627" s="53">
        <v>1.0</v>
      </c>
      <c r="I4627" s="53">
        <v>0.23030303030303031</v>
      </c>
      <c r="J4627" s="53">
        <v>24.0</v>
      </c>
      <c r="K4627" s="53" t="s">
        <v>53</v>
      </c>
      <c r="L4627" s="53" t="s">
        <v>53</v>
      </c>
    </row>
    <row r="4628" ht="15.75" customHeight="1">
      <c r="A4628" s="53" t="s">
        <v>411</v>
      </c>
      <c r="B4628" s="53" t="s">
        <v>4945</v>
      </c>
      <c r="D4628" s="53" t="s">
        <v>2946</v>
      </c>
      <c r="E4628" s="53" t="s">
        <v>5961</v>
      </c>
      <c r="F4628" s="53" t="s">
        <v>478</v>
      </c>
      <c r="G4628" s="53" t="s">
        <v>2915</v>
      </c>
      <c r="H4628" s="53">
        <v>1.0</v>
      </c>
      <c r="I4628" s="53">
        <v>0.23030303030303031</v>
      </c>
      <c r="J4628" s="53">
        <v>18.0</v>
      </c>
      <c r="K4628" s="53" t="s">
        <v>53</v>
      </c>
      <c r="L4628" s="53" t="s">
        <v>53</v>
      </c>
    </row>
    <row r="4629" ht="15.75" customHeight="1">
      <c r="A4629" s="53" t="s">
        <v>411</v>
      </c>
      <c r="B4629" s="53" t="s">
        <v>4945</v>
      </c>
      <c r="D4629" s="53" t="s">
        <v>2946</v>
      </c>
      <c r="E4629" s="53" t="s">
        <v>5962</v>
      </c>
      <c r="F4629" s="53" t="s">
        <v>478</v>
      </c>
      <c r="G4629" s="53" t="s">
        <v>2925</v>
      </c>
      <c r="H4629" s="53">
        <v>1.0</v>
      </c>
      <c r="I4629" s="53">
        <v>0.23030303030303031</v>
      </c>
      <c r="J4629" s="53">
        <v>25.0</v>
      </c>
      <c r="K4629" s="53" t="s">
        <v>53</v>
      </c>
      <c r="L4629" s="53" t="s">
        <v>53</v>
      </c>
    </row>
    <row r="4630" ht="15.75" customHeight="1">
      <c r="A4630" s="53" t="s">
        <v>411</v>
      </c>
      <c r="B4630" s="53" t="s">
        <v>4945</v>
      </c>
      <c r="D4630" s="53" t="s">
        <v>2946</v>
      </c>
      <c r="E4630" s="53" t="s">
        <v>5963</v>
      </c>
      <c r="F4630" s="53" t="s">
        <v>478</v>
      </c>
      <c r="G4630" s="53" t="s">
        <v>2893</v>
      </c>
      <c r="H4630" s="53">
        <v>1.0</v>
      </c>
      <c r="I4630" s="53">
        <v>0.23030303030303031</v>
      </c>
      <c r="J4630" s="53">
        <v>0.0</v>
      </c>
      <c r="K4630" s="53" t="s">
        <v>53</v>
      </c>
      <c r="L4630" s="53" t="s">
        <v>53</v>
      </c>
    </row>
    <row r="4631" ht="15.75" customHeight="1">
      <c r="A4631" s="53" t="s">
        <v>411</v>
      </c>
      <c r="B4631" s="53" t="s">
        <v>4945</v>
      </c>
      <c r="D4631" s="53" t="s">
        <v>2946</v>
      </c>
      <c r="E4631" s="53" t="s">
        <v>5964</v>
      </c>
      <c r="F4631" s="53" t="s">
        <v>478</v>
      </c>
      <c r="G4631" s="53" t="s">
        <v>2921</v>
      </c>
      <c r="H4631" s="53">
        <v>1.0</v>
      </c>
      <c r="I4631" s="53">
        <v>0.23030303030303031</v>
      </c>
      <c r="J4631" s="53">
        <v>21.0</v>
      </c>
      <c r="K4631" s="53" t="s">
        <v>53</v>
      </c>
      <c r="L4631" s="53" t="s">
        <v>53</v>
      </c>
    </row>
    <row r="4632" ht="15.75" customHeight="1">
      <c r="A4632" s="53" t="s">
        <v>411</v>
      </c>
      <c r="B4632" s="53" t="s">
        <v>4945</v>
      </c>
      <c r="D4632" s="53" t="s">
        <v>2946</v>
      </c>
      <c r="E4632" s="53" t="s">
        <v>5965</v>
      </c>
      <c r="F4632" s="53" t="s">
        <v>478</v>
      </c>
      <c r="G4632" s="53" t="s">
        <v>2919</v>
      </c>
      <c r="H4632" s="53">
        <v>1.0</v>
      </c>
      <c r="I4632" s="53">
        <v>0.23636363636363636</v>
      </c>
      <c r="J4632" s="53">
        <v>20.0</v>
      </c>
      <c r="K4632" s="53" t="s">
        <v>53</v>
      </c>
      <c r="L4632" s="53" t="s">
        <v>53</v>
      </c>
    </row>
    <row r="4633" ht="15.75" customHeight="1">
      <c r="A4633" s="53" t="s">
        <v>411</v>
      </c>
      <c r="B4633" s="53" t="s">
        <v>4945</v>
      </c>
      <c r="D4633" s="53" t="s">
        <v>2946</v>
      </c>
      <c r="E4633" s="53" t="s">
        <v>5966</v>
      </c>
      <c r="F4633" s="53" t="s">
        <v>478</v>
      </c>
      <c r="G4633" s="53" t="s">
        <v>2931</v>
      </c>
      <c r="H4633" s="53">
        <v>1.0</v>
      </c>
      <c r="I4633" s="53">
        <v>0.23636363636363636</v>
      </c>
      <c r="J4633" s="53">
        <v>17.0</v>
      </c>
      <c r="K4633" s="53" t="s">
        <v>53</v>
      </c>
      <c r="L4633" s="53" t="s">
        <v>53</v>
      </c>
    </row>
    <row r="4634" ht="15.75" customHeight="1">
      <c r="A4634" s="53" t="s">
        <v>411</v>
      </c>
      <c r="B4634" s="53" t="s">
        <v>4945</v>
      </c>
      <c r="D4634" s="53" t="s">
        <v>2946</v>
      </c>
      <c r="E4634" s="53" t="s">
        <v>5967</v>
      </c>
      <c r="F4634" s="53" t="s">
        <v>478</v>
      </c>
      <c r="G4634" s="53" t="s">
        <v>2935</v>
      </c>
      <c r="H4634" s="53">
        <v>1.0</v>
      </c>
      <c r="I4634" s="53">
        <v>0.2545454545454545</v>
      </c>
      <c r="J4634" s="53">
        <v>14.0</v>
      </c>
      <c r="K4634" s="53" t="s">
        <v>53</v>
      </c>
      <c r="L4634" s="53" t="s">
        <v>53</v>
      </c>
    </row>
    <row r="4635" ht="15.75" customHeight="1">
      <c r="A4635" s="53" t="s">
        <v>411</v>
      </c>
      <c r="B4635" s="53" t="s">
        <v>4945</v>
      </c>
      <c r="D4635" s="53" t="s">
        <v>2946</v>
      </c>
      <c r="E4635" s="53" t="s">
        <v>5968</v>
      </c>
      <c r="F4635" s="53" t="s">
        <v>478</v>
      </c>
      <c r="G4635" s="53" t="s">
        <v>2944</v>
      </c>
      <c r="H4635" s="53">
        <v>1.0</v>
      </c>
      <c r="I4635" s="53">
        <v>0.26666666666666666</v>
      </c>
      <c r="J4635" s="53">
        <v>16.0</v>
      </c>
      <c r="K4635" s="53" t="s">
        <v>53</v>
      </c>
      <c r="L4635" s="53" t="s">
        <v>53</v>
      </c>
    </row>
    <row r="4636" ht="15.75" customHeight="1">
      <c r="A4636" s="53" t="s">
        <v>411</v>
      </c>
      <c r="B4636" s="53" t="s">
        <v>4945</v>
      </c>
      <c r="D4636" s="53" t="s">
        <v>2946</v>
      </c>
      <c r="E4636" s="53" t="s">
        <v>5969</v>
      </c>
      <c r="F4636" s="53" t="s">
        <v>478</v>
      </c>
      <c r="G4636" s="53" t="s">
        <v>2957</v>
      </c>
      <c r="H4636" s="53">
        <v>1.0</v>
      </c>
      <c r="I4636" s="53">
        <v>0.296969696969697</v>
      </c>
      <c r="J4636" s="53">
        <v>15.0</v>
      </c>
      <c r="K4636" s="53" t="s">
        <v>53</v>
      </c>
      <c r="L4636" s="53" t="s">
        <v>53</v>
      </c>
    </row>
    <row r="4637" ht="15.75" customHeight="1">
      <c r="A4637" s="53" t="s">
        <v>411</v>
      </c>
      <c r="B4637" s="53" t="s">
        <v>4945</v>
      </c>
      <c r="D4637" s="53" t="s">
        <v>2946</v>
      </c>
      <c r="E4637" s="53" t="s">
        <v>5970</v>
      </c>
      <c r="F4637" s="53" t="s">
        <v>478</v>
      </c>
      <c r="G4637" s="53" t="s">
        <v>2950</v>
      </c>
      <c r="H4637" s="53">
        <v>1.0</v>
      </c>
      <c r="I4637" s="53">
        <v>0.30303030303030304</v>
      </c>
      <c r="J4637" s="53">
        <v>13.0</v>
      </c>
      <c r="K4637" s="53" t="s">
        <v>53</v>
      </c>
      <c r="L4637" s="53" t="s">
        <v>53</v>
      </c>
    </row>
    <row r="4638" ht="15.75" customHeight="1">
      <c r="A4638" s="53" t="s">
        <v>411</v>
      </c>
      <c r="B4638" s="53" t="s">
        <v>4945</v>
      </c>
      <c r="D4638" s="53" t="s">
        <v>2946</v>
      </c>
      <c r="E4638" s="53" t="s">
        <v>5971</v>
      </c>
      <c r="F4638" s="53" t="s">
        <v>478</v>
      </c>
      <c r="G4638" s="53" t="s">
        <v>2937</v>
      </c>
      <c r="H4638" s="53">
        <v>1.0</v>
      </c>
      <c r="I4638" s="53">
        <v>0.3151515151515151</v>
      </c>
      <c r="J4638" s="53">
        <v>32.0</v>
      </c>
      <c r="K4638" s="53" t="s">
        <v>53</v>
      </c>
      <c r="L4638" s="53" t="s">
        <v>53</v>
      </c>
    </row>
    <row r="4639" ht="15.75" customHeight="1">
      <c r="A4639" s="53" t="s">
        <v>411</v>
      </c>
      <c r="B4639" s="53" t="s">
        <v>4945</v>
      </c>
      <c r="D4639" s="53" t="s">
        <v>2946</v>
      </c>
      <c r="E4639" s="53" t="s">
        <v>5972</v>
      </c>
      <c r="F4639" s="53" t="s">
        <v>478</v>
      </c>
      <c r="G4639" s="53" t="s">
        <v>2940</v>
      </c>
      <c r="H4639" s="53">
        <v>1.0</v>
      </c>
      <c r="I4639" s="53">
        <v>0.3151515151515151</v>
      </c>
      <c r="J4639" s="53">
        <v>12.0</v>
      </c>
      <c r="K4639" s="53" t="s">
        <v>53</v>
      </c>
      <c r="L4639" s="53" t="s">
        <v>53</v>
      </c>
    </row>
    <row r="4640" ht="15.75" customHeight="1">
      <c r="A4640" s="53" t="s">
        <v>411</v>
      </c>
      <c r="B4640" s="53" t="s">
        <v>4945</v>
      </c>
      <c r="D4640" s="53" t="s">
        <v>2946</v>
      </c>
      <c r="E4640" s="53" t="s">
        <v>5973</v>
      </c>
      <c r="F4640" s="53" t="s">
        <v>478</v>
      </c>
      <c r="G4640" s="53" t="s">
        <v>474</v>
      </c>
      <c r="H4640" s="53">
        <v>1.0</v>
      </c>
      <c r="I4640" s="53">
        <v>0.3151515151515151</v>
      </c>
      <c r="J4640" s="53">
        <v>29.0</v>
      </c>
      <c r="K4640" s="53" t="s">
        <v>53</v>
      </c>
      <c r="L4640" s="53" t="s">
        <v>53</v>
      </c>
    </row>
    <row r="4641" ht="15.75" customHeight="1">
      <c r="A4641" s="53" t="s">
        <v>411</v>
      </c>
      <c r="B4641" s="53" t="s">
        <v>4945</v>
      </c>
      <c r="D4641" s="53" t="s">
        <v>2946</v>
      </c>
      <c r="E4641" s="53" t="s">
        <v>5974</v>
      </c>
      <c r="F4641" s="53" t="s">
        <v>478</v>
      </c>
      <c r="G4641" s="53" t="s">
        <v>485</v>
      </c>
      <c r="H4641" s="53">
        <v>1.0</v>
      </c>
      <c r="I4641" s="53">
        <v>0.3212121212121212</v>
      </c>
      <c r="J4641" s="53">
        <v>28.0</v>
      </c>
      <c r="K4641" s="53" t="s">
        <v>53</v>
      </c>
      <c r="L4641" s="53" t="s">
        <v>53</v>
      </c>
    </row>
    <row r="4642" ht="15.75" customHeight="1">
      <c r="A4642" s="53" t="s">
        <v>411</v>
      </c>
      <c r="B4642" s="53" t="s">
        <v>4945</v>
      </c>
      <c r="D4642" s="53" t="s">
        <v>2946</v>
      </c>
      <c r="E4642" s="53" t="s">
        <v>5975</v>
      </c>
      <c r="F4642" s="53" t="s">
        <v>478</v>
      </c>
      <c r="G4642" s="53" t="s">
        <v>2954</v>
      </c>
      <c r="H4642" s="53">
        <v>1.0</v>
      </c>
      <c r="I4642" s="53">
        <v>0.32727272727272727</v>
      </c>
      <c r="J4642" s="53">
        <v>10.0</v>
      </c>
      <c r="K4642" s="53" t="s">
        <v>53</v>
      </c>
      <c r="L4642" s="53" t="s">
        <v>53</v>
      </c>
    </row>
    <row r="4643" ht="15.75" customHeight="1">
      <c r="A4643" s="53" t="s">
        <v>411</v>
      </c>
      <c r="B4643" s="53" t="s">
        <v>4945</v>
      </c>
      <c r="D4643" s="53" t="s">
        <v>2946</v>
      </c>
      <c r="E4643" s="53" t="s">
        <v>5976</v>
      </c>
      <c r="F4643" s="53" t="s">
        <v>478</v>
      </c>
      <c r="G4643" s="53" t="s">
        <v>2942</v>
      </c>
      <c r="H4643" s="53">
        <v>1.0</v>
      </c>
      <c r="I4643" s="53">
        <v>0.34545454545454546</v>
      </c>
      <c r="J4643" s="53">
        <v>33.0</v>
      </c>
      <c r="K4643" s="53" t="s">
        <v>53</v>
      </c>
      <c r="L4643" s="53" t="s">
        <v>53</v>
      </c>
    </row>
    <row r="4644" ht="15.75" customHeight="1">
      <c r="A4644" s="53" t="s">
        <v>411</v>
      </c>
      <c r="B4644" s="53" t="s">
        <v>4945</v>
      </c>
      <c r="D4644" s="53" t="s">
        <v>2946</v>
      </c>
      <c r="E4644" s="53" t="s">
        <v>5977</v>
      </c>
      <c r="F4644" s="53" t="s">
        <v>478</v>
      </c>
      <c r="G4644" s="53" t="s">
        <v>2948</v>
      </c>
      <c r="H4644" s="53">
        <v>1.0</v>
      </c>
      <c r="I4644" s="53">
        <v>0.3515151515151515</v>
      </c>
      <c r="J4644" s="53">
        <v>31.0</v>
      </c>
      <c r="K4644" s="53" t="s">
        <v>53</v>
      </c>
      <c r="L4644" s="53" t="s">
        <v>53</v>
      </c>
    </row>
    <row r="4645" ht="15.75" customHeight="1">
      <c r="A4645" s="53" t="s">
        <v>411</v>
      </c>
      <c r="B4645" s="53" t="s">
        <v>4945</v>
      </c>
      <c r="D4645" s="53" t="s">
        <v>2946</v>
      </c>
      <c r="E4645" s="53" t="s">
        <v>5978</v>
      </c>
      <c r="F4645" s="53" t="s">
        <v>478</v>
      </c>
      <c r="G4645" s="53" t="s">
        <v>495</v>
      </c>
      <c r="H4645" s="53">
        <v>1.0</v>
      </c>
      <c r="I4645" s="53">
        <v>0.36363636363636365</v>
      </c>
      <c r="J4645" s="53">
        <v>30.0</v>
      </c>
      <c r="K4645" s="53" t="s">
        <v>53</v>
      </c>
      <c r="L4645" s="53" t="s">
        <v>53</v>
      </c>
    </row>
    <row r="4646" ht="15.75" customHeight="1">
      <c r="A4646" s="53" t="s">
        <v>411</v>
      </c>
      <c r="B4646" s="53" t="s">
        <v>4945</v>
      </c>
      <c r="D4646" s="53" t="s">
        <v>2893</v>
      </c>
      <c r="E4646" s="53" t="s">
        <v>5979</v>
      </c>
      <c r="F4646" s="53" t="s">
        <v>478</v>
      </c>
      <c r="G4646" s="53" t="s">
        <v>2891</v>
      </c>
      <c r="H4646" s="53">
        <v>1.0</v>
      </c>
      <c r="I4646" s="53">
        <v>0.014492753623188406</v>
      </c>
      <c r="J4646" s="53">
        <v>1.0</v>
      </c>
      <c r="K4646" s="53" t="s">
        <v>53</v>
      </c>
      <c r="L4646" s="53" t="s">
        <v>53</v>
      </c>
    </row>
    <row r="4647" ht="15.75" customHeight="1">
      <c r="A4647" s="53" t="s">
        <v>411</v>
      </c>
      <c r="B4647" s="53" t="s">
        <v>4945</v>
      </c>
      <c r="D4647" s="53" t="s">
        <v>2893</v>
      </c>
      <c r="E4647" s="53" t="s">
        <v>5980</v>
      </c>
      <c r="F4647" s="53" t="s">
        <v>478</v>
      </c>
      <c r="G4647" s="53" t="s">
        <v>2897</v>
      </c>
      <c r="H4647" s="53">
        <v>1.0</v>
      </c>
      <c r="I4647" s="53">
        <v>0.028985507246376812</v>
      </c>
      <c r="J4647" s="53">
        <v>0.0</v>
      </c>
      <c r="K4647" s="53" t="s">
        <v>53</v>
      </c>
      <c r="L4647" s="53" t="s">
        <v>53</v>
      </c>
    </row>
    <row r="4648" ht="15.75" customHeight="1">
      <c r="A4648" s="53" t="s">
        <v>411</v>
      </c>
      <c r="B4648" s="53" t="s">
        <v>4945</v>
      </c>
      <c r="D4648" s="53" t="s">
        <v>2893</v>
      </c>
      <c r="E4648" s="53" t="s">
        <v>5981</v>
      </c>
      <c r="F4648" s="53" t="s">
        <v>478</v>
      </c>
      <c r="G4648" s="53" t="s">
        <v>2889</v>
      </c>
      <c r="H4648" s="53">
        <v>1.0</v>
      </c>
      <c r="I4648" s="53">
        <v>0.06521739130434782</v>
      </c>
      <c r="J4648" s="53">
        <v>5.0</v>
      </c>
      <c r="K4648" s="53" t="s">
        <v>53</v>
      </c>
      <c r="L4648" s="53" t="s">
        <v>53</v>
      </c>
    </row>
    <row r="4649" ht="15.75" customHeight="1">
      <c r="A4649" s="53" t="s">
        <v>411</v>
      </c>
      <c r="B4649" s="53" t="s">
        <v>4945</v>
      </c>
      <c r="D4649" s="53" t="s">
        <v>2893</v>
      </c>
      <c r="E4649" s="53" t="s">
        <v>5982</v>
      </c>
      <c r="F4649" s="53" t="s">
        <v>478</v>
      </c>
      <c r="G4649" s="53" t="s">
        <v>2907</v>
      </c>
      <c r="H4649" s="53">
        <v>1.0</v>
      </c>
      <c r="I4649" s="53">
        <v>0.07194244604316546</v>
      </c>
      <c r="J4649" s="53">
        <v>25.0</v>
      </c>
      <c r="K4649" s="53" t="s">
        <v>53</v>
      </c>
      <c r="L4649" s="53" t="s">
        <v>53</v>
      </c>
    </row>
    <row r="4650" ht="15.75" customHeight="1">
      <c r="A4650" s="53" t="s">
        <v>411</v>
      </c>
      <c r="B4650" s="53" t="s">
        <v>4945</v>
      </c>
      <c r="D4650" s="53" t="s">
        <v>2893</v>
      </c>
      <c r="E4650" s="53" t="s">
        <v>5983</v>
      </c>
      <c r="F4650" s="53" t="s">
        <v>478</v>
      </c>
      <c r="G4650" s="53" t="s">
        <v>2887</v>
      </c>
      <c r="H4650" s="53">
        <v>1.0</v>
      </c>
      <c r="I4650" s="53">
        <v>0.07246376811594203</v>
      </c>
      <c r="J4650" s="53">
        <v>2.0</v>
      </c>
      <c r="K4650" s="53" t="s">
        <v>53</v>
      </c>
      <c r="L4650" s="53" t="s">
        <v>53</v>
      </c>
    </row>
    <row r="4651" ht="15.75" customHeight="1">
      <c r="A4651" s="53" t="s">
        <v>411</v>
      </c>
      <c r="B4651" s="53" t="s">
        <v>4945</v>
      </c>
      <c r="D4651" s="53" t="s">
        <v>2893</v>
      </c>
      <c r="E4651" s="53" t="s">
        <v>5984</v>
      </c>
      <c r="F4651" s="53" t="s">
        <v>478</v>
      </c>
      <c r="G4651" s="53" t="s">
        <v>2899</v>
      </c>
      <c r="H4651" s="53">
        <v>1.0</v>
      </c>
      <c r="I4651" s="53">
        <v>0.07971014492753623</v>
      </c>
      <c r="J4651" s="53">
        <v>7.0</v>
      </c>
      <c r="K4651" s="53" t="s">
        <v>53</v>
      </c>
      <c r="L4651" s="53" t="s">
        <v>53</v>
      </c>
    </row>
    <row r="4652" ht="15.75" customHeight="1">
      <c r="A4652" s="53" t="s">
        <v>411</v>
      </c>
      <c r="B4652" s="53" t="s">
        <v>4945</v>
      </c>
      <c r="D4652" s="53" t="s">
        <v>2893</v>
      </c>
      <c r="E4652" s="53" t="s">
        <v>5985</v>
      </c>
      <c r="F4652" s="53" t="s">
        <v>478</v>
      </c>
      <c r="G4652" s="53" t="s">
        <v>2895</v>
      </c>
      <c r="H4652" s="53">
        <v>1.0</v>
      </c>
      <c r="I4652" s="53">
        <v>0.09420289855072464</v>
      </c>
      <c r="J4652" s="53">
        <v>3.0</v>
      </c>
      <c r="K4652" s="53" t="s">
        <v>53</v>
      </c>
      <c r="L4652" s="53" t="s">
        <v>53</v>
      </c>
    </row>
    <row r="4653" ht="15.75" customHeight="1">
      <c r="A4653" s="53" t="s">
        <v>411</v>
      </c>
      <c r="B4653" s="53" t="s">
        <v>4945</v>
      </c>
      <c r="D4653" s="53" t="s">
        <v>2893</v>
      </c>
      <c r="E4653" s="53" t="s">
        <v>5986</v>
      </c>
      <c r="F4653" s="53" t="s">
        <v>478</v>
      </c>
      <c r="G4653" s="53" t="s">
        <v>2905</v>
      </c>
      <c r="H4653" s="53">
        <v>1.0</v>
      </c>
      <c r="I4653" s="53">
        <v>0.09420289855072464</v>
      </c>
      <c r="J4653" s="53">
        <v>10.0</v>
      </c>
      <c r="K4653" s="53" t="s">
        <v>53</v>
      </c>
      <c r="L4653" s="53" t="s">
        <v>53</v>
      </c>
    </row>
    <row r="4654" ht="15.75" customHeight="1">
      <c r="A4654" s="53" t="s">
        <v>411</v>
      </c>
      <c r="B4654" s="53" t="s">
        <v>4945</v>
      </c>
      <c r="D4654" s="53" t="s">
        <v>2893</v>
      </c>
      <c r="E4654" s="53" t="s">
        <v>5987</v>
      </c>
      <c r="F4654" s="53" t="s">
        <v>478</v>
      </c>
      <c r="G4654" s="53" t="s">
        <v>2901</v>
      </c>
      <c r="H4654" s="53">
        <v>1.0</v>
      </c>
      <c r="I4654" s="53">
        <v>0.09420289855072464</v>
      </c>
      <c r="J4654" s="53">
        <v>4.0</v>
      </c>
      <c r="K4654" s="53" t="s">
        <v>53</v>
      </c>
      <c r="L4654" s="53" t="s">
        <v>53</v>
      </c>
    </row>
    <row r="4655" ht="15.75" customHeight="1">
      <c r="A4655" s="53" t="s">
        <v>411</v>
      </c>
      <c r="B4655" s="53" t="s">
        <v>4945</v>
      </c>
      <c r="D4655" s="53" t="s">
        <v>2893</v>
      </c>
      <c r="E4655" s="53" t="s">
        <v>5988</v>
      </c>
      <c r="F4655" s="53" t="s">
        <v>478</v>
      </c>
      <c r="G4655" s="53" t="s">
        <v>2917</v>
      </c>
      <c r="H4655" s="53">
        <v>1.0</v>
      </c>
      <c r="I4655" s="53">
        <v>0.0979020979020979</v>
      </c>
      <c r="J4655" s="53">
        <v>26.0</v>
      </c>
      <c r="K4655" s="53" t="s">
        <v>53</v>
      </c>
      <c r="L4655" s="53" t="s">
        <v>53</v>
      </c>
    </row>
    <row r="4656" ht="15.75" customHeight="1">
      <c r="A4656" s="53" t="s">
        <v>411</v>
      </c>
      <c r="B4656" s="53" t="s">
        <v>4945</v>
      </c>
      <c r="D4656" s="53" t="s">
        <v>2893</v>
      </c>
      <c r="E4656" s="53" t="s">
        <v>5989</v>
      </c>
      <c r="F4656" s="53" t="s">
        <v>478</v>
      </c>
      <c r="G4656" s="53" t="s">
        <v>2913</v>
      </c>
      <c r="H4656" s="53">
        <v>1.0</v>
      </c>
      <c r="I4656" s="53">
        <v>0.1056338028169014</v>
      </c>
      <c r="J4656" s="53">
        <v>6.0</v>
      </c>
      <c r="K4656" s="53" t="s">
        <v>53</v>
      </c>
      <c r="L4656" s="53" t="s">
        <v>53</v>
      </c>
    </row>
    <row r="4657" ht="15.75" customHeight="1">
      <c r="A4657" s="53" t="s">
        <v>411</v>
      </c>
      <c r="B4657" s="53" t="s">
        <v>4945</v>
      </c>
      <c r="D4657" s="53" t="s">
        <v>2893</v>
      </c>
      <c r="E4657" s="53" t="s">
        <v>5990</v>
      </c>
      <c r="F4657" s="53" t="s">
        <v>478</v>
      </c>
      <c r="G4657" s="53" t="s">
        <v>2915</v>
      </c>
      <c r="H4657" s="53">
        <v>1.0</v>
      </c>
      <c r="I4657" s="53">
        <v>0.1103448275862069</v>
      </c>
      <c r="J4657" s="53">
        <v>17.0</v>
      </c>
      <c r="K4657" s="53" t="s">
        <v>53</v>
      </c>
      <c r="L4657" s="53" t="s">
        <v>53</v>
      </c>
    </row>
    <row r="4658" ht="15.75" customHeight="1">
      <c r="A4658" s="53" t="s">
        <v>411</v>
      </c>
      <c r="B4658" s="53" t="s">
        <v>4945</v>
      </c>
      <c r="D4658" s="53" t="s">
        <v>2893</v>
      </c>
      <c r="E4658" s="53" t="s">
        <v>5991</v>
      </c>
      <c r="F4658" s="53" t="s">
        <v>478</v>
      </c>
      <c r="G4658" s="53" t="s">
        <v>2911</v>
      </c>
      <c r="H4658" s="53">
        <v>1.0</v>
      </c>
      <c r="I4658" s="53">
        <v>0.11267605633802817</v>
      </c>
      <c r="J4658" s="53">
        <v>8.0</v>
      </c>
      <c r="K4658" s="53" t="s">
        <v>53</v>
      </c>
      <c r="L4658" s="53" t="s">
        <v>53</v>
      </c>
    </row>
    <row r="4659" ht="15.75" customHeight="1">
      <c r="A4659" s="53" t="s">
        <v>411</v>
      </c>
      <c r="B4659" s="53" t="s">
        <v>4945</v>
      </c>
      <c r="D4659" s="53" t="s">
        <v>2893</v>
      </c>
      <c r="E4659" s="53" t="s">
        <v>5992</v>
      </c>
      <c r="F4659" s="53" t="s">
        <v>478</v>
      </c>
      <c r="G4659" s="53" t="s">
        <v>2927</v>
      </c>
      <c r="H4659" s="53">
        <v>1.0</v>
      </c>
      <c r="I4659" s="53">
        <v>0.12751677852348994</v>
      </c>
      <c r="J4659" s="53">
        <v>21.0</v>
      </c>
      <c r="K4659" s="53" t="s">
        <v>53</v>
      </c>
      <c r="L4659" s="53" t="s">
        <v>53</v>
      </c>
    </row>
    <row r="4660" ht="15.75" customHeight="1">
      <c r="A4660" s="53" t="s">
        <v>411</v>
      </c>
      <c r="B4660" s="53" t="s">
        <v>4945</v>
      </c>
      <c r="D4660" s="53" t="s">
        <v>2893</v>
      </c>
      <c r="E4660" s="53" t="s">
        <v>5993</v>
      </c>
      <c r="F4660" s="53" t="s">
        <v>478</v>
      </c>
      <c r="G4660" s="53" t="s">
        <v>2925</v>
      </c>
      <c r="H4660" s="53">
        <v>1.0</v>
      </c>
      <c r="I4660" s="53">
        <v>0.13245033112582782</v>
      </c>
      <c r="J4660" s="53">
        <v>24.0</v>
      </c>
      <c r="K4660" s="53" t="s">
        <v>53</v>
      </c>
      <c r="L4660" s="53" t="s">
        <v>53</v>
      </c>
    </row>
    <row r="4661" ht="15.75" customHeight="1">
      <c r="A4661" s="53" t="s">
        <v>411</v>
      </c>
      <c r="B4661" s="53" t="s">
        <v>4945</v>
      </c>
      <c r="D4661" s="53" t="s">
        <v>2893</v>
      </c>
      <c r="E4661" s="53" t="s">
        <v>5994</v>
      </c>
      <c r="F4661" s="53" t="s">
        <v>478</v>
      </c>
      <c r="G4661" s="53" t="s">
        <v>2931</v>
      </c>
      <c r="H4661" s="53">
        <v>1.0</v>
      </c>
      <c r="I4661" s="53">
        <v>0.13815789473684212</v>
      </c>
      <c r="J4661" s="53">
        <v>16.0</v>
      </c>
      <c r="K4661" s="53" t="s">
        <v>53</v>
      </c>
      <c r="L4661" s="53" t="s">
        <v>53</v>
      </c>
    </row>
    <row r="4662" ht="15.75" customHeight="1">
      <c r="A4662" s="53" t="s">
        <v>411</v>
      </c>
      <c r="B4662" s="53" t="s">
        <v>4945</v>
      </c>
      <c r="D4662" s="53" t="s">
        <v>2893</v>
      </c>
      <c r="E4662" s="53" t="s">
        <v>5995</v>
      </c>
      <c r="F4662" s="53" t="s">
        <v>478</v>
      </c>
      <c r="G4662" s="53" t="s">
        <v>2921</v>
      </c>
      <c r="H4662" s="53">
        <v>1.0</v>
      </c>
      <c r="I4662" s="53">
        <v>0.14093959731543623</v>
      </c>
      <c r="J4662" s="53">
        <v>20.0</v>
      </c>
      <c r="K4662" s="53" t="s">
        <v>53</v>
      </c>
      <c r="L4662" s="53" t="s">
        <v>53</v>
      </c>
    </row>
    <row r="4663" ht="15.75" customHeight="1">
      <c r="A4663" s="53" t="s">
        <v>411</v>
      </c>
      <c r="B4663" s="53" t="s">
        <v>4945</v>
      </c>
      <c r="D4663" s="53" t="s">
        <v>2893</v>
      </c>
      <c r="E4663" s="53" t="s">
        <v>5996</v>
      </c>
      <c r="F4663" s="53" t="s">
        <v>478</v>
      </c>
      <c r="G4663" s="53" t="s">
        <v>2923</v>
      </c>
      <c r="H4663" s="53">
        <v>1.0</v>
      </c>
      <c r="I4663" s="53">
        <v>0.14189189189189189</v>
      </c>
      <c r="J4663" s="53">
        <v>18.0</v>
      </c>
      <c r="K4663" s="53" t="s">
        <v>53</v>
      </c>
      <c r="L4663" s="53" t="s">
        <v>53</v>
      </c>
    </row>
    <row r="4664" ht="15.75" customHeight="1">
      <c r="A4664" s="53" t="s">
        <v>411</v>
      </c>
      <c r="B4664" s="53" t="s">
        <v>4945</v>
      </c>
      <c r="D4664" s="53" t="s">
        <v>2893</v>
      </c>
      <c r="E4664" s="53" t="s">
        <v>5997</v>
      </c>
      <c r="F4664" s="53" t="s">
        <v>478</v>
      </c>
      <c r="G4664" s="53" t="s">
        <v>2919</v>
      </c>
      <c r="H4664" s="53">
        <v>1.0</v>
      </c>
      <c r="I4664" s="53">
        <v>0.1456953642384106</v>
      </c>
      <c r="J4664" s="53">
        <v>19.0</v>
      </c>
      <c r="K4664" s="53" t="s">
        <v>53</v>
      </c>
      <c r="L4664" s="53" t="s">
        <v>53</v>
      </c>
    </row>
    <row r="4665" ht="15.75" customHeight="1">
      <c r="A4665" s="53" t="s">
        <v>411</v>
      </c>
      <c r="B4665" s="53" t="s">
        <v>4945</v>
      </c>
      <c r="D4665" s="53" t="s">
        <v>2893</v>
      </c>
      <c r="E4665" s="53" t="s">
        <v>5998</v>
      </c>
      <c r="F4665" s="53" t="s">
        <v>478</v>
      </c>
      <c r="G4665" s="53" t="s">
        <v>2929</v>
      </c>
      <c r="H4665" s="53">
        <v>1.0</v>
      </c>
      <c r="I4665" s="53">
        <v>0.16339869281045752</v>
      </c>
      <c r="J4665" s="53">
        <v>22.0</v>
      </c>
      <c r="K4665" s="53" t="s">
        <v>53</v>
      </c>
      <c r="L4665" s="53" t="s">
        <v>53</v>
      </c>
    </row>
    <row r="4666" ht="15.75" customHeight="1">
      <c r="A4666" s="53" t="s">
        <v>411</v>
      </c>
      <c r="B4666" s="53" t="s">
        <v>4945</v>
      </c>
      <c r="D4666" s="53" t="s">
        <v>2893</v>
      </c>
      <c r="E4666" s="53" t="s">
        <v>5999</v>
      </c>
      <c r="F4666" s="53" t="s">
        <v>478</v>
      </c>
      <c r="G4666" s="53" t="s">
        <v>2933</v>
      </c>
      <c r="H4666" s="53">
        <v>1.0</v>
      </c>
      <c r="I4666" s="53">
        <v>0.18125</v>
      </c>
      <c r="J4666" s="53">
        <v>23.0</v>
      </c>
      <c r="K4666" s="53" t="s">
        <v>53</v>
      </c>
      <c r="L4666" s="53" t="s">
        <v>53</v>
      </c>
    </row>
    <row r="4667" ht="15.75" customHeight="1">
      <c r="A4667" s="53" t="s">
        <v>411</v>
      </c>
      <c r="B4667" s="53" t="s">
        <v>4945</v>
      </c>
      <c r="D4667" s="53" t="s">
        <v>2893</v>
      </c>
      <c r="E4667" s="53" t="s">
        <v>6000</v>
      </c>
      <c r="F4667" s="53" t="s">
        <v>478</v>
      </c>
      <c r="G4667" s="53" t="s">
        <v>2935</v>
      </c>
      <c r="H4667" s="53">
        <v>1.0</v>
      </c>
      <c r="I4667" s="53">
        <v>0.19205298013245034</v>
      </c>
      <c r="J4667" s="53">
        <v>13.0</v>
      </c>
      <c r="K4667" s="53" t="s">
        <v>53</v>
      </c>
      <c r="L4667" s="53" t="s">
        <v>53</v>
      </c>
    </row>
    <row r="4668" ht="15.75" customHeight="1">
      <c r="A4668" s="53" t="s">
        <v>411</v>
      </c>
      <c r="B4668" s="53" t="s">
        <v>4945</v>
      </c>
      <c r="D4668" s="53" t="s">
        <v>2893</v>
      </c>
      <c r="E4668" s="53" t="s">
        <v>6001</v>
      </c>
      <c r="F4668" s="53" t="s">
        <v>478</v>
      </c>
      <c r="G4668" s="53" t="s">
        <v>2937</v>
      </c>
      <c r="H4668" s="53">
        <v>1.0</v>
      </c>
      <c r="I4668" s="53">
        <v>0.2028985507246377</v>
      </c>
      <c r="J4668" s="53">
        <v>31.0</v>
      </c>
      <c r="K4668" s="53" t="s">
        <v>53</v>
      </c>
      <c r="L4668" s="53" t="s">
        <v>53</v>
      </c>
    </row>
    <row r="4669" ht="15.75" customHeight="1">
      <c r="A4669" s="53" t="s">
        <v>411</v>
      </c>
      <c r="B4669" s="53" t="s">
        <v>4945</v>
      </c>
      <c r="D4669" s="53" t="s">
        <v>2893</v>
      </c>
      <c r="E4669" s="53" t="s">
        <v>6002</v>
      </c>
      <c r="F4669" s="53" t="s">
        <v>478</v>
      </c>
      <c r="G4669" s="53" t="s">
        <v>2940</v>
      </c>
      <c r="H4669" s="53">
        <v>1.0</v>
      </c>
      <c r="I4669" s="53">
        <v>0.21739130434782608</v>
      </c>
      <c r="J4669" s="53">
        <v>11.0</v>
      </c>
      <c r="K4669" s="53" t="s">
        <v>53</v>
      </c>
      <c r="L4669" s="53" t="s">
        <v>53</v>
      </c>
    </row>
    <row r="4670" ht="15.75" customHeight="1">
      <c r="A4670" s="53" t="s">
        <v>411</v>
      </c>
      <c r="B4670" s="53" t="s">
        <v>4945</v>
      </c>
      <c r="D4670" s="53" t="s">
        <v>2893</v>
      </c>
      <c r="E4670" s="53" t="s">
        <v>6003</v>
      </c>
      <c r="F4670" s="53" t="s">
        <v>478</v>
      </c>
      <c r="G4670" s="53" t="s">
        <v>2950</v>
      </c>
      <c r="H4670" s="53">
        <v>1.0</v>
      </c>
      <c r="I4670" s="53">
        <v>0.23270440251572327</v>
      </c>
      <c r="J4670" s="53">
        <v>12.0</v>
      </c>
      <c r="K4670" s="53" t="s">
        <v>53</v>
      </c>
      <c r="L4670" s="53" t="s">
        <v>53</v>
      </c>
    </row>
    <row r="4671" ht="15.75" customHeight="1">
      <c r="A4671" s="53" t="s">
        <v>411</v>
      </c>
      <c r="B4671" s="53" t="s">
        <v>4945</v>
      </c>
      <c r="D4671" s="53" t="s">
        <v>2893</v>
      </c>
      <c r="E4671" s="53" t="s">
        <v>6004</v>
      </c>
      <c r="F4671" s="53" t="s">
        <v>478</v>
      </c>
      <c r="G4671" s="53" t="s">
        <v>2942</v>
      </c>
      <c r="H4671" s="53">
        <v>1.0</v>
      </c>
      <c r="I4671" s="53">
        <v>0.2357142857142857</v>
      </c>
      <c r="J4671" s="53">
        <v>32.0</v>
      </c>
      <c r="K4671" s="53" t="s">
        <v>53</v>
      </c>
      <c r="L4671" s="53" t="s">
        <v>53</v>
      </c>
    </row>
    <row r="4672" ht="15.75" customHeight="1">
      <c r="A4672" s="53" t="s">
        <v>411</v>
      </c>
      <c r="B4672" s="53" t="s">
        <v>4945</v>
      </c>
      <c r="D4672" s="53" t="s">
        <v>2893</v>
      </c>
      <c r="E4672" s="53" t="s">
        <v>6005</v>
      </c>
      <c r="F4672" s="53" t="s">
        <v>478</v>
      </c>
      <c r="G4672" s="53" t="s">
        <v>2948</v>
      </c>
      <c r="H4672" s="53">
        <v>1.0</v>
      </c>
      <c r="I4672" s="53">
        <v>0.24647887323943662</v>
      </c>
      <c r="J4672" s="53">
        <v>30.0</v>
      </c>
      <c r="K4672" s="53" t="s">
        <v>53</v>
      </c>
      <c r="L4672" s="53" t="s">
        <v>53</v>
      </c>
    </row>
    <row r="4673" ht="15.75" customHeight="1">
      <c r="A4673" s="53" t="s">
        <v>411</v>
      </c>
      <c r="B4673" s="53" t="s">
        <v>4945</v>
      </c>
      <c r="D4673" s="53" t="s">
        <v>2893</v>
      </c>
      <c r="E4673" s="53" t="s">
        <v>6006</v>
      </c>
      <c r="F4673" s="53" t="s">
        <v>478</v>
      </c>
      <c r="G4673" s="53" t="s">
        <v>2944</v>
      </c>
      <c r="H4673" s="53">
        <v>1.0</v>
      </c>
      <c r="I4673" s="53">
        <v>0.2484472049689441</v>
      </c>
      <c r="J4673" s="53">
        <v>15.0</v>
      </c>
      <c r="K4673" s="53" t="s">
        <v>53</v>
      </c>
      <c r="L4673" s="53" t="s">
        <v>53</v>
      </c>
    </row>
    <row r="4674" ht="15.75" customHeight="1">
      <c r="A4674" s="53" t="s">
        <v>411</v>
      </c>
      <c r="B4674" s="53" t="s">
        <v>4945</v>
      </c>
      <c r="D4674" s="53" t="s">
        <v>2893</v>
      </c>
      <c r="E4674" s="53" t="s">
        <v>6007</v>
      </c>
      <c r="F4674" s="53" t="s">
        <v>478</v>
      </c>
      <c r="G4674" s="53" t="s">
        <v>2954</v>
      </c>
      <c r="H4674" s="53">
        <v>1.0</v>
      </c>
      <c r="I4674" s="53">
        <v>0.2605633802816901</v>
      </c>
      <c r="J4674" s="53">
        <v>9.0</v>
      </c>
      <c r="K4674" s="53" t="s">
        <v>53</v>
      </c>
      <c r="L4674" s="53" t="s">
        <v>53</v>
      </c>
    </row>
    <row r="4675" ht="15.75" customHeight="1">
      <c r="A4675" s="53" t="s">
        <v>411</v>
      </c>
      <c r="B4675" s="53" t="s">
        <v>4945</v>
      </c>
      <c r="D4675" s="53" t="s">
        <v>2893</v>
      </c>
      <c r="E4675" s="53" t="s">
        <v>6008</v>
      </c>
      <c r="F4675" s="53" t="s">
        <v>478</v>
      </c>
      <c r="G4675" s="53" t="s">
        <v>485</v>
      </c>
      <c r="H4675" s="53">
        <v>1.0</v>
      </c>
      <c r="I4675" s="53">
        <v>0.2638888888888889</v>
      </c>
      <c r="J4675" s="53">
        <v>27.0</v>
      </c>
      <c r="K4675" s="53" t="s">
        <v>53</v>
      </c>
      <c r="L4675" s="53" t="s">
        <v>53</v>
      </c>
    </row>
    <row r="4676" ht="15.75" customHeight="1">
      <c r="A4676" s="53" t="s">
        <v>411</v>
      </c>
      <c r="B4676" s="53" t="s">
        <v>4945</v>
      </c>
      <c r="D4676" s="53" t="s">
        <v>2893</v>
      </c>
      <c r="E4676" s="53" t="s">
        <v>6009</v>
      </c>
      <c r="F4676" s="53" t="s">
        <v>478</v>
      </c>
      <c r="G4676" s="53" t="s">
        <v>474</v>
      </c>
      <c r="H4676" s="53">
        <v>1.0</v>
      </c>
      <c r="I4676" s="53">
        <v>0.273972602739726</v>
      </c>
      <c r="J4676" s="53">
        <v>28.0</v>
      </c>
      <c r="K4676" s="53" t="s">
        <v>53</v>
      </c>
      <c r="L4676" s="53" t="s">
        <v>53</v>
      </c>
    </row>
    <row r="4677" ht="15.75" customHeight="1">
      <c r="A4677" s="53" t="s">
        <v>411</v>
      </c>
      <c r="B4677" s="53" t="s">
        <v>4945</v>
      </c>
      <c r="D4677" s="53" t="s">
        <v>2893</v>
      </c>
      <c r="E4677" s="53" t="s">
        <v>6010</v>
      </c>
      <c r="F4677" s="53" t="s">
        <v>478</v>
      </c>
      <c r="G4677" s="53" t="s">
        <v>495</v>
      </c>
      <c r="H4677" s="53">
        <v>1.0</v>
      </c>
      <c r="I4677" s="53">
        <v>0.2826086956521739</v>
      </c>
      <c r="J4677" s="53">
        <v>29.0</v>
      </c>
      <c r="K4677" s="53" t="s">
        <v>53</v>
      </c>
      <c r="L4677" s="53" t="s">
        <v>53</v>
      </c>
    </row>
    <row r="4678" ht="15.75" customHeight="1">
      <c r="A4678" s="53" t="s">
        <v>411</v>
      </c>
      <c r="B4678" s="53" t="s">
        <v>4945</v>
      </c>
      <c r="D4678" s="53" t="s">
        <v>2893</v>
      </c>
      <c r="E4678" s="53" t="s">
        <v>6011</v>
      </c>
      <c r="F4678" s="53" t="s">
        <v>478</v>
      </c>
      <c r="G4678" s="53" t="s">
        <v>2957</v>
      </c>
      <c r="H4678" s="53">
        <v>1.0</v>
      </c>
      <c r="I4678" s="53">
        <v>0.2909090909090909</v>
      </c>
      <c r="J4678" s="53">
        <v>14.0</v>
      </c>
      <c r="K4678" s="53" t="s">
        <v>53</v>
      </c>
      <c r="L4678" s="53" t="s">
        <v>53</v>
      </c>
    </row>
    <row r="4679" ht="15.75" customHeight="1">
      <c r="A4679" s="53" t="s">
        <v>411</v>
      </c>
      <c r="B4679" s="53" t="s">
        <v>4945</v>
      </c>
      <c r="D4679" s="53" t="s">
        <v>2897</v>
      </c>
      <c r="E4679" s="53" t="s">
        <v>6012</v>
      </c>
      <c r="F4679" s="53" t="s">
        <v>478</v>
      </c>
      <c r="G4679" s="53" t="s">
        <v>2891</v>
      </c>
      <c r="H4679" s="53">
        <v>1.0</v>
      </c>
      <c r="I4679" s="53">
        <v>0.014492753623188406</v>
      </c>
      <c r="J4679" s="53">
        <v>0.0</v>
      </c>
      <c r="K4679" s="53" t="s">
        <v>53</v>
      </c>
      <c r="L4679" s="53" t="s">
        <v>53</v>
      </c>
    </row>
    <row r="4680" ht="15.75" customHeight="1">
      <c r="A4680" s="53" t="s">
        <v>411</v>
      </c>
      <c r="B4680" s="53" t="s">
        <v>4945</v>
      </c>
      <c r="D4680" s="53" t="s">
        <v>2897</v>
      </c>
      <c r="E4680" s="53" t="s">
        <v>6013</v>
      </c>
      <c r="F4680" s="53" t="s">
        <v>478</v>
      </c>
      <c r="G4680" s="53" t="s">
        <v>2889</v>
      </c>
      <c r="H4680" s="53">
        <v>1.0</v>
      </c>
      <c r="I4680" s="53">
        <v>0.06569343065693431</v>
      </c>
      <c r="J4680" s="53">
        <v>4.0</v>
      </c>
      <c r="K4680" s="53" t="s">
        <v>53</v>
      </c>
      <c r="L4680" s="53" t="s">
        <v>53</v>
      </c>
    </row>
    <row r="4681" ht="15.75" customHeight="1">
      <c r="A4681" s="53" t="s">
        <v>411</v>
      </c>
      <c r="B4681" s="53" t="s">
        <v>4945</v>
      </c>
      <c r="D4681" s="53" t="s">
        <v>2897</v>
      </c>
      <c r="E4681" s="53" t="s">
        <v>6014</v>
      </c>
      <c r="F4681" s="53" t="s">
        <v>478</v>
      </c>
      <c r="G4681" s="53" t="s">
        <v>2907</v>
      </c>
      <c r="H4681" s="53">
        <v>1.0</v>
      </c>
      <c r="I4681" s="53">
        <v>0.07194244604316546</v>
      </c>
      <c r="J4681" s="53">
        <v>24.0</v>
      </c>
      <c r="K4681" s="53" t="s">
        <v>53</v>
      </c>
      <c r="L4681" s="53" t="s">
        <v>53</v>
      </c>
    </row>
    <row r="4682" ht="15.75" customHeight="1">
      <c r="A4682" s="53" t="s">
        <v>411</v>
      </c>
      <c r="B4682" s="53" t="s">
        <v>4945</v>
      </c>
      <c r="D4682" s="53" t="s">
        <v>2897</v>
      </c>
      <c r="E4682" s="53" t="s">
        <v>6015</v>
      </c>
      <c r="F4682" s="53" t="s">
        <v>478</v>
      </c>
      <c r="G4682" s="53" t="s">
        <v>2887</v>
      </c>
      <c r="H4682" s="53">
        <v>1.0</v>
      </c>
      <c r="I4682" s="53">
        <v>0.072992700729927</v>
      </c>
      <c r="J4682" s="53">
        <v>1.0</v>
      </c>
      <c r="K4682" s="53" t="s">
        <v>53</v>
      </c>
      <c r="L4682" s="53" t="s">
        <v>53</v>
      </c>
    </row>
    <row r="4683" ht="15.75" customHeight="1">
      <c r="A4683" s="53" t="s">
        <v>411</v>
      </c>
      <c r="B4683" s="53" t="s">
        <v>4945</v>
      </c>
      <c r="D4683" s="53" t="s">
        <v>2897</v>
      </c>
      <c r="E4683" s="53" t="s">
        <v>6016</v>
      </c>
      <c r="F4683" s="53" t="s">
        <v>478</v>
      </c>
      <c r="G4683" s="53" t="s">
        <v>2899</v>
      </c>
      <c r="H4683" s="53">
        <v>1.0</v>
      </c>
      <c r="I4683" s="53">
        <v>0.08029197080291971</v>
      </c>
      <c r="J4683" s="53">
        <v>6.0</v>
      </c>
      <c r="K4683" s="53" t="s">
        <v>53</v>
      </c>
      <c r="L4683" s="53" t="s">
        <v>53</v>
      </c>
    </row>
    <row r="4684" ht="15.75" customHeight="1">
      <c r="A4684" s="53" t="s">
        <v>411</v>
      </c>
      <c r="B4684" s="53" t="s">
        <v>4945</v>
      </c>
      <c r="D4684" s="53" t="s">
        <v>2897</v>
      </c>
      <c r="E4684" s="53" t="s">
        <v>6017</v>
      </c>
      <c r="F4684" s="53" t="s">
        <v>478</v>
      </c>
      <c r="G4684" s="53" t="s">
        <v>2895</v>
      </c>
      <c r="H4684" s="53">
        <v>1.0</v>
      </c>
      <c r="I4684" s="53">
        <v>0.08759124087591241</v>
      </c>
      <c r="J4684" s="53">
        <v>2.0</v>
      </c>
      <c r="K4684" s="53" t="s">
        <v>53</v>
      </c>
      <c r="L4684" s="53" t="s">
        <v>53</v>
      </c>
    </row>
    <row r="4685" ht="15.75" customHeight="1">
      <c r="A4685" s="53" t="s">
        <v>411</v>
      </c>
      <c r="B4685" s="53" t="s">
        <v>4945</v>
      </c>
      <c r="D4685" s="53" t="s">
        <v>2897</v>
      </c>
      <c r="E4685" s="53" t="s">
        <v>6018</v>
      </c>
      <c r="F4685" s="53" t="s">
        <v>478</v>
      </c>
      <c r="G4685" s="53" t="s">
        <v>2905</v>
      </c>
      <c r="H4685" s="53">
        <v>1.0</v>
      </c>
      <c r="I4685" s="53">
        <v>0.08759124087591241</v>
      </c>
      <c r="J4685" s="53">
        <v>9.0</v>
      </c>
      <c r="K4685" s="53" t="s">
        <v>53</v>
      </c>
      <c r="L4685" s="53" t="s">
        <v>53</v>
      </c>
    </row>
    <row r="4686" ht="15.75" customHeight="1">
      <c r="A4686" s="53" t="s">
        <v>411</v>
      </c>
      <c r="B4686" s="53" t="s">
        <v>4945</v>
      </c>
      <c r="D4686" s="53" t="s">
        <v>2897</v>
      </c>
      <c r="E4686" s="53" t="s">
        <v>6019</v>
      </c>
      <c r="F4686" s="53" t="s">
        <v>478</v>
      </c>
      <c r="G4686" s="53" t="s">
        <v>2901</v>
      </c>
      <c r="H4686" s="53">
        <v>1.0</v>
      </c>
      <c r="I4686" s="53">
        <v>0.08759124087591241</v>
      </c>
      <c r="J4686" s="53">
        <v>3.0</v>
      </c>
      <c r="K4686" s="53" t="s">
        <v>53</v>
      </c>
      <c r="L4686" s="53" t="s">
        <v>53</v>
      </c>
    </row>
    <row r="4687" ht="15.75" customHeight="1">
      <c r="A4687" s="53" t="s">
        <v>411</v>
      </c>
      <c r="B4687" s="53" t="s">
        <v>4945</v>
      </c>
      <c r="D4687" s="53" t="s">
        <v>2897</v>
      </c>
      <c r="E4687" s="53" t="s">
        <v>6020</v>
      </c>
      <c r="F4687" s="53" t="s">
        <v>478</v>
      </c>
      <c r="G4687" s="53" t="s">
        <v>2917</v>
      </c>
      <c r="H4687" s="53">
        <v>1.0</v>
      </c>
      <c r="I4687" s="53">
        <v>0.0979020979020979</v>
      </c>
      <c r="J4687" s="53">
        <v>25.0</v>
      </c>
      <c r="K4687" s="53" t="s">
        <v>53</v>
      </c>
      <c r="L4687" s="53" t="s">
        <v>53</v>
      </c>
    </row>
    <row r="4688" ht="15.75" customHeight="1">
      <c r="A4688" s="53" t="s">
        <v>411</v>
      </c>
      <c r="B4688" s="53" t="s">
        <v>4945</v>
      </c>
      <c r="D4688" s="53" t="s">
        <v>2897</v>
      </c>
      <c r="E4688" s="53" t="s">
        <v>6021</v>
      </c>
      <c r="F4688" s="53" t="s">
        <v>478</v>
      </c>
      <c r="G4688" s="53" t="s">
        <v>2913</v>
      </c>
      <c r="H4688" s="53">
        <v>1.0</v>
      </c>
      <c r="I4688" s="53">
        <v>0.09859154929577464</v>
      </c>
      <c r="J4688" s="53">
        <v>5.0</v>
      </c>
      <c r="K4688" s="53" t="s">
        <v>53</v>
      </c>
      <c r="L4688" s="53" t="s">
        <v>53</v>
      </c>
    </row>
    <row r="4689" ht="15.75" customHeight="1">
      <c r="A4689" s="53" t="s">
        <v>411</v>
      </c>
      <c r="B4689" s="53" t="s">
        <v>4945</v>
      </c>
      <c r="D4689" s="53" t="s">
        <v>2897</v>
      </c>
      <c r="E4689" s="53" t="s">
        <v>6022</v>
      </c>
      <c r="F4689" s="53" t="s">
        <v>478</v>
      </c>
      <c r="G4689" s="53" t="s">
        <v>2911</v>
      </c>
      <c r="H4689" s="53">
        <v>1.0</v>
      </c>
      <c r="I4689" s="53">
        <v>0.11267605633802817</v>
      </c>
      <c r="J4689" s="53">
        <v>7.0</v>
      </c>
      <c r="K4689" s="53" t="s">
        <v>53</v>
      </c>
      <c r="L4689" s="53" t="s">
        <v>53</v>
      </c>
    </row>
    <row r="4690" ht="15.75" customHeight="1">
      <c r="A4690" s="53" t="s">
        <v>411</v>
      </c>
      <c r="B4690" s="53" t="s">
        <v>4945</v>
      </c>
      <c r="D4690" s="53" t="s">
        <v>2897</v>
      </c>
      <c r="E4690" s="53" t="s">
        <v>6023</v>
      </c>
      <c r="F4690" s="53" t="s">
        <v>478</v>
      </c>
      <c r="G4690" s="53" t="s">
        <v>2915</v>
      </c>
      <c r="H4690" s="53">
        <v>1.0</v>
      </c>
      <c r="I4690" s="53">
        <v>0.11724137931034483</v>
      </c>
      <c r="J4690" s="53">
        <v>16.0</v>
      </c>
      <c r="K4690" s="53" t="s">
        <v>53</v>
      </c>
      <c r="L4690" s="53" t="s">
        <v>53</v>
      </c>
    </row>
    <row r="4691" ht="15.75" customHeight="1">
      <c r="A4691" s="53" t="s">
        <v>411</v>
      </c>
      <c r="B4691" s="53" t="s">
        <v>4945</v>
      </c>
      <c r="D4691" s="53" t="s">
        <v>2897</v>
      </c>
      <c r="E4691" s="53" t="s">
        <v>6024</v>
      </c>
      <c r="F4691" s="53" t="s">
        <v>478</v>
      </c>
      <c r="G4691" s="53" t="s">
        <v>2927</v>
      </c>
      <c r="H4691" s="53">
        <v>1.0</v>
      </c>
      <c r="I4691" s="53">
        <v>0.1342281879194631</v>
      </c>
      <c r="J4691" s="53">
        <v>20.0</v>
      </c>
      <c r="K4691" s="53" t="s">
        <v>53</v>
      </c>
      <c r="L4691" s="53" t="s">
        <v>53</v>
      </c>
    </row>
    <row r="4692" ht="15.75" customHeight="1">
      <c r="A4692" s="53" t="s">
        <v>411</v>
      </c>
      <c r="B4692" s="53" t="s">
        <v>4945</v>
      </c>
      <c r="D4692" s="53" t="s">
        <v>2897</v>
      </c>
      <c r="E4692" s="53" t="s">
        <v>6025</v>
      </c>
      <c r="F4692" s="53" t="s">
        <v>478</v>
      </c>
      <c r="G4692" s="53" t="s">
        <v>2923</v>
      </c>
      <c r="H4692" s="53">
        <v>1.0</v>
      </c>
      <c r="I4692" s="53">
        <v>0.13513513513513514</v>
      </c>
      <c r="J4692" s="53">
        <v>17.0</v>
      </c>
      <c r="K4692" s="53" t="s">
        <v>53</v>
      </c>
      <c r="L4692" s="53" t="s">
        <v>53</v>
      </c>
    </row>
    <row r="4693" ht="15.75" customHeight="1">
      <c r="A4693" s="53" t="s">
        <v>411</v>
      </c>
      <c r="B4693" s="53" t="s">
        <v>4945</v>
      </c>
      <c r="D4693" s="53" t="s">
        <v>2897</v>
      </c>
      <c r="E4693" s="53" t="s">
        <v>6026</v>
      </c>
      <c r="F4693" s="53" t="s">
        <v>478</v>
      </c>
      <c r="G4693" s="53" t="s">
        <v>2931</v>
      </c>
      <c r="H4693" s="53">
        <v>1.0</v>
      </c>
      <c r="I4693" s="53">
        <v>0.13815789473684212</v>
      </c>
      <c r="J4693" s="53">
        <v>15.0</v>
      </c>
      <c r="K4693" s="53" t="s">
        <v>53</v>
      </c>
      <c r="L4693" s="53" t="s">
        <v>53</v>
      </c>
    </row>
    <row r="4694" ht="15.75" customHeight="1">
      <c r="A4694" s="53" t="s">
        <v>411</v>
      </c>
      <c r="B4694" s="53" t="s">
        <v>4945</v>
      </c>
      <c r="D4694" s="53" t="s">
        <v>2897</v>
      </c>
      <c r="E4694" s="53" t="s">
        <v>6027</v>
      </c>
      <c r="F4694" s="53" t="s">
        <v>478</v>
      </c>
      <c r="G4694" s="53" t="s">
        <v>2921</v>
      </c>
      <c r="H4694" s="53">
        <v>1.0</v>
      </c>
      <c r="I4694" s="53">
        <v>0.14093959731543623</v>
      </c>
      <c r="J4694" s="53">
        <v>19.0</v>
      </c>
      <c r="K4694" s="53" t="s">
        <v>53</v>
      </c>
      <c r="L4694" s="53" t="s">
        <v>53</v>
      </c>
    </row>
    <row r="4695" ht="15.75" customHeight="1">
      <c r="A4695" s="53" t="s">
        <v>411</v>
      </c>
      <c r="B4695" s="53" t="s">
        <v>4945</v>
      </c>
      <c r="D4695" s="53" t="s">
        <v>2897</v>
      </c>
      <c r="E4695" s="53" t="s">
        <v>6028</v>
      </c>
      <c r="F4695" s="53" t="s">
        <v>478</v>
      </c>
      <c r="G4695" s="53" t="s">
        <v>2925</v>
      </c>
      <c r="H4695" s="53">
        <v>1.0</v>
      </c>
      <c r="I4695" s="53">
        <v>0.1456953642384106</v>
      </c>
      <c r="J4695" s="53">
        <v>23.0</v>
      </c>
      <c r="K4695" s="53" t="s">
        <v>53</v>
      </c>
      <c r="L4695" s="53" t="s">
        <v>53</v>
      </c>
    </row>
    <row r="4696" ht="15.75" customHeight="1">
      <c r="A4696" s="53" t="s">
        <v>411</v>
      </c>
      <c r="B4696" s="53" t="s">
        <v>4945</v>
      </c>
      <c r="D4696" s="53" t="s">
        <v>2897</v>
      </c>
      <c r="E4696" s="53" t="s">
        <v>6029</v>
      </c>
      <c r="F4696" s="53" t="s">
        <v>478</v>
      </c>
      <c r="G4696" s="53" t="s">
        <v>2919</v>
      </c>
      <c r="H4696" s="53">
        <v>1.0</v>
      </c>
      <c r="I4696" s="53">
        <v>0.152317880794702</v>
      </c>
      <c r="J4696" s="53">
        <v>18.0</v>
      </c>
      <c r="K4696" s="53" t="s">
        <v>53</v>
      </c>
      <c r="L4696" s="53" t="s">
        <v>53</v>
      </c>
    </row>
    <row r="4697" ht="15.75" customHeight="1">
      <c r="A4697" s="53" t="s">
        <v>411</v>
      </c>
      <c r="B4697" s="53" t="s">
        <v>4945</v>
      </c>
      <c r="D4697" s="53" t="s">
        <v>2897</v>
      </c>
      <c r="E4697" s="53" t="s">
        <v>6030</v>
      </c>
      <c r="F4697" s="53" t="s">
        <v>478</v>
      </c>
      <c r="G4697" s="53" t="s">
        <v>2929</v>
      </c>
      <c r="H4697" s="53">
        <v>1.0</v>
      </c>
      <c r="I4697" s="53">
        <v>0.16339869281045752</v>
      </c>
      <c r="J4697" s="53">
        <v>21.0</v>
      </c>
      <c r="K4697" s="53" t="s">
        <v>53</v>
      </c>
      <c r="L4697" s="53" t="s">
        <v>53</v>
      </c>
    </row>
    <row r="4698" ht="15.75" customHeight="1">
      <c r="A4698" s="53" t="s">
        <v>411</v>
      </c>
      <c r="B4698" s="53" t="s">
        <v>4945</v>
      </c>
      <c r="D4698" s="53" t="s">
        <v>2897</v>
      </c>
      <c r="E4698" s="53" t="s">
        <v>6031</v>
      </c>
      <c r="F4698" s="53" t="s">
        <v>478</v>
      </c>
      <c r="G4698" s="53" t="s">
        <v>2935</v>
      </c>
      <c r="H4698" s="53">
        <v>1.0</v>
      </c>
      <c r="I4698" s="53">
        <v>0.17880794701986755</v>
      </c>
      <c r="J4698" s="53">
        <v>12.0</v>
      </c>
      <c r="K4698" s="53" t="s">
        <v>53</v>
      </c>
      <c r="L4698" s="53" t="s">
        <v>53</v>
      </c>
    </row>
    <row r="4699" ht="15.75" customHeight="1">
      <c r="A4699" s="53" t="s">
        <v>411</v>
      </c>
      <c r="B4699" s="53" t="s">
        <v>4945</v>
      </c>
      <c r="D4699" s="53" t="s">
        <v>2897</v>
      </c>
      <c r="E4699" s="53" t="s">
        <v>6032</v>
      </c>
      <c r="F4699" s="53" t="s">
        <v>478</v>
      </c>
      <c r="G4699" s="53" t="s">
        <v>2933</v>
      </c>
      <c r="H4699" s="53">
        <v>1.0</v>
      </c>
      <c r="I4699" s="53">
        <v>0.19375</v>
      </c>
      <c r="J4699" s="53">
        <v>22.0</v>
      </c>
      <c r="K4699" s="53" t="s">
        <v>53</v>
      </c>
      <c r="L4699" s="53" t="s">
        <v>53</v>
      </c>
    </row>
    <row r="4700" ht="15.75" customHeight="1">
      <c r="A4700" s="53" t="s">
        <v>411</v>
      </c>
      <c r="B4700" s="53" t="s">
        <v>4945</v>
      </c>
      <c r="D4700" s="53" t="s">
        <v>2897</v>
      </c>
      <c r="E4700" s="53" t="s">
        <v>6033</v>
      </c>
      <c r="F4700" s="53" t="s">
        <v>478</v>
      </c>
      <c r="G4700" s="53" t="s">
        <v>2937</v>
      </c>
      <c r="H4700" s="53">
        <v>1.0</v>
      </c>
      <c r="I4700" s="53">
        <v>0.19708029197080293</v>
      </c>
      <c r="J4700" s="53">
        <v>30.0</v>
      </c>
      <c r="K4700" s="53" t="s">
        <v>53</v>
      </c>
      <c r="L4700" s="53" t="s">
        <v>53</v>
      </c>
    </row>
    <row r="4701" ht="15.75" customHeight="1">
      <c r="A4701" s="53" t="s">
        <v>411</v>
      </c>
      <c r="B4701" s="53" t="s">
        <v>4945</v>
      </c>
      <c r="D4701" s="53" t="s">
        <v>2897</v>
      </c>
      <c r="E4701" s="53" t="s">
        <v>6034</v>
      </c>
      <c r="F4701" s="53" t="s">
        <v>478</v>
      </c>
      <c r="G4701" s="53" t="s">
        <v>2940</v>
      </c>
      <c r="H4701" s="53">
        <v>1.0</v>
      </c>
      <c r="I4701" s="53">
        <v>0.20437956204379562</v>
      </c>
      <c r="J4701" s="53">
        <v>10.0</v>
      </c>
      <c r="K4701" s="53" t="s">
        <v>53</v>
      </c>
      <c r="L4701" s="53" t="s">
        <v>53</v>
      </c>
    </row>
    <row r="4702" ht="15.75" customHeight="1">
      <c r="A4702" s="53" t="s">
        <v>411</v>
      </c>
      <c r="B4702" s="53" t="s">
        <v>4945</v>
      </c>
      <c r="D4702" s="53" t="s">
        <v>2897</v>
      </c>
      <c r="E4702" s="53" t="s">
        <v>6035</v>
      </c>
      <c r="F4702" s="53" t="s">
        <v>478</v>
      </c>
      <c r="G4702" s="53" t="s">
        <v>2942</v>
      </c>
      <c r="H4702" s="53">
        <v>1.0</v>
      </c>
      <c r="I4702" s="53">
        <v>0.22857142857142856</v>
      </c>
      <c r="J4702" s="53">
        <v>31.0</v>
      </c>
      <c r="K4702" s="53" t="s">
        <v>53</v>
      </c>
      <c r="L4702" s="53" t="s">
        <v>53</v>
      </c>
    </row>
    <row r="4703" ht="15.75" customHeight="1">
      <c r="A4703" s="53" t="s">
        <v>411</v>
      </c>
      <c r="B4703" s="53" t="s">
        <v>4945</v>
      </c>
      <c r="D4703" s="53" t="s">
        <v>2897</v>
      </c>
      <c r="E4703" s="53" t="s">
        <v>6036</v>
      </c>
      <c r="F4703" s="53" t="s">
        <v>478</v>
      </c>
      <c r="G4703" s="53" t="s">
        <v>2950</v>
      </c>
      <c r="H4703" s="53">
        <v>1.0</v>
      </c>
      <c r="I4703" s="53">
        <v>0.23270440251572327</v>
      </c>
      <c r="J4703" s="53">
        <v>11.0</v>
      </c>
      <c r="K4703" s="53" t="s">
        <v>53</v>
      </c>
      <c r="L4703" s="53" t="s">
        <v>53</v>
      </c>
    </row>
    <row r="4704" ht="15.75" customHeight="1">
      <c r="A4704" s="53" t="s">
        <v>411</v>
      </c>
      <c r="B4704" s="53" t="s">
        <v>4945</v>
      </c>
      <c r="D4704" s="53" t="s">
        <v>2897</v>
      </c>
      <c r="E4704" s="53" t="s">
        <v>6037</v>
      </c>
      <c r="F4704" s="53" t="s">
        <v>478</v>
      </c>
      <c r="G4704" s="53" t="s">
        <v>2948</v>
      </c>
      <c r="H4704" s="53">
        <v>1.0</v>
      </c>
      <c r="I4704" s="53">
        <v>0.24647887323943662</v>
      </c>
      <c r="J4704" s="53">
        <v>29.0</v>
      </c>
      <c r="K4704" s="53" t="s">
        <v>53</v>
      </c>
      <c r="L4704" s="53" t="s">
        <v>53</v>
      </c>
    </row>
    <row r="4705" ht="15.75" customHeight="1">
      <c r="A4705" s="53" t="s">
        <v>411</v>
      </c>
      <c r="B4705" s="53" t="s">
        <v>4945</v>
      </c>
      <c r="D4705" s="53" t="s">
        <v>2897</v>
      </c>
      <c r="E4705" s="53" t="s">
        <v>6038</v>
      </c>
      <c r="F4705" s="53" t="s">
        <v>478</v>
      </c>
      <c r="G4705" s="53" t="s">
        <v>2944</v>
      </c>
      <c r="H4705" s="53">
        <v>1.0</v>
      </c>
      <c r="I4705" s="53">
        <v>0.2484472049689441</v>
      </c>
      <c r="J4705" s="53">
        <v>14.0</v>
      </c>
      <c r="K4705" s="53" t="s">
        <v>53</v>
      </c>
      <c r="L4705" s="53" t="s">
        <v>53</v>
      </c>
    </row>
    <row r="4706" ht="15.75" customHeight="1">
      <c r="A4706" s="53" t="s">
        <v>411</v>
      </c>
      <c r="B4706" s="53" t="s">
        <v>4945</v>
      </c>
      <c r="D4706" s="53" t="s">
        <v>2897</v>
      </c>
      <c r="E4706" s="53" t="s">
        <v>6039</v>
      </c>
      <c r="F4706" s="53" t="s">
        <v>478</v>
      </c>
      <c r="G4706" s="53" t="s">
        <v>2954</v>
      </c>
      <c r="H4706" s="53">
        <v>1.0</v>
      </c>
      <c r="I4706" s="53">
        <v>0.2605633802816901</v>
      </c>
      <c r="J4706" s="53">
        <v>8.0</v>
      </c>
      <c r="K4706" s="53" t="s">
        <v>53</v>
      </c>
      <c r="L4706" s="53" t="s">
        <v>53</v>
      </c>
    </row>
    <row r="4707" ht="15.75" customHeight="1">
      <c r="A4707" s="53" t="s">
        <v>411</v>
      </c>
      <c r="B4707" s="53" t="s">
        <v>4945</v>
      </c>
      <c r="D4707" s="53" t="s">
        <v>2897</v>
      </c>
      <c r="E4707" s="53" t="s">
        <v>6040</v>
      </c>
      <c r="F4707" s="53" t="s">
        <v>478</v>
      </c>
      <c r="G4707" s="53" t="s">
        <v>485</v>
      </c>
      <c r="H4707" s="53">
        <v>1.0</v>
      </c>
      <c r="I4707" s="53">
        <v>0.2638888888888889</v>
      </c>
      <c r="J4707" s="53">
        <v>26.0</v>
      </c>
      <c r="K4707" s="53" t="s">
        <v>53</v>
      </c>
      <c r="L4707" s="53" t="s">
        <v>53</v>
      </c>
    </row>
    <row r="4708" ht="15.75" customHeight="1">
      <c r="A4708" s="53" t="s">
        <v>411</v>
      </c>
      <c r="B4708" s="53" t="s">
        <v>4945</v>
      </c>
      <c r="D4708" s="53" t="s">
        <v>2897</v>
      </c>
      <c r="E4708" s="53" t="s">
        <v>6041</v>
      </c>
      <c r="F4708" s="53" t="s">
        <v>478</v>
      </c>
      <c r="G4708" s="53" t="s">
        <v>474</v>
      </c>
      <c r="H4708" s="53">
        <v>1.0</v>
      </c>
      <c r="I4708" s="53">
        <v>0.273972602739726</v>
      </c>
      <c r="J4708" s="53">
        <v>27.0</v>
      </c>
      <c r="K4708" s="53" t="s">
        <v>53</v>
      </c>
      <c r="L4708" s="53" t="s">
        <v>53</v>
      </c>
    </row>
    <row r="4709" ht="15.75" customHeight="1">
      <c r="A4709" s="53" t="s">
        <v>411</v>
      </c>
      <c r="B4709" s="53" t="s">
        <v>4945</v>
      </c>
      <c r="D4709" s="53" t="s">
        <v>2897</v>
      </c>
      <c r="E4709" s="53" t="s">
        <v>6042</v>
      </c>
      <c r="F4709" s="53" t="s">
        <v>478</v>
      </c>
      <c r="G4709" s="53" t="s">
        <v>495</v>
      </c>
      <c r="H4709" s="53">
        <v>1.0</v>
      </c>
      <c r="I4709" s="53">
        <v>0.2753623188405797</v>
      </c>
      <c r="J4709" s="53">
        <v>28.0</v>
      </c>
      <c r="K4709" s="53" t="s">
        <v>53</v>
      </c>
      <c r="L4709" s="53" t="s">
        <v>53</v>
      </c>
    </row>
    <row r="4710" ht="15.75" customHeight="1">
      <c r="A4710" s="53" t="s">
        <v>411</v>
      </c>
      <c r="B4710" s="53" t="s">
        <v>4945</v>
      </c>
      <c r="D4710" s="53" t="s">
        <v>2897</v>
      </c>
      <c r="E4710" s="53" t="s">
        <v>6043</v>
      </c>
      <c r="F4710" s="53" t="s">
        <v>478</v>
      </c>
      <c r="G4710" s="53" t="s">
        <v>2957</v>
      </c>
      <c r="H4710" s="53">
        <v>1.0</v>
      </c>
      <c r="I4710" s="53">
        <v>0.28484848484848485</v>
      </c>
      <c r="J4710" s="53">
        <v>13.0</v>
      </c>
      <c r="K4710" s="53" t="s">
        <v>53</v>
      </c>
      <c r="L4710" s="53" t="s">
        <v>53</v>
      </c>
    </row>
    <row r="4711" ht="15.75" customHeight="1">
      <c r="A4711" s="53" t="s">
        <v>411</v>
      </c>
      <c r="B4711" s="53" t="s">
        <v>4945</v>
      </c>
      <c r="D4711" s="53" t="s">
        <v>2891</v>
      </c>
      <c r="E4711" s="53" t="s">
        <v>6044</v>
      </c>
      <c r="F4711" s="53" t="s">
        <v>478</v>
      </c>
      <c r="G4711" s="53" t="s">
        <v>2889</v>
      </c>
      <c r="H4711" s="53">
        <v>1.0</v>
      </c>
      <c r="I4711" s="53">
        <v>0.057971014492753624</v>
      </c>
      <c r="J4711" s="53">
        <v>3.0</v>
      </c>
      <c r="K4711" s="53" t="s">
        <v>53</v>
      </c>
      <c r="L4711" s="53" t="s">
        <v>53</v>
      </c>
    </row>
    <row r="4712" ht="15.75" customHeight="1">
      <c r="A4712" s="53" t="s">
        <v>411</v>
      </c>
      <c r="B4712" s="53" t="s">
        <v>4945</v>
      </c>
      <c r="D4712" s="53" t="s">
        <v>2891</v>
      </c>
      <c r="E4712" s="53" t="s">
        <v>6045</v>
      </c>
      <c r="F4712" s="53" t="s">
        <v>478</v>
      </c>
      <c r="G4712" s="53" t="s">
        <v>2907</v>
      </c>
      <c r="H4712" s="53">
        <v>1.0</v>
      </c>
      <c r="I4712" s="53">
        <v>0.07194244604316546</v>
      </c>
      <c r="J4712" s="53">
        <v>23.0</v>
      </c>
      <c r="K4712" s="53" t="s">
        <v>53</v>
      </c>
      <c r="L4712" s="53" t="s">
        <v>53</v>
      </c>
    </row>
    <row r="4713" ht="15.75" customHeight="1">
      <c r="A4713" s="53" t="s">
        <v>411</v>
      </c>
      <c r="B4713" s="53" t="s">
        <v>4945</v>
      </c>
      <c r="D4713" s="53" t="s">
        <v>2891</v>
      </c>
      <c r="E4713" s="53" t="s">
        <v>6046</v>
      </c>
      <c r="F4713" s="53" t="s">
        <v>478</v>
      </c>
      <c r="G4713" s="53" t="s">
        <v>2899</v>
      </c>
      <c r="H4713" s="53">
        <v>1.0</v>
      </c>
      <c r="I4713" s="53">
        <v>0.07971014492753623</v>
      </c>
      <c r="J4713" s="53">
        <v>5.0</v>
      </c>
      <c r="K4713" s="53" t="s">
        <v>53</v>
      </c>
      <c r="L4713" s="53" t="s">
        <v>53</v>
      </c>
    </row>
    <row r="4714" ht="15.75" customHeight="1">
      <c r="A4714" s="53" t="s">
        <v>411</v>
      </c>
      <c r="B4714" s="53" t="s">
        <v>4945</v>
      </c>
      <c r="D4714" s="53" t="s">
        <v>2891</v>
      </c>
      <c r="E4714" s="53" t="s">
        <v>6047</v>
      </c>
      <c r="F4714" s="53" t="s">
        <v>478</v>
      </c>
      <c r="G4714" s="53" t="s">
        <v>2887</v>
      </c>
      <c r="H4714" s="53">
        <v>1.0</v>
      </c>
      <c r="I4714" s="53">
        <v>0.07971014492753623</v>
      </c>
      <c r="J4714" s="53">
        <v>0.0</v>
      </c>
      <c r="K4714" s="53" t="s">
        <v>53</v>
      </c>
      <c r="L4714" s="53" t="s">
        <v>53</v>
      </c>
    </row>
    <row r="4715" ht="15.75" customHeight="1">
      <c r="A4715" s="53" t="s">
        <v>411</v>
      </c>
      <c r="B4715" s="53" t="s">
        <v>4945</v>
      </c>
      <c r="D4715" s="53" t="s">
        <v>2891</v>
      </c>
      <c r="E4715" s="53" t="s">
        <v>6048</v>
      </c>
      <c r="F4715" s="53" t="s">
        <v>478</v>
      </c>
      <c r="G4715" s="53" t="s">
        <v>2905</v>
      </c>
      <c r="H4715" s="53">
        <v>1.0</v>
      </c>
      <c r="I4715" s="53">
        <v>0.08695652173913043</v>
      </c>
      <c r="J4715" s="53">
        <v>8.0</v>
      </c>
      <c r="K4715" s="53" t="s">
        <v>53</v>
      </c>
      <c r="L4715" s="53" t="s">
        <v>53</v>
      </c>
    </row>
    <row r="4716" ht="15.75" customHeight="1">
      <c r="A4716" s="53" t="s">
        <v>411</v>
      </c>
      <c r="B4716" s="53" t="s">
        <v>4945</v>
      </c>
      <c r="D4716" s="53" t="s">
        <v>2891</v>
      </c>
      <c r="E4716" s="53" t="s">
        <v>6049</v>
      </c>
      <c r="F4716" s="53" t="s">
        <v>478</v>
      </c>
      <c r="G4716" s="53" t="s">
        <v>2895</v>
      </c>
      <c r="H4716" s="53">
        <v>1.0</v>
      </c>
      <c r="I4716" s="53">
        <v>0.09420289855072464</v>
      </c>
      <c r="J4716" s="53">
        <v>1.0</v>
      </c>
      <c r="K4716" s="53" t="s">
        <v>53</v>
      </c>
      <c r="L4716" s="53" t="s">
        <v>53</v>
      </c>
    </row>
    <row r="4717" ht="15.75" customHeight="1">
      <c r="A4717" s="53" t="s">
        <v>411</v>
      </c>
      <c r="B4717" s="53" t="s">
        <v>4945</v>
      </c>
      <c r="D4717" s="53" t="s">
        <v>2891</v>
      </c>
      <c r="E4717" s="53" t="s">
        <v>6050</v>
      </c>
      <c r="F4717" s="53" t="s">
        <v>478</v>
      </c>
      <c r="G4717" s="53" t="s">
        <v>2901</v>
      </c>
      <c r="H4717" s="53">
        <v>1.0</v>
      </c>
      <c r="I4717" s="53">
        <v>0.09420289855072464</v>
      </c>
      <c r="J4717" s="53">
        <v>2.0</v>
      </c>
      <c r="K4717" s="53" t="s">
        <v>53</v>
      </c>
      <c r="L4717" s="53" t="s">
        <v>53</v>
      </c>
    </row>
    <row r="4718" ht="15.75" customHeight="1">
      <c r="A4718" s="53" t="s">
        <v>411</v>
      </c>
      <c r="B4718" s="53" t="s">
        <v>4945</v>
      </c>
      <c r="D4718" s="53" t="s">
        <v>2891</v>
      </c>
      <c r="E4718" s="53" t="s">
        <v>6051</v>
      </c>
      <c r="F4718" s="53" t="s">
        <v>478</v>
      </c>
      <c r="G4718" s="53" t="s">
        <v>2917</v>
      </c>
      <c r="H4718" s="53">
        <v>1.0</v>
      </c>
      <c r="I4718" s="53">
        <v>0.0979020979020979</v>
      </c>
      <c r="J4718" s="53">
        <v>24.0</v>
      </c>
      <c r="K4718" s="53" t="s">
        <v>53</v>
      </c>
      <c r="L4718" s="53" t="s">
        <v>53</v>
      </c>
    </row>
    <row r="4719" ht="15.75" customHeight="1">
      <c r="A4719" s="53" t="s">
        <v>411</v>
      </c>
      <c r="B4719" s="53" t="s">
        <v>4945</v>
      </c>
      <c r="D4719" s="53" t="s">
        <v>2891</v>
      </c>
      <c r="E4719" s="53" t="s">
        <v>6052</v>
      </c>
      <c r="F4719" s="53" t="s">
        <v>478</v>
      </c>
      <c r="G4719" s="53" t="s">
        <v>2913</v>
      </c>
      <c r="H4719" s="53">
        <v>1.0</v>
      </c>
      <c r="I4719" s="53">
        <v>0.1056338028169014</v>
      </c>
      <c r="J4719" s="53">
        <v>4.0</v>
      </c>
      <c r="K4719" s="53" t="s">
        <v>53</v>
      </c>
      <c r="L4719" s="53" t="s">
        <v>53</v>
      </c>
    </row>
    <row r="4720" ht="15.75" customHeight="1">
      <c r="A4720" s="53" t="s">
        <v>411</v>
      </c>
      <c r="B4720" s="53" t="s">
        <v>4945</v>
      </c>
      <c r="D4720" s="53" t="s">
        <v>2891</v>
      </c>
      <c r="E4720" s="53" t="s">
        <v>6053</v>
      </c>
      <c r="F4720" s="53" t="s">
        <v>478</v>
      </c>
      <c r="G4720" s="53" t="s">
        <v>2911</v>
      </c>
      <c r="H4720" s="53">
        <v>1.0</v>
      </c>
      <c r="I4720" s="53">
        <v>0.11267605633802817</v>
      </c>
      <c r="J4720" s="53">
        <v>6.0</v>
      </c>
      <c r="K4720" s="53" t="s">
        <v>53</v>
      </c>
      <c r="L4720" s="53" t="s">
        <v>53</v>
      </c>
    </row>
    <row r="4721" ht="15.75" customHeight="1">
      <c r="A4721" s="53" t="s">
        <v>411</v>
      </c>
      <c r="B4721" s="53" t="s">
        <v>4945</v>
      </c>
      <c r="D4721" s="53" t="s">
        <v>2891</v>
      </c>
      <c r="E4721" s="53" t="s">
        <v>6054</v>
      </c>
      <c r="F4721" s="53" t="s">
        <v>478</v>
      </c>
      <c r="G4721" s="53" t="s">
        <v>2915</v>
      </c>
      <c r="H4721" s="53">
        <v>1.0</v>
      </c>
      <c r="I4721" s="53">
        <v>0.11724137931034483</v>
      </c>
      <c r="J4721" s="53">
        <v>15.0</v>
      </c>
      <c r="K4721" s="53" t="s">
        <v>53</v>
      </c>
      <c r="L4721" s="53" t="s">
        <v>53</v>
      </c>
    </row>
    <row r="4722" ht="15.75" customHeight="1">
      <c r="A4722" s="53" t="s">
        <v>411</v>
      </c>
      <c r="B4722" s="53" t="s">
        <v>4945</v>
      </c>
      <c r="D4722" s="53" t="s">
        <v>2891</v>
      </c>
      <c r="E4722" s="53" t="s">
        <v>6055</v>
      </c>
      <c r="F4722" s="53" t="s">
        <v>478</v>
      </c>
      <c r="G4722" s="53" t="s">
        <v>2927</v>
      </c>
      <c r="H4722" s="53">
        <v>1.0</v>
      </c>
      <c r="I4722" s="53">
        <v>0.1342281879194631</v>
      </c>
      <c r="J4722" s="53">
        <v>19.0</v>
      </c>
      <c r="K4722" s="53" t="s">
        <v>53</v>
      </c>
      <c r="L4722" s="53" t="s">
        <v>53</v>
      </c>
    </row>
    <row r="4723" ht="15.75" customHeight="1">
      <c r="A4723" s="53" t="s">
        <v>411</v>
      </c>
      <c r="B4723" s="53" t="s">
        <v>4945</v>
      </c>
      <c r="D4723" s="53" t="s">
        <v>2891</v>
      </c>
      <c r="E4723" s="53" t="s">
        <v>6056</v>
      </c>
      <c r="F4723" s="53" t="s">
        <v>478</v>
      </c>
      <c r="G4723" s="53" t="s">
        <v>2923</v>
      </c>
      <c r="H4723" s="53">
        <v>1.0</v>
      </c>
      <c r="I4723" s="53">
        <v>0.13513513513513514</v>
      </c>
      <c r="J4723" s="53">
        <v>16.0</v>
      </c>
      <c r="K4723" s="53" t="s">
        <v>53</v>
      </c>
      <c r="L4723" s="53" t="s">
        <v>53</v>
      </c>
    </row>
    <row r="4724" ht="15.75" customHeight="1">
      <c r="A4724" s="53" t="s">
        <v>411</v>
      </c>
      <c r="B4724" s="53" t="s">
        <v>4945</v>
      </c>
      <c r="D4724" s="53" t="s">
        <v>2891</v>
      </c>
      <c r="E4724" s="53" t="s">
        <v>6057</v>
      </c>
      <c r="F4724" s="53" t="s">
        <v>478</v>
      </c>
      <c r="G4724" s="53" t="s">
        <v>2931</v>
      </c>
      <c r="H4724" s="53">
        <v>1.0</v>
      </c>
      <c r="I4724" s="53">
        <v>0.13815789473684212</v>
      </c>
      <c r="J4724" s="53">
        <v>14.0</v>
      </c>
      <c r="K4724" s="53" t="s">
        <v>53</v>
      </c>
      <c r="L4724" s="53" t="s">
        <v>53</v>
      </c>
    </row>
    <row r="4725" ht="15.75" customHeight="1">
      <c r="A4725" s="53" t="s">
        <v>411</v>
      </c>
      <c r="B4725" s="53" t="s">
        <v>4945</v>
      </c>
      <c r="D4725" s="53" t="s">
        <v>2891</v>
      </c>
      <c r="E4725" s="53" t="s">
        <v>6058</v>
      </c>
      <c r="F4725" s="53" t="s">
        <v>478</v>
      </c>
      <c r="G4725" s="53" t="s">
        <v>2925</v>
      </c>
      <c r="H4725" s="53">
        <v>1.0</v>
      </c>
      <c r="I4725" s="53">
        <v>0.1390728476821192</v>
      </c>
      <c r="J4725" s="53">
        <v>22.0</v>
      </c>
      <c r="K4725" s="53" t="s">
        <v>53</v>
      </c>
      <c r="L4725" s="53" t="s">
        <v>53</v>
      </c>
    </row>
    <row r="4726" ht="15.75" customHeight="1">
      <c r="A4726" s="53" t="s">
        <v>411</v>
      </c>
      <c r="B4726" s="53" t="s">
        <v>4945</v>
      </c>
      <c r="D4726" s="53" t="s">
        <v>2891</v>
      </c>
      <c r="E4726" s="53" t="s">
        <v>6059</v>
      </c>
      <c r="F4726" s="53" t="s">
        <v>478</v>
      </c>
      <c r="G4726" s="53" t="s">
        <v>2921</v>
      </c>
      <c r="H4726" s="53">
        <v>1.0</v>
      </c>
      <c r="I4726" s="53">
        <v>0.14093959731543623</v>
      </c>
      <c r="J4726" s="53">
        <v>18.0</v>
      </c>
      <c r="K4726" s="53" t="s">
        <v>53</v>
      </c>
      <c r="L4726" s="53" t="s">
        <v>53</v>
      </c>
    </row>
    <row r="4727" ht="15.75" customHeight="1">
      <c r="A4727" s="53" t="s">
        <v>411</v>
      </c>
      <c r="B4727" s="53" t="s">
        <v>4945</v>
      </c>
      <c r="D4727" s="53" t="s">
        <v>2891</v>
      </c>
      <c r="E4727" s="53" t="s">
        <v>6060</v>
      </c>
      <c r="F4727" s="53" t="s">
        <v>478</v>
      </c>
      <c r="G4727" s="53" t="s">
        <v>2919</v>
      </c>
      <c r="H4727" s="53">
        <v>1.0</v>
      </c>
      <c r="I4727" s="53">
        <v>0.152317880794702</v>
      </c>
      <c r="J4727" s="53">
        <v>17.0</v>
      </c>
      <c r="K4727" s="53" t="s">
        <v>53</v>
      </c>
      <c r="L4727" s="53" t="s">
        <v>53</v>
      </c>
    </row>
    <row r="4728" ht="15.75" customHeight="1">
      <c r="A4728" s="53" t="s">
        <v>411</v>
      </c>
      <c r="B4728" s="53" t="s">
        <v>4945</v>
      </c>
      <c r="D4728" s="53" t="s">
        <v>2891</v>
      </c>
      <c r="E4728" s="53" t="s">
        <v>6061</v>
      </c>
      <c r="F4728" s="53" t="s">
        <v>478</v>
      </c>
      <c r="G4728" s="53" t="s">
        <v>2929</v>
      </c>
      <c r="H4728" s="53">
        <v>1.0</v>
      </c>
      <c r="I4728" s="53">
        <v>0.16339869281045752</v>
      </c>
      <c r="J4728" s="53">
        <v>20.0</v>
      </c>
      <c r="K4728" s="53" t="s">
        <v>53</v>
      </c>
      <c r="L4728" s="53" t="s">
        <v>53</v>
      </c>
    </row>
    <row r="4729" ht="15.75" customHeight="1">
      <c r="A4729" s="53" t="s">
        <v>411</v>
      </c>
      <c r="B4729" s="53" t="s">
        <v>4945</v>
      </c>
      <c r="D4729" s="53" t="s">
        <v>2891</v>
      </c>
      <c r="E4729" s="53" t="s">
        <v>6062</v>
      </c>
      <c r="F4729" s="53" t="s">
        <v>478</v>
      </c>
      <c r="G4729" s="53" t="s">
        <v>2935</v>
      </c>
      <c r="H4729" s="53">
        <v>1.0</v>
      </c>
      <c r="I4729" s="53">
        <v>0.18543046357615894</v>
      </c>
      <c r="J4729" s="53">
        <v>11.0</v>
      </c>
      <c r="K4729" s="53" t="s">
        <v>53</v>
      </c>
      <c r="L4729" s="53" t="s">
        <v>53</v>
      </c>
    </row>
    <row r="4730" ht="15.75" customHeight="1">
      <c r="A4730" s="53" t="s">
        <v>411</v>
      </c>
      <c r="B4730" s="53" t="s">
        <v>4945</v>
      </c>
      <c r="D4730" s="53" t="s">
        <v>2891</v>
      </c>
      <c r="E4730" s="53" t="s">
        <v>6063</v>
      </c>
      <c r="F4730" s="53" t="s">
        <v>478</v>
      </c>
      <c r="G4730" s="53" t="s">
        <v>2933</v>
      </c>
      <c r="H4730" s="53">
        <v>1.0</v>
      </c>
      <c r="I4730" s="53">
        <v>0.1875</v>
      </c>
      <c r="J4730" s="53">
        <v>21.0</v>
      </c>
      <c r="K4730" s="53" t="s">
        <v>53</v>
      </c>
      <c r="L4730" s="53" t="s">
        <v>53</v>
      </c>
    </row>
    <row r="4731" ht="15.75" customHeight="1">
      <c r="A4731" s="53" t="s">
        <v>411</v>
      </c>
      <c r="B4731" s="53" t="s">
        <v>4945</v>
      </c>
      <c r="D4731" s="53" t="s">
        <v>2891</v>
      </c>
      <c r="E4731" s="53" t="s">
        <v>6064</v>
      </c>
      <c r="F4731" s="53" t="s">
        <v>478</v>
      </c>
      <c r="G4731" s="53" t="s">
        <v>2937</v>
      </c>
      <c r="H4731" s="53">
        <v>1.0</v>
      </c>
      <c r="I4731" s="53">
        <v>0.1956521739130435</v>
      </c>
      <c r="J4731" s="53">
        <v>29.0</v>
      </c>
      <c r="K4731" s="53" t="s">
        <v>53</v>
      </c>
      <c r="L4731" s="53" t="s">
        <v>53</v>
      </c>
    </row>
    <row r="4732" ht="15.75" customHeight="1">
      <c r="A4732" s="53" t="s">
        <v>411</v>
      </c>
      <c r="B4732" s="53" t="s">
        <v>4945</v>
      </c>
      <c r="D4732" s="53" t="s">
        <v>2891</v>
      </c>
      <c r="E4732" s="53" t="s">
        <v>6065</v>
      </c>
      <c r="F4732" s="53" t="s">
        <v>478</v>
      </c>
      <c r="G4732" s="53" t="s">
        <v>2940</v>
      </c>
      <c r="H4732" s="53">
        <v>1.0</v>
      </c>
      <c r="I4732" s="53">
        <v>0.21014492753623187</v>
      </c>
      <c r="J4732" s="53">
        <v>9.0</v>
      </c>
      <c r="K4732" s="53" t="s">
        <v>53</v>
      </c>
      <c r="L4732" s="53" t="s">
        <v>53</v>
      </c>
    </row>
    <row r="4733" ht="15.75" customHeight="1">
      <c r="A4733" s="53" t="s">
        <v>411</v>
      </c>
      <c r="B4733" s="53" t="s">
        <v>4945</v>
      </c>
      <c r="D4733" s="53" t="s">
        <v>2891</v>
      </c>
      <c r="E4733" s="53" t="s">
        <v>6066</v>
      </c>
      <c r="F4733" s="53" t="s">
        <v>478</v>
      </c>
      <c r="G4733" s="53" t="s">
        <v>2942</v>
      </c>
      <c r="H4733" s="53">
        <v>1.0</v>
      </c>
      <c r="I4733" s="53">
        <v>0.22857142857142856</v>
      </c>
      <c r="J4733" s="53">
        <v>30.0</v>
      </c>
      <c r="K4733" s="53" t="s">
        <v>53</v>
      </c>
      <c r="L4733" s="53" t="s">
        <v>53</v>
      </c>
    </row>
    <row r="4734" ht="15.75" customHeight="1">
      <c r="A4734" s="53" t="s">
        <v>411</v>
      </c>
      <c r="B4734" s="53" t="s">
        <v>4945</v>
      </c>
      <c r="D4734" s="53" t="s">
        <v>2891</v>
      </c>
      <c r="E4734" s="53" t="s">
        <v>6067</v>
      </c>
      <c r="F4734" s="53" t="s">
        <v>478</v>
      </c>
      <c r="G4734" s="53" t="s">
        <v>2950</v>
      </c>
      <c r="H4734" s="53">
        <v>1.0</v>
      </c>
      <c r="I4734" s="53">
        <v>0.23270440251572327</v>
      </c>
      <c r="J4734" s="53">
        <v>10.0</v>
      </c>
      <c r="K4734" s="53" t="s">
        <v>53</v>
      </c>
      <c r="L4734" s="53" t="s">
        <v>53</v>
      </c>
    </row>
    <row r="4735" ht="15.75" customHeight="1">
      <c r="A4735" s="53" t="s">
        <v>411</v>
      </c>
      <c r="B4735" s="53" t="s">
        <v>4945</v>
      </c>
      <c r="D4735" s="53" t="s">
        <v>2891</v>
      </c>
      <c r="E4735" s="53" t="s">
        <v>6068</v>
      </c>
      <c r="F4735" s="53" t="s">
        <v>478</v>
      </c>
      <c r="G4735" s="53" t="s">
        <v>2944</v>
      </c>
      <c r="H4735" s="53">
        <v>1.0</v>
      </c>
      <c r="I4735" s="53">
        <v>0.2422360248447205</v>
      </c>
      <c r="J4735" s="53">
        <v>13.0</v>
      </c>
      <c r="K4735" s="53" t="s">
        <v>53</v>
      </c>
      <c r="L4735" s="53" t="s">
        <v>53</v>
      </c>
    </row>
    <row r="4736" ht="15.75" customHeight="1">
      <c r="A4736" s="53" t="s">
        <v>411</v>
      </c>
      <c r="B4736" s="53" t="s">
        <v>4945</v>
      </c>
      <c r="D4736" s="53" t="s">
        <v>2891</v>
      </c>
      <c r="E4736" s="53" t="s">
        <v>6069</v>
      </c>
      <c r="F4736" s="53" t="s">
        <v>478</v>
      </c>
      <c r="G4736" s="53" t="s">
        <v>2948</v>
      </c>
      <c r="H4736" s="53">
        <v>1.0</v>
      </c>
      <c r="I4736" s="53">
        <v>0.24647887323943662</v>
      </c>
      <c r="J4736" s="53">
        <v>28.0</v>
      </c>
      <c r="K4736" s="53" t="s">
        <v>53</v>
      </c>
      <c r="L4736" s="53" t="s">
        <v>53</v>
      </c>
    </row>
    <row r="4737" ht="15.75" customHeight="1">
      <c r="A4737" s="53" t="s">
        <v>411</v>
      </c>
      <c r="B4737" s="53" t="s">
        <v>4945</v>
      </c>
      <c r="D4737" s="53" t="s">
        <v>2891</v>
      </c>
      <c r="E4737" s="53" t="s">
        <v>6070</v>
      </c>
      <c r="F4737" s="53" t="s">
        <v>478</v>
      </c>
      <c r="G4737" s="53" t="s">
        <v>2954</v>
      </c>
      <c r="H4737" s="53">
        <v>1.0</v>
      </c>
      <c r="I4737" s="53">
        <v>0.2605633802816901</v>
      </c>
      <c r="J4737" s="53">
        <v>7.0</v>
      </c>
      <c r="K4737" s="53" t="s">
        <v>53</v>
      </c>
      <c r="L4737" s="53" t="s">
        <v>53</v>
      </c>
    </row>
    <row r="4738" ht="15.75" customHeight="1">
      <c r="A4738" s="53" t="s">
        <v>411</v>
      </c>
      <c r="B4738" s="53" t="s">
        <v>4945</v>
      </c>
      <c r="D4738" s="53" t="s">
        <v>2891</v>
      </c>
      <c r="E4738" s="53" t="s">
        <v>6071</v>
      </c>
      <c r="F4738" s="53" t="s">
        <v>478</v>
      </c>
      <c r="G4738" s="53" t="s">
        <v>485</v>
      </c>
      <c r="H4738" s="53">
        <v>1.0</v>
      </c>
      <c r="I4738" s="53">
        <v>0.2638888888888889</v>
      </c>
      <c r="J4738" s="53">
        <v>25.0</v>
      </c>
      <c r="K4738" s="53" t="s">
        <v>53</v>
      </c>
      <c r="L4738" s="53" t="s">
        <v>53</v>
      </c>
    </row>
    <row r="4739" ht="15.75" customHeight="1">
      <c r="A4739" s="53" t="s">
        <v>411</v>
      </c>
      <c r="B4739" s="53" t="s">
        <v>4945</v>
      </c>
      <c r="D4739" s="53" t="s">
        <v>2891</v>
      </c>
      <c r="E4739" s="53" t="s">
        <v>6072</v>
      </c>
      <c r="F4739" s="53" t="s">
        <v>478</v>
      </c>
      <c r="G4739" s="53" t="s">
        <v>474</v>
      </c>
      <c r="H4739" s="53">
        <v>1.0</v>
      </c>
      <c r="I4739" s="53">
        <v>0.273972602739726</v>
      </c>
      <c r="J4739" s="53">
        <v>26.0</v>
      </c>
      <c r="K4739" s="53" t="s">
        <v>53</v>
      </c>
      <c r="L4739" s="53" t="s">
        <v>53</v>
      </c>
    </row>
    <row r="4740" ht="15.75" customHeight="1">
      <c r="A4740" s="53" t="s">
        <v>411</v>
      </c>
      <c r="B4740" s="53" t="s">
        <v>4945</v>
      </c>
      <c r="D4740" s="53" t="s">
        <v>2891</v>
      </c>
      <c r="E4740" s="53" t="s">
        <v>6073</v>
      </c>
      <c r="F4740" s="53" t="s">
        <v>478</v>
      </c>
      <c r="G4740" s="53" t="s">
        <v>495</v>
      </c>
      <c r="H4740" s="53">
        <v>1.0</v>
      </c>
      <c r="I4740" s="53">
        <v>0.2826086956521739</v>
      </c>
      <c r="J4740" s="53">
        <v>27.0</v>
      </c>
      <c r="K4740" s="53" t="s">
        <v>53</v>
      </c>
      <c r="L4740" s="53" t="s">
        <v>53</v>
      </c>
    </row>
    <row r="4741" ht="15.75" customHeight="1">
      <c r="A4741" s="53" t="s">
        <v>411</v>
      </c>
      <c r="B4741" s="53" t="s">
        <v>4945</v>
      </c>
      <c r="D4741" s="53" t="s">
        <v>2891</v>
      </c>
      <c r="E4741" s="53" t="s">
        <v>6074</v>
      </c>
      <c r="F4741" s="53" t="s">
        <v>478</v>
      </c>
      <c r="G4741" s="53" t="s">
        <v>2957</v>
      </c>
      <c r="H4741" s="53">
        <v>1.0</v>
      </c>
      <c r="I4741" s="53">
        <v>0.28484848484848485</v>
      </c>
      <c r="J4741" s="53">
        <v>12.0</v>
      </c>
      <c r="K4741" s="53" t="s">
        <v>53</v>
      </c>
      <c r="L4741" s="53" t="s">
        <v>53</v>
      </c>
    </row>
    <row r="4742" ht="15.75" customHeight="1">
      <c r="A4742" s="53" t="s">
        <v>411</v>
      </c>
      <c r="B4742" s="53" t="s">
        <v>4945</v>
      </c>
      <c r="D4742" s="53" t="s">
        <v>2887</v>
      </c>
      <c r="E4742" s="53" t="s">
        <v>6075</v>
      </c>
      <c r="F4742" s="53" t="s">
        <v>478</v>
      </c>
      <c r="G4742" s="53" t="s">
        <v>2899</v>
      </c>
      <c r="H4742" s="53">
        <v>1.0</v>
      </c>
      <c r="I4742" s="53">
        <v>0.05970149253731343</v>
      </c>
      <c r="J4742" s="53">
        <v>4.0</v>
      </c>
      <c r="K4742" s="53" t="s">
        <v>53</v>
      </c>
      <c r="L4742" s="53" t="s">
        <v>53</v>
      </c>
    </row>
    <row r="4743" ht="15.75" customHeight="1">
      <c r="A4743" s="53" t="s">
        <v>411</v>
      </c>
      <c r="B4743" s="53" t="s">
        <v>4945</v>
      </c>
      <c r="D4743" s="53" t="s">
        <v>2887</v>
      </c>
      <c r="E4743" s="53" t="s">
        <v>6076</v>
      </c>
      <c r="F4743" s="53" t="s">
        <v>478</v>
      </c>
      <c r="G4743" s="53" t="s">
        <v>2905</v>
      </c>
      <c r="H4743" s="53">
        <v>1.0</v>
      </c>
      <c r="I4743" s="53">
        <v>0.0661764705882353</v>
      </c>
      <c r="J4743" s="53">
        <v>7.0</v>
      </c>
      <c r="K4743" s="53" t="s">
        <v>53</v>
      </c>
      <c r="L4743" s="53" t="s">
        <v>53</v>
      </c>
    </row>
    <row r="4744" ht="15.75" customHeight="1">
      <c r="A4744" s="53" t="s">
        <v>411</v>
      </c>
      <c r="B4744" s="53" t="s">
        <v>4945</v>
      </c>
      <c r="D4744" s="53" t="s">
        <v>2887</v>
      </c>
      <c r="E4744" s="53" t="s">
        <v>6077</v>
      </c>
      <c r="F4744" s="53" t="s">
        <v>478</v>
      </c>
      <c r="G4744" s="53" t="s">
        <v>2895</v>
      </c>
      <c r="H4744" s="53">
        <v>1.0</v>
      </c>
      <c r="I4744" s="53">
        <v>0.072992700729927</v>
      </c>
      <c r="J4744" s="53">
        <v>0.0</v>
      </c>
      <c r="K4744" s="53" t="s">
        <v>53</v>
      </c>
      <c r="L4744" s="53" t="s">
        <v>53</v>
      </c>
    </row>
    <row r="4745" ht="15.75" customHeight="1">
      <c r="A4745" s="53" t="s">
        <v>411</v>
      </c>
      <c r="B4745" s="53" t="s">
        <v>4945</v>
      </c>
      <c r="D4745" s="53" t="s">
        <v>2887</v>
      </c>
      <c r="E4745" s="53" t="s">
        <v>6078</v>
      </c>
      <c r="F4745" s="53" t="s">
        <v>478</v>
      </c>
      <c r="G4745" s="53" t="s">
        <v>2889</v>
      </c>
      <c r="H4745" s="53">
        <v>1.0</v>
      </c>
      <c r="I4745" s="53">
        <v>0.07352941176470588</v>
      </c>
      <c r="J4745" s="53">
        <v>2.0</v>
      </c>
      <c r="K4745" s="53" t="s">
        <v>53</v>
      </c>
      <c r="L4745" s="53" t="s">
        <v>53</v>
      </c>
    </row>
    <row r="4746" ht="15.75" customHeight="1">
      <c r="A4746" s="53" t="s">
        <v>411</v>
      </c>
      <c r="B4746" s="53" t="s">
        <v>4945</v>
      </c>
      <c r="D4746" s="53" t="s">
        <v>2887</v>
      </c>
      <c r="E4746" s="53" t="s">
        <v>6079</v>
      </c>
      <c r="F4746" s="53" t="s">
        <v>478</v>
      </c>
      <c r="G4746" s="53" t="s">
        <v>2901</v>
      </c>
      <c r="H4746" s="53">
        <v>1.0</v>
      </c>
      <c r="I4746" s="53">
        <v>0.07407407407407407</v>
      </c>
      <c r="J4746" s="53">
        <v>1.0</v>
      </c>
      <c r="K4746" s="53" t="s">
        <v>53</v>
      </c>
      <c r="L4746" s="53" t="s">
        <v>53</v>
      </c>
    </row>
    <row r="4747" ht="15.75" customHeight="1">
      <c r="A4747" s="53" t="s">
        <v>411</v>
      </c>
      <c r="B4747" s="53" t="s">
        <v>4945</v>
      </c>
      <c r="D4747" s="53" t="s">
        <v>2887</v>
      </c>
      <c r="E4747" s="53" t="s">
        <v>6080</v>
      </c>
      <c r="F4747" s="53" t="s">
        <v>478</v>
      </c>
      <c r="G4747" s="53" t="s">
        <v>2907</v>
      </c>
      <c r="H4747" s="53">
        <v>1.0</v>
      </c>
      <c r="I4747" s="53">
        <v>0.09352517985611511</v>
      </c>
      <c r="J4747" s="53">
        <v>22.0</v>
      </c>
      <c r="K4747" s="53" t="s">
        <v>53</v>
      </c>
      <c r="L4747" s="53" t="s">
        <v>53</v>
      </c>
    </row>
    <row r="4748" ht="15.75" customHeight="1">
      <c r="A4748" s="53" t="s">
        <v>411</v>
      </c>
      <c r="B4748" s="53" t="s">
        <v>4945</v>
      </c>
      <c r="D4748" s="53" t="s">
        <v>2887</v>
      </c>
      <c r="E4748" s="53" t="s">
        <v>6081</v>
      </c>
      <c r="F4748" s="53" t="s">
        <v>478</v>
      </c>
      <c r="G4748" s="53" t="s">
        <v>2913</v>
      </c>
      <c r="H4748" s="53">
        <v>1.0</v>
      </c>
      <c r="I4748" s="53">
        <v>0.09859154929577464</v>
      </c>
      <c r="J4748" s="53">
        <v>3.0</v>
      </c>
      <c r="K4748" s="53" t="s">
        <v>53</v>
      </c>
      <c r="L4748" s="53" t="s">
        <v>53</v>
      </c>
    </row>
    <row r="4749" ht="15.75" customHeight="1">
      <c r="A4749" s="53" t="s">
        <v>411</v>
      </c>
      <c r="B4749" s="53" t="s">
        <v>4945</v>
      </c>
      <c r="D4749" s="53" t="s">
        <v>2887</v>
      </c>
      <c r="E4749" s="53" t="s">
        <v>6082</v>
      </c>
      <c r="F4749" s="53" t="s">
        <v>478</v>
      </c>
      <c r="G4749" s="53" t="s">
        <v>2911</v>
      </c>
      <c r="H4749" s="53">
        <v>1.0</v>
      </c>
      <c r="I4749" s="53">
        <v>0.1056338028169014</v>
      </c>
      <c r="J4749" s="53">
        <v>5.0</v>
      </c>
      <c r="K4749" s="53" t="s">
        <v>53</v>
      </c>
      <c r="L4749" s="53" t="s">
        <v>53</v>
      </c>
    </row>
    <row r="4750" ht="15.75" customHeight="1">
      <c r="A4750" s="53" t="s">
        <v>411</v>
      </c>
      <c r="B4750" s="53" t="s">
        <v>4945</v>
      </c>
      <c r="D4750" s="53" t="s">
        <v>2887</v>
      </c>
      <c r="E4750" s="53" t="s">
        <v>6083</v>
      </c>
      <c r="F4750" s="53" t="s">
        <v>478</v>
      </c>
      <c r="G4750" s="53" t="s">
        <v>2915</v>
      </c>
      <c r="H4750" s="53">
        <v>1.0</v>
      </c>
      <c r="I4750" s="53">
        <v>0.1103448275862069</v>
      </c>
      <c r="J4750" s="53">
        <v>14.0</v>
      </c>
      <c r="K4750" s="53" t="s">
        <v>53</v>
      </c>
      <c r="L4750" s="53" t="s">
        <v>53</v>
      </c>
    </row>
    <row r="4751" ht="15.75" customHeight="1">
      <c r="A4751" s="53" t="s">
        <v>411</v>
      </c>
      <c r="B4751" s="53" t="s">
        <v>4945</v>
      </c>
      <c r="D4751" s="53" t="s">
        <v>2887</v>
      </c>
      <c r="E4751" s="53" t="s">
        <v>6084</v>
      </c>
      <c r="F4751" s="53" t="s">
        <v>478</v>
      </c>
      <c r="G4751" s="53" t="s">
        <v>2917</v>
      </c>
      <c r="H4751" s="53">
        <v>1.0</v>
      </c>
      <c r="I4751" s="53">
        <v>0.11188811188811189</v>
      </c>
      <c r="J4751" s="53">
        <v>23.0</v>
      </c>
      <c r="K4751" s="53" t="s">
        <v>53</v>
      </c>
      <c r="L4751" s="53" t="s">
        <v>53</v>
      </c>
    </row>
    <row r="4752" ht="15.75" customHeight="1">
      <c r="A4752" s="53" t="s">
        <v>411</v>
      </c>
      <c r="B4752" s="53" t="s">
        <v>4945</v>
      </c>
      <c r="D4752" s="53" t="s">
        <v>2887</v>
      </c>
      <c r="E4752" s="53" t="s">
        <v>6085</v>
      </c>
      <c r="F4752" s="53" t="s">
        <v>478</v>
      </c>
      <c r="G4752" s="53" t="s">
        <v>2923</v>
      </c>
      <c r="H4752" s="53">
        <v>1.0</v>
      </c>
      <c r="I4752" s="53">
        <v>0.13513513513513514</v>
      </c>
      <c r="J4752" s="53">
        <v>15.0</v>
      </c>
      <c r="K4752" s="53" t="s">
        <v>53</v>
      </c>
      <c r="L4752" s="53" t="s">
        <v>53</v>
      </c>
    </row>
    <row r="4753" ht="15.75" customHeight="1">
      <c r="A4753" s="53" t="s">
        <v>411</v>
      </c>
      <c r="B4753" s="53" t="s">
        <v>4945</v>
      </c>
      <c r="D4753" s="53" t="s">
        <v>2887</v>
      </c>
      <c r="E4753" s="53" t="s">
        <v>6086</v>
      </c>
      <c r="F4753" s="53" t="s">
        <v>478</v>
      </c>
      <c r="G4753" s="53" t="s">
        <v>2925</v>
      </c>
      <c r="H4753" s="53">
        <v>1.0</v>
      </c>
      <c r="I4753" s="53">
        <v>0.1390728476821192</v>
      </c>
      <c r="J4753" s="53">
        <v>21.0</v>
      </c>
      <c r="K4753" s="53" t="s">
        <v>53</v>
      </c>
      <c r="L4753" s="53" t="s">
        <v>53</v>
      </c>
    </row>
    <row r="4754" ht="15.75" customHeight="1">
      <c r="A4754" s="53" t="s">
        <v>411</v>
      </c>
      <c r="B4754" s="53" t="s">
        <v>4945</v>
      </c>
      <c r="D4754" s="53" t="s">
        <v>2887</v>
      </c>
      <c r="E4754" s="53" t="s">
        <v>6087</v>
      </c>
      <c r="F4754" s="53" t="s">
        <v>478</v>
      </c>
      <c r="G4754" s="53" t="s">
        <v>2927</v>
      </c>
      <c r="H4754" s="53">
        <v>1.0</v>
      </c>
      <c r="I4754" s="53">
        <v>0.14093959731543623</v>
      </c>
      <c r="J4754" s="53">
        <v>18.0</v>
      </c>
      <c r="K4754" s="53" t="s">
        <v>53</v>
      </c>
      <c r="L4754" s="53" t="s">
        <v>53</v>
      </c>
    </row>
    <row r="4755" ht="15.75" customHeight="1">
      <c r="A4755" s="53" t="s">
        <v>411</v>
      </c>
      <c r="B4755" s="53" t="s">
        <v>4945</v>
      </c>
      <c r="D4755" s="53" t="s">
        <v>2887</v>
      </c>
      <c r="E4755" s="53" t="s">
        <v>6088</v>
      </c>
      <c r="F4755" s="53" t="s">
        <v>478</v>
      </c>
      <c r="G4755" s="53" t="s">
        <v>2921</v>
      </c>
      <c r="H4755" s="53">
        <v>1.0</v>
      </c>
      <c r="I4755" s="53">
        <v>0.14093959731543623</v>
      </c>
      <c r="J4755" s="53">
        <v>17.0</v>
      </c>
      <c r="K4755" s="53" t="s">
        <v>53</v>
      </c>
      <c r="L4755" s="53" t="s">
        <v>53</v>
      </c>
    </row>
    <row r="4756" ht="15.75" customHeight="1">
      <c r="A4756" s="53" t="s">
        <v>411</v>
      </c>
      <c r="B4756" s="53" t="s">
        <v>4945</v>
      </c>
      <c r="D4756" s="53" t="s">
        <v>2887</v>
      </c>
      <c r="E4756" s="53" t="s">
        <v>6089</v>
      </c>
      <c r="F4756" s="53" t="s">
        <v>478</v>
      </c>
      <c r="G4756" s="53" t="s">
        <v>2929</v>
      </c>
      <c r="H4756" s="53">
        <v>1.0</v>
      </c>
      <c r="I4756" s="53">
        <v>0.1437908496732026</v>
      </c>
      <c r="J4756" s="53">
        <v>19.0</v>
      </c>
      <c r="K4756" s="53" t="s">
        <v>53</v>
      </c>
      <c r="L4756" s="53" t="s">
        <v>53</v>
      </c>
    </row>
    <row r="4757" ht="15.75" customHeight="1">
      <c r="A4757" s="53" t="s">
        <v>411</v>
      </c>
      <c r="B4757" s="53" t="s">
        <v>4945</v>
      </c>
      <c r="D4757" s="53" t="s">
        <v>2887</v>
      </c>
      <c r="E4757" s="53" t="s">
        <v>6090</v>
      </c>
      <c r="F4757" s="53" t="s">
        <v>478</v>
      </c>
      <c r="G4757" s="53" t="s">
        <v>2931</v>
      </c>
      <c r="H4757" s="53">
        <v>1.0</v>
      </c>
      <c r="I4757" s="53">
        <v>0.1513157894736842</v>
      </c>
      <c r="J4757" s="53">
        <v>13.0</v>
      </c>
      <c r="K4757" s="53" t="s">
        <v>53</v>
      </c>
      <c r="L4757" s="53" t="s">
        <v>53</v>
      </c>
    </row>
    <row r="4758" ht="15.75" customHeight="1">
      <c r="A4758" s="53" t="s">
        <v>411</v>
      </c>
      <c r="B4758" s="53" t="s">
        <v>4945</v>
      </c>
      <c r="D4758" s="53" t="s">
        <v>2887</v>
      </c>
      <c r="E4758" s="53" t="s">
        <v>6091</v>
      </c>
      <c r="F4758" s="53" t="s">
        <v>478</v>
      </c>
      <c r="G4758" s="53" t="s">
        <v>2919</v>
      </c>
      <c r="H4758" s="53">
        <v>1.0</v>
      </c>
      <c r="I4758" s="53">
        <v>0.152317880794702</v>
      </c>
      <c r="J4758" s="53">
        <v>16.0</v>
      </c>
      <c r="K4758" s="53" t="s">
        <v>53</v>
      </c>
      <c r="L4758" s="53" t="s">
        <v>53</v>
      </c>
    </row>
    <row r="4759" ht="15.75" customHeight="1">
      <c r="A4759" s="53" t="s">
        <v>411</v>
      </c>
      <c r="B4759" s="53" t="s">
        <v>4945</v>
      </c>
      <c r="D4759" s="53" t="s">
        <v>2887</v>
      </c>
      <c r="E4759" s="53" t="s">
        <v>6092</v>
      </c>
      <c r="F4759" s="53" t="s">
        <v>478</v>
      </c>
      <c r="G4759" s="53" t="s">
        <v>2933</v>
      </c>
      <c r="H4759" s="53">
        <v>1.0</v>
      </c>
      <c r="I4759" s="53">
        <v>0.1875</v>
      </c>
      <c r="J4759" s="53">
        <v>20.0</v>
      </c>
      <c r="K4759" s="53" t="s">
        <v>53</v>
      </c>
      <c r="L4759" s="53" t="s">
        <v>53</v>
      </c>
    </row>
    <row r="4760" ht="15.75" customHeight="1">
      <c r="A4760" s="53" t="s">
        <v>411</v>
      </c>
      <c r="B4760" s="53" t="s">
        <v>4945</v>
      </c>
      <c r="D4760" s="53" t="s">
        <v>2887</v>
      </c>
      <c r="E4760" s="53" t="s">
        <v>6093</v>
      </c>
      <c r="F4760" s="53" t="s">
        <v>478</v>
      </c>
      <c r="G4760" s="53" t="s">
        <v>2935</v>
      </c>
      <c r="H4760" s="53">
        <v>1.0</v>
      </c>
      <c r="I4760" s="53">
        <v>0.19205298013245034</v>
      </c>
      <c r="J4760" s="53">
        <v>10.0</v>
      </c>
      <c r="K4760" s="53" t="s">
        <v>53</v>
      </c>
      <c r="L4760" s="53" t="s">
        <v>53</v>
      </c>
    </row>
    <row r="4761" ht="15.75" customHeight="1">
      <c r="A4761" s="53" t="s">
        <v>411</v>
      </c>
      <c r="B4761" s="53" t="s">
        <v>4945</v>
      </c>
      <c r="D4761" s="53" t="s">
        <v>2887</v>
      </c>
      <c r="E4761" s="53" t="s">
        <v>6094</v>
      </c>
      <c r="F4761" s="53" t="s">
        <v>478</v>
      </c>
      <c r="G4761" s="53" t="s">
        <v>2937</v>
      </c>
      <c r="H4761" s="53">
        <v>1.0</v>
      </c>
      <c r="I4761" s="53">
        <v>0.19708029197080293</v>
      </c>
      <c r="J4761" s="53">
        <v>28.0</v>
      </c>
      <c r="K4761" s="53" t="s">
        <v>53</v>
      </c>
      <c r="L4761" s="53" t="s">
        <v>53</v>
      </c>
    </row>
    <row r="4762" ht="15.75" customHeight="1">
      <c r="A4762" s="53" t="s">
        <v>411</v>
      </c>
      <c r="B4762" s="53" t="s">
        <v>4945</v>
      </c>
      <c r="D4762" s="53" t="s">
        <v>2887</v>
      </c>
      <c r="E4762" s="53" t="s">
        <v>6095</v>
      </c>
      <c r="F4762" s="53" t="s">
        <v>478</v>
      </c>
      <c r="G4762" s="53" t="s">
        <v>2940</v>
      </c>
      <c r="H4762" s="53">
        <v>1.0</v>
      </c>
      <c r="I4762" s="53">
        <v>0.20149253731343283</v>
      </c>
      <c r="J4762" s="53">
        <v>8.0</v>
      </c>
      <c r="K4762" s="53" t="s">
        <v>53</v>
      </c>
      <c r="L4762" s="53" t="s">
        <v>53</v>
      </c>
    </row>
    <row r="4763" ht="15.75" customHeight="1">
      <c r="A4763" s="53" t="s">
        <v>411</v>
      </c>
      <c r="B4763" s="53" t="s">
        <v>4945</v>
      </c>
      <c r="D4763" s="53" t="s">
        <v>2887</v>
      </c>
      <c r="E4763" s="53" t="s">
        <v>6096</v>
      </c>
      <c r="F4763" s="53" t="s">
        <v>478</v>
      </c>
      <c r="G4763" s="53" t="s">
        <v>2942</v>
      </c>
      <c r="H4763" s="53">
        <v>1.0</v>
      </c>
      <c r="I4763" s="53">
        <v>0.22142857142857142</v>
      </c>
      <c r="J4763" s="53">
        <v>29.0</v>
      </c>
      <c r="K4763" s="53" t="s">
        <v>53</v>
      </c>
      <c r="L4763" s="53" t="s">
        <v>53</v>
      </c>
    </row>
    <row r="4764" ht="15.75" customHeight="1">
      <c r="A4764" s="53" t="s">
        <v>411</v>
      </c>
      <c r="B4764" s="53" t="s">
        <v>4945</v>
      </c>
      <c r="D4764" s="53" t="s">
        <v>2887</v>
      </c>
      <c r="E4764" s="53" t="s">
        <v>6097</v>
      </c>
      <c r="F4764" s="53" t="s">
        <v>478</v>
      </c>
      <c r="G4764" s="53" t="s">
        <v>2948</v>
      </c>
      <c r="H4764" s="53">
        <v>1.0</v>
      </c>
      <c r="I4764" s="53">
        <v>0.2323943661971831</v>
      </c>
      <c r="J4764" s="53">
        <v>27.0</v>
      </c>
      <c r="K4764" s="53" t="s">
        <v>53</v>
      </c>
      <c r="L4764" s="53" t="s">
        <v>53</v>
      </c>
    </row>
    <row r="4765" ht="15.75" customHeight="1">
      <c r="A4765" s="53" t="s">
        <v>411</v>
      </c>
      <c r="B4765" s="53" t="s">
        <v>4945</v>
      </c>
      <c r="D4765" s="53" t="s">
        <v>2887</v>
      </c>
      <c r="E4765" s="53" t="s">
        <v>6098</v>
      </c>
      <c r="F4765" s="53" t="s">
        <v>478</v>
      </c>
      <c r="G4765" s="53" t="s">
        <v>2950</v>
      </c>
      <c r="H4765" s="53">
        <v>1.0</v>
      </c>
      <c r="I4765" s="53">
        <v>0.23270440251572327</v>
      </c>
      <c r="J4765" s="53">
        <v>9.0</v>
      </c>
      <c r="K4765" s="53" t="s">
        <v>53</v>
      </c>
      <c r="L4765" s="53" t="s">
        <v>53</v>
      </c>
    </row>
    <row r="4766" ht="15.75" customHeight="1">
      <c r="A4766" s="53" t="s">
        <v>411</v>
      </c>
      <c r="B4766" s="53" t="s">
        <v>4945</v>
      </c>
      <c r="D4766" s="53" t="s">
        <v>2887</v>
      </c>
      <c r="E4766" s="53" t="s">
        <v>6099</v>
      </c>
      <c r="F4766" s="53" t="s">
        <v>478</v>
      </c>
      <c r="G4766" s="53" t="s">
        <v>2944</v>
      </c>
      <c r="H4766" s="53">
        <v>1.0</v>
      </c>
      <c r="I4766" s="53">
        <v>0.2484472049689441</v>
      </c>
      <c r="J4766" s="53">
        <v>12.0</v>
      </c>
      <c r="K4766" s="53" t="s">
        <v>53</v>
      </c>
      <c r="L4766" s="53" t="s">
        <v>53</v>
      </c>
    </row>
    <row r="4767" ht="15.75" customHeight="1">
      <c r="A4767" s="53" t="s">
        <v>411</v>
      </c>
      <c r="B4767" s="53" t="s">
        <v>4945</v>
      </c>
      <c r="D4767" s="53" t="s">
        <v>2887</v>
      </c>
      <c r="E4767" s="53" t="s">
        <v>6100</v>
      </c>
      <c r="F4767" s="53" t="s">
        <v>478</v>
      </c>
      <c r="G4767" s="53" t="s">
        <v>2954</v>
      </c>
      <c r="H4767" s="53">
        <v>1.0</v>
      </c>
      <c r="I4767" s="53">
        <v>0.2535211267605634</v>
      </c>
      <c r="J4767" s="53">
        <v>6.0</v>
      </c>
      <c r="K4767" s="53" t="s">
        <v>53</v>
      </c>
      <c r="L4767" s="53" t="s">
        <v>53</v>
      </c>
    </row>
    <row r="4768" ht="15.75" customHeight="1">
      <c r="A4768" s="53" t="s">
        <v>411</v>
      </c>
      <c r="B4768" s="53" t="s">
        <v>4945</v>
      </c>
      <c r="D4768" s="53" t="s">
        <v>2887</v>
      </c>
      <c r="E4768" s="53" t="s">
        <v>6101</v>
      </c>
      <c r="F4768" s="53" t="s">
        <v>478</v>
      </c>
      <c r="G4768" s="53" t="s">
        <v>485</v>
      </c>
      <c r="H4768" s="53">
        <v>1.0</v>
      </c>
      <c r="I4768" s="53">
        <v>0.2569444444444444</v>
      </c>
      <c r="J4768" s="53">
        <v>24.0</v>
      </c>
      <c r="K4768" s="53" t="s">
        <v>53</v>
      </c>
      <c r="L4768" s="53" t="s">
        <v>53</v>
      </c>
    </row>
    <row r="4769" ht="15.75" customHeight="1">
      <c r="A4769" s="53" t="s">
        <v>411</v>
      </c>
      <c r="B4769" s="53" t="s">
        <v>4945</v>
      </c>
      <c r="D4769" s="53" t="s">
        <v>2887</v>
      </c>
      <c r="E4769" s="53" t="s">
        <v>6102</v>
      </c>
      <c r="F4769" s="53" t="s">
        <v>478</v>
      </c>
      <c r="G4769" s="53" t="s">
        <v>495</v>
      </c>
      <c r="H4769" s="53">
        <v>1.0</v>
      </c>
      <c r="I4769" s="53">
        <v>0.2608695652173913</v>
      </c>
      <c r="J4769" s="53">
        <v>26.0</v>
      </c>
      <c r="K4769" s="53" t="s">
        <v>53</v>
      </c>
      <c r="L4769" s="53" t="s">
        <v>53</v>
      </c>
    </row>
    <row r="4770" ht="15.75" customHeight="1">
      <c r="A4770" s="53" t="s">
        <v>411</v>
      </c>
      <c r="B4770" s="53" t="s">
        <v>4945</v>
      </c>
      <c r="D4770" s="53" t="s">
        <v>2887</v>
      </c>
      <c r="E4770" s="53" t="s">
        <v>6103</v>
      </c>
      <c r="F4770" s="53" t="s">
        <v>478</v>
      </c>
      <c r="G4770" s="53" t="s">
        <v>474</v>
      </c>
      <c r="H4770" s="53">
        <v>1.0</v>
      </c>
      <c r="I4770" s="53">
        <v>0.2671232876712329</v>
      </c>
      <c r="J4770" s="53">
        <v>25.0</v>
      </c>
      <c r="K4770" s="53" t="s">
        <v>53</v>
      </c>
      <c r="L4770" s="53" t="s">
        <v>53</v>
      </c>
    </row>
    <row r="4771" ht="15.75" customHeight="1">
      <c r="A4771" s="53" t="s">
        <v>411</v>
      </c>
      <c r="B4771" s="53" t="s">
        <v>4945</v>
      </c>
      <c r="D4771" s="53" t="s">
        <v>2887</v>
      </c>
      <c r="E4771" s="53" t="s">
        <v>6104</v>
      </c>
      <c r="F4771" s="53" t="s">
        <v>478</v>
      </c>
      <c r="G4771" s="53" t="s">
        <v>2957</v>
      </c>
      <c r="H4771" s="53">
        <v>1.0</v>
      </c>
      <c r="I4771" s="53">
        <v>0.2787878787878788</v>
      </c>
      <c r="J4771" s="53">
        <v>11.0</v>
      </c>
      <c r="K4771" s="53" t="s">
        <v>53</v>
      </c>
      <c r="L4771" s="53" t="s">
        <v>53</v>
      </c>
    </row>
    <row r="4772" ht="15.75" customHeight="1">
      <c r="A4772" s="53" t="s">
        <v>411</v>
      </c>
      <c r="B4772" s="53" t="s">
        <v>4945</v>
      </c>
      <c r="D4772" s="53" t="s">
        <v>2895</v>
      </c>
      <c r="E4772" s="53" t="s">
        <v>6105</v>
      </c>
      <c r="F4772" s="53" t="s">
        <v>478</v>
      </c>
      <c r="G4772" s="53" t="s">
        <v>2905</v>
      </c>
      <c r="H4772" s="53">
        <v>1.0</v>
      </c>
      <c r="I4772" s="53">
        <v>0.08029197080291971</v>
      </c>
      <c r="J4772" s="53">
        <v>6.0</v>
      </c>
      <c r="K4772" s="53" t="s">
        <v>53</v>
      </c>
      <c r="L4772" s="53" t="s">
        <v>53</v>
      </c>
    </row>
    <row r="4773" ht="15.75" customHeight="1">
      <c r="A4773" s="53" t="s">
        <v>411</v>
      </c>
      <c r="B4773" s="53" t="s">
        <v>4945</v>
      </c>
      <c r="D4773" s="53" t="s">
        <v>2895</v>
      </c>
      <c r="E4773" s="53" t="s">
        <v>6106</v>
      </c>
      <c r="F4773" s="53" t="s">
        <v>478</v>
      </c>
      <c r="G4773" s="53" t="s">
        <v>2901</v>
      </c>
      <c r="H4773" s="53">
        <v>1.0</v>
      </c>
      <c r="I4773" s="53">
        <v>0.08029197080291971</v>
      </c>
      <c r="J4773" s="53">
        <v>0.0</v>
      </c>
      <c r="K4773" s="53" t="s">
        <v>53</v>
      </c>
      <c r="L4773" s="53" t="s">
        <v>53</v>
      </c>
    </row>
    <row r="4774" ht="15.75" customHeight="1">
      <c r="A4774" s="53" t="s">
        <v>411</v>
      </c>
      <c r="B4774" s="53" t="s">
        <v>4945</v>
      </c>
      <c r="D4774" s="53" t="s">
        <v>2895</v>
      </c>
      <c r="E4774" s="53" t="s">
        <v>6107</v>
      </c>
      <c r="F4774" s="53" t="s">
        <v>478</v>
      </c>
      <c r="G4774" s="53" t="s">
        <v>2889</v>
      </c>
      <c r="H4774" s="53">
        <v>1.0</v>
      </c>
      <c r="I4774" s="53">
        <v>0.08759124087591241</v>
      </c>
      <c r="J4774" s="53">
        <v>1.0</v>
      </c>
      <c r="K4774" s="53" t="s">
        <v>53</v>
      </c>
      <c r="L4774" s="53" t="s">
        <v>53</v>
      </c>
    </row>
    <row r="4775" ht="15.75" customHeight="1">
      <c r="A4775" s="53" t="s">
        <v>411</v>
      </c>
      <c r="B4775" s="53" t="s">
        <v>4945</v>
      </c>
      <c r="D4775" s="53" t="s">
        <v>2895</v>
      </c>
      <c r="E4775" s="53" t="s">
        <v>6108</v>
      </c>
      <c r="F4775" s="53" t="s">
        <v>478</v>
      </c>
      <c r="G4775" s="53" t="s">
        <v>2899</v>
      </c>
      <c r="H4775" s="53">
        <v>1.0</v>
      </c>
      <c r="I4775" s="53">
        <v>0.0948905109489051</v>
      </c>
      <c r="J4775" s="53">
        <v>3.0</v>
      </c>
      <c r="K4775" s="53" t="s">
        <v>53</v>
      </c>
      <c r="L4775" s="53" t="s">
        <v>53</v>
      </c>
    </row>
    <row r="4776" ht="15.75" customHeight="1">
      <c r="A4776" s="53" t="s">
        <v>411</v>
      </c>
      <c r="B4776" s="53" t="s">
        <v>4945</v>
      </c>
      <c r="D4776" s="53" t="s">
        <v>2895</v>
      </c>
      <c r="E4776" s="53" t="s">
        <v>6109</v>
      </c>
      <c r="F4776" s="53" t="s">
        <v>478</v>
      </c>
      <c r="G4776" s="53" t="s">
        <v>2907</v>
      </c>
      <c r="H4776" s="53">
        <v>1.0</v>
      </c>
      <c r="I4776" s="53">
        <v>0.10071942446043165</v>
      </c>
      <c r="J4776" s="53">
        <v>21.0</v>
      </c>
      <c r="K4776" s="53" t="s">
        <v>53</v>
      </c>
      <c r="L4776" s="53" t="s">
        <v>53</v>
      </c>
    </row>
    <row r="4777" ht="15.75" customHeight="1">
      <c r="A4777" s="53" t="s">
        <v>411</v>
      </c>
      <c r="B4777" s="53" t="s">
        <v>4945</v>
      </c>
      <c r="D4777" s="53" t="s">
        <v>2895</v>
      </c>
      <c r="E4777" s="53" t="s">
        <v>6110</v>
      </c>
      <c r="F4777" s="53" t="s">
        <v>478</v>
      </c>
      <c r="G4777" s="53" t="s">
        <v>2917</v>
      </c>
      <c r="H4777" s="53">
        <v>1.0</v>
      </c>
      <c r="I4777" s="53">
        <v>0.1048951048951049</v>
      </c>
      <c r="J4777" s="53">
        <v>22.0</v>
      </c>
      <c r="K4777" s="53" t="s">
        <v>53</v>
      </c>
      <c r="L4777" s="53" t="s">
        <v>53</v>
      </c>
    </row>
    <row r="4778" ht="15.75" customHeight="1">
      <c r="A4778" s="53" t="s">
        <v>411</v>
      </c>
      <c r="B4778" s="53" t="s">
        <v>4945</v>
      </c>
      <c r="D4778" s="53" t="s">
        <v>2895</v>
      </c>
      <c r="E4778" s="53" t="s">
        <v>6111</v>
      </c>
      <c r="F4778" s="53" t="s">
        <v>478</v>
      </c>
      <c r="G4778" s="53" t="s">
        <v>2913</v>
      </c>
      <c r="H4778" s="53">
        <v>1.0</v>
      </c>
      <c r="I4778" s="53">
        <v>0.1056338028169014</v>
      </c>
      <c r="J4778" s="53">
        <v>2.0</v>
      </c>
      <c r="K4778" s="53" t="s">
        <v>53</v>
      </c>
      <c r="L4778" s="53" t="s">
        <v>53</v>
      </c>
    </row>
    <row r="4779" ht="15.75" customHeight="1">
      <c r="A4779" s="53" t="s">
        <v>411</v>
      </c>
      <c r="B4779" s="53" t="s">
        <v>4945</v>
      </c>
      <c r="D4779" s="53" t="s">
        <v>2895</v>
      </c>
      <c r="E4779" s="53" t="s">
        <v>6112</v>
      </c>
      <c r="F4779" s="53" t="s">
        <v>478</v>
      </c>
      <c r="G4779" s="53" t="s">
        <v>2915</v>
      </c>
      <c r="H4779" s="53">
        <v>1.0</v>
      </c>
      <c r="I4779" s="53">
        <v>0.1103448275862069</v>
      </c>
      <c r="J4779" s="53">
        <v>13.0</v>
      </c>
      <c r="K4779" s="53" t="s">
        <v>53</v>
      </c>
      <c r="L4779" s="53" t="s">
        <v>53</v>
      </c>
    </row>
    <row r="4780" ht="15.75" customHeight="1">
      <c r="A4780" s="53" t="s">
        <v>411</v>
      </c>
      <c r="B4780" s="53" t="s">
        <v>4945</v>
      </c>
      <c r="D4780" s="53" t="s">
        <v>2895</v>
      </c>
      <c r="E4780" s="53" t="s">
        <v>6113</v>
      </c>
      <c r="F4780" s="53" t="s">
        <v>478</v>
      </c>
      <c r="G4780" s="53" t="s">
        <v>2911</v>
      </c>
      <c r="H4780" s="53">
        <v>1.0</v>
      </c>
      <c r="I4780" s="53">
        <v>0.11267605633802817</v>
      </c>
      <c r="J4780" s="53">
        <v>4.0</v>
      </c>
      <c r="K4780" s="53" t="s">
        <v>53</v>
      </c>
      <c r="L4780" s="53" t="s">
        <v>53</v>
      </c>
    </row>
    <row r="4781" ht="15.75" customHeight="1">
      <c r="A4781" s="53" t="s">
        <v>411</v>
      </c>
      <c r="B4781" s="53" t="s">
        <v>4945</v>
      </c>
      <c r="D4781" s="53" t="s">
        <v>2895</v>
      </c>
      <c r="E4781" s="53" t="s">
        <v>6114</v>
      </c>
      <c r="F4781" s="53" t="s">
        <v>478</v>
      </c>
      <c r="G4781" s="53" t="s">
        <v>2923</v>
      </c>
      <c r="H4781" s="53">
        <v>1.0</v>
      </c>
      <c r="I4781" s="53">
        <v>0.13513513513513514</v>
      </c>
      <c r="J4781" s="53">
        <v>14.0</v>
      </c>
      <c r="K4781" s="53" t="s">
        <v>53</v>
      </c>
      <c r="L4781" s="53" t="s">
        <v>53</v>
      </c>
    </row>
    <row r="4782" ht="15.75" customHeight="1">
      <c r="A4782" s="53" t="s">
        <v>411</v>
      </c>
      <c r="B4782" s="53" t="s">
        <v>4945</v>
      </c>
      <c r="D4782" s="53" t="s">
        <v>2895</v>
      </c>
      <c r="E4782" s="53" t="s">
        <v>6115</v>
      </c>
      <c r="F4782" s="53" t="s">
        <v>478</v>
      </c>
      <c r="G4782" s="53" t="s">
        <v>2927</v>
      </c>
      <c r="H4782" s="53">
        <v>1.0</v>
      </c>
      <c r="I4782" s="53">
        <v>0.14093959731543623</v>
      </c>
      <c r="J4782" s="53">
        <v>17.0</v>
      </c>
      <c r="K4782" s="53" t="s">
        <v>53</v>
      </c>
      <c r="L4782" s="53" t="s">
        <v>53</v>
      </c>
    </row>
    <row r="4783" ht="15.75" customHeight="1">
      <c r="A4783" s="53" t="s">
        <v>411</v>
      </c>
      <c r="B4783" s="53" t="s">
        <v>4945</v>
      </c>
      <c r="D4783" s="53" t="s">
        <v>2895</v>
      </c>
      <c r="E4783" s="53" t="s">
        <v>6116</v>
      </c>
      <c r="F4783" s="53" t="s">
        <v>478</v>
      </c>
      <c r="G4783" s="53" t="s">
        <v>2921</v>
      </c>
      <c r="H4783" s="53">
        <v>1.0</v>
      </c>
      <c r="I4783" s="53">
        <v>0.14093959731543623</v>
      </c>
      <c r="J4783" s="53">
        <v>16.0</v>
      </c>
      <c r="K4783" s="53" t="s">
        <v>53</v>
      </c>
      <c r="L4783" s="53" t="s">
        <v>53</v>
      </c>
    </row>
    <row r="4784" ht="15.75" customHeight="1">
      <c r="A4784" s="53" t="s">
        <v>411</v>
      </c>
      <c r="B4784" s="53" t="s">
        <v>4945</v>
      </c>
      <c r="D4784" s="53" t="s">
        <v>2895</v>
      </c>
      <c r="E4784" s="53" t="s">
        <v>6117</v>
      </c>
      <c r="F4784" s="53" t="s">
        <v>478</v>
      </c>
      <c r="G4784" s="53" t="s">
        <v>2925</v>
      </c>
      <c r="H4784" s="53">
        <v>1.0</v>
      </c>
      <c r="I4784" s="53">
        <v>0.1456953642384106</v>
      </c>
      <c r="J4784" s="53">
        <v>20.0</v>
      </c>
      <c r="K4784" s="53" t="s">
        <v>53</v>
      </c>
      <c r="L4784" s="53" t="s">
        <v>53</v>
      </c>
    </row>
    <row r="4785" ht="15.75" customHeight="1">
      <c r="A4785" s="53" t="s">
        <v>411</v>
      </c>
      <c r="B4785" s="53" t="s">
        <v>4945</v>
      </c>
      <c r="D4785" s="53" t="s">
        <v>2895</v>
      </c>
      <c r="E4785" s="53" t="s">
        <v>6118</v>
      </c>
      <c r="F4785" s="53" t="s">
        <v>478</v>
      </c>
      <c r="G4785" s="53" t="s">
        <v>2929</v>
      </c>
      <c r="H4785" s="53">
        <v>1.0</v>
      </c>
      <c r="I4785" s="53">
        <v>0.1503267973856209</v>
      </c>
      <c r="J4785" s="53">
        <v>18.0</v>
      </c>
      <c r="K4785" s="53" t="s">
        <v>53</v>
      </c>
      <c r="L4785" s="53" t="s">
        <v>53</v>
      </c>
    </row>
    <row r="4786" ht="15.75" customHeight="1">
      <c r="A4786" s="53" t="s">
        <v>411</v>
      </c>
      <c r="B4786" s="53" t="s">
        <v>4945</v>
      </c>
      <c r="D4786" s="53" t="s">
        <v>2895</v>
      </c>
      <c r="E4786" s="53" t="s">
        <v>6119</v>
      </c>
      <c r="F4786" s="53" t="s">
        <v>478</v>
      </c>
      <c r="G4786" s="53" t="s">
        <v>2919</v>
      </c>
      <c r="H4786" s="53">
        <v>1.0</v>
      </c>
      <c r="I4786" s="53">
        <v>0.152317880794702</v>
      </c>
      <c r="J4786" s="53">
        <v>15.0</v>
      </c>
      <c r="K4786" s="53" t="s">
        <v>53</v>
      </c>
      <c r="L4786" s="53" t="s">
        <v>53</v>
      </c>
    </row>
    <row r="4787" ht="15.75" customHeight="1">
      <c r="A4787" s="53" t="s">
        <v>411</v>
      </c>
      <c r="B4787" s="53" t="s">
        <v>4945</v>
      </c>
      <c r="D4787" s="53" t="s">
        <v>2895</v>
      </c>
      <c r="E4787" s="53" t="s">
        <v>6120</v>
      </c>
      <c r="F4787" s="53" t="s">
        <v>478</v>
      </c>
      <c r="G4787" s="53" t="s">
        <v>2931</v>
      </c>
      <c r="H4787" s="53">
        <v>1.0</v>
      </c>
      <c r="I4787" s="53">
        <v>0.15789473684210525</v>
      </c>
      <c r="J4787" s="53">
        <v>12.0</v>
      </c>
      <c r="K4787" s="53" t="s">
        <v>53</v>
      </c>
      <c r="L4787" s="53" t="s">
        <v>53</v>
      </c>
    </row>
    <row r="4788" ht="15.75" customHeight="1">
      <c r="A4788" s="53" t="s">
        <v>411</v>
      </c>
      <c r="B4788" s="53" t="s">
        <v>4945</v>
      </c>
      <c r="D4788" s="53" t="s">
        <v>2895</v>
      </c>
      <c r="E4788" s="53" t="s">
        <v>6121</v>
      </c>
      <c r="F4788" s="53" t="s">
        <v>478</v>
      </c>
      <c r="G4788" s="53" t="s">
        <v>2933</v>
      </c>
      <c r="H4788" s="53">
        <v>1.0</v>
      </c>
      <c r="I4788" s="53">
        <v>0.1875</v>
      </c>
      <c r="J4788" s="53">
        <v>19.0</v>
      </c>
      <c r="K4788" s="53" t="s">
        <v>53</v>
      </c>
      <c r="L4788" s="53" t="s">
        <v>53</v>
      </c>
    </row>
    <row r="4789" ht="15.75" customHeight="1">
      <c r="A4789" s="53" t="s">
        <v>411</v>
      </c>
      <c r="B4789" s="53" t="s">
        <v>4945</v>
      </c>
      <c r="D4789" s="53" t="s">
        <v>2895</v>
      </c>
      <c r="E4789" s="53" t="s">
        <v>6122</v>
      </c>
      <c r="F4789" s="53" t="s">
        <v>478</v>
      </c>
      <c r="G4789" s="53" t="s">
        <v>2935</v>
      </c>
      <c r="H4789" s="53">
        <v>1.0</v>
      </c>
      <c r="I4789" s="53">
        <v>0.1986754966887417</v>
      </c>
      <c r="J4789" s="53">
        <v>9.0</v>
      </c>
      <c r="K4789" s="53" t="s">
        <v>53</v>
      </c>
      <c r="L4789" s="53" t="s">
        <v>53</v>
      </c>
    </row>
    <row r="4790" ht="15.75" customHeight="1">
      <c r="A4790" s="53" t="s">
        <v>411</v>
      </c>
      <c r="B4790" s="53" t="s">
        <v>4945</v>
      </c>
      <c r="D4790" s="53" t="s">
        <v>2895</v>
      </c>
      <c r="E4790" s="53" t="s">
        <v>6123</v>
      </c>
      <c r="F4790" s="53" t="s">
        <v>478</v>
      </c>
      <c r="G4790" s="53" t="s">
        <v>2937</v>
      </c>
      <c r="H4790" s="53">
        <v>1.0</v>
      </c>
      <c r="I4790" s="53">
        <v>0.2116788321167883</v>
      </c>
      <c r="J4790" s="53">
        <v>27.0</v>
      </c>
      <c r="K4790" s="53" t="s">
        <v>53</v>
      </c>
      <c r="L4790" s="53" t="s">
        <v>53</v>
      </c>
    </row>
    <row r="4791" ht="15.75" customHeight="1">
      <c r="A4791" s="53" t="s">
        <v>411</v>
      </c>
      <c r="B4791" s="53" t="s">
        <v>4945</v>
      </c>
      <c r="D4791" s="53" t="s">
        <v>2895</v>
      </c>
      <c r="E4791" s="53" t="s">
        <v>6124</v>
      </c>
      <c r="F4791" s="53" t="s">
        <v>478</v>
      </c>
      <c r="G4791" s="53" t="s">
        <v>2940</v>
      </c>
      <c r="H4791" s="53">
        <v>1.0</v>
      </c>
      <c r="I4791" s="53">
        <v>0.2116788321167883</v>
      </c>
      <c r="J4791" s="53">
        <v>7.0</v>
      </c>
      <c r="K4791" s="53" t="s">
        <v>53</v>
      </c>
      <c r="L4791" s="53" t="s">
        <v>53</v>
      </c>
    </row>
    <row r="4792" ht="15.75" customHeight="1">
      <c r="A4792" s="53" t="s">
        <v>411</v>
      </c>
      <c r="B4792" s="53" t="s">
        <v>4945</v>
      </c>
      <c r="D4792" s="53" t="s">
        <v>2895</v>
      </c>
      <c r="E4792" s="53" t="s">
        <v>6125</v>
      </c>
      <c r="F4792" s="53" t="s">
        <v>478</v>
      </c>
      <c r="G4792" s="53" t="s">
        <v>2944</v>
      </c>
      <c r="H4792" s="53">
        <v>1.0</v>
      </c>
      <c r="I4792" s="53">
        <v>0.22981366459627328</v>
      </c>
      <c r="J4792" s="53">
        <v>11.0</v>
      </c>
      <c r="K4792" s="53" t="s">
        <v>53</v>
      </c>
      <c r="L4792" s="53" t="s">
        <v>53</v>
      </c>
    </row>
    <row r="4793" ht="15.75" customHeight="1">
      <c r="A4793" s="53" t="s">
        <v>411</v>
      </c>
      <c r="B4793" s="53" t="s">
        <v>4945</v>
      </c>
      <c r="D4793" s="53" t="s">
        <v>2895</v>
      </c>
      <c r="E4793" s="53" t="s">
        <v>6126</v>
      </c>
      <c r="F4793" s="53" t="s">
        <v>478</v>
      </c>
      <c r="G4793" s="53" t="s">
        <v>2950</v>
      </c>
      <c r="H4793" s="53">
        <v>1.0</v>
      </c>
      <c r="I4793" s="53">
        <v>0.23270440251572327</v>
      </c>
      <c r="J4793" s="53">
        <v>8.0</v>
      </c>
      <c r="K4793" s="53" t="s">
        <v>53</v>
      </c>
      <c r="L4793" s="53" t="s">
        <v>53</v>
      </c>
    </row>
    <row r="4794" ht="15.75" customHeight="1">
      <c r="A4794" s="53" t="s">
        <v>411</v>
      </c>
      <c r="B4794" s="53" t="s">
        <v>4945</v>
      </c>
      <c r="D4794" s="53" t="s">
        <v>2895</v>
      </c>
      <c r="E4794" s="53" t="s">
        <v>6127</v>
      </c>
      <c r="F4794" s="53" t="s">
        <v>478</v>
      </c>
      <c r="G4794" s="53" t="s">
        <v>2948</v>
      </c>
      <c r="H4794" s="53">
        <v>1.0</v>
      </c>
      <c r="I4794" s="53">
        <v>0.23943661971830985</v>
      </c>
      <c r="J4794" s="53">
        <v>26.0</v>
      </c>
      <c r="K4794" s="53" t="s">
        <v>53</v>
      </c>
      <c r="L4794" s="53" t="s">
        <v>53</v>
      </c>
    </row>
    <row r="4795" ht="15.75" customHeight="1">
      <c r="A4795" s="53" t="s">
        <v>411</v>
      </c>
      <c r="B4795" s="53" t="s">
        <v>4945</v>
      </c>
      <c r="D4795" s="53" t="s">
        <v>2895</v>
      </c>
      <c r="E4795" s="53" t="s">
        <v>6128</v>
      </c>
      <c r="F4795" s="53" t="s">
        <v>478</v>
      </c>
      <c r="G4795" s="53" t="s">
        <v>2942</v>
      </c>
      <c r="H4795" s="53">
        <v>1.0</v>
      </c>
      <c r="I4795" s="53">
        <v>0.24285714285714285</v>
      </c>
      <c r="J4795" s="53">
        <v>28.0</v>
      </c>
      <c r="K4795" s="53" t="s">
        <v>53</v>
      </c>
      <c r="L4795" s="53" t="s">
        <v>53</v>
      </c>
    </row>
    <row r="4796" ht="15.75" customHeight="1">
      <c r="A4796" s="53" t="s">
        <v>411</v>
      </c>
      <c r="B4796" s="53" t="s">
        <v>4945</v>
      </c>
      <c r="D4796" s="53" t="s">
        <v>2895</v>
      </c>
      <c r="E4796" s="53" t="s">
        <v>6129</v>
      </c>
      <c r="F4796" s="53" t="s">
        <v>478</v>
      </c>
      <c r="G4796" s="53" t="s">
        <v>2954</v>
      </c>
      <c r="H4796" s="53">
        <v>1.0</v>
      </c>
      <c r="I4796" s="53">
        <v>0.2605633802816901</v>
      </c>
      <c r="J4796" s="53">
        <v>5.0</v>
      </c>
      <c r="K4796" s="53" t="s">
        <v>53</v>
      </c>
      <c r="L4796" s="53" t="s">
        <v>53</v>
      </c>
    </row>
    <row r="4797" ht="15.75" customHeight="1">
      <c r="A4797" s="53" t="s">
        <v>411</v>
      </c>
      <c r="B4797" s="53" t="s">
        <v>4945</v>
      </c>
      <c r="D4797" s="53" t="s">
        <v>2895</v>
      </c>
      <c r="E4797" s="53" t="s">
        <v>6130</v>
      </c>
      <c r="F4797" s="53" t="s">
        <v>478</v>
      </c>
      <c r="G4797" s="53" t="s">
        <v>2957</v>
      </c>
      <c r="H4797" s="53">
        <v>1.0</v>
      </c>
      <c r="I4797" s="53">
        <v>0.2606060606060606</v>
      </c>
      <c r="J4797" s="53">
        <v>10.0</v>
      </c>
      <c r="K4797" s="53" t="s">
        <v>53</v>
      </c>
      <c r="L4797" s="53" t="s">
        <v>53</v>
      </c>
    </row>
    <row r="4798" ht="15.75" customHeight="1">
      <c r="A4798" s="53" t="s">
        <v>411</v>
      </c>
      <c r="B4798" s="53" t="s">
        <v>4945</v>
      </c>
      <c r="D4798" s="53" t="s">
        <v>2895</v>
      </c>
      <c r="E4798" s="53" t="s">
        <v>6131</v>
      </c>
      <c r="F4798" s="53" t="s">
        <v>478</v>
      </c>
      <c r="G4798" s="53" t="s">
        <v>485</v>
      </c>
      <c r="H4798" s="53">
        <v>1.0</v>
      </c>
      <c r="I4798" s="53">
        <v>0.2638888888888889</v>
      </c>
      <c r="J4798" s="53">
        <v>23.0</v>
      </c>
      <c r="K4798" s="53" t="s">
        <v>53</v>
      </c>
      <c r="L4798" s="53" t="s">
        <v>53</v>
      </c>
    </row>
    <row r="4799" ht="15.75" customHeight="1">
      <c r="A4799" s="53" t="s">
        <v>411</v>
      </c>
      <c r="B4799" s="53" t="s">
        <v>4945</v>
      </c>
      <c r="D4799" s="53" t="s">
        <v>2895</v>
      </c>
      <c r="E4799" s="53" t="s">
        <v>6132</v>
      </c>
      <c r="F4799" s="53" t="s">
        <v>478</v>
      </c>
      <c r="G4799" s="53" t="s">
        <v>474</v>
      </c>
      <c r="H4799" s="53">
        <v>1.0</v>
      </c>
      <c r="I4799" s="53">
        <v>0.2671232876712329</v>
      </c>
      <c r="J4799" s="53">
        <v>24.0</v>
      </c>
      <c r="K4799" s="53" t="s">
        <v>53</v>
      </c>
      <c r="L4799" s="53" t="s">
        <v>53</v>
      </c>
    </row>
    <row r="4800" ht="15.75" customHeight="1">
      <c r="A4800" s="53" t="s">
        <v>411</v>
      </c>
      <c r="B4800" s="53" t="s">
        <v>4945</v>
      </c>
      <c r="D4800" s="53" t="s">
        <v>2895</v>
      </c>
      <c r="E4800" s="53" t="s">
        <v>6133</v>
      </c>
      <c r="F4800" s="53" t="s">
        <v>478</v>
      </c>
      <c r="G4800" s="53" t="s">
        <v>495</v>
      </c>
      <c r="H4800" s="53">
        <v>1.0</v>
      </c>
      <c r="I4800" s="53">
        <v>0.2753623188405797</v>
      </c>
      <c r="J4800" s="53">
        <v>25.0</v>
      </c>
      <c r="K4800" s="53" t="s">
        <v>53</v>
      </c>
      <c r="L4800" s="53" t="s">
        <v>53</v>
      </c>
    </row>
    <row r="4801" ht="15.75" customHeight="1">
      <c r="A4801" s="53" t="s">
        <v>411</v>
      </c>
      <c r="B4801" s="53" t="s">
        <v>4945</v>
      </c>
      <c r="D4801" s="53" t="s">
        <v>2901</v>
      </c>
      <c r="E4801" s="53" t="s">
        <v>6134</v>
      </c>
      <c r="F4801" s="53" t="s">
        <v>478</v>
      </c>
      <c r="G4801" s="53" t="s">
        <v>2899</v>
      </c>
      <c r="H4801" s="53">
        <v>1.0</v>
      </c>
      <c r="I4801" s="53">
        <v>0.06666666666666667</v>
      </c>
      <c r="J4801" s="53">
        <v>2.0</v>
      </c>
      <c r="K4801" s="53" t="s">
        <v>53</v>
      </c>
      <c r="L4801" s="53" t="s">
        <v>53</v>
      </c>
    </row>
    <row r="4802" ht="15.75" customHeight="1">
      <c r="A4802" s="53" t="s">
        <v>411</v>
      </c>
      <c r="B4802" s="53" t="s">
        <v>4945</v>
      </c>
      <c r="D4802" s="53" t="s">
        <v>2901</v>
      </c>
      <c r="E4802" s="53" t="s">
        <v>6135</v>
      </c>
      <c r="F4802" s="53" t="s">
        <v>478</v>
      </c>
      <c r="G4802" s="53" t="s">
        <v>2905</v>
      </c>
      <c r="H4802" s="53">
        <v>1.0</v>
      </c>
      <c r="I4802" s="53">
        <v>0.07352941176470588</v>
      </c>
      <c r="J4802" s="53">
        <v>5.0</v>
      </c>
      <c r="K4802" s="53" t="s">
        <v>53</v>
      </c>
      <c r="L4802" s="53" t="s">
        <v>53</v>
      </c>
    </row>
    <row r="4803" ht="15.75" customHeight="1">
      <c r="A4803" s="53" t="s">
        <v>411</v>
      </c>
      <c r="B4803" s="53" t="s">
        <v>4945</v>
      </c>
      <c r="D4803" s="53" t="s">
        <v>2901</v>
      </c>
      <c r="E4803" s="53" t="s">
        <v>6136</v>
      </c>
      <c r="F4803" s="53" t="s">
        <v>478</v>
      </c>
      <c r="G4803" s="53" t="s">
        <v>2889</v>
      </c>
      <c r="H4803" s="53">
        <v>1.0</v>
      </c>
      <c r="I4803" s="53">
        <v>0.07352941176470588</v>
      </c>
      <c r="J4803" s="53">
        <v>0.0</v>
      </c>
      <c r="K4803" s="53" t="s">
        <v>53</v>
      </c>
      <c r="L4803" s="53" t="s">
        <v>53</v>
      </c>
    </row>
    <row r="4804" ht="15.75" customHeight="1">
      <c r="A4804" s="53" t="s">
        <v>411</v>
      </c>
      <c r="B4804" s="53" t="s">
        <v>4945</v>
      </c>
      <c r="D4804" s="53" t="s">
        <v>2901</v>
      </c>
      <c r="E4804" s="53" t="s">
        <v>6137</v>
      </c>
      <c r="F4804" s="53" t="s">
        <v>478</v>
      </c>
      <c r="G4804" s="53" t="s">
        <v>2907</v>
      </c>
      <c r="H4804" s="53">
        <v>1.0</v>
      </c>
      <c r="I4804" s="53">
        <v>0.09352517985611511</v>
      </c>
      <c r="J4804" s="53">
        <v>20.0</v>
      </c>
      <c r="K4804" s="53" t="s">
        <v>53</v>
      </c>
      <c r="L4804" s="53" t="s">
        <v>53</v>
      </c>
    </row>
    <row r="4805" ht="15.75" customHeight="1">
      <c r="A4805" s="53" t="s">
        <v>411</v>
      </c>
      <c r="B4805" s="53" t="s">
        <v>4945</v>
      </c>
      <c r="D4805" s="53" t="s">
        <v>2901</v>
      </c>
      <c r="E4805" s="53" t="s">
        <v>6138</v>
      </c>
      <c r="F4805" s="53" t="s">
        <v>478</v>
      </c>
      <c r="G4805" s="53" t="s">
        <v>2917</v>
      </c>
      <c r="H4805" s="53">
        <v>1.0</v>
      </c>
      <c r="I4805" s="53">
        <v>0.0979020979020979</v>
      </c>
      <c r="J4805" s="53">
        <v>21.0</v>
      </c>
      <c r="K4805" s="53" t="s">
        <v>53</v>
      </c>
      <c r="L4805" s="53" t="s">
        <v>53</v>
      </c>
    </row>
    <row r="4806" ht="15.75" customHeight="1">
      <c r="A4806" s="53" t="s">
        <v>411</v>
      </c>
      <c r="B4806" s="53" t="s">
        <v>4945</v>
      </c>
      <c r="D4806" s="53" t="s">
        <v>2901</v>
      </c>
      <c r="E4806" s="53" t="s">
        <v>6139</v>
      </c>
      <c r="F4806" s="53" t="s">
        <v>478</v>
      </c>
      <c r="G4806" s="53" t="s">
        <v>2913</v>
      </c>
      <c r="H4806" s="53">
        <v>1.0</v>
      </c>
      <c r="I4806" s="53">
        <v>0.1056338028169014</v>
      </c>
      <c r="J4806" s="53">
        <v>1.0</v>
      </c>
      <c r="K4806" s="53" t="s">
        <v>53</v>
      </c>
      <c r="L4806" s="53" t="s">
        <v>53</v>
      </c>
    </row>
    <row r="4807" ht="15.75" customHeight="1">
      <c r="A4807" s="53" t="s">
        <v>411</v>
      </c>
      <c r="B4807" s="53" t="s">
        <v>4945</v>
      </c>
      <c r="D4807" s="53" t="s">
        <v>2901</v>
      </c>
      <c r="E4807" s="53" t="s">
        <v>6140</v>
      </c>
      <c r="F4807" s="53" t="s">
        <v>478</v>
      </c>
      <c r="G4807" s="53" t="s">
        <v>2911</v>
      </c>
      <c r="H4807" s="53">
        <v>1.0</v>
      </c>
      <c r="I4807" s="53">
        <v>0.11971830985915492</v>
      </c>
      <c r="J4807" s="53">
        <v>3.0</v>
      </c>
      <c r="K4807" s="53" t="s">
        <v>53</v>
      </c>
      <c r="L4807" s="53" t="s">
        <v>53</v>
      </c>
    </row>
    <row r="4808" ht="15.75" customHeight="1">
      <c r="A4808" s="53" t="s">
        <v>411</v>
      </c>
      <c r="B4808" s="53" t="s">
        <v>4945</v>
      </c>
      <c r="D4808" s="53" t="s">
        <v>2901</v>
      </c>
      <c r="E4808" s="53" t="s">
        <v>6141</v>
      </c>
      <c r="F4808" s="53" t="s">
        <v>478</v>
      </c>
      <c r="G4808" s="53" t="s">
        <v>2915</v>
      </c>
      <c r="H4808" s="53">
        <v>1.0</v>
      </c>
      <c r="I4808" s="53">
        <v>0.1310344827586207</v>
      </c>
      <c r="J4808" s="53">
        <v>12.0</v>
      </c>
      <c r="K4808" s="53" t="s">
        <v>53</v>
      </c>
      <c r="L4808" s="53" t="s">
        <v>53</v>
      </c>
    </row>
    <row r="4809" ht="15.75" customHeight="1">
      <c r="A4809" s="53" t="s">
        <v>411</v>
      </c>
      <c r="B4809" s="53" t="s">
        <v>4945</v>
      </c>
      <c r="D4809" s="53" t="s">
        <v>2901</v>
      </c>
      <c r="E4809" s="53" t="s">
        <v>6142</v>
      </c>
      <c r="F4809" s="53" t="s">
        <v>478</v>
      </c>
      <c r="G4809" s="53" t="s">
        <v>2923</v>
      </c>
      <c r="H4809" s="53">
        <v>1.0</v>
      </c>
      <c r="I4809" s="53">
        <v>0.13513513513513514</v>
      </c>
      <c r="J4809" s="53">
        <v>13.0</v>
      </c>
      <c r="K4809" s="53" t="s">
        <v>53</v>
      </c>
      <c r="L4809" s="53" t="s">
        <v>53</v>
      </c>
    </row>
    <row r="4810" ht="15.75" customHeight="1">
      <c r="A4810" s="53" t="s">
        <v>411</v>
      </c>
      <c r="B4810" s="53" t="s">
        <v>4945</v>
      </c>
      <c r="D4810" s="53" t="s">
        <v>2901</v>
      </c>
      <c r="E4810" s="53" t="s">
        <v>6143</v>
      </c>
      <c r="F4810" s="53" t="s">
        <v>478</v>
      </c>
      <c r="G4810" s="53" t="s">
        <v>2919</v>
      </c>
      <c r="H4810" s="53">
        <v>1.0</v>
      </c>
      <c r="I4810" s="53">
        <v>0.1456953642384106</v>
      </c>
      <c r="J4810" s="53">
        <v>14.0</v>
      </c>
      <c r="K4810" s="53" t="s">
        <v>53</v>
      </c>
      <c r="L4810" s="53" t="s">
        <v>53</v>
      </c>
    </row>
    <row r="4811" ht="15.75" customHeight="1">
      <c r="A4811" s="53" t="s">
        <v>411</v>
      </c>
      <c r="B4811" s="53" t="s">
        <v>4945</v>
      </c>
      <c r="D4811" s="53" t="s">
        <v>2901</v>
      </c>
      <c r="E4811" s="53" t="s">
        <v>6144</v>
      </c>
      <c r="F4811" s="53" t="s">
        <v>478</v>
      </c>
      <c r="G4811" s="53" t="s">
        <v>2927</v>
      </c>
      <c r="H4811" s="53">
        <v>1.0</v>
      </c>
      <c r="I4811" s="53">
        <v>0.1476510067114094</v>
      </c>
      <c r="J4811" s="53">
        <v>16.0</v>
      </c>
      <c r="K4811" s="53" t="s">
        <v>53</v>
      </c>
      <c r="L4811" s="53" t="s">
        <v>53</v>
      </c>
    </row>
    <row r="4812" ht="15.75" customHeight="1">
      <c r="A4812" s="53" t="s">
        <v>411</v>
      </c>
      <c r="B4812" s="53" t="s">
        <v>4945</v>
      </c>
      <c r="D4812" s="53" t="s">
        <v>2901</v>
      </c>
      <c r="E4812" s="53" t="s">
        <v>6145</v>
      </c>
      <c r="F4812" s="53" t="s">
        <v>478</v>
      </c>
      <c r="G4812" s="53" t="s">
        <v>2931</v>
      </c>
      <c r="H4812" s="53">
        <v>1.0</v>
      </c>
      <c r="I4812" s="53">
        <v>0.15789473684210525</v>
      </c>
      <c r="J4812" s="53">
        <v>11.0</v>
      </c>
      <c r="K4812" s="53" t="s">
        <v>53</v>
      </c>
      <c r="L4812" s="53" t="s">
        <v>53</v>
      </c>
    </row>
    <row r="4813" ht="15.75" customHeight="1">
      <c r="A4813" s="53" t="s">
        <v>411</v>
      </c>
      <c r="B4813" s="53" t="s">
        <v>4945</v>
      </c>
      <c r="D4813" s="53" t="s">
        <v>2901</v>
      </c>
      <c r="E4813" s="53" t="s">
        <v>6146</v>
      </c>
      <c r="F4813" s="53" t="s">
        <v>478</v>
      </c>
      <c r="G4813" s="53" t="s">
        <v>2921</v>
      </c>
      <c r="H4813" s="53">
        <v>1.0</v>
      </c>
      <c r="I4813" s="53">
        <v>0.1610738255033557</v>
      </c>
      <c r="J4813" s="53">
        <v>15.0</v>
      </c>
      <c r="K4813" s="53" t="s">
        <v>53</v>
      </c>
      <c r="L4813" s="53" t="s">
        <v>53</v>
      </c>
    </row>
    <row r="4814" ht="15.75" customHeight="1">
      <c r="A4814" s="53" t="s">
        <v>411</v>
      </c>
      <c r="B4814" s="53" t="s">
        <v>4945</v>
      </c>
      <c r="D4814" s="53" t="s">
        <v>2901</v>
      </c>
      <c r="E4814" s="53" t="s">
        <v>6147</v>
      </c>
      <c r="F4814" s="53" t="s">
        <v>478</v>
      </c>
      <c r="G4814" s="53" t="s">
        <v>2925</v>
      </c>
      <c r="H4814" s="53">
        <v>1.0</v>
      </c>
      <c r="I4814" s="53">
        <v>0.16556291390728478</v>
      </c>
      <c r="J4814" s="53">
        <v>19.0</v>
      </c>
      <c r="K4814" s="53" t="s">
        <v>53</v>
      </c>
      <c r="L4814" s="53" t="s">
        <v>53</v>
      </c>
    </row>
    <row r="4815" ht="15.75" customHeight="1">
      <c r="A4815" s="53" t="s">
        <v>411</v>
      </c>
      <c r="B4815" s="53" t="s">
        <v>4945</v>
      </c>
      <c r="D4815" s="53" t="s">
        <v>2901</v>
      </c>
      <c r="E4815" s="53" t="s">
        <v>6148</v>
      </c>
      <c r="F4815" s="53" t="s">
        <v>478</v>
      </c>
      <c r="G4815" s="53" t="s">
        <v>2929</v>
      </c>
      <c r="H4815" s="53">
        <v>1.0</v>
      </c>
      <c r="I4815" s="53">
        <v>0.16993464052287582</v>
      </c>
      <c r="J4815" s="53">
        <v>17.0</v>
      </c>
      <c r="K4815" s="53" t="s">
        <v>53</v>
      </c>
      <c r="L4815" s="53" t="s">
        <v>53</v>
      </c>
    </row>
    <row r="4816" ht="15.75" customHeight="1">
      <c r="A4816" s="53" t="s">
        <v>411</v>
      </c>
      <c r="B4816" s="53" t="s">
        <v>4945</v>
      </c>
      <c r="D4816" s="53" t="s">
        <v>2901</v>
      </c>
      <c r="E4816" s="53" t="s">
        <v>6149</v>
      </c>
      <c r="F4816" s="53" t="s">
        <v>478</v>
      </c>
      <c r="G4816" s="53" t="s">
        <v>2933</v>
      </c>
      <c r="H4816" s="53">
        <v>1.0</v>
      </c>
      <c r="I4816" s="53">
        <v>0.18125</v>
      </c>
      <c r="J4816" s="53">
        <v>18.0</v>
      </c>
      <c r="K4816" s="53" t="s">
        <v>53</v>
      </c>
      <c r="L4816" s="53" t="s">
        <v>53</v>
      </c>
    </row>
    <row r="4817" ht="15.75" customHeight="1">
      <c r="A4817" s="53" t="s">
        <v>411</v>
      </c>
      <c r="B4817" s="53" t="s">
        <v>4945</v>
      </c>
      <c r="D4817" s="53" t="s">
        <v>2901</v>
      </c>
      <c r="E4817" s="53" t="s">
        <v>6150</v>
      </c>
      <c r="F4817" s="53" t="s">
        <v>478</v>
      </c>
      <c r="G4817" s="53" t="s">
        <v>2950</v>
      </c>
      <c r="H4817" s="53">
        <v>1.0</v>
      </c>
      <c r="I4817" s="53">
        <v>0.18867924528301888</v>
      </c>
      <c r="J4817" s="53">
        <v>7.0</v>
      </c>
      <c r="K4817" s="53" t="s">
        <v>53</v>
      </c>
      <c r="L4817" s="53" t="s">
        <v>53</v>
      </c>
    </row>
    <row r="4818" ht="15.75" customHeight="1">
      <c r="A4818" s="53" t="s">
        <v>411</v>
      </c>
      <c r="B4818" s="53" t="s">
        <v>4945</v>
      </c>
      <c r="D4818" s="53" t="s">
        <v>2901</v>
      </c>
      <c r="E4818" s="53" t="s">
        <v>6151</v>
      </c>
      <c r="F4818" s="53" t="s">
        <v>478</v>
      </c>
      <c r="G4818" s="53" t="s">
        <v>2935</v>
      </c>
      <c r="H4818" s="53">
        <v>1.0</v>
      </c>
      <c r="I4818" s="53">
        <v>0.19205298013245034</v>
      </c>
      <c r="J4818" s="53">
        <v>8.0</v>
      </c>
      <c r="K4818" s="53" t="s">
        <v>53</v>
      </c>
      <c r="L4818" s="53" t="s">
        <v>53</v>
      </c>
    </row>
    <row r="4819" ht="15.75" customHeight="1">
      <c r="A4819" s="53" t="s">
        <v>411</v>
      </c>
      <c r="B4819" s="53" t="s">
        <v>4945</v>
      </c>
      <c r="D4819" s="53" t="s">
        <v>2901</v>
      </c>
      <c r="E4819" s="53" t="s">
        <v>6152</v>
      </c>
      <c r="F4819" s="53" t="s">
        <v>478</v>
      </c>
      <c r="G4819" s="53" t="s">
        <v>2937</v>
      </c>
      <c r="H4819" s="53">
        <v>1.0</v>
      </c>
      <c r="I4819" s="53">
        <v>0.20437956204379562</v>
      </c>
      <c r="J4819" s="53">
        <v>26.0</v>
      </c>
      <c r="K4819" s="53" t="s">
        <v>53</v>
      </c>
      <c r="L4819" s="53" t="s">
        <v>53</v>
      </c>
    </row>
    <row r="4820" ht="15.75" customHeight="1">
      <c r="A4820" s="53" t="s">
        <v>411</v>
      </c>
      <c r="B4820" s="53" t="s">
        <v>4945</v>
      </c>
      <c r="D4820" s="53" t="s">
        <v>2901</v>
      </c>
      <c r="E4820" s="53" t="s">
        <v>6153</v>
      </c>
      <c r="F4820" s="53" t="s">
        <v>478</v>
      </c>
      <c r="G4820" s="53" t="s">
        <v>2940</v>
      </c>
      <c r="H4820" s="53">
        <v>1.0</v>
      </c>
      <c r="I4820" s="53">
        <v>0.2074074074074074</v>
      </c>
      <c r="J4820" s="53">
        <v>6.0</v>
      </c>
      <c r="K4820" s="53" t="s">
        <v>53</v>
      </c>
      <c r="L4820" s="53" t="s">
        <v>53</v>
      </c>
    </row>
    <row r="4821" ht="15.75" customHeight="1">
      <c r="A4821" s="53" t="s">
        <v>411</v>
      </c>
      <c r="B4821" s="53" t="s">
        <v>4945</v>
      </c>
      <c r="D4821" s="53" t="s">
        <v>2901</v>
      </c>
      <c r="E4821" s="53" t="s">
        <v>6154</v>
      </c>
      <c r="F4821" s="53" t="s">
        <v>478</v>
      </c>
      <c r="G4821" s="53" t="s">
        <v>2942</v>
      </c>
      <c r="H4821" s="53">
        <v>1.0</v>
      </c>
      <c r="I4821" s="53">
        <v>0.22857142857142856</v>
      </c>
      <c r="J4821" s="53">
        <v>27.0</v>
      </c>
      <c r="K4821" s="53" t="s">
        <v>53</v>
      </c>
      <c r="L4821" s="53" t="s">
        <v>53</v>
      </c>
    </row>
    <row r="4822" ht="15.75" customHeight="1">
      <c r="A4822" s="53" t="s">
        <v>411</v>
      </c>
      <c r="B4822" s="53" t="s">
        <v>4945</v>
      </c>
      <c r="D4822" s="53" t="s">
        <v>2901</v>
      </c>
      <c r="E4822" s="53" t="s">
        <v>6155</v>
      </c>
      <c r="F4822" s="53" t="s">
        <v>478</v>
      </c>
      <c r="G4822" s="53" t="s">
        <v>2944</v>
      </c>
      <c r="H4822" s="53">
        <v>1.0</v>
      </c>
      <c r="I4822" s="53">
        <v>0.2360248447204969</v>
      </c>
      <c r="J4822" s="53">
        <v>10.0</v>
      </c>
      <c r="K4822" s="53" t="s">
        <v>53</v>
      </c>
      <c r="L4822" s="53" t="s">
        <v>53</v>
      </c>
    </row>
    <row r="4823" ht="15.75" customHeight="1">
      <c r="A4823" s="53" t="s">
        <v>411</v>
      </c>
      <c r="B4823" s="53" t="s">
        <v>4945</v>
      </c>
      <c r="D4823" s="53" t="s">
        <v>2901</v>
      </c>
      <c r="E4823" s="53" t="s">
        <v>6156</v>
      </c>
      <c r="F4823" s="53" t="s">
        <v>478</v>
      </c>
      <c r="G4823" s="53" t="s">
        <v>2948</v>
      </c>
      <c r="H4823" s="53">
        <v>1.0</v>
      </c>
      <c r="I4823" s="53">
        <v>0.23943661971830985</v>
      </c>
      <c r="J4823" s="53">
        <v>25.0</v>
      </c>
      <c r="K4823" s="53" t="s">
        <v>53</v>
      </c>
      <c r="L4823" s="53" t="s">
        <v>53</v>
      </c>
    </row>
    <row r="4824" ht="15.75" customHeight="1">
      <c r="A4824" s="53" t="s">
        <v>411</v>
      </c>
      <c r="B4824" s="53" t="s">
        <v>4945</v>
      </c>
      <c r="D4824" s="53" t="s">
        <v>2901</v>
      </c>
      <c r="E4824" s="53" t="s">
        <v>6157</v>
      </c>
      <c r="F4824" s="53" t="s">
        <v>478</v>
      </c>
      <c r="G4824" s="53" t="s">
        <v>2954</v>
      </c>
      <c r="H4824" s="53">
        <v>1.0</v>
      </c>
      <c r="I4824" s="53">
        <v>0.2676056338028169</v>
      </c>
      <c r="J4824" s="53">
        <v>4.0</v>
      </c>
      <c r="K4824" s="53" t="s">
        <v>53</v>
      </c>
      <c r="L4824" s="53" t="s">
        <v>53</v>
      </c>
    </row>
    <row r="4825" ht="15.75" customHeight="1">
      <c r="A4825" s="53" t="s">
        <v>411</v>
      </c>
      <c r="B4825" s="53" t="s">
        <v>4945</v>
      </c>
      <c r="D4825" s="53" t="s">
        <v>2901</v>
      </c>
      <c r="E4825" s="53" t="s">
        <v>6158</v>
      </c>
      <c r="F4825" s="53" t="s">
        <v>478</v>
      </c>
      <c r="G4825" s="53" t="s">
        <v>495</v>
      </c>
      <c r="H4825" s="53">
        <v>1.0</v>
      </c>
      <c r="I4825" s="53">
        <v>0.26811594202898553</v>
      </c>
      <c r="J4825" s="53">
        <v>24.0</v>
      </c>
      <c r="K4825" s="53" t="s">
        <v>53</v>
      </c>
      <c r="L4825" s="53" t="s">
        <v>53</v>
      </c>
    </row>
    <row r="4826" ht="15.75" customHeight="1">
      <c r="A4826" s="53" t="s">
        <v>411</v>
      </c>
      <c r="B4826" s="53" t="s">
        <v>4945</v>
      </c>
      <c r="D4826" s="53" t="s">
        <v>2901</v>
      </c>
      <c r="E4826" s="53" t="s">
        <v>6159</v>
      </c>
      <c r="F4826" s="53" t="s">
        <v>478</v>
      </c>
      <c r="G4826" s="53" t="s">
        <v>485</v>
      </c>
      <c r="H4826" s="53">
        <v>1.0</v>
      </c>
      <c r="I4826" s="53">
        <v>0.2708333333333333</v>
      </c>
      <c r="J4826" s="53">
        <v>22.0</v>
      </c>
      <c r="K4826" s="53" t="s">
        <v>53</v>
      </c>
      <c r="L4826" s="53" t="s">
        <v>53</v>
      </c>
    </row>
    <row r="4827" ht="15.75" customHeight="1">
      <c r="A4827" s="53" t="s">
        <v>411</v>
      </c>
      <c r="B4827" s="53" t="s">
        <v>4945</v>
      </c>
      <c r="D4827" s="53" t="s">
        <v>2901</v>
      </c>
      <c r="E4827" s="53" t="s">
        <v>6160</v>
      </c>
      <c r="F4827" s="53" t="s">
        <v>478</v>
      </c>
      <c r="G4827" s="53" t="s">
        <v>2957</v>
      </c>
      <c r="H4827" s="53">
        <v>1.0</v>
      </c>
      <c r="I4827" s="53">
        <v>0.2727272727272727</v>
      </c>
      <c r="J4827" s="53">
        <v>9.0</v>
      </c>
      <c r="K4827" s="53" t="s">
        <v>53</v>
      </c>
      <c r="L4827" s="53" t="s">
        <v>53</v>
      </c>
    </row>
    <row r="4828" ht="15.75" customHeight="1">
      <c r="A4828" s="53" t="s">
        <v>411</v>
      </c>
      <c r="B4828" s="53" t="s">
        <v>4945</v>
      </c>
      <c r="D4828" s="53" t="s">
        <v>2901</v>
      </c>
      <c r="E4828" s="53" t="s">
        <v>6161</v>
      </c>
      <c r="F4828" s="53" t="s">
        <v>478</v>
      </c>
      <c r="G4828" s="53" t="s">
        <v>474</v>
      </c>
      <c r="H4828" s="53">
        <v>1.0</v>
      </c>
      <c r="I4828" s="53">
        <v>0.2808219178082192</v>
      </c>
      <c r="J4828" s="53">
        <v>23.0</v>
      </c>
      <c r="K4828" s="53" t="s">
        <v>53</v>
      </c>
      <c r="L4828" s="53" t="s">
        <v>53</v>
      </c>
    </row>
    <row r="4829" ht="15.75" customHeight="1">
      <c r="A4829" s="53" t="s">
        <v>411</v>
      </c>
      <c r="B4829" s="53" t="s">
        <v>4945</v>
      </c>
      <c r="D4829" s="53" t="s">
        <v>2889</v>
      </c>
      <c r="E4829" s="53" t="s">
        <v>6162</v>
      </c>
      <c r="F4829" s="53" t="s">
        <v>478</v>
      </c>
      <c r="G4829" s="53" t="s">
        <v>2899</v>
      </c>
      <c r="H4829" s="53">
        <v>1.0</v>
      </c>
      <c r="I4829" s="53">
        <v>0.0661764705882353</v>
      </c>
      <c r="J4829" s="53">
        <v>1.0</v>
      </c>
      <c r="K4829" s="53" t="s">
        <v>53</v>
      </c>
      <c r="L4829" s="53" t="s">
        <v>53</v>
      </c>
    </row>
    <row r="4830" ht="15.75" customHeight="1">
      <c r="A4830" s="53" t="s">
        <v>411</v>
      </c>
      <c r="B4830" s="53" t="s">
        <v>4945</v>
      </c>
      <c r="D4830" s="53" t="s">
        <v>2889</v>
      </c>
      <c r="E4830" s="53" t="s">
        <v>6163</v>
      </c>
      <c r="F4830" s="53" t="s">
        <v>478</v>
      </c>
      <c r="G4830" s="53" t="s">
        <v>2905</v>
      </c>
      <c r="H4830" s="53">
        <v>1.0</v>
      </c>
      <c r="I4830" s="53">
        <v>0.0661764705882353</v>
      </c>
      <c r="J4830" s="53">
        <v>4.0</v>
      </c>
      <c r="K4830" s="53" t="s">
        <v>53</v>
      </c>
      <c r="L4830" s="53" t="s">
        <v>53</v>
      </c>
    </row>
    <row r="4831" ht="15.75" customHeight="1">
      <c r="A4831" s="53" t="s">
        <v>411</v>
      </c>
      <c r="B4831" s="53" t="s">
        <v>4945</v>
      </c>
      <c r="D4831" s="53" t="s">
        <v>2889</v>
      </c>
      <c r="E4831" s="53" t="s">
        <v>6164</v>
      </c>
      <c r="F4831" s="53" t="s">
        <v>478</v>
      </c>
      <c r="G4831" s="53" t="s">
        <v>2907</v>
      </c>
      <c r="H4831" s="53">
        <v>1.0</v>
      </c>
      <c r="I4831" s="53">
        <v>0.09352517985611511</v>
      </c>
      <c r="J4831" s="53">
        <v>19.0</v>
      </c>
      <c r="K4831" s="53" t="s">
        <v>53</v>
      </c>
      <c r="L4831" s="53" t="s">
        <v>53</v>
      </c>
    </row>
    <row r="4832" ht="15.75" customHeight="1">
      <c r="A4832" s="53" t="s">
        <v>411</v>
      </c>
      <c r="B4832" s="53" t="s">
        <v>4945</v>
      </c>
      <c r="D4832" s="53" t="s">
        <v>2889</v>
      </c>
      <c r="E4832" s="53" t="s">
        <v>6165</v>
      </c>
      <c r="F4832" s="53" t="s">
        <v>478</v>
      </c>
      <c r="G4832" s="53" t="s">
        <v>2911</v>
      </c>
      <c r="H4832" s="53">
        <v>1.0</v>
      </c>
      <c r="I4832" s="53">
        <v>0.1056338028169014</v>
      </c>
      <c r="J4832" s="53">
        <v>2.0</v>
      </c>
      <c r="K4832" s="53" t="s">
        <v>53</v>
      </c>
      <c r="L4832" s="53" t="s">
        <v>53</v>
      </c>
    </row>
    <row r="4833" ht="15.75" customHeight="1">
      <c r="A4833" s="53" t="s">
        <v>411</v>
      </c>
      <c r="B4833" s="53" t="s">
        <v>4945</v>
      </c>
      <c r="D4833" s="53" t="s">
        <v>2889</v>
      </c>
      <c r="E4833" s="53" t="s">
        <v>6166</v>
      </c>
      <c r="F4833" s="53" t="s">
        <v>478</v>
      </c>
      <c r="G4833" s="53" t="s">
        <v>2913</v>
      </c>
      <c r="H4833" s="53">
        <v>1.0</v>
      </c>
      <c r="I4833" s="53">
        <v>0.1056338028169014</v>
      </c>
      <c r="J4833" s="53">
        <v>0.0</v>
      </c>
      <c r="K4833" s="53" t="s">
        <v>53</v>
      </c>
      <c r="L4833" s="53" t="s">
        <v>53</v>
      </c>
    </row>
    <row r="4834" ht="15.75" customHeight="1">
      <c r="A4834" s="53" t="s">
        <v>411</v>
      </c>
      <c r="B4834" s="53" t="s">
        <v>4945</v>
      </c>
      <c r="D4834" s="53" t="s">
        <v>2889</v>
      </c>
      <c r="E4834" s="53" t="s">
        <v>6167</v>
      </c>
      <c r="F4834" s="53" t="s">
        <v>478</v>
      </c>
      <c r="G4834" s="53" t="s">
        <v>2915</v>
      </c>
      <c r="H4834" s="53">
        <v>1.0</v>
      </c>
      <c r="I4834" s="53">
        <v>0.1103448275862069</v>
      </c>
      <c r="J4834" s="53">
        <v>11.0</v>
      </c>
      <c r="K4834" s="53" t="s">
        <v>53</v>
      </c>
      <c r="L4834" s="53" t="s">
        <v>53</v>
      </c>
    </row>
    <row r="4835" ht="15.75" customHeight="1">
      <c r="A4835" s="53" t="s">
        <v>411</v>
      </c>
      <c r="B4835" s="53" t="s">
        <v>4945</v>
      </c>
      <c r="D4835" s="53" t="s">
        <v>2889</v>
      </c>
      <c r="E4835" s="53" t="s">
        <v>6168</v>
      </c>
      <c r="F4835" s="53" t="s">
        <v>478</v>
      </c>
      <c r="G4835" s="53" t="s">
        <v>2917</v>
      </c>
      <c r="H4835" s="53">
        <v>1.0</v>
      </c>
      <c r="I4835" s="53">
        <v>0.11188811188811189</v>
      </c>
      <c r="J4835" s="53">
        <v>20.0</v>
      </c>
      <c r="K4835" s="53" t="s">
        <v>53</v>
      </c>
      <c r="L4835" s="53" t="s">
        <v>53</v>
      </c>
    </row>
    <row r="4836" ht="15.75" customHeight="1">
      <c r="A4836" s="53" t="s">
        <v>411</v>
      </c>
      <c r="B4836" s="53" t="s">
        <v>4945</v>
      </c>
      <c r="D4836" s="53" t="s">
        <v>2889</v>
      </c>
      <c r="E4836" s="53" t="s">
        <v>6169</v>
      </c>
      <c r="F4836" s="53" t="s">
        <v>478</v>
      </c>
      <c r="G4836" s="53" t="s">
        <v>2919</v>
      </c>
      <c r="H4836" s="53">
        <v>1.0</v>
      </c>
      <c r="I4836" s="53">
        <v>0.13245033112582782</v>
      </c>
      <c r="J4836" s="53">
        <v>13.0</v>
      </c>
      <c r="K4836" s="53" t="s">
        <v>53</v>
      </c>
      <c r="L4836" s="53" t="s">
        <v>53</v>
      </c>
    </row>
    <row r="4837" ht="15.75" customHeight="1">
      <c r="A4837" s="53" t="s">
        <v>411</v>
      </c>
      <c r="B4837" s="53" t="s">
        <v>4945</v>
      </c>
      <c r="D4837" s="53" t="s">
        <v>2889</v>
      </c>
      <c r="E4837" s="53" t="s">
        <v>6170</v>
      </c>
      <c r="F4837" s="53" t="s">
        <v>478</v>
      </c>
      <c r="G4837" s="53" t="s">
        <v>2921</v>
      </c>
      <c r="H4837" s="53">
        <v>1.0</v>
      </c>
      <c r="I4837" s="53">
        <v>0.1342281879194631</v>
      </c>
      <c r="J4837" s="53">
        <v>14.0</v>
      </c>
      <c r="K4837" s="53" t="s">
        <v>53</v>
      </c>
      <c r="L4837" s="53" t="s">
        <v>53</v>
      </c>
    </row>
    <row r="4838" ht="15.75" customHeight="1">
      <c r="A4838" s="53" t="s">
        <v>411</v>
      </c>
      <c r="B4838" s="53" t="s">
        <v>4945</v>
      </c>
      <c r="D4838" s="53" t="s">
        <v>2889</v>
      </c>
      <c r="E4838" s="53" t="s">
        <v>6171</v>
      </c>
      <c r="F4838" s="53" t="s">
        <v>478</v>
      </c>
      <c r="G4838" s="53" t="s">
        <v>2923</v>
      </c>
      <c r="H4838" s="53">
        <v>1.0</v>
      </c>
      <c r="I4838" s="53">
        <v>0.13513513513513514</v>
      </c>
      <c r="J4838" s="53">
        <v>12.0</v>
      </c>
      <c r="K4838" s="53" t="s">
        <v>53</v>
      </c>
      <c r="L4838" s="53" t="s">
        <v>53</v>
      </c>
    </row>
    <row r="4839" ht="15.75" customHeight="1">
      <c r="A4839" s="53" t="s">
        <v>411</v>
      </c>
      <c r="B4839" s="53" t="s">
        <v>4945</v>
      </c>
      <c r="D4839" s="53" t="s">
        <v>2889</v>
      </c>
      <c r="E4839" s="53" t="s">
        <v>6172</v>
      </c>
      <c r="F4839" s="53" t="s">
        <v>478</v>
      </c>
      <c r="G4839" s="53" t="s">
        <v>2925</v>
      </c>
      <c r="H4839" s="53">
        <v>1.0</v>
      </c>
      <c r="I4839" s="53">
        <v>0.1390728476821192</v>
      </c>
      <c r="J4839" s="53">
        <v>18.0</v>
      </c>
      <c r="K4839" s="53" t="s">
        <v>53</v>
      </c>
      <c r="L4839" s="53" t="s">
        <v>53</v>
      </c>
    </row>
    <row r="4840" ht="15.75" customHeight="1">
      <c r="A4840" s="53" t="s">
        <v>411</v>
      </c>
      <c r="B4840" s="53" t="s">
        <v>4945</v>
      </c>
      <c r="D4840" s="53" t="s">
        <v>2889</v>
      </c>
      <c r="E4840" s="53" t="s">
        <v>6173</v>
      </c>
      <c r="F4840" s="53" t="s">
        <v>478</v>
      </c>
      <c r="G4840" s="53" t="s">
        <v>2927</v>
      </c>
      <c r="H4840" s="53">
        <v>1.0</v>
      </c>
      <c r="I4840" s="53">
        <v>0.14093959731543623</v>
      </c>
      <c r="J4840" s="53">
        <v>15.0</v>
      </c>
      <c r="K4840" s="53" t="s">
        <v>53</v>
      </c>
      <c r="L4840" s="53" t="s">
        <v>53</v>
      </c>
    </row>
    <row r="4841" ht="15.75" customHeight="1">
      <c r="A4841" s="53" t="s">
        <v>411</v>
      </c>
      <c r="B4841" s="53" t="s">
        <v>4945</v>
      </c>
      <c r="D4841" s="53" t="s">
        <v>2889</v>
      </c>
      <c r="E4841" s="53" t="s">
        <v>6174</v>
      </c>
      <c r="F4841" s="53" t="s">
        <v>478</v>
      </c>
      <c r="G4841" s="53" t="s">
        <v>2929</v>
      </c>
      <c r="H4841" s="53">
        <v>1.0</v>
      </c>
      <c r="I4841" s="53">
        <v>0.1503267973856209</v>
      </c>
      <c r="J4841" s="53">
        <v>16.0</v>
      </c>
      <c r="K4841" s="53" t="s">
        <v>53</v>
      </c>
      <c r="L4841" s="53" t="s">
        <v>53</v>
      </c>
    </row>
    <row r="4842" ht="15.75" customHeight="1">
      <c r="A4842" s="53" t="s">
        <v>411</v>
      </c>
      <c r="B4842" s="53" t="s">
        <v>4945</v>
      </c>
      <c r="D4842" s="53" t="s">
        <v>2889</v>
      </c>
      <c r="E4842" s="53" t="s">
        <v>6175</v>
      </c>
      <c r="F4842" s="53" t="s">
        <v>478</v>
      </c>
      <c r="G4842" s="53" t="s">
        <v>2931</v>
      </c>
      <c r="H4842" s="53">
        <v>1.0</v>
      </c>
      <c r="I4842" s="53">
        <v>0.1513157894736842</v>
      </c>
      <c r="J4842" s="53">
        <v>10.0</v>
      </c>
      <c r="K4842" s="53" t="s">
        <v>53</v>
      </c>
      <c r="L4842" s="53" t="s">
        <v>53</v>
      </c>
    </row>
    <row r="4843" ht="15.75" customHeight="1">
      <c r="A4843" s="53" t="s">
        <v>411</v>
      </c>
      <c r="B4843" s="53" t="s">
        <v>4945</v>
      </c>
      <c r="D4843" s="53" t="s">
        <v>2889</v>
      </c>
      <c r="E4843" s="53" t="s">
        <v>6176</v>
      </c>
      <c r="F4843" s="53" t="s">
        <v>478</v>
      </c>
      <c r="G4843" s="53" t="s">
        <v>2933</v>
      </c>
      <c r="H4843" s="53">
        <v>1.0</v>
      </c>
      <c r="I4843" s="53">
        <v>0.16875</v>
      </c>
      <c r="J4843" s="53">
        <v>17.0</v>
      </c>
      <c r="K4843" s="53" t="s">
        <v>53</v>
      </c>
      <c r="L4843" s="53" t="s">
        <v>53</v>
      </c>
    </row>
    <row r="4844" ht="15.75" customHeight="1">
      <c r="A4844" s="53" t="s">
        <v>411</v>
      </c>
      <c r="B4844" s="53" t="s">
        <v>4945</v>
      </c>
      <c r="D4844" s="53" t="s">
        <v>2889</v>
      </c>
      <c r="E4844" s="53" t="s">
        <v>6177</v>
      </c>
      <c r="F4844" s="53" t="s">
        <v>478</v>
      </c>
      <c r="G4844" s="53" t="s">
        <v>2935</v>
      </c>
      <c r="H4844" s="53">
        <v>1.0</v>
      </c>
      <c r="I4844" s="53">
        <v>0.19205298013245034</v>
      </c>
      <c r="J4844" s="53">
        <v>7.0</v>
      </c>
      <c r="K4844" s="53" t="s">
        <v>53</v>
      </c>
      <c r="L4844" s="53" t="s">
        <v>53</v>
      </c>
    </row>
    <row r="4845" ht="15.75" customHeight="1">
      <c r="A4845" s="53" t="s">
        <v>411</v>
      </c>
      <c r="B4845" s="53" t="s">
        <v>4945</v>
      </c>
      <c r="D4845" s="53" t="s">
        <v>2889</v>
      </c>
      <c r="E4845" s="53" t="s">
        <v>6178</v>
      </c>
      <c r="F4845" s="53" t="s">
        <v>478</v>
      </c>
      <c r="G4845" s="53" t="s">
        <v>2937</v>
      </c>
      <c r="H4845" s="53">
        <v>1.0</v>
      </c>
      <c r="I4845" s="53">
        <v>0.2116788321167883</v>
      </c>
      <c r="J4845" s="53">
        <v>25.0</v>
      </c>
      <c r="K4845" s="53" t="s">
        <v>53</v>
      </c>
      <c r="L4845" s="53" t="s">
        <v>53</v>
      </c>
    </row>
    <row r="4846" ht="15.75" customHeight="1">
      <c r="A4846" s="53" t="s">
        <v>411</v>
      </c>
      <c r="B4846" s="53" t="s">
        <v>4945</v>
      </c>
      <c r="D4846" s="53" t="s">
        <v>2889</v>
      </c>
      <c r="E4846" s="53" t="s">
        <v>6179</v>
      </c>
      <c r="F4846" s="53" t="s">
        <v>478</v>
      </c>
      <c r="G4846" s="53" t="s">
        <v>2940</v>
      </c>
      <c r="H4846" s="53">
        <v>1.0</v>
      </c>
      <c r="I4846" s="53">
        <v>0.21323529411764705</v>
      </c>
      <c r="J4846" s="53">
        <v>5.0</v>
      </c>
      <c r="K4846" s="53" t="s">
        <v>53</v>
      </c>
      <c r="L4846" s="53" t="s">
        <v>53</v>
      </c>
    </row>
    <row r="4847" ht="15.75" customHeight="1">
      <c r="A4847" s="53" t="s">
        <v>411</v>
      </c>
      <c r="B4847" s="53" t="s">
        <v>4945</v>
      </c>
      <c r="D4847" s="53" t="s">
        <v>2889</v>
      </c>
      <c r="E4847" s="53" t="s">
        <v>6180</v>
      </c>
      <c r="F4847" s="53" t="s">
        <v>478</v>
      </c>
      <c r="G4847" s="53" t="s">
        <v>2950</v>
      </c>
      <c r="H4847" s="53">
        <v>1.0</v>
      </c>
      <c r="I4847" s="53">
        <v>0.22641509433962265</v>
      </c>
      <c r="J4847" s="53">
        <v>6.0</v>
      </c>
      <c r="K4847" s="53" t="s">
        <v>53</v>
      </c>
      <c r="L4847" s="53" t="s">
        <v>53</v>
      </c>
    </row>
    <row r="4848" ht="15.75" customHeight="1">
      <c r="A4848" s="53" t="s">
        <v>411</v>
      </c>
      <c r="B4848" s="53" t="s">
        <v>4945</v>
      </c>
      <c r="D4848" s="53" t="s">
        <v>2889</v>
      </c>
      <c r="E4848" s="53" t="s">
        <v>6181</v>
      </c>
      <c r="F4848" s="53" t="s">
        <v>478</v>
      </c>
      <c r="G4848" s="53" t="s">
        <v>2942</v>
      </c>
      <c r="H4848" s="53">
        <v>1.0</v>
      </c>
      <c r="I4848" s="53">
        <v>0.2357142857142857</v>
      </c>
      <c r="J4848" s="53">
        <v>26.0</v>
      </c>
      <c r="K4848" s="53" t="s">
        <v>53</v>
      </c>
      <c r="L4848" s="53" t="s">
        <v>53</v>
      </c>
    </row>
    <row r="4849" ht="15.75" customHeight="1">
      <c r="A4849" s="53" t="s">
        <v>411</v>
      </c>
      <c r="B4849" s="53" t="s">
        <v>4945</v>
      </c>
      <c r="D4849" s="53" t="s">
        <v>2889</v>
      </c>
      <c r="E4849" s="53" t="s">
        <v>6182</v>
      </c>
      <c r="F4849" s="53" t="s">
        <v>478</v>
      </c>
      <c r="G4849" s="53" t="s">
        <v>2944</v>
      </c>
      <c r="H4849" s="53">
        <v>1.0</v>
      </c>
      <c r="I4849" s="53">
        <v>0.2360248447204969</v>
      </c>
      <c r="J4849" s="53">
        <v>9.0</v>
      </c>
      <c r="K4849" s="53" t="s">
        <v>53</v>
      </c>
      <c r="L4849" s="53" t="s">
        <v>53</v>
      </c>
    </row>
    <row r="4850" ht="15.75" customHeight="1">
      <c r="A4850" s="53" t="s">
        <v>411</v>
      </c>
      <c r="B4850" s="53" t="s">
        <v>4945</v>
      </c>
      <c r="D4850" s="53" t="s">
        <v>2889</v>
      </c>
      <c r="E4850" s="53" t="s">
        <v>6183</v>
      </c>
      <c r="F4850" s="53" t="s">
        <v>478</v>
      </c>
      <c r="G4850" s="53" t="s">
        <v>2948</v>
      </c>
      <c r="H4850" s="53">
        <v>1.0</v>
      </c>
      <c r="I4850" s="53">
        <v>0.23943661971830985</v>
      </c>
      <c r="J4850" s="53">
        <v>24.0</v>
      </c>
      <c r="K4850" s="53" t="s">
        <v>53</v>
      </c>
      <c r="L4850" s="53" t="s">
        <v>53</v>
      </c>
    </row>
    <row r="4851" ht="15.75" customHeight="1">
      <c r="A4851" s="53" t="s">
        <v>411</v>
      </c>
      <c r="B4851" s="53" t="s">
        <v>4945</v>
      </c>
      <c r="D4851" s="53" t="s">
        <v>2889</v>
      </c>
      <c r="E4851" s="53" t="s">
        <v>6184</v>
      </c>
      <c r="F4851" s="53" t="s">
        <v>478</v>
      </c>
      <c r="G4851" s="53" t="s">
        <v>2954</v>
      </c>
      <c r="H4851" s="53">
        <v>1.0</v>
      </c>
      <c r="I4851" s="53">
        <v>0.2605633802816901</v>
      </c>
      <c r="J4851" s="53">
        <v>3.0</v>
      </c>
      <c r="K4851" s="53" t="s">
        <v>53</v>
      </c>
      <c r="L4851" s="53" t="s">
        <v>53</v>
      </c>
    </row>
    <row r="4852" ht="15.75" customHeight="1">
      <c r="A4852" s="53" t="s">
        <v>411</v>
      </c>
      <c r="B4852" s="53" t="s">
        <v>4945</v>
      </c>
      <c r="D4852" s="53" t="s">
        <v>2889</v>
      </c>
      <c r="E4852" s="53" t="s">
        <v>6185</v>
      </c>
      <c r="F4852" s="53" t="s">
        <v>478</v>
      </c>
      <c r="G4852" s="53" t="s">
        <v>485</v>
      </c>
      <c r="H4852" s="53">
        <v>1.0</v>
      </c>
      <c r="I4852" s="53">
        <v>0.2638888888888889</v>
      </c>
      <c r="J4852" s="53">
        <v>21.0</v>
      </c>
      <c r="K4852" s="53" t="s">
        <v>53</v>
      </c>
      <c r="L4852" s="53" t="s">
        <v>53</v>
      </c>
    </row>
    <row r="4853" ht="15.75" customHeight="1">
      <c r="A4853" s="53" t="s">
        <v>411</v>
      </c>
      <c r="B4853" s="53" t="s">
        <v>4945</v>
      </c>
      <c r="D4853" s="53" t="s">
        <v>2889</v>
      </c>
      <c r="E4853" s="53" t="s">
        <v>6186</v>
      </c>
      <c r="F4853" s="53" t="s">
        <v>478</v>
      </c>
      <c r="G4853" s="53" t="s">
        <v>495</v>
      </c>
      <c r="H4853" s="53">
        <v>1.0</v>
      </c>
      <c r="I4853" s="53">
        <v>0.26811594202898553</v>
      </c>
      <c r="J4853" s="53">
        <v>23.0</v>
      </c>
      <c r="K4853" s="53" t="s">
        <v>53</v>
      </c>
      <c r="L4853" s="53" t="s">
        <v>53</v>
      </c>
    </row>
    <row r="4854" ht="15.75" customHeight="1">
      <c r="A4854" s="53" t="s">
        <v>411</v>
      </c>
      <c r="B4854" s="53" t="s">
        <v>4945</v>
      </c>
      <c r="D4854" s="53" t="s">
        <v>2889</v>
      </c>
      <c r="E4854" s="53" t="s">
        <v>6187</v>
      </c>
      <c r="F4854" s="53" t="s">
        <v>478</v>
      </c>
      <c r="G4854" s="53" t="s">
        <v>474</v>
      </c>
      <c r="H4854" s="53">
        <v>1.0</v>
      </c>
      <c r="I4854" s="53">
        <v>0.273972602739726</v>
      </c>
      <c r="J4854" s="53">
        <v>22.0</v>
      </c>
      <c r="K4854" s="53" t="s">
        <v>53</v>
      </c>
      <c r="L4854" s="53" t="s">
        <v>53</v>
      </c>
    </row>
    <row r="4855" ht="15.75" customHeight="1">
      <c r="A4855" s="53" t="s">
        <v>411</v>
      </c>
      <c r="B4855" s="53" t="s">
        <v>4945</v>
      </c>
      <c r="D4855" s="53" t="s">
        <v>2889</v>
      </c>
      <c r="E4855" s="53" t="s">
        <v>6188</v>
      </c>
      <c r="F4855" s="53" t="s">
        <v>478</v>
      </c>
      <c r="G4855" s="53" t="s">
        <v>2957</v>
      </c>
      <c r="H4855" s="53">
        <v>1.0</v>
      </c>
      <c r="I4855" s="53">
        <v>0.28484848484848485</v>
      </c>
      <c r="J4855" s="53">
        <v>8.0</v>
      </c>
      <c r="K4855" s="53" t="s">
        <v>53</v>
      </c>
      <c r="L4855" s="53" t="s">
        <v>53</v>
      </c>
    </row>
    <row r="4856" ht="15.75" customHeight="1">
      <c r="A4856" s="53" t="s">
        <v>411</v>
      </c>
      <c r="B4856" s="53" t="s">
        <v>4945</v>
      </c>
      <c r="D4856" s="53" t="s">
        <v>2913</v>
      </c>
      <c r="E4856" s="53" t="s">
        <v>6189</v>
      </c>
      <c r="F4856" s="53" t="s">
        <v>478</v>
      </c>
      <c r="G4856" s="53" t="s">
        <v>2905</v>
      </c>
      <c r="H4856" s="53">
        <v>1.0</v>
      </c>
      <c r="I4856" s="53">
        <v>0.09154929577464789</v>
      </c>
      <c r="J4856" s="53">
        <v>3.0</v>
      </c>
      <c r="K4856" s="53" t="s">
        <v>53</v>
      </c>
      <c r="L4856" s="53" t="s">
        <v>53</v>
      </c>
    </row>
    <row r="4857" ht="15.75" customHeight="1">
      <c r="A4857" s="53" t="s">
        <v>411</v>
      </c>
      <c r="B4857" s="53" t="s">
        <v>4945</v>
      </c>
      <c r="D4857" s="53" t="s">
        <v>2913</v>
      </c>
      <c r="E4857" s="53" t="s">
        <v>6190</v>
      </c>
      <c r="F4857" s="53" t="s">
        <v>478</v>
      </c>
      <c r="G4857" s="53" t="s">
        <v>2899</v>
      </c>
      <c r="H4857" s="53">
        <v>1.0</v>
      </c>
      <c r="I4857" s="53">
        <v>0.1056338028169014</v>
      </c>
      <c r="J4857" s="53">
        <v>0.0</v>
      </c>
      <c r="K4857" s="53" t="s">
        <v>53</v>
      </c>
      <c r="L4857" s="53" t="s">
        <v>53</v>
      </c>
    </row>
    <row r="4858" ht="15.75" customHeight="1">
      <c r="A4858" s="53" t="s">
        <v>411</v>
      </c>
      <c r="B4858" s="53" t="s">
        <v>4945</v>
      </c>
      <c r="D4858" s="53" t="s">
        <v>2913</v>
      </c>
      <c r="E4858" s="53" t="s">
        <v>6191</v>
      </c>
      <c r="F4858" s="53" t="s">
        <v>478</v>
      </c>
      <c r="G4858" s="53" t="s">
        <v>2907</v>
      </c>
      <c r="H4858" s="53">
        <v>1.0</v>
      </c>
      <c r="I4858" s="53">
        <v>0.1056338028169014</v>
      </c>
      <c r="J4858" s="53">
        <v>18.0</v>
      </c>
      <c r="K4858" s="53" t="s">
        <v>53</v>
      </c>
      <c r="L4858" s="53" t="s">
        <v>53</v>
      </c>
    </row>
    <row r="4859" ht="15.75" customHeight="1">
      <c r="A4859" s="53" t="s">
        <v>411</v>
      </c>
      <c r="B4859" s="53" t="s">
        <v>4945</v>
      </c>
      <c r="D4859" s="53" t="s">
        <v>2913</v>
      </c>
      <c r="E4859" s="53" t="s">
        <v>6192</v>
      </c>
      <c r="F4859" s="53" t="s">
        <v>478</v>
      </c>
      <c r="G4859" s="53" t="s">
        <v>2911</v>
      </c>
      <c r="H4859" s="53">
        <v>1.0</v>
      </c>
      <c r="I4859" s="53">
        <v>0.11267605633802817</v>
      </c>
      <c r="J4859" s="53">
        <v>1.0</v>
      </c>
      <c r="K4859" s="53" t="s">
        <v>53</v>
      </c>
      <c r="L4859" s="53" t="s">
        <v>53</v>
      </c>
    </row>
    <row r="4860" ht="15.75" customHeight="1">
      <c r="A4860" s="53" t="s">
        <v>411</v>
      </c>
      <c r="B4860" s="53" t="s">
        <v>4945</v>
      </c>
      <c r="D4860" s="53" t="s">
        <v>2913</v>
      </c>
      <c r="E4860" s="53" t="s">
        <v>6193</v>
      </c>
      <c r="F4860" s="53" t="s">
        <v>478</v>
      </c>
      <c r="G4860" s="53" t="s">
        <v>2917</v>
      </c>
      <c r="H4860" s="53">
        <v>1.0</v>
      </c>
      <c r="I4860" s="53">
        <v>0.11888111888111888</v>
      </c>
      <c r="J4860" s="53">
        <v>19.0</v>
      </c>
      <c r="K4860" s="53" t="s">
        <v>53</v>
      </c>
      <c r="L4860" s="53" t="s">
        <v>53</v>
      </c>
    </row>
    <row r="4861" ht="15.75" customHeight="1">
      <c r="A4861" s="53" t="s">
        <v>411</v>
      </c>
      <c r="B4861" s="53" t="s">
        <v>4945</v>
      </c>
      <c r="D4861" s="53" t="s">
        <v>2913</v>
      </c>
      <c r="E4861" s="53" t="s">
        <v>6194</v>
      </c>
      <c r="F4861" s="53" t="s">
        <v>478</v>
      </c>
      <c r="G4861" s="53" t="s">
        <v>2915</v>
      </c>
      <c r="H4861" s="53">
        <v>1.0</v>
      </c>
      <c r="I4861" s="53">
        <v>0.12413793103448276</v>
      </c>
      <c r="J4861" s="53">
        <v>10.0</v>
      </c>
      <c r="K4861" s="53" t="s">
        <v>53</v>
      </c>
      <c r="L4861" s="53" t="s">
        <v>53</v>
      </c>
    </row>
    <row r="4862" ht="15.75" customHeight="1">
      <c r="A4862" s="53" t="s">
        <v>411</v>
      </c>
      <c r="B4862" s="53" t="s">
        <v>4945</v>
      </c>
      <c r="D4862" s="53" t="s">
        <v>2913</v>
      </c>
      <c r="E4862" s="53" t="s">
        <v>6195</v>
      </c>
      <c r="F4862" s="53" t="s">
        <v>478</v>
      </c>
      <c r="G4862" s="53" t="s">
        <v>2927</v>
      </c>
      <c r="H4862" s="53">
        <v>1.0</v>
      </c>
      <c r="I4862" s="53">
        <v>0.14093959731543623</v>
      </c>
      <c r="J4862" s="53">
        <v>14.0</v>
      </c>
      <c r="K4862" s="53" t="s">
        <v>53</v>
      </c>
      <c r="L4862" s="53" t="s">
        <v>53</v>
      </c>
    </row>
    <row r="4863" ht="15.75" customHeight="1">
      <c r="A4863" s="53" t="s">
        <v>411</v>
      </c>
      <c r="B4863" s="53" t="s">
        <v>4945</v>
      </c>
      <c r="D4863" s="53" t="s">
        <v>2913</v>
      </c>
      <c r="E4863" s="53" t="s">
        <v>6196</v>
      </c>
      <c r="F4863" s="53" t="s">
        <v>478</v>
      </c>
      <c r="G4863" s="53" t="s">
        <v>2923</v>
      </c>
      <c r="H4863" s="53">
        <v>1.0</v>
      </c>
      <c r="I4863" s="53">
        <v>0.14189189189189189</v>
      </c>
      <c r="J4863" s="53">
        <v>11.0</v>
      </c>
      <c r="K4863" s="53" t="s">
        <v>53</v>
      </c>
      <c r="L4863" s="53" t="s">
        <v>53</v>
      </c>
    </row>
    <row r="4864" ht="15.75" customHeight="1">
      <c r="A4864" s="53" t="s">
        <v>411</v>
      </c>
      <c r="B4864" s="53" t="s">
        <v>4945</v>
      </c>
      <c r="D4864" s="53" t="s">
        <v>2913</v>
      </c>
      <c r="E4864" s="53" t="s">
        <v>6197</v>
      </c>
      <c r="F4864" s="53" t="s">
        <v>478</v>
      </c>
      <c r="G4864" s="53" t="s">
        <v>2925</v>
      </c>
      <c r="H4864" s="53">
        <v>1.0</v>
      </c>
      <c r="I4864" s="53">
        <v>0.1456953642384106</v>
      </c>
      <c r="J4864" s="53">
        <v>17.0</v>
      </c>
      <c r="K4864" s="53" t="s">
        <v>53</v>
      </c>
      <c r="L4864" s="53" t="s">
        <v>53</v>
      </c>
    </row>
    <row r="4865" ht="15.75" customHeight="1">
      <c r="A4865" s="53" t="s">
        <v>411</v>
      </c>
      <c r="B4865" s="53" t="s">
        <v>4945</v>
      </c>
      <c r="D4865" s="53" t="s">
        <v>2913</v>
      </c>
      <c r="E4865" s="53" t="s">
        <v>6198</v>
      </c>
      <c r="F4865" s="53" t="s">
        <v>478</v>
      </c>
      <c r="G4865" s="53" t="s">
        <v>2921</v>
      </c>
      <c r="H4865" s="53">
        <v>1.0</v>
      </c>
      <c r="I4865" s="53">
        <v>0.1476510067114094</v>
      </c>
      <c r="J4865" s="53">
        <v>13.0</v>
      </c>
      <c r="K4865" s="53" t="s">
        <v>53</v>
      </c>
      <c r="L4865" s="53" t="s">
        <v>53</v>
      </c>
    </row>
    <row r="4866" ht="15.75" customHeight="1">
      <c r="A4866" s="53" t="s">
        <v>411</v>
      </c>
      <c r="B4866" s="53" t="s">
        <v>4945</v>
      </c>
      <c r="D4866" s="53" t="s">
        <v>2913</v>
      </c>
      <c r="E4866" s="53" t="s">
        <v>6199</v>
      </c>
      <c r="F4866" s="53" t="s">
        <v>478</v>
      </c>
      <c r="G4866" s="53" t="s">
        <v>2931</v>
      </c>
      <c r="H4866" s="53">
        <v>1.0</v>
      </c>
      <c r="I4866" s="53">
        <v>0.15789473684210525</v>
      </c>
      <c r="J4866" s="53">
        <v>9.0</v>
      </c>
      <c r="K4866" s="53" t="s">
        <v>53</v>
      </c>
      <c r="L4866" s="53" t="s">
        <v>53</v>
      </c>
    </row>
    <row r="4867" ht="15.75" customHeight="1">
      <c r="A4867" s="53" t="s">
        <v>411</v>
      </c>
      <c r="B4867" s="53" t="s">
        <v>4945</v>
      </c>
      <c r="D4867" s="53" t="s">
        <v>2913</v>
      </c>
      <c r="E4867" s="53" t="s">
        <v>6200</v>
      </c>
      <c r="F4867" s="53" t="s">
        <v>478</v>
      </c>
      <c r="G4867" s="53" t="s">
        <v>2929</v>
      </c>
      <c r="H4867" s="53">
        <v>1.0</v>
      </c>
      <c r="I4867" s="53">
        <v>0.16339869281045752</v>
      </c>
      <c r="J4867" s="53">
        <v>15.0</v>
      </c>
      <c r="K4867" s="53" t="s">
        <v>53</v>
      </c>
      <c r="L4867" s="53" t="s">
        <v>53</v>
      </c>
    </row>
    <row r="4868" ht="15.75" customHeight="1">
      <c r="A4868" s="53" t="s">
        <v>411</v>
      </c>
      <c r="B4868" s="53" t="s">
        <v>4945</v>
      </c>
      <c r="D4868" s="53" t="s">
        <v>2913</v>
      </c>
      <c r="E4868" s="53" t="s">
        <v>6201</v>
      </c>
      <c r="F4868" s="53" t="s">
        <v>478</v>
      </c>
      <c r="G4868" s="53" t="s">
        <v>2919</v>
      </c>
      <c r="H4868" s="53">
        <v>1.0</v>
      </c>
      <c r="I4868" s="53">
        <v>0.16556291390728478</v>
      </c>
      <c r="J4868" s="53">
        <v>12.0</v>
      </c>
      <c r="K4868" s="53" t="s">
        <v>53</v>
      </c>
      <c r="L4868" s="53" t="s">
        <v>53</v>
      </c>
    </row>
    <row r="4869" ht="15.75" customHeight="1">
      <c r="A4869" s="53" t="s">
        <v>411</v>
      </c>
      <c r="B4869" s="53" t="s">
        <v>4945</v>
      </c>
      <c r="D4869" s="53" t="s">
        <v>2913</v>
      </c>
      <c r="E4869" s="53" t="s">
        <v>6202</v>
      </c>
      <c r="F4869" s="53" t="s">
        <v>478</v>
      </c>
      <c r="G4869" s="53" t="s">
        <v>2933</v>
      </c>
      <c r="H4869" s="53">
        <v>1.0</v>
      </c>
      <c r="I4869" s="53">
        <v>0.18125</v>
      </c>
      <c r="J4869" s="53">
        <v>16.0</v>
      </c>
      <c r="K4869" s="53" t="s">
        <v>53</v>
      </c>
      <c r="L4869" s="53" t="s">
        <v>53</v>
      </c>
    </row>
    <row r="4870" ht="15.75" customHeight="1">
      <c r="A4870" s="53" t="s">
        <v>411</v>
      </c>
      <c r="B4870" s="53" t="s">
        <v>4945</v>
      </c>
      <c r="D4870" s="53" t="s">
        <v>2913</v>
      </c>
      <c r="E4870" s="53" t="s">
        <v>6203</v>
      </c>
      <c r="F4870" s="53" t="s">
        <v>478</v>
      </c>
      <c r="G4870" s="53" t="s">
        <v>2937</v>
      </c>
      <c r="H4870" s="53">
        <v>1.0</v>
      </c>
      <c r="I4870" s="53">
        <v>0.2112676056338028</v>
      </c>
      <c r="J4870" s="53">
        <v>24.0</v>
      </c>
      <c r="K4870" s="53" t="s">
        <v>53</v>
      </c>
      <c r="L4870" s="53" t="s">
        <v>53</v>
      </c>
    </row>
    <row r="4871" ht="15.75" customHeight="1">
      <c r="A4871" s="53" t="s">
        <v>411</v>
      </c>
      <c r="B4871" s="53" t="s">
        <v>4945</v>
      </c>
      <c r="D4871" s="53" t="s">
        <v>2913</v>
      </c>
      <c r="E4871" s="53" t="s">
        <v>6204</v>
      </c>
      <c r="F4871" s="53" t="s">
        <v>478</v>
      </c>
      <c r="G4871" s="53" t="s">
        <v>2940</v>
      </c>
      <c r="H4871" s="53">
        <v>1.0</v>
      </c>
      <c r="I4871" s="53">
        <v>0.2112676056338028</v>
      </c>
      <c r="J4871" s="53">
        <v>4.0</v>
      </c>
      <c r="K4871" s="53" t="s">
        <v>53</v>
      </c>
      <c r="L4871" s="53" t="s">
        <v>53</v>
      </c>
    </row>
    <row r="4872" ht="15.75" customHeight="1">
      <c r="A4872" s="53" t="s">
        <v>411</v>
      </c>
      <c r="B4872" s="53" t="s">
        <v>4945</v>
      </c>
      <c r="D4872" s="53" t="s">
        <v>2913</v>
      </c>
      <c r="E4872" s="53" t="s">
        <v>6205</v>
      </c>
      <c r="F4872" s="53" t="s">
        <v>478</v>
      </c>
      <c r="G4872" s="53" t="s">
        <v>2935</v>
      </c>
      <c r="H4872" s="53">
        <v>1.0</v>
      </c>
      <c r="I4872" s="53">
        <v>0.2119205298013245</v>
      </c>
      <c r="J4872" s="53">
        <v>6.0</v>
      </c>
      <c r="K4872" s="53" t="s">
        <v>53</v>
      </c>
      <c r="L4872" s="53" t="s">
        <v>53</v>
      </c>
    </row>
    <row r="4873" ht="15.75" customHeight="1">
      <c r="A4873" s="53" t="s">
        <v>411</v>
      </c>
      <c r="B4873" s="53" t="s">
        <v>4945</v>
      </c>
      <c r="D4873" s="53" t="s">
        <v>2913</v>
      </c>
      <c r="E4873" s="53" t="s">
        <v>6206</v>
      </c>
      <c r="F4873" s="53" t="s">
        <v>478</v>
      </c>
      <c r="G4873" s="53" t="s">
        <v>2950</v>
      </c>
      <c r="H4873" s="53">
        <v>1.0</v>
      </c>
      <c r="I4873" s="53">
        <v>0.22641509433962265</v>
      </c>
      <c r="J4873" s="53">
        <v>5.0</v>
      </c>
      <c r="K4873" s="53" t="s">
        <v>53</v>
      </c>
      <c r="L4873" s="53" t="s">
        <v>53</v>
      </c>
    </row>
    <row r="4874" ht="15.75" customHeight="1">
      <c r="A4874" s="53" t="s">
        <v>411</v>
      </c>
      <c r="B4874" s="53" t="s">
        <v>4945</v>
      </c>
      <c r="D4874" s="53" t="s">
        <v>2913</v>
      </c>
      <c r="E4874" s="53" t="s">
        <v>6207</v>
      </c>
      <c r="F4874" s="53" t="s">
        <v>478</v>
      </c>
      <c r="G4874" s="53" t="s">
        <v>2942</v>
      </c>
      <c r="H4874" s="53">
        <v>1.0</v>
      </c>
      <c r="I4874" s="53">
        <v>0.24647887323943662</v>
      </c>
      <c r="J4874" s="53">
        <v>25.0</v>
      </c>
      <c r="K4874" s="53" t="s">
        <v>53</v>
      </c>
      <c r="L4874" s="53" t="s">
        <v>53</v>
      </c>
    </row>
    <row r="4875" ht="15.75" customHeight="1">
      <c r="A4875" s="53" t="s">
        <v>411</v>
      </c>
      <c r="B4875" s="53" t="s">
        <v>4945</v>
      </c>
      <c r="D4875" s="53" t="s">
        <v>2913</v>
      </c>
      <c r="E4875" s="53" t="s">
        <v>6208</v>
      </c>
      <c r="F4875" s="53" t="s">
        <v>478</v>
      </c>
      <c r="G4875" s="53" t="s">
        <v>2944</v>
      </c>
      <c r="H4875" s="53">
        <v>1.0</v>
      </c>
      <c r="I4875" s="53">
        <v>0.2484472049689441</v>
      </c>
      <c r="J4875" s="53">
        <v>8.0</v>
      </c>
      <c r="K4875" s="53" t="s">
        <v>53</v>
      </c>
      <c r="L4875" s="53" t="s">
        <v>53</v>
      </c>
    </row>
    <row r="4876" ht="15.75" customHeight="1">
      <c r="A4876" s="53" t="s">
        <v>411</v>
      </c>
      <c r="B4876" s="53" t="s">
        <v>4945</v>
      </c>
      <c r="D4876" s="53" t="s">
        <v>2913</v>
      </c>
      <c r="E4876" s="53" t="s">
        <v>6209</v>
      </c>
      <c r="F4876" s="53" t="s">
        <v>478</v>
      </c>
      <c r="G4876" s="53" t="s">
        <v>2954</v>
      </c>
      <c r="H4876" s="53">
        <v>1.0</v>
      </c>
      <c r="I4876" s="53">
        <v>0.2676056338028169</v>
      </c>
      <c r="J4876" s="53">
        <v>2.0</v>
      </c>
      <c r="K4876" s="53" t="s">
        <v>53</v>
      </c>
      <c r="L4876" s="53" t="s">
        <v>53</v>
      </c>
    </row>
    <row r="4877" ht="15.75" customHeight="1">
      <c r="A4877" s="53" t="s">
        <v>411</v>
      </c>
      <c r="B4877" s="53" t="s">
        <v>4945</v>
      </c>
      <c r="D4877" s="53" t="s">
        <v>2913</v>
      </c>
      <c r="E4877" s="53" t="s">
        <v>6210</v>
      </c>
      <c r="F4877" s="53" t="s">
        <v>478</v>
      </c>
      <c r="G4877" s="53" t="s">
        <v>2948</v>
      </c>
      <c r="H4877" s="53">
        <v>1.0</v>
      </c>
      <c r="I4877" s="53">
        <v>0.2676056338028169</v>
      </c>
      <c r="J4877" s="53">
        <v>23.0</v>
      </c>
      <c r="K4877" s="53" t="s">
        <v>53</v>
      </c>
      <c r="L4877" s="53" t="s">
        <v>53</v>
      </c>
    </row>
    <row r="4878" ht="15.75" customHeight="1">
      <c r="A4878" s="53" t="s">
        <v>411</v>
      </c>
      <c r="B4878" s="53" t="s">
        <v>4945</v>
      </c>
      <c r="D4878" s="53" t="s">
        <v>2913</v>
      </c>
      <c r="E4878" s="53" t="s">
        <v>6211</v>
      </c>
      <c r="F4878" s="53" t="s">
        <v>478</v>
      </c>
      <c r="G4878" s="53" t="s">
        <v>485</v>
      </c>
      <c r="H4878" s="53">
        <v>1.0</v>
      </c>
      <c r="I4878" s="53">
        <v>0.2708333333333333</v>
      </c>
      <c r="J4878" s="53">
        <v>20.0</v>
      </c>
      <c r="K4878" s="53" t="s">
        <v>53</v>
      </c>
      <c r="L4878" s="53" t="s">
        <v>53</v>
      </c>
    </row>
    <row r="4879" ht="15.75" customHeight="1">
      <c r="A4879" s="53" t="s">
        <v>411</v>
      </c>
      <c r="B4879" s="53" t="s">
        <v>4945</v>
      </c>
      <c r="D4879" s="53" t="s">
        <v>2913</v>
      </c>
      <c r="E4879" s="53" t="s">
        <v>6212</v>
      </c>
      <c r="F4879" s="53" t="s">
        <v>478</v>
      </c>
      <c r="G4879" s="53" t="s">
        <v>474</v>
      </c>
      <c r="H4879" s="53">
        <v>1.0</v>
      </c>
      <c r="I4879" s="53">
        <v>0.273972602739726</v>
      </c>
      <c r="J4879" s="53">
        <v>21.0</v>
      </c>
      <c r="K4879" s="53" t="s">
        <v>53</v>
      </c>
      <c r="L4879" s="53" t="s">
        <v>53</v>
      </c>
    </row>
    <row r="4880" ht="15.75" customHeight="1">
      <c r="A4880" s="53" t="s">
        <v>411</v>
      </c>
      <c r="B4880" s="53" t="s">
        <v>4945</v>
      </c>
      <c r="D4880" s="53" t="s">
        <v>2913</v>
      </c>
      <c r="E4880" s="53" t="s">
        <v>6213</v>
      </c>
      <c r="F4880" s="53" t="s">
        <v>478</v>
      </c>
      <c r="G4880" s="53" t="s">
        <v>2957</v>
      </c>
      <c r="H4880" s="53">
        <v>1.0</v>
      </c>
      <c r="I4880" s="53">
        <v>0.28484848484848485</v>
      </c>
      <c r="J4880" s="53">
        <v>7.0</v>
      </c>
      <c r="K4880" s="53" t="s">
        <v>53</v>
      </c>
      <c r="L4880" s="53" t="s">
        <v>53</v>
      </c>
    </row>
    <row r="4881" ht="15.75" customHeight="1">
      <c r="A4881" s="53" t="s">
        <v>411</v>
      </c>
      <c r="B4881" s="53" t="s">
        <v>4945</v>
      </c>
      <c r="D4881" s="53" t="s">
        <v>2913</v>
      </c>
      <c r="E4881" s="53" t="s">
        <v>6214</v>
      </c>
      <c r="F4881" s="53" t="s">
        <v>478</v>
      </c>
      <c r="G4881" s="53" t="s">
        <v>495</v>
      </c>
      <c r="H4881" s="53">
        <v>1.0</v>
      </c>
      <c r="I4881" s="53">
        <v>0.29577464788732394</v>
      </c>
      <c r="J4881" s="53">
        <v>22.0</v>
      </c>
      <c r="K4881" s="53" t="s">
        <v>53</v>
      </c>
      <c r="L4881" s="53" t="s">
        <v>53</v>
      </c>
    </row>
    <row r="4882" ht="15.75" customHeight="1">
      <c r="A4882" s="53" t="s">
        <v>411</v>
      </c>
      <c r="B4882" s="53" t="s">
        <v>4945</v>
      </c>
      <c r="D4882" s="53" t="s">
        <v>2899</v>
      </c>
      <c r="E4882" s="53" t="s">
        <v>6215</v>
      </c>
      <c r="F4882" s="53" t="s">
        <v>478</v>
      </c>
      <c r="G4882" s="53" t="s">
        <v>2905</v>
      </c>
      <c r="H4882" s="53">
        <v>1.0</v>
      </c>
      <c r="I4882" s="53">
        <v>0.08088235294117647</v>
      </c>
      <c r="J4882" s="53">
        <v>2.0</v>
      </c>
      <c r="K4882" s="53" t="s">
        <v>53</v>
      </c>
      <c r="L4882" s="53" t="s">
        <v>53</v>
      </c>
    </row>
    <row r="4883" ht="15.75" customHeight="1">
      <c r="A4883" s="53" t="s">
        <v>411</v>
      </c>
      <c r="B4883" s="53" t="s">
        <v>4945</v>
      </c>
      <c r="D4883" s="53" t="s">
        <v>2899</v>
      </c>
      <c r="E4883" s="53" t="s">
        <v>6216</v>
      </c>
      <c r="F4883" s="53" t="s">
        <v>478</v>
      </c>
      <c r="G4883" s="53" t="s">
        <v>2907</v>
      </c>
      <c r="H4883" s="53">
        <v>1.0</v>
      </c>
      <c r="I4883" s="53">
        <v>0.08633093525179857</v>
      </c>
      <c r="J4883" s="53">
        <v>17.0</v>
      </c>
      <c r="K4883" s="53" t="s">
        <v>53</v>
      </c>
      <c r="L4883" s="53" t="s">
        <v>53</v>
      </c>
    </row>
    <row r="4884" ht="15.75" customHeight="1">
      <c r="A4884" s="53" t="s">
        <v>411</v>
      </c>
      <c r="B4884" s="53" t="s">
        <v>4945</v>
      </c>
      <c r="D4884" s="53" t="s">
        <v>2899</v>
      </c>
      <c r="E4884" s="53" t="s">
        <v>6217</v>
      </c>
      <c r="F4884" s="53" t="s">
        <v>478</v>
      </c>
      <c r="G4884" s="53" t="s">
        <v>2917</v>
      </c>
      <c r="H4884" s="53">
        <v>1.0</v>
      </c>
      <c r="I4884" s="53">
        <v>0.11188811188811189</v>
      </c>
      <c r="J4884" s="53">
        <v>18.0</v>
      </c>
      <c r="K4884" s="53" t="s">
        <v>53</v>
      </c>
      <c r="L4884" s="53" t="s">
        <v>53</v>
      </c>
    </row>
    <row r="4885" ht="15.75" customHeight="1">
      <c r="A4885" s="53" t="s">
        <v>411</v>
      </c>
      <c r="B4885" s="53" t="s">
        <v>4945</v>
      </c>
      <c r="D4885" s="53" t="s">
        <v>2899</v>
      </c>
      <c r="E4885" s="53" t="s">
        <v>6218</v>
      </c>
      <c r="F4885" s="53" t="s">
        <v>478</v>
      </c>
      <c r="G4885" s="53" t="s">
        <v>2911</v>
      </c>
      <c r="H4885" s="53">
        <v>1.0</v>
      </c>
      <c r="I4885" s="53">
        <v>0.11971830985915492</v>
      </c>
      <c r="J4885" s="53">
        <v>0.0</v>
      </c>
      <c r="K4885" s="53" t="s">
        <v>53</v>
      </c>
      <c r="L4885" s="53" t="s">
        <v>53</v>
      </c>
    </row>
    <row r="4886" ht="15.75" customHeight="1">
      <c r="A4886" s="53" t="s">
        <v>411</v>
      </c>
      <c r="B4886" s="53" t="s">
        <v>4945</v>
      </c>
      <c r="D4886" s="53" t="s">
        <v>2899</v>
      </c>
      <c r="E4886" s="53" t="s">
        <v>6219</v>
      </c>
      <c r="F4886" s="53" t="s">
        <v>478</v>
      </c>
      <c r="G4886" s="53" t="s">
        <v>2915</v>
      </c>
      <c r="H4886" s="53">
        <v>1.0</v>
      </c>
      <c r="I4886" s="53">
        <v>0.1310344827586207</v>
      </c>
      <c r="J4886" s="53">
        <v>9.0</v>
      </c>
      <c r="K4886" s="53" t="s">
        <v>53</v>
      </c>
      <c r="L4886" s="53" t="s">
        <v>53</v>
      </c>
    </row>
    <row r="4887" ht="15.75" customHeight="1">
      <c r="A4887" s="53" t="s">
        <v>411</v>
      </c>
      <c r="B4887" s="53" t="s">
        <v>4945</v>
      </c>
      <c r="D4887" s="53" t="s">
        <v>2899</v>
      </c>
      <c r="E4887" s="53" t="s">
        <v>6220</v>
      </c>
      <c r="F4887" s="53" t="s">
        <v>478</v>
      </c>
      <c r="G4887" s="53" t="s">
        <v>2919</v>
      </c>
      <c r="H4887" s="53">
        <v>1.0</v>
      </c>
      <c r="I4887" s="53">
        <v>0.1456953642384106</v>
      </c>
      <c r="J4887" s="53">
        <v>11.0</v>
      </c>
      <c r="K4887" s="53" t="s">
        <v>53</v>
      </c>
      <c r="L4887" s="53" t="s">
        <v>53</v>
      </c>
    </row>
    <row r="4888" ht="15.75" customHeight="1">
      <c r="A4888" s="53" t="s">
        <v>411</v>
      </c>
      <c r="B4888" s="53" t="s">
        <v>4945</v>
      </c>
      <c r="D4888" s="53" t="s">
        <v>2899</v>
      </c>
      <c r="E4888" s="53" t="s">
        <v>6221</v>
      </c>
      <c r="F4888" s="53" t="s">
        <v>478</v>
      </c>
      <c r="G4888" s="53" t="s">
        <v>2921</v>
      </c>
      <c r="H4888" s="53">
        <v>1.0</v>
      </c>
      <c r="I4888" s="53">
        <v>0.1476510067114094</v>
      </c>
      <c r="J4888" s="53">
        <v>12.0</v>
      </c>
      <c r="K4888" s="53" t="s">
        <v>53</v>
      </c>
      <c r="L4888" s="53" t="s">
        <v>53</v>
      </c>
    </row>
    <row r="4889" ht="15.75" customHeight="1">
      <c r="A4889" s="53" t="s">
        <v>411</v>
      </c>
      <c r="B4889" s="53" t="s">
        <v>4945</v>
      </c>
      <c r="D4889" s="53" t="s">
        <v>2899</v>
      </c>
      <c r="E4889" s="53" t="s">
        <v>6222</v>
      </c>
      <c r="F4889" s="53" t="s">
        <v>478</v>
      </c>
      <c r="G4889" s="53" t="s">
        <v>2923</v>
      </c>
      <c r="H4889" s="53">
        <v>1.0</v>
      </c>
      <c r="I4889" s="53">
        <v>0.14864864864864866</v>
      </c>
      <c r="J4889" s="53">
        <v>10.0</v>
      </c>
      <c r="K4889" s="53" t="s">
        <v>53</v>
      </c>
      <c r="L4889" s="53" t="s">
        <v>53</v>
      </c>
    </row>
    <row r="4890" ht="15.75" customHeight="1">
      <c r="A4890" s="53" t="s">
        <v>411</v>
      </c>
      <c r="B4890" s="53" t="s">
        <v>4945</v>
      </c>
      <c r="D4890" s="53" t="s">
        <v>2899</v>
      </c>
      <c r="E4890" s="53" t="s">
        <v>6223</v>
      </c>
      <c r="F4890" s="53" t="s">
        <v>478</v>
      </c>
      <c r="G4890" s="53" t="s">
        <v>2925</v>
      </c>
      <c r="H4890" s="53">
        <v>1.0</v>
      </c>
      <c r="I4890" s="53">
        <v>0.152317880794702</v>
      </c>
      <c r="J4890" s="53">
        <v>16.0</v>
      </c>
      <c r="K4890" s="53" t="s">
        <v>53</v>
      </c>
      <c r="L4890" s="53" t="s">
        <v>53</v>
      </c>
    </row>
    <row r="4891" ht="15.75" customHeight="1">
      <c r="A4891" s="53" t="s">
        <v>411</v>
      </c>
      <c r="B4891" s="53" t="s">
        <v>4945</v>
      </c>
      <c r="D4891" s="53" t="s">
        <v>2899</v>
      </c>
      <c r="E4891" s="53" t="s">
        <v>6224</v>
      </c>
      <c r="F4891" s="53" t="s">
        <v>478</v>
      </c>
      <c r="G4891" s="53" t="s">
        <v>2927</v>
      </c>
      <c r="H4891" s="53">
        <v>1.0</v>
      </c>
      <c r="I4891" s="53">
        <v>0.15436241610738255</v>
      </c>
      <c r="J4891" s="53">
        <v>13.0</v>
      </c>
      <c r="K4891" s="53" t="s">
        <v>53</v>
      </c>
      <c r="L4891" s="53" t="s">
        <v>53</v>
      </c>
    </row>
    <row r="4892" ht="15.75" customHeight="1">
      <c r="A4892" s="53" t="s">
        <v>411</v>
      </c>
      <c r="B4892" s="53" t="s">
        <v>4945</v>
      </c>
      <c r="D4892" s="53" t="s">
        <v>2899</v>
      </c>
      <c r="E4892" s="53" t="s">
        <v>6225</v>
      </c>
      <c r="F4892" s="53" t="s">
        <v>478</v>
      </c>
      <c r="G4892" s="53" t="s">
        <v>2929</v>
      </c>
      <c r="H4892" s="53">
        <v>1.0</v>
      </c>
      <c r="I4892" s="53">
        <v>0.1568627450980392</v>
      </c>
      <c r="J4892" s="53">
        <v>14.0</v>
      </c>
      <c r="K4892" s="53" t="s">
        <v>53</v>
      </c>
      <c r="L4892" s="53" t="s">
        <v>53</v>
      </c>
    </row>
    <row r="4893" ht="15.75" customHeight="1">
      <c r="A4893" s="53" t="s">
        <v>411</v>
      </c>
      <c r="B4893" s="53" t="s">
        <v>4945</v>
      </c>
      <c r="D4893" s="53" t="s">
        <v>2899</v>
      </c>
      <c r="E4893" s="53" t="s">
        <v>6226</v>
      </c>
      <c r="F4893" s="53" t="s">
        <v>478</v>
      </c>
      <c r="G4893" s="53" t="s">
        <v>2931</v>
      </c>
      <c r="H4893" s="53">
        <v>1.0</v>
      </c>
      <c r="I4893" s="53">
        <v>0.17105263157894737</v>
      </c>
      <c r="J4893" s="53">
        <v>8.0</v>
      </c>
      <c r="K4893" s="53" t="s">
        <v>53</v>
      </c>
      <c r="L4893" s="53" t="s">
        <v>53</v>
      </c>
    </row>
    <row r="4894" ht="15.75" customHeight="1">
      <c r="A4894" s="53" t="s">
        <v>411</v>
      </c>
      <c r="B4894" s="53" t="s">
        <v>4945</v>
      </c>
      <c r="D4894" s="53" t="s">
        <v>2899</v>
      </c>
      <c r="E4894" s="53" t="s">
        <v>6227</v>
      </c>
      <c r="F4894" s="53" t="s">
        <v>478</v>
      </c>
      <c r="G4894" s="53" t="s">
        <v>2937</v>
      </c>
      <c r="H4894" s="53">
        <v>1.0</v>
      </c>
      <c r="I4894" s="53">
        <v>0.19708029197080293</v>
      </c>
      <c r="J4894" s="53">
        <v>23.0</v>
      </c>
      <c r="K4894" s="53" t="s">
        <v>53</v>
      </c>
      <c r="L4894" s="53" t="s">
        <v>53</v>
      </c>
    </row>
    <row r="4895" ht="15.75" customHeight="1">
      <c r="A4895" s="53" t="s">
        <v>411</v>
      </c>
      <c r="B4895" s="53" t="s">
        <v>4945</v>
      </c>
      <c r="D4895" s="53" t="s">
        <v>2899</v>
      </c>
      <c r="E4895" s="53" t="s">
        <v>6228</v>
      </c>
      <c r="F4895" s="53" t="s">
        <v>478</v>
      </c>
      <c r="G4895" s="53" t="s">
        <v>2933</v>
      </c>
      <c r="H4895" s="53">
        <v>1.0</v>
      </c>
      <c r="I4895" s="53">
        <v>0.2</v>
      </c>
      <c r="J4895" s="53">
        <v>15.0</v>
      </c>
      <c r="K4895" s="53" t="s">
        <v>53</v>
      </c>
      <c r="L4895" s="53" t="s">
        <v>53</v>
      </c>
    </row>
    <row r="4896" ht="15.75" customHeight="1">
      <c r="A4896" s="53" t="s">
        <v>411</v>
      </c>
      <c r="B4896" s="53" t="s">
        <v>4945</v>
      </c>
      <c r="D4896" s="53" t="s">
        <v>2899</v>
      </c>
      <c r="E4896" s="53" t="s">
        <v>6229</v>
      </c>
      <c r="F4896" s="53" t="s">
        <v>478</v>
      </c>
      <c r="G4896" s="53" t="s">
        <v>2940</v>
      </c>
      <c r="H4896" s="53">
        <v>1.0</v>
      </c>
      <c r="I4896" s="53">
        <v>0.208955223880597</v>
      </c>
      <c r="J4896" s="53">
        <v>3.0</v>
      </c>
      <c r="K4896" s="53" t="s">
        <v>53</v>
      </c>
      <c r="L4896" s="53" t="s">
        <v>53</v>
      </c>
    </row>
    <row r="4897" ht="15.75" customHeight="1">
      <c r="A4897" s="53" t="s">
        <v>411</v>
      </c>
      <c r="B4897" s="53" t="s">
        <v>4945</v>
      </c>
      <c r="D4897" s="53" t="s">
        <v>2899</v>
      </c>
      <c r="E4897" s="53" t="s">
        <v>6230</v>
      </c>
      <c r="F4897" s="53" t="s">
        <v>478</v>
      </c>
      <c r="G4897" s="53" t="s">
        <v>2935</v>
      </c>
      <c r="H4897" s="53">
        <v>1.0</v>
      </c>
      <c r="I4897" s="53">
        <v>0.2119205298013245</v>
      </c>
      <c r="J4897" s="53">
        <v>5.0</v>
      </c>
      <c r="K4897" s="53" t="s">
        <v>53</v>
      </c>
      <c r="L4897" s="53" t="s">
        <v>53</v>
      </c>
    </row>
    <row r="4898" ht="15.75" customHeight="1">
      <c r="A4898" s="53" t="s">
        <v>411</v>
      </c>
      <c r="B4898" s="53" t="s">
        <v>4945</v>
      </c>
      <c r="D4898" s="53" t="s">
        <v>2899</v>
      </c>
      <c r="E4898" s="53" t="s">
        <v>6231</v>
      </c>
      <c r="F4898" s="53" t="s">
        <v>478</v>
      </c>
      <c r="G4898" s="53" t="s">
        <v>2942</v>
      </c>
      <c r="H4898" s="53">
        <v>1.0</v>
      </c>
      <c r="I4898" s="53">
        <v>0.22142857142857142</v>
      </c>
      <c r="J4898" s="53">
        <v>24.0</v>
      </c>
      <c r="K4898" s="53" t="s">
        <v>53</v>
      </c>
      <c r="L4898" s="53" t="s">
        <v>53</v>
      </c>
    </row>
    <row r="4899" ht="15.75" customHeight="1">
      <c r="A4899" s="53" t="s">
        <v>411</v>
      </c>
      <c r="B4899" s="53" t="s">
        <v>4945</v>
      </c>
      <c r="D4899" s="53" t="s">
        <v>2899</v>
      </c>
      <c r="E4899" s="53" t="s">
        <v>6232</v>
      </c>
      <c r="F4899" s="53" t="s">
        <v>478</v>
      </c>
      <c r="G4899" s="53" t="s">
        <v>2948</v>
      </c>
      <c r="H4899" s="53">
        <v>1.0</v>
      </c>
      <c r="I4899" s="53">
        <v>0.2323943661971831</v>
      </c>
      <c r="J4899" s="53">
        <v>22.0</v>
      </c>
      <c r="K4899" s="53" t="s">
        <v>53</v>
      </c>
      <c r="L4899" s="53" t="s">
        <v>53</v>
      </c>
    </row>
    <row r="4900" ht="15.75" customHeight="1">
      <c r="A4900" s="53" t="s">
        <v>411</v>
      </c>
      <c r="B4900" s="53" t="s">
        <v>4945</v>
      </c>
      <c r="D4900" s="53" t="s">
        <v>2899</v>
      </c>
      <c r="E4900" s="53" t="s">
        <v>6233</v>
      </c>
      <c r="F4900" s="53" t="s">
        <v>478</v>
      </c>
      <c r="G4900" s="53" t="s">
        <v>2950</v>
      </c>
      <c r="H4900" s="53">
        <v>1.0</v>
      </c>
      <c r="I4900" s="53">
        <v>0.23270440251572327</v>
      </c>
      <c r="J4900" s="53">
        <v>4.0</v>
      </c>
      <c r="K4900" s="53" t="s">
        <v>53</v>
      </c>
      <c r="L4900" s="53" t="s">
        <v>53</v>
      </c>
    </row>
    <row r="4901" ht="15.75" customHeight="1">
      <c r="A4901" s="53" t="s">
        <v>411</v>
      </c>
      <c r="B4901" s="53" t="s">
        <v>4945</v>
      </c>
      <c r="D4901" s="53" t="s">
        <v>2899</v>
      </c>
      <c r="E4901" s="53" t="s">
        <v>6234</v>
      </c>
      <c r="F4901" s="53" t="s">
        <v>478</v>
      </c>
      <c r="G4901" s="53" t="s">
        <v>2944</v>
      </c>
      <c r="H4901" s="53">
        <v>1.0</v>
      </c>
      <c r="I4901" s="53">
        <v>0.2484472049689441</v>
      </c>
      <c r="J4901" s="53">
        <v>7.0</v>
      </c>
      <c r="K4901" s="53" t="s">
        <v>53</v>
      </c>
      <c r="L4901" s="53" t="s">
        <v>53</v>
      </c>
    </row>
    <row r="4902" ht="15.75" customHeight="1">
      <c r="A4902" s="53" t="s">
        <v>411</v>
      </c>
      <c r="B4902" s="53" t="s">
        <v>4945</v>
      </c>
      <c r="D4902" s="53" t="s">
        <v>2899</v>
      </c>
      <c r="E4902" s="53" t="s">
        <v>6235</v>
      </c>
      <c r="F4902" s="53" t="s">
        <v>478</v>
      </c>
      <c r="G4902" s="53" t="s">
        <v>2954</v>
      </c>
      <c r="H4902" s="53">
        <v>1.0</v>
      </c>
      <c r="I4902" s="53">
        <v>0.2605633802816901</v>
      </c>
      <c r="J4902" s="53">
        <v>1.0</v>
      </c>
      <c r="K4902" s="53" t="s">
        <v>53</v>
      </c>
      <c r="L4902" s="53" t="s">
        <v>53</v>
      </c>
    </row>
    <row r="4903" ht="15.75" customHeight="1">
      <c r="A4903" s="53" t="s">
        <v>411</v>
      </c>
      <c r="B4903" s="53" t="s">
        <v>4945</v>
      </c>
      <c r="D4903" s="53" t="s">
        <v>2899</v>
      </c>
      <c r="E4903" s="53" t="s">
        <v>6236</v>
      </c>
      <c r="F4903" s="53" t="s">
        <v>478</v>
      </c>
      <c r="G4903" s="53" t="s">
        <v>495</v>
      </c>
      <c r="H4903" s="53">
        <v>1.0</v>
      </c>
      <c r="I4903" s="53">
        <v>0.26811594202898553</v>
      </c>
      <c r="J4903" s="53">
        <v>21.0</v>
      </c>
      <c r="K4903" s="53" t="s">
        <v>53</v>
      </c>
      <c r="L4903" s="53" t="s">
        <v>53</v>
      </c>
    </row>
    <row r="4904" ht="15.75" customHeight="1">
      <c r="A4904" s="53" t="s">
        <v>411</v>
      </c>
      <c r="B4904" s="53" t="s">
        <v>4945</v>
      </c>
      <c r="D4904" s="53" t="s">
        <v>2899</v>
      </c>
      <c r="E4904" s="53" t="s">
        <v>6237</v>
      </c>
      <c r="F4904" s="53" t="s">
        <v>478</v>
      </c>
      <c r="G4904" s="53" t="s">
        <v>485</v>
      </c>
      <c r="H4904" s="53">
        <v>1.0</v>
      </c>
      <c r="I4904" s="53">
        <v>0.2708333333333333</v>
      </c>
      <c r="J4904" s="53">
        <v>19.0</v>
      </c>
      <c r="K4904" s="53" t="s">
        <v>53</v>
      </c>
      <c r="L4904" s="53" t="s">
        <v>53</v>
      </c>
    </row>
    <row r="4905" ht="15.75" customHeight="1">
      <c r="A4905" s="53" t="s">
        <v>411</v>
      </c>
      <c r="B4905" s="53" t="s">
        <v>4945</v>
      </c>
      <c r="D4905" s="53" t="s">
        <v>2899</v>
      </c>
      <c r="E4905" s="53" t="s">
        <v>6238</v>
      </c>
      <c r="F4905" s="53" t="s">
        <v>478</v>
      </c>
      <c r="G4905" s="53" t="s">
        <v>474</v>
      </c>
      <c r="H4905" s="53">
        <v>1.0</v>
      </c>
      <c r="I4905" s="53">
        <v>0.2808219178082192</v>
      </c>
      <c r="J4905" s="53">
        <v>20.0</v>
      </c>
      <c r="K4905" s="53" t="s">
        <v>53</v>
      </c>
      <c r="L4905" s="53" t="s">
        <v>53</v>
      </c>
    </row>
    <row r="4906" ht="15.75" customHeight="1">
      <c r="A4906" s="53" t="s">
        <v>411</v>
      </c>
      <c r="B4906" s="53" t="s">
        <v>4945</v>
      </c>
      <c r="D4906" s="53" t="s">
        <v>2899</v>
      </c>
      <c r="E4906" s="53" t="s">
        <v>6239</v>
      </c>
      <c r="F4906" s="53" t="s">
        <v>478</v>
      </c>
      <c r="G4906" s="53" t="s">
        <v>2957</v>
      </c>
      <c r="H4906" s="53">
        <v>1.0</v>
      </c>
      <c r="I4906" s="53">
        <v>0.28484848484848485</v>
      </c>
      <c r="J4906" s="53">
        <v>6.0</v>
      </c>
      <c r="K4906" s="53" t="s">
        <v>53</v>
      </c>
      <c r="L4906" s="53" t="s">
        <v>53</v>
      </c>
    </row>
    <row r="4907" ht="15.75" customHeight="1">
      <c r="A4907" s="53" t="s">
        <v>411</v>
      </c>
      <c r="B4907" s="53" t="s">
        <v>4945</v>
      </c>
      <c r="D4907" s="53" t="s">
        <v>2911</v>
      </c>
      <c r="E4907" s="53" t="s">
        <v>6240</v>
      </c>
      <c r="F4907" s="53" t="s">
        <v>478</v>
      </c>
      <c r="G4907" s="53" t="s">
        <v>2905</v>
      </c>
      <c r="H4907" s="53">
        <v>1.0</v>
      </c>
      <c r="I4907" s="53">
        <v>0.11267605633802817</v>
      </c>
      <c r="J4907" s="53">
        <v>1.0</v>
      </c>
      <c r="K4907" s="53" t="s">
        <v>53</v>
      </c>
      <c r="L4907" s="53" t="s">
        <v>53</v>
      </c>
    </row>
    <row r="4908" ht="15.75" customHeight="1">
      <c r="A4908" s="53" t="s">
        <v>411</v>
      </c>
      <c r="B4908" s="53" t="s">
        <v>4945</v>
      </c>
      <c r="D4908" s="53" t="s">
        <v>2911</v>
      </c>
      <c r="E4908" s="53" t="s">
        <v>6241</v>
      </c>
      <c r="F4908" s="53" t="s">
        <v>478</v>
      </c>
      <c r="G4908" s="53" t="s">
        <v>2907</v>
      </c>
      <c r="H4908" s="53">
        <v>1.0</v>
      </c>
      <c r="I4908" s="53">
        <v>0.11971830985915492</v>
      </c>
      <c r="J4908" s="53">
        <v>16.0</v>
      </c>
      <c r="K4908" s="53" t="s">
        <v>53</v>
      </c>
      <c r="L4908" s="53" t="s">
        <v>53</v>
      </c>
    </row>
    <row r="4909" ht="15.75" customHeight="1">
      <c r="A4909" s="53" t="s">
        <v>411</v>
      </c>
      <c r="B4909" s="53" t="s">
        <v>4945</v>
      </c>
      <c r="D4909" s="53" t="s">
        <v>2911</v>
      </c>
      <c r="E4909" s="53" t="s">
        <v>6242</v>
      </c>
      <c r="F4909" s="53" t="s">
        <v>478</v>
      </c>
      <c r="G4909" s="53" t="s">
        <v>2915</v>
      </c>
      <c r="H4909" s="53">
        <v>1.0</v>
      </c>
      <c r="I4909" s="53">
        <v>0.12413793103448276</v>
      </c>
      <c r="J4909" s="53">
        <v>8.0</v>
      </c>
      <c r="K4909" s="53" t="s">
        <v>53</v>
      </c>
      <c r="L4909" s="53" t="s">
        <v>53</v>
      </c>
    </row>
    <row r="4910" ht="15.75" customHeight="1">
      <c r="A4910" s="53" t="s">
        <v>411</v>
      </c>
      <c r="B4910" s="53" t="s">
        <v>4945</v>
      </c>
      <c r="D4910" s="53" t="s">
        <v>2911</v>
      </c>
      <c r="E4910" s="53" t="s">
        <v>6243</v>
      </c>
      <c r="F4910" s="53" t="s">
        <v>478</v>
      </c>
      <c r="G4910" s="53" t="s">
        <v>2917</v>
      </c>
      <c r="H4910" s="53">
        <v>1.0</v>
      </c>
      <c r="I4910" s="53">
        <v>0.13286713286713286</v>
      </c>
      <c r="J4910" s="53">
        <v>17.0</v>
      </c>
      <c r="K4910" s="53" t="s">
        <v>53</v>
      </c>
      <c r="L4910" s="53" t="s">
        <v>53</v>
      </c>
    </row>
    <row r="4911" ht="15.75" customHeight="1">
      <c r="A4911" s="53" t="s">
        <v>411</v>
      </c>
      <c r="B4911" s="53" t="s">
        <v>4945</v>
      </c>
      <c r="D4911" s="53" t="s">
        <v>2911</v>
      </c>
      <c r="E4911" s="53" t="s">
        <v>6244</v>
      </c>
      <c r="F4911" s="53" t="s">
        <v>478</v>
      </c>
      <c r="G4911" s="53" t="s">
        <v>2927</v>
      </c>
      <c r="H4911" s="53">
        <v>1.0</v>
      </c>
      <c r="I4911" s="53">
        <v>0.1342281879194631</v>
      </c>
      <c r="J4911" s="53">
        <v>12.0</v>
      </c>
      <c r="K4911" s="53" t="s">
        <v>53</v>
      </c>
      <c r="L4911" s="53" t="s">
        <v>53</v>
      </c>
    </row>
    <row r="4912" ht="15.75" customHeight="1">
      <c r="A4912" s="53" t="s">
        <v>411</v>
      </c>
      <c r="B4912" s="53" t="s">
        <v>4945</v>
      </c>
      <c r="D4912" s="53" t="s">
        <v>2911</v>
      </c>
      <c r="E4912" s="53" t="s">
        <v>6245</v>
      </c>
      <c r="F4912" s="53" t="s">
        <v>478</v>
      </c>
      <c r="G4912" s="53" t="s">
        <v>2923</v>
      </c>
      <c r="H4912" s="53">
        <v>1.0</v>
      </c>
      <c r="I4912" s="53">
        <v>0.13513513513513514</v>
      </c>
      <c r="J4912" s="53">
        <v>9.0</v>
      </c>
      <c r="K4912" s="53" t="s">
        <v>53</v>
      </c>
      <c r="L4912" s="53" t="s">
        <v>53</v>
      </c>
    </row>
    <row r="4913" ht="15.75" customHeight="1">
      <c r="A4913" s="53" t="s">
        <v>411</v>
      </c>
      <c r="B4913" s="53" t="s">
        <v>4945</v>
      </c>
      <c r="D4913" s="53" t="s">
        <v>2911</v>
      </c>
      <c r="E4913" s="53" t="s">
        <v>6246</v>
      </c>
      <c r="F4913" s="53" t="s">
        <v>478</v>
      </c>
      <c r="G4913" s="53" t="s">
        <v>2921</v>
      </c>
      <c r="H4913" s="53">
        <v>1.0</v>
      </c>
      <c r="I4913" s="53">
        <v>0.14093959731543623</v>
      </c>
      <c r="J4913" s="53">
        <v>11.0</v>
      </c>
      <c r="K4913" s="53" t="s">
        <v>53</v>
      </c>
      <c r="L4913" s="53" t="s">
        <v>53</v>
      </c>
    </row>
    <row r="4914" ht="15.75" customHeight="1">
      <c r="A4914" s="53" t="s">
        <v>411</v>
      </c>
      <c r="B4914" s="53" t="s">
        <v>4945</v>
      </c>
      <c r="D4914" s="53" t="s">
        <v>2911</v>
      </c>
      <c r="E4914" s="53" t="s">
        <v>6247</v>
      </c>
      <c r="F4914" s="53" t="s">
        <v>478</v>
      </c>
      <c r="G4914" s="53" t="s">
        <v>2919</v>
      </c>
      <c r="H4914" s="53">
        <v>1.0</v>
      </c>
      <c r="I4914" s="53">
        <v>0.152317880794702</v>
      </c>
      <c r="J4914" s="53">
        <v>10.0</v>
      </c>
      <c r="K4914" s="53" t="s">
        <v>53</v>
      </c>
      <c r="L4914" s="53" t="s">
        <v>53</v>
      </c>
    </row>
    <row r="4915" ht="15.75" customHeight="1">
      <c r="A4915" s="53" t="s">
        <v>411</v>
      </c>
      <c r="B4915" s="53" t="s">
        <v>4945</v>
      </c>
      <c r="D4915" s="53" t="s">
        <v>2911</v>
      </c>
      <c r="E4915" s="53" t="s">
        <v>6248</v>
      </c>
      <c r="F4915" s="53" t="s">
        <v>478</v>
      </c>
      <c r="G4915" s="53" t="s">
        <v>2925</v>
      </c>
      <c r="H4915" s="53">
        <v>1.0</v>
      </c>
      <c r="I4915" s="53">
        <v>0.15894039735099338</v>
      </c>
      <c r="J4915" s="53">
        <v>15.0</v>
      </c>
      <c r="K4915" s="53" t="s">
        <v>53</v>
      </c>
      <c r="L4915" s="53" t="s">
        <v>53</v>
      </c>
    </row>
    <row r="4916" ht="15.75" customHeight="1">
      <c r="A4916" s="53" t="s">
        <v>411</v>
      </c>
      <c r="B4916" s="53" t="s">
        <v>4945</v>
      </c>
      <c r="D4916" s="53" t="s">
        <v>2911</v>
      </c>
      <c r="E4916" s="53" t="s">
        <v>6249</v>
      </c>
      <c r="F4916" s="53" t="s">
        <v>478</v>
      </c>
      <c r="G4916" s="53" t="s">
        <v>2929</v>
      </c>
      <c r="H4916" s="53">
        <v>1.0</v>
      </c>
      <c r="I4916" s="53">
        <v>0.16339869281045752</v>
      </c>
      <c r="J4916" s="53">
        <v>13.0</v>
      </c>
      <c r="K4916" s="53" t="s">
        <v>53</v>
      </c>
      <c r="L4916" s="53" t="s">
        <v>53</v>
      </c>
    </row>
    <row r="4917" ht="15.75" customHeight="1">
      <c r="A4917" s="53" t="s">
        <v>411</v>
      </c>
      <c r="B4917" s="53" t="s">
        <v>4945</v>
      </c>
      <c r="D4917" s="53" t="s">
        <v>2911</v>
      </c>
      <c r="E4917" s="53" t="s">
        <v>6250</v>
      </c>
      <c r="F4917" s="53" t="s">
        <v>478</v>
      </c>
      <c r="G4917" s="53" t="s">
        <v>2931</v>
      </c>
      <c r="H4917" s="53">
        <v>1.0</v>
      </c>
      <c r="I4917" s="53">
        <v>0.16447368421052633</v>
      </c>
      <c r="J4917" s="53">
        <v>7.0</v>
      </c>
      <c r="K4917" s="53" t="s">
        <v>53</v>
      </c>
      <c r="L4917" s="53" t="s">
        <v>53</v>
      </c>
    </row>
    <row r="4918" ht="15.75" customHeight="1">
      <c r="A4918" s="53" t="s">
        <v>411</v>
      </c>
      <c r="B4918" s="53" t="s">
        <v>4945</v>
      </c>
      <c r="D4918" s="53" t="s">
        <v>2911</v>
      </c>
      <c r="E4918" s="53" t="s">
        <v>6251</v>
      </c>
      <c r="F4918" s="53" t="s">
        <v>478</v>
      </c>
      <c r="G4918" s="53" t="s">
        <v>2933</v>
      </c>
      <c r="H4918" s="53">
        <v>1.0</v>
      </c>
      <c r="I4918" s="53">
        <v>0.19375</v>
      </c>
      <c r="J4918" s="53">
        <v>14.0</v>
      </c>
      <c r="K4918" s="53" t="s">
        <v>53</v>
      </c>
      <c r="L4918" s="53" t="s">
        <v>53</v>
      </c>
    </row>
    <row r="4919" ht="15.75" customHeight="1">
      <c r="A4919" s="53" t="s">
        <v>411</v>
      </c>
      <c r="B4919" s="53" t="s">
        <v>4945</v>
      </c>
      <c r="D4919" s="53" t="s">
        <v>2911</v>
      </c>
      <c r="E4919" s="53" t="s">
        <v>6252</v>
      </c>
      <c r="F4919" s="53" t="s">
        <v>478</v>
      </c>
      <c r="G4919" s="53" t="s">
        <v>2935</v>
      </c>
      <c r="H4919" s="53">
        <v>1.0</v>
      </c>
      <c r="I4919" s="53">
        <v>0.2052980132450331</v>
      </c>
      <c r="J4919" s="53">
        <v>4.0</v>
      </c>
      <c r="K4919" s="53" t="s">
        <v>53</v>
      </c>
      <c r="L4919" s="53" t="s">
        <v>53</v>
      </c>
    </row>
    <row r="4920" ht="15.75" customHeight="1">
      <c r="A4920" s="53" t="s">
        <v>411</v>
      </c>
      <c r="B4920" s="53" t="s">
        <v>4945</v>
      </c>
      <c r="D4920" s="53" t="s">
        <v>2911</v>
      </c>
      <c r="E4920" s="53" t="s">
        <v>6253</v>
      </c>
      <c r="F4920" s="53" t="s">
        <v>478</v>
      </c>
      <c r="G4920" s="53" t="s">
        <v>2950</v>
      </c>
      <c r="H4920" s="53">
        <v>1.0</v>
      </c>
      <c r="I4920" s="53">
        <v>0.22012578616352202</v>
      </c>
      <c r="J4920" s="53">
        <v>3.0</v>
      </c>
      <c r="K4920" s="53" t="s">
        <v>53</v>
      </c>
      <c r="L4920" s="53" t="s">
        <v>53</v>
      </c>
    </row>
    <row r="4921" ht="15.75" customHeight="1">
      <c r="A4921" s="53" t="s">
        <v>411</v>
      </c>
      <c r="B4921" s="53" t="s">
        <v>4945</v>
      </c>
      <c r="D4921" s="53" t="s">
        <v>2911</v>
      </c>
      <c r="E4921" s="53" t="s">
        <v>6254</v>
      </c>
      <c r="F4921" s="53" t="s">
        <v>478</v>
      </c>
      <c r="G4921" s="53" t="s">
        <v>2937</v>
      </c>
      <c r="H4921" s="53">
        <v>1.0</v>
      </c>
      <c r="I4921" s="53">
        <v>0.2323943661971831</v>
      </c>
      <c r="J4921" s="53">
        <v>22.0</v>
      </c>
      <c r="K4921" s="53" t="s">
        <v>53</v>
      </c>
      <c r="L4921" s="53" t="s">
        <v>53</v>
      </c>
    </row>
    <row r="4922" ht="15.75" customHeight="1">
      <c r="A4922" s="53" t="s">
        <v>411</v>
      </c>
      <c r="B4922" s="53" t="s">
        <v>4945</v>
      </c>
      <c r="D4922" s="53" t="s">
        <v>2911</v>
      </c>
      <c r="E4922" s="53" t="s">
        <v>6255</v>
      </c>
      <c r="F4922" s="53" t="s">
        <v>478</v>
      </c>
      <c r="G4922" s="53" t="s">
        <v>2940</v>
      </c>
      <c r="H4922" s="53">
        <v>1.0</v>
      </c>
      <c r="I4922" s="53">
        <v>0.2323943661971831</v>
      </c>
      <c r="J4922" s="53">
        <v>2.0</v>
      </c>
      <c r="K4922" s="53" t="s">
        <v>53</v>
      </c>
      <c r="L4922" s="53" t="s">
        <v>53</v>
      </c>
    </row>
    <row r="4923" ht="15.75" customHeight="1">
      <c r="A4923" s="53" t="s">
        <v>411</v>
      </c>
      <c r="B4923" s="53" t="s">
        <v>4945</v>
      </c>
      <c r="D4923" s="53" t="s">
        <v>2911</v>
      </c>
      <c r="E4923" s="53" t="s">
        <v>6256</v>
      </c>
      <c r="F4923" s="53" t="s">
        <v>478</v>
      </c>
      <c r="G4923" s="53" t="s">
        <v>2944</v>
      </c>
      <c r="H4923" s="53">
        <v>1.0</v>
      </c>
      <c r="I4923" s="53">
        <v>0.2422360248447205</v>
      </c>
      <c r="J4923" s="53">
        <v>6.0</v>
      </c>
      <c r="K4923" s="53" t="s">
        <v>53</v>
      </c>
      <c r="L4923" s="53" t="s">
        <v>53</v>
      </c>
    </row>
    <row r="4924" ht="15.75" customHeight="1">
      <c r="A4924" s="53" t="s">
        <v>411</v>
      </c>
      <c r="B4924" s="53" t="s">
        <v>4945</v>
      </c>
      <c r="D4924" s="53" t="s">
        <v>2911</v>
      </c>
      <c r="E4924" s="53" t="s">
        <v>6257</v>
      </c>
      <c r="F4924" s="53" t="s">
        <v>478</v>
      </c>
      <c r="G4924" s="53" t="s">
        <v>2954</v>
      </c>
      <c r="H4924" s="53">
        <v>1.0</v>
      </c>
      <c r="I4924" s="53">
        <v>0.24647887323943662</v>
      </c>
      <c r="J4924" s="53">
        <v>0.0</v>
      </c>
      <c r="K4924" s="53" t="s">
        <v>53</v>
      </c>
      <c r="L4924" s="53" t="s">
        <v>53</v>
      </c>
    </row>
    <row r="4925" ht="15.75" customHeight="1">
      <c r="A4925" s="53" t="s">
        <v>411</v>
      </c>
      <c r="B4925" s="53" t="s">
        <v>4945</v>
      </c>
      <c r="D4925" s="53" t="s">
        <v>2911</v>
      </c>
      <c r="E4925" s="53" t="s">
        <v>6258</v>
      </c>
      <c r="F4925" s="53" t="s">
        <v>478</v>
      </c>
      <c r="G4925" s="53" t="s">
        <v>485</v>
      </c>
      <c r="H4925" s="53">
        <v>1.0</v>
      </c>
      <c r="I4925" s="53">
        <v>0.25</v>
      </c>
      <c r="J4925" s="53">
        <v>18.0</v>
      </c>
      <c r="K4925" s="53" t="s">
        <v>53</v>
      </c>
      <c r="L4925" s="53" t="s">
        <v>53</v>
      </c>
    </row>
    <row r="4926" ht="15.75" customHeight="1">
      <c r="A4926" s="53" t="s">
        <v>411</v>
      </c>
      <c r="B4926" s="53" t="s">
        <v>4945</v>
      </c>
      <c r="D4926" s="53" t="s">
        <v>2911</v>
      </c>
      <c r="E4926" s="53" t="s">
        <v>6259</v>
      </c>
      <c r="F4926" s="53" t="s">
        <v>478</v>
      </c>
      <c r="G4926" s="53" t="s">
        <v>474</v>
      </c>
      <c r="H4926" s="53">
        <v>1.0</v>
      </c>
      <c r="I4926" s="53">
        <v>0.2602739726027397</v>
      </c>
      <c r="J4926" s="53">
        <v>19.0</v>
      </c>
      <c r="K4926" s="53" t="s">
        <v>53</v>
      </c>
      <c r="L4926" s="53" t="s">
        <v>53</v>
      </c>
    </row>
    <row r="4927" ht="15.75" customHeight="1">
      <c r="A4927" s="53" t="s">
        <v>411</v>
      </c>
      <c r="B4927" s="53" t="s">
        <v>4945</v>
      </c>
      <c r="D4927" s="53" t="s">
        <v>2911</v>
      </c>
      <c r="E4927" s="53" t="s">
        <v>6260</v>
      </c>
      <c r="F4927" s="53" t="s">
        <v>478</v>
      </c>
      <c r="G4927" s="53" t="s">
        <v>2942</v>
      </c>
      <c r="H4927" s="53">
        <v>1.0</v>
      </c>
      <c r="I4927" s="53">
        <v>0.2605633802816901</v>
      </c>
      <c r="J4927" s="53">
        <v>23.0</v>
      </c>
      <c r="K4927" s="53" t="s">
        <v>53</v>
      </c>
      <c r="L4927" s="53" t="s">
        <v>53</v>
      </c>
    </row>
    <row r="4928" ht="15.75" customHeight="1">
      <c r="A4928" s="53" t="s">
        <v>411</v>
      </c>
      <c r="B4928" s="53" t="s">
        <v>4945</v>
      </c>
      <c r="D4928" s="53" t="s">
        <v>2911</v>
      </c>
      <c r="E4928" s="53" t="s">
        <v>6261</v>
      </c>
      <c r="F4928" s="53" t="s">
        <v>478</v>
      </c>
      <c r="G4928" s="53" t="s">
        <v>2948</v>
      </c>
      <c r="H4928" s="53">
        <v>1.0</v>
      </c>
      <c r="I4928" s="53">
        <v>0.2605633802816901</v>
      </c>
      <c r="J4928" s="53">
        <v>21.0</v>
      </c>
      <c r="K4928" s="53" t="s">
        <v>53</v>
      </c>
      <c r="L4928" s="53" t="s">
        <v>53</v>
      </c>
    </row>
    <row r="4929" ht="15.75" customHeight="1">
      <c r="A4929" s="53" t="s">
        <v>411</v>
      </c>
      <c r="B4929" s="53" t="s">
        <v>4945</v>
      </c>
      <c r="D4929" s="53" t="s">
        <v>2911</v>
      </c>
      <c r="E4929" s="53" t="s">
        <v>6262</v>
      </c>
      <c r="F4929" s="53" t="s">
        <v>478</v>
      </c>
      <c r="G4929" s="53" t="s">
        <v>2957</v>
      </c>
      <c r="H4929" s="53">
        <v>1.0</v>
      </c>
      <c r="I4929" s="53">
        <v>0.2727272727272727</v>
      </c>
      <c r="J4929" s="53">
        <v>5.0</v>
      </c>
      <c r="K4929" s="53" t="s">
        <v>53</v>
      </c>
      <c r="L4929" s="53" t="s">
        <v>53</v>
      </c>
    </row>
    <row r="4930" ht="15.75" customHeight="1">
      <c r="A4930" s="53" t="s">
        <v>411</v>
      </c>
      <c r="B4930" s="53" t="s">
        <v>4945</v>
      </c>
      <c r="D4930" s="53" t="s">
        <v>2911</v>
      </c>
      <c r="E4930" s="53" t="s">
        <v>6263</v>
      </c>
      <c r="F4930" s="53" t="s">
        <v>478</v>
      </c>
      <c r="G4930" s="53" t="s">
        <v>495</v>
      </c>
      <c r="H4930" s="53">
        <v>1.0</v>
      </c>
      <c r="I4930" s="53">
        <v>0.2887323943661972</v>
      </c>
      <c r="J4930" s="53">
        <v>20.0</v>
      </c>
      <c r="K4930" s="53" t="s">
        <v>53</v>
      </c>
      <c r="L4930" s="53" t="s">
        <v>53</v>
      </c>
    </row>
    <row r="4931" ht="15.75" customHeight="1">
      <c r="A4931" s="53" t="s">
        <v>411</v>
      </c>
      <c r="B4931" s="53" t="s">
        <v>4945</v>
      </c>
      <c r="D4931" s="53" t="s">
        <v>2954</v>
      </c>
      <c r="E4931" s="53" t="s">
        <v>6264</v>
      </c>
      <c r="F4931" s="53" t="s">
        <v>478</v>
      </c>
      <c r="G4931" s="53" t="s">
        <v>2940</v>
      </c>
      <c r="H4931" s="53">
        <v>1.0</v>
      </c>
      <c r="I4931" s="53">
        <v>0.1619718309859155</v>
      </c>
      <c r="J4931" s="53">
        <v>1.0</v>
      </c>
      <c r="K4931" s="53" t="s">
        <v>53</v>
      </c>
      <c r="L4931" s="53" t="s">
        <v>53</v>
      </c>
    </row>
    <row r="4932" ht="15.75" customHeight="1">
      <c r="A4932" s="53" t="s">
        <v>411</v>
      </c>
      <c r="B4932" s="53" t="s">
        <v>4945</v>
      </c>
      <c r="D4932" s="53" t="s">
        <v>2954</v>
      </c>
      <c r="E4932" s="53" t="s">
        <v>6265</v>
      </c>
      <c r="F4932" s="53" t="s">
        <v>478</v>
      </c>
      <c r="G4932" s="53" t="s">
        <v>485</v>
      </c>
      <c r="H4932" s="53">
        <v>1.0</v>
      </c>
      <c r="I4932" s="53">
        <v>0.1875</v>
      </c>
      <c r="J4932" s="53">
        <v>17.0</v>
      </c>
      <c r="K4932" s="53" t="s">
        <v>53</v>
      </c>
      <c r="L4932" s="53" t="s">
        <v>53</v>
      </c>
    </row>
    <row r="4933" ht="15.75" customHeight="1">
      <c r="A4933" s="53" t="s">
        <v>411</v>
      </c>
      <c r="B4933" s="53" t="s">
        <v>4945</v>
      </c>
      <c r="D4933" s="53" t="s">
        <v>2954</v>
      </c>
      <c r="E4933" s="53" t="s">
        <v>6266</v>
      </c>
      <c r="F4933" s="53" t="s">
        <v>478</v>
      </c>
      <c r="G4933" s="53" t="s">
        <v>474</v>
      </c>
      <c r="H4933" s="53">
        <v>1.0</v>
      </c>
      <c r="I4933" s="53">
        <v>0.1917808219178082</v>
      </c>
      <c r="J4933" s="53">
        <v>18.0</v>
      </c>
      <c r="K4933" s="53" t="s">
        <v>53</v>
      </c>
      <c r="L4933" s="53" t="s">
        <v>53</v>
      </c>
    </row>
    <row r="4934" ht="15.75" customHeight="1">
      <c r="A4934" s="53" t="s">
        <v>411</v>
      </c>
      <c r="B4934" s="53" t="s">
        <v>4945</v>
      </c>
      <c r="D4934" s="53" t="s">
        <v>2954</v>
      </c>
      <c r="E4934" s="53" t="s">
        <v>6267</v>
      </c>
      <c r="F4934" s="53" t="s">
        <v>478</v>
      </c>
      <c r="G4934" s="53" t="s">
        <v>2942</v>
      </c>
      <c r="H4934" s="53">
        <v>1.0</v>
      </c>
      <c r="I4934" s="53">
        <v>0.2323943661971831</v>
      </c>
      <c r="J4934" s="53">
        <v>22.0</v>
      </c>
      <c r="K4934" s="53" t="s">
        <v>53</v>
      </c>
      <c r="L4934" s="53" t="s">
        <v>53</v>
      </c>
    </row>
    <row r="4935" ht="15.75" customHeight="1">
      <c r="A4935" s="53" t="s">
        <v>411</v>
      </c>
      <c r="B4935" s="53" t="s">
        <v>4945</v>
      </c>
      <c r="D4935" s="53" t="s">
        <v>2954</v>
      </c>
      <c r="E4935" s="53" t="s">
        <v>6268</v>
      </c>
      <c r="F4935" s="53" t="s">
        <v>478</v>
      </c>
      <c r="G4935" s="53" t="s">
        <v>495</v>
      </c>
      <c r="H4935" s="53">
        <v>1.0</v>
      </c>
      <c r="I4935" s="53">
        <v>0.23943661971830985</v>
      </c>
      <c r="J4935" s="53">
        <v>19.0</v>
      </c>
      <c r="K4935" s="53" t="s">
        <v>53</v>
      </c>
      <c r="L4935" s="53" t="s">
        <v>53</v>
      </c>
    </row>
    <row r="4936" ht="15.75" customHeight="1">
      <c r="A4936" s="53" t="s">
        <v>411</v>
      </c>
      <c r="B4936" s="53" t="s">
        <v>4945</v>
      </c>
      <c r="D4936" s="53" t="s">
        <v>2954</v>
      </c>
      <c r="E4936" s="53" t="s">
        <v>6269</v>
      </c>
      <c r="F4936" s="53" t="s">
        <v>478</v>
      </c>
      <c r="G4936" s="53" t="s">
        <v>2937</v>
      </c>
      <c r="H4936" s="53">
        <v>1.0</v>
      </c>
      <c r="I4936" s="53">
        <v>0.2535211267605634</v>
      </c>
      <c r="J4936" s="53">
        <v>21.0</v>
      </c>
      <c r="K4936" s="53" t="s">
        <v>53</v>
      </c>
      <c r="L4936" s="53" t="s">
        <v>53</v>
      </c>
    </row>
    <row r="4937" ht="15.75" customHeight="1">
      <c r="A4937" s="53" t="s">
        <v>411</v>
      </c>
      <c r="B4937" s="53" t="s">
        <v>4945</v>
      </c>
      <c r="D4937" s="53" t="s">
        <v>2954</v>
      </c>
      <c r="E4937" s="53" t="s">
        <v>6270</v>
      </c>
      <c r="F4937" s="53" t="s">
        <v>478</v>
      </c>
      <c r="G4937" s="53" t="s">
        <v>2948</v>
      </c>
      <c r="H4937" s="53">
        <v>1.0</v>
      </c>
      <c r="I4937" s="53">
        <v>0.2535211267605634</v>
      </c>
      <c r="J4937" s="53">
        <v>20.0</v>
      </c>
      <c r="K4937" s="53" t="s">
        <v>53</v>
      </c>
      <c r="L4937" s="53" t="s">
        <v>53</v>
      </c>
    </row>
    <row r="4938" ht="15.75" customHeight="1">
      <c r="A4938" s="53" t="s">
        <v>411</v>
      </c>
      <c r="B4938" s="53" t="s">
        <v>4945</v>
      </c>
      <c r="D4938" s="53" t="s">
        <v>2954</v>
      </c>
      <c r="E4938" s="53" t="s">
        <v>6271</v>
      </c>
      <c r="F4938" s="53" t="s">
        <v>478</v>
      </c>
      <c r="G4938" s="53" t="s">
        <v>2915</v>
      </c>
      <c r="H4938" s="53">
        <v>1.0</v>
      </c>
      <c r="I4938" s="53">
        <v>0.25517241379310346</v>
      </c>
      <c r="J4938" s="53">
        <v>7.0</v>
      </c>
      <c r="K4938" s="53" t="s">
        <v>53</v>
      </c>
      <c r="L4938" s="53" t="s">
        <v>53</v>
      </c>
    </row>
    <row r="4939" ht="15.75" customHeight="1">
      <c r="A4939" s="53" t="s">
        <v>411</v>
      </c>
      <c r="B4939" s="53" t="s">
        <v>4945</v>
      </c>
      <c r="D4939" s="53" t="s">
        <v>2954</v>
      </c>
      <c r="E4939" s="53" t="s">
        <v>6272</v>
      </c>
      <c r="F4939" s="53" t="s">
        <v>478</v>
      </c>
      <c r="G4939" s="53" t="s">
        <v>2931</v>
      </c>
      <c r="H4939" s="53">
        <v>1.0</v>
      </c>
      <c r="I4939" s="53">
        <v>0.2565789473684211</v>
      </c>
      <c r="J4939" s="53">
        <v>6.0</v>
      </c>
      <c r="K4939" s="53" t="s">
        <v>53</v>
      </c>
      <c r="L4939" s="53" t="s">
        <v>53</v>
      </c>
    </row>
    <row r="4940" ht="15.75" customHeight="1">
      <c r="A4940" s="53" t="s">
        <v>411</v>
      </c>
      <c r="B4940" s="53" t="s">
        <v>4945</v>
      </c>
      <c r="D4940" s="53" t="s">
        <v>2954</v>
      </c>
      <c r="E4940" s="53" t="s">
        <v>6273</v>
      </c>
      <c r="F4940" s="53" t="s">
        <v>478</v>
      </c>
      <c r="G4940" s="53" t="s">
        <v>2935</v>
      </c>
      <c r="H4940" s="53">
        <v>1.0</v>
      </c>
      <c r="I4940" s="53">
        <v>0.2582781456953642</v>
      </c>
      <c r="J4940" s="53">
        <v>3.0</v>
      </c>
      <c r="K4940" s="53" t="s">
        <v>53</v>
      </c>
      <c r="L4940" s="53" t="s">
        <v>53</v>
      </c>
    </row>
    <row r="4941" ht="15.75" customHeight="1">
      <c r="A4941" s="53" t="s">
        <v>411</v>
      </c>
      <c r="B4941" s="53" t="s">
        <v>4945</v>
      </c>
      <c r="D4941" s="53" t="s">
        <v>2954</v>
      </c>
      <c r="E4941" s="53" t="s">
        <v>6274</v>
      </c>
      <c r="F4941" s="53" t="s">
        <v>478</v>
      </c>
      <c r="G4941" s="53" t="s">
        <v>2925</v>
      </c>
      <c r="H4941" s="53">
        <v>1.0</v>
      </c>
      <c r="I4941" s="53">
        <v>0.2582781456953642</v>
      </c>
      <c r="J4941" s="53">
        <v>14.0</v>
      </c>
      <c r="K4941" s="53" t="s">
        <v>53</v>
      </c>
      <c r="L4941" s="53" t="s">
        <v>53</v>
      </c>
    </row>
    <row r="4942" ht="15.75" customHeight="1">
      <c r="A4942" s="53" t="s">
        <v>411</v>
      </c>
      <c r="B4942" s="53" t="s">
        <v>4945</v>
      </c>
      <c r="D4942" s="53" t="s">
        <v>2954</v>
      </c>
      <c r="E4942" s="53" t="s">
        <v>6275</v>
      </c>
      <c r="F4942" s="53" t="s">
        <v>478</v>
      </c>
      <c r="G4942" s="53" t="s">
        <v>2907</v>
      </c>
      <c r="H4942" s="53">
        <v>1.0</v>
      </c>
      <c r="I4942" s="53">
        <v>0.2605633802816901</v>
      </c>
      <c r="J4942" s="53">
        <v>15.0</v>
      </c>
      <c r="K4942" s="53" t="s">
        <v>53</v>
      </c>
      <c r="L4942" s="53" t="s">
        <v>53</v>
      </c>
    </row>
    <row r="4943" ht="15.75" customHeight="1">
      <c r="A4943" s="53" t="s">
        <v>411</v>
      </c>
      <c r="B4943" s="53" t="s">
        <v>4945</v>
      </c>
      <c r="D4943" s="53" t="s">
        <v>2954</v>
      </c>
      <c r="E4943" s="53" t="s">
        <v>6276</v>
      </c>
      <c r="F4943" s="53" t="s">
        <v>478</v>
      </c>
      <c r="G4943" s="53" t="s">
        <v>2905</v>
      </c>
      <c r="H4943" s="53">
        <v>1.0</v>
      </c>
      <c r="I4943" s="53">
        <v>0.2605633802816901</v>
      </c>
      <c r="J4943" s="53">
        <v>0.0</v>
      </c>
      <c r="K4943" s="53" t="s">
        <v>53</v>
      </c>
      <c r="L4943" s="53" t="s">
        <v>53</v>
      </c>
    </row>
    <row r="4944" ht="15.75" customHeight="1">
      <c r="A4944" s="53" t="s">
        <v>411</v>
      </c>
      <c r="B4944" s="53" t="s">
        <v>4945</v>
      </c>
      <c r="D4944" s="53" t="s">
        <v>2954</v>
      </c>
      <c r="E4944" s="53" t="s">
        <v>6277</v>
      </c>
      <c r="F4944" s="53" t="s">
        <v>478</v>
      </c>
      <c r="G4944" s="53" t="s">
        <v>2957</v>
      </c>
      <c r="H4944" s="53">
        <v>1.0</v>
      </c>
      <c r="I4944" s="53">
        <v>0.2606060606060606</v>
      </c>
      <c r="J4944" s="53">
        <v>4.0</v>
      </c>
      <c r="K4944" s="53" t="s">
        <v>53</v>
      </c>
      <c r="L4944" s="53" t="s">
        <v>53</v>
      </c>
    </row>
    <row r="4945" ht="15.75" customHeight="1">
      <c r="A4945" s="53" t="s">
        <v>411</v>
      </c>
      <c r="B4945" s="53" t="s">
        <v>4945</v>
      </c>
      <c r="D4945" s="53" t="s">
        <v>2954</v>
      </c>
      <c r="E4945" s="53" t="s">
        <v>6278</v>
      </c>
      <c r="F4945" s="53" t="s">
        <v>478</v>
      </c>
      <c r="G4945" s="53" t="s">
        <v>2923</v>
      </c>
      <c r="H4945" s="53">
        <v>1.0</v>
      </c>
      <c r="I4945" s="53">
        <v>0.2635135135135135</v>
      </c>
      <c r="J4945" s="53">
        <v>8.0</v>
      </c>
      <c r="K4945" s="53" t="s">
        <v>53</v>
      </c>
      <c r="L4945" s="53" t="s">
        <v>53</v>
      </c>
    </row>
    <row r="4946" ht="15.75" customHeight="1">
      <c r="A4946" s="53" t="s">
        <v>411</v>
      </c>
      <c r="B4946" s="53" t="s">
        <v>4945</v>
      </c>
      <c r="D4946" s="53" t="s">
        <v>2954</v>
      </c>
      <c r="E4946" s="53" t="s">
        <v>6279</v>
      </c>
      <c r="F4946" s="53" t="s">
        <v>478</v>
      </c>
      <c r="G4946" s="53" t="s">
        <v>2919</v>
      </c>
      <c r="H4946" s="53">
        <v>1.0</v>
      </c>
      <c r="I4946" s="53">
        <v>0.26490066225165565</v>
      </c>
      <c r="J4946" s="53">
        <v>9.0</v>
      </c>
      <c r="K4946" s="53" t="s">
        <v>53</v>
      </c>
      <c r="L4946" s="53" t="s">
        <v>53</v>
      </c>
    </row>
    <row r="4947" ht="15.75" customHeight="1">
      <c r="A4947" s="53" t="s">
        <v>411</v>
      </c>
      <c r="B4947" s="53" t="s">
        <v>4945</v>
      </c>
      <c r="D4947" s="53" t="s">
        <v>2954</v>
      </c>
      <c r="E4947" s="53" t="s">
        <v>6280</v>
      </c>
      <c r="F4947" s="53" t="s">
        <v>478</v>
      </c>
      <c r="G4947" s="53" t="s">
        <v>2917</v>
      </c>
      <c r="H4947" s="53">
        <v>1.0</v>
      </c>
      <c r="I4947" s="53">
        <v>0.26573426573426573</v>
      </c>
      <c r="J4947" s="53">
        <v>16.0</v>
      </c>
      <c r="K4947" s="53" t="s">
        <v>53</v>
      </c>
      <c r="L4947" s="53" t="s">
        <v>53</v>
      </c>
    </row>
    <row r="4948" ht="15.75" customHeight="1">
      <c r="A4948" s="53" t="s">
        <v>411</v>
      </c>
      <c r="B4948" s="53" t="s">
        <v>4945</v>
      </c>
      <c r="D4948" s="53" t="s">
        <v>2954</v>
      </c>
      <c r="E4948" s="53" t="s">
        <v>6281</v>
      </c>
      <c r="F4948" s="53" t="s">
        <v>478</v>
      </c>
      <c r="G4948" s="53" t="s">
        <v>2927</v>
      </c>
      <c r="H4948" s="53">
        <v>1.0</v>
      </c>
      <c r="I4948" s="53">
        <v>0.2684563758389262</v>
      </c>
      <c r="J4948" s="53">
        <v>11.0</v>
      </c>
      <c r="K4948" s="53" t="s">
        <v>53</v>
      </c>
      <c r="L4948" s="53" t="s">
        <v>53</v>
      </c>
    </row>
    <row r="4949" ht="15.75" customHeight="1">
      <c r="A4949" s="53" t="s">
        <v>411</v>
      </c>
      <c r="B4949" s="53" t="s">
        <v>4945</v>
      </c>
      <c r="D4949" s="53" t="s">
        <v>2954</v>
      </c>
      <c r="E4949" s="53" t="s">
        <v>6282</v>
      </c>
      <c r="F4949" s="53" t="s">
        <v>478</v>
      </c>
      <c r="G4949" s="53" t="s">
        <v>2921</v>
      </c>
      <c r="H4949" s="53">
        <v>1.0</v>
      </c>
      <c r="I4949" s="53">
        <v>0.2684563758389262</v>
      </c>
      <c r="J4949" s="53">
        <v>10.0</v>
      </c>
      <c r="K4949" s="53" t="s">
        <v>53</v>
      </c>
      <c r="L4949" s="53" t="s">
        <v>53</v>
      </c>
    </row>
    <row r="4950" ht="15.75" customHeight="1">
      <c r="A4950" s="53" t="s">
        <v>411</v>
      </c>
      <c r="B4950" s="53" t="s">
        <v>4945</v>
      </c>
      <c r="D4950" s="53" t="s">
        <v>2954</v>
      </c>
      <c r="E4950" s="53" t="s">
        <v>6283</v>
      </c>
      <c r="F4950" s="53" t="s">
        <v>478</v>
      </c>
      <c r="G4950" s="53" t="s">
        <v>2929</v>
      </c>
      <c r="H4950" s="53">
        <v>1.0</v>
      </c>
      <c r="I4950" s="53">
        <v>0.27450980392156865</v>
      </c>
      <c r="J4950" s="53">
        <v>12.0</v>
      </c>
      <c r="K4950" s="53" t="s">
        <v>53</v>
      </c>
      <c r="L4950" s="53" t="s">
        <v>53</v>
      </c>
    </row>
    <row r="4951" ht="15.75" customHeight="1">
      <c r="A4951" s="53" t="s">
        <v>411</v>
      </c>
      <c r="B4951" s="53" t="s">
        <v>4945</v>
      </c>
      <c r="D4951" s="53" t="s">
        <v>2954</v>
      </c>
      <c r="E4951" s="53" t="s">
        <v>6284</v>
      </c>
      <c r="F4951" s="53" t="s">
        <v>478</v>
      </c>
      <c r="G4951" s="53" t="s">
        <v>2950</v>
      </c>
      <c r="H4951" s="53">
        <v>1.0</v>
      </c>
      <c r="I4951" s="53">
        <v>0.2893081761006289</v>
      </c>
      <c r="J4951" s="53">
        <v>2.0</v>
      </c>
      <c r="K4951" s="53" t="s">
        <v>53</v>
      </c>
      <c r="L4951" s="53" t="s">
        <v>53</v>
      </c>
    </row>
    <row r="4952" ht="15.75" customHeight="1">
      <c r="A4952" s="53" t="s">
        <v>411</v>
      </c>
      <c r="B4952" s="53" t="s">
        <v>4945</v>
      </c>
      <c r="D4952" s="53" t="s">
        <v>2954</v>
      </c>
      <c r="E4952" s="53" t="s">
        <v>6285</v>
      </c>
      <c r="F4952" s="53" t="s">
        <v>478</v>
      </c>
      <c r="G4952" s="53" t="s">
        <v>2933</v>
      </c>
      <c r="H4952" s="53">
        <v>1.0</v>
      </c>
      <c r="I4952" s="53">
        <v>0.29375</v>
      </c>
      <c r="J4952" s="53">
        <v>13.0</v>
      </c>
      <c r="K4952" s="53" t="s">
        <v>53</v>
      </c>
      <c r="L4952" s="53" t="s">
        <v>53</v>
      </c>
    </row>
    <row r="4953" ht="15.75" customHeight="1">
      <c r="A4953" s="53" t="s">
        <v>411</v>
      </c>
      <c r="B4953" s="53" t="s">
        <v>4945</v>
      </c>
      <c r="D4953" s="53" t="s">
        <v>2954</v>
      </c>
      <c r="E4953" s="53" t="s">
        <v>6286</v>
      </c>
      <c r="F4953" s="53" t="s">
        <v>478</v>
      </c>
      <c r="G4953" s="53" t="s">
        <v>2944</v>
      </c>
      <c r="H4953" s="53">
        <v>1.0</v>
      </c>
      <c r="I4953" s="53">
        <v>0.30434782608695654</v>
      </c>
      <c r="J4953" s="53">
        <v>5.0</v>
      </c>
      <c r="K4953" s="53" t="s">
        <v>53</v>
      </c>
      <c r="L4953" s="53" t="s">
        <v>53</v>
      </c>
    </row>
    <row r="4954" ht="15.75" customHeight="1">
      <c r="A4954" s="53" t="s">
        <v>411</v>
      </c>
      <c r="B4954" s="53" t="s">
        <v>4945</v>
      </c>
      <c r="D4954" s="53" t="s">
        <v>2905</v>
      </c>
      <c r="E4954" s="53" t="s">
        <v>6287</v>
      </c>
      <c r="F4954" s="53" t="s">
        <v>478</v>
      </c>
      <c r="G4954" s="53" t="s">
        <v>2907</v>
      </c>
      <c r="H4954" s="53">
        <v>1.0</v>
      </c>
      <c r="I4954" s="53">
        <v>0.10071942446043165</v>
      </c>
      <c r="J4954" s="53">
        <v>14.0</v>
      </c>
      <c r="K4954" s="53" t="s">
        <v>53</v>
      </c>
      <c r="L4954" s="53" t="s">
        <v>53</v>
      </c>
    </row>
    <row r="4955" ht="15.75" customHeight="1">
      <c r="A4955" s="53" t="s">
        <v>411</v>
      </c>
      <c r="B4955" s="53" t="s">
        <v>4945</v>
      </c>
      <c r="D4955" s="53" t="s">
        <v>2905</v>
      </c>
      <c r="E4955" s="53" t="s">
        <v>6288</v>
      </c>
      <c r="F4955" s="53" t="s">
        <v>478</v>
      </c>
      <c r="G4955" s="53" t="s">
        <v>2917</v>
      </c>
      <c r="H4955" s="53">
        <v>1.0</v>
      </c>
      <c r="I4955" s="53">
        <v>0.11888111888111888</v>
      </c>
      <c r="J4955" s="53">
        <v>15.0</v>
      </c>
      <c r="K4955" s="53" t="s">
        <v>53</v>
      </c>
      <c r="L4955" s="53" t="s">
        <v>53</v>
      </c>
    </row>
    <row r="4956" ht="15.75" customHeight="1">
      <c r="A4956" s="53" t="s">
        <v>411</v>
      </c>
      <c r="B4956" s="53" t="s">
        <v>4945</v>
      </c>
      <c r="D4956" s="53" t="s">
        <v>2905</v>
      </c>
      <c r="E4956" s="53" t="s">
        <v>6289</v>
      </c>
      <c r="F4956" s="53" t="s">
        <v>478</v>
      </c>
      <c r="G4956" s="53" t="s">
        <v>2915</v>
      </c>
      <c r="H4956" s="53">
        <v>1.0</v>
      </c>
      <c r="I4956" s="53">
        <v>0.12413793103448276</v>
      </c>
      <c r="J4956" s="53">
        <v>6.0</v>
      </c>
      <c r="K4956" s="53" t="s">
        <v>53</v>
      </c>
      <c r="L4956" s="53" t="s">
        <v>53</v>
      </c>
    </row>
    <row r="4957" ht="15.75" customHeight="1">
      <c r="A4957" s="53" t="s">
        <v>411</v>
      </c>
      <c r="B4957" s="53" t="s">
        <v>4945</v>
      </c>
      <c r="D4957" s="53" t="s">
        <v>2905</v>
      </c>
      <c r="E4957" s="53" t="s">
        <v>6290</v>
      </c>
      <c r="F4957" s="53" t="s">
        <v>478</v>
      </c>
      <c r="G4957" s="53" t="s">
        <v>2923</v>
      </c>
      <c r="H4957" s="53">
        <v>1.0</v>
      </c>
      <c r="I4957" s="53">
        <v>0.13513513513513514</v>
      </c>
      <c r="J4957" s="53">
        <v>7.0</v>
      </c>
      <c r="K4957" s="53" t="s">
        <v>53</v>
      </c>
      <c r="L4957" s="53" t="s">
        <v>53</v>
      </c>
    </row>
    <row r="4958" ht="15.75" customHeight="1">
      <c r="A4958" s="53" t="s">
        <v>411</v>
      </c>
      <c r="B4958" s="53" t="s">
        <v>4945</v>
      </c>
      <c r="D4958" s="53" t="s">
        <v>2905</v>
      </c>
      <c r="E4958" s="53" t="s">
        <v>6291</v>
      </c>
      <c r="F4958" s="53" t="s">
        <v>478</v>
      </c>
      <c r="G4958" s="53" t="s">
        <v>2927</v>
      </c>
      <c r="H4958" s="53">
        <v>1.0</v>
      </c>
      <c r="I4958" s="53">
        <v>0.1476510067114094</v>
      </c>
      <c r="J4958" s="53">
        <v>10.0</v>
      </c>
      <c r="K4958" s="53" t="s">
        <v>53</v>
      </c>
      <c r="L4958" s="53" t="s">
        <v>53</v>
      </c>
    </row>
    <row r="4959" ht="15.75" customHeight="1">
      <c r="A4959" s="53" t="s">
        <v>411</v>
      </c>
      <c r="B4959" s="53" t="s">
        <v>4945</v>
      </c>
      <c r="D4959" s="53" t="s">
        <v>2905</v>
      </c>
      <c r="E4959" s="53" t="s">
        <v>6292</v>
      </c>
      <c r="F4959" s="53" t="s">
        <v>478</v>
      </c>
      <c r="G4959" s="53" t="s">
        <v>2929</v>
      </c>
      <c r="H4959" s="53">
        <v>1.0</v>
      </c>
      <c r="I4959" s="53">
        <v>0.1503267973856209</v>
      </c>
      <c r="J4959" s="53">
        <v>11.0</v>
      </c>
      <c r="K4959" s="53" t="s">
        <v>53</v>
      </c>
      <c r="L4959" s="53" t="s">
        <v>53</v>
      </c>
    </row>
    <row r="4960" ht="15.75" customHeight="1">
      <c r="A4960" s="53" t="s">
        <v>411</v>
      </c>
      <c r="B4960" s="53" t="s">
        <v>4945</v>
      </c>
      <c r="D4960" s="53" t="s">
        <v>2905</v>
      </c>
      <c r="E4960" s="53" t="s">
        <v>6293</v>
      </c>
      <c r="F4960" s="53" t="s">
        <v>478</v>
      </c>
      <c r="G4960" s="53" t="s">
        <v>2919</v>
      </c>
      <c r="H4960" s="53">
        <v>1.0</v>
      </c>
      <c r="I4960" s="53">
        <v>0.152317880794702</v>
      </c>
      <c r="J4960" s="53">
        <v>8.0</v>
      </c>
      <c r="K4960" s="53" t="s">
        <v>53</v>
      </c>
      <c r="L4960" s="53" t="s">
        <v>53</v>
      </c>
    </row>
    <row r="4961" ht="15.75" customHeight="1">
      <c r="A4961" s="53" t="s">
        <v>411</v>
      </c>
      <c r="B4961" s="53" t="s">
        <v>4945</v>
      </c>
      <c r="D4961" s="53" t="s">
        <v>2905</v>
      </c>
      <c r="E4961" s="53" t="s">
        <v>6294</v>
      </c>
      <c r="F4961" s="53" t="s">
        <v>478</v>
      </c>
      <c r="G4961" s="53" t="s">
        <v>2921</v>
      </c>
      <c r="H4961" s="53">
        <v>1.0</v>
      </c>
      <c r="I4961" s="53">
        <v>0.15436241610738255</v>
      </c>
      <c r="J4961" s="53">
        <v>9.0</v>
      </c>
      <c r="K4961" s="53" t="s">
        <v>53</v>
      </c>
      <c r="L4961" s="53" t="s">
        <v>53</v>
      </c>
    </row>
    <row r="4962" ht="15.75" customHeight="1">
      <c r="A4962" s="53" t="s">
        <v>411</v>
      </c>
      <c r="B4962" s="53" t="s">
        <v>4945</v>
      </c>
      <c r="D4962" s="53" t="s">
        <v>2905</v>
      </c>
      <c r="E4962" s="53" t="s">
        <v>6295</v>
      </c>
      <c r="F4962" s="53" t="s">
        <v>478</v>
      </c>
      <c r="G4962" s="53" t="s">
        <v>2925</v>
      </c>
      <c r="H4962" s="53">
        <v>1.0</v>
      </c>
      <c r="I4962" s="53">
        <v>0.15894039735099338</v>
      </c>
      <c r="J4962" s="53">
        <v>13.0</v>
      </c>
      <c r="K4962" s="53" t="s">
        <v>53</v>
      </c>
      <c r="L4962" s="53" t="s">
        <v>53</v>
      </c>
    </row>
    <row r="4963" ht="15.75" customHeight="1">
      <c r="A4963" s="53" t="s">
        <v>411</v>
      </c>
      <c r="B4963" s="53" t="s">
        <v>4945</v>
      </c>
      <c r="D4963" s="53" t="s">
        <v>2905</v>
      </c>
      <c r="E4963" s="53" t="s">
        <v>6296</v>
      </c>
      <c r="F4963" s="53" t="s">
        <v>478</v>
      </c>
      <c r="G4963" s="53" t="s">
        <v>2931</v>
      </c>
      <c r="H4963" s="53">
        <v>1.0</v>
      </c>
      <c r="I4963" s="53">
        <v>0.16447368421052633</v>
      </c>
      <c r="J4963" s="53">
        <v>5.0</v>
      </c>
      <c r="K4963" s="53" t="s">
        <v>53</v>
      </c>
      <c r="L4963" s="53" t="s">
        <v>53</v>
      </c>
    </row>
    <row r="4964" ht="15.75" customHeight="1">
      <c r="A4964" s="53" t="s">
        <v>411</v>
      </c>
      <c r="B4964" s="53" t="s">
        <v>4945</v>
      </c>
      <c r="D4964" s="53" t="s">
        <v>2905</v>
      </c>
      <c r="E4964" s="53" t="s">
        <v>6297</v>
      </c>
      <c r="F4964" s="53" t="s">
        <v>478</v>
      </c>
      <c r="G4964" s="53" t="s">
        <v>2933</v>
      </c>
      <c r="H4964" s="53">
        <v>1.0</v>
      </c>
      <c r="I4964" s="53">
        <v>0.19375</v>
      </c>
      <c r="J4964" s="53">
        <v>12.0</v>
      </c>
      <c r="K4964" s="53" t="s">
        <v>53</v>
      </c>
      <c r="L4964" s="53" t="s">
        <v>53</v>
      </c>
    </row>
    <row r="4965" ht="15.75" customHeight="1">
      <c r="A4965" s="53" t="s">
        <v>411</v>
      </c>
      <c r="B4965" s="53" t="s">
        <v>4945</v>
      </c>
      <c r="D4965" s="53" t="s">
        <v>2905</v>
      </c>
      <c r="E4965" s="53" t="s">
        <v>6298</v>
      </c>
      <c r="F4965" s="53" t="s">
        <v>478</v>
      </c>
      <c r="G4965" s="53" t="s">
        <v>2940</v>
      </c>
      <c r="H4965" s="53">
        <v>1.0</v>
      </c>
      <c r="I4965" s="53">
        <v>0.19852941176470587</v>
      </c>
      <c r="J4965" s="53">
        <v>0.0</v>
      </c>
      <c r="K4965" s="53" t="s">
        <v>53</v>
      </c>
      <c r="L4965" s="53" t="s">
        <v>53</v>
      </c>
    </row>
    <row r="4966" ht="15.75" customHeight="1">
      <c r="A4966" s="53" t="s">
        <v>411</v>
      </c>
      <c r="B4966" s="53" t="s">
        <v>4945</v>
      </c>
      <c r="D4966" s="53" t="s">
        <v>2905</v>
      </c>
      <c r="E4966" s="53" t="s">
        <v>6299</v>
      </c>
      <c r="F4966" s="53" t="s">
        <v>478</v>
      </c>
      <c r="G4966" s="53" t="s">
        <v>2935</v>
      </c>
      <c r="H4966" s="53">
        <v>1.0</v>
      </c>
      <c r="I4966" s="53">
        <v>0.2052980132450331</v>
      </c>
      <c r="J4966" s="53">
        <v>2.0</v>
      </c>
      <c r="K4966" s="53" t="s">
        <v>53</v>
      </c>
      <c r="L4966" s="53" t="s">
        <v>53</v>
      </c>
    </row>
    <row r="4967" ht="15.75" customHeight="1">
      <c r="A4967" s="53" t="s">
        <v>411</v>
      </c>
      <c r="B4967" s="53" t="s">
        <v>4945</v>
      </c>
      <c r="D4967" s="53" t="s">
        <v>2905</v>
      </c>
      <c r="E4967" s="53" t="s">
        <v>6300</v>
      </c>
      <c r="F4967" s="53" t="s">
        <v>478</v>
      </c>
      <c r="G4967" s="53" t="s">
        <v>2937</v>
      </c>
      <c r="H4967" s="53">
        <v>1.0</v>
      </c>
      <c r="I4967" s="53">
        <v>0.2116788321167883</v>
      </c>
      <c r="J4967" s="53">
        <v>20.0</v>
      </c>
      <c r="K4967" s="53" t="s">
        <v>53</v>
      </c>
      <c r="L4967" s="53" t="s">
        <v>53</v>
      </c>
    </row>
    <row r="4968" ht="15.75" customHeight="1">
      <c r="A4968" s="53" t="s">
        <v>411</v>
      </c>
      <c r="B4968" s="53" t="s">
        <v>4945</v>
      </c>
      <c r="D4968" s="53" t="s">
        <v>2905</v>
      </c>
      <c r="E4968" s="53" t="s">
        <v>6301</v>
      </c>
      <c r="F4968" s="53" t="s">
        <v>478</v>
      </c>
      <c r="G4968" s="53" t="s">
        <v>2950</v>
      </c>
      <c r="H4968" s="53">
        <v>1.0</v>
      </c>
      <c r="I4968" s="53">
        <v>0.22641509433962265</v>
      </c>
      <c r="J4968" s="53">
        <v>1.0</v>
      </c>
      <c r="K4968" s="53" t="s">
        <v>53</v>
      </c>
      <c r="L4968" s="53" t="s">
        <v>53</v>
      </c>
    </row>
    <row r="4969" ht="15.75" customHeight="1">
      <c r="A4969" s="53" t="s">
        <v>411</v>
      </c>
      <c r="B4969" s="53" t="s">
        <v>4945</v>
      </c>
      <c r="D4969" s="53" t="s">
        <v>2905</v>
      </c>
      <c r="E4969" s="53" t="s">
        <v>6302</v>
      </c>
      <c r="F4969" s="53" t="s">
        <v>478</v>
      </c>
      <c r="G4969" s="53" t="s">
        <v>2942</v>
      </c>
      <c r="H4969" s="53">
        <v>1.0</v>
      </c>
      <c r="I4969" s="53">
        <v>0.2357142857142857</v>
      </c>
      <c r="J4969" s="53">
        <v>21.0</v>
      </c>
      <c r="K4969" s="53" t="s">
        <v>53</v>
      </c>
      <c r="L4969" s="53" t="s">
        <v>53</v>
      </c>
    </row>
    <row r="4970" ht="15.75" customHeight="1">
      <c r="A4970" s="53" t="s">
        <v>411</v>
      </c>
      <c r="B4970" s="53" t="s">
        <v>4945</v>
      </c>
      <c r="D4970" s="53" t="s">
        <v>2905</v>
      </c>
      <c r="E4970" s="53" t="s">
        <v>6303</v>
      </c>
      <c r="F4970" s="53" t="s">
        <v>478</v>
      </c>
      <c r="G4970" s="53" t="s">
        <v>2948</v>
      </c>
      <c r="H4970" s="53">
        <v>1.0</v>
      </c>
      <c r="I4970" s="53">
        <v>0.24647887323943662</v>
      </c>
      <c r="J4970" s="53">
        <v>19.0</v>
      </c>
      <c r="K4970" s="53" t="s">
        <v>53</v>
      </c>
      <c r="L4970" s="53" t="s">
        <v>53</v>
      </c>
    </row>
    <row r="4971" ht="15.75" customHeight="1">
      <c r="A4971" s="53" t="s">
        <v>411</v>
      </c>
      <c r="B4971" s="53" t="s">
        <v>4945</v>
      </c>
      <c r="D4971" s="53" t="s">
        <v>2905</v>
      </c>
      <c r="E4971" s="53" t="s">
        <v>6304</v>
      </c>
      <c r="F4971" s="53" t="s">
        <v>478</v>
      </c>
      <c r="G4971" s="53" t="s">
        <v>2944</v>
      </c>
      <c r="H4971" s="53">
        <v>1.0</v>
      </c>
      <c r="I4971" s="53">
        <v>0.2484472049689441</v>
      </c>
      <c r="J4971" s="53">
        <v>4.0</v>
      </c>
      <c r="K4971" s="53" t="s">
        <v>53</v>
      </c>
      <c r="L4971" s="53" t="s">
        <v>53</v>
      </c>
    </row>
    <row r="4972" ht="15.75" customHeight="1">
      <c r="A4972" s="53" t="s">
        <v>411</v>
      </c>
      <c r="B4972" s="53" t="s">
        <v>4945</v>
      </c>
      <c r="D4972" s="53" t="s">
        <v>2905</v>
      </c>
      <c r="E4972" s="53" t="s">
        <v>6305</v>
      </c>
      <c r="F4972" s="53" t="s">
        <v>478</v>
      </c>
      <c r="G4972" s="53" t="s">
        <v>485</v>
      </c>
      <c r="H4972" s="53">
        <v>1.0</v>
      </c>
      <c r="I4972" s="53">
        <v>0.2638888888888889</v>
      </c>
      <c r="J4972" s="53">
        <v>16.0</v>
      </c>
      <c r="K4972" s="53" t="s">
        <v>53</v>
      </c>
      <c r="L4972" s="53" t="s">
        <v>53</v>
      </c>
    </row>
    <row r="4973" ht="15.75" customHeight="1">
      <c r="A4973" s="53" t="s">
        <v>411</v>
      </c>
      <c r="B4973" s="53" t="s">
        <v>4945</v>
      </c>
      <c r="D4973" s="53" t="s">
        <v>2905</v>
      </c>
      <c r="E4973" s="53" t="s">
        <v>6306</v>
      </c>
      <c r="F4973" s="53" t="s">
        <v>478</v>
      </c>
      <c r="G4973" s="53" t="s">
        <v>474</v>
      </c>
      <c r="H4973" s="53">
        <v>1.0</v>
      </c>
      <c r="I4973" s="53">
        <v>0.273972602739726</v>
      </c>
      <c r="J4973" s="53">
        <v>17.0</v>
      </c>
      <c r="K4973" s="53" t="s">
        <v>53</v>
      </c>
      <c r="L4973" s="53" t="s">
        <v>53</v>
      </c>
    </row>
    <row r="4974" ht="15.75" customHeight="1">
      <c r="A4974" s="53" t="s">
        <v>411</v>
      </c>
      <c r="B4974" s="53" t="s">
        <v>4945</v>
      </c>
      <c r="D4974" s="53" t="s">
        <v>2905</v>
      </c>
      <c r="E4974" s="53" t="s">
        <v>6307</v>
      </c>
      <c r="F4974" s="53" t="s">
        <v>478</v>
      </c>
      <c r="G4974" s="53" t="s">
        <v>495</v>
      </c>
      <c r="H4974" s="53">
        <v>1.0</v>
      </c>
      <c r="I4974" s="53">
        <v>0.2753623188405797</v>
      </c>
      <c r="J4974" s="53">
        <v>18.0</v>
      </c>
      <c r="K4974" s="53" t="s">
        <v>53</v>
      </c>
      <c r="L4974" s="53" t="s">
        <v>53</v>
      </c>
    </row>
    <row r="4975" ht="15.75" customHeight="1">
      <c r="A4975" s="53" t="s">
        <v>411</v>
      </c>
      <c r="B4975" s="53" t="s">
        <v>4945</v>
      </c>
      <c r="D4975" s="53" t="s">
        <v>2905</v>
      </c>
      <c r="E4975" s="53" t="s">
        <v>6308</v>
      </c>
      <c r="F4975" s="53" t="s">
        <v>478</v>
      </c>
      <c r="G4975" s="53" t="s">
        <v>2957</v>
      </c>
      <c r="H4975" s="53">
        <v>1.0</v>
      </c>
      <c r="I4975" s="53">
        <v>0.28484848484848485</v>
      </c>
      <c r="J4975" s="53">
        <v>3.0</v>
      </c>
      <c r="K4975" s="53" t="s">
        <v>53</v>
      </c>
      <c r="L4975" s="53" t="s">
        <v>53</v>
      </c>
    </row>
    <row r="4976" ht="15.75" customHeight="1">
      <c r="A4976" s="53" t="s">
        <v>411</v>
      </c>
      <c r="B4976" s="53" t="s">
        <v>4945</v>
      </c>
      <c r="D4976" s="53" t="s">
        <v>2940</v>
      </c>
      <c r="E4976" s="53" t="s">
        <v>6309</v>
      </c>
      <c r="F4976" s="53" t="s">
        <v>478</v>
      </c>
      <c r="G4976" s="53" t="s">
        <v>2942</v>
      </c>
      <c r="H4976" s="53">
        <v>1.0</v>
      </c>
      <c r="I4976" s="53">
        <v>0.2</v>
      </c>
      <c r="J4976" s="53">
        <v>20.0</v>
      </c>
      <c r="K4976" s="53" t="s">
        <v>53</v>
      </c>
      <c r="L4976" s="53" t="s">
        <v>53</v>
      </c>
    </row>
    <row r="4977" ht="15.75" customHeight="1">
      <c r="A4977" s="53" t="s">
        <v>411</v>
      </c>
      <c r="B4977" s="53" t="s">
        <v>4945</v>
      </c>
      <c r="D4977" s="53" t="s">
        <v>2940</v>
      </c>
      <c r="E4977" s="53" t="s">
        <v>6310</v>
      </c>
      <c r="F4977" s="53" t="s">
        <v>478</v>
      </c>
      <c r="G4977" s="53" t="s">
        <v>485</v>
      </c>
      <c r="H4977" s="53">
        <v>1.0</v>
      </c>
      <c r="I4977" s="53">
        <v>0.20833333333333334</v>
      </c>
      <c r="J4977" s="53">
        <v>15.0</v>
      </c>
      <c r="K4977" s="53" t="s">
        <v>53</v>
      </c>
      <c r="L4977" s="53" t="s">
        <v>53</v>
      </c>
    </row>
    <row r="4978" ht="15.75" customHeight="1">
      <c r="A4978" s="53" t="s">
        <v>411</v>
      </c>
      <c r="B4978" s="53" t="s">
        <v>4945</v>
      </c>
      <c r="D4978" s="53" t="s">
        <v>2940</v>
      </c>
      <c r="E4978" s="53" t="s">
        <v>6311</v>
      </c>
      <c r="F4978" s="53" t="s">
        <v>478</v>
      </c>
      <c r="G4978" s="53" t="s">
        <v>2948</v>
      </c>
      <c r="H4978" s="53">
        <v>1.0</v>
      </c>
      <c r="I4978" s="53">
        <v>0.2112676056338028</v>
      </c>
      <c r="J4978" s="53">
        <v>18.0</v>
      </c>
      <c r="K4978" s="53" t="s">
        <v>53</v>
      </c>
      <c r="L4978" s="53" t="s">
        <v>53</v>
      </c>
    </row>
    <row r="4979" ht="15.75" customHeight="1">
      <c r="A4979" s="53" t="s">
        <v>411</v>
      </c>
      <c r="B4979" s="53" t="s">
        <v>4945</v>
      </c>
      <c r="D4979" s="53" t="s">
        <v>2940</v>
      </c>
      <c r="E4979" s="53" t="s">
        <v>6312</v>
      </c>
      <c r="F4979" s="53" t="s">
        <v>478</v>
      </c>
      <c r="G4979" s="53" t="s">
        <v>474</v>
      </c>
      <c r="H4979" s="53">
        <v>1.0</v>
      </c>
      <c r="I4979" s="53">
        <v>0.21232876712328766</v>
      </c>
      <c r="J4979" s="53">
        <v>16.0</v>
      </c>
      <c r="K4979" s="53" t="s">
        <v>53</v>
      </c>
      <c r="L4979" s="53" t="s">
        <v>53</v>
      </c>
    </row>
    <row r="4980" ht="15.75" customHeight="1">
      <c r="A4980" s="53" t="s">
        <v>411</v>
      </c>
      <c r="B4980" s="53" t="s">
        <v>4945</v>
      </c>
      <c r="D4980" s="53" t="s">
        <v>2940</v>
      </c>
      <c r="E4980" s="53" t="s">
        <v>6313</v>
      </c>
      <c r="F4980" s="53" t="s">
        <v>478</v>
      </c>
      <c r="G4980" s="53" t="s">
        <v>2907</v>
      </c>
      <c r="H4980" s="53">
        <v>1.0</v>
      </c>
      <c r="I4980" s="53">
        <v>0.2158273381294964</v>
      </c>
      <c r="J4980" s="53">
        <v>13.0</v>
      </c>
      <c r="K4980" s="53" t="s">
        <v>53</v>
      </c>
      <c r="L4980" s="53" t="s">
        <v>53</v>
      </c>
    </row>
    <row r="4981" ht="15.75" customHeight="1">
      <c r="A4981" s="53" t="s">
        <v>411</v>
      </c>
      <c r="B4981" s="53" t="s">
        <v>4945</v>
      </c>
      <c r="D4981" s="53" t="s">
        <v>2940</v>
      </c>
      <c r="E4981" s="53" t="s">
        <v>6314</v>
      </c>
      <c r="F4981" s="53" t="s">
        <v>478</v>
      </c>
      <c r="G4981" s="53" t="s">
        <v>2915</v>
      </c>
      <c r="H4981" s="53">
        <v>1.0</v>
      </c>
      <c r="I4981" s="53">
        <v>0.2206896551724138</v>
      </c>
      <c r="J4981" s="53">
        <v>5.0</v>
      </c>
      <c r="K4981" s="53" t="s">
        <v>53</v>
      </c>
      <c r="L4981" s="53" t="s">
        <v>53</v>
      </c>
    </row>
    <row r="4982" ht="15.75" customHeight="1">
      <c r="A4982" s="53" t="s">
        <v>411</v>
      </c>
      <c r="B4982" s="53" t="s">
        <v>4945</v>
      </c>
      <c r="D4982" s="53" t="s">
        <v>2940</v>
      </c>
      <c r="E4982" s="53" t="s">
        <v>6315</v>
      </c>
      <c r="F4982" s="53" t="s">
        <v>478</v>
      </c>
      <c r="G4982" s="53" t="s">
        <v>495</v>
      </c>
      <c r="H4982" s="53">
        <v>1.0</v>
      </c>
      <c r="I4982" s="53">
        <v>0.2246376811594203</v>
      </c>
      <c r="J4982" s="53">
        <v>17.0</v>
      </c>
      <c r="K4982" s="53" t="s">
        <v>53</v>
      </c>
      <c r="L4982" s="53" t="s">
        <v>53</v>
      </c>
    </row>
    <row r="4983" ht="15.75" customHeight="1">
      <c r="A4983" s="53" t="s">
        <v>411</v>
      </c>
      <c r="B4983" s="53" t="s">
        <v>4945</v>
      </c>
      <c r="D4983" s="53" t="s">
        <v>2940</v>
      </c>
      <c r="E4983" s="53" t="s">
        <v>6316</v>
      </c>
      <c r="F4983" s="53" t="s">
        <v>478</v>
      </c>
      <c r="G4983" s="53" t="s">
        <v>2937</v>
      </c>
      <c r="H4983" s="53">
        <v>1.0</v>
      </c>
      <c r="I4983" s="53">
        <v>0.22627737226277372</v>
      </c>
      <c r="J4983" s="53">
        <v>19.0</v>
      </c>
      <c r="K4983" s="53" t="s">
        <v>53</v>
      </c>
      <c r="L4983" s="53" t="s">
        <v>53</v>
      </c>
    </row>
    <row r="4984" ht="15.75" customHeight="1">
      <c r="A4984" s="53" t="s">
        <v>411</v>
      </c>
      <c r="B4984" s="53" t="s">
        <v>4945</v>
      </c>
      <c r="D4984" s="53" t="s">
        <v>2940</v>
      </c>
      <c r="E4984" s="53" t="s">
        <v>6317</v>
      </c>
      <c r="F4984" s="53" t="s">
        <v>478</v>
      </c>
      <c r="G4984" s="53" t="s">
        <v>2917</v>
      </c>
      <c r="H4984" s="53">
        <v>1.0</v>
      </c>
      <c r="I4984" s="53">
        <v>0.23076923076923078</v>
      </c>
      <c r="J4984" s="53">
        <v>14.0</v>
      </c>
      <c r="K4984" s="53" t="s">
        <v>53</v>
      </c>
      <c r="L4984" s="53" t="s">
        <v>53</v>
      </c>
    </row>
    <row r="4985" ht="15.75" customHeight="1">
      <c r="A4985" s="53" t="s">
        <v>411</v>
      </c>
      <c r="B4985" s="53" t="s">
        <v>4945</v>
      </c>
      <c r="D4985" s="53" t="s">
        <v>2940</v>
      </c>
      <c r="E4985" s="53" t="s">
        <v>6318</v>
      </c>
      <c r="F4985" s="53" t="s">
        <v>478</v>
      </c>
      <c r="G4985" s="53" t="s">
        <v>2923</v>
      </c>
      <c r="H4985" s="53">
        <v>1.0</v>
      </c>
      <c r="I4985" s="53">
        <v>0.23648648648648649</v>
      </c>
      <c r="J4985" s="53">
        <v>6.0</v>
      </c>
      <c r="K4985" s="53" t="s">
        <v>53</v>
      </c>
      <c r="L4985" s="53" t="s">
        <v>53</v>
      </c>
    </row>
    <row r="4986" ht="15.75" customHeight="1">
      <c r="A4986" s="53" t="s">
        <v>411</v>
      </c>
      <c r="B4986" s="53" t="s">
        <v>4945</v>
      </c>
      <c r="D4986" s="53" t="s">
        <v>2940</v>
      </c>
      <c r="E4986" s="53" t="s">
        <v>6319</v>
      </c>
      <c r="F4986" s="53" t="s">
        <v>478</v>
      </c>
      <c r="G4986" s="53" t="s">
        <v>2927</v>
      </c>
      <c r="H4986" s="53">
        <v>1.0</v>
      </c>
      <c r="I4986" s="53">
        <v>0.2483221476510067</v>
      </c>
      <c r="J4986" s="53">
        <v>9.0</v>
      </c>
      <c r="K4986" s="53" t="s">
        <v>53</v>
      </c>
      <c r="L4986" s="53" t="s">
        <v>53</v>
      </c>
    </row>
    <row r="4987" ht="15.75" customHeight="1">
      <c r="A4987" s="53" t="s">
        <v>411</v>
      </c>
      <c r="B4987" s="53" t="s">
        <v>4945</v>
      </c>
      <c r="D4987" s="53" t="s">
        <v>2940</v>
      </c>
      <c r="E4987" s="53" t="s">
        <v>6320</v>
      </c>
      <c r="F4987" s="53" t="s">
        <v>478</v>
      </c>
      <c r="G4987" s="53" t="s">
        <v>2935</v>
      </c>
      <c r="H4987" s="53">
        <v>1.0</v>
      </c>
      <c r="I4987" s="53">
        <v>0.2582781456953642</v>
      </c>
      <c r="J4987" s="53">
        <v>1.0</v>
      </c>
      <c r="K4987" s="53" t="s">
        <v>53</v>
      </c>
      <c r="L4987" s="53" t="s">
        <v>53</v>
      </c>
    </row>
    <row r="4988" ht="15.75" customHeight="1">
      <c r="A4988" s="53" t="s">
        <v>411</v>
      </c>
      <c r="B4988" s="53" t="s">
        <v>4945</v>
      </c>
      <c r="D4988" s="53" t="s">
        <v>2940</v>
      </c>
      <c r="E4988" s="53" t="s">
        <v>6321</v>
      </c>
      <c r="F4988" s="53" t="s">
        <v>478</v>
      </c>
      <c r="G4988" s="53" t="s">
        <v>2925</v>
      </c>
      <c r="H4988" s="53">
        <v>1.0</v>
      </c>
      <c r="I4988" s="53">
        <v>0.2582781456953642</v>
      </c>
      <c r="J4988" s="53">
        <v>12.0</v>
      </c>
      <c r="K4988" s="53" t="s">
        <v>53</v>
      </c>
      <c r="L4988" s="53" t="s">
        <v>53</v>
      </c>
    </row>
    <row r="4989" ht="15.75" customHeight="1">
      <c r="A4989" s="53" t="s">
        <v>411</v>
      </c>
      <c r="B4989" s="53" t="s">
        <v>4945</v>
      </c>
      <c r="D4989" s="53" t="s">
        <v>2940</v>
      </c>
      <c r="E4989" s="53" t="s">
        <v>6322</v>
      </c>
      <c r="F4989" s="53" t="s">
        <v>478</v>
      </c>
      <c r="G4989" s="53" t="s">
        <v>2957</v>
      </c>
      <c r="H4989" s="53">
        <v>1.0</v>
      </c>
      <c r="I4989" s="53">
        <v>0.2606060606060606</v>
      </c>
      <c r="J4989" s="53">
        <v>2.0</v>
      </c>
      <c r="K4989" s="53" t="s">
        <v>53</v>
      </c>
      <c r="L4989" s="53" t="s">
        <v>53</v>
      </c>
    </row>
    <row r="4990" ht="15.75" customHeight="1">
      <c r="A4990" s="53" t="s">
        <v>411</v>
      </c>
      <c r="B4990" s="53" t="s">
        <v>4945</v>
      </c>
      <c r="D4990" s="53" t="s">
        <v>2940</v>
      </c>
      <c r="E4990" s="53" t="s">
        <v>6323</v>
      </c>
      <c r="F4990" s="53" t="s">
        <v>478</v>
      </c>
      <c r="G4990" s="53" t="s">
        <v>2921</v>
      </c>
      <c r="H4990" s="53">
        <v>1.0</v>
      </c>
      <c r="I4990" s="53">
        <v>0.26174496644295303</v>
      </c>
      <c r="J4990" s="53">
        <v>8.0</v>
      </c>
      <c r="K4990" s="53" t="s">
        <v>53</v>
      </c>
      <c r="L4990" s="53" t="s">
        <v>53</v>
      </c>
    </row>
    <row r="4991" ht="15.75" customHeight="1">
      <c r="A4991" s="53" t="s">
        <v>411</v>
      </c>
      <c r="B4991" s="53" t="s">
        <v>4945</v>
      </c>
      <c r="D4991" s="53" t="s">
        <v>2940</v>
      </c>
      <c r="E4991" s="53" t="s">
        <v>6324</v>
      </c>
      <c r="F4991" s="53" t="s">
        <v>478</v>
      </c>
      <c r="G4991" s="53" t="s">
        <v>2931</v>
      </c>
      <c r="H4991" s="53">
        <v>1.0</v>
      </c>
      <c r="I4991" s="53">
        <v>0.2631578947368421</v>
      </c>
      <c r="J4991" s="53">
        <v>4.0</v>
      </c>
      <c r="K4991" s="53" t="s">
        <v>53</v>
      </c>
      <c r="L4991" s="53" t="s">
        <v>53</v>
      </c>
    </row>
    <row r="4992" ht="15.75" customHeight="1">
      <c r="A4992" s="53" t="s">
        <v>411</v>
      </c>
      <c r="B4992" s="53" t="s">
        <v>4945</v>
      </c>
      <c r="D4992" s="53" t="s">
        <v>2940</v>
      </c>
      <c r="E4992" s="53" t="s">
        <v>6325</v>
      </c>
      <c r="F4992" s="53" t="s">
        <v>478</v>
      </c>
      <c r="G4992" s="53" t="s">
        <v>2929</v>
      </c>
      <c r="H4992" s="53">
        <v>1.0</v>
      </c>
      <c r="I4992" s="53">
        <v>0.2679738562091503</v>
      </c>
      <c r="J4992" s="53">
        <v>10.0</v>
      </c>
      <c r="K4992" s="53" t="s">
        <v>53</v>
      </c>
      <c r="L4992" s="53" t="s">
        <v>53</v>
      </c>
    </row>
    <row r="4993" ht="15.75" customHeight="1">
      <c r="A4993" s="53" t="s">
        <v>411</v>
      </c>
      <c r="B4993" s="53" t="s">
        <v>4945</v>
      </c>
      <c r="D4993" s="53" t="s">
        <v>2940</v>
      </c>
      <c r="E4993" s="53" t="s">
        <v>6326</v>
      </c>
      <c r="F4993" s="53" t="s">
        <v>478</v>
      </c>
      <c r="G4993" s="53" t="s">
        <v>2950</v>
      </c>
      <c r="H4993" s="53">
        <v>1.0</v>
      </c>
      <c r="I4993" s="53">
        <v>0.27044025157232704</v>
      </c>
      <c r="J4993" s="53">
        <v>0.0</v>
      </c>
      <c r="K4993" s="53" t="s">
        <v>53</v>
      </c>
      <c r="L4993" s="53" t="s">
        <v>53</v>
      </c>
    </row>
    <row r="4994" ht="15.75" customHeight="1">
      <c r="A4994" s="53" t="s">
        <v>411</v>
      </c>
      <c r="B4994" s="53" t="s">
        <v>4945</v>
      </c>
      <c r="D4994" s="53" t="s">
        <v>2940</v>
      </c>
      <c r="E4994" s="53" t="s">
        <v>6327</v>
      </c>
      <c r="F4994" s="53" t="s">
        <v>478</v>
      </c>
      <c r="G4994" s="53" t="s">
        <v>2919</v>
      </c>
      <c r="H4994" s="53">
        <v>1.0</v>
      </c>
      <c r="I4994" s="53">
        <v>0.271523178807947</v>
      </c>
      <c r="J4994" s="53">
        <v>7.0</v>
      </c>
      <c r="K4994" s="53" t="s">
        <v>53</v>
      </c>
      <c r="L4994" s="53" t="s">
        <v>53</v>
      </c>
    </row>
    <row r="4995" ht="15.75" customHeight="1">
      <c r="A4995" s="53" t="s">
        <v>411</v>
      </c>
      <c r="B4995" s="53" t="s">
        <v>4945</v>
      </c>
      <c r="D4995" s="53" t="s">
        <v>2940</v>
      </c>
      <c r="E4995" s="53" t="s">
        <v>6328</v>
      </c>
      <c r="F4995" s="53" t="s">
        <v>478</v>
      </c>
      <c r="G4995" s="53" t="s">
        <v>2933</v>
      </c>
      <c r="H4995" s="53">
        <v>1.0</v>
      </c>
      <c r="I4995" s="53">
        <v>0.29375</v>
      </c>
      <c r="J4995" s="53">
        <v>11.0</v>
      </c>
      <c r="K4995" s="53" t="s">
        <v>53</v>
      </c>
      <c r="L4995" s="53" t="s">
        <v>53</v>
      </c>
    </row>
    <row r="4996" ht="15.75" customHeight="1">
      <c r="A4996" s="53" t="s">
        <v>411</v>
      </c>
      <c r="B4996" s="53" t="s">
        <v>4945</v>
      </c>
      <c r="D4996" s="53" t="s">
        <v>2940</v>
      </c>
      <c r="E4996" s="53" t="s">
        <v>6329</v>
      </c>
      <c r="F4996" s="53" t="s">
        <v>478</v>
      </c>
      <c r="G4996" s="53" t="s">
        <v>2944</v>
      </c>
      <c r="H4996" s="53">
        <v>1.0</v>
      </c>
      <c r="I4996" s="53">
        <v>0.30434782608695654</v>
      </c>
      <c r="J4996" s="53">
        <v>3.0</v>
      </c>
      <c r="K4996" s="53" t="s">
        <v>53</v>
      </c>
      <c r="L4996" s="53" t="s">
        <v>53</v>
      </c>
    </row>
    <row r="4997" ht="15.75" customHeight="1">
      <c r="A4997" s="53" t="s">
        <v>411</v>
      </c>
      <c r="B4997" s="53" t="s">
        <v>4945</v>
      </c>
      <c r="D4997" s="53" t="s">
        <v>2950</v>
      </c>
      <c r="E4997" s="53" t="s">
        <v>6330</v>
      </c>
      <c r="F4997" s="53" t="s">
        <v>478</v>
      </c>
      <c r="G4997" s="53" t="s">
        <v>2923</v>
      </c>
      <c r="H4997" s="53">
        <v>1.0</v>
      </c>
      <c r="I4997" s="53">
        <v>0.20125786163522014</v>
      </c>
      <c r="J4997" s="53">
        <v>5.0</v>
      </c>
      <c r="K4997" s="53" t="s">
        <v>53</v>
      </c>
      <c r="L4997" s="53" t="s">
        <v>53</v>
      </c>
    </row>
    <row r="4998" ht="15.75" customHeight="1">
      <c r="A4998" s="53" t="s">
        <v>411</v>
      </c>
      <c r="B4998" s="53" t="s">
        <v>4945</v>
      </c>
      <c r="D4998" s="53" t="s">
        <v>2950</v>
      </c>
      <c r="E4998" s="53" t="s">
        <v>6331</v>
      </c>
      <c r="F4998" s="53" t="s">
        <v>478</v>
      </c>
      <c r="G4998" s="53" t="s">
        <v>2915</v>
      </c>
      <c r="H4998" s="53">
        <v>1.0</v>
      </c>
      <c r="I4998" s="53">
        <v>0.20125786163522014</v>
      </c>
      <c r="J4998" s="53">
        <v>4.0</v>
      </c>
      <c r="K4998" s="53" t="s">
        <v>53</v>
      </c>
      <c r="L4998" s="53" t="s">
        <v>53</v>
      </c>
    </row>
    <row r="4999" ht="15.75" customHeight="1">
      <c r="A4999" s="53" t="s">
        <v>411</v>
      </c>
      <c r="B4999" s="53" t="s">
        <v>4945</v>
      </c>
      <c r="D4999" s="53" t="s">
        <v>2950</v>
      </c>
      <c r="E4999" s="53" t="s">
        <v>6332</v>
      </c>
      <c r="F4999" s="53" t="s">
        <v>478</v>
      </c>
      <c r="G4999" s="53" t="s">
        <v>2919</v>
      </c>
      <c r="H4999" s="53">
        <v>1.0</v>
      </c>
      <c r="I4999" s="53">
        <v>0.22012578616352202</v>
      </c>
      <c r="J4999" s="53">
        <v>6.0</v>
      </c>
      <c r="K4999" s="53" t="s">
        <v>53</v>
      </c>
      <c r="L4999" s="53" t="s">
        <v>53</v>
      </c>
    </row>
    <row r="5000" ht="15.75" customHeight="1">
      <c r="A5000" s="53" t="s">
        <v>411</v>
      </c>
      <c r="B5000" s="53" t="s">
        <v>4945</v>
      </c>
      <c r="D5000" s="53" t="s">
        <v>2950</v>
      </c>
      <c r="E5000" s="53" t="s">
        <v>6333</v>
      </c>
      <c r="F5000" s="53" t="s">
        <v>478</v>
      </c>
      <c r="G5000" s="53" t="s">
        <v>2927</v>
      </c>
      <c r="H5000" s="53">
        <v>1.0</v>
      </c>
      <c r="I5000" s="53">
        <v>0.22012578616352202</v>
      </c>
      <c r="J5000" s="53">
        <v>8.0</v>
      </c>
      <c r="K5000" s="53" t="s">
        <v>53</v>
      </c>
      <c r="L5000" s="53" t="s">
        <v>53</v>
      </c>
    </row>
    <row r="5001" ht="15.75" customHeight="1">
      <c r="A5001" s="53" t="s">
        <v>411</v>
      </c>
      <c r="B5001" s="53" t="s">
        <v>4945</v>
      </c>
      <c r="D5001" s="53" t="s">
        <v>2950</v>
      </c>
      <c r="E5001" s="53" t="s">
        <v>6334</v>
      </c>
      <c r="F5001" s="53" t="s">
        <v>478</v>
      </c>
      <c r="G5001" s="53" t="s">
        <v>2942</v>
      </c>
      <c r="H5001" s="53">
        <v>1.0</v>
      </c>
      <c r="I5001" s="53">
        <v>0.22012578616352202</v>
      </c>
      <c r="J5001" s="53">
        <v>19.0</v>
      </c>
      <c r="K5001" s="53" t="s">
        <v>53</v>
      </c>
      <c r="L5001" s="53" t="s">
        <v>53</v>
      </c>
    </row>
    <row r="5002" ht="15.75" customHeight="1">
      <c r="A5002" s="53" t="s">
        <v>411</v>
      </c>
      <c r="B5002" s="53" t="s">
        <v>4945</v>
      </c>
      <c r="D5002" s="53" t="s">
        <v>2950</v>
      </c>
      <c r="E5002" s="53" t="s">
        <v>6335</v>
      </c>
      <c r="F5002" s="53" t="s">
        <v>478</v>
      </c>
      <c r="G5002" s="53" t="s">
        <v>2921</v>
      </c>
      <c r="H5002" s="53">
        <v>1.0</v>
      </c>
      <c r="I5002" s="53">
        <v>0.22012578616352202</v>
      </c>
      <c r="J5002" s="53">
        <v>7.0</v>
      </c>
      <c r="K5002" s="53" t="s">
        <v>53</v>
      </c>
      <c r="L5002" s="53" t="s">
        <v>53</v>
      </c>
    </row>
    <row r="5003" ht="15.75" customHeight="1">
      <c r="A5003" s="53" t="s">
        <v>411</v>
      </c>
      <c r="B5003" s="53" t="s">
        <v>4945</v>
      </c>
      <c r="D5003" s="53" t="s">
        <v>2950</v>
      </c>
      <c r="E5003" s="53" t="s">
        <v>6336</v>
      </c>
      <c r="F5003" s="53" t="s">
        <v>478</v>
      </c>
      <c r="G5003" s="53" t="s">
        <v>2931</v>
      </c>
      <c r="H5003" s="53">
        <v>1.0</v>
      </c>
      <c r="I5003" s="53">
        <v>0.22641509433962265</v>
      </c>
      <c r="J5003" s="53">
        <v>3.0</v>
      </c>
      <c r="K5003" s="53" t="s">
        <v>53</v>
      </c>
      <c r="L5003" s="53" t="s">
        <v>53</v>
      </c>
    </row>
    <row r="5004" ht="15.75" customHeight="1">
      <c r="A5004" s="53" t="s">
        <v>411</v>
      </c>
      <c r="B5004" s="53" t="s">
        <v>4945</v>
      </c>
      <c r="D5004" s="53" t="s">
        <v>2950</v>
      </c>
      <c r="E5004" s="53" t="s">
        <v>6337</v>
      </c>
      <c r="F5004" s="53" t="s">
        <v>478</v>
      </c>
      <c r="G5004" s="53" t="s">
        <v>2917</v>
      </c>
      <c r="H5004" s="53">
        <v>1.0</v>
      </c>
      <c r="I5004" s="53">
        <v>0.22641509433962265</v>
      </c>
      <c r="J5004" s="53">
        <v>13.0</v>
      </c>
      <c r="K5004" s="53" t="s">
        <v>53</v>
      </c>
      <c r="L5004" s="53" t="s">
        <v>53</v>
      </c>
    </row>
    <row r="5005" ht="15.75" customHeight="1">
      <c r="A5005" s="53" t="s">
        <v>411</v>
      </c>
      <c r="B5005" s="53" t="s">
        <v>4945</v>
      </c>
      <c r="D5005" s="53" t="s">
        <v>2950</v>
      </c>
      <c r="E5005" s="53" t="s">
        <v>6338</v>
      </c>
      <c r="F5005" s="53" t="s">
        <v>478</v>
      </c>
      <c r="G5005" s="53" t="s">
        <v>2925</v>
      </c>
      <c r="H5005" s="53">
        <v>1.0</v>
      </c>
      <c r="I5005" s="53">
        <v>0.22641509433962265</v>
      </c>
      <c r="J5005" s="53">
        <v>11.0</v>
      </c>
      <c r="K5005" s="53" t="s">
        <v>53</v>
      </c>
      <c r="L5005" s="53" t="s">
        <v>53</v>
      </c>
    </row>
    <row r="5006" ht="15.75" customHeight="1">
      <c r="A5006" s="53" t="s">
        <v>411</v>
      </c>
      <c r="B5006" s="53" t="s">
        <v>4945</v>
      </c>
      <c r="D5006" s="53" t="s">
        <v>2950</v>
      </c>
      <c r="E5006" s="53" t="s">
        <v>6339</v>
      </c>
      <c r="F5006" s="53" t="s">
        <v>478</v>
      </c>
      <c r="G5006" s="53" t="s">
        <v>2907</v>
      </c>
      <c r="H5006" s="53">
        <v>1.0</v>
      </c>
      <c r="I5006" s="53">
        <v>0.23270440251572327</v>
      </c>
      <c r="J5006" s="53">
        <v>12.0</v>
      </c>
      <c r="K5006" s="53" t="s">
        <v>53</v>
      </c>
      <c r="L5006" s="53" t="s">
        <v>53</v>
      </c>
    </row>
    <row r="5007" ht="15.75" customHeight="1">
      <c r="A5007" s="53" t="s">
        <v>411</v>
      </c>
      <c r="B5007" s="53" t="s">
        <v>4945</v>
      </c>
      <c r="D5007" s="53" t="s">
        <v>2950</v>
      </c>
      <c r="E5007" s="53" t="s">
        <v>6340</v>
      </c>
      <c r="F5007" s="53" t="s">
        <v>478</v>
      </c>
      <c r="G5007" s="53" t="s">
        <v>2929</v>
      </c>
      <c r="H5007" s="53">
        <v>1.0</v>
      </c>
      <c r="I5007" s="53">
        <v>0.23270440251572327</v>
      </c>
      <c r="J5007" s="53">
        <v>9.0</v>
      </c>
      <c r="K5007" s="53" t="s">
        <v>53</v>
      </c>
      <c r="L5007" s="53" t="s">
        <v>53</v>
      </c>
    </row>
    <row r="5008" ht="15.75" customHeight="1">
      <c r="A5008" s="53" t="s">
        <v>411</v>
      </c>
      <c r="B5008" s="53" t="s">
        <v>4945</v>
      </c>
      <c r="D5008" s="53" t="s">
        <v>2950</v>
      </c>
      <c r="E5008" s="53" t="s">
        <v>6341</v>
      </c>
      <c r="F5008" s="53" t="s">
        <v>478</v>
      </c>
      <c r="G5008" s="53" t="s">
        <v>2948</v>
      </c>
      <c r="H5008" s="53">
        <v>1.0</v>
      </c>
      <c r="I5008" s="53">
        <v>0.2389937106918239</v>
      </c>
      <c r="J5008" s="53">
        <v>17.0</v>
      </c>
      <c r="K5008" s="53" t="s">
        <v>53</v>
      </c>
      <c r="L5008" s="53" t="s">
        <v>53</v>
      </c>
    </row>
    <row r="5009" ht="15.75" customHeight="1">
      <c r="A5009" s="53" t="s">
        <v>411</v>
      </c>
      <c r="B5009" s="53" t="s">
        <v>4945</v>
      </c>
      <c r="D5009" s="53" t="s">
        <v>2950</v>
      </c>
      <c r="E5009" s="53" t="s">
        <v>6342</v>
      </c>
      <c r="F5009" s="53" t="s">
        <v>478</v>
      </c>
      <c r="G5009" s="53" t="s">
        <v>2937</v>
      </c>
      <c r="H5009" s="53">
        <v>1.0</v>
      </c>
      <c r="I5009" s="53">
        <v>0.24528301886792453</v>
      </c>
      <c r="J5009" s="53">
        <v>18.0</v>
      </c>
      <c r="K5009" s="53" t="s">
        <v>53</v>
      </c>
      <c r="L5009" s="53" t="s">
        <v>53</v>
      </c>
    </row>
    <row r="5010" ht="15.75" customHeight="1">
      <c r="A5010" s="53" t="s">
        <v>411</v>
      </c>
      <c r="B5010" s="53" t="s">
        <v>4945</v>
      </c>
      <c r="D5010" s="53" t="s">
        <v>2950</v>
      </c>
      <c r="E5010" s="53" t="s">
        <v>6343</v>
      </c>
      <c r="F5010" s="53" t="s">
        <v>478</v>
      </c>
      <c r="G5010" s="53" t="s">
        <v>2935</v>
      </c>
      <c r="H5010" s="53">
        <v>1.0</v>
      </c>
      <c r="I5010" s="53">
        <v>0.25157232704402516</v>
      </c>
      <c r="J5010" s="53">
        <v>0.0</v>
      </c>
      <c r="K5010" s="53" t="s">
        <v>53</v>
      </c>
      <c r="L5010" s="53" t="s">
        <v>53</v>
      </c>
    </row>
    <row r="5011" ht="15.75" customHeight="1">
      <c r="A5011" s="53" t="s">
        <v>411</v>
      </c>
      <c r="B5011" s="53" t="s">
        <v>4945</v>
      </c>
      <c r="D5011" s="53" t="s">
        <v>2950</v>
      </c>
      <c r="E5011" s="53" t="s">
        <v>6344</v>
      </c>
      <c r="F5011" s="53" t="s">
        <v>478</v>
      </c>
      <c r="G5011" s="53" t="s">
        <v>485</v>
      </c>
      <c r="H5011" s="53">
        <v>1.0</v>
      </c>
      <c r="I5011" s="53">
        <v>0.25157232704402516</v>
      </c>
      <c r="J5011" s="53">
        <v>14.0</v>
      </c>
      <c r="K5011" s="53" t="s">
        <v>53</v>
      </c>
      <c r="L5011" s="53" t="s">
        <v>53</v>
      </c>
    </row>
    <row r="5012" ht="15.75" customHeight="1">
      <c r="A5012" s="53" t="s">
        <v>411</v>
      </c>
      <c r="B5012" s="53" t="s">
        <v>4945</v>
      </c>
      <c r="D5012" s="53" t="s">
        <v>2950</v>
      </c>
      <c r="E5012" s="53" t="s">
        <v>6345</v>
      </c>
      <c r="F5012" s="53" t="s">
        <v>478</v>
      </c>
      <c r="G5012" s="53" t="s">
        <v>2957</v>
      </c>
      <c r="H5012" s="53">
        <v>1.0</v>
      </c>
      <c r="I5012" s="53">
        <v>0.2606060606060606</v>
      </c>
      <c r="J5012" s="53">
        <v>1.0</v>
      </c>
      <c r="K5012" s="53" t="s">
        <v>53</v>
      </c>
      <c r="L5012" s="53" t="s">
        <v>53</v>
      </c>
    </row>
    <row r="5013" ht="15.75" customHeight="1">
      <c r="A5013" s="53" t="s">
        <v>411</v>
      </c>
      <c r="B5013" s="53" t="s">
        <v>4945</v>
      </c>
      <c r="D5013" s="53" t="s">
        <v>2950</v>
      </c>
      <c r="E5013" s="53" t="s">
        <v>6346</v>
      </c>
      <c r="F5013" s="53" t="s">
        <v>478</v>
      </c>
      <c r="G5013" s="53" t="s">
        <v>2933</v>
      </c>
      <c r="H5013" s="53">
        <v>1.0</v>
      </c>
      <c r="I5013" s="53">
        <v>0.2625</v>
      </c>
      <c r="J5013" s="53">
        <v>10.0</v>
      </c>
      <c r="K5013" s="53" t="s">
        <v>53</v>
      </c>
      <c r="L5013" s="53" t="s">
        <v>53</v>
      </c>
    </row>
    <row r="5014" ht="15.75" customHeight="1">
      <c r="A5014" s="53" t="s">
        <v>411</v>
      </c>
      <c r="B5014" s="53" t="s">
        <v>4945</v>
      </c>
      <c r="D5014" s="53" t="s">
        <v>2950</v>
      </c>
      <c r="E5014" s="53" t="s">
        <v>6347</v>
      </c>
      <c r="F5014" s="53" t="s">
        <v>478</v>
      </c>
      <c r="G5014" s="53" t="s">
        <v>474</v>
      </c>
      <c r="H5014" s="53">
        <v>1.0</v>
      </c>
      <c r="I5014" s="53">
        <v>0.2641509433962264</v>
      </c>
      <c r="J5014" s="53">
        <v>15.0</v>
      </c>
      <c r="K5014" s="53" t="s">
        <v>53</v>
      </c>
      <c r="L5014" s="53" t="s">
        <v>53</v>
      </c>
    </row>
    <row r="5015" ht="15.75" customHeight="1">
      <c r="A5015" s="53" t="s">
        <v>411</v>
      </c>
      <c r="B5015" s="53" t="s">
        <v>4945</v>
      </c>
      <c r="D5015" s="53" t="s">
        <v>2950</v>
      </c>
      <c r="E5015" s="53" t="s">
        <v>6348</v>
      </c>
      <c r="F5015" s="53" t="s">
        <v>478</v>
      </c>
      <c r="G5015" s="53" t="s">
        <v>2944</v>
      </c>
      <c r="H5015" s="53">
        <v>1.0</v>
      </c>
      <c r="I5015" s="53">
        <v>0.2857142857142857</v>
      </c>
      <c r="J5015" s="53">
        <v>2.0</v>
      </c>
      <c r="K5015" s="53" t="s">
        <v>53</v>
      </c>
      <c r="L5015" s="53" t="s">
        <v>53</v>
      </c>
    </row>
    <row r="5016" ht="15.75" customHeight="1">
      <c r="A5016" s="53" t="s">
        <v>411</v>
      </c>
      <c r="B5016" s="53" t="s">
        <v>4945</v>
      </c>
      <c r="D5016" s="53" t="s">
        <v>2950</v>
      </c>
      <c r="E5016" s="53" t="s">
        <v>6349</v>
      </c>
      <c r="F5016" s="53" t="s">
        <v>478</v>
      </c>
      <c r="G5016" s="53" t="s">
        <v>495</v>
      </c>
      <c r="H5016" s="53">
        <v>1.0</v>
      </c>
      <c r="I5016" s="53">
        <v>0.3018867924528302</v>
      </c>
      <c r="J5016" s="53">
        <v>16.0</v>
      </c>
      <c r="K5016" s="53" t="s">
        <v>53</v>
      </c>
      <c r="L5016" s="53" t="s">
        <v>53</v>
      </c>
    </row>
    <row r="5017" ht="15.75" customHeight="1">
      <c r="A5017" s="53" t="s">
        <v>411</v>
      </c>
      <c r="B5017" s="53" t="s">
        <v>4945</v>
      </c>
      <c r="D5017" s="53" t="s">
        <v>2935</v>
      </c>
      <c r="E5017" s="53" t="s">
        <v>6350</v>
      </c>
      <c r="F5017" s="53" t="s">
        <v>478</v>
      </c>
      <c r="G5017" s="53" t="s">
        <v>2929</v>
      </c>
      <c r="H5017" s="53">
        <v>1.0</v>
      </c>
      <c r="I5017" s="53">
        <v>0.1437908496732026</v>
      </c>
      <c r="J5017" s="53">
        <v>8.0</v>
      </c>
      <c r="K5017" s="53" t="s">
        <v>53</v>
      </c>
      <c r="L5017" s="53" t="s">
        <v>53</v>
      </c>
    </row>
    <row r="5018" ht="15.75" customHeight="1">
      <c r="A5018" s="53" t="s">
        <v>411</v>
      </c>
      <c r="B5018" s="53" t="s">
        <v>4945</v>
      </c>
      <c r="D5018" s="53" t="s">
        <v>2935</v>
      </c>
      <c r="E5018" s="53" t="s">
        <v>6351</v>
      </c>
      <c r="F5018" s="53" t="s">
        <v>478</v>
      </c>
      <c r="G5018" s="53" t="s">
        <v>2931</v>
      </c>
      <c r="H5018" s="53">
        <v>1.0</v>
      </c>
      <c r="I5018" s="53">
        <v>0.14473684210526316</v>
      </c>
      <c r="J5018" s="53">
        <v>2.0</v>
      </c>
      <c r="K5018" s="53" t="s">
        <v>53</v>
      </c>
      <c r="L5018" s="53" t="s">
        <v>53</v>
      </c>
    </row>
    <row r="5019" ht="15.75" customHeight="1">
      <c r="A5019" s="53" t="s">
        <v>411</v>
      </c>
      <c r="B5019" s="53" t="s">
        <v>4945</v>
      </c>
      <c r="D5019" s="53" t="s">
        <v>2935</v>
      </c>
      <c r="E5019" s="53" t="s">
        <v>6352</v>
      </c>
      <c r="F5019" s="53" t="s">
        <v>478</v>
      </c>
      <c r="G5019" s="53" t="s">
        <v>2927</v>
      </c>
      <c r="H5019" s="53">
        <v>1.0</v>
      </c>
      <c r="I5019" s="53">
        <v>0.1456953642384106</v>
      </c>
      <c r="J5019" s="53">
        <v>7.0</v>
      </c>
      <c r="K5019" s="53" t="s">
        <v>53</v>
      </c>
      <c r="L5019" s="53" t="s">
        <v>53</v>
      </c>
    </row>
    <row r="5020" ht="15.75" customHeight="1">
      <c r="A5020" s="53" t="s">
        <v>411</v>
      </c>
      <c r="B5020" s="53" t="s">
        <v>4945</v>
      </c>
      <c r="D5020" s="53" t="s">
        <v>2935</v>
      </c>
      <c r="E5020" s="53" t="s">
        <v>6353</v>
      </c>
      <c r="F5020" s="53" t="s">
        <v>478</v>
      </c>
      <c r="G5020" s="53" t="s">
        <v>2923</v>
      </c>
      <c r="H5020" s="53">
        <v>1.0</v>
      </c>
      <c r="I5020" s="53">
        <v>0.1456953642384106</v>
      </c>
      <c r="J5020" s="53">
        <v>4.0</v>
      </c>
      <c r="K5020" s="53" t="s">
        <v>53</v>
      </c>
      <c r="L5020" s="53" t="s">
        <v>53</v>
      </c>
    </row>
    <row r="5021" ht="15.75" customHeight="1">
      <c r="A5021" s="53" t="s">
        <v>411</v>
      </c>
      <c r="B5021" s="53" t="s">
        <v>4945</v>
      </c>
      <c r="D5021" s="53" t="s">
        <v>2935</v>
      </c>
      <c r="E5021" s="53" t="s">
        <v>6354</v>
      </c>
      <c r="F5021" s="53" t="s">
        <v>478</v>
      </c>
      <c r="G5021" s="53" t="s">
        <v>2915</v>
      </c>
      <c r="H5021" s="53">
        <v>1.0</v>
      </c>
      <c r="I5021" s="53">
        <v>0.1456953642384106</v>
      </c>
      <c r="J5021" s="53">
        <v>3.0</v>
      </c>
      <c r="K5021" s="53" t="s">
        <v>53</v>
      </c>
      <c r="L5021" s="53" t="s">
        <v>53</v>
      </c>
    </row>
    <row r="5022" ht="15.75" customHeight="1">
      <c r="A5022" s="53" t="s">
        <v>411</v>
      </c>
      <c r="B5022" s="53" t="s">
        <v>4945</v>
      </c>
      <c r="D5022" s="53" t="s">
        <v>2935</v>
      </c>
      <c r="E5022" s="53" t="s">
        <v>6355</v>
      </c>
      <c r="F5022" s="53" t="s">
        <v>478</v>
      </c>
      <c r="G5022" s="53" t="s">
        <v>2925</v>
      </c>
      <c r="H5022" s="53">
        <v>1.0</v>
      </c>
      <c r="I5022" s="53">
        <v>0.1456953642384106</v>
      </c>
      <c r="J5022" s="53">
        <v>10.0</v>
      </c>
      <c r="K5022" s="53" t="s">
        <v>53</v>
      </c>
      <c r="L5022" s="53" t="s">
        <v>53</v>
      </c>
    </row>
    <row r="5023" ht="15.75" customHeight="1">
      <c r="A5023" s="53" t="s">
        <v>411</v>
      </c>
      <c r="B5023" s="53" t="s">
        <v>4945</v>
      </c>
      <c r="D5023" s="53" t="s">
        <v>2935</v>
      </c>
      <c r="E5023" s="53" t="s">
        <v>6356</v>
      </c>
      <c r="F5023" s="53" t="s">
        <v>478</v>
      </c>
      <c r="G5023" s="53" t="s">
        <v>2944</v>
      </c>
      <c r="H5023" s="53">
        <v>1.0</v>
      </c>
      <c r="I5023" s="53">
        <v>0.14906832298136646</v>
      </c>
      <c r="J5023" s="53">
        <v>1.0</v>
      </c>
      <c r="K5023" s="53" t="s">
        <v>53</v>
      </c>
      <c r="L5023" s="53" t="s">
        <v>53</v>
      </c>
    </row>
    <row r="5024" ht="15.75" customHeight="1">
      <c r="A5024" s="53" t="s">
        <v>411</v>
      </c>
      <c r="B5024" s="53" t="s">
        <v>4945</v>
      </c>
      <c r="D5024" s="53" t="s">
        <v>2935</v>
      </c>
      <c r="E5024" s="53" t="s">
        <v>6357</v>
      </c>
      <c r="F5024" s="53" t="s">
        <v>478</v>
      </c>
      <c r="G5024" s="53" t="s">
        <v>2919</v>
      </c>
      <c r="H5024" s="53">
        <v>1.0</v>
      </c>
      <c r="I5024" s="53">
        <v>0.152317880794702</v>
      </c>
      <c r="J5024" s="53">
        <v>5.0</v>
      </c>
      <c r="K5024" s="53" t="s">
        <v>53</v>
      </c>
      <c r="L5024" s="53" t="s">
        <v>53</v>
      </c>
    </row>
    <row r="5025" ht="15.75" customHeight="1">
      <c r="A5025" s="53" t="s">
        <v>411</v>
      </c>
      <c r="B5025" s="53" t="s">
        <v>4945</v>
      </c>
      <c r="D5025" s="53" t="s">
        <v>2935</v>
      </c>
      <c r="E5025" s="53" t="s">
        <v>6358</v>
      </c>
      <c r="F5025" s="53" t="s">
        <v>478</v>
      </c>
      <c r="G5025" s="53" t="s">
        <v>2933</v>
      </c>
      <c r="H5025" s="53">
        <v>1.0</v>
      </c>
      <c r="I5025" s="53">
        <v>0.15625</v>
      </c>
      <c r="J5025" s="53">
        <v>9.0</v>
      </c>
      <c r="K5025" s="53" t="s">
        <v>53</v>
      </c>
      <c r="L5025" s="53" t="s">
        <v>53</v>
      </c>
    </row>
    <row r="5026" ht="15.75" customHeight="1">
      <c r="A5026" s="53" t="s">
        <v>411</v>
      </c>
      <c r="B5026" s="53" t="s">
        <v>4945</v>
      </c>
      <c r="D5026" s="53" t="s">
        <v>2935</v>
      </c>
      <c r="E5026" s="53" t="s">
        <v>6359</v>
      </c>
      <c r="F5026" s="53" t="s">
        <v>478</v>
      </c>
      <c r="G5026" s="53" t="s">
        <v>2921</v>
      </c>
      <c r="H5026" s="53">
        <v>1.0</v>
      </c>
      <c r="I5026" s="53">
        <v>0.15894039735099338</v>
      </c>
      <c r="J5026" s="53">
        <v>6.0</v>
      </c>
      <c r="K5026" s="53" t="s">
        <v>53</v>
      </c>
      <c r="L5026" s="53" t="s">
        <v>53</v>
      </c>
    </row>
    <row r="5027" ht="15.75" customHeight="1">
      <c r="A5027" s="53" t="s">
        <v>411</v>
      </c>
      <c r="B5027" s="53" t="s">
        <v>4945</v>
      </c>
      <c r="D5027" s="53" t="s">
        <v>2935</v>
      </c>
      <c r="E5027" s="53" t="s">
        <v>6360</v>
      </c>
      <c r="F5027" s="53" t="s">
        <v>478</v>
      </c>
      <c r="G5027" s="53" t="s">
        <v>2917</v>
      </c>
      <c r="H5027" s="53">
        <v>1.0</v>
      </c>
      <c r="I5027" s="53">
        <v>0.19205298013245034</v>
      </c>
      <c r="J5027" s="53">
        <v>12.0</v>
      </c>
      <c r="K5027" s="53" t="s">
        <v>53</v>
      </c>
      <c r="L5027" s="53" t="s">
        <v>53</v>
      </c>
    </row>
    <row r="5028" ht="15.75" customHeight="1">
      <c r="A5028" s="53" t="s">
        <v>411</v>
      </c>
      <c r="B5028" s="53" t="s">
        <v>4945</v>
      </c>
      <c r="D5028" s="53" t="s">
        <v>2935</v>
      </c>
      <c r="E5028" s="53" t="s">
        <v>6361</v>
      </c>
      <c r="F5028" s="53" t="s">
        <v>478</v>
      </c>
      <c r="G5028" s="53" t="s">
        <v>2957</v>
      </c>
      <c r="H5028" s="53">
        <v>1.0</v>
      </c>
      <c r="I5028" s="53">
        <v>0.2</v>
      </c>
      <c r="J5028" s="53">
        <v>0.0</v>
      </c>
      <c r="K5028" s="53" t="s">
        <v>53</v>
      </c>
      <c r="L5028" s="53" t="s">
        <v>53</v>
      </c>
    </row>
    <row r="5029" ht="15.75" customHeight="1">
      <c r="A5029" s="53" t="s">
        <v>411</v>
      </c>
      <c r="B5029" s="53" t="s">
        <v>4945</v>
      </c>
      <c r="D5029" s="53" t="s">
        <v>2935</v>
      </c>
      <c r="E5029" s="53" t="s">
        <v>6362</v>
      </c>
      <c r="F5029" s="53" t="s">
        <v>478</v>
      </c>
      <c r="G5029" s="53" t="s">
        <v>2907</v>
      </c>
      <c r="H5029" s="53">
        <v>1.0</v>
      </c>
      <c r="I5029" s="53">
        <v>0.2052980132450331</v>
      </c>
      <c r="J5029" s="53">
        <v>11.0</v>
      </c>
      <c r="K5029" s="53" t="s">
        <v>53</v>
      </c>
      <c r="L5029" s="53" t="s">
        <v>53</v>
      </c>
    </row>
    <row r="5030" ht="15.75" customHeight="1">
      <c r="A5030" s="53" t="s">
        <v>411</v>
      </c>
      <c r="B5030" s="53" t="s">
        <v>4945</v>
      </c>
      <c r="D5030" s="53" t="s">
        <v>2935</v>
      </c>
      <c r="E5030" s="53" t="s">
        <v>6363</v>
      </c>
      <c r="F5030" s="53" t="s">
        <v>478</v>
      </c>
      <c r="G5030" s="53" t="s">
        <v>485</v>
      </c>
      <c r="H5030" s="53">
        <v>1.0</v>
      </c>
      <c r="I5030" s="53">
        <v>0.2185430463576159</v>
      </c>
      <c r="J5030" s="53">
        <v>13.0</v>
      </c>
      <c r="K5030" s="53" t="s">
        <v>53</v>
      </c>
      <c r="L5030" s="53" t="s">
        <v>53</v>
      </c>
    </row>
    <row r="5031" ht="15.75" customHeight="1">
      <c r="A5031" s="53" t="s">
        <v>411</v>
      </c>
      <c r="B5031" s="53" t="s">
        <v>4945</v>
      </c>
      <c r="D5031" s="53" t="s">
        <v>2935</v>
      </c>
      <c r="E5031" s="53" t="s">
        <v>6364</v>
      </c>
      <c r="F5031" s="53" t="s">
        <v>478</v>
      </c>
      <c r="G5031" s="53" t="s">
        <v>474</v>
      </c>
      <c r="H5031" s="53">
        <v>1.0</v>
      </c>
      <c r="I5031" s="53">
        <v>0.2185430463576159</v>
      </c>
      <c r="J5031" s="53">
        <v>14.0</v>
      </c>
      <c r="K5031" s="53" t="s">
        <v>53</v>
      </c>
      <c r="L5031" s="53" t="s">
        <v>53</v>
      </c>
    </row>
    <row r="5032" ht="15.75" customHeight="1">
      <c r="A5032" s="53" t="s">
        <v>411</v>
      </c>
      <c r="B5032" s="53" t="s">
        <v>4945</v>
      </c>
      <c r="D5032" s="53" t="s">
        <v>2935</v>
      </c>
      <c r="E5032" s="53" t="s">
        <v>6365</v>
      </c>
      <c r="F5032" s="53" t="s">
        <v>478</v>
      </c>
      <c r="G5032" s="53" t="s">
        <v>2937</v>
      </c>
      <c r="H5032" s="53">
        <v>1.0</v>
      </c>
      <c r="I5032" s="53">
        <v>0.2251655629139073</v>
      </c>
      <c r="J5032" s="53">
        <v>17.0</v>
      </c>
      <c r="K5032" s="53" t="s">
        <v>53</v>
      </c>
      <c r="L5032" s="53" t="s">
        <v>53</v>
      </c>
    </row>
    <row r="5033" ht="15.75" customHeight="1">
      <c r="A5033" s="53" t="s">
        <v>411</v>
      </c>
      <c r="B5033" s="53" t="s">
        <v>4945</v>
      </c>
      <c r="D5033" s="53" t="s">
        <v>2935</v>
      </c>
      <c r="E5033" s="53" t="s">
        <v>6366</v>
      </c>
      <c r="F5033" s="53" t="s">
        <v>478</v>
      </c>
      <c r="G5033" s="53" t="s">
        <v>2948</v>
      </c>
      <c r="H5033" s="53">
        <v>1.0</v>
      </c>
      <c r="I5033" s="53">
        <v>0.24503311258278146</v>
      </c>
      <c r="J5033" s="53">
        <v>16.0</v>
      </c>
      <c r="K5033" s="53" t="s">
        <v>53</v>
      </c>
      <c r="L5033" s="53" t="s">
        <v>53</v>
      </c>
    </row>
    <row r="5034" ht="15.75" customHeight="1">
      <c r="A5034" s="53" t="s">
        <v>411</v>
      </c>
      <c r="B5034" s="53" t="s">
        <v>4945</v>
      </c>
      <c r="D5034" s="53" t="s">
        <v>2935</v>
      </c>
      <c r="E5034" s="53" t="s">
        <v>6367</v>
      </c>
      <c r="F5034" s="53" t="s">
        <v>478</v>
      </c>
      <c r="G5034" s="53" t="s">
        <v>2942</v>
      </c>
      <c r="H5034" s="53">
        <v>1.0</v>
      </c>
      <c r="I5034" s="53">
        <v>0.2582781456953642</v>
      </c>
      <c r="J5034" s="53">
        <v>18.0</v>
      </c>
      <c r="K5034" s="53" t="s">
        <v>53</v>
      </c>
      <c r="L5034" s="53" t="s">
        <v>53</v>
      </c>
    </row>
    <row r="5035" ht="15.75" customHeight="1">
      <c r="A5035" s="53" t="s">
        <v>411</v>
      </c>
      <c r="B5035" s="53" t="s">
        <v>4945</v>
      </c>
      <c r="D5035" s="53" t="s">
        <v>2935</v>
      </c>
      <c r="E5035" s="53" t="s">
        <v>6368</v>
      </c>
      <c r="F5035" s="53" t="s">
        <v>478</v>
      </c>
      <c r="G5035" s="53" t="s">
        <v>495</v>
      </c>
      <c r="H5035" s="53">
        <v>1.0</v>
      </c>
      <c r="I5035" s="53">
        <v>0.2847682119205298</v>
      </c>
      <c r="J5035" s="53">
        <v>15.0</v>
      </c>
      <c r="K5035" s="53" t="s">
        <v>53</v>
      </c>
      <c r="L5035" s="53" t="s">
        <v>53</v>
      </c>
    </row>
    <row r="5036" ht="15.75" customHeight="1">
      <c r="A5036" s="53" t="s">
        <v>411</v>
      </c>
      <c r="B5036" s="53" t="s">
        <v>4945</v>
      </c>
      <c r="D5036" s="53" t="s">
        <v>2957</v>
      </c>
      <c r="E5036" s="53" t="s">
        <v>6369</v>
      </c>
      <c r="F5036" s="53" t="s">
        <v>478</v>
      </c>
      <c r="G5036" s="53" t="s">
        <v>2944</v>
      </c>
      <c r="H5036" s="53">
        <v>1.0</v>
      </c>
      <c r="I5036" s="53">
        <v>0.15151515151515152</v>
      </c>
      <c r="J5036" s="53">
        <v>0.0</v>
      </c>
      <c r="K5036" s="53" t="s">
        <v>53</v>
      </c>
      <c r="L5036" s="53" t="s">
        <v>53</v>
      </c>
    </row>
    <row r="5037" ht="15.75" customHeight="1">
      <c r="A5037" s="53" t="s">
        <v>411</v>
      </c>
      <c r="B5037" s="53" t="s">
        <v>4945</v>
      </c>
      <c r="D5037" s="53" t="s">
        <v>2957</v>
      </c>
      <c r="E5037" s="53" t="s">
        <v>6370</v>
      </c>
      <c r="F5037" s="53" t="s">
        <v>478</v>
      </c>
      <c r="G5037" s="53" t="s">
        <v>2923</v>
      </c>
      <c r="H5037" s="53">
        <v>1.0</v>
      </c>
      <c r="I5037" s="53">
        <v>0.22424242424242424</v>
      </c>
      <c r="J5037" s="53">
        <v>3.0</v>
      </c>
      <c r="K5037" s="53" t="s">
        <v>53</v>
      </c>
      <c r="L5037" s="53" t="s">
        <v>53</v>
      </c>
    </row>
    <row r="5038" ht="15.75" customHeight="1">
      <c r="A5038" s="53" t="s">
        <v>411</v>
      </c>
      <c r="B5038" s="53" t="s">
        <v>4945</v>
      </c>
      <c r="D5038" s="53" t="s">
        <v>2957</v>
      </c>
      <c r="E5038" s="53" t="s">
        <v>6371</v>
      </c>
      <c r="F5038" s="53" t="s">
        <v>478</v>
      </c>
      <c r="G5038" s="53" t="s">
        <v>474</v>
      </c>
      <c r="H5038" s="53">
        <v>1.0</v>
      </c>
      <c r="I5038" s="53">
        <v>0.22424242424242424</v>
      </c>
      <c r="J5038" s="53">
        <v>13.0</v>
      </c>
      <c r="K5038" s="53" t="s">
        <v>53</v>
      </c>
      <c r="L5038" s="53" t="s">
        <v>53</v>
      </c>
    </row>
    <row r="5039" ht="15.75" customHeight="1">
      <c r="A5039" s="53" t="s">
        <v>411</v>
      </c>
      <c r="B5039" s="53" t="s">
        <v>4945</v>
      </c>
      <c r="D5039" s="53" t="s">
        <v>2957</v>
      </c>
      <c r="E5039" s="53" t="s">
        <v>6372</v>
      </c>
      <c r="F5039" s="53" t="s">
        <v>478</v>
      </c>
      <c r="G5039" s="53" t="s">
        <v>2919</v>
      </c>
      <c r="H5039" s="53">
        <v>1.0</v>
      </c>
      <c r="I5039" s="53">
        <v>0.23636363636363636</v>
      </c>
      <c r="J5039" s="53">
        <v>4.0</v>
      </c>
      <c r="K5039" s="53" t="s">
        <v>53</v>
      </c>
      <c r="L5039" s="53" t="s">
        <v>53</v>
      </c>
    </row>
    <row r="5040" ht="15.75" customHeight="1">
      <c r="A5040" s="53" t="s">
        <v>411</v>
      </c>
      <c r="B5040" s="53" t="s">
        <v>4945</v>
      </c>
      <c r="D5040" s="53" t="s">
        <v>2957</v>
      </c>
      <c r="E5040" s="53" t="s">
        <v>6373</v>
      </c>
      <c r="F5040" s="53" t="s">
        <v>478</v>
      </c>
      <c r="G5040" s="53" t="s">
        <v>2927</v>
      </c>
      <c r="H5040" s="53">
        <v>1.0</v>
      </c>
      <c r="I5040" s="53">
        <v>0.23636363636363636</v>
      </c>
      <c r="J5040" s="53">
        <v>6.0</v>
      </c>
      <c r="K5040" s="53" t="s">
        <v>53</v>
      </c>
      <c r="L5040" s="53" t="s">
        <v>53</v>
      </c>
    </row>
    <row r="5041" ht="15.75" customHeight="1">
      <c r="A5041" s="53" t="s">
        <v>411</v>
      </c>
      <c r="B5041" s="53" t="s">
        <v>4945</v>
      </c>
      <c r="D5041" s="53" t="s">
        <v>2957</v>
      </c>
      <c r="E5041" s="53" t="s">
        <v>6374</v>
      </c>
      <c r="F5041" s="53" t="s">
        <v>478</v>
      </c>
      <c r="G5041" s="53" t="s">
        <v>2915</v>
      </c>
      <c r="H5041" s="53">
        <v>1.0</v>
      </c>
      <c r="I5041" s="53">
        <v>0.23636363636363636</v>
      </c>
      <c r="J5041" s="53">
        <v>2.0</v>
      </c>
      <c r="K5041" s="53" t="s">
        <v>53</v>
      </c>
      <c r="L5041" s="53" t="s">
        <v>53</v>
      </c>
    </row>
    <row r="5042" ht="15.75" customHeight="1">
      <c r="A5042" s="53" t="s">
        <v>411</v>
      </c>
      <c r="B5042" s="53" t="s">
        <v>4945</v>
      </c>
      <c r="D5042" s="53" t="s">
        <v>2957</v>
      </c>
      <c r="E5042" s="53" t="s">
        <v>6375</v>
      </c>
      <c r="F5042" s="53" t="s">
        <v>478</v>
      </c>
      <c r="G5042" s="53" t="s">
        <v>2925</v>
      </c>
      <c r="H5042" s="53">
        <v>1.0</v>
      </c>
      <c r="I5042" s="53">
        <v>0.23636363636363636</v>
      </c>
      <c r="J5042" s="53">
        <v>9.0</v>
      </c>
      <c r="K5042" s="53" t="s">
        <v>53</v>
      </c>
      <c r="L5042" s="53" t="s">
        <v>53</v>
      </c>
    </row>
    <row r="5043" ht="15.75" customHeight="1">
      <c r="A5043" s="53" t="s">
        <v>411</v>
      </c>
      <c r="B5043" s="53" t="s">
        <v>4945</v>
      </c>
      <c r="D5043" s="53" t="s">
        <v>2957</v>
      </c>
      <c r="E5043" s="53" t="s">
        <v>6376</v>
      </c>
      <c r="F5043" s="53" t="s">
        <v>478</v>
      </c>
      <c r="G5043" s="53" t="s">
        <v>485</v>
      </c>
      <c r="H5043" s="53">
        <v>1.0</v>
      </c>
      <c r="I5043" s="53">
        <v>0.23636363636363636</v>
      </c>
      <c r="J5043" s="53">
        <v>12.0</v>
      </c>
      <c r="K5043" s="53" t="s">
        <v>53</v>
      </c>
      <c r="L5043" s="53" t="s">
        <v>53</v>
      </c>
    </row>
    <row r="5044" ht="15.75" customHeight="1">
      <c r="A5044" s="53" t="s">
        <v>411</v>
      </c>
      <c r="B5044" s="53" t="s">
        <v>4945</v>
      </c>
      <c r="D5044" s="53" t="s">
        <v>2957</v>
      </c>
      <c r="E5044" s="53" t="s">
        <v>6377</v>
      </c>
      <c r="F5044" s="53" t="s">
        <v>478</v>
      </c>
      <c r="G5044" s="53" t="s">
        <v>2931</v>
      </c>
      <c r="H5044" s="53">
        <v>1.0</v>
      </c>
      <c r="I5044" s="53">
        <v>0.24242424242424243</v>
      </c>
      <c r="J5044" s="53">
        <v>1.0</v>
      </c>
      <c r="K5044" s="53" t="s">
        <v>53</v>
      </c>
      <c r="L5044" s="53" t="s">
        <v>53</v>
      </c>
    </row>
    <row r="5045" ht="15.75" customHeight="1">
      <c r="A5045" s="53" t="s">
        <v>411</v>
      </c>
      <c r="B5045" s="53" t="s">
        <v>4945</v>
      </c>
      <c r="D5045" s="53" t="s">
        <v>2957</v>
      </c>
      <c r="E5045" s="53" t="s">
        <v>6378</v>
      </c>
      <c r="F5045" s="53" t="s">
        <v>478</v>
      </c>
      <c r="G5045" s="53" t="s">
        <v>2948</v>
      </c>
      <c r="H5045" s="53">
        <v>1.0</v>
      </c>
      <c r="I5045" s="53">
        <v>0.24242424242424243</v>
      </c>
      <c r="J5045" s="53">
        <v>15.0</v>
      </c>
      <c r="K5045" s="53" t="s">
        <v>53</v>
      </c>
      <c r="L5045" s="53" t="s">
        <v>53</v>
      </c>
    </row>
    <row r="5046" ht="15.75" customHeight="1">
      <c r="A5046" s="53" t="s">
        <v>411</v>
      </c>
      <c r="B5046" s="53" t="s">
        <v>4945</v>
      </c>
      <c r="D5046" s="53" t="s">
        <v>2957</v>
      </c>
      <c r="E5046" s="53" t="s">
        <v>6379</v>
      </c>
      <c r="F5046" s="53" t="s">
        <v>478</v>
      </c>
      <c r="G5046" s="53" t="s">
        <v>2929</v>
      </c>
      <c r="H5046" s="53">
        <v>1.0</v>
      </c>
      <c r="I5046" s="53">
        <v>0.24242424242424243</v>
      </c>
      <c r="J5046" s="53">
        <v>7.0</v>
      </c>
      <c r="K5046" s="53" t="s">
        <v>53</v>
      </c>
      <c r="L5046" s="53" t="s">
        <v>53</v>
      </c>
    </row>
    <row r="5047" ht="15.75" customHeight="1">
      <c r="A5047" s="53" t="s">
        <v>411</v>
      </c>
      <c r="B5047" s="53" t="s">
        <v>4945</v>
      </c>
      <c r="D5047" s="53" t="s">
        <v>2957</v>
      </c>
      <c r="E5047" s="53" t="s">
        <v>6380</v>
      </c>
      <c r="F5047" s="53" t="s">
        <v>478</v>
      </c>
      <c r="G5047" s="53" t="s">
        <v>2933</v>
      </c>
      <c r="H5047" s="53">
        <v>1.0</v>
      </c>
      <c r="I5047" s="53">
        <v>0.24848484848484848</v>
      </c>
      <c r="J5047" s="53">
        <v>8.0</v>
      </c>
      <c r="K5047" s="53" t="s">
        <v>53</v>
      </c>
      <c r="L5047" s="53" t="s">
        <v>53</v>
      </c>
    </row>
    <row r="5048" ht="15.75" customHeight="1">
      <c r="A5048" s="53" t="s">
        <v>411</v>
      </c>
      <c r="B5048" s="53" t="s">
        <v>4945</v>
      </c>
      <c r="D5048" s="53" t="s">
        <v>2957</v>
      </c>
      <c r="E5048" s="53" t="s">
        <v>6381</v>
      </c>
      <c r="F5048" s="53" t="s">
        <v>478</v>
      </c>
      <c r="G5048" s="53" t="s">
        <v>2921</v>
      </c>
      <c r="H5048" s="53">
        <v>1.0</v>
      </c>
      <c r="I5048" s="53">
        <v>0.24848484848484848</v>
      </c>
      <c r="J5048" s="53">
        <v>5.0</v>
      </c>
      <c r="K5048" s="53" t="s">
        <v>53</v>
      </c>
      <c r="L5048" s="53" t="s">
        <v>53</v>
      </c>
    </row>
    <row r="5049" ht="15.75" customHeight="1">
      <c r="A5049" s="53" t="s">
        <v>411</v>
      </c>
      <c r="B5049" s="53" t="s">
        <v>4945</v>
      </c>
      <c r="D5049" s="53" t="s">
        <v>2957</v>
      </c>
      <c r="E5049" s="53" t="s">
        <v>6382</v>
      </c>
      <c r="F5049" s="53" t="s">
        <v>478</v>
      </c>
      <c r="G5049" s="53" t="s">
        <v>2942</v>
      </c>
      <c r="H5049" s="53">
        <v>1.0</v>
      </c>
      <c r="I5049" s="53">
        <v>0.26666666666666666</v>
      </c>
      <c r="J5049" s="53">
        <v>17.0</v>
      </c>
      <c r="K5049" s="53" t="s">
        <v>53</v>
      </c>
      <c r="L5049" s="53" t="s">
        <v>53</v>
      </c>
    </row>
    <row r="5050" ht="15.75" customHeight="1">
      <c r="A5050" s="53" t="s">
        <v>411</v>
      </c>
      <c r="B5050" s="53" t="s">
        <v>4945</v>
      </c>
      <c r="D5050" s="53" t="s">
        <v>2957</v>
      </c>
      <c r="E5050" s="53" t="s">
        <v>6383</v>
      </c>
      <c r="F5050" s="53" t="s">
        <v>478</v>
      </c>
      <c r="G5050" s="53" t="s">
        <v>2917</v>
      </c>
      <c r="H5050" s="53">
        <v>1.0</v>
      </c>
      <c r="I5050" s="53">
        <v>0.26666666666666666</v>
      </c>
      <c r="J5050" s="53">
        <v>11.0</v>
      </c>
      <c r="K5050" s="53" t="s">
        <v>53</v>
      </c>
      <c r="L5050" s="53" t="s">
        <v>53</v>
      </c>
    </row>
    <row r="5051" ht="15.75" customHeight="1">
      <c r="A5051" s="53" t="s">
        <v>411</v>
      </c>
      <c r="B5051" s="53" t="s">
        <v>4945</v>
      </c>
      <c r="D5051" s="53" t="s">
        <v>2957</v>
      </c>
      <c r="E5051" s="53" t="s">
        <v>6384</v>
      </c>
      <c r="F5051" s="53" t="s">
        <v>478</v>
      </c>
      <c r="G5051" s="53" t="s">
        <v>2907</v>
      </c>
      <c r="H5051" s="53">
        <v>1.0</v>
      </c>
      <c r="I5051" s="53">
        <v>0.2909090909090909</v>
      </c>
      <c r="J5051" s="53">
        <v>10.0</v>
      </c>
      <c r="K5051" s="53" t="s">
        <v>53</v>
      </c>
      <c r="L5051" s="53" t="s">
        <v>53</v>
      </c>
    </row>
    <row r="5052" ht="15.75" customHeight="1">
      <c r="A5052" s="53" t="s">
        <v>411</v>
      </c>
      <c r="B5052" s="53" t="s">
        <v>4945</v>
      </c>
      <c r="D5052" s="53" t="s">
        <v>2957</v>
      </c>
      <c r="E5052" s="53" t="s">
        <v>6385</v>
      </c>
      <c r="F5052" s="53" t="s">
        <v>478</v>
      </c>
      <c r="G5052" s="53" t="s">
        <v>2937</v>
      </c>
      <c r="H5052" s="53">
        <v>1.0</v>
      </c>
      <c r="I5052" s="53">
        <v>0.30303030303030304</v>
      </c>
      <c r="J5052" s="53">
        <v>16.0</v>
      </c>
      <c r="K5052" s="53" t="s">
        <v>53</v>
      </c>
      <c r="L5052" s="53" t="s">
        <v>53</v>
      </c>
    </row>
    <row r="5053" ht="15.75" customHeight="1">
      <c r="A5053" s="53" t="s">
        <v>411</v>
      </c>
      <c r="B5053" s="53" t="s">
        <v>4945</v>
      </c>
      <c r="D5053" s="53" t="s">
        <v>2957</v>
      </c>
      <c r="E5053" s="53" t="s">
        <v>6386</v>
      </c>
      <c r="F5053" s="53" t="s">
        <v>478</v>
      </c>
      <c r="G5053" s="53" t="s">
        <v>495</v>
      </c>
      <c r="H5053" s="53">
        <v>1.0</v>
      </c>
      <c r="I5053" s="53">
        <v>0.3090909090909091</v>
      </c>
      <c r="J5053" s="53">
        <v>14.0</v>
      </c>
      <c r="K5053" s="53" t="s">
        <v>53</v>
      </c>
      <c r="L5053" s="53" t="s">
        <v>53</v>
      </c>
    </row>
    <row r="5054" ht="15.75" customHeight="1">
      <c r="A5054" s="53" t="s">
        <v>411</v>
      </c>
      <c r="B5054" s="53" t="s">
        <v>4945</v>
      </c>
      <c r="D5054" s="53" t="s">
        <v>2944</v>
      </c>
      <c r="E5054" s="53" t="s">
        <v>6387</v>
      </c>
      <c r="F5054" s="53" t="s">
        <v>478</v>
      </c>
      <c r="G5054" s="53" t="s">
        <v>2923</v>
      </c>
      <c r="H5054" s="53">
        <v>1.0</v>
      </c>
      <c r="I5054" s="53">
        <v>0.17391304347826086</v>
      </c>
      <c r="J5054" s="53">
        <v>2.0</v>
      </c>
      <c r="K5054" s="53" t="s">
        <v>53</v>
      </c>
      <c r="L5054" s="53" t="s">
        <v>53</v>
      </c>
    </row>
    <row r="5055" ht="15.75" customHeight="1">
      <c r="A5055" s="53" t="s">
        <v>411</v>
      </c>
      <c r="B5055" s="53" t="s">
        <v>4945</v>
      </c>
      <c r="D5055" s="53" t="s">
        <v>2944</v>
      </c>
      <c r="E5055" s="53" t="s">
        <v>6388</v>
      </c>
      <c r="F5055" s="53" t="s">
        <v>478</v>
      </c>
      <c r="G5055" s="53" t="s">
        <v>2925</v>
      </c>
      <c r="H5055" s="53">
        <v>1.0</v>
      </c>
      <c r="I5055" s="53">
        <v>0.19254658385093168</v>
      </c>
      <c r="J5055" s="53">
        <v>8.0</v>
      </c>
      <c r="K5055" s="53" t="s">
        <v>53</v>
      </c>
      <c r="L5055" s="53" t="s">
        <v>53</v>
      </c>
    </row>
    <row r="5056" ht="15.75" customHeight="1">
      <c r="A5056" s="53" t="s">
        <v>411</v>
      </c>
      <c r="B5056" s="53" t="s">
        <v>4945</v>
      </c>
      <c r="D5056" s="53" t="s">
        <v>2944</v>
      </c>
      <c r="E5056" s="53" t="s">
        <v>6389</v>
      </c>
      <c r="F5056" s="53" t="s">
        <v>478</v>
      </c>
      <c r="G5056" s="53" t="s">
        <v>2919</v>
      </c>
      <c r="H5056" s="53">
        <v>1.0</v>
      </c>
      <c r="I5056" s="53">
        <v>0.19875776397515527</v>
      </c>
      <c r="J5056" s="53">
        <v>3.0</v>
      </c>
      <c r="K5056" s="53" t="s">
        <v>53</v>
      </c>
      <c r="L5056" s="53" t="s">
        <v>53</v>
      </c>
    </row>
    <row r="5057" ht="15.75" customHeight="1">
      <c r="A5057" s="53" t="s">
        <v>411</v>
      </c>
      <c r="B5057" s="53" t="s">
        <v>4945</v>
      </c>
      <c r="D5057" s="53" t="s">
        <v>2944</v>
      </c>
      <c r="E5057" s="53" t="s">
        <v>6390</v>
      </c>
      <c r="F5057" s="53" t="s">
        <v>478</v>
      </c>
      <c r="G5057" s="53" t="s">
        <v>2915</v>
      </c>
      <c r="H5057" s="53">
        <v>1.0</v>
      </c>
      <c r="I5057" s="53">
        <v>0.19875776397515527</v>
      </c>
      <c r="J5057" s="53">
        <v>1.0</v>
      </c>
      <c r="K5057" s="53" t="s">
        <v>53</v>
      </c>
      <c r="L5057" s="53" t="s">
        <v>53</v>
      </c>
    </row>
    <row r="5058" ht="15.75" customHeight="1">
      <c r="A5058" s="53" t="s">
        <v>411</v>
      </c>
      <c r="B5058" s="53" t="s">
        <v>4945</v>
      </c>
      <c r="D5058" s="53" t="s">
        <v>2944</v>
      </c>
      <c r="E5058" s="53" t="s">
        <v>6391</v>
      </c>
      <c r="F5058" s="53" t="s">
        <v>478</v>
      </c>
      <c r="G5058" s="53" t="s">
        <v>2929</v>
      </c>
      <c r="H5058" s="53">
        <v>1.0</v>
      </c>
      <c r="I5058" s="53">
        <v>0.19875776397515527</v>
      </c>
      <c r="J5058" s="53">
        <v>6.0</v>
      </c>
      <c r="K5058" s="53" t="s">
        <v>53</v>
      </c>
      <c r="L5058" s="53" t="s">
        <v>53</v>
      </c>
    </row>
    <row r="5059" ht="15.75" customHeight="1">
      <c r="A5059" s="53" t="s">
        <v>411</v>
      </c>
      <c r="B5059" s="53" t="s">
        <v>4945</v>
      </c>
      <c r="D5059" s="53" t="s">
        <v>2944</v>
      </c>
      <c r="E5059" s="53" t="s">
        <v>6392</v>
      </c>
      <c r="F5059" s="53" t="s">
        <v>478</v>
      </c>
      <c r="G5059" s="53" t="s">
        <v>2921</v>
      </c>
      <c r="H5059" s="53">
        <v>1.0</v>
      </c>
      <c r="I5059" s="53">
        <v>0.19875776397515527</v>
      </c>
      <c r="J5059" s="53">
        <v>4.0</v>
      </c>
      <c r="K5059" s="53" t="s">
        <v>53</v>
      </c>
      <c r="L5059" s="53" t="s">
        <v>53</v>
      </c>
    </row>
    <row r="5060" ht="15.75" customHeight="1">
      <c r="A5060" s="53" t="s">
        <v>411</v>
      </c>
      <c r="B5060" s="53" t="s">
        <v>4945</v>
      </c>
      <c r="D5060" s="53" t="s">
        <v>2944</v>
      </c>
      <c r="E5060" s="53" t="s">
        <v>6393</v>
      </c>
      <c r="F5060" s="53" t="s">
        <v>478</v>
      </c>
      <c r="G5060" s="53" t="s">
        <v>2931</v>
      </c>
      <c r="H5060" s="53">
        <v>1.0</v>
      </c>
      <c r="I5060" s="53">
        <v>0.20496894409937888</v>
      </c>
      <c r="J5060" s="53">
        <v>0.0</v>
      </c>
      <c r="K5060" s="53" t="s">
        <v>53</v>
      </c>
      <c r="L5060" s="53" t="s">
        <v>53</v>
      </c>
    </row>
    <row r="5061" ht="15.75" customHeight="1">
      <c r="A5061" s="53" t="s">
        <v>411</v>
      </c>
      <c r="B5061" s="53" t="s">
        <v>4945</v>
      </c>
      <c r="D5061" s="53" t="s">
        <v>2944</v>
      </c>
      <c r="E5061" s="53" t="s">
        <v>6394</v>
      </c>
      <c r="F5061" s="53" t="s">
        <v>478</v>
      </c>
      <c r="G5061" s="53" t="s">
        <v>2927</v>
      </c>
      <c r="H5061" s="53">
        <v>1.0</v>
      </c>
      <c r="I5061" s="53">
        <v>0.2111801242236025</v>
      </c>
      <c r="J5061" s="53">
        <v>5.0</v>
      </c>
      <c r="K5061" s="53" t="s">
        <v>53</v>
      </c>
      <c r="L5061" s="53" t="s">
        <v>53</v>
      </c>
    </row>
    <row r="5062" ht="15.75" customHeight="1">
      <c r="A5062" s="53" t="s">
        <v>411</v>
      </c>
      <c r="B5062" s="53" t="s">
        <v>4945</v>
      </c>
      <c r="D5062" s="53" t="s">
        <v>2944</v>
      </c>
      <c r="E5062" s="53" t="s">
        <v>6395</v>
      </c>
      <c r="F5062" s="53" t="s">
        <v>478</v>
      </c>
      <c r="G5062" s="53" t="s">
        <v>2933</v>
      </c>
      <c r="H5062" s="53">
        <v>1.0</v>
      </c>
      <c r="I5062" s="53">
        <v>0.2111801242236025</v>
      </c>
      <c r="J5062" s="53">
        <v>7.0</v>
      </c>
      <c r="K5062" s="53" t="s">
        <v>53</v>
      </c>
      <c r="L5062" s="53" t="s">
        <v>53</v>
      </c>
    </row>
    <row r="5063" ht="15.75" customHeight="1">
      <c r="A5063" s="53" t="s">
        <v>411</v>
      </c>
      <c r="B5063" s="53" t="s">
        <v>4945</v>
      </c>
      <c r="D5063" s="53" t="s">
        <v>2944</v>
      </c>
      <c r="E5063" s="53" t="s">
        <v>6396</v>
      </c>
      <c r="F5063" s="53" t="s">
        <v>478</v>
      </c>
      <c r="G5063" s="53" t="s">
        <v>2917</v>
      </c>
      <c r="H5063" s="53">
        <v>1.0</v>
      </c>
      <c r="I5063" s="53">
        <v>0.22981366459627328</v>
      </c>
      <c r="J5063" s="53">
        <v>10.0</v>
      </c>
      <c r="K5063" s="53" t="s">
        <v>53</v>
      </c>
      <c r="L5063" s="53" t="s">
        <v>53</v>
      </c>
    </row>
    <row r="5064" ht="15.75" customHeight="1">
      <c r="A5064" s="53" t="s">
        <v>411</v>
      </c>
      <c r="B5064" s="53" t="s">
        <v>4945</v>
      </c>
      <c r="D5064" s="53" t="s">
        <v>2944</v>
      </c>
      <c r="E5064" s="53" t="s">
        <v>6397</v>
      </c>
      <c r="F5064" s="53" t="s">
        <v>478</v>
      </c>
      <c r="G5064" s="53" t="s">
        <v>485</v>
      </c>
      <c r="H5064" s="53">
        <v>1.0</v>
      </c>
      <c r="I5064" s="53">
        <v>0.2422360248447205</v>
      </c>
      <c r="J5064" s="53">
        <v>11.0</v>
      </c>
      <c r="K5064" s="53" t="s">
        <v>53</v>
      </c>
      <c r="L5064" s="53" t="s">
        <v>53</v>
      </c>
    </row>
    <row r="5065" ht="15.75" customHeight="1">
      <c r="A5065" s="53" t="s">
        <v>411</v>
      </c>
      <c r="B5065" s="53" t="s">
        <v>4945</v>
      </c>
      <c r="D5065" s="53" t="s">
        <v>2944</v>
      </c>
      <c r="E5065" s="53" t="s">
        <v>6398</v>
      </c>
      <c r="F5065" s="53" t="s">
        <v>478</v>
      </c>
      <c r="G5065" s="53" t="s">
        <v>474</v>
      </c>
      <c r="H5065" s="53">
        <v>1.0</v>
      </c>
      <c r="I5065" s="53">
        <v>0.2484472049689441</v>
      </c>
      <c r="J5065" s="53">
        <v>12.0</v>
      </c>
      <c r="K5065" s="53" t="s">
        <v>53</v>
      </c>
      <c r="L5065" s="53" t="s">
        <v>53</v>
      </c>
    </row>
    <row r="5066" ht="15.75" customHeight="1">
      <c r="A5066" s="53" t="s">
        <v>411</v>
      </c>
      <c r="B5066" s="53" t="s">
        <v>4945</v>
      </c>
      <c r="D5066" s="53" t="s">
        <v>2944</v>
      </c>
      <c r="E5066" s="53" t="s">
        <v>6399</v>
      </c>
      <c r="F5066" s="53" t="s">
        <v>478</v>
      </c>
      <c r="G5066" s="53" t="s">
        <v>2907</v>
      </c>
      <c r="H5066" s="53">
        <v>1.0</v>
      </c>
      <c r="I5066" s="53">
        <v>0.2546583850931677</v>
      </c>
      <c r="J5066" s="53">
        <v>9.0</v>
      </c>
      <c r="K5066" s="53" t="s">
        <v>53</v>
      </c>
      <c r="L5066" s="53" t="s">
        <v>53</v>
      </c>
    </row>
    <row r="5067" ht="15.75" customHeight="1">
      <c r="A5067" s="53" t="s">
        <v>411</v>
      </c>
      <c r="B5067" s="53" t="s">
        <v>4945</v>
      </c>
      <c r="D5067" s="53" t="s">
        <v>2944</v>
      </c>
      <c r="E5067" s="53" t="s">
        <v>6400</v>
      </c>
      <c r="F5067" s="53" t="s">
        <v>478</v>
      </c>
      <c r="G5067" s="53" t="s">
        <v>2937</v>
      </c>
      <c r="H5067" s="53">
        <v>1.0</v>
      </c>
      <c r="I5067" s="53">
        <v>0.2670807453416149</v>
      </c>
      <c r="J5067" s="53">
        <v>15.0</v>
      </c>
      <c r="K5067" s="53" t="s">
        <v>53</v>
      </c>
      <c r="L5067" s="53" t="s">
        <v>53</v>
      </c>
    </row>
    <row r="5068" ht="15.75" customHeight="1">
      <c r="A5068" s="53" t="s">
        <v>411</v>
      </c>
      <c r="B5068" s="53" t="s">
        <v>4945</v>
      </c>
      <c r="D5068" s="53" t="s">
        <v>2944</v>
      </c>
      <c r="E5068" s="53" t="s">
        <v>6401</v>
      </c>
      <c r="F5068" s="53" t="s">
        <v>478</v>
      </c>
      <c r="G5068" s="53" t="s">
        <v>2948</v>
      </c>
      <c r="H5068" s="53">
        <v>1.0</v>
      </c>
      <c r="I5068" s="53">
        <v>0.2732919254658385</v>
      </c>
      <c r="J5068" s="53">
        <v>14.0</v>
      </c>
      <c r="K5068" s="53" t="s">
        <v>53</v>
      </c>
      <c r="L5068" s="53" t="s">
        <v>53</v>
      </c>
    </row>
    <row r="5069" ht="15.75" customHeight="1">
      <c r="A5069" s="53" t="s">
        <v>411</v>
      </c>
      <c r="B5069" s="53" t="s">
        <v>4945</v>
      </c>
      <c r="D5069" s="53" t="s">
        <v>2944</v>
      </c>
      <c r="E5069" s="53" t="s">
        <v>6402</v>
      </c>
      <c r="F5069" s="53" t="s">
        <v>478</v>
      </c>
      <c r="G5069" s="53" t="s">
        <v>2942</v>
      </c>
      <c r="H5069" s="53">
        <v>1.0</v>
      </c>
      <c r="I5069" s="53">
        <v>0.2981366459627329</v>
      </c>
      <c r="J5069" s="53">
        <v>16.0</v>
      </c>
      <c r="K5069" s="53" t="s">
        <v>53</v>
      </c>
      <c r="L5069" s="53" t="s">
        <v>53</v>
      </c>
    </row>
    <row r="5070" ht="15.75" customHeight="1">
      <c r="A5070" s="53" t="s">
        <v>411</v>
      </c>
      <c r="B5070" s="53" t="s">
        <v>4945</v>
      </c>
      <c r="D5070" s="53" t="s">
        <v>2944</v>
      </c>
      <c r="E5070" s="53" t="s">
        <v>6403</v>
      </c>
      <c r="F5070" s="53" t="s">
        <v>478</v>
      </c>
      <c r="G5070" s="53" t="s">
        <v>495</v>
      </c>
      <c r="H5070" s="53">
        <v>1.0</v>
      </c>
      <c r="I5070" s="53">
        <v>0.32919254658385094</v>
      </c>
      <c r="J5070" s="53">
        <v>13.0</v>
      </c>
      <c r="K5070" s="53" t="s">
        <v>53</v>
      </c>
      <c r="L5070" s="53" t="s">
        <v>53</v>
      </c>
    </row>
    <row r="5071" ht="15.75" customHeight="1">
      <c r="A5071" s="53" t="s">
        <v>411</v>
      </c>
      <c r="B5071" s="53" t="s">
        <v>4945</v>
      </c>
      <c r="D5071" s="53" t="s">
        <v>2931</v>
      </c>
      <c r="E5071" s="53" t="s">
        <v>6404</v>
      </c>
      <c r="F5071" s="53" t="s">
        <v>478</v>
      </c>
      <c r="G5071" s="53" t="s">
        <v>2923</v>
      </c>
      <c r="H5071" s="53">
        <v>1.0</v>
      </c>
      <c r="I5071" s="53">
        <v>0.10526315789473684</v>
      </c>
      <c r="J5071" s="53">
        <v>1.0</v>
      </c>
      <c r="K5071" s="53" t="s">
        <v>53</v>
      </c>
      <c r="L5071" s="53" t="s">
        <v>53</v>
      </c>
    </row>
    <row r="5072" ht="15.75" customHeight="1">
      <c r="A5072" s="53" t="s">
        <v>411</v>
      </c>
      <c r="B5072" s="53" t="s">
        <v>4945</v>
      </c>
      <c r="D5072" s="53" t="s">
        <v>2931</v>
      </c>
      <c r="E5072" s="53" t="s">
        <v>6405</v>
      </c>
      <c r="F5072" s="53" t="s">
        <v>478</v>
      </c>
      <c r="G5072" s="53" t="s">
        <v>2915</v>
      </c>
      <c r="H5072" s="53">
        <v>1.0</v>
      </c>
      <c r="I5072" s="53">
        <v>0.10526315789473684</v>
      </c>
      <c r="J5072" s="53">
        <v>0.0</v>
      </c>
      <c r="K5072" s="53" t="s">
        <v>53</v>
      </c>
      <c r="L5072" s="53" t="s">
        <v>53</v>
      </c>
    </row>
    <row r="5073" ht="15.75" customHeight="1">
      <c r="A5073" s="53" t="s">
        <v>411</v>
      </c>
      <c r="B5073" s="53" t="s">
        <v>4945</v>
      </c>
      <c r="D5073" s="53" t="s">
        <v>2931</v>
      </c>
      <c r="E5073" s="53" t="s">
        <v>6406</v>
      </c>
      <c r="F5073" s="53" t="s">
        <v>478</v>
      </c>
      <c r="G5073" s="53" t="s">
        <v>2921</v>
      </c>
      <c r="H5073" s="53">
        <v>1.0</v>
      </c>
      <c r="I5073" s="53">
        <v>0.10526315789473684</v>
      </c>
      <c r="J5073" s="53">
        <v>3.0</v>
      </c>
      <c r="K5073" s="53" t="s">
        <v>53</v>
      </c>
      <c r="L5073" s="53" t="s">
        <v>53</v>
      </c>
    </row>
    <row r="5074" ht="15.75" customHeight="1">
      <c r="A5074" s="53" t="s">
        <v>411</v>
      </c>
      <c r="B5074" s="53" t="s">
        <v>4945</v>
      </c>
      <c r="D5074" s="53" t="s">
        <v>2931</v>
      </c>
      <c r="E5074" s="53" t="s">
        <v>6407</v>
      </c>
      <c r="F5074" s="53" t="s">
        <v>478</v>
      </c>
      <c r="G5074" s="53" t="s">
        <v>2925</v>
      </c>
      <c r="H5074" s="53">
        <v>1.0</v>
      </c>
      <c r="I5074" s="53">
        <v>0.1118421052631579</v>
      </c>
      <c r="J5074" s="53">
        <v>7.0</v>
      </c>
      <c r="K5074" s="53" t="s">
        <v>53</v>
      </c>
      <c r="L5074" s="53" t="s">
        <v>53</v>
      </c>
    </row>
    <row r="5075" ht="15.75" customHeight="1">
      <c r="A5075" s="53" t="s">
        <v>411</v>
      </c>
      <c r="B5075" s="53" t="s">
        <v>4945</v>
      </c>
      <c r="D5075" s="53" t="s">
        <v>2931</v>
      </c>
      <c r="E5075" s="53" t="s">
        <v>6408</v>
      </c>
      <c r="F5075" s="53" t="s">
        <v>478</v>
      </c>
      <c r="G5075" s="53" t="s">
        <v>2919</v>
      </c>
      <c r="H5075" s="53">
        <v>1.0</v>
      </c>
      <c r="I5075" s="53">
        <v>0.11842105263157894</v>
      </c>
      <c r="J5075" s="53">
        <v>2.0</v>
      </c>
      <c r="K5075" s="53" t="s">
        <v>53</v>
      </c>
      <c r="L5075" s="53" t="s">
        <v>53</v>
      </c>
    </row>
    <row r="5076" ht="15.75" customHeight="1">
      <c r="A5076" s="53" t="s">
        <v>411</v>
      </c>
      <c r="B5076" s="53" t="s">
        <v>4945</v>
      </c>
      <c r="D5076" s="53" t="s">
        <v>2931</v>
      </c>
      <c r="E5076" s="53" t="s">
        <v>6409</v>
      </c>
      <c r="F5076" s="53" t="s">
        <v>478</v>
      </c>
      <c r="G5076" s="53" t="s">
        <v>2927</v>
      </c>
      <c r="H5076" s="53">
        <v>1.0</v>
      </c>
      <c r="I5076" s="53">
        <v>0.11842105263157894</v>
      </c>
      <c r="J5076" s="53">
        <v>4.0</v>
      </c>
      <c r="K5076" s="53" t="s">
        <v>53</v>
      </c>
      <c r="L5076" s="53" t="s">
        <v>53</v>
      </c>
    </row>
    <row r="5077" ht="15.75" customHeight="1">
      <c r="A5077" s="53" t="s">
        <v>411</v>
      </c>
      <c r="B5077" s="53" t="s">
        <v>4945</v>
      </c>
      <c r="D5077" s="53" t="s">
        <v>2931</v>
      </c>
      <c r="E5077" s="53" t="s">
        <v>6410</v>
      </c>
      <c r="F5077" s="53" t="s">
        <v>478</v>
      </c>
      <c r="G5077" s="53" t="s">
        <v>2929</v>
      </c>
      <c r="H5077" s="53">
        <v>1.0</v>
      </c>
      <c r="I5077" s="53">
        <v>0.13071895424836602</v>
      </c>
      <c r="J5077" s="53">
        <v>5.0</v>
      </c>
      <c r="K5077" s="53" t="s">
        <v>53</v>
      </c>
      <c r="L5077" s="53" t="s">
        <v>53</v>
      </c>
    </row>
    <row r="5078" ht="15.75" customHeight="1">
      <c r="A5078" s="53" t="s">
        <v>411</v>
      </c>
      <c r="B5078" s="53" t="s">
        <v>4945</v>
      </c>
      <c r="D5078" s="53" t="s">
        <v>2931</v>
      </c>
      <c r="E5078" s="53" t="s">
        <v>6411</v>
      </c>
      <c r="F5078" s="53" t="s">
        <v>478</v>
      </c>
      <c r="G5078" s="53" t="s">
        <v>2907</v>
      </c>
      <c r="H5078" s="53">
        <v>1.0</v>
      </c>
      <c r="I5078" s="53">
        <v>0.14473684210526316</v>
      </c>
      <c r="J5078" s="53">
        <v>8.0</v>
      </c>
      <c r="K5078" s="53" t="s">
        <v>53</v>
      </c>
      <c r="L5078" s="53" t="s">
        <v>53</v>
      </c>
    </row>
    <row r="5079" ht="15.75" customHeight="1">
      <c r="A5079" s="53" t="s">
        <v>411</v>
      </c>
      <c r="B5079" s="53" t="s">
        <v>4945</v>
      </c>
      <c r="D5079" s="53" t="s">
        <v>2931</v>
      </c>
      <c r="E5079" s="53" t="s">
        <v>6412</v>
      </c>
      <c r="F5079" s="53" t="s">
        <v>478</v>
      </c>
      <c r="G5079" s="53" t="s">
        <v>2933</v>
      </c>
      <c r="H5079" s="53">
        <v>1.0</v>
      </c>
      <c r="I5079" s="53">
        <v>0.15</v>
      </c>
      <c r="J5079" s="53">
        <v>6.0</v>
      </c>
      <c r="K5079" s="53" t="s">
        <v>53</v>
      </c>
      <c r="L5079" s="53" t="s">
        <v>53</v>
      </c>
    </row>
    <row r="5080" ht="15.75" customHeight="1">
      <c r="A5080" s="53" t="s">
        <v>411</v>
      </c>
      <c r="B5080" s="53" t="s">
        <v>4945</v>
      </c>
      <c r="D5080" s="53" t="s">
        <v>2931</v>
      </c>
      <c r="E5080" s="53" t="s">
        <v>6413</v>
      </c>
      <c r="F5080" s="53" t="s">
        <v>478</v>
      </c>
      <c r="G5080" s="53" t="s">
        <v>2917</v>
      </c>
      <c r="H5080" s="53">
        <v>1.0</v>
      </c>
      <c r="I5080" s="53">
        <v>0.15789473684210525</v>
      </c>
      <c r="J5080" s="53">
        <v>9.0</v>
      </c>
      <c r="K5080" s="53" t="s">
        <v>53</v>
      </c>
      <c r="L5080" s="53" t="s">
        <v>53</v>
      </c>
    </row>
    <row r="5081" ht="15.75" customHeight="1">
      <c r="A5081" s="53" t="s">
        <v>411</v>
      </c>
      <c r="B5081" s="53" t="s">
        <v>4945</v>
      </c>
      <c r="D5081" s="53" t="s">
        <v>2931</v>
      </c>
      <c r="E5081" s="53" t="s">
        <v>6414</v>
      </c>
      <c r="F5081" s="53" t="s">
        <v>478</v>
      </c>
      <c r="G5081" s="53" t="s">
        <v>485</v>
      </c>
      <c r="H5081" s="53">
        <v>1.0</v>
      </c>
      <c r="I5081" s="53">
        <v>0.21052631578947367</v>
      </c>
      <c r="J5081" s="53">
        <v>10.0</v>
      </c>
      <c r="K5081" s="53" t="s">
        <v>53</v>
      </c>
      <c r="L5081" s="53" t="s">
        <v>53</v>
      </c>
    </row>
    <row r="5082" ht="15.75" customHeight="1">
      <c r="A5082" s="53" t="s">
        <v>411</v>
      </c>
      <c r="B5082" s="53" t="s">
        <v>4945</v>
      </c>
      <c r="D5082" s="53" t="s">
        <v>2931</v>
      </c>
      <c r="E5082" s="53" t="s">
        <v>6415</v>
      </c>
      <c r="F5082" s="53" t="s">
        <v>478</v>
      </c>
      <c r="G5082" s="53" t="s">
        <v>474</v>
      </c>
      <c r="H5082" s="53">
        <v>1.0</v>
      </c>
      <c r="I5082" s="53">
        <v>0.21710526315789475</v>
      </c>
      <c r="J5082" s="53">
        <v>11.0</v>
      </c>
      <c r="K5082" s="53" t="s">
        <v>53</v>
      </c>
      <c r="L5082" s="53" t="s">
        <v>53</v>
      </c>
    </row>
    <row r="5083" ht="15.75" customHeight="1">
      <c r="A5083" s="53" t="s">
        <v>411</v>
      </c>
      <c r="B5083" s="53" t="s">
        <v>4945</v>
      </c>
      <c r="D5083" s="53" t="s">
        <v>2931</v>
      </c>
      <c r="E5083" s="53" t="s">
        <v>6416</v>
      </c>
      <c r="F5083" s="53" t="s">
        <v>478</v>
      </c>
      <c r="G5083" s="53" t="s">
        <v>2937</v>
      </c>
      <c r="H5083" s="53">
        <v>1.0</v>
      </c>
      <c r="I5083" s="53">
        <v>0.23026315789473684</v>
      </c>
      <c r="J5083" s="53">
        <v>14.0</v>
      </c>
      <c r="K5083" s="53" t="s">
        <v>53</v>
      </c>
      <c r="L5083" s="53" t="s">
        <v>53</v>
      </c>
    </row>
    <row r="5084" ht="15.75" customHeight="1">
      <c r="A5084" s="53" t="s">
        <v>411</v>
      </c>
      <c r="B5084" s="53" t="s">
        <v>4945</v>
      </c>
      <c r="D5084" s="53" t="s">
        <v>2931</v>
      </c>
      <c r="E5084" s="53" t="s">
        <v>6417</v>
      </c>
      <c r="F5084" s="53" t="s">
        <v>478</v>
      </c>
      <c r="G5084" s="53" t="s">
        <v>2948</v>
      </c>
      <c r="H5084" s="53">
        <v>1.0</v>
      </c>
      <c r="I5084" s="53">
        <v>0.23684210526315788</v>
      </c>
      <c r="J5084" s="53">
        <v>13.0</v>
      </c>
      <c r="K5084" s="53" t="s">
        <v>53</v>
      </c>
      <c r="L5084" s="53" t="s">
        <v>53</v>
      </c>
    </row>
    <row r="5085" ht="15.75" customHeight="1">
      <c r="A5085" s="53" t="s">
        <v>411</v>
      </c>
      <c r="B5085" s="53" t="s">
        <v>4945</v>
      </c>
      <c r="D5085" s="53" t="s">
        <v>2931</v>
      </c>
      <c r="E5085" s="53" t="s">
        <v>6418</v>
      </c>
      <c r="F5085" s="53" t="s">
        <v>478</v>
      </c>
      <c r="G5085" s="53" t="s">
        <v>2942</v>
      </c>
      <c r="H5085" s="53">
        <v>1.0</v>
      </c>
      <c r="I5085" s="53">
        <v>0.25</v>
      </c>
      <c r="J5085" s="53">
        <v>15.0</v>
      </c>
      <c r="K5085" s="53" t="s">
        <v>53</v>
      </c>
      <c r="L5085" s="53" t="s">
        <v>53</v>
      </c>
    </row>
    <row r="5086" ht="15.75" customHeight="1">
      <c r="A5086" s="53" t="s">
        <v>411</v>
      </c>
      <c r="B5086" s="53" t="s">
        <v>4945</v>
      </c>
      <c r="D5086" s="53" t="s">
        <v>2931</v>
      </c>
      <c r="E5086" s="53" t="s">
        <v>6419</v>
      </c>
      <c r="F5086" s="53" t="s">
        <v>478</v>
      </c>
      <c r="G5086" s="53" t="s">
        <v>495</v>
      </c>
      <c r="H5086" s="53">
        <v>1.0</v>
      </c>
      <c r="I5086" s="53">
        <v>0.28289473684210525</v>
      </c>
      <c r="J5086" s="53">
        <v>12.0</v>
      </c>
      <c r="K5086" s="53" t="s">
        <v>53</v>
      </c>
      <c r="L5086" s="53" t="s">
        <v>53</v>
      </c>
    </row>
    <row r="5087" ht="15.75" customHeight="1">
      <c r="A5087" s="53" t="s">
        <v>411</v>
      </c>
      <c r="B5087" s="53" t="s">
        <v>4945</v>
      </c>
      <c r="D5087" s="53" t="s">
        <v>2915</v>
      </c>
      <c r="E5087" s="53" t="s">
        <v>6420</v>
      </c>
      <c r="F5087" s="53" t="s">
        <v>478</v>
      </c>
      <c r="G5087" s="53" t="s">
        <v>2927</v>
      </c>
      <c r="H5087" s="53">
        <v>1.0</v>
      </c>
      <c r="I5087" s="53">
        <v>0.09395973154362416</v>
      </c>
      <c r="J5087" s="53">
        <v>3.0</v>
      </c>
      <c r="K5087" s="53" t="s">
        <v>53</v>
      </c>
      <c r="L5087" s="53" t="s">
        <v>53</v>
      </c>
    </row>
    <row r="5088" ht="15.75" customHeight="1">
      <c r="A5088" s="53" t="s">
        <v>411</v>
      </c>
      <c r="B5088" s="53" t="s">
        <v>4945</v>
      </c>
      <c r="D5088" s="53" t="s">
        <v>2915</v>
      </c>
      <c r="E5088" s="53" t="s">
        <v>6421</v>
      </c>
      <c r="F5088" s="53" t="s">
        <v>478</v>
      </c>
      <c r="G5088" s="53" t="s">
        <v>2923</v>
      </c>
      <c r="H5088" s="53">
        <v>1.0</v>
      </c>
      <c r="I5088" s="53">
        <v>0.0945945945945946</v>
      </c>
      <c r="J5088" s="53">
        <v>0.0</v>
      </c>
      <c r="K5088" s="53" t="s">
        <v>53</v>
      </c>
      <c r="L5088" s="53" t="s">
        <v>53</v>
      </c>
    </row>
    <row r="5089" ht="15.75" customHeight="1">
      <c r="A5089" s="53" t="s">
        <v>411</v>
      </c>
      <c r="B5089" s="53" t="s">
        <v>4945</v>
      </c>
      <c r="D5089" s="53" t="s">
        <v>2915</v>
      </c>
      <c r="E5089" s="53" t="s">
        <v>6422</v>
      </c>
      <c r="F5089" s="53" t="s">
        <v>478</v>
      </c>
      <c r="G5089" s="53" t="s">
        <v>2921</v>
      </c>
      <c r="H5089" s="53">
        <v>1.0</v>
      </c>
      <c r="I5089" s="53">
        <v>0.10067114093959731</v>
      </c>
      <c r="J5089" s="53">
        <v>2.0</v>
      </c>
      <c r="K5089" s="53" t="s">
        <v>53</v>
      </c>
      <c r="L5089" s="53" t="s">
        <v>53</v>
      </c>
    </row>
    <row r="5090" ht="15.75" customHeight="1">
      <c r="A5090" s="53" t="s">
        <v>411</v>
      </c>
      <c r="B5090" s="53" t="s">
        <v>4945</v>
      </c>
      <c r="D5090" s="53" t="s">
        <v>2915</v>
      </c>
      <c r="E5090" s="53" t="s">
        <v>6423</v>
      </c>
      <c r="F5090" s="53" t="s">
        <v>478</v>
      </c>
      <c r="G5090" s="53" t="s">
        <v>2925</v>
      </c>
      <c r="H5090" s="53">
        <v>1.0</v>
      </c>
      <c r="I5090" s="53">
        <v>0.10596026490066225</v>
      </c>
      <c r="J5090" s="53">
        <v>6.0</v>
      </c>
      <c r="K5090" s="53" t="s">
        <v>53</v>
      </c>
      <c r="L5090" s="53" t="s">
        <v>53</v>
      </c>
    </row>
    <row r="5091" ht="15.75" customHeight="1">
      <c r="A5091" s="53" t="s">
        <v>411</v>
      </c>
      <c r="B5091" s="53" t="s">
        <v>4945</v>
      </c>
      <c r="D5091" s="53" t="s">
        <v>2915</v>
      </c>
      <c r="E5091" s="53" t="s">
        <v>6424</v>
      </c>
      <c r="F5091" s="53" t="s">
        <v>478</v>
      </c>
      <c r="G5091" s="53" t="s">
        <v>2929</v>
      </c>
      <c r="H5091" s="53">
        <v>1.0</v>
      </c>
      <c r="I5091" s="53">
        <v>0.1111111111111111</v>
      </c>
      <c r="J5091" s="53">
        <v>4.0</v>
      </c>
      <c r="K5091" s="53" t="s">
        <v>53</v>
      </c>
      <c r="L5091" s="53" t="s">
        <v>53</v>
      </c>
    </row>
    <row r="5092" ht="15.75" customHeight="1">
      <c r="A5092" s="53" t="s">
        <v>411</v>
      </c>
      <c r="B5092" s="53" t="s">
        <v>4945</v>
      </c>
      <c r="D5092" s="53" t="s">
        <v>2915</v>
      </c>
      <c r="E5092" s="53" t="s">
        <v>6425</v>
      </c>
      <c r="F5092" s="53" t="s">
        <v>478</v>
      </c>
      <c r="G5092" s="53" t="s">
        <v>2919</v>
      </c>
      <c r="H5092" s="53">
        <v>1.0</v>
      </c>
      <c r="I5092" s="53">
        <v>0.11920529801324503</v>
      </c>
      <c r="J5092" s="53">
        <v>1.0</v>
      </c>
      <c r="K5092" s="53" t="s">
        <v>53</v>
      </c>
      <c r="L5092" s="53" t="s">
        <v>53</v>
      </c>
    </row>
    <row r="5093" ht="15.75" customHeight="1">
      <c r="A5093" s="53" t="s">
        <v>411</v>
      </c>
      <c r="B5093" s="53" t="s">
        <v>4945</v>
      </c>
      <c r="D5093" s="53" t="s">
        <v>2915</v>
      </c>
      <c r="E5093" s="53" t="s">
        <v>6426</v>
      </c>
      <c r="F5093" s="53" t="s">
        <v>478</v>
      </c>
      <c r="G5093" s="53" t="s">
        <v>2917</v>
      </c>
      <c r="H5093" s="53">
        <v>1.0</v>
      </c>
      <c r="I5093" s="53">
        <v>0.12413793103448276</v>
      </c>
      <c r="J5093" s="53">
        <v>8.0</v>
      </c>
      <c r="K5093" s="53" t="s">
        <v>53</v>
      </c>
      <c r="L5093" s="53" t="s">
        <v>53</v>
      </c>
    </row>
    <row r="5094" ht="15.75" customHeight="1">
      <c r="A5094" s="53" t="s">
        <v>411</v>
      </c>
      <c r="B5094" s="53" t="s">
        <v>4945</v>
      </c>
      <c r="D5094" s="53" t="s">
        <v>2915</v>
      </c>
      <c r="E5094" s="53" t="s">
        <v>6427</v>
      </c>
      <c r="F5094" s="53" t="s">
        <v>478</v>
      </c>
      <c r="G5094" s="53" t="s">
        <v>2933</v>
      </c>
      <c r="H5094" s="53">
        <v>1.0</v>
      </c>
      <c r="I5094" s="53">
        <v>0.13125</v>
      </c>
      <c r="J5094" s="53">
        <v>5.0</v>
      </c>
      <c r="K5094" s="53" t="s">
        <v>53</v>
      </c>
      <c r="L5094" s="53" t="s">
        <v>53</v>
      </c>
    </row>
    <row r="5095" ht="15.75" customHeight="1">
      <c r="A5095" s="53" t="s">
        <v>411</v>
      </c>
      <c r="B5095" s="53" t="s">
        <v>4945</v>
      </c>
      <c r="D5095" s="53" t="s">
        <v>2915</v>
      </c>
      <c r="E5095" s="53" t="s">
        <v>6428</v>
      </c>
      <c r="F5095" s="53" t="s">
        <v>478</v>
      </c>
      <c r="G5095" s="53" t="s">
        <v>2907</v>
      </c>
      <c r="H5095" s="53">
        <v>1.0</v>
      </c>
      <c r="I5095" s="53">
        <v>0.13793103448275862</v>
      </c>
      <c r="J5095" s="53">
        <v>7.0</v>
      </c>
      <c r="K5095" s="53" t="s">
        <v>53</v>
      </c>
      <c r="L5095" s="53" t="s">
        <v>53</v>
      </c>
    </row>
    <row r="5096" ht="15.75" customHeight="1">
      <c r="A5096" s="53" t="s">
        <v>411</v>
      </c>
      <c r="B5096" s="53" t="s">
        <v>4945</v>
      </c>
      <c r="D5096" s="53" t="s">
        <v>2915</v>
      </c>
      <c r="E5096" s="53" t="s">
        <v>6429</v>
      </c>
      <c r="F5096" s="53" t="s">
        <v>478</v>
      </c>
      <c r="G5096" s="53" t="s">
        <v>2937</v>
      </c>
      <c r="H5096" s="53">
        <v>1.0</v>
      </c>
      <c r="I5096" s="53">
        <v>0.21379310344827587</v>
      </c>
      <c r="J5096" s="53">
        <v>13.0</v>
      </c>
      <c r="K5096" s="53" t="s">
        <v>53</v>
      </c>
      <c r="L5096" s="53" t="s">
        <v>53</v>
      </c>
    </row>
    <row r="5097" ht="15.75" customHeight="1">
      <c r="A5097" s="53" t="s">
        <v>411</v>
      </c>
      <c r="B5097" s="53" t="s">
        <v>4945</v>
      </c>
      <c r="D5097" s="53" t="s">
        <v>2915</v>
      </c>
      <c r="E5097" s="53" t="s">
        <v>6430</v>
      </c>
      <c r="F5097" s="53" t="s">
        <v>478</v>
      </c>
      <c r="G5097" s="53" t="s">
        <v>2948</v>
      </c>
      <c r="H5097" s="53">
        <v>1.0</v>
      </c>
      <c r="I5097" s="53">
        <v>0.21379310344827587</v>
      </c>
      <c r="J5097" s="53">
        <v>12.0</v>
      </c>
      <c r="K5097" s="53" t="s">
        <v>53</v>
      </c>
      <c r="L5097" s="53" t="s">
        <v>53</v>
      </c>
    </row>
    <row r="5098" ht="15.75" customHeight="1">
      <c r="A5098" s="53" t="s">
        <v>411</v>
      </c>
      <c r="B5098" s="53" t="s">
        <v>4945</v>
      </c>
      <c r="D5098" s="53" t="s">
        <v>2915</v>
      </c>
      <c r="E5098" s="53" t="s">
        <v>6431</v>
      </c>
      <c r="F5098" s="53" t="s">
        <v>478</v>
      </c>
      <c r="G5098" s="53" t="s">
        <v>485</v>
      </c>
      <c r="H5098" s="53">
        <v>1.0</v>
      </c>
      <c r="I5098" s="53">
        <v>0.21379310344827587</v>
      </c>
      <c r="J5098" s="53">
        <v>9.0</v>
      </c>
      <c r="K5098" s="53" t="s">
        <v>53</v>
      </c>
      <c r="L5098" s="53" t="s">
        <v>53</v>
      </c>
    </row>
    <row r="5099" ht="15.75" customHeight="1">
      <c r="A5099" s="53" t="s">
        <v>411</v>
      </c>
      <c r="B5099" s="53" t="s">
        <v>4945</v>
      </c>
      <c r="D5099" s="53" t="s">
        <v>2915</v>
      </c>
      <c r="E5099" s="53" t="s">
        <v>6432</v>
      </c>
      <c r="F5099" s="53" t="s">
        <v>478</v>
      </c>
      <c r="G5099" s="53" t="s">
        <v>474</v>
      </c>
      <c r="H5099" s="53">
        <v>1.0</v>
      </c>
      <c r="I5099" s="53">
        <v>0.22602739726027396</v>
      </c>
      <c r="J5099" s="53">
        <v>10.0</v>
      </c>
      <c r="K5099" s="53" t="s">
        <v>53</v>
      </c>
      <c r="L5099" s="53" t="s">
        <v>53</v>
      </c>
    </row>
    <row r="5100" ht="15.75" customHeight="1">
      <c r="A5100" s="53" t="s">
        <v>411</v>
      </c>
      <c r="B5100" s="53" t="s">
        <v>4945</v>
      </c>
      <c r="D5100" s="53" t="s">
        <v>2915</v>
      </c>
      <c r="E5100" s="53" t="s">
        <v>6433</v>
      </c>
      <c r="F5100" s="53" t="s">
        <v>478</v>
      </c>
      <c r="G5100" s="53" t="s">
        <v>2942</v>
      </c>
      <c r="H5100" s="53">
        <v>1.0</v>
      </c>
      <c r="I5100" s="53">
        <v>0.2413793103448276</v>
      </c>
      <c r="J5100" s="53">
        <v>14.0</v>
      </c>
      <c r="K5100" s="53" t="s">
        <v>53</v>
      </c>
      <c r="L5100" s="53" t="s">
        <v>53</v>
      </c>
    </row>
    <row r="5101" ht="15.75" customHeight="1">
      <c r="A5101" s="53" t="s">
        <v>411</v>
      </c>
      <c r="B5101" s="53" t="s">
        <v>4945</v>
      </c>
      <c r="D5101" s="53" t="s">
        <v>2915</v>
      </c>
      <c r="E5101" s="53" t="s">
        <v>6434</v>
      </c>
      <c r="F5101" s="53" t="s">
        <v>478</v>
      </c>
      <c r="G5101" s="53" t="s">
        <v>495</v>
      </c>
      <c r="H5101" s="53">
        <v>1.0</v>
      </c>
      <c r="I5101" s="53">
        <v>0.2620689655172414</v>
      </c>
      <c r="J5101" s="53">
        <v>11.0</v>
      </c>
      <c r="K5101" s="53" t="s">
        <v>53</v>
      </c>
      <c r="L5101" s="53" t="s">
        <v>53</v>
      </c>
    </row>
    <row r="5102" ht="15.75" customHeight="1">
      <c r="A5102" s="53" t="s">
        <v>411</v>
      </c>
      <c r="B5102" s="53" t="s">
        <v>4945</v>
      </c>
      <c r="D5102" s="53" t="s">
        <v>2923</v>
      </c>
      <c r="E5102" s="53" t="s">
        <v>6435</v>
      </c>
      <c r="F5102" s="53" t="s">
        <v>478</v>
      </c>
      <c r="G5102" s="53" t="s">
        <v>2925</v>
      </c>
      <c r="H5102" s="53">
        <v>1.0</v>
      </c>
      <c r="I5102" s="53">
        <v>0.10596026490066225</v>
      </c>
      <c r="J5102" s="53">
        <v>5.0</v>
      </c>
      <c r="K5102" s="53" t="s">
        <v>53</v>
      </c>
      <c r="L5102" s="53" t="s">
        <v>53</v>
      </c>
    </row>
    <row r="5103" ht="15.75" customHeight="1">
      <c r="A5103" s="53" t="s">
        <v>411</v>
      </c>
      <c r="B5103" s="53" t="s">
        <v>4945</v>
      </c>
      <c r="D5103" s="53" t="s">
        <v>2923</v>
      </c>
      <c r="E5103" s="53" t="s">
        <v>6436</v>
      </c>
      <c r="F5103" s="53" t="s">
        <v>478</v>
      </c>
      <c r="G5103" s="53" t="s">
        <v>2927</v>
      </c>
      <c r="H5103" s="53">
        <v>1.0</v>
      </c>
      <c r="I5103" s="53">
        <v>0.10738255033557047</v>
      </c>
      <c r="J5103" s="53">
        <v>2.0</v>
      </c>
      <c r="K5103" s="53" t="s">
        <v>53</v>
      </c>
      <c r="L5103" s="53" t="s">
        <v>53</v>
      </c>
    </row>
    <row r="5104" ht="15.75" customHeight="1">
      <c r="A5104" s="53" t="s">
        <v>411</v>
      </c>
      <c r="B5104" s="53" t="s">
        <v>4945</v>
      </c>
      <c r="D5104" s="53" t="s">
        <v>2923</v>
      </c>
      <c r="E5104" s="53" t="s">
        <v>6437</v>
      </c>
      <c r="F5104" s="53" t="s">
        <v>478</v>
      </c>
      <c r="G5104" s="53" t="s">
        <v>2921</v>
      </c>
      <c r="H5104" s="53">
        <v>1.0</v>
      </c>
      <c r="I5104" s="53">
        <v>0.10738255033557047</v>
      </c>
      <c r="J5104" s="53">
        <v>1.0</v>
      </c>
      <c r="K5104" s="53" t="s">
        <v>53</v>
      </c>
      <c r="L5104" s="53" t="s">
        <v>53</v>
      </c>
    </row>
    <row r="5105" ht="15.75" customHeight="1">
      <c r="A5105" s="53" t="s">
        <v>411</v>
      </c>
      <c r="B5105" s="53" t="s">
        <v>4945</v>
      </c>
      <c r="D5105" s="53" t="s">
        <v>2923</v>
      </c>
      <c r="E5105" s="53" t="s">
        <v>6438</v>
      </c>
      <c r="F5105" s="53" t="s">
        <v>478</v>
      </c>
      <c r="G5105" s="53" t="s">
        <v>2929</v>
      </c>
      <c r="H5105" s="53">
        <v>1.0</v>
      </c>
      <c r="I5105" s="53">
        <v>0.1111111111111111</v>
      </c>
      <c r="J5105" s="53">
        <v>3.0</v>
      </c>
      <c r="K5105" s="53" t="s">
        <v>53</v>
      </c>
      <c r="L5105" s="53" t="s">
        <v>53</v>
      </c>
    </row>
    <row r="5106" ht="15.75" customHeight="1">
      <c r="A5106" s="53" t="s">
        <v>411</v>
      </c>
      <c r="B5106" s="53" t="s">
        <v>4945</v>
      </c>
      <c r="D5106" s="53" t="s">
        <v>2923</v>
      </c>
      <c r="E5106" s="53" t="s">
        <v>6439</v>
      </c>
      <c r="F5106" s="53" t="s">
        <v>478</v>
      </c>
      <c r="G5106" s="53" t="s">
        <v>2919</v>
      </c>
      <c r="H5106" s="53">
        <v>1.0</v>
      </c>
      <c r="I5106" s="53">
        <v>0.11920529801324503</v>
      </c>
      <c r="J5106" s="53">
        <v>0.0</v>
      </c>
      <c r="K5106" s="53" t="s">
        <v>53</v>
      </c>
      <c r="L5106" s="53" t="s">
        <v>53</v>
      </c>
    </row>
    <row r="5107" ht="15.75" customHeight="1">
      <c r="A5107" s="53" t="s">
        <v>411</v>
      </c>
      <c r="B5107" s="53" t="s">
        <v>4945</v>
      </c>
      <c r="D5107" s="53" t="s">
        <v>2923</v>
      </c>
      <c r="E5107" s="53" t="s">
        <v>6440</v>
      </c>
      <c r="F5107" s="53" t="s">
        <v>478</v>
      </c>
      <c r="G5107" s="53" t="s">
        <v>2917</v>
      </c>
      <c r="H5107" s="53">
        <v>1.0</v>
      </c>
      <c r="I5107" s="53">
        <v>0.14189189189189189</v>
      </c>
      <c r="J5107" s="53">
        <v>7.0</v>
      </c>
      <c r="K5107" s="53" t="s">
        <v>53</v>
      </c>
      <c r="L5107" s="53" t="s">
        <v>53</v>
      </c>
    </row>
    <row r="5108" ht="15.75" customHeight="1">
      <c r="A5108" s="53" t="s">
        <v>411</v>
      </c>
      <c r="B5108" s="53" t="s">
        <v>4945</v>
      </c>
      <c r="D5108" s="53" t="s">
        <v>2923</v>
      </c>
      <c r="E5108" s="53" t="s">
        <v>6441</v>
      </c>
      <c r="F5108" s="53" t="s">
        <v>478</v>
      </c>
      <c r="G5108" s="53" t="s">
        <v>2907</v>
      </c>
      <c r="H5108" s="53">
        <v>1.0</v>
      </c>
      <c r="I5108" s="53">
        <v>0.14189189189189189</v>
      </c>
      <c r="J5108" s="53">
        <v>6.0</v>
      </c>
      <c r="K5108" s="53" t="s">
        <v>53</v>
      </c>
      <c r="L5108" s="53" t="s">
        <v>53</v>
      </c>
    </row>
    <row r="5109" ht="15.75" customHeight="1">
      <c r="A5109" s="53" t="s">
        <v>411</v>
      </c>
      <c r="B5109" s="53" t="s">
        <v>4945</v>
      </c>
      <c r="D5109" s="53" t="s">
        <v>2923</v>
      </c>
      <c r="E5109" s="53" t="s">
        <v>6442</v>
      </c>
      <c r="F5109" s="53" t="s">
        <v>478</v>
      </c>
      <c r="G5109" s="53" t="s">
        <v>2933</v>
      </c>
      <c r="H5109" s="53">
        <v>1.0</v>
      </c>
      <c r="I5109" s="53">
        <v>0.14375</v>
      </c>
      <c r="J5109" s="53">
        <v>4.0</v>
      </c>
      <c r="K5109" s="53" t="s">
        <v>53</v>
      </c>
      <c r="L5109" s="53" t="s">
        <v>53</v>
      </c>
    </row>
    <row r="5110" ht="15.75" customHeight="1">
      <c r="A5110" s="53" t="s">
        <v>411</v>
      </c>
      <c r="B5110" s="53" t="s">
        <v>4945</v>
      </c>
      <c r="D5110" s="53" t="s">
        <v>2923</v>
      </c>
      <c r="E5110" s="53" t="s">
        <v>6443</v>
      </c>
      <c r="F5110" s="53" t="s">
        <v>478</v>
      </c>
      <c r="G5110" s="53" t="s">
        <v>485</v>
      </c>
      <c r="H5110" s="53">
        <v>1.0</v>
      </c>
      <c r="I5110" s="53">
        <v>0.20945945945945946</v>
      </c>
      <c r="J5110" s="53">
        <v>8.0</v>
      </c>
      <c r="K5110" s="53" t="s">
        <v>53</v>
      </c>
      <c r="L5110" s="53" t="s">
        <v>53</v>
      </c>
    </row>
    <row r="5111" ht="15.75" customHeight="1">
      <c r="A5111" s="53" t="s">
        <v>411</v>
      </c>
      <c r="B5111" s="53" t="s">
        <v>4945</v>
      </c>
      <c r="D5111" s="53" t="s">
        <v>2923</v>
      </c>
      <c r="E5111" s="53" t="s">
        <v>6444</v>
      </c>
      <c r="F5111" s="53" t="s">
        <v>478</v>
      </c>
      <c r="G5111" s="53" t="s">
        <v>2937</v>
      </c>
      <c r="H5111" s="53">
        <v>1.0</v>
      </c>
      <c r="I5111" s="53">
        <v>0.21621621621621623</v>
      </c>
      <c r="J5111" s="53">
        <v>12.0</v>
      </c>
      <c r="K5111" s="53" t="s">
        <v>53</v>
      </c>
      <c r="L5111" s="53" t="s">
        <v>53</v>
      </c>
    </row>
    <row r="5112" ht="15.75" customHeight="1">
      <c r="A5112" s="53" t="s">
        <v>411</v>
      </c>
      <c r="B5112" s="53" t="s">
        <v>4945</v>
      </c>
      <c r="D5112" s="53" t="s">
        <v>2923</v>
      </c>
      <c r="E5112" s="53" t="s">
        <v>6445</v>
      </c>
      <c r="F5112" s="53" t="s">
        <v>478</v>
      </c>
      <c r="G5112" s="53" t="s">
        <v>2948</v>
      </c>
      <c r="H5112" s="53">
        <v>1.0</v>
      </c>
      <c r="I5112" s="53">
        <v>0.21621621621621623</v>
      </c>
      <c r="J5112" s="53">
        <v>11.0</v>
      </c>
      <c r="K5112" s="53" t="s">
        <v>53</v>
      </c>
      <c r="L5112" s="53" t="s">
        <v>53</v>
      </c>
    </row>
    <row r="5113" ht="15.75" customHeight="1">
      <c r="A5113" s="53" t="s">
        <v>411</v>
      </c>
      <c r="B5113" s="53" t="s">
        <v>4945</v>
      </c>
      <c r="D5113" s="53" t="s">
        <v>2923</v>
      </c>
      <c r="E5113" s="53" t="s">
        <v>6446</v>
      </c>
      <c r="F5113" s="53" t="s">
        <v>478</v>
      </c>
      <c r="G5113" s="53" t="s">
        <v>474</v>
      </c>
      <c r="H5113" s="53">
        <v>1.0</v>
      </c>
      <c r="I5113" s="53">
        <v>0.22297297297297297</v>
      </c>
      <c r="J5113" s="53">
        <v>9.0</v>
      </c>
      <c r="K5113" s="53" t="s">
        <v>53</v>
      </c>
      <c r="L5113" s="53" t="s">
        <v>53</v>
      </c>
    </row>
    <row r="5114" ht="15.75" customHeight="1">
      <c r="A5114" s="53" t="s">
        <v>411</v>
      </c>
      <c r="B5114" s="53" t="s">
        <v>4945</v>
      </c>
      <c r="D5114" s="53" t="s">
        <v>2923</v>
      </c>
      <c r="E5114" s="53" t="s">
        <v>6447</v>
      </c>
      <c r="F5114" s="53" t="s">
        <v>478</v>
      </c>
      <c r="G5114" s="53" t="s">
        <v>2942</v>
      </c>
      <c r="H5114" s="53">
        <v>1.0</v>
      </c>
      <c r="I5114" s="53">
        <v>0.25</v>
      </c>
      <c r="J5114" s="53">
        <v>13.0</v>
      </c>
      <c r="K5114" s="53" t="s">
        <v>53</v>
      </c>
      <c r="L5114" s="53" t="s">
        <v>53</v>
      </c>
    </row>
    <row r="5115" ht="15.75" customHeight="1">
      <c r="A5115" s="53" t="s">
        <v>411</v>
      </c>
      <c r="B5115" s="53" t="s">
        <v>4945</v>
      </c>
      <c r="D5115" s="53" t="s">
        <v>2923</v>
      </c>
      <c r="E5115" s="53" t="s">
        <v>6448</v>
      </c>
      <c r="F5115" s="53" t="s">
        <v>478</v>
      </c>
      <c r="G5115" s="53" t="s">
        <v>495</v>
      </c>
      <c r="H5115" s="53">
        <v>1.0</v>
      </c>
      <c r="I5115" s="53">
        <v>0.2702702702702703</v>
      </c>
      <c r="J5115" s="53">
        <v>10.0</v>
      </c>
      <c r="K5115" s="53" t="s">
        <v>53</v>
      </c>
      <c r="L5115" s="53" t="s">
        <v>53</v>
      </c>
    </row>
    <row r="5116" ht="15.75" customHeight="1">
      <c r="A5116" s="53" t="s">
        <v>411</v>
      </c>
      <c r="B5116" s="53" t="s">
        <v>4945</v>
      </c>
      <c r="D5116" s="53" t="s">
        <v>2919</v>
      </c>
      <c r="E5116" s="53" t="s">
        <v>6449</v>
      </c>
      <c r="F5116" s="53" t="s">
        <v>478</v>
      </c>
      <c r="G5116" s="53" t="s">
        <v>2929</v>
      </c>
      <c r="H5116" s="53">
        <v>1.0</v>
      </c>
      <c r="I5116" s="53">
        <v>0.0784313725490196</v>
      </c>
      <c r="J5116" s="53">
        <v>2.0</v>
      </c>
      <c r="K5116" s="53" t="s">
        <v>53</v>
      </c>
      <c r="L5116" s="53" t="s">
        <v>53</v>
      </c>
    </row>
    <row r="5117" ht="15.75" customHeight="1">
      <c r="A5117" s="53" t="s">
        <v>411</v>
      </c>
      <c r="B5117" s="53" t="s">
        <v>4945</v>
      </c>
      <c r="D5117" s="53" t="s">
        <v>2919</v>
      </c>
      <c r="E5117" s="53" t="s">
        <v>6450</v>
      </c>
      <c r="F5117" s="53" t="s">
        <v>478</v>
      </c>
      <c r="G5117" s="53" t="s">
        <v>2921</v>
      </c>
      <c r="H5117" s="53">
        <v>1.0</v>
      </c>
      <c r="I5117" s="53">
        <v>0.09933774834437085</v>
      </c>
      <c r="J5117" s="53">
        <v>0.0</v>
      </c>
      <c r="K5117" s="53" t="s">
        <v>53</v>
      </c>
      <c r="L5117" s="53" t="s">
        <v>53</v>
      </c>
    </row>
    <row r="5118" ht="15.75" customHeight="1">
      <c r="A5118" s="53" t="s">
        <v>411</v>
      </c>
      <c r="B5118" s="53" t="s">
        <v>4945</v>
      </c>
      <c r="D5118" s="53" t="s">
        <v>2919</v>
      </c>
      <c r="E5118" s="53" t="s">
        <v>6451</v>
      </c>
      <c r="F5118" s="53" t="s">
        <v>478</v>
      </c>
      <c r="G5118" s="53" t="s">
        <v>2933</v>
      </c>
      <c r="H5118" s="53">
        <v>1.0</v>
      </c>
      <c r="I5118" s="53">
        <v>0.1</v>
      </c>
      <c r="J5118" s="53">
        <v>3.0</v>
      </c>
      <c r="K5118" s="53" t="s">
        <v>53</v>
      </c>
      <c r="L5118" s="53" t="s">
        <v>53</v>
      </c>
    </row>
    <row r="5119" ht="15.75" customHeight="1">
      <c r="A5119" s="53" t="s">
        <v>411</v>
      </c>
      <c r="B5119" s="53" t="s">
        <v>4945</v>
      </c>
      <c r="D5119" s="53" t="s">
        <v>2919</v>
      </c>
      <c r="E5119" s="53" t="s">
        <v>6452</v>
      </c>
      <c r="F5119" s="53" t="s">
        <v>478</v>
      </c>
      <c r="G5119" s="53" t="s">
        <v>2927</v>
      </c>
      <c r="H5119" s="53">
        <v>1.0</v>
      </c>
      <c r="I5119" s="53">
        <v>0.11258278145695365</v>
      </c>
      <c r="J5119" s="53">
        <v>1.0</v>
      </c>
      <c r="K5119" s="53" t="s">
        <v>53</v>
      </c>
      <c r="L5119" s="53" t="s">
        <v>53</v>
      </c>
    </row>
    <row r="5120" ht="15.75" customHeight="1">
      <c r="A5120" s="53" t="s">
        <v>411</v>
      </c>
      <c r="B5120" s="53" t="s">
        <v>4945</v>
      </c>
      <c r="D5120" s="53" t="s">
        <v>2919</v>
      </c>
      <c r="E5120" s="53" t="s">
        <v>6453</v>
      </c>
      <c r="F5120" s="53" t="s">
        <v>478</v>
      </c>
      <c r="G5120" s="53" t="s">
        <v>2925</v>
      </c>
      <c r="H5120" s="53">
        <v>1.0</v>
      </c>
      <c r="I5120" s="53">
        <v>0.11920529801324503</v>
      </c>
      <c r="J5120" s="53">
        <v>4.0</v>
      </c>
      <c r="K5120" s="53" t="s">
        <v>53</v>
      </c>
      <c r="L5120" s="53" t="s">
        <v>53</v>
      </c>
    </row>
    <row r="5121" ht="15.75" customHeight="1">
      <c r="A5121" s="53" t="s">
        <v>411</v>
      </c>
      <c r="B5121" s="53" t="s">
        <v>4945</v>
      </c>
      <c r="D5121" s="53" t="s">
        <v>2919</v>
      </c>
      <c r="E5121" s="53" t="s">
        <v>6454</v>
      </c>
      <c r="F5121" s="53" t="s">
        <v>478</v>
      </c>
      <c r="G5121" s="53" t="s">
        <v>2917</v>
      </c>
      <c r="H5121" s="53">
        <v>1.0</v>
      </c>
      <c r="I5121" s="53">
        <v>0.152317880794702</v>
      </c>
      <c r="J5121" s="53">
        <v>6.0</v>
      </c>
      <c r="K5121" s="53" t="s">
        <v>53</v>
      </c>
      <c r="L5121" s="53" t="s">
        <v>53</v>
      </c>
    </row>
    <row r="5122" ht="15.75" customHeight="1">
      <c r="A5122" s="53" t="s">
        <v>411</v>
      </c>
      <c r="B5122" s="53" t="s">
        <v>4945</v>
      </c>
      <c r="D5122" s="53" t="s">
        <v>2919</v>
      </c>
      <c r="E5122" s="53" t="s">
        <v>6455</v>
      </c>
      <c r="F5122" s="53" t="s">
        <v>478</v>
      </c>
      <c r="G5122" s="53" t="s">
        <v>2907</v>
      </c>
      <c r="H5122" s="53">
        <v>1.0</v>
      </c>
      <c r="I5122" s="53">
        <v>0.15894039735099338</v>
      </c>
      <c r="J5122" s="53">
        <v>5.0</v>
      </c>
      <c r="K5122" s="53" t="s">
        <v>53</v>
      </c>
      <c r="L5122" s="53" t="s">
        <v>53</v>
      </c>
    </row>
    <row r="5123" ht="15.75" customHeight="1">
      <c r="A5123" s="53" t="s">
        <v>411</v>
      </c>
      <c r="B5123" s="53" t="s">
        <v>4945</v>
      </c>
      <c r="D5123" s="53" t="s">
        <v>2919</v>
      </c>
      <c r="E5123" s="53" t="s">
        <v>6456</v>
      </c>
      <c r="F5123" s="53" t="s">
        <v>478</v>
      </c>
      <c r="G5123" s="53" t="s">
        <v>485</v>
      </c>
      <c r="H5123" s="53">
        <v>1.0</v>
      </c>
      <c r="I5123" s="53">
        <v>0.2251655629139073</v>
      </c>
      <c r="J5123" s="53">
        <v>7.0</v>
      </c>
      <c r="K5123" s="53" t="s">
        <v>53</v>
      </c>
      <c r="L5123" s="53" t="s">
        <v>53</v>
      </c>
    </row>
    <row r="5124" ht="15.75" customHeight="1">
      <c r="A5124" s="53" t="s">
        <v>411</v>
      </c>
      <c r="B5124" s="53" t="s">
        <v>4945</v>
      </c>
      <c r="D5124" s="53" t="s">
        <v>2919</v>
      </c>
      <c r="E5124" s="53" t="s">
        <v>6457</v>
      </c>
      <c r="F5124" s="53" t="s">
        <v>478</v>
      </c>
      <c r="G5124" s="53" t="s">
        <v>2937</v>
      </c>
      <c r="H5124" s="53">
        <v>1.0</v>
      </c>
      <c r="I5124" s="53">
        <v>0.23178807947019867</v>
      </c>
      <c r="J5124" s="53">
        <v>11.0</v>
      </c>
      <c r="K5124" s="53" t="s">
        <v>53</v>
      </c>
      <c r="L5124" s="53" t="s">
        <v>53</v>
      </c>
    </row>
    <row r="5125" ht="15.75" customHeight="1">
      <c r="A5125" s="53" t="s">
        <v>411</v>
      </c>
      <c r="B5125" s="53" t="s">
        <v>4945</v>
      </c>
      <c r="D5125" s="53" t="s">
        <v>2919</v>
      </c>
      <c r="E5125" s="53" t="s">
        <v>6458</v>
      </c>
      <c r="F5125" s="53" t="s">
        <v>478</v>
      </c>
      <c r="G5125" s="53" t="s">
        <v>474</v>
      </c>
      <c r="H5125" s="53">
        <v>1.0</v>
      </c>
      <c r="I5125" s="53">
        <v>0.23178807947019867</v>
      </c>
      <c r="J5125" s="53">
        <v>8.0</v>
      </c>
      <c r="K5125" s="53" t="s">
        <v>53</v>
      </c>
      <c r="L5125" s="53" t="s">
        <v>53</v>
      </c>
    </row>
    <row r="5126" ht="15.75" customHeight="1">
      <c r="A5126" s="53" t="s">
        <v>411</v>
      </c>
      <c r="B5126" s="53" t="s">
        <v>4945</v>
      </c>
      <c r="D5126" s="53" t="s">
        <v>2919</v>
      </c>
      <c r="E5126" s="53" t="s">
        <v>6459</v>
      </c>
      <c r="F5126" s="53" t="s">
        <v>478</v>
      </c>
      <c r="G5126" s="53" t="s">
        <v>2948</v>
      </c>
      <c r="H5126" s="53">
        <v>1.0</v>
      </c>
      <c r="I5126" s="53">
        <v>0.25165562913907286</v>
      </c>
      <c r="J5126" s="53">
        <v>10.0</v>
      </c>
      <c r="K5126" s="53" t="s">
        <v>53</v>
      </c>
      <c r="L5126" s="53" t="s">
        <v>53</v>
      </c>
    </row>
    <row r="5127" ht="15.75" customHeight="1">
      <c r="A5127" s="53" t="s">
        <v>411</v>
      </c>
      <c r="B5127" s="53" t="s">
        <v>4945</v>
      </c>
      <c r="D5127" s="53" t="s">
        <v>2919</v>
      </c>
      <c r="E5127" s="53" t="s">
        <v>6460</v>
      </c>
      <c r="F5127" s="53" t="s">
        <v>478</v>
      </c>
      <c r="G5127" s="53" t="s">
        <v>2942</v>
      </c>
      <c r="H5127" s="53">
        <v>1.0</v>
      </c>
      <c r="I5127" s="53">
        <v>0.26490066225165565</v>
      </c>
      <c r="J5127" s="53">
        <v>12.0</v>
      </c>
      <c r="K5127" s="53" t="s">
        <v>53</v>
      </c>
      <c r="L5127" s="53" t="s">
        <v>53</v>
      </c>
    </row>
    <row r="5128" ht="15.75" customHeight="1">
      <c r="A5128" s="53" t="s">
        <v>411</v>
      </c>
      <c r="B5128" s="53" t="s">
        <v>4945</v>
      </c>
      <c r="D5128" s="53" t="s">
        <v>2919</v>
      </c>
      <c r="E5128" s="53" t="s">
        <v>6461</v>
      </c>
      <c r="F5128" s="53" t="s">
        <v>478</v>
      </c>
      <c r="G5128" s="53" t="s">
        <v>495</v>
      </c>
      <c r="H5128" s="53">
        <v>1.0</v>
      </c>
      <c r="I5128" s="53">
        <v>0.2913907284768212</v>
      </c>
      <c r="J5128" s="53">
        <v>9.0</v>
      </c>
      <c r="K5128" s="53" t="s">
        <v>53</v>
      </c>
      <c r="L5128" s="53" t="s">
        <v>53</v>
      </c>
    </row>
    <row r="5129" ht="15.75" customHeight="1">
      <c r="A5129" s="53" t="s">
        <v>411</v>
      </c>
      <c r="B5129" s="53" t="s">
        <v>4945</v>
      </c>
      <c r="D5129" s="53" t="s">
        <v>2921</v>
      </c>
      <c r="E5129" s="53" t="s">
        <v>6462</v>
      </c>
      <c r="F5129" s="53" t="s">
        <v>478</v>
      </c>
      <c r="G5129" s="53" t="s">
        <v>2927</v>
      </c>
      <c r="H5129" s="53">
        <v>1.0</v>
      </c>
      <c r="I5129" s="53">
        <v>0.09395973154362416</v>
      </c>
      <c r="J5129" s="53">
        <v>0.0</v>
      </c>
      <c r="K5129" s="53" t="s">
        <v>53</v>
      </c>
      <c r="L5129" s="53" t="s">
        <v>53</v>
      </c>
    </row>
    <row r="5130" ht="15.75" customHeight="1">
      <c r="A5130" s="53" t="s">
        <v>411</v>
      </c>
      <c r="B5130" s="53" t="s">
        <v>4945</v>
      </c>
      <c r="D5130" s="53" t="s">
        <v>2921</v>
      </c>
      <c r="E5130" s="53" t="s">
        <v>6463</v>
      </c>
      <c r="F5130" s="53" t="s">
        <v>478</v>
      </c>
      <c r="G5130" s="53" t="s">
        <v>2929</v>
      </c>
      <c r="H5130" s="53">
        <v>1.0</v>
      </c>
      <c r="I5130" s="53">
        <v>0.10457516339869281</v>
      </c>
      <c r="J5130" s="53">
        <v>1.0</v>
      </c>
      <c r="K5130" s="53" t="s">
        <v>53</v>
      </c>
      <c r="L5130" s="53" t="s">
        <v>53</v>
      </c>
    </row>
    <row r="5131" ht="15.75" customHeight="1">
      <c r="A5131" s="53" t="s">
        <v>411</v>
      </c>
      <c r="B5131" s="53" t="s">
        <v>4945</v>
      </c>
      <c r="D5131" s="53" t="s">
        <v>2921</v>
      </c>
      <c r="E5131" s="53" t="s">
        <v>6464</v>
      </c>
      <c r="F5131" s="53" t="s">
        <v>478</v>
      </c>
      <c r="G5131" s="53" t="s">
        <v>2925</v>
      </c>
      <c r="H5131" s="53">
        <v>1.0</v>
      </c>
      <c r="I5131" s="53">
        <v>0.11258278145695365</v>
      </c>
      <c r="J5131" s="53">
        <v>3.0</v>
      </c>
      <c r="K5131" s="53" t="s">
        <v>53</v>
      </c>
      <c r="L5131" s="53" t="s">
        <v>53</v>
      </c>
    </row>
    <row r="5132" ht="15.75" customHeight="1">
      <c r="A5132" s="53" t="s">
        <v>411</v>
      </c>
      <c r="B5132" s="53" t="s">
        <v>4945</v>
      </c>
      <c r="D5132" s="53" t="s">
        <v>2921</v>
      </c>
      <c r="E5132" s="53" t="s">
        <v>6465</v>
      </c>
      <c r="F5132" s="53" t="s">
        <v>478</v>
      </c>
      <c r="G5132" s="53" t="s">
        <v>2907</v>
      </c>
      <c r="H5132" s="53">
        <v>1.0</v>
      </c>
      <c r="I5132" s="53">
        <v>0.1476510067114094</v>
      </c>
      <c r="J5132" s="53">
        <v>4.0</v>
      </c>
      <c r="K5132" s="53" t="s">
        <v>53</v>
      </c>
      <c r="L5132" s="53" t="s">
        <v>53</v>
      </c>
    </row>
    <row r="5133" ht="15.75" customHeight="1">
      <c r="A5133" s="53" t="s">
        <v>411</v>
      </c>
      <c r="B5133" s="53" t="s">
        <v>4945</v>
      </c>
      <c r="D5133" s="53" t="s">
        <v>2921</v>
      </c>
      <c r="E5133" s="53" t="s">
        <v>6466</v>
      </c>
      <c r="F5133" s="53" t="s">
        <v>478</v>
      </c>
      <c r="G5133" s="53" t="s">
        <v>2933</v>
      </c>
      <c r="H5133" s="53">
        <v>1.0</v>
      </c>
      <c r="I5133" s="53">
        <v>0.15</v>
      </c>
      <c r="J5133" s="53">
        <v>2.0</v>
      </c>
      <c r="K5133" s="53" t="s">
        <v>53</v>
      </c>
      <c r="L5133" s="53" t="s">
        <v>53</v>
      </c>
    </row>
    <row r="5134" ht="15.75" customHeight="1">
      <c r="A5134" s="53" t="s">
        <v>411</v>
      </c>
      <c r="B5134" s="53" t="s">
        <v>4945</v>
      </c>
      <c r="D5134" s="53" t="s">
        <v>2921</v>
      </c>
      <c r="E5134" s="53" t="s">
        <v>6467</v>
      </c>
      <c r="F5134" s="53" t="s">
        <v>478</v>
      </c>
      <c r="G5134" s="53" t="s">
        <v>2917</v>
      </c>
      <c r="H5134" s="53">
        <v>1.0</v>
      </c>
      <c r="I5134" s="53">
        <v>0.1610738255033557</v>
      </c>
      <c r="J5134" s="53">
        <v>5.0</v>
      </c>
      <c r="K5134" s="53" t="s">
        <v>53</v>
      </c>
      <c r="L5134" s="53" t="s">
        <v>53</v>
      </c>
    </row>
    <row r="5135" ht="15.75" customHeight="1">
      <c r="A5135" s="53" t="s">
        <v>411</v>
      </c>
      <c r="B5135" s="53" t="s">
        <v>4945</v>
      </c>
      <c r="D5135" s="53" t="s">
        <v>2921</v>
      </c>
      <c r="E5135" s="53" t="s">
        <v>6468</v>
      </c>
      <c r="F5135" s="53" t="s">
        <v>478</v>
      </c>
      <c r="G5135" s="53" t="s">
        <v>485</v>
      </c>
      <c r="H5135" s="53">
        <v>1.0</v>
      </c>
      <c r="I5135" s="53">
        <v>0.21476510067114093</v>
      </c>
      <c r="J5135" s="53">
        <v>6.0</v>
      </c>
      <c r="K5135" s="53" t="s">
        <v>53</v>
      </c>
      <c r="L5135" s="53" t="s">
        <v>53</v>
      </c>
    </row>
    <row r="5136" ht="15.75" customHeight="1">
      <c r="A5136" s="53" t="s">
        <v>411</v>
      </c>
      <c r="B5136" s="53" t="s">
        <v>4945</v>
      </c>
      <c r="D5136" s="53" t="s">
        <v>2921</v>
      </c>
      <c r="E5136" s="53" t="s">
        <v>6469</v>
      </c>
      <c r="F5136" s="53" t="s">
        <v>478</v>
      </c>
      <c r="G5136" s="53" t="s">
        <v>2937</v>
      </c>
      <c r="H5136" s="53">
        <v>1.0</v>
      </c>
      <c r="I5136" s="53">
        <v>0.22818791946308725</v>
      </c>
      <c r="J5136" s="53">
        <v>10.0</v>
      </c>
      <c r="K5136" s="53" t="s">
        <v>53</v>
      </c>
      <c r="L5136" s="53" t="s">
        <v>53</v>
      </c>
    </row>
    <row r="5137" ht="15.75" customHeight="1">
      <c r="A5137" s="53" t="s">
        <v>411</v>
      </c>
      <c r="B5137" s="53" t="s">
        <v>4945</v>
      </c>
      <c r="D5137" s="53" t="s">
        <v>2921</v>
      </c>
      <c r="E5137" s="53" t="s">
        <v>6470</v>
      </c>
      <c r="F5137" s="53" t="s">
        <v>478</v>
      </c>
      <c r="G5137" s="53" t="s">
        <v>474</v>
      </c>
      <c r="H5137" s="53">
        <v>1.0</v>
      </c>
      <c r="I5137" s="53">
        <v>0.22818791946308725</v>
      </c>
      <c r="J5137" s="53">
        <v>7.0</v>
      </c>
      <c r="K5137" s="53" t="s">
        <v>53</v>
      </c>
      <c r="L5137" s="53" t="s">
        <v>53</v>
      </c>
    </row>
    <row r="5138" ht="15.75" customHeight="1">
      <c r="A5138" s="53" t="s">
        <v>411</v>
      </c>
      <c r="B5138" s="53" t="s">
        <v>4945</v>
      </c>
      <c r="D5138" s="53" t="s">
        <v>2921</v>
      </c>
      <c r="E5138" s="53" t="s">
        <v>6471</v>
      </c>
      <c r="F5138" s="53" t="s">
        <v>478</v>
      </c>
      <c r="G5138" s="53" t="s">
        <v>2948</v>
      </c>
      <c r="H5138" s="53">
        <v>1.0</v>
      </c>
      <c r="I5138" s="53">
        <v>0.2348993288590604</v>
      </c>
      <c r="J5138" s="53">
        <v>9.0</v>
      </c>
      <c r="K5138" s="53" t="s">
        <v>53</v>
      </c>
      <c r="L5138" s="53" t="s">
        <v>53</v>
      </c>
    </row>
    <row r="5139" ht="15.75" customHeight="1">
      <c r="A5139" s="53" t="s">
        <v>411</v>
      </c>
      <c r="B5139" s="53" t="s">
        <v>4945</v>
      </c>
      <c r="D5139" s="53" t="s">
        <v>2921</v>
      </c>
      <c r="E5139" s="53" t="s">
        <v>6472</v>
      </c>
      <c r="F5139" s="53" t="s">
        <v>478</v>
      </c>
      <c r="G5139" s="53" t="s">
        <v>2942</v>
      </c>
      <c r="H5139" s="53">
        <v>1.0</v>
      </c>
      <c r="I5139" s="53">
        <v>0.2550335570469799</v>
      </c>
      <c r="J5139" s="53">
        <v>11.0</v>
      </c>
      <c r="K5139" s="53" t="s">
        <v>53</v>
      </c>
      <c r="L5139" s="53" t="s">
        <v>53</v>
      </c>
    </row>
    <row r="5140" ht="15.75" customHeight="1">
      <c r="A5140" s="53" t="s">
        <v>411</v>
      </c>
      <c r="B5140" s="53" t="s">
        <v>4945</v>
      </c>
      <c r="D5140" s="53" t="s">
        <v>2921</v>
      </c>
      <c r="E5140" s="53" t="s">
        <v>6473</v>
      </c>
      <c r="F5140" s="53" t="s">
        <v>478</v>
      </c>
      <c r="G5140" s="53" t="s">
        <v>495</v>
      </c>
      <c r="H5140" s="53">
        <v>1.0</v>
      </c>
      <c r="I5140" s="53">
        <v>0.28187919463087246</v>
      </c>
      <c r="J5140" s="53">
        <v>8.0</v>
      </c>
      <c r="K5140" s="53" t="s">
        <v>53</v>
      </c>
      <c r="L5140" s="53" t="s">
        <v>53</v>
      </c>
    </row>
    <row r="5141" ht="15.75" customHeight="1">
      <c r="A5141" s="53" t="s">
        <v>411</v>
      </c>
      <c r="B5141" s="53" t="s">
        <v>4945</v>
      </c>
      <c r="D5141" s="53" t="s">
        <v>2927</v>
      </c>
      <c r="E5141" s="53" t="s">
        <v>6474</v>
      </c>
      <c r="F5141" s="53" t="s">
        <v>478</v>
      </c>
      <c r="G5141" s="53" t="s">
        <v>2925</v>
      </c>
      <c r="H5141" s="53">
        <v>1.0</v>
      </c>
      <c r="I5141" s="53">
        <v>0.10596026490066225</v>
      </c>
      <c r="J5141" s="53">
        <v>2.0</v>
      </c>
      <c r="K5141" s="53" t="s">
        <v>53</v>
      </c>
      <c r="L5141" s="53" t="s">
        <v>53</v>
      </c>
    </row>
    <row r="5142" ht="15.75" customHeight="1">
      <c r="A5142" s="53" t="s">
        <v>411</v>
      </c>
      <c r="B5142" s="53" t="s">
        <v>4945</v>
      </c>
      <c r="D5142" s="53" t="s">
        <v>2927</v>
      </c>
      <c r="E5142" s="53" t="s">
        <v>6475</v>
      </c>
      <c r="F5142" s="53" t="s">
        <v>478</v>
      </c>
      <c r="G5142" s="53" t="s">
        <v>2929</v>
      </c>
      <c r="H5142" s="53">
        <v>1.0</v>
      </c>
      <c r="I5142" s="53">
        <v>0.1111111111111111</v>
      </c>
      <c r="J5142" s="53">
        <v>0.0</v>
      </c>
      <c r="K5142" s="53" t="s">
        <v>53</v>
      </c>
      <c r="L5142" s="53" t="s">
        <v>53</v>
      </c>
    </row>
    <row r="5143" ht="15.75" customHeight="1">
      <c r="A5143" s="53" t="s">
        <v>411</v>
      </c>
      <c r="B5143" s="53" t="s">
        <v>4945</v>
      </c>
      <c r="D5143" s="53" t="s">
        <v>2927</v>
      </c>
      <c r="E5143" s="53" t="s">
        <v>6476</v>
      </c>
      <c r="F5143" s="53" t="s">
        <v>478</v>
      </c>
      <c r="G5143" s="53" t="s">
        <v>2907</v>
      </c>
      <c r="H5143" s="53">
        <v>1.0</v>
      </c>
      <c r="I5143" s="53">
        <v>0.1342281879194631</v>
      </c>
      <c r="J5143" s="53">
        <v>3.0</v>
      </c>
      <c r="K5143" s="53" t="s">
        <v>53</v>
      </c>
      <c r="L5143" s="53" t="s">
        <v>53</v>
      </c>
    </row>
    <row r="5144" ht="15.75" customHeight="1">
      <c r="A5144" s="53" t="s">
        <v>411</v>
      </c>
      <c r="B5144" s="53" t="s">
        <v>4945</v>
      </c>
      <c r="D5144" s="53" t="s">
        <v>2927</v>
      </c>
      <c r="E5144" s="53" t="s">
        <v>6477</v>
      </c>
      <c r="F5144" s="53" t="s">
        <v>478</v>
      </c>
      <c r="G5144" s="53" t="s">
        <v>2917</v>
      </c>
      <c r="H5144" s="53">
        <v>1.0</v>
      </c>
      <c r="I5144" s="53">
        <v>0.1476510067114094</v>
      </c>
      <c r="J5144" s="53">
        <v>4.0</v>
      </c>
      <c r="K5144" s="53" t="s">
        <v>53</v>
      </c>
      <c r="L5144" s="53" t="s">
        <v>53</v>
      </c>
    </row>
    <row r="5145" ht="15.75" customHeight="1">
      <c r="A5145" s="53" t="s">
        <v>411</v>
      </c>
      <c r="B5145" s="53" t="s">
        <v>4945</v>
      </c>
      <c r="D5145" s="53" t="s">
        <v>2927</v>
      </c>
      <c r="E5145" s="53" t="s">
        <v>6478</v>
      </c>
      <c r="F5145" s="53" t="s">
        <v>478</v>
      </c>
      <c r="G5145" s="53" t="s">
        <v>2933</v>
      </c>
      <c r="H5145" s="53">
        <v>1.0</v>
      </c>
      <c r="I5145" s="53">
        <v>0.15</v>
      </c>
      <c r="J5145" s="53">
        <v>1.0</v>
      </c>
      <c r="K5145" s="53" t="s">
        <v>53</v>
      </c>
      <c r="L5145" s="53" t="s">
        <v>53</v>
      </c>
    </row>
    <row r="5146" ht="15.75" customHeight="1">
      <c r="A5146" s="53" t="s">
        <v>411</v>
      </c>
      <c r="B5146" s="53" t="s">
        <v>4945</v>
      </c>
      <c r="D5146" s="53" t="s">
        <v>2927</v>
      </c>
      <c r="E5146" s="53" t="s">
        <v>6479</v>
      </c>
      <c r="F5146" s="53" t="s">
        <v>478</v>
      </c>
      <c r="G5146" s="53" t="s">
        <v>2937</v>
      </c>
      <c r="H5146" s="53">
        <v>1.0</v>
      </c>
      <c r="I5146" s="53">
        <v>0.21476510067114093</v>
      </c>
      <c r="J5146" s="53">
        <v>9.0</v>
      </c>
      <c r="K5146" s="53" t="s">
        <v>53</v>
      </c>
      <c r="L5146" s="53" t="s">
        <v>53</v>
      </c>
    </row>
    <row r="5147" ht="15.75" customHeight="1">
      <c r="A5147" s="53" t="s">
        <v>411</v>
      </c>
      <c r="B5147" s="53" t="s">
        <v>4945</v>
      </c>
      <c r="D5147" s="53" t="s">
        <v>2927</v>
      </c>
      <c r="E5147" s="53" t="s">
        <v>6480</v>
      </c>
      <c r="F5147" s="53" t="s">
        <v>478</v>
      </c>
      <c r="G5147" s="53" t="s">
        <v>485</v>
      </c>
      <c r="H5147" s="53">
        <v>1.0</v>
      </c>
      <c r="I5147" s="53">
        <v>0.2214765100671141</v>
      </c>
      <c r="J5147" s="53">
        <v>5.0</v>
      </c>
      <c r="K5147" s="53" t="s">
        <v>53</v>
      </c>
      <c r="L5147" s="53" t="s">
        <v>53</v>
      </c>
    </row>
    <row r="5148" ht="15.75" customHeight="1">
      <c r="A5148" s="53" t="s">
        <v>411</v>
      </c>
      <c r="B5148" s="53" t="s">
        <v>4945</v>
      </c>
      <c r="D5148" s="53" t="s">
        <v>2927</v>
      </c>
      <c r="E5148" s="53" t="s">
        <v>6481</v>
      </c>
      <c r="F5148" s="53" t="s">
        <v>478</v>
      </c>
      <c r="G5148" s="53" t="s">
        <v>2948</v>
      </c>
      <c r="H5148" s="53">
        <v>1.0</v>
      </c>
      <c r="I5148" s="53">
        <v>0.22818791946308725</v>
      </c>
      <c r="J5148" s="53">
        <v>8.0</v>
      </c>
      <c r="K5148" s="53" t="s">
        <v>53</v>
      </c>
      <c r="L5148" s="53" t="s">
        <v>53</v>
      </c>
    </row>
    <row r="5149" ht="15.75" customHeight="1">
      <c r="A5149" s="53" t="s">
        <v>411</v>
      </c>
      <c r="B5149" s="53" t="s">
        <v>4945</v>
      </c>
      <c r="D5149" s="53" t="s">
        <v>2927</v>
      </c>
      <c r="E5149" s="53" t="s">
        <v>6482</v>
      </c>
      <c r="F5149" s="53" t="s">
        <v>478</v>
      </c>
      <c r="G5149" s="53" t="s">
        <v>474</v>
      </c>
      <c r="H5149" s="53">
        <v>1.0</v>
      </c>
      <c r="I5149" s="53">
        <v>0.2348993288590604</v>
      </c>
      <c r="J5149" s="53">
        <v>6.0</v>
      </c>
      <c r="K5149" s="53" t="s">
        <v>53</v>
      </c>
      <c r="L5149" s="53" t="s">
        <v>53</v>
      </c>
    </row>
    <row r="5150" ht="15.75" customHeight="1">
      <c r="A5150" s="53" t="s">
        <v>411</v>
      </c>
      <c r="B5150" s="53" t="s">
        <v>4945</v>
      </c>
      <c r="D5150" s="53" t="s">
        <v>2927</v>
      </c>
      <c r="E5150" s="53" t="s">
        <v>6483</v>
      </c>
      <c r="F5150" s="53" t="s">
        <v>478</v>
      </c>
      <c r="G5150" s="53" t="s">
        <v>2942</v>
      </c>
      <c r="H5150" s="53">
        <v>1.0</v>
      </c>
      <c r="I5150" s="53">
        <v>0.2483221476510067</v>
      </c>
      <c r="J5150" s="53">
        <v>10.0</v>
      </c>
      <c r="K5150" s="53" t="s">
        <v>53</v>
      </c>
      <c r="L5150" s="53" t="s">
        <v>53</v>
      </c>
    </row>
    <row r="5151" ht="15.75" customHeight="1">
      <c r="A5151" s="53" t="s">
        <v>411</v>
      </c>
      <c r="B5151" s="53" t="s">
        <v>4945</v>
      </c>
      <c r="D5151" s="53" t="s">
        <v>2927</v>
      </c>
      <c r="E5151" s="53" t="s">
        <v>6484</v>
      </c>
      <c r="F5151" s="53" t="s">
        <v>478</v>
      </c>
      <c r="G5151" s="53" t="s">
        <v>495</v>
      </c>
      <c r="H5151" s="53">
        <v>1.0</v>
      </c>
      <c r="I5151" s="53">
        <v>0.28187919463087246</v>
      </c>
      <c r="J5151" s="53">
        <v>7.0</v>
      </c>
      <c r="K5151" s="53" t="s">
        <v>53</v>
      </c>
      <c r="L5151" s="53" t="s">
        <v>53</v>
      </c>
    </row>
    <row r="5152" ht="15.75" customHeight="1">
      <c r="A5152" s="53" t="s">
        <v>411</v>
      </c>
      <c r="B5152" s="53" t="s">
        <v>4945</v>
      </c>
      <c r="D5152" s="53" t="s">
        <v>2929</v>
      </c>
      <c r="E5152" s="53" t="s">
        <v>6485</v>
      </c>
      <c r="F5152" s="53" t="s">
        <v>478</v>
      </c>
      <c r="G5152" s="53" t="s">
        <v>2925</v>
      </c>
      <c r="H5152" s="53">
        <v>1.0</v>
      </c>
      <c r="I5152" s="53">
        <v>0.1111111111111111</v>
      </c>
      <c r="J5152" s="53">
        <v>1.0</v>
      </c>
      <c r="K5152" s="53" t="s">
        <v>53</v>
      </c>
      <c r="L5152" s="53" t="s">
        <v>53</v>
      </c>
    </row>
    <row r="5153" ht="15.75" customHeight="1">
      <c r="A5153" s="53" t="s">
        <v>411</v>
      </c>
      <c r="B5153" s="53" t="s">
        <v>4945</v>
      </c>
      <c r="D5153" s="53" t="s">
        <v>2929</v>
      </c>
      <c r="E5153" s="53" t="s">
        <v>6486</v>
      </c>
      <c r="F5153" s="53" t="s">
        <v>478</v>
      </c>
      <c r="G5153" s="53" t="s">
        <v>2933</v>
      </c>
      <c r="H5153" s="53">
        <v>1.0</v>
      </c>
      <c r="I5153" s="53">
        <v>0.13125</v>
      </c>
      <c r="J5153" s="53">
        <v>0.0</v>
      </c>
      <c r="K5153" s="53" t="s">
        <v>53</v>
      </c>
      <c r="L5153" s="53" t="s">
        <v>53</v>
      </c>
    </row>
    <row r="5154" ht="15.75" customHeight="1">
      <c r="A5154" s="53" t="s">
        <v>411</v>
      </c>
      <c r="B5154" s="53" t="s">
        <v>4945</v>
      </c>
      <c r="D5154" s="53" t="s">
        <v>2929</v>
      </c>
      <c r="E5154" s="53" t="s">
        <v>6487</v>
      </c>
      <c r="F5154" s="53" t="s">
        <v>478</v>
      </c>
      <c r="G5154" s="53" t="s">
        <v>2917</v>
      </c>
      <c r="H5154" s="53">
        <v>1.0</v>
      </c>
      <c r="I5154" s="53">
        <v>0.16993464052287582</v>
      </c>
      <c r="J5154" s="53">
        <v>3.0</v>
      </c>
      <c r="K5154" s="53" t="s">
        <v>53</v>
      </c>
      <c r="L5154" s="53" t="s">
        <v>53</v>
      </c>
    </row>
    <row r="5155" ht="15.75" customHeight="1">
      <c r="A5155" s="53" t="s">
        <v>411</v>
      </c>
      <c r="B5155" s="53" t="s">
        <v>4945</v>
      </c>
      <c r="D5155" s="53" t="s">
        <v>2929</v>
      </c>
      <c r="E5155" s="53" t="s">
        <v>6488</v>
      </c>
      <c r="F5155" s="53" t="s">
        <v>478</v>
      </c>
      <c r="G5155" s="53" t="s">
        <v>2907</v>
      </c>
      <c r="H5155" s="53">
        <v>1.0</v>
      </c>
      <c r="I5155" s="53">
        <v>0.17647058823529413</v>
      </c>
      <c r="J5155" s="53">
        <v>2.0</v>
      </c>
      <c r="K5155" s="53" t="s">
        <v>53</v>
      </c>
      <c r="L5155" s="53" t="s">
        <v>53</v>
      </c>
    </row>
    <row r="5156" ht="15.75" customHeight="1">
      <c r="A5156" s="53" t="s">
        <v>411</v>
      </c>
      <c r="B5156" s="53" t="s">
        <v>4945</v>
      </c>
      <c r="D5156" s="53" t="s">
        <v>2929</v>
      </c>
      <c r="E5156" s="53" t="s">
        <v>6489</v>
      </c>
      <c r="F5156" s="53" t="s">
        <v>478</v>
      </c>
      <c r="G5156" s="53" t="s">
        <v>485</v>
      </c>
      <c r="H5156" s="53">
        <v>1.0</v>
      </c>
      <c r="I5156" s="53">
        <v>0.22875816993464052</v>
      </c>
      <c r="J5156" s="53">
        <v>4.0</v>
      </c>
      <c r="K5156" s="53" t="s">
        <v>53</v>
      </c>
      <c r="L5156" s="53" t="s">
        <v>53</v>
      </c>
    </row>
    <row r="5157" ht="15.75" customHeight="1">
      <c r="A5157" s="53" t="s">
        <v>411</v>
      </c>
      <c r="B5157" s="53" t="s">
        <v>4945</v>
      </c>
      <c r="D5157" s="53" t="s">
        <v>2929</v>
      </c>
      <c r="E5157" s="53" t="s">
        <v>6490</v>
      </c>
      <c r="F5157" s="53" t="s">
        <v>478</v>
      </c>
      <c r="G5157" s="53" t="s">
        <v>2937</v>
      </c>
      <c r="H5157" s="53">
        <v>1.0</v>
      </c>
      <c r="I5157" s="53">
        <v>0.23529411764705882</v>
      </c>
      <c r="J5157" s="53">
        <v>8.0</v>
      </c>
      <c r="K5157" s="53" t="s">
        <v>53</v>
      </c>
      <c r="L5157" s="53" t="s">
        <v>53</v>
      </c>
    </row>
    <row r="5158" ht="15.75" customHeight="1">
      <c r="A5158" s="53" t="s">
        <v>411</v>
      </c>
      <c r="B5158" s="53" t="s">
        <v>4945</v>
      </c>
      <c r="D5158" s="53" t="s">
        <v>2929</v>
      </c>
      <c r="E5158" s="53" t="s">
        <v>6491</v>
      </c>
      <c r="F5158" s="53" t="s">
        <v>478</v>
      </c>
      <c r="G5158" s="53" t="s">
        <v>474</v>
      </c>
      <c r="H5158" s="53">
        <v>1.0</v>
      </c>
      <c r="I5158" s="53">
        <v>0.24183006535947713</v>
      </c>
      <c r="J5158" s="53">
        <v>5.0</v>
      </c>
      <c r="K5158" s="53" t="s">
        <v>53</v>
      </c>
      <c r="L5158" s="53" t="s">
        <v>53</v>
      </c>
    </row>
    <row r="5159" ht="15.75" customHeight="1">
      <c r="A5159" s="53" t="s">
        <v>411</v>
      </c>
      <c r="B5159" s="53" t="s">
        <v>4945</v>
      </c>
      <c r="D5159" s="53" t="s">
        <v>2929</v>
      </c>
      <c r="E5159" s="53" t="s">
        <v>6492</v>
      </c>
      <c r="F5159" s="53" t="s">
        <v>478</v>
      </c>
      <c r="G5159" s="53" t="s">
        <v>2948</v>
      </c>
      <c r="H5159" s="53">
        <v>1.0</v>
      </c>
      <c r="I5159" s="53">
        <v>0.2549019607843137</v>
      </c>
      <c r="J5159" s="53">
        <v>7.0</v>
      </c>
      <c r="K5159" s="53" t="s">
        <v>53</v>
      </c>
      <c r="L5159" s="53" t="s">
        <v>53</v>
      </c>
    </row>
    <row r="5160" ht="15.75" customHeight="1">
      <c r="A5160" s="53" t="s">
        <v>411</v>
      </c>
      <c r="B5160" s="53" t="s">
        <v>4945</v>
      </c>
      <c r="D5160" s="53" t="s">
        <v>2929</v>
      </c>
      <c r="E5160" s="53" t="s">
        <v>6493</v>
      </c>
      <c r="F5160" s="53" t="s">
        <v>478</v>
      </c>
      <c r="G5160" s="53" t="s">
        <v>2942</v>
      </c>
      <c r="H5160" s="53">
        <v>1.0</v>
      </c>
      <c r="I5160" s="53">
        <v>0.2679738562091503</v>
      </c>
      <c r="J5160" s="53">
        <v>9.0</v>
      </c>
      <c r="K5160" s="53" t="s">
        <v>53</v>
      </c>
      <c r="L5160" s="53" t="s">
        <v>53</v>
      </c>
    </row>
    <row r="5161" ht="15.75" customHeight="1">
      <c r="A5161" s="53" t="s">
        <v>411</v>
      </c>
      <c r="B5161" s="53" t="s">
        <v>4945</v>
      </c>
      <c r="D5161" s="53" t="s">
        <v>2929</v>
      </c>
      <c r="E5161" s="53" t="s">
        <v>6494</v>
      </c>
      <c r="F5161" s="53" t="s">
        <v>478</v>
      </c>
      <c r="G5161" s="53" t="s">
        <v>495</v>
      </c>
      <c r="H5161" s="53">
        <v>1.0</v>
      </c>
      <c r="I5161" s="53">
        <v>0.29411764705882354</v>
      </c>
      <c r="J5161" s="53">
        <v>6.0</v>
      </c>
      <c r="K5161" s="53" t="s">
        <v>53</v>
      </c>
      <c r="L5161" s="53" t="s">
        <v>53</v>
      </c>
    </row>
    <row r="5162" ht="15.75" customHeight="1">
      <c r="A5162" s="53" t="s">
        <v>411</v>
      </c>
      <c r="B5162" s="53" t="s">
        <v>4945</v>
      </c>
      <c r="D5162" s="53" t="s">
        <v>2933</v>
      </c>
      <c r="E5162" s="53" t="s">
        <v>6495</v>
      </c>
      <c r="F5162" s="53" t="s">
        <v>478</v>
      </c>
      <c r="G5162" s="53" t="s">
        <v>2925</v>
      </c>
      <c r="H5162" s="53">
        <v>1.0</v>
      </c>
      <c r="I5162" s="53">
        <v>0.15</v>
      </c>
      <c r="J5162" s="53">
        <v>0.0</v>
      </c>
      <c r="K5162" s="53" t="s">
        <v>53</v>
      </c>
      <c r="L5162" s="53" t="s">
        <v>53</v>
      </c>
    </row>
    <row r="5163" ht="15.75" customHeight="1">
      <c r="A5163" s="53" t="s">
        <v>411</v>
      </c>
      <c r="B5163" s="53" t="s">
        <v>4945</v>
      </c>
      <c r="D5163" s="53" t="s">
        <v>2933</v>
      </c>
      <c r="E5163" s="53" t="s">
        <v>6496</v>
      </c>
      <c r="F5163" s="53" t="s">
        <v>478</v>
      </c>
      <c r="G5163" s="53" t="s">
        <v>2917</v>
      </c>
      <c r="H5163" s="53">
        <v>1.0</v>
      </c>
      <c r="I5163" s="53">
        <v>0.175</v>
      </c>
      <c r="J5163" s="53">
        <v>2.0</v>
      </c>
      <c r="K5163" s="53" t="s">
        <v>53</v>
      </c>
      <c r="L5163" s="53" t="s">
        <v>53</v>
      </c>
    </row>
    <row r="5164" ht="15.75" customHeight="1">
      <c r="A5164" s="53" t="s">
        <v>411</v>
      </c>
      <c r="B5164" s="53" t="s">
        <v>4945</v>
      </c>
      <c r="D5164" s="53" t="s">
        <v>2933</v>
      </c>
      <c r="E5164" s="53" t="s">
        <v>6497</v>
      </c>
      <c r="F5164" s="53" t="s">
        <v>478</v>
      </c>
      <c r="G5164" s="53" t="s">
        <v>2907</v>
      </c>
      <c r="H5164" s="53">
        <v>1.0</v>
      </c>
      <c r="I5164" s="53">
        <v>0.18125</v>
      </c>
      <c r="J5164" s="53">
        <v>1.0</v>
      </c>
      <c r="K5164" s="53" t="s">
        <v>53</v>
      </c>
      <c r="L5164" s="53" t="s">
        <v>53</v>
      </c>
    </row>
    <row r="5165" ht="15.75" customHeight="1">
      <c r="A5165" s="53" t="s">
        <v>411</v>
      </c>
      <c r="B5165" s="53" t="s">
        <v>4945</v>
      </c>
      <c r="D5165" s="53" t="s">
        <v>2933</v>
      </c>
      <c r="E5165" s="53" t="s">
        <v>6498</v>
      </c>
      <c r="F5165" s="53" t="s">
        <v>478</v>
      </c>
      <c r="G5165" s="53" t="s">
        <v>485</v>
      </c>
      <c r="H5165" s="53">
        <v>1.0</v>
      </c>
      <c r="I5165" s="53">
        <v>0.25625</v>
      </c>
      <c r="J5165" s="53">
        <v>3.0</v>
      </c>
      <c r="K5165" s="53" t="s">
        <v>53</v>
      </c>
      <c r="L5165" s="53" t="s">
        <v>53</v>
      </c>
    </row>
    <row r="5166" ht="15.75" customHeight="1">
      <c r="A5166" s="53" t="s">
        <v>411</v>
      </c>
      <c r="B5166" s="53" t="s">
        <v>4945</v>
      </c>
      <c r="D5166" s="53" t="s">
        <v>2933</v>
      </c>
      <c r="E5166" s="53" t="s">
        <v>6499</v>
      </c>
      <c r="F5166" s="53" t="s">
        <v>478</v>
      </c>
      <c r="G5166" s="53" t="s">
        <v>2937</v>
      </c>
      <c r="H5166" s="53">
        <v>1.0</v>
      </c>
      <c r="I5166" s="53">
        <v>0.2625</v>
      </c>
      <c r="J5166" s="53">
        <v>7.0</v>
      </c>
      <c r="K5166" s="53" t="s">
        <v>53</v>
      </c>
      <c r="L5166" s="53" t="s">
        <v>53</v>
      </c>
    </row>
    <row r="5167" ht="15.75" customHeight="1">
      <c r="A5167" s="53" t="s">
        <v>411</v>
      </c>
      <c r="B5167" s="53" t="s">
        <v>4945</v>
      </c>
      <c r="D5167" s="53" t="s">
        <v>2933</v>
      </c>
      <c r="E5167" s="53" t="s">
        <v>6500</v>
      </c>
      <c r="F5167" s="53" t="s">
        <v>478</v>
      </c>
      <c r="G5167" s="53" t="s">
        <v>474</v>
      </c>
      <c r="H5167" s="53">
        <v>1.0</v>
      </c>
      <c r="I5167" s="53">
        <v>0.2625</v>
      </c>
      <c r="J5167" s="53">
        <v>4.0</v>
      </c>
      <c r="K5167" s="53" t="s">
        <v>53</v>
      </c>
      <c r="L5167" s="53" t="s">
        <v>53</v>
      </c>
    </row>
    <row r="5168" ht="15.75" customHeight="1">
      <c r="A5168" s="53" t="s">
        <v>411</v>
      </c>
      <c r="B5168" s="53" t="s">
        <v>4945</v>
      </c>
      <c r="D5168" s="53" t="s">
        <v>2933</v>
      </c>
      <c r="E5168" s="53" t="s">
        <v>6501</v>
      </c>
      <c r="F5168" s="53" t="s">
        <v>478</v>
      </c>
      <c r="G5168" s="53" t="s">
        <v>2948</v>
      </c>
      <c r="H5168" s="53">
        <v>1.0</v>
      </c>
      <c r="I5168" s="53">
        <v>0.2875</v>
      </c>
      <c r="J5168" s="53">
        <v>6.0</v>
      </c>
      <c r="K5168" s="53" t="s">
        <v>53</v>
      </c>
      <c r="L5168" s="53" t="s">
        <v>53</v>
      </c>
    </row>
    <row r="5169" ht="15.75" customHeight="1">
      <c r="A5169" s="53" t="s">
        <v>411</v>
      </c>
      <c r="B5169" s="53" t="s">
        <v>4945</v>
      </c>
      <c r="D5169" s="53" t="s">
        <v>2933</v>
      </c>
      <c r="E5169" s="53" t="s">
        <v>6502</v>
      </c>
      <c r="F5169" s="53" t="s">
        <v>478</v>
      </c>
      <c r="G5169" s="53" t="s">
        <v>2942</v>
      </c>
      <c r="H5169" s="53">
        <v>1.0</v>
      </c>
      <c r="I5169" s="53">
        <v>0.29375</v>
      </c>
      <c r="J5169" s="53">
        <v>8.0</v>
      </c>
      <c r="K5169" s="53" t="s">
        <v>53</v>
      </c>
      <c r="L5169" s="53" t="s">
        <v>53</v>
      </c>
    </row>
    <row r="5170" ht="15.75" customHeight="1">
      <c r="A5170" s="53" t="s">
        <v>411</v>
      </c>
      <c r="B5170" s="53" t="s">
        <v>4945</v>
      </c>
      <c r="D5170" s="53" t="s">
        <v>2933</v>
      </c>
      <c r="E5170" s="53" t="s">
        <v>6503</v>
      </c>
      <c r="F5170" s="53" t="s">
        <v>478</v>
      </c>
      <c r="G5170" s="53" t="s">
        <v>495</v>
      </c>
      <c r="H5170" s="53">
        <v>1.0</v>
      </c>
      <c r="I5170" s="53">
        <v>0.31875</v>
      </c>
      <c r="J5170" s="53">
        <v>5.0</v>
      </c>
      <c r="K5170" s="53" t="s">
        <v>53</v>
      </c>
      <c r="L5170" s="53" t="s">
        <v>53</v>
      </c>
    </row>
    <row r="5171" ht="15.75" customHeight="1">
      <c r="A5171" s="53" t="s">
        <v>411</v>
      </c>
      <c r="B5171" s="53" t="s">
        <v>4945</v>
      </c>
      <c r="D5171" s="53" t="s">
        <v>2925</v>
      </c>
      <c r="E5171" s="53" t="s">
        <v>6504</v>
      </c>
      <c r="F5171" s="53" t="s">
        <v>478</v>
      </c>
      <c r="G5171" s="53" t="s">
        <v>2907</v>
      </c>
      <c r="H5171" s="53">
        <v>1.0</v>
      </c>
      <c r="I5171" s="53">
        <v>0.1390728476821192</v>
      </c>
      <c r="J5171" s="53">
        <v>0.0</v>
      </c>
      <c r="K5171" s="53" t="s">
        <v>53</v>
      </c>
      <c r="L5171" s="53" t="s">
        <v>53</v>
      </c>
    </row>
    <row r="5172" ht="15.75" customHeight="1">
      <c r="A5172" s="53" t="s">
        <v>411</v>
      </c>
      <c r="B5172" s="53" t="s">
        <v>4945</v>
      </c>
      <c r="D5172" s="53" t="s">
        <v>2925</v>
      </c>
      <c r="E5172" s="53" t="s">
        <v>6505</v>
      </c>
      <c r="F5172" s="53" t="s">
        <v>478</v>
      </c>
      <c r="G5172" s="53" t="s">
        <v>2917</v>
      </c>
      <c r="H5172" s="53">
        <v>1.0</v>
      </c>
      <c r="I5172" s="53">
        <v>0.152317880794702</v>
      </c>
      <c r="J5172" s="53">
        <v>1.0</v>
      </c>
      <c r="K5172" s="53" t="s">
        <v>53</v>
      </c>
      <c r="L5172" s="53" t="s">
        <v>53</v>
      </c>
    </row>
    <row r="5173" ht="15.75" customHeight="1">
      <c r="A5173" s="53" t="s">
        <v>411</v>
      </c>
      <c r="B5173" s="53" t="s">
        <v>4945</v>
      </c>
      <c r="D5173" s="53" t="s">
        <v>2925</v>
      </c>
      <c r="E5173" s="53" t="s">
        <v>6506</v>
      </c>
      <c r="F5173" s="53" t="s">
        <v>478</v>
      </c>
      <c r="G5173" s="53" t="s">
        <v>485</v>
      </c>
      <c r="H5173" s="53">
        <v>1.0</v>
      </c>
      <c r="I5173" s="53">
        <v>0.2251655629139073</v>
      </c>
      <c r="J5173" s="53">
        <v>2.0</v>
      </c>
      <c r="K5173" s="53" t="s">
        <v>53</v>
      </c>
      <c r="L5173" s="53" t="s">
        <v>53</v>
      </c>
    </row>
    <row r="5174" ht="15.75" customHeight="1">
      <c r="A5174" s="53" t="s">
        <v>411</v>
      </c>
      <c r="B5174" s="53" t="s">
        <v>4945</v>
      </c>
      <c r="D5174" s="53" t="s">
        <v>2925</v>
      </c>
      <c r="E5174" s="53" t="s">
        <v>6507</v>
      </c>
      <c r="F5174" s="53" t="s">
        <v>478</v>
      </c>
      <c r="G5174" s="53" t="s">
        <v>2937</v>
      </c>
      <c r="H5174" s="53">
        <v>1.0</v>
      </c>
      <c r="I5174" s="53">
        <v>0.23178807947019867</v>
      </c>
      <c r="J5174" s="53">
        <v>6.0</v>
      </c>
      <c r="K5174" s="53" t="s">
        <v>53</v>
      </c>
      <c r="L5174" s="53" t="s">
        <v>53</v>
      </c>
    </row>
    <row r="5175" ht="15.75" customHeight="1">
      <c r="A5175" s="53" t="s">
        <v>411</v>
      </c>
      <c r="B5175" s="53" t="s">
        <v>4945</v>
      </c>
      <c r="D5175" s="53" t="s">
        <v>2925</v>
      </c>
      <c r="E5175" s="53" t="s">
        <v>6508</v>
      </c>
      <c r="F5175" s="53" t="s">
        <v>478</v>
      </c>
      <c r="G5175" s="53" t="s">
        <v>474</v>
      </c>
      <c r="H5175" s="53">
        <v>1.0</v>
      </c>
      <c r="I5175" s="53">
        <v>0.23841059602649006</v>
      </c>
      <c r="J5175" s="53">
        <v>3.0</v>
      </c>
      <c r="K5175" s="53" t="s">
        <v>53</v>
      </c>
      <c r="L5175" s="53" t="s">
        <v>53</v>
      </c>
    </row>
    <row r="5176" ht="15.75" customHeight="1">
      <c r="A5176" s="53" t="s">
        <v>411</v>
      </c>
      <c r="B5176" s="53" t="s">
        <v>4945</v>
      </c>
      <c r="D5176" s="53" t="s">
        <v>2925</v>
      </c>
      <c r="E5176" s="53" t="s">
        <v>6509</v>
      </c>
      <c r="F5176" s="53" t="s">
        <v>478</v>
      </c>
      <c r="G5176" s="53" t="s">
        <v>2948</v>
      </c>
      <c r="H5176" s="53">
        <v>1.0</v>
      </c>
      <c r="I5176" s="53">
        <v>0.24503311258278146</v>
      </c>
      <c r="J5176" s="53">
        <v>5.0</v>
      </c>
      <c r="K5176" s="53" t="s">
        <v>53</v>
      </c>
      <c r="L5176" s="53" t="s">
        <v>53</v>
      </c>
    </row>
    <row r="5177" ht="15.75" customHeight="1">
      <c r="A5177" s="53" t="s">
        <v>411</v>
      </c>
      <c r="B5177" s="53" t="s">
        <v>4945</v>
      </c>
      <c r="D5177" s="53" t="s">
        <v>2925</v>
      </c>
      <c r="E5177" s="53" t="s">
        <v>6510</v>
      </c>
      <c r="F5177" s="53" t="s">
        <v>478</v>
      </c>
      <c r="G5177" s="53" t="s">
        <v>2942</v>
      </c>
      <c r="H5177" s="53">
        <v>1.0</v>
      </c>
      <c r="I5177" s="53">
        <v>0.25165562913907286</v>
      </c>
      <c r="J5177" s="53">
        <v>7.0</v>
      </c>
      <c r="K5177" s="53" t="s">
        <v>53</v>
      </c>
      <c r="L5177" s="53" t="s">
        <v>53</v>
      </c>
    </row>
    <row r="5178" ht="15.75" customHeight="1">
      <c r="A5178" s="53" t="s">
        <v>411</v>
      </c>
      <c r="B5178" s="53" t="s">
        <v>4945</v>
      </c>
      <c r="D5178" s="53" t="s">
        <v>2925</v>
      </c>
      <c r="E5178" s="53" t="s">
        <v>6511</v>
      </c>
      <c r="F5178" s="53" t="s">
        <v>478</v>
      </c>
      <c r="G5178" s="53" t="s">
        <v>495</v>
      </c>
      <c r="H5178" s="53">
        <v>1.0</v>
      </c>
      <c r="I5178" s="53">
        <v>0.2913907284768212</v>
      </c>
      <c r="J5178" s="53">
        <v>4.0</v>
      </c>
      <c r="K5178" s="53" t="s">
        <v>53</v>
      </c>
      <c r="L5178" s="53" t="s">
        <v>53</v>
      </c>
    </row>
    <row r="5179" ht="15.75" customHeight="1">
      <c r="A5179" s="53" t="s">
        <v>411</v>
      </c>
      <c r="B5179" s="53" t="s">
        <v>4945</v>
      </c>
      <c r="D5179" s="53" t="s">
        <v>2907</v>
      </c>
      <c r="E5179" s="53" t="s">
        <v>6512</v>
      </c>
      <c r="F5179" s="53" t="s">
        <v>478</v>
      </c>
      <c r="G5179" s="53" t="s">
        <v>2917</v>
      </c>
      <c r="H5179" s="53">
        <v>1.0</v>
      </c>
      <c r="I5179" s="53">
        <v>0.11188811188811189</v>
      </c>
      <c r="J5179" s="53">
        <v>0.0</v>
      </c>
      <c r="K5179" s="53" t="s">
        <v>53</v>
      </c>
      <c r="L5179" s="53" t="s">
        <v>53</v>
      </c>
    </row>
    <row r="5180" ht="15.75" customHeight="1">
      <c r="A5180" s="53" t="s">
        <v>411</v>
      </c>
      <c r="B5180" s="53" t="s">
        <v>4945</v>
      </c>
      <c r="D5180" s="53" t="s">
        <v>2907</v>
      </c>
      <c r="E5180" s="53" t="s">
        <v>6513</v>
      </c>
      <c r="F5180" s="53" t="s">
        <v>478</v>
      </c>
      <c r="G5180" s="53" t="s">
        <v>2937</v>
      </c>
      <c r="H5180" s="53">
        <v>1.0</v>
      </c>
      <c r="I5180" s="53">
        <v>0.2158273381294964</v>
      </c>
      <c r="J5180" s="53">
        <v>5.0</v>
      </c>
      <c r="K5180" s="53" t="s">
        <v>53</v>
      </c>
      <c r="L5180" s="53" t="s">
        <v>53</v>
      </c>
    </row>
    <row r="5181" ht="15.75" customHeight="1">
      <c r="A5181" s="53" t="s">
        <v>411</v>
      </c>
      <c r="B5181" s="53" t="s">
        <v>4945</v>
      </c>
      <c r="D5181" s="53" t="s">
        <v>2907</v>
      </c>
      <c r="E5181" s="53" t="s">
        <v>6514</v>
      </c>
      <c r="F5181" s="53" t="s">
        <v>478</v>
      </c>
      <c r="G5181" s="53" t="s">
        <v>2942</v>
      </c>
      <c r="H5181" s="53">
        <v>1.0</v>
      </c>
      <c r="I5181" s="53">
        <v>0.24285714285714285</v>
      </c>
      <c r="J5181" s="53">
        <v>6.0</v>
      </c>
      <c r="K5181" s="53" t="s">
        <v>53</v>
      </c>
      <c r="L5181" s="53" t="s">
        <v>53</v>
      </c>
    </row>
    <row r="5182" ht="15.75" customHeight="1">
      <c r="A5182" s="53" t="s">
        <v>411</v>
      </c>
      <c r="B5182" s="53" t="s">
        <v>4945</v>
      </c>
      <c r="D5182" s="53" t="s">
        <v>2907</v>
      </c>
      <c r="E5182" s="53" t="s">
        <v>6515</v>
      </c>
      <c r="F5182" s="53" t="s">
        <v>478</v>
      </c>
      <c r="G5182" s="53" t="s">
        <v>2948</v>
      </c>
      <c r="H5182" s="53">
        <v>1.0</v>
      </c>
      <c r="I5182" s="53">
        <v>0.2535211267605634</v>
      </c>
      <c r="J5182" s="53">
        <v>4.0</v>
      </c>
      <c r="K5182" s="53" t="s">
        <v>53</v>
      </c>
      <c r="L5182" s="53" t="s">
        <v>53</v>
      </c>
    </row>
    <row r="5183" ht="15.75" customHeight="1">
      <c r="A5183" s="53" t="s">
        <v>411</v>
      </c>
      <c r="B5183" s="53" t="s">
        <v>4945</v>
      </c>
      <c r="D5183" s="53" t="s">
        <v>2907</v>
      </c>
      <c r="E5183" s="53" t="s">
        <v>6516</v>
      </c>
      <c r="F5183" s="53" t="s">
        <v>478</v>
      </c>
      <c r="G5183" s="53" t="s">
        <v>485</v>
      </c>
      <c r="H5183" s="53">
        <v>1.0</v>
      </c>
      <c r="I5183" s="53">
        <v>0.2708333333333333</v>
      </c>
      <c r="J5183" s="53">
        <v>1.0</v>
      </c>
      <c r="K5183" s="53" t="s">
        <v>53</v>
      </c>
      <c r="L5183" s="53" t="s">
        <v>53</v>
      </c>
    </row>
    <row r="5184" ht="15.75" customHeight="1">
      <c r="A5184" s="53" t="s">
        <v>411</v>
      </c>
      <c r="B5184" s="53" t="s">
        <v>4945</v>
      </c>
      <c r="D5184" s="53" t="s">
        <v>2907</v>
      </c>
      <c r="E5184" s="53" t="s">
        <v>6517</v>
      </c>
      <c r="F5184" s="53" t="s">
        <v>478</v>
      </c>
      <c r="G5184" s="53" t="s">
        <v>474</v>
      </c>
      <c r="H5184" s="53">
        <v>1.0</v>
      </c>
      <c r="I5184" s="53">
        <v>0.2808219178082192</v>
      </c>
      <c r="J5184" s="53">
        <v>2.0</v>
      </c>
      <c r="K5184" s="53" t="s">
        <v>53</v>
      </c>
      <c r="L5184" s="53" t="s">
        <v>53</v>
      </c>
    </row>
    <row r="5185" ht="15.75" customHeight="1">
      <c r="A5185" s="53" t="s">
        <v>411</v>
      </c>
      <c r="B5185" s="53" t="s">
        <v>4945</v>
      </c>
      <c r="D5185" s="53" t="s">
        <v>2907</v>
      </c>
      <c r="E5185" s="53" t="s">
        <v>6518</v>
      </c>
      <c r="F5185" s="53" t="s">
        <v>478</v>
      </c>
      <c r="G5185" s="53" t="s">
        <v>495</v>
      </c>
      <c r="H5185" s="53">
        <v>1.0</v>
      </c>
      <c r="I5185" s="53">
        <v>0.2949640287769784</v>
      </c>
      <c r="J5185" s="53">
        <v>3.0</v>
      </c>
      <c r="K5185" s="53" t="s">
        <v>53</v>
      </c>
      <c r="L5185" s="53" t="s">
        <v>53</v>
      </c>
    </row>
    <row r="5186" ht="15.75" customHeight="1">
      <c r="A5186" s="53" t="s">
        <v>411</v>
      </c>
      <c r="B5186" s="53" t="s">
        <v>4945</v>
      </c>
      <c r="D5186" s="53" t="s">
        <v>2917</v>
      </c>
      <c r="E5186" s="53" t="s">
        <v>6519</v>
      </c>
      <c r="F5186" s="53" t="s">
        <v>478</v>
      </c>
      <c r="G5186" s="53" t="s">
        <v>2937</v>
      </c>
      <c r="H5186" s="53">
        <v>1.0</v>
      </c>
      <c r="I5186" s="53">
        <v>0.22377622377622378</v>
      </c>
      <c r="J5186" s="53">
        <v>4.0</v>
      </c>
      <c r="K5186" s="53" t="s">
        <v>53</v>
      </c>
      <c r="L5186" s="53" t="s">
        <v>53</v>
      </c>
    </row>
    <row r="5187" ht="15.75" customHeight="1">
      <c r="A5187" s="53" t="s">
        <v>411</v>
      </c>
      <c r="B5187" s="53" t="s">
        <v>4945</v>
      </c>
      <c r="D5187" s="53" t="s">
        <v>2917</v>
      </c>
      <c r="E5187" s="53" t="s">
        <v>6520</v>
      </c>
      <c r="F5187" s="53" t="s">
        <v>478</v>
      </c>
      <c r="G5187" s="53" t="s">
        <v>2942</v>
      </c>
      <c r="H5187" s="53">
        <v>1.0</v>
      </c>
      <c r="I5187" s="53">
        <v>0.25874125874125875</v>
      </c>
      <c r="J5187" s="53">
        <v>5.0</v>
      </c>
      <c r="K5187" s="53" t="s">
        <v>53</v>
      </c>
      <c r="L5187" s="53" t="s">
        <v>53</v>
      </c>
    </row>
    <row r="5188" ht="15.75" customHeight="1">
      <c r="A5188" s="53" t="s">
        <v>411</v>
      </c>
      <c r="B5188" s="53" t="s">
        <v>4945</v>
      </c>
      <c r="D5188" s="53" t="s">
        <v>2917</v>
      </c>
      <c r="E5188" s="53" t="s">
        <v>6521</v>
      </c>
      <c r="F5188" s="53" t="s">
        <v>478</v>
      </c>
      <c r="G5188" s="53" t="s">
        <v>2948</v>
      </c>
      <c r="H5188" s="53">
        <v>1.0</v>
      </c>
      <c r="I5188" s="53">
        <v>0.26573426573426573</v>
      </c>
      <c r="J5188" s="53">
        <v>3.0</v>
      </c>
      <c r="K5188" s="53" t="s">
        <v>53</v>
      </c>
      <c r="L5188" s="53" t="s">
        <v>53</v>
      </c>
    </row>
    <row r="5189" ht="15.75" customHeight="1">
      <c r="A5189" s="53" t="s">
        <v>411</v>
      </c>
      <c r="B5189" s="53" t="s">
        <v>4945</v>
      </c>
      <c r="D5189" s="53" t="s">
        <v>2917</v>
      </c>
      <c r="E5189" s="53" t="s">
        <v>6522</v>
      </c>
      <c r="F5189" s="53" t="s">
        <v>478</v>
      </c>
      <c r="G5189" s="53" t="s">
        <v>485</v>
      </c>
      <c r="H5189" s="53">
        <v>1.0</v>
      </c>
      <c r="I5189" s="53">
        <v>0.2708333333333333</v>
      </c>
      <c r="J5189" s="53">
        <v>0.0</v>
      </c>
      <c r="K5189" s="53" t="s">
        <v>53</v>
      </c>
      <c r="L5189" s="53" t="s">
        <v>53</v>
      </c>
    </row>
    <row r="5190" ht="15.75" customHeight="1">
      <c r="A5190" s="53" t="s">
        <v>411</v>
      </c>
      <c r="B5190" s="53" t="s">
        <v>4945</v>
      </c>
      <c r="D5190" s="53" t="s">
        <v>2917</v>
      </c>
      <c r="E5190" s="53" t="s">
        <v>6523</v>
      </c>
      <c r="F5190" s="53" t="s">
        <v>478</v>
      </c>
      <c r="G5190" s="53" t="s">
        <v>474</v>
      </c>
      <c r="H5190" s="53">
        <v>1.0</v>
      </c>
      <c r="I5190" s="53">
        <v>0.2808219178082192</v>
      </c>
      <c r="J5190" s="53">
        <v>1.0</v>
      </c>
      <c r="K5190" s="53" t="s">
        <v>53</v>
      </c>
      <c r="L5190" s="53" t="s">
        <v>53</v>
      </c>
    </row>
    <row r="5191" ht="15.75" customHeight="1">
      <c r="A5191" s="53" t="s">
        <v>411</v>
      </c>
      <c r="B5191" s="53" t="s">
        <v>4945</v>
      </c>
      <c r="D5191" s="53" t="s">
        <v>2917</v>
      </c>
      <c r="E5191" s="53" t="s">
        <v>6524</v>
      </c>
      <c r="F5191" s="53" t="s">
        <v>478</v>
      </c>
      <c r="G5191" s="53" t="s">
        <v>495</v>
      </c>
      <c r="H5191" s="53">
        <v>1.0</v>
      </c>
      <c r="I5191" s="53">
        <v>0.2937062937062937</v>
      </c>
      <c r="J5191" s="53">
        <v>2.0</v>
      </c>
      <c r="K5191" s="53" t="s">
        <v>53</v>
      </c>
      <c r="L5191" s="53" t="s">
        <v>53</v>
      </c>
    </row>
    <row r="5192" ht="15.75" customHeight="1">
      <c r="A5192" s="53" t="s">
        <v>411</v>
      </c>
      <c r="B5192" s="53" t="s">
        <v>4945</v>
      </c>
      <c r="D5192" s="53" t="s">
        <v>485</v>
      </c>
      <c r="E5192" s="53" t="s">
        <v>6525</v>
      </c>
      <c r="F5192" s="53" t="s">
        <v>478</v>
      </c>
      <c r="G5192" s="53" t="s">
        <v>474</v>
      </c>
      <c r="H5192" s="53">
        <v>1.0</v>
      </c>
      <c r="I5192" s="53">
        <v>0.0136986301369863</v>
      </c>
      <c r="J5192" s="53">
        <v>0.0</v>
      </c>
      <c r="K5192" s="53" t="s">
        <v>53</v>
      </c>
      <c r="L5192" s="53" t="s">
        <v>53</v>
      </c>
    </row>
    <row r="5193" ht="15.75" customHeight="1">
      <c r="A5193" s="53" t="s">
        <v>411</v>
      </c>
      <c r="B5193" s="53" t="s">
        <v>4945</v>
      </c>
      <c r="D5193" s="53" t="s">
        <v>485</v>
      </c>
      <c r="E5193" s="53" t="s">
        <v>6526</v>
      </c>
      <c r="F5193" s="53" t="s">
        <v>478</v>
      </c>
      <c r="G5193" s="53" t="s">
        <v>495</v>
      </c>
      <c r="H5193" s="53">
        <v>1.0</v>
      </c>
      <c r="I5193" s="53">
        <v>0.14583333333333334</v>
      </c>
      <c r="J5193" s="53">
        <v>1.0</v>
      </c>
      <c r="K5193" s="53" t="s">
        <v>53</v>
      </c>
      <c r="L5193" s="53" t="s">
        <v>53</v>
      </c>
    </row>
    <row r="5194" ht="15.75" customHeight="1">
      <c r="A5194" s="53" t="s">
        <v>411</v>
      </c>
      <c r="B5194" s="53" t="s">
        <v>4945</v>
      </c>
      <c r="D5194" s="53" t="s">
        <v>485</v>
      </c>
      <c r="E5194" s="53" t="s">
        <v>6527</v>
      </c>
      <c r="F5194" s="53" t="s">
        <v>478</v>
      </c>
      <c r="G5194" s="53" t="s">
        <v>2948</v>
      </c>
      <c r="H5194" s="53">
        <v>1.0</v>
      </c>
      <c r="I5194" s="53">
        <v>0.1597222222222222</v>
      </c>
      <c r="J5194" s="53">
        <v>2.0</v>
      </c>
      <c r="K5194" s="53" t="s">
        <v>53</v>
      </c>
      <c r="L5194" s="53" t="s">
        <v>53</v>
      </c>
    </row>
    <row r="5195" ht="15.75" customHeight="1">
      <c r="A5195" s="53" t="s">
        <v>411</v>
      </c>
      <c r="B5195" s="53" t="s">
        <v>4945</v>
      </c>
      <c r="D5195" s="53" t="s">
        <v>485</v>
      </c>
      <c r="E5195" s="53" t="s">
        <v>6528</v>
      </c>
      <c r="F5195" s="53" t="s">
        <v>478</v>
      </c>
      <c r="G5195" s="53" t="s">
        <v>2942</v>
      </c>
      <c r="H5195" s="53">
        <v>1.0</v>
      </c>
      <c r="I5195" s="53">
        <v>0.2152777777777778</v>
      </c>
      <c r="J5195" s="53">
        <v>4.0</v>
      </c>
      <c r="K5195" s="53" t="s">
        <v>53</v>
      </c>
      <c r="L5195" s="53" t="s">
        <v>53</v>
      </c>
    </row>
    <row r="5196" ht="15.75" customHeight="1">
      <c r="A5196" s="53" t="s">
        <v>411</v>
      </c>
      <c r="B5196" s="53" t="s">
        <v>4945</v>
      </c>
      <c r="D5196" s="53" t="s">
        <v>485</v>
      </c>
      <c r="E5196" s="53" t="s">
        <v>6529</v>
      </c>
      <c r="F5196" s="53" t="s">
        <v>478</v>
      </c>
      <c r="G5196" s="53" t="s">
        <v>2937</v>
      </c>
      <c r="H5196" s="53">
        <v>1.0</v>
      </c>
      <c r="I5196" s="53">
        <v>0.22916666666666666</v>
      </c>
      <c r="J5196" s="53">
        <v>3.0</v>
      </c>
      <c r="K5196" s="53" t="s">
        <v>53</v>
      </c>
      <c r="L5196" s="53" t="s">
        <v>53</v>
      </c>
    </row>
    <row r="5197" ht="15.75" customHeight="1">
      <c r="A5197" s="53" t="s">
        <v>411</v>
      </c>
      <c r="B5197" s="53" t="s">
        <v>4945</v>
      </c>
      <c r="D5197" s="53" t="s">
        <v>474</v>
      </c>
      <c r="E5197" s="53" t="s">
        <v>6530</v>
      </c>
      <c r="F5197" s="53" t="s">
        <v>478</v>
      </c>
      <c r="G5197" s="53" t="s">
        <v>495</v>
      </c>
      <c r="H5197" s="53">
        <v>1.0</v>
      </c>
      <c r="I5197" s="53">
        <v>0.1506849315068493</v>
      </c>
      <c r="J5197" s="53">
        <v>0.0</v>
      </c>
      <c r="K5197" s="53" t="s">
        <v>53</v>
      </c>
      <c r="L5197" s="53" t="s">
        <v>53</v>
      </c>
    </row>
    <row r="5198" ht="15.75" customHeight="1">
      <c r="A5198" s="53" t="s">
        <v>411</v>
      </c>
      <c r="B5198" s="53" t="s">
        <v>4945</v>
      </c>
      <c r="D5198" s="53" t="s">
        <v>474</v>
      </c>
      <c r="E5198" s="53" t="s">
        <v>6531</v>
      </c>
      <c r="F5198" s="53" t="s">
        <v>478</v>
      </c>
      <c r="G5198" s="53" t="s">
        <v>2948</v>
      </c>
      <c r="H5198" s="53">
        <v>1.0</v>
      </c>
      <c r="I5198" s="53">
        <v>0.17123287671232876</v>
      </c>
      <c r="J5198" s="53">
        <v>1.0</v>
      </c>
      <c r="K5198" s="53" t="s">
        <v>53</v>
      </c>
      <c r="L5198" s="53" t="s">
        <v>53</v>
      </c>
    </row>
    <row r="5199" ht="15.75" customHeight="1">
      <c r="A5199" s="53" t="s">
        <v>411</v>
      </c>
      <c r="B5199" s="53" t="s">
        <v>4945</v>
      </c>
      <c r="D5199" s="53" t="s">
        <v>474</v>
      </c>
      <c r="E5199" s="53" t="s">
        <v>6532</v>
      </c>
      <c r="F5199" s="53" t="s">
        <v>478</v>
      </c>
      <c r="G5199" s="53" t="s">
        <v>2942</v>
      </c>
      <c r="H5199" s="53">
        <v>1.0</v>
      </c>
      <c r="I5199" s="53">
        <v>0.2054794520547945</v>
      </c>
      <c r="J5199" s="53">
        <v>3.0</v>
      </c>
      <c r="K5199" s="53" t="s">
        <v>53</v>
      </c>
      <c r="L5199" s="53" t="s">
        <v>53</v>
      </c>
    </row>
    <row r="5200" ht="15.75" customHeight="1">
      <c r="A5200" s="53" t="s">
        <v>411</v>
      </c>
      <c r="B5200" s="53" t="s">
        <v>4945</v>
      </c>
      <c r="D5200" s="53" t="s">
        <v>474</v>
      </c>
      <c r="E5200" s="53" t="s">
        <v>6533</v>
      </c>
      <c r="F5200" s="53" t="s">
        <v>478</v>
      </c>
      <c r="G5200" s="53" t="s">
        <v>2937</v>
      </c>
      <c r="H5200" s="53">
        <v>1.0</v>
      </c>
      <c r="I5200" s="53">
        <v>0.23972602739726026</v>
      </c>
      <c r="J5200" s="53">
        <v>2.0</v>
      </c>
      <c r="K5200" s="53" t="s">
        <v>53</v>
      </c>
      <c r="L5200" s="53" t="s">
        <v>53</v>
      </c>
    </row>
    <row r="5201" ht="15.75" customHeight="1">
      <c r="A5201" s="53" t="s">
        <v>411</v>
      </c>
      <c r="B5201" s="53" t="s">
        <v>4945</v>
      </c>
      <c r="D5201" s="53" t="s">
        <v>495</v>
      </c>
      <c r="E5201" s="53" t="s">
        <v>6534</v>
      </c>
      <c r="F5201" s="53" t="s">
        <v>478</v>
      </c>
      <c r="G5201" s="53" t="s">
        <v>2948</v>
      </c>
      <c r="H5201" s="53">
        <v>1.0</v>
      </c>
      <c r="I5201" s="53">
        <v>0.21830985915492956</v>
      </c>
      <c r="J5201" s="53">
        <v>0.0</v>
      </c>
      <c r="K5201" s="53" t="s">
        <v>53</v>
      </c>
      <c r="L5201" s="53" t="s">
        <v>53</v>
      </c>
    </row>
    <row r="5202" ht="15.75" customHeight="1">
      <c r="A5202" s="53" t="s">
        <v>411</v>
      </c>
      <c r="B5202" s="53" t="s">
        <v>4945</v>
      </c>
      <c r="D5202" s="53" t="s">
        <v>495</v>
      </c>
      <c r="E5202" s="53" t="s">
        <v>6535</v>
      </c>
      <c r="F5202" s="53" t="s">
        <v>478</v>
      </c>
      <c r="G5202" s="53" t="s">
        <v>2942</v>
      </c>
      <c r="H5202" s="53">
        <v>1.0</v>
      </c>
      <c r="I5202" s="53">
        <v>0.24285714285714285</v>
      </c>
      <c r="J5202" s="53">
        <v>2.0</v>
      </c>
      <c r="K5202" s="53" t="s">
        <v>53</v>
      </c>
      <c r="L5202" s="53" t="s">
        <v>53</v>
      </c>
    </row>
    <row r="5203" ht="15.75" customHeight="1">
      <c r="A5203" s="53" t="s">
        <v>411</v>
      </c>
      <c r="B5203" s="53" t="s">
        <v>4945</v>
      </c>
      <c r="D5203" s="53" t="s">
        <v>495</v>
      </c>
      <c r="E5203" s="53" t="s">
        <v>6536</v>
      </c>
      <c r="F5203" s="53" t="s">
        <v>478</v>
      </c>
      <c r="G5203" s="53" t="s">
        <v>2937</v>
      </c>
      <c r="H5203" s="53">
        <v>1.0</v>
      </c>
      <c r="I5203" s="53">
        <v>0.2753623188405797</v>
      </c>
      <c r="J5203" s="53">
        <v>1.0</v>
      </c>
      <c r="K5203" s="53" t="s">
        <v>53</v>
      </c>
      <c r="L5203" s="53" t="s">
        <v>53</v>
      </c>
    </row>
    <row r="5204" ht="15.75" customHeight="1">
      <c r="A5204" s="53" t="s">
        <v>411</v>
      </c>
      <c r="B5204" s="53" t="s">
        <v>4945</v>
      </c>
      <c r="D5204" s="53" t="s">
        <v>2948</v>
      </c>
      <c r="E5204" s="53" t="s">
        <v>6537</v>
      </c>
      <c r="F5204" s="53" t="s">
        <v>478</v>
      </c>
      <c r="G5204" s="53" t="s">
        <v>2942</v>
      </c>
      <c r="H5204" s="53">
        <v>1.0</v>
      </c>
      <c r="I5204" s="53">
        <v>0.09859154929577464</v>
      </c>
      <c r="J5204" s="53">
        <v>1.0</v>
      </c>
      <c r="K5204" s="53" t="s">
        <v>53</v>
      </c>
      <c r="L5204" s="53" t="s">
        <v>53</v>
      </c>
    </row>
    <row r="5205" ht="15.75" customHeight="1">
      <c r="A5205" s="53" t="s">
        <v>411</v>
      </c>
      <c r="B5205" s="53" t="s">
        <v>4945</v>
      </c>
      <c r="D5205" s="53" t="s">
        <v>2948</v>
      </c>
      <c r="E5205" s="53" t="s">
        <v>6538</v>
      </c>
      <c r="F5205" s="53" t="s">
        <v>478</v>
      </c>
      <c r="G5205" s="53" t="s">
        <v>2937</v>
      </c>
      <c r="H5205" s="53">
        <v>1.0</v>
      </c>
      <c r="I5205" s="53">
        <v>0.13380281690140844</v>
      </c>
      <c r="J5205" s="53">
        <v>0.0</v>
      </c>
      <c r="K5205" s="53" t="s">
        <v>53</v>
      </c>
      <c r="L5205" s="53" t="s">
        <v>53</v>
      </c>
    </row>
    <row r="5206" ht="15.75" customHeight="1">
      <c r="A5206" s="53" t="s">
        <v>411</v>
      </c>
      <c r="B5206" s="53" t="s">
        <v>4945</v>
      </c>
      <c r="D5206" s="53" t="s">
        <v>2937</v>
      </c>
      <c r="E5206" s="53" t="s">
        <v>6539</v>
      </c>
      <c r="F5206" s="53" t="s">
        <v>478</v>
      </c>
      <c r="G5206" s="53" t="s">
        <v>2942</v>
      </c>
      <c r="H5206" s="53">
        <v>1.0</v>
      </c>
      <c r="I5206" s="53">
        <v>0.07142857142857142</v>
      </c>
      <c r="J5206" s="53">
        <v>0.0</v>
      </c>
      <c r="K5206" s="53" t="s">
        <v>53</v>
      </c>
      <c r="L5206" s="53" t="s">
        <v>53</v>
      </c>
    </row>
    <row r="5207" ht="15.75" customHeight="1">
      <c r="A5207" s="53" t="s">
        <v>1002</v>
      </c>
      <c r="B5207" s="53" t="s">
        <v>4945</v>
      </c>
      <c r="D5207" s="53" t="s">
        <v>6540</v>
      </c>
      <c r="E5207" s="53" t="s">
        <v>6541</v>
      </c>
      <c r="F5207" s="53" t="s">
        <v>73</v>
      </c>
      <c r="G5207" s="53" t="s">
        <v>4248</v>
      </c>
      <c r="H5207" s="53">
        <v>1.0</v>
      </c>
      <c r="I5207" s="53">
        <v>0.25675675675675674</v>
      </c>
      <c r="J5207" s="53">
        <v>0.0</v>
      </c>
      <c r="K5207" s="53" t="s">
        <v>53</v>
      </c>
      <c r="L5207" s="53" t="s">
        <v>53</v>
      </c>
    </row>
    <row r="5208" ht="15.75" customHeight="1">
      <c r="A5208" s="53" t="s">
        <v>4745</v>
      </c>
      <c r="B5208" s="53" t="s">
        <v>4945</v>
      </c>
      <c r="D5208" s="53" t="s">
        <v>4746</v>
      </c>
      <c r="E5208" s="53" t="s">
        <v>6542</v>
      </c>
      <c r="F5208" s="53" t="s">
        <v>4862</v>
      </c>
      <c r="G5208" s="53" t="s">
        <v>4749</v>
      </c>
      <c r="H5208" s="53">
        <v>0.6</v>
      </c>
      <c r="I5208" s="53">
        <v>0.05734767025089606</v>
      </c>
      <c r="J5208" s="53">
        <v>0.0</v>
      </c>
      <c r="K5208" s="53" t="s">
        <v>53</v>
      </c>
      <c r="L5208" s="53" t="s">
        <v>1199</v>
      </c>
    </row>
    <row r="5209" ht="15.75" customHeight="1">
      <c r="A5209" s="53" t="s">
        <v>4745</v>
      </c>
      <c r="B5209" s="53" t="s">
        <v>4945</v>
      </c>
      <c r="D5209" s="53" t="s">
        <v>1232</v>
      </c>
      <c r="E5209" s="53" t="s">
        <v>6543</v>
      </c>
      <c r="F5209" s="53" t="s">
        <v>6544</v>
      </c>
      <c r="G5209" s="53" t="s">
        <v>1235</v>
      </c>
      <c r="H5209" s="53">
        <v>1.0</v>
      </c>
      <c r="I5209" s="53">
        <v>0.5649913344887348</v>
      </c>
      <c r="J5209" s="53">
        <v>0.0</v>
      </c>
      <c r="K5209" s="53" t="s">
        <v>53</v>
      </c>
      <c r="L5209" s="53" t="s">
        <v>53</v>
      </c>
    </row>
    <row r="5210" ht="15.75" customHeight="1">
      <c r="A5210" s="53" t="s">
        <v>773</v>
      </c>
      <c r="B5210" s="53" t="s">
        <v>4945</v>
      </c>
      <c r="D5210" s="53" t="s">
        <v>4386</v>
      </c>
      <c r="E5210" s="53" t="s">
        <v>6545</v>
      </c>
      <c r="F5210" s="53" t="s">
        <v>4481</v>
      </c>
      <c r="G5210" s="53" t="s">
        <v>4389</v>
      </c>
      <c r="H5210" s="53">
        <v>1.0</v>
      </c>
      <c r="I5210" s="53">
        <v>0.02032520325203252</v>
      </c>
      <c r="J5210" s="53">
        <v>0.0</v>
      </c>
      <c r="K5210" s="53" t="s">
        <v>53</v>
      </c>
      <c r="L5210" s="53" t="s">
        <v>53</v>
      </c>
    </row>
    <row r="5211" ht="15.75" customHeight="1">
      <c r="A5211" s="53" t="s">
        <v>773</v>
      </c>
      <c r="B5211" s="53" t="s">
        <v>4945</v>
      </c>
      <c r="D5211" s="53" t="s">
        <v>4386</v>
      </c>
      <c r="E5211" s="53" t="s">
        <v>6546</v>
      </c>
      <c r="F5211" s="53" t="s">
        <v>4483</v>
      </c>
      <c r="G5211" s="53" t="s">
        <v>4393</v>
      </c>
      <c r="H5211" s="53">
        <v>1.0</v>
      </c>
      <c r="I5211" s="53">
        <v>0.17427385892116182</v>
      </c>
      <c r="J5211" s="53">
        <v>1.0</v>
      </c>
      <c r="K5211" s="53" t="s">
        <v>53</v>
      </c>
      <c r="L5211" s="53" t="s">
        <v>53</v>
      </c>
    </row>
    <row r="5212" ht="15.75" customHeight="1">
      <c r="A5212" s="53" t="s">
        <v>773</v>
      </c>
      <c r="B5212" s="53" t="s">
        <v>4945</v>
      </c>
      <c r="D5212" s="53" t="s">
        <v>4386</v>
      </c>
      <c r="E5212" s="53" t="s">
        <v>6547</v>
      </c>
      <c r="F5212" s="53" t="s">
        <v>4483</v>
      </c>
      <c r="G5212" s="53" t="s">
        <v>4396</v>
      </c>
      <c r="H5212" s="53">
        <v>1.0</v>
      </c>
      <c r="I5212" s="53">
        <v>0.17634854771784234</v>
      </c>
      <c r="J5212" s="53">
        <v>2.0</v>
      </c>
      <c r="K5212" s="53" t="s">
        <v>53</v>
      </c>
      <c r="L5212" s="53" t="s">
        <v>53</v>
      </c>
    </row>
    <row r="5213" ht="15.75" customHeight="1">
      <c r="A5213" s="53" t="s">
        <v>773</v>
      </c>
      <c r="B5213" s="53" t="s">
        <v>4945</v>
      </c>
      <c r="D5213" s="53" t="s">
        <v>4389</v>
      </c>
      <c r="E5213" s="53" t="s">
        <v>6548</v>
      </c>
      <c r="F5213" s="53" t="s">
        <v>4483</v>
      </c>
      <c r="G5213" s="53" t="s">
        <v>4396</v>
      </c>
      <c r="H5213" s="53">
        <v>1.0</v>
      </c>
      <c r="I5213" s="53">
        <v>0.17073170731707318</v>
      </c>
      <c r="J5213" s="53">
        <v>1.0</v>
      </c>
      <c r="K5213" s="53" t="s">
        <v>53</v>
      </c>
      <c r="L5213" s="53" t="s">
        <v>53</v>
      </c>
    </row>
    <row r="5214" ht="15.75" customHeight="1">
      <c r="A5214" s="53" t="s">
        <v>773</v>
      </c>
      <c r="B5214" s="53" t="s">
        <v>4945</v>
      </c>
      <c r="D5214" s="53" t="s">
        <v>4389</v>
      </c>
      <c r="E5214" s="53" t="s">
        <v>6549</v>
      </c>
      <c r="F5214" s="53" t="s">
        <v>4483</v>
      </c>
      <c r="G5214" s="53" t="s">
        <v>4393</v>
      </c>
      <c r="H5214" s="53">
        <v>1.0</v>
      </c>
      <c r="I5214" s="53">
        <v>0.1910569105691057</v>
      </c>
      <c r="J5214" s="53">
        <v>0.0</v>
      </c>
      <c r="K5214" s="53" t="s">
        <v>53</v>
      </c>
      <c r="L5214" s="53" t="s">
        <v>53</v>
      </c>
    </row>
    <row r="5215" ht="15.75" customHeight="1">
      <c r="A5215" s="53" t="s">
        <v>773</v>
      </c>
      <c r="B5215" s="53" t="s">
        <v>4945</v>
      </c>
      <c r="D5215" s="53" t="s">
        <v>4393</v>
      </c>
      <c r="E5215" s="53" t="s">
        <v>6550</v>
      </c>
      <c r="F5215" s="53" t="s">
        <v>4488</v>
      </c>
      <c r="G5215" s="53" t="s">
        <v>4396</v>
      </c>
      <c r="H5215" s="53">
        <v>1.0</v>
      </c>
      <c r="I5215" s="53">
        <v>0.024509803921568627</v>
      </c>
      <c r="J5215" s="53">
        <v>0.0</v>
      </c>
      <c r="K5215" s="53" t="s">
        <v>53</v>
      </c>
      <c r="L5215" s="53" t="s">
        <v>53</v>
      </c>
    </row>
    <row r="5216" ht="15.75" customHeight="1">
      <c r="A5216" s="53" t="s">
        <v>773</v>
      </c>
      <c r="B5216" s="53" t="s">
        <v>4945</v>
      </c>
      <c r="D5216" s="53" t="s">
        <v>4399</v>
      </c>
      <c r="E5216" s="53" t="s">
        <v>6551</v>
      </c>
      <c r="F5216" s="53" t="s">
        <v>4401</v>
      </c>
      <c r="G5216" s="53" t="s">
        <v>4402</v>
      </c>
      <c r="H5216" s="53">
        <v>1.0</v>
      </c>
      <c r="I5216" s="53">
        <v>0.10830324909747292</v>
      </c>
      <c r="J5216" s="53">
        <v>0.0</v>
      </c>
      <c r="K5216" s="53" t="s">
        <v>53</v>
      </c>
      <c r="L5216" s="53" t="s">
        <v>53</v>
      </c>
    </row>
    <row r="5217" ht="15.75" customHeight="1">
      <c r="A5217" s="53" t="s">
        <v>773</v>
      </c>
      <c r="B5217" s="53" t="s">
        <v>4945</v>
      </c>
      <c r="D5217" s="53" t="s">
        <v>4399</v>
      </c>
      <c r="E5217" s="53" t="s">
        <v>6552</v>
      </c>
      <c r="F5217" s="53" t="s">
        <v>4404</v>
      </c>
      <c r="G5217" s="53" t="s">
        <v>4405</v>
      </c>
      <c r="H5217" s="53">
        <v>1.0</v>
      </c>
      <c r="I5217" s="53">
        <v>0.23452157598499063</v>
      </c>
      <c r="J5217" s="53">
        <v>1.0</v>
      </c>
      <c r="K5217" s="53" t="s">
        <v>53</v>
      </c>
      <c r="L5217" s="53" t="s">
        <v>4406</v>
      </c>
    </row>
    <row r="5218" ht="15.75" customHeight="1">
      <c r="A5218" s="53" t="s">
        <v>773</v>
      </c>
      <c r="B5218" s="53" t="s">
        <v>4945</v>
      </c>
      <c r="D5218" s="53" t="s">
        <v>4402</v>
      </c>
      <c r="E5218" s="53" t="s">
        <v>6553</v>
      </c>
      <c r="F5218" s="53" t="s">
        <v>4404</v>
      </c>
      <c r="G5218" s="53" t="s">
        <v>4405</v>
      </c>
      <c r="H5218" s="53">
        <v>1.0</v>
      </c>
      <c r="I5218" s="53">
        <v>0.19855595667870035</v>
      </c>
      <c r="J5218" s="53">
        <v>0.0</v>
      </c>
      <c r="K5218" s="53" t="s">
        <v>53</v>
      </c>
      <c r="L5218" s="53" t="s">
        <v>4406</v>
      </c>
    </row>
    <row r="5219" ht="15.75" customHeight="1">
      <c r="A5219" s="53" t="s">
        <v>773</v>
      </c>
      <c r="B5219" s="53" t="s">
        <v>4945</v>
      </c>
      <c r="D5219" s="53" t="s">
        <v>4370</v>
      </c>
      <c r="E5219" s="53" t="s">
        <v>6554</v>
      </c>
      <c r="F5219" s="53" t="s">
        <v>6555</v>
      </c>
      <c r="G5219" s="53" t="s">
        <v>4410</v>
      </c>
      <c r="H5219" s="53">
        <v>0.7142857142857143</v>
      </c>
      <c r="I5219" s="53">
        <v>0.029577464788732393</v>
      </c>
      <c r="J5219" s="53">
        <v>11.0</v>
      </c>
      <c r="K5219" s="53" t="s">
        <v>53</v>
      </c>
      <c r="L5219" s="53" t="s">
        <v>4411</v>
      </c>
    </row>
    <row r="5220" ht="15.75" customHeight="1">
      <c r="A5220" s="53" t="s">
        <v>773</v>
      </c>
      <c r="B5220" s="53" t="s">
        <v>4945</v>
      </c>
      <c r="D5220" s="53" t="s">
        <v>4412</v>
      </c>
      <c r="E5220" s="53" t="s">
        <v>6556</v>
      </c>
      <c r="F5220" s="53" t="s">
        <v>4414</v>
      </c>
      <c r="G5220" s="53" t="s">
        <v>4415</v>
      </c>
      <c r="H5220" s="53">
        <v>0.0</v>
      </c>
      <c r="I5220" s="53">
        <v>0.09393346379647749</v>
      </c>
      <c r="J5220" s="53">
        <v>2.0</v>
      </c>
      <c r="K5220" s="53" t="s">
        <v>53</v>
      </c>
      <c r="L5220" s="53" t="s">
        <v>4417</v>
      </c>
    </row>
    <row r="5221" ht="15.75" customHeight="1">
      <c r="A5221" s="53" t="s">
        <v>773</v>
      </c>
      <c r="B5221" s="53" t="s">
        <v>4945</v>
      </c>
      <c r="D5221" s="53" t="s">
        <v>4418</v>
      </c>
      <c r="E5221" s="53" t="s">
        <v>6557</v>
      </c>
      <c r="F5221" s="53" t="s">
        <v>4420</v>
      </c>
      <c r="G5221" s="53" t="s">
        <v>4415</v>
      </c>
      <c r="H5221" s="53">
        <v>1.0</v>
      </c>
      <c r="I5221" s="53">
        <v>0.6653465346534654</v>
      </c>
      <c r="J5221" s="53">
        <v>0.0</v>
      </c>
      <c r="K5221" s="53" t="s">
        <v>53</v>
      </c>
      <c r="L5221" s="53" t="s">
        <v>4421</v>
      </c>
    </row>
    <row r="5222" ht="15.75" customHeight="1">
      <c r="A5222" s="53" t="s">
        <v>773</v>
      </c>
      <c r="B5222" s="53" t="s">
        <v>4945</v>
      </c>
      <c r="D5222" s="53" t="s">
        <v>787</v>
      </c>
      <c r="E5222" s="53" t="s">
        <v>6558</v>
      </c>
      <c r="F5222" s="53" t="s">
        <v>791</v>
      </c>
      <c r="G5222" s="53" t="s">
        <v>793</v>
      </c>
      <c r="H5222" s="53">
        <v>0.3333333333333333</v>
      </c>
      <c r="I5222" s="53">
        <v>0.06887052341597796</v>
      </c>
      <c r="J5222" s="53">
        <v>3.0</v>
      </c>
      <c r="K5222" s="53" t="s">
        <v>53</v>
      </c>
      <c r="L5222" s="53" t="s">
        <v>4490</v>
      </c>
    </row>
    <row r="5223" ht="15.75" customHeight="1">
      <c r="A5223" s="53" t="s">
        <v>773</v>
      </c>
      <c r="B5223" s="53" t="s">
        <v>4945</v>
      </c>
      <c r="D5223" s="53" t="s">
        <v>799</v>
      </c>
      <c r="E5223" s="53" t="s">
        <v>6559</v>
      </c>
      <c r="F5223" s="53" t="s">
        <v>6560</v>
      </c>
      <c r="G5223" s="53" t="s">
        <v>4492</v>
      </c>
      <c r="H5223" s="53">
        <v>0.6</v>
      </c>
      <c r="I5223" s="53">
        <v>0.008759124087591242</v>
      </c>
      <c r="J5223" s="53">
        <v>3.0</v>
      </c>
      <c r="K5223" s="53" t="s">
        <v>53</v>
      </c>
      <c r="L5223" s="53" t="s">
        <v>6561</v>
      </c>
    </row>
    <row r="5224" ht="15.75" customHeight="1">
      <c r="A5224" s="53" t="s">
        <v>773</v>
      </c>
      <c r="B5224" s="53" t="s">
        <v>4945</v>
      </c>
      <c r="D5224" s="53" t="s">
        <v>799</v>
      </c>
      <c r="E5224" s="53" t="s">
        <v>6562</v>
      </c>
      <c r="F5224" s="53" t="s">
        <v>6560</v>
      </c>
      <c r="G5224" s="53" t="s">
        <v>805</v>
      </c>
      <c r="H5224" s="53">
        <v>0.6</v>
      </c>
      <c r="I5224" s="53">
        <v>0.06195965417867435</v>
      </c>
      <c r="J5224" s="53">
        <v>4.0</v>
      </c>
      <c r="K5224" s="53" t="s">
        <v>53</v>
      </c>
      <c r="L5224" s="53" t="s">
        <v>6561</v>
      </c>
    </row>
    <row r="5225" ht="15.75" customHeight="1">
      <c r="A5225" s="53" t="s">
        <v>773</v>
      </c>
      <c r="B5225" s="53" t="s">
        <v>4945</v>
      </c>
      <c r="D5225" s="53" t="s">
        <v>799</v>
      </c>
      <c r="E5225" s="53" t="s">
        <v>6563</v>
      </c>
      <c r="F5225" s="53" t="s">
        <v>6564</v>
      </c>
      <c r="G5225" s="53" t="s">
        <v>860</v>
      </c>
      <c r="H5225" s="53">
        <v>1.0</v>
      </c>
      <c r="I5225" s="53">
        <v>0.06330935251798561</v>
      </c>
      <c r="J5225" s="53">
        <v>0.0</v>
      </c>
      <c r="K5225" s="53" t="s">
        <v>53</v>
      </c>
      <c r="L5225" s="53" t="s">
        <v>53</v>
      </c>
    </row>
    <row r="5226" ht="15.75" customHeight="1">
      <c r="A5226" s="53" t="s">
        <v>773</v>
      </c>
      <c r="B5226" s="53" t="s">
        <v>4945</v>
      </c>
      <c r="D5226" s="53" t="s">
        <v>860</v>
      </c>
      <c r="E5226" s="53" t="s">
        <v>6565</v>
      </c>
      <c r="F5226" s="53" t="s">
        <v>6560</v>
      </c>
      <c r="G5226" s="53" t="s">
        <v>805</v>
      </c>
      <c r="H5226" s="53">
        <v>0.6</v>
      </c>
      <c r="I5226" s="53">
        <v>0.053237410071942444</v>
      </c>
      <c r="J5226" s="53">
        <v>3.0</v>
      </c>
      <c r="K5226" s="53" t="s">
        <v>53</v>
      </c>
      <c r="L5226" s="53" t="s">
        <v>6561</v>
      </c>
    </row>
    <row r="5227" ht="15.75" customHeight="1">
      <c r="A5227" s="53" t="s">
        <v>773</v>
      </c>
      <c r="B5227" s="53" t="s">
        <v>4945</v>
      </c>
      <c r="D5227" s="53" t="s">
        <v>860</v>
      </c>
      <c r="E5227" s="53" t="s">
        <v>6566</v>
      </c>
      <c r="F5227" s="53" t="s">
        <v>6560</v>
      </c>
      <c r="G5227" s="53" t="s">
        <v>4492</v>
      </c>
      <c r="H5227" s="53">
        <v>0.6</v>
      </c>
      <c r="I5227" s="53">
        <v>0.07194244604316546</v>
      </c>
      <c r="J5227" s="53">
        <v>2.0</v>
      </c>
      <c r="K5227" s="53" t="s">
        <v>53</v>
      </c>
      <c r="L5227" s="53" t="s">
        <v>6561</v>
      </c>
    </row>
    <row r="5228" ht="15.75" customHeight="1">
      <c r="A5228" s="53" t="s">
        <v>773</v>
      </c>
      <c r="B5228" s="53" t="s">
        <v>4945</v>
      </c>
      <c r="D5228" s="53" t="s">
        <v>4492</v>
      </c>
      <c r="E5228" s="53" t="s">
        <v>6567</v>
      </c>
      <c r="F5228" s="53" t="s">
        <v>6568</v>
      </c>
      <c r="G5228" s="53" t="s">
        <v>805</v>
      </c>
      <c r="H5228" s="53">
        <v>1.0</v>
      </c>
      <c r="I5228" s="53">
        <v>0.053314121037463975</v>
      </c>
      <c r="J5228" s="53">
        <v>0.0</v>
      </c>
      <c r="K5228" s="53" t="s">
        <v>53</v>
      </c>
      <c r="L5228" s="53" t="s">
        <v>53</v>
      </c>
    </row>
    <row r="5229" ht="15.75" customHeight="1">
      <c r="A5229" s="53" t="s">
        <v>773</v>
      </c>
      <c r="B5229" s="53" t="s">
        <v>4945</v>
      </c>
      <c r="D5229" s="53" t="s">
        <v>776</v>
      </c>
      <c r="E5229" s="53" t="s">
        <v>4496</v>
      </c>
      <c r="F5229" s="53" t="s">
        <v>4497</v>
      </c>
      <c r="G5229" s="53" t="s">
        <v>782</v>
      </c>
      <c r="H5229" s="53">
        <v>1.0</v>
      </c>
      <c r="I5229" s="53">
        <v>0.0411522633744856</v>
      </c>
      <c r="J5229" s="53">
        <v>0.0</v>
      </c>
      <c r="K5229" s="53" t="s">
        <v>53</v>
      </c>
      <c r="L5229" s="53" t="s">
        <v>53</v>
      </c>
    </row>
    <row r="5230" ht="15.75" customHeight="1">
      <c r="A5230" s="53" t="s">
        <v>2594</v>
      </c>
      <c r="B5230" s="53" t="s">
        <v>6569</v>
      </c>
      <c r="D5230" s="53" t="s">
        <v>1578</v>
      </c>
      <c r="E5230" s="53" t="s">
        <v>2595</v>
      </c>
      <c r="F5230" s="53" t="s">
        <v>1580</v>
      </c>
      <c r="G5230" s="53" t="s">
        <v>1581</v>
      </c>
      <c r="H5230" s="53">
        <v>1.0</v>
      </c>
      <c r="I5230" s="53">
        <v>0.043478260869565216</v>
      </c>
      <c r="J5230" s="53">
        <v>0.0</v>
      </c>
      <c r="K5230" s="53" t="s">
        <v>53</v>
      </c>
      <c r="L5230" s="53" t="s">
        <v>53</v>
      </c>
    </row>
    <row r="5231" ht="15.75" customHeight="1">
      <c r="A5231" s="53" t="s">
        <v>2594</v>
      </c>
      <c r="B5231" s="53" t="s">
        <v>6569</v>
      </c>
      <c r="D5231" s="53" t="s">
        <v>1232</v>
      </c>
      <c r="E5231" s="53" t="s">
        <v>4952</v>
      </c>
      <c r="F5231" s="53" t="s">
        <v>4953</v>
      </c>
      <c r="G5231" s="53" t="s">
        <v>1235</v>
      </c>
      <c r="H5231" s="53">
        <v>1.0</v>
      </c>
      <c r="I5231" s="53">
        <v>0.5669565217391305</v>
      </c>
      <c r="J5231" s="53">
        <v>0.0</v>
      </c>
      <c r="K5231" s="53" t="s">
        <v>53</v>
      </c>
      <c r="L5231" s="53" t="s">
        <v>53</v>
      </c>
    </row>
    <row r="5232" ht="15.75" customHeight="1">
      <c r="A5232" s="53" t="s">
        <v>2613</v>
      </c>
      <c r="B5232" s="53" t="s">
        <v>6569</v>
      </c>
      <c r="D5232" s="53" t="s">
        <v>1585</v>
      </c>
      <c r="E5232" s="53" t="s">
        <v>2614</v>
      </c>
      <c r="F5232" s="53" t="s">
        <v>1587</v>
      </c>
      <c r="G5232" s="53" t="s">
        <v>1588</v>
      </c>
      <c r="H5232" s="53">
        <v>1.0</v>
      </c>
      <c r="I5232" s="53">
        <v>0.043478260869565216</v>
      </c>
      <c r="J5232" s="53">
        <v>0.0</v>
      </c>
      <c r="K5232" s="53" t="s">
        <v>53</v>
      </c>
      <c r="L5232" s="53" t="s">
        <v>53</v>
      </c>
    </row>
    <row r="5233" ht="15.75" customHeight="1">
      <c r="A5233" s="53" t="s">
        <v>2613</v>
      </c>
      <c r="B5233" s="53" t="s">
        <v>6569</v>
      </c>
      <c r="D5233" s="53" t="s">
        <v>2275</v>
      </c>
      <c r="E5233" s="53" t="s">
        <v>5026</v>
      </c>
      <c r="F5233" s="53" t="s">
        <v>4793</v>
      </c>
      <c r="G5233" s="53" t="s">
        <v>2278</v>
      </c>
      <c r="H5233" s="53">
        <v>0.6</v>
      </c>
      <c r="I5233" s="53">
        <v>0.0984251968503937</v>
      </c>
      <c r="J5233" s="53">
        <v>0.0</v>
      </c>
      <c r="K5233" s="53" t="s">
        <v>53</v>
      </c>
      <c r="L5233" s="53" t="s">
        <v>1199</v>
      </c>
    </row>
    <row r="5234" ht="15.75" customHeight="1">
      <c r="A5234" s="53" t="s">
        <v>2613</v>
      </c>
      <c r="B5234" s="53" t="s">
        <v>6569</v>
      </c>
      <c r="D5234" s="53" t="s">
        <v>1232</v>
      </c>
      <c r="E5234" s="53" t="s">
        <v>5027</v>
      </c>
      <c r="F5234" s="53" t="s">
        <v>5028</v>
      </c>
      <c r="G5234" s="53" t="s">
        <v>1235</v>
      </c>
      <c r="H5234" s="53">
        <v>1.0</v>
      </c>
      <c r="I5234" s="53">
        <v>0.5669565217391305</v>
      </c>
      <c r="J5234" s="53">
        <v>0.0</v>
      </c>
      <c r="K5234" s="53" t="s">
        <v>53</v>
      </c>
      <c r="L5234" s="53" t="s">
        <v>53</v>
      </c>
    </row>
    <row r="5235" ht="15.75" customHeight="1">
      <c r="A5235" s="53" t="s">
        <v>320</v>
      </c>
      <c r="B5235" s="53" t="s">
        <v>6569</v>
      </c>
      <c r="D5235" s="53" t="s">
        <v>305</v>
      </c>
      <c r="E5235" s="53" t="s">
        <v>4796</v>
      </c>
      <c r="F5235" s="53" t="s">
        <v>4797</v>
      </c>
      <c r="G5235" s="53" t="s">
        <v>313</v>
      </c>
      <c r="H5235" s="53">
        <v>0.875</v>
      </c>
      <c r="I5235" s="53">
        <v>0.2806236080178174</v>
      </c>
      <c r="J5235" s="53">
        <v>9.0</v>
      </c>
      <c r="K5235" s="53" t="s">
        <v>53</v>
      </c>
      <c r="L5235" s="53" t="s">
        <v>2712</v>
      </c>
    </row>
    <row r="5236" ht="15.75" customHeight="1">
      <c r="A5236" s="53" t="s">
        <v>320</v>
      </c>
      <c r="B5236" s="53" t="s">
        <v>6569</v>
      </c>
      <c r="D5236" s="53" t="s">
        <v>305</v>
      </c>
      <c r="E5236" s="53" t="s">
        <v>4798</v>
      </c>
      <c r="F5236" s="53" t="s">
        <v>4797</v>
      </c>
      <c r="G5236" s="53" t="s">
        <v>2627</v>
      </c>
      <c r="H5236" s="53">
        <v>0.875</v>
      </c>
      <c r="I5236" s="53">
        <v>0.2873051224944321</v>
      </c>
      <c r="J5236" s="53">
        <v>12.0</v>
      </c>
      <c r="K5236" s="53" t="s">
        <v>53</v>
      </c>
      <c r="L5236" s="53" t="s">
        <v>2712</v>
      </c>
    </row>
    <row r="5237" ht="15.75" customHeight="1">
      <c r="A5237" s="53" t="s">
        <v>320</v>
      </c>
      <c r="B5237" s="53" t="s">
        <v>6569</v>
      </c>
      <c r="D5237" s="53" t="s">
        <v>305</v>
      </c>
      <c r="E5237" s="53" t="s">
        <v>4799</v>
      </c>
      <c r="F5237" s="53" t="s">
        <v>4797</v>
      </c>
      <c r="G5237" s="53" t="s">
        <v>2630</v>
      </c>
      <c r="H5237" s="53">
        <v>0.875</v>
      </c>
      <c r="I5237" s="53">
        <v>0.289532293986637</v>
      </c>
      <c r="J5237" s="53">
        <v>11.0</v>
      </c>
      <c r="K5237" s="53" t="s">
        <v>53</v>
      </c>
      <c r="L5237" s="53" t="s">
        <v>2712</v>
      </c>
    </row>
    <row r="5238" ht="15.75" customHeight="1">
      <c r="A5238" s="53" t="s">
        <v>320</v>
      </c>
      <c r="B5238" s="53" t="s">
        <v>6569</v>
      </c>
      <c r="D5238" s="53" t="s">
        <v>305</v>
      </c>
      <c r="E5238" s="53" t="s">
        <v>4800</v>
      </c>
      <c r="F5238" s="53" t="s">
        <v>4797</v>
      </c>
      <c r="G5238" s="53" t="s">
        <v>299</v>
      </c>
      <c r="H5238" s="53">
        <v>0.875</v>
      </c>
      <c r="I5238" s="53">
        <v>0.3276595744680851</v>
      </c>
      <c r="J5238" s="53">
        <v>10.0</v>
      </c>
      <c r="K5238" s="53" t="s">
        <v>53</v>
      </c>
      <c r="L5238" s="53" t="s">
        <v>2712</v>
      </c>
    </row>
    <row r="5239" ht="15.75" customHeight="1">
      <c r="A5239" s="53" t="s">
        <v>320</v>
      </c>
      <c r="B5239" s="53" t="s">
        <v>6569</v>
      </c>
      <c r="D5239" s="53" t="s">
        <v>1573</v>
      </c>
      <c r="E5239" s="53" t="s">
        <v>2600</v>
      </c>
      <c r="F5239" s="53" t="s">
        <v>1575</v>
      </c>
      <c r="G5239" s="53" t="s">
        <v>1576</v>
      </c>
      <c r="H5239" s="53">
        <v>1.0</v>
      </c>
      <c r="I5239" s="53">
        <v>0.04411764705882353</v>
      </c>
      <c r="J5239" s="53">
        <v>0.0</v>
      </c>
      <c r="K5239" s="53" t="s">
        <v>53</v>
      </c>
      <c r="L5239" s="53" t="s">
        <v>53</v>
      </c>
    </row>
    <row r="5240" ht="15.75" customHeight="1">
      <c r="A5240" s="53" t="s">
        <v>320</v>
      </c>
      <c r="B5240" s="53" t="s">
        <v>6569</v>
      </c>
      <c r="D5240" s="53" t="s">
        <v>1198</v>
      </c>
      <c r="E5240" s="53" t="s">
        <v>5205</v>
      </c>
      <c r="F5240" s="53" t="s">
        <v>5206</v>
      </c>
      <c r="G5240" s="53" t="s">
        <v>1195</v>
      </c>
      <c r="H5240" s="53">
        <v>0.6666666666666666</v>
      </c>
      <c r="I5240" s="53">
        <v>0.047244094488188976</v>
      </c>
      <c r="J5240" s="53">
        <v>0.0</v>
      </c>
      <c r="K5240" s="53" t="s">
        <v>53</v>
      </c>
      <c r="L5240" s="53" t="s">
        <v>1199</v>
      </c>
    </row>
    <row r="5241" ht="15.75" customHeight="1">
      <c r="A5241" s="53" t="s">
        <v>320</v>
      </c>
      <c r="B5241" s="53" t="s">
        <v>6569</v>
      </c>
      <c r="D5241" s="53" t="s">
        <v>4763</v>
      </c>
      <c r="E5241" s="53" t="s">
        <v>5207</v>
      </c>
      <c r="F5241" s="53" t="s">
        <v>5208</v>
      </c>
      <c r="G5241" s="53" t="s">
        <v>1227</v>
      </c>
      <c r="H5241" s="53">
        <v>0.8333333333333334</v>
      </c>
      <c r="I5241" s="53">
        <v>0.17183098591549295</v>
      </c>
      <c r="J5241" s="53">
        <v>2.0</v>
      </c>
      <c r="K5241" s="53" t="s">
        <v>53</v>
      </c>
      <c r="L5241" s="53" t="s">
        <v>5209</v>
      </c>
    </row>
    <row r="5242" ht="15.75" customHeight="1">
      <c r="A5242" s="53" t="s">
        <v>320</v>
      </c>
      <c r="B5242" s="53" t="s">
        <v>6569</v>
      </c>
      <c r="D5242" s="53" t="s">
        <v>4763</v>
      </c>
      <c r="E5242" s="53" t="s">
        <v>5210</v>
      </c>
      <c r="F5242" s="53" t="s">
        <v>5208</v>
      </c>
      <c r="G5242" s="53" t="s">
        <v>1230</v>
      </c>
      <c r="H5242" s="53">
        <v>0.8333333333333334</v>
      </c>
      <c r="I5242" s="53">
        <v>0.5293233082706766</v>
      </c>
      <c r="J5242" s="53">
        <v>3.0</v>
      </c>
      <c r="K5242" s="53" t="s">
        <v>53</v>
      </c>
      <c r="L5242" s="53" t="s">
        <v>5209</v>
      </c>
    </row>
    <row r="5243" ht="15.75" customHeight="1">
      <c r="A5243" s="53" t="s">
        <v>320</v>
      </c>
      <c r="B5243" s="53" t="s">
        <v>6569</v>
      </c>
      <c r="D5243" s="53" t="s">
        <v>1224</v>
      </c>
      <c r="E5243" s="53" t="s">
        <v>5211</v>
      </c>
      <c r="F5243" s="53" t="s">
        <v>5212</v>
      </c>
      <c r="G5243" s="53" t="s">
        <v>1227</v>
      </c>
      <c r="H5243" s="53">
        <v>0.8333333333333334</v>
      </c>
      <c r="I5243" s="53">
        <v>0.2857142857142857</v>
      </c>
      <c r="J5243" s="53">
        <v>0.0</v>
      </c>
      <c r="K5243" s="53" t="s">
        <v>53</v>
      </c>
      <c r="L5243" s="53" t="s">
        <v>2714</v>
      </c>
    </row>
    <row r="5244" ht="15.75" customHeight="1">
      <c r="A5244" s="53" t="s">
        <v>320</v>
      </c>
      <c r="B5244" s="53" t="s">
        <v>6569</v>
      </c>
      <c r="D5244" s="53" t="s">
        <v>1224</v>
      </c>
      <c r="E5244" s="53" t="s">
        <v>5213</v>
      </c>
      <c r="F5244" s="53" t="s">
        <v>5212</v>
      </c>
      <c r="G5244" s="53" t="s">
        <v>1230</v>
      </c>
      <c r="H5244" s="53">
        <v>0.8333333333333334</v>
      </c>
      <c r="I5244" s="53">
        <v>0.47218045112781953</v>
      </c>
      <c r="J5244" s="53">
        <v>1.0</v>
      </c>
      <c r="K5244" s="53" t="s">
        <v>53</v>
      </c>
      <c r="L5244" s="53" t="s">
        <v>2714</v>
      </c>
    </row>
    <row r="5245" ht="15.75" customHeight="1">
      <c r="A5245" s="53" t="s">
        <v>320</v>
      </c>
      <c r="B5245" s="53" t="s">
        <v>6569</v>
      </c>
      <c r="D5245" s="53" t="s">
        <v>1227</v>
      </c>
      <c r="E5245" s="53" t="s">
        <v>5214</v>
      </c>
      <c r="F5245" s="53" t="s">
        <v>5215</v>
      </c>
      <c r="G5245" s="53" t="s">
        <v>1230</v>
      </c>
      <c r="H5245" s="53">
        <v>1.0</v>
      </c>
      <c r="I5245" s="53">
        <v>0.4781954887218045</v>
      </c>
      <c r="J5245" s="53">
        <v>0.0</v>
      </c>
      <c r="K5245" s="53" t="s">
        <v>53</v>
      </c>
      <c r="L5245" s="53" t="s">
        <v>53</v>
      </c>
    </row>
    <row r="5246" ht="15.75" customHeight="1">
      <c r="A5246" s="53" t="s">
        <v>320</v>
      </c>
      <c r="B5246" s="53" t="s">
        <v>6569</v>
      </c>
      <c r="D5246" s="53" t="s">
        <v>313</v>
      </c>
      <c r="E5246" s="53" t="s">
        <v>4811</v>
      </c>
      <c r="F5246" s="53" t="s">
        <v>4812</v>
      </c>
      <c r="G5246" s="53" t="s">
        <v>2627</v>
      </c>
      <c r="H5246" s="53">
        <v>1.0</v>
      </c>
      <c r="I5246" s="53">
        <v>0.0641399416909621</v>
      </c>
      <c r="J5246" s="53">
        <v>2.0</v>
      </c>
      <c r="K5246" s="53" t="s">
        <v>53</v>
      </c>
      <c r="L5246" s="53" t="s">
        <v>53</v>
      </c>
    </row>
    <row r="5247" ht="15.75" customHeight="1">
      <c r="A5247" s="53" t="s">
        <v>320</v>
      </c>
      <c r="B5247" s="53" t="s">
        <v>6569</v>
      </c>
      <c r="D5247" s="53" t="s">
        <v>313</v>
      </c>
      <c r="E5247" s="53" t="s">
        <v>4813</v>
      </c>
      <c r="F5247" s="53" t="s">
        <v>4812</v>
      </c>
      <c r="G5247" s="53" t="s">
        <v>2630</v>
      </c>
      <c r="H5247" s="53">
        <v>1.0</v>
      </c>
      <c r="I5247" s="53">
        <v>0.06997084548104957</v>
      </c>
      <c r="J5247" s="53">
        <v>1.0</v>
      </c>
      <c r="K5247" s="53" t="s">
        <v>53</v>
      </c>
      <c r="L5247" s="53" t="s">
        <v>53</v>
      </c>
    </row>
    <row r="5248" ht="15.75" customHeight="1">
      <c r="A5248" s="53" t="s">
        <v>320</v>
      </c>
      <c r="B5248" s="53" t="s">
        <v>6569</v>
      </c>
      <c r="D5248" s="53" t="s">
        <v>313</v>
      </c>
      <c r="E5248" s="53" t="s">
        <v>4814</v>
      </c>
      <c r="F5248" s="53" t="s">
        <v>4812</v>
      </c>
      <c r="G5248" s="53" t="s">
        <v>299</v>
      </c>
      <c r="H5248" s="53">
        <v>1.0</v>
      </c>
      <c r="I5248" s="53">
        <v>0.33617021276595743</v>
      </c>
      <c r="J5248" s="53">
        <v>0.0</v>
      </c>
      <c r="K5248" s="53" t="s">
        <v>53</v>
      </c>
      <c r="L5248" s="53" t="s">
        <v>53</v>
      </c>
    </row>
    <row r="5249" ht="15.75" customHeight="1">
      <c r="A5249" s="53" t="s">
        <v>320</v>
      </c>
      <c r="B5249" s="53" t="s">
        <v>6569</v>
      </c>
      <c r="D5249" s="53" t="s">
        <v>299</v>
      </c>
      <c r="E5249" s="53" t="s">
        <v>4817</v>
      </c>
      <c r="F5249" s="53" t="s">
        <v>4812</v>
      </c>
      <c r="G5249" s="53" t="s">
        <v>2627</v>
      </c>
      <c r="H5249" s="53">
        <v>1.0</v>
      </c>
      <c r="I5249" s="53">
        <v>0.33617021276595743</v>
      </c>
      <c r="J5249" s="53">
        <v>1.0</v>
      </c>
      <c r="K5249" s="53" t="s">
        <v>53</v>
      </c>
      <c r="L5249" s="53" t="s">
        <v>53</v>
      </c>
    </row>
    <row r="5250" ht="15.75" customHeight="1">
      <c r="A5250" s="53" t="s">
        <v>320</v>
      </c>
      <c r="B5250" s="53" t="s">
        <v>6569</v>
      </c>
      <c r="D5250" s="53" t="s">
        <v>299</v>
      </c>
      <c r="E5250" s="53" t="s">
        <v>4818</v>
      </c>
      <c r="F5250" s="53" t="s">
        <v>4812</v>
      </c>
      <c r="G5250" s="53" t="s">
        <v>2630</v>
      </c>
      <c r="H5250" s="53">
        <v>1.0</v>
      </c>
      <c r="I5250" s="53">
        <v>0.3425531914893617</v>
      </c>
      <c r="J5250" s="53">
        <v>0.0</v>
      </c>
      <c r="K5250" s="53" t="s">
        <v>53</v>
      </c>
      <c r="L5250" s="53" t="s">
        <v>53</v>
      </c>
    </row>
    <row r="5251" ht="15.75" customHeight="1">
      <c r="A5251" s="53" t="s">
        <v>320</v>
      </c>
      <c r="B5251" s="53" t="s">
        <v>6569</v>
      </c>
      <c r="D5251" s="53" t="s">
        <v>2630</v>
      </c>
      <c r="E5251" s="53" t="s">
        <v>4820</v>
      </c>
      <c r="F5251" s="53" t="s">
        <v>4812</v>
      </c>
      <c r="G5251" s="53" t="s">
        <v>2627</v>
      </c>
      <c r="H5251" s="53">
        <v>1.0</v>
      </c>
      <c r="I5251" s="53">
        <v>0.012084592145015106</v>
      </c>
      <c r="J5251" s="53">
        <v>0.0</v>
      </c>
      <c r="K5251" s="53" t="s">
        <v>53</v>
      </c>
      <c r="L5251" s="53" t="s">
        <v>53</v>
      </c>
    </row>
    <row r="5252" ht="15.75" customHeight="1">
      <c r="A5252" s="53" t="s">
        <v>411</v>
      </c>
      <c r="B5252" s="53" t="s">
        <v>1030</v>
      </c>
      <c r="C5252" s="53" t="s">
        <v>1011</v>
      </c>
      <c r="D5252" s="53" t="s">
        <v>1037</v>
      </c>
      <c r="E5252" s="53" t="s">
        <v>6570</v>
      </c>
      <c r="F5252" s="53" t="s">
        <v>1035</v>
      </c>
      <c r="G5252" s="53" t="s">
        <v>1046</v>
      </c>
      <c r="H5252" s="53">
        <v>1.0</v>
      </c>
      <c r="I5252" s="53">
        <v>0.07079646017699115</v>
      </c>
      <c r="J5252" s="53">
        <v>1.0</v>
      </c>
      <c r="K5252" s="53" t="s">
        <v>6571</v>
      </c>
      <c r="L5252" s="53" t="s">
        <v>53</v>
      </c>
    </row>
    <row r="5253" ht="15.75" customHeight="1">
      <c r="A5253" s="53" t="s">
        <v>411</v>
      </c>
      <c r="B5253" s="53" t="s">
        <v>1030</v>
      </c>
      <c r="C5253" s="53" t="s">
        <v>1011</v>
      </c>
      <c r="D5253" s="53" t="s">
        <v>1037</v>
      </c>
      <c r="E5253" s="53" t="s">
        <v>6572</v>
      </c>
      <c r="F5253" s="53" t="s">
        <v>1035</v>
      </c>
      <c r="G5253" s="53" t="s">
        <v>1042</v>
      </c>
      <c r="H5253" s="53">
        <v>1.0</v>
      </c>
      <c r="I5253" s="53">
        <v>0.10476190476190476</v>
      </c>
      <c r="J5253" s="53">
        <v>0.0</v>
      </c>
      <c r="K5253" s="53" t="s">
        <v>6571</v>
      </c>
      <c r="L5253" s="53" t="s">
        <v>53</v>
      </c>
    </row>
    <row r="5254" ht="15.75" customHeight="1">
      <c r="A5254" s="53" t="s">
        <v>411</v>
      </c>
      <c r="B5254" s="53" t="s">
        <v>1030</v>
      </c>
      <c r="C5254" s="53" t="s">
        <v>1011</v>
      </c>
      <c r="D5254" s="53" t="s">
        <v>1042</v>
      </c>
      <c r="E5254" s="53" t="s">
        <v>6573</v>
      </c>
      <c r="F5254" s="53" t="s">
        <v>1035</v>
      </c>
      <c r="G5254" s="53" t="s">
        <v>1046</v>
      </c>
      <c r="H5254" s="53">
        <v>1.0</v>
      </c>
      <c r="I5254" s="53">
        <v>0.12389380530973451</v>
      </c>
      <c r="J5254" s="53">
        <v>0.0</v>
      </c>
      <c r="K5254" s="53" t="s">
        <v>6571</v>
      </c>
      <c r="L5254" s="53" t="s">
        <v>53</v>
      </c>
    </row>
    <row r="5255" ht="15.75" customHeight="1">
      <c r="A5255" s="53" t="s">
        <v>563</v>
      </c>
      <c r="B5255" s="53" t="s">
        <v>6574</v>
      </c>
      <c r="D5255" s="53" t="s">
        <v>6575</v>
      </c>
      <c r="E5255" s="53" t="s">
        <v>6576</v>
      </c>
      <c r="F5255" s="53" t="s">
        <v>73</v>
      </c>
      <c r="G5255" s="53" t="s">
        <v>589</v>
      </c>
      <c r="H5255" s="53">
        <v>1.0</v>
      </c>
      <c r="I5255" s="53">
        <v>0.3816793893129771</v>
      </c>
      <c r="J5255" s="53">
        <v>1.0</v>
      </c>
      <c r="K5255" s="53" t="s">
        <v>53</v>
      </c>
      <c r="L5255" s="53" t="s">
        <v>53</v>
      </c>
    </row>
    <row r="5256" ht="15.75" customHeight="1">
      <c r="A5256" s="53" t="s">
        <v>563</v>
      </c>
      <c r="B5256" s="53" t="s">
        <v>6574</v>
      </c>
      <c r="D5256" s="53" t="s">
        <v>6575</v>
      </c>
      <c r="E5256" s="53" t="s">
        <v>6577</v>
      </c>
      <c r="F5256" s="53" t="s">
        <v>73</v>
      </c>
      <c r="G5256" s="53" t="s">
        <v>1968</v>
      </c>
      <c r="H5256" s="53">
        <v>1.0</v>
      </c>
      <c r="I5256" s="53">
        <v>0.3816793893129771</v>
      </c>
      <c r="J5256" s="53">
        <v>2.0</v>
      </c>
      <c r="K5256" s="53" t="s">
        <v>53</v>
      </c>
      <c r="L5256" s="53" t="s">
        <v>53</v>
      </c>
    </row>
    <row r="5257" ht="15.75" customHeight="1">
      <c r="A5257" s="53" t="s">
        <v>563</v>
      </c>
      <c r="B5257" s="53" t="s">
        <v>6574</v>
      </c>
      <c r="D5257" s="53" t="s">
        <v>6575</v>
      </c>
      <c r="E5257" s="53" t="s">
        <v>6578</v>
      </c>
      <c r="F5257" s="53" t="s">
        <v>73</v>
      </c>
      <c r="G5257" s="53" t="s">
        <v>595</v>
      </c>
      <c r="H5257" s="53">
        <v>1.0</v>
      </c>
      <c r="I5257" s="53">
        <v>0.4351145038167939</v>
      </c>
      <c r="J5257" s="53">
        <v>20.0</v>
      </c>
      <c r="K5257" s="53" t="s">
        <v>53</v>
      </c>
      <c r="L5257" s="53" t="s">
        <v>53</v>
      </c>
    </row>
    <row r="5258" ht="15.75" customHeight="1">
      <c r="A5258" s="53" t="s">
        <v>563</v>
      </c>
      <c r="B5258" s="53" t="s">
        <v>6574</v>
      </c>
      <c r="D5258" s="53" t="s">
        <v>6575</v>
      </c>
      <c r="E5258" s="53" t="s">
        <v>6579</v>
      </c>
      <c r="F5258" s="53" t="s">
        <v>73</v>
      </c>
      <c r="G5258" s="53" t="s">
        <v>1976</v>
      </c>
      <c r="H5258" s="53">
        <v>1.0</v>
      </c>
      <c r="I5258" s="53">
        <v>0.44274809160305345</v>
      </c>
      <c r="J5258" s="53">
        <v>28.0</v>
      </c>
      <c r="K5258" s="53" t="s">
        <v>53</v>
      </c>
      <c r="L5258" s="53" t="s">
        <v>53</v>
      </c>
    </row>
    <row r="5259" ht="15.75" customHeight="1">
      <c r="A5259" s="53" t="s">
        <v>563</v>
      </c>
      <c r="B5259" s="53" t="s">
        <v>6574</v>
      </c>
      <c r="D5259" s="53" t="s">
        <v>6575</v>
      </c>
      <c r="E5259" s="53" t="s">
        <v>6580</v>
      </c>
      <c r="F5259" s="53" t="s">
        <v>73</v>
      </c>
      <c r="G5259" s="53" t="s">
        <v>598</v>
      </c>
      <c r="H5259" s="53">
        <v>1.0</v>
      </c>
      <c r="I5259" s="53">
        <v>0.47058823529411764</v>
      </c>
      <c r="J5259" s="53">
        <v>12.0</v>
      </c>
      <c r="K5259" s="53" t="s">
        <v>53</v>
      </c>
      <c r="L5259" s="53" t="s">
        <v>53</v>
      </c>
    </row>
    <row r="5260" ht="15.75" customHeight="1">
      <c r="A5260" s="53" t="s">
        <v>563</v>
      </c>
      <c r="B5260" s="53" t="s">
        <v>6574</v>
      </c>
      <c r="D5260" s="53" t="s">
        <v>6575</v>
      </c>
      <c r="E5260" s="53" t="s">
        <v>6581</v>
      </c>
      <c r="F5260" s="53" t="s">
        <v>73</v>
      </c>
      <c r="G5260" s="53" t="s">
        <v>603</v>
      </c>
      <c r="H5260" s="53">
        <v>1.0</v>
      </c>
      <c r="I5260" s="53">
        <v>0.48936170212765956</v>
      </c>
      <c r="J5260" s="53">
        <v>5.0</v>
      </c>
      <c r="K5260" s="53" t="s">
        <v>53</v>
      </c>
      <c r="L5260" s="53" t="s">
        <v>53</v>
      </c>
    </row>
    <row r="5261" ht="15.75" customHeight="1">
      <c r="A5261" s="53" t="s">
        <v>563</v>
      </c>
      <c r="B5261" s="53" t="s">
        <v>6574</v>
      </c>
      <c r="D5261" s="53" t="s">
        <v>6575</v>
      </c>
      <c r="E5261" s="53" t="s">
        <v>6582</v>
      </c>
      <c r="F5261" s="53" t="s">
        <v>73</v>
      </c>
      <c r="G5261" s="53" t="s">
        <v>4712</v>
      </c>
      <c r="H5261" s="53">
        <v>1.0</v>
      </c>
      <c r="I5261" s="53">
        <v>0.5737704918032787</v>
      </c>
      <c r="J5261" s="53">
        <v>17.0</v>
      </c>
      <c r="K5261" s="53" t="s">
        <v>53</v>
      </c>
      <c r="L5261" s="53" t="s">
        <v>53</v>
      </c>
    </row>
    <row r="5262" ht="15.75" customHeight="1">
      <c r="A5262" s="53" t="s">
        <v>563</v>
      </c>
      <c r="B5262" s="53" t="s">
        <v>6574</v>
      </c>
      <c r="D5262" s="53" t="s">
        <v>6575</v>
      </c>
      <c r="E5262" s="53" t="s">
        <v>6583</v>
      </c>
      <c r="F5262" s="53" t="s">
        <v>73</v>
      </c>
      <c r="G5262" s="53" t="s">
        <v>4715</v>
      </c>
      <c r="H5262" s="53">
        <v>1.0</v>
      </c>
      <c r="I5262" s="53">
        <v>0.5916230366492147</v>
      </c>
      <c r="J5262" s="53">
        <v>18.0</v>
      </c>
      <c r="K5262" s="53" t="s">
        <v>53</v>
      </c>
      <c r="L5262" s="53" t="s">
        <v>53</v>
      </c>
    </row>
    <row r="5263" ht="15.75" customHeight="1">
      <c r="A5263" s="53" t="s">
        <v>563</v>
      </c>
      <c r="B5263" s="53" t="s">
        <v>6574</v>
      </c>
      <c r="D5263" s="53" t="s">
        <v>589</v>
      </c>
      <c r="E5263" s="53" t="s">
        <v>6584</v>
      </c>
      <c r="F5263" s="53" t="s">
        <v>73</v>
      </c>
      <c r="G5263" s="53" t="s">
        <v>1968</v>
      </c>
      <c r="H5263" s="53">
        <v>1.0</v>
      </c>
      <c r="I5263" s="53">
        <v>0.008547008547008548</v>
      </c>
      <c r="J5263" s="53">
        <v>0.0</v>
      </c>
      <c r="K5263" s="53" t="s">
        <v>53</v>
      </c>
      <c r="L5263" s="53" t="s">
        <v>53</v>
      </c>
    </row>
    <row r="5264" ht="15.75" customHeight="1">
      <c r="A5264" s="53" t="s">
        <v>563</v>
      </c>
      <c r="B5264" s="53" t="s">
        <v>6574</v>
      </c>
      <c r="D5264" s="53" t="s">
        <v>589</v>
      </c>
      <c r="E5264" s="53" t="s">
        <v>6585</v>
      </c>
      <c r="F5264" s="53" t="s">
        <v>73</v>
      </c>
      <c r="G5264" s="53" t="s">
        <v>595</v>
      </c>
      <c r="H5264" s="53">
        <v>1.0</v>
      </c>
      <c r="I5264" s="53">
        <v>0.1484375</v>
      </c>
      <c r="J5264" s="53">
        <v>18.0</v>
      </c>
      <c r="K5264" s="53" t="s">
        <v>53</v>
      </c>
      <c r="L5264" s="53" t="s">
        <v>53</v>
      </c>
    </row>
    <row r="5265" ht="15.75" customHeight="1">
      <c r="A5265" s="53" t="s">
        <v>563</v>
      </c>
      <c r="B5265" s="53" t="s">
        <v>6574</v>
      </c>
      <c r="D5265" s="53" t="s">
        <v>589</v>
      </c>
      <c r="E5265" s="53" t="s">
        <v>6586</v>
      </c>
      <c r="F5265" s="53" t="s">
        <v>73</v>
      </c>
      <c r="G5265" s="53" t="s">
        <v>603</v>
      </c>
      <c r="H5265" s="53">
        <v>1.0</v>
      </c>
      <c r="I5265" s="53">
        <v>0.22695035460992907</v>
      </c>
      <c r="J5265" s="53">
        <v>3.0</v>
      </c>
      <c r="K5265" s="53" t="s">
        <v>53</v>
      </c>
      <c r="L5265" s="53" t="s">
        <v>53</v>
      </c>
    </row>
    <row r="5266" ht="15.75" customHeight="1">
      <c r="A5266" s="53" t="s">
        <v>563</v>
      </c>
      <c r="B5266" s="53" t="s">
        <v>6574</v>
      </c>
      <c r="D5266" s="53" t="s">
        <v>589</v>
      </c>
      <c r="E5266" s="53" t="s">
        <v>6587</v>
      </c>
      <c r="F5266" s="53" t="s">
        <v>73</v>
      </c>
      <c r="G5266" s="53" t="s">
        <v>598</v>
      </c>
      <c r="H5266" s="53">
        <v>1.0</v>
      </c>
      <c r="I5266" s="53">
        <v>0.25</v>
      </c>
      <c r="J5266" s="53">
        <v>10.0</v>
      </c>
      <c r="K5266" s="53" t="s">
        <v>53</v>
      </c>
      <c r="L5266" s="53" t="s">
        <v>53</v>
      </c>
    </row>
    <row r="5267" ht="15.75" customHeight="1">
      <c r="A5267" s="53" t="s">
        <v>563</v>
      </c>
      <c r="B5267" s="53" t="s">
        <v>6574</v>
      </c>
      <c r="D5267" s="53" t="s">
        <v>589</v>
      </c>
      <c r="E5267" s="53" t="s">
        <v>6588</v>
      </c>
      <c r="F5267" s="53" t="s">
        <v>73</v>
      </c>
      <c r="G5267" s="53" t="s">
        <v>1976</v>
      </c>
      <c r="H5267" s="53">
        <v>1.0</v>
      </c>
      <c r="I5267" s="53">
        <v>0.2748091603053435</v>
      </c>
      <c r="J5267" s="53">
        <v>26.0</v>
      </c>
      <c r="K5267" s="53" t="s">
        <v>53</v>
      </c>
      <c r="L5267" s="53" t="s">
        <v>53</v>
      </c>
    </row>
    <row r="5268" ht="15.75" customHeight="1">
      <c r="A5268" s="53" t="s">
        <v>563</v>
      </c>
      <c r="B5268" s="53" t="s">
        <v>6574</v>
      </c>
      <c r="D5268" s="53" t="s">
        <v>589</v>
      </c>
      <c r="E5268" s="53" t="s">
        <v>6589</v>
      </c>
      <c r="F5268" s="53" t="s">
        <v>73</v>
      </c>
      <c r="G5268" s="53" t="s">
        <v>4712</v>
      </c>
      <c r="H5268" s="53">
        <v>1.0</v>
      </c>
      <c r="I5268" s="53">
        <v>0.46994535519125685</v>
      </c>
      <c r="J5268" s="53">
        <v>15.0</v>
      </c>
      <c r="K5268" s="53" t="s">
        <v>53</v>
      </c>
      <c r="L5268" s="53" t="s">
        <v>53</v>
      </c>
    </row>
    <row r="5269" ht="15.75" customHeight="1">
      <c r="A5269" s="53" t="s">
        <v>563</v>
      </c>
      <c r="B5269" s="53" t="s">
        <v>6574</v>
      </c>
      <c r="D5269" s="53" t="s">
        <v>589</v>
      </c>
      <c r="E5269" s="53" t="s">
        <v>6590</v>
      </c>
      <c r="F5269" s="53" t="s">
        <v>73</v>
      </c>
      <c r="G5269" s="53" t="s">
        <v>4715</v>
      </c>
      <c r="H5269" s="53">
        <v>1.0</v>
      </c>
      <c r="I5269" s="53">
        <v>0.4869109947643979</v>
      </c>
      <c r="J5269" s="53">
        <v>16.0</v>
      </c>
      <c r="K5269" s="53" t="s">
        <v>53</v>
      </c>
      <c r="L5269" s="53" t="s">
        <v>53</v>
      </c>
    </row>
    <row r="5270" ht="15.75" customHeight="1">
      <c r="A5270" s="53" t="s">
        <v>563</v>
      </c>
      <c r="B5270" s="53" t="s">
        <v>6574</v>
      </c>
      <c r="D5270" s="53" t="s">
        <v>1968</v>
      </c>
      <c r="E5270" s="53" t="s">
        <v>6591</v>
      </c>
      <c r="F5270" s="53" t="s">
        <v>73</v>
      </c>
      <c r="G5270" s="53" t="s">
        <v>595</v>
      </c>
      <c r="H5270" s="53">
        <v>1.0</v>
      </c>
      <c r="I5270" s="53">
        <v>0.1484375</v>
      </c>
      <c r="J5270" s="53">
        <v>17.0</v>
      </c>
      <c r="K5270" s="53" t="s">
        <v>53</v>
      </c>
      <c r="L5270" s="53" t="s">
        <v>53</v>
      </c>
    </row>
    <row r="5271" ht="15.75" customHeight="1">
      <c r="A5271" s="53" t="s">
        <v>563</v>
      </c>
      <c r="B5271" s="53" t="s">
        <v>6574</v>
      </c>
      <c r="D5271" s="53" t="s">
        <v>1968</v>
      </c>
      <c r="E5271" s="53" t="s">
        <v>6592</v>
      </c>
      <c r="F5271" s="53" t="s">
        <v>73</v>
      </c>
      <c r="G5271" s="53" t="s">
        <v>603</v>
      </c>
      <c r="H5271" s="53">
        <v>1.0</v>
      </c>
      <c r="I5271" s="53">
        <v>0.22695035460992907</v>
      </c>
      <c r="J5271" s="53">
        <v>2.0</v>
      </c>
      <c r="K5271" s="53" t="s">
        <v>53</v>
      </c>
      <c r="L5271" s="53" t="s">
        <v>53</v>
      </c>
    </row>
    <row r="5272" ht="15.75" customHeight="1">
      <c r="A5272" s="53" t="s">
        <v>563</v>
      </c>
      <c r="B5272" s="53" t="s">
        <v>6574</v>
      </c>
      <c r="D5272" s="53" t="s">
        <v>1968</v>
      </c>
      <c r="E5272" s="53" t="s">
        <v>6593</v>
      </c>
      <c r="F5272" s="53" t="s">
        <v>73</v>
      </c>
      <c r="G5272" s="53" t="s">
        <v>598</v>
      </c>
      <c r="H5272" s="53">
        <v>1.0</v>
      </c>
      <c r="I5272" s="53">
        <v>0.25</v>
      </c>
      <c r="J5272" s="53">
        <v>9.0</v>
      </c>
      <c r="K5272" s="53" t="s">
        <v>53</v>
      </c>
      <c r="L5272" s="53" t="s">
        <v>53</v>
      </c>
    </row>
    <row r="5273" ht="15.75" customHeight="1">
      <c r="A5273" s="53" t="s">
        <v>563</v>
      </c>
      <c r="B5273" s="53" t="s">
        <v>6574</v>
      </c>
      <c r="D5273" s="53" t="s">
        <v>1968</v>
      </c>
      <c r="E5273" s="53" t="s">
        <v>6594</v>
      </c>
      <c r="F5273" s="53" t="s">
        <v>73</v>
      </c>
      <c r="G5273" s="53" t="s">
        <v>1976</v>
      </c>
      <c r="H5273" s="53">
        <v>1.0</v>
      </c>
      <c r="I5273" s="53">
        <v>0.2748091603053435</v>
      </c>
      <c r="J5273" s="53">
        <v>25.0</v>
      </c>
      <c r="K5273" s="53" t="s">
        <v>53</v>
      </c>
      <c r="L5273" s="53" t="s">
        <v>53</v>
      </c>
    </row>
    <row r="5274" ht="15.75" customHeight="1">
      <c r="A5274" s="53" t="s">
        <v>563</v>
      </c>
      <c r="B5274" s="53" t="s">
        <v>6574</v>
      </c>
      <c r="D5274" s="53" t="s">
        <v>1968</v>
      </c>
      <c r="E5274" s="53" t="s">
        <v>6595</v>
      </c>
      <c r="F5274" s="53" t="s">
        <v>73</v>
      </c>
      <c r="G5274" s="53" t="s">
        <v>4712</v>
      </c>
      <c r="H5274" s="53">
        <v>1.0</v>
      </c>
      <c r="I5274" s="53">
        <v>0.46994535519125685</v>
      </c>
      <c r="J5274" s="53">
        <v>14.0</v>
      </c>
      <c r="K5274" s="53" t="s">
        <v>53</v>
      </c>
      <c r="L5274" s="53" t="s">
        <v>53</v>
      </c>
    </row>
    <row r="5275" ht="15.75" customHeight="1">
      <c r="A5275" s="53" t="s">
        <v>563</v>
      </c>
      <c r="B5275" s="53" t="s">
        <v>6574</v>
      </c>
      <c r="D5275" s="53" t="s">
        <v>1968</v>
      </c>
      <c r="E5275" s="53" t="s">
        <v>6596</v>
      </c>
      <c r="F5275" s="53" t="s">
        <v>73</v>
      </c>
      <c r="G5275" s="53" t="s">
        <v>4715</v>
      </c>
      <c r="H5275" s="53">
        <v>1.0</v>
      </c>
      <c r="I5275" s="53">
        <v>0.4869109947643979</v>
      </c>
      <c r="J5275" s="53">
        <v>15.0</v>
      </c>
      <c r="K5275" s="53" t="s">
        <v>53</v>
      </c>
      <c r="L5275" s="53" t="s">
        <v>53</v>
      </c>
    </row>
    <row r="5276" ht="15.75" customHeight="1">
      <c r="A5276" s="53" t="s">
        <v>563</v>
      </c>
      <c r="B5276" s="53" t="s">
        <v>6574</v>
      </c>
      <c r="D5276" s="53" t="s">
        <v>605</v>
      </c>
      <c r="E5276" s="53" t="s">
        <v>6597</v>
      </c>
      <c r="F5276" s="53" t="s">
        <v>593</v>
      </c>
      <c r="G5276" s="53" t="s">
        <v>628</v>
      </c>
      <c r="H5276" s="53">
        <v>1.0</v>
      </c>
      <c r="I5276" s="53">
        <v>0.1509433962264151</v>
      </c>
      <c r="J5276" s="53">
        <v>0.0</v>
      </c>
      <c r="K5276" s="53" t="s">
        <v>53</v>
      </c>
      <c r="L5276" s="53" t="s">
        <v>53</v>
      </c>
    </row>
    <row r="5277" ht="15.75" customHeight="1">
      <c r="A5277" s="53" t="s">
        <v>563</v>
      </c>
      <c r="B5277" s="53" t="s">
        <v>6574</v>
      </c>
      <c r="D5277" s="53" t="s">
        <v>605</v>
      </c>
      <c r="E5277" s="53" t="s">
        <v>6598</v>
      </c>
      <c r="F5277" s="53" t="s">
        <v>593</v>
      </c>
      <c r="G5277" s="53" t="s">
        <v>584</v>
      </c>
      <c r="H5277" s="53">
        <v>1.0</v>
      </c>
      <c r="I5277" s="53">
        <v>0.2</v>
      </c>
      <c r="J5277" s="53">
        <v>18.0</v>
      </c>
      <c r="K5277" s="53" t="s">
        <v>53</v>
      </c>
      <c r="L5277" s="53" t="s">
        <v>53</v>
      </c>
    </row>
    <row r="5278" ht="15.75" customHeight="1">
      <c r="A5278" s="53" t="s">
        <v>563</v>
      </c>
      <c r="B5278" s="53" t="s">
        <v>6574</v>
      </c>
      <c r="D5278" s="53" t="s">
        <v>628</v>
      </c>
      <c r="E5278" s="53" t="s">
        <v>6599</v>
      </c>
      <c r="F5278" s="53" t="s">
        <v>6600</v>
      </c>
      <c r="G5278" s="53" t="s">
        <v>3958</v>
      </c>
      <c r="H5278" s="53">
        <v>0.6666666666666666</v>
      </c>
      <c r="I5278" s="53">
        <v>0.0875</v>
      </c>
      <c r="J5278" s="53">
        <v>3.0</v>
      </c>
      <c r="K5278" s="53" t="s">
        <v>53</v>
      </c>
      <c r="L5278" s="53" t="s">
        <v>4605</v>
      </c>
    </row>
    <row r="5279" ht="15.75" customHeight="1">
      <c r="A5279" s="53" t="s">
        <v>563</v>
      </c>
      <c r="B5279" s="53" t="s">
        <v>6574</v>
      </c>
      <c r="D5279" s="53" t="s">
        <v>628</v>
      </c>
      <c r="E5279" s="53" t="s">
        <v>6601</v>
      </c>
      <c r="F5279" s="53" t="s">
        <v>2477</v>
      </c>
      <c r="G5279" s="53" t="s">
        <v>662</v>
      </c>
      <c r="H5279" s="53">
        <v>0.3333333333333333</v>
      </c>
      <c r="I5279" s="53">
        <v>0.0880503144654088</v>
      </c>
      <c r="J5279" s="53">
        <v>19.0</v>
      </c>
      <c r="K5279" s="53" t="s">
        <v>53</v>
      </c>
      <c r="L5279" s="53" t="s">
        <v>1523</v>
      </c>
    </row>
    <row r="5280" ht="15.75" customHeight="1">
      <c r="A5280" s="53" t="s">
        <v>563</v>
      </c>
      <c r="B5280" s="53" t="s">
        <v>6574</v>
      </c>
      <c r="D5280" s="53" t="s">
        <v>628</v>
      </c>
      <c r="E5280" s="53" t="s">
        <v>6602</v>
      </c>
      <c r="F5280" s="53" t="s">
        <v>593</v>
      </c>
      <c r="G5280" s="53" t="s">
        <v>584</v>
      </c>
      <c r="H5280" s="53">
        <v>1.0</v>
      </c>
      <c r="I5280" s="53">
        <v>0.20754716981132076</v>
      </c>
      <c r="J5280" s="53">
        <v>17.0</v>
      </c>
      <c r="K5280" s="53" t="s">
        <v>53</v>
      </c>
      <c r="L5280" s="53" t="s">
        <v>53</v>
      </c>
    </row>
    <row r="5281" ht="15.75" customHeight="1">
      <c r="A5281" s="53" t="s">
        <v>563</v>
      </c>
      <c r="B5281" s="53" t="s">
        <v>6574</v>
      </c>
      <c r="D5281" s="53" t="s">
        <v>603</v>
      </c>
      <c r="E5281" s="53" t="s">
        <v>6603</v>
      </c>
      <c r="F5281" s="53" t="s">
        <v>73</v>
      </c>
      <c r="G5281" s="53" t="s">
        <v>598</v>
      </c>
      <c r="H5281" s="53">
        <v>1.0</v>
      </c>
      <c r="I5281" s="53">
        <v>0.16312056737588654</v>
      </c>
      <c r="J5281" s="53">
        <v>6.0</v>
      </c>
      <c r="K5281" s="53" t="s">
        <v>53</v>
      </c>
      <c r="L5281" s="53" t="s">
        <v>53</v>
      </c>
    </row>
    <row r="5282" ht="15.75" customHeight="1">
      <c r="A5282" s="53" t="s">
        <v>563</v>
      </c>
      <c r="B5282" s="53" t="s">
        <v>6574</v>
      </c>
      <c r="D5282" s="53" t="s">
        <v>603</v>
      </c>
      <c r="E5282" s="53" t="s">
        <v>6604</v>
      </c>
      <c r="F5282" s="53" t="s">
        <v>73</v>
      </c>
      <c r="G5282" s="53" t="s">
        <v>595</v>
      </c>
      <c r="H5282" s="53">
        <v>1.0</v>
      </c>
      <c r="I5282" s="53">
        <v>0.1702127659574468</v>
      </c>
      <c r="J5282" s="53">
        <v>14.0</v>
      </c>
      <c r="K5282" s="53" t="s">
        <v>53</v>
      </c>
      <c r="L5282" s="53" t="s">
        <v>53</v>
      </c>
    </row>
    <row r="5283" ht="15.75" customHeight="1">
      <c r="A5283" s="53" t="s">
        <v>563</v>
      </c>
      <c r="B5283" s="53" t="s">
        <v>6574</v>
      </c>
      <c r="D5283" s="53" t="s">
        <v>603</v>
      </c>
      <c r="E5283" s="53" t="s">
        <v>6605</v>
      </c>
      <c r="F5283" s="53" t="s">
        <v>73</v>
      </c>
      <c r="G5283" s="53" t="s">
        <v>1976</v>
      </c>
      <c r="H5283" s="53">
        <v>1.0</v>
      </c>
      <c r="I5283" s="53">
        <v>0.24113475177304963</v>
      </c>
      <c r="J5283" s="53">
        <v>22.0</v>
      </c>
      <c r="K5283" s="53" t="s">
        <v>53</v>
      </c>
      <c r="L5283" s="53" t="s">
        <v>53</v>
      </c>
    </row>
    <row r="5284" ht="15.75" customHeight="1">
      <c r="A5284" s="53" t="s">
        <v>563</v>
      </c>
      <c r="B5284" s="53" t="s">
        <v>6574</v>
      </c>
      <c r="D5284" s="53" t="s">
        <v>603</v>
      </c>
      <c r="E5284" s="53" t="s">
        <v>6606</v>
      </c>
      <c r="F5284" s="53" t="s">
        <v>73</v>
      </c>
      <c r="G5284" s="53" t="s">
        <v>4712</v>
      </c>
      <c r="H5284" s="53">
        <v>1.0</v>
      </c>
      <c r="I5284" s="53">
        <v>0.46994535519125685</v>
      </c>
      <c r="J5284" s="53">
        <v>11.0</v>
      </c>
      <c r="K5284" s="53" t="s">
        <v>53</v>
      </c>
      <c r="L5284" s="53" t="s">
        <v>53</v>
      </c>
    </row>
    <row r="5285" ht="15.75" customHeight="1">
      <c r="A5285" s="53" t="s">
        <v>563</v>
      </c>
      <c r="B5285" s="53" t="s">
        <v>6574</v>
      </c>
      <c r="D5285" s="53" t="s">
        <v>603</v>
      </c>
      <c r="E5285" s="53" t="s">
        <v>6607</v>
      </c>
      <c r="F5285" s="53" t="s">
        <v>73</v>
      </c>
      <c r="G5285" s="53" t="s">
        <v>4715</v>
      </c>
      <c r="H5285" s="53">
        <v>1.0</v>
      </c>
      <c r="I5285" s="53">
        <v>0.4869109947643979</v>
      </c>
      <c r="J5285" s="53">
        <v>12.0</v>
      </c>
      <c r="K5285" s="53" t="s">
        <v>53</v>
      </c>
      <c r="L5285" s="53" t="s">
        <v>53</v>
      </c>
    </row>
    <row r="5286" ht="15.75" customHeight="1">
      <c r="A5286" s="53" t="s">
        <v>563</v>
      </c>
      <c r="B5286" s="53" t="s">
        <v>6574</v>
      </c>
      <c r="D5286" s="53" t="s">
        <v>620</v>
      </c>
      <c r="E5286" s="53" t="s">
        <v>6608</v>
      </c>
      <c r="F5286" s="53" t="s">
        <v>6609</v>
      </c>
      <c r="G5286" s="53" t="s">
        <v>3958</v>
      </c>
      <c r="H5286" s="53">
        <v>1.0</v>
      </c>
      <c r="I5286" s="53">
        <v>0.15</v>
      </c>
      <c r="J5286" s="53">
        <v>0.0</v>
      </c>
      <c r="K5286" s="53" t="s">
        <v>53</v>
      </c>
      <c r="L5286" s="53" t="s">
        <v>53</v>
      </c>
    </row>
    <row r="5287" ht="15.75" customHeight="1">
      <c r="A5287" s="53" t="s">
        <v>563</v>
      </c>
      <c r="B5287" s="53" t="s">
        <v>6574</v>
      </c>
      <c r="D5287" s="53" t="s">
        <v>3958</v>
      </c>
      <c r="E5287" s="53" t="s">
        <v>6610</v>
      </c>
      <c r="F5287" s="53" t="s">
        <v>6611</v>
      </c>
      <c r="G5287" s="53" t="s">
        <v>3963</v>
      </c>
      <c r="H5287" s="53">
        <v>0.5</v>
      </c>
      <c r="I5287" s="53">
        <v>0.0875</v>
      </c>
      <c r="J5287" s="53">
        <v>18.0</v>
      </c>
      <c r="K5287" s="53" t="s">
        <v>53</v>
      </c>
      <c r="L5287" s="53" t="s">
        <v>1523</v>
      </c>
    </row>
    <row r="5288" ht="15.75" customHeight="1">
      <c r="A5288" s="53" t="s">
        <v>563</v>
      </c>
      <c r="B5288" s="53" t="s">
        <v>6574</v>
      </c>
      <c r="D5288" s="53" t="s">
        <v>598</v>
      </c>
      <c r="E5288" s="53" t="s">
        <v>6612</v>
      </c>
      <c r="F5288" s="53" t="s">
        <v>73</v>
      </c>
      <c r="G5288" s="53" t="s">
        <v>1976</v>
      </c>
      <c r="H5288" s="53">
        <v>1.0</v>
      </c>
      <c r="I5288" s="53">
        <v>0.08088235294117647</v>
      </c>
      <c r="J5288" s="53">
        <v>15.0</v>
      </c>
      <c r="K5288" s="53" t="s">
        <v>53</v>
      </c>
      <c r="L5288" s="53" t="s">
        <v>53</v>
      </c>
    </row>
    <row r="5289" ht="15.75" customHeight="1">
      <c r="A5289" s="53" t="s">
        <v>563</v>
      </c>
      <c r="B5289" s="53" t="s">
        <v>6574</v>
      </c>
      <c r="D5289" s="53" t="s">
        <v>598</v>
      </c>
      <c r="E5289" s="53" t="s">
        <v>6613</v>
      </c>
      <c r="F5289" s="53" t="s">
        <v>73</v>
      </c>
      <c r="G5289" s="53" t="s">
        <v>595</v>
      </c>
      <c r="H5289" s="53">
        <v>1.0</v>
      </c>
      <c r="I5289" s="53">
        <v>0.2647058823529412</v>
      </c>
      <c r="J5289" s="53">
        <v>7.0</v>
      </c>
      <c r="K5289" s="53" t="s">
        <v>53</v>
      </c>
      <c r="L5289" s="53" t="s">
        <v>53</v>
      </c>
    </row>
    <row r="5290" ht="15.75" customHeight="1">
      <c r="A5290" s="53" t="s">
        <v>563</v>
      </c>
      <c r="B5290" s="53" t="s">
        <v>6574</v>
      </c>
      <c r="D5290" s="53" t="s">
        <v>598</v>
      </c>
      <c r="E5290" s="53" t="s">
        <v>6614</v>
      </c>
      <c r="F5290" s="53" t="s">
        <v>73</v>
      </c>
      <c r="G5290" s="53" t="s">
        <v>4712</v>
      </c>
      <c r="H5290" s="53">
        <v>1.0</v>
      </c>
      <c r="I5290" s="53">
        <v>0.48633879781420764</v>
      </c>
      <c r="J5290" s="53">
        <v>4.0</v>
      </c>
      <c r="K5290" s="53" t="s">
        <v>53</v>
      </c>
      <c r="L5290" s="53" t="s">
        <v>53</v>
      </c>
    </row>
    <row r="5291" ht="15.75" customHeight="1">
      <c r="A5291" s="53" t="s">
        <v>563</v>
      </c>
      <c r="B5291" s="53" t="s">
        <v>6574</v>
      </c>
      <c r="D5291" s="53" t="s">
        <v>598</v>
      </c>
      <c r="E5291" s="53" t="s">
        <v>6615</v>
      </c>
      <c r="F5291" s="53" t="s">
        <v>73</v>
      </c>
      <c r="G5291" s="53" t="s">
        <v>4715</v>
      </c>
      <c r="H5291" s="53">
        <v>1.0</v>
      </c>
      <c r="I5291" s="53">
        <v>0.5078534031413613</v>
      </c>
      <c r="J5291" s="53">
        <v>5.0</v>
      </c>
      <c r="K5291" s="53" t="s">
        <v>53</v>
      </c>
      <c r="L5291" s="53" t="s">
        <v>53</v>
      </c>
    </row>
    <row r="5292" ht="15.75" customHeight="1">
      <c r="A5292" s="53" t="s">
        <v>563</v>
      </c>
      <c r="B5292" s="53" t="s">
        <v>6574</v>
      </c>
      <c r="D5292" s="53" t="s">
        <v>4004</v>
      </c>
      <c r="E5292" s="53" t="s">
        <v>6616</v>
      </c>
      <c r="F5292" s="53" t="s">
        <v>6617</v>
      </c>
      <c r="G5292" s="53" t="s">
        <v>4007</v>
      </c>
      <c r="H5292" s="53">
        <v>1.0</v>
      </c>
      <c r="I5292" s="53">
        <v>0.14074074074074075</v>
      </c>
      <c r="J5292" s="53">
        <v>5.0</v>
      </c>
      <c r="K5292" s="53" t="s">
        <v>53</v>
      </c>
      <c r="L5292" s="53" t="s">
        <v>53</v>
      </c>
    </row>
    <row r="5293" ht="15.75" customHeight="1">
      <c r="A5293" s="53" t="s">
        <v>563</v>
      </c>
      <c r="B5293" s="53" t="s">
        <v>6574</v>
      </c>
      <c r="D5293" s="53" t="s">
        <v>701</v>
      </c>
      <c r="E5293" s="53" t="s">
        <v>3945</v>
      </c>
      <c r="F5293" s="53" t="s">
        <v>705</v>
      </c>
      <c r="G5293" s="53" t="s">
        <v>3946</v>
      </c>
      <c r="H5293" s="53">
        <v>1.0</v>
      </c>
      <c r="I5293" s="53">
        <v>0.0859375</v>
      </c>
      <c r="J5293" s="53">
        <v>0.0</v>
      </c>
      <c r="K5293" s="53" t="s">
        <v>53</v>
      </c>
      <c r="L5293" s="53" t="s">
        <v>53</v>
      </c>
    </row>
    <row r="5294" ht="15.75" customHeight="1">
      <c r="A5294" s="53" t="s">
        <v>563</v>
      </c>
      <c r="B5294" s="53" t="s">
        <v>6574</v>
      </c>
      <c r="D5294" s="53" t="s">
        <v>701</v>
      </c>
      <c r="E5294" s="53" t="s">
        <v>3948</v>
      </c>
      <c r="F5294" s="53" t="s">
        <v>705</v>
      </c>
      <c r="G5294" s="53" t="s">
        <v>3949</v>
      </c>
      <c r="H5294" s="53">
        <v>1.0</v>
      </c>
      <c r="I5294" s="53">
        <v>0.15217391304347827</v>
      </c>
      <c r="J5294" s="53">
        <v>1.0</v>
      </c>
      <c r="K5294" s="53" t="s">
        <v>53</v>
      </c>
      <c r="L5294" s="53" t="s">
        <v>53</v>
      </c>
    </row>
    <row r="5295" ht="15.75" customHeight="1">
      <c r="A5295" s="53" t="s">
        <v>563</v>
      </c>
      <c r="B5295" s="53" t="s">
        <v>6574</v>
      </c>
      <c r="D5295" s="53" t="s">
        <v>701</v>
      </c>
      <c r="E5295" s="53" t="s">
        <v>703</v>
      </c>
      <c r="F5295" s="53" t="s">
        <v>705</v>
      </c>
      <c r="G5295" s="53" t="s">
        <v>707</v>
      </c>
      <c r="H5295" s="53">
        <v>1.0</v>
      </c>
      <c r="I5295" s="53">
        <v>0.22033898305084745</v>
      </c>
      <c r="J5295" s="53">
        <v>6.0</v>
      </c>
      <c r="K5295" s="53" t="s">
        <v>53</v>
      </c>
      <c r="L5295" s="53" t="s">
        <v>53</v>
      </c>
    </row>
    <row r="5296" ht="15.75" customHeight="1">
      <c r="A5296" s="53" t="s">
        <v>563</v>
      </c>
      <c r="B5296" s="53" t="s">
        <v>6574</v>
      </c>
      <c r="D5296" s="53" t="s">
        <v>3946</v>
      </c>
      <c r="E5296" s="53" t="s">
        <v>3950</v>
      </c>
      <c r="F5296" s="53" t="s">
        <v>705</v>
      </c>
      <c r="G5296" s="53" t="s">
        <v>3949</v>
      </c>
      <c r="H5296" s="53">
        <v>1.0</v>
      </c>
      <c r="I5296" s="53">
        <v>0.07971014492753623</v>
      </c>
      <c r="J5296" s="53">
        <v>0.0</v>
      </c>
      <c r="K5296" s="53" t="s">
        <v>53</v>
      </c>
      <c r="L5296" s="53" t="s">
        <v>53</v>
      </c>
    </row>
    <row r="5297" ht="15.75" customHeight="1">
      <c r="A5297" s="53" t="s">
        <v>563</v>
      </c>
      <c r="B5297" s="53" t="s">
        <v>6574</v>
      </c>
      <c r="D5297" s="53" t="s">
        <v>3946</v>
      </c>
      <c r="E5297" s="53" t="s">
        <v>6618</v>
      </c>
      <c r="F5297" s="53" t="s">
        <v>705</v>
      </c>
      <c r="G5297" s="53" t="s">
        <v>707</v>
      </c>
      <c r="H5297" s="53">
        <v>1.0</v>
      </c>
      <c r="I5297" s="53">
        <v>0.2890625</v>
      </c>
      <c r="J5297" s="53">
        <v>5.0</v>
      </c>
      <c r="K5297" s="53" t="s">
        <v>53</v>
      </c>
      <c r="L5297" s="53" t="s">
        <v>53</v>
      </c>
    </row>
    <row r="5298" ht="15.75" customHeight="1">
      <c r="A5298" s="53" t="s">
        <v>563</v>
      </c>
      <c r="B5298" s="53" t="s">
        <v>6574</v>
      </c>
      <c r="D5298" s="53" t="s">
        <v>3949</v>
      </c>
      <c r="E5298" s="53" t="s">
        <v>6619</v>
      </c>
      <c r="F5298" s="53" t="s">
        <v>705</v>
      </c>
      <c r="G5298" s="53" t="s">
        <v>707</v>
      </c>
      <c r="H5298" s="53">
        <v>1.0</v>
      </c>
      <c r="I5298" s="53">
        <v>0.34057971014492755</v>
      </c>
      <c r="J5298" s="53">
        <v>4.0</v>
      </c>
      <c r="K5298" s="53" t="s">
        <v>53</v>
      </c>
      <c r="L5298" s="53" t="s">
        <v>53</v>
      </c>
    </row>
    <row r="5299" ht="15.75" customHeight="1">
      <c r="A5299" s="53" t="s">
        <v>563</v>
      </c>
      <c r="B5299" s="53" t="s">
        <v>6574</v>
      </c>
      <c r="D5299" s="53" t="s">
        <v>4712</v>
      </c>
      <c r="E5299" s="53" t="s">
        <v>6620</v>
      </c>
      <c r="F5299" s="53" t="s">
        <v>73</v>
      </c>
      <c r="G5299" s="53" t="s">
        <v>4715</v>
      </c>
      <c r="H5299" s="53">
        <v>1.0</v>
      </c>
      <c r="I5299" s="53">
        <v>0.041884816753926704</v>
      </c>
      <c r="J5299" s="53">
        <v>0.0</v>
      </c>
      <c r="K5299" s="53" t="s">
        <v>53</v>
      </c>
      <c r="L5299" s="53" t="s">
        <v>53</v>
      </c>
    </row>
    <row r="5300" ht="15.75" customHeight="1">
      <c r="A5300" s="53" t="s">
        <v>563</v>
      </c>
      <c r="B5300" s="53" t="s">
        <v>6574</v>
      </c>
      <c r="D5300" s="53" t="s">
        <v>4712</v>
      </c>
      <c r="E5300" s="53" t="s">
        <v>6621</v>
      </c>
      <c r="F5300" s="53" t="s">
        <v>73</v>
      </c>
      <c r="G5300" s="53" t="s">
        <v>595</v>
      </c>
      <c r="H5300" s="53">
        <v>1.0</v>
      </c>
      <c r="I5300" s="53">
        <v>0.45901639344262296</v>
      </c>
      <c r="J5300" s="53">
        <v>2.0</v>
      </c>
      <c r="K5300" s="53" t="s">
        <v>53</v>
      </c>
      <c r="L5300" s="53" t="s">
        <v>53</v>
      </c>
    </row>
    <row r="5301" ht="15.75" customHeight="1">
      <c r="A5301" s="53" t="s">
        <v>563</v>
      </c>
      <c r="B5301" s="53" t="s">
        <v>6574</v>
      </c>
      <c r="D5301" s="53" t="s">
        <v>4712</v>
      </c>
      <c r="E5301" s="53" t="s">
        <v>6622</v>
      </c>
      <c r="F5301" s="53" t="s">
        <v>73</v>
      </c>
      <c r="G5301" s="53" t="s">
        <v>1976</v>
      </c>
      <c r="H5301" s="53">
        <v>1.0</v>
      </c>
      <c r="I5301" s="53">
        <v>0.5027322404371585</v>
      </c>
      <c r="J5301" s="53">
        <v>10.0</v>
      </c>
      <c r="K5301" s="53" t="s">
        <v>53</v>
      </c>
      <c r="L5301" s="53" t="s">
        <v>53</v>
      </c>
    </row>
    <row r="5302" ht="15.75" customHeight="1">
      <c r="A5302" s="53" t="s">
        <v>563</v>
      </c>
      <c r="B5302" s="53" t="s">
        <v>6574</v>
      </c>
      <c r="D5302" s="53" t="s">
        <v>4715</v>
      </c>
      <c r="E5302" s="53" t="s">
        <v>6623</v>
      </c>
      <c r="F5302" s="53" t="s">
        <v>73</v>
      </c>
      <c r="G5302" s="53" t="s">
        <v>595</v>
      </c>
      <c r="H5302" s="53">
        <v>1.0</v>
      </c>
      <c r="I5302" s="53">
        <v>0.47643979057591623</v>
      </c>
      <c r="J5302" s="53">
        <v>1.0</v>
      </c>
      <c r="K5302" s="53" t="s">
        <v>53</v>
      </c>
      <c r="L5302" s="53" t="s">
        <v>53</v>
      </c>
    </row>
    <row r="5303" ht="15.75" customHeight="1">
      <c r="A5303" s="53" t="s">
        <v>563</v>
      </c>
      <c r="B5303" s="53" t="s">
        <v>6574</v>
      </c>
      <c r="D5303" s="53" t="s">
        <v>4715</v>
      </c>
      <c r="E5303" s="53" t="s">
        <v>6624</v>
      </c>
      <c r="F5303" s="53" t="s">
        <v>73</v>
      </c>
      <c r="G5303" s="53" t="s">
        <v>1976</v>
      </c>
      <c r="H5303" s="53">
        <v>1.0</v>
      </c>
      <c r="I5303" s="53">
        <v>0.5235602094240838</v>
      </c>
      <c r="J5303" s="53">
        <v>9.0</v>
      </c>
      <c r="K5303" s="53" t="s">
        <v>53</v>
      </c>
      <c r="L5303" s="53" t="s">
        <v>53</v>
      </c>
    </row>
    <row r="5304" ht="15.75" customHeight="1">
      <c r="A5304" s="53" t="s">
        <v>563</v>
      </c>
      <c r="B5304" s="53" t="s">
        <v>6574</v>
      </c>
      <c r="D5304" s="53" t="s">
        <v>595</v>
      </c>
      <c r="E5304" s="53" t="s">
        <v>6625</v>
      </c>
      <c r="F5304" s="53" t="s">
        <v>73</v>
      </c>
      <c r="G5304" s="53" t="s">
        <v>1976</v>
      </c>
      <c r="H5304" s="53">
        <v>1.0</v>
      </c>
      <c r="I5304" s="53">
        <v>0.32061068702290074</v>
      </c>
      <c r="J5304" s="53">
        <v>7.0</v>
      </c>
      <c r="K5304" s="53" t="s">
        <v>53</v>
      </c>
      <c r="L5304" s="53" t="s">
        <v>53</v>
      </c>
    </row>
    <row r="5305" ht="15.75" customHeight="1">
      <c r="A5305" s="53" t="s">
        <v>563</v>
      </c>
      <c r="B5305" s="53" t="s">
        <v>6574</v>
      </c>
      <c r="D5305" s="53" t="s">
        <v>656</v>
      </c>
      <c r="E5305" s="53" t="s">
        <v>6626</v>
      </c>
      <c r="F5305" s="53" t="s">
        <v>6627</v>
      </c>
      <c r="G5305" s="53" t="s">
        <v>662</v>
      </c>
      <c r="H5305" s="53">
        <v>1.0</v>
      </c>
      <c r="I5305" s="53">
        <v>0.3270440251572327</v>
      </c>
      <c r="J5305" s="53">
        <v>0.0</v>
      </c>
      <c r="K5305" s="53" t="s">
        <v>53</v>
      </c>
      <c r="L5305" s="53" t="s">
        <v>53</v>
      </c>
    </row>
    <row r="5306" ht="15.75" customHeight="1">
      <c r="A5306" s="53" t="s">
        <v>563</v>
      </c>
      <c r="B5306" s="53" t="s">
        <v>6574</v>
      </c>
      <c r="D5306" s="53" t="s">
        <v>656</v>
      </c>
      <c r="E5306" s="53" t="s">
        <v>6628</v>
      </c>
      <c r="F5306" s="53" t="s">
        <v>6627</v>
      </c>
      <c r="G5306" s="53" t="s">
        <v>578</v>
      </c>
      <c r="H5306" s="53">
        <v>1.0</v>
      </c>
      <c r="I5306" s="53">
        <v>0.41353383458646614</v>
      </c>
      <c r="J5306" s="53">
        <v>29.0</v>
      </c>
      <c r="K5306" s="53" t="s">
        <v>53</v>
      </c>
      <c r="L5306" s="53" t="s">
        <v>53</v>
      </c>
    </row>
    <row r="5307" ht="15.75" customHeight="1">
      <c r="A5307" s="53" t="s">
        <v>563</v>
      </c>
      <c r="B5307" s="53" t="s">
        <v>6574</v>
      </c>
      <c r="D5307" s="53" t="s">
        <v>662</v>
      </c>
      <c r="E5307" s="53" t="s">
        <v>6629</v>
      </c>
      <c r="F5307" s="53" t="s">
        <v>6630</v>
      </c>
      <c r="G5307" s="53" t="s">
        <v>3963</v>
      </c>
      <c r="H5307" s="53">
        <v>0.6666666666666666</v>
      </c>
      <c r="I5307" s="53">
        <v>0.0875</v>
      </c>
      <c r="J5307" s="53">
        <v>2.0</v>
      </c>
      <c r="K5307" s="53" t="s">
        <v>53</v>
      </c>
      <c r="L5307" s="53" t="s">
        <v>4605</v>
      </c>
    </row>
    <row r="5308" ht="15.75" customHeight="1">
      <c r="A5308" s="53" t="s">
        <v>563</v>
      </c>
      <c r="B5308" s="53" t="s">
        <v>6574</v>
      </c>
      <c r="D5308" s="53" t="s">
        <v>662</v>
      </c>
      <c r="E5308" s="53" t="s">
        <v>6631</v>
      </c>
      <c r="F5308" s="53" t="s">
        <v>6627</v>
      </c>
      <c r="G5308" s="53" t="s">
        <v>578</v>
      </c>
      <c r="H5308" s="53">
        <v>1.0</v>
      </c>
      <c r="I5308" s="53">
        <v>0.20754716981132076</v>
      </c>
      <c r="J5308" s="53">
        <v>28.0</v>
      </c>
      <c r="K5308" s="53" t="s">
        <v>53</v>
      </c>
      <c r="L5308" s="53" t="s">
        <v>53</v>
      </c>
    </row>
    <row r="5309" ht="15.75" customHeight="1">
      <c r="A5309" s="53" t="s">
        <v>563</v>
      </c>
      <c r="B5309" s="53" t="s">
        <v>6574</v>
      </c>
      <c r="D5309" s="53" t="s">
        <v>832</v>
      </c>
      <c r="E5309" s="53" t="s">
        <v>6632</v>
      </c>
      <c r="F5309" s="53" t="s">
        <v>6633</v>
      </c>
      <c r="G5309" s="53" t="s">
        <v>3963</v>
      </c>
      <c r="H5309" s="53">
        <v>1.0</v>
      </c>
      <c r="I5309" s="53">
        <v>0.325</v>
      </c>
      <c r="J5309" s="53">
        <v>0.0</v>
      </c>
      <c r="K5309" s="53" t="s">
        <v>53</v>
      </c>
      <c r="L5309" s="53" t="s">
        <v>53</v>
      </c>
    </row>
    <row r="5310" ht="15.75" customHeight="1">
      <c r="A5310" s="53" t="s">
        <v>563</v>
      </c>
      <c r="B5310" s="53" t="s">
        <v>6574</v>
      </c>
      <c r="D5310" s="53" t="s">
        <v>611</v>
      </c>
      <c r="E5310" s="53" t="s">
        <v>6634</v>
      </c>
      <c r="F5310" s="53" t="s">
        <v>6635</v>
      </c>
      <c r="G5310" s="53" t="s">
        <v>635</v>
      </c>
      <c r="H5310" s="53">
        <v>0.75</v>
      </c>
      <c r="I5310" s="53">
        <v>0.12571428571428572</v>
      </c>
      <c r="J5310" s="53">
        <v>3.0</v>
      </c>
      <c r="K5310" s="53" t="s">
        <v>53</v>
      </c>
      <c r="L5310" s="53" t="s">
        <v>4643</v>
      </c>
    </row>
    <row r="5311" ht="15.75" customHeight="1">
      <c r="A5311" s="53" t="s">
        <v>563</v>
      </c>
      <c r="B5311" s="53" t="s">
        <v>6574</v>
      </c>
      <c r="D5311" s="53" t="s">
        <v>636</v>
      </c>
      <c r="E5311" s="53" t="s">
        <v>6636</v>
      </c>
      <c r="F5311" s="53" t="s">
        <v>6637</v>
      </c>
      <c r="G5311" s="53" t="s">
        <v>645</v>
      </c>
      <c r="H5311" s="53">
        <v>1.0</v>
      </c>
      <c r="I5311" s="53">
        <v>0.030534351145038167</v>
      </c>
      <c r="J5311" s="53">
        <v>0.0</v>
      </c>
      <c r="K5311" s="53" t="s">
        <v>53</v>
      </c>
      <c r="L5311" s="53" t="s">
        <v>53</v>
      </c>
    </row>
    <row r="5312" ht="15.75" customHeight="1">
      <c r="A5312" s="53" t="s">
        <v>563</v>
      </c>
      <c r="B5312" s="53" t="s">
        <v>6574</v>
      </c>
      <c r="D5312" s="53" t="s">
        <v>642</v>
      </c>
      <c r="E5312" s="53" t="s">
        <v>4644</v>
      </c>
      <c r="F5312" s="53" t="s">
        <v>4645</v>
      </c>
      <c r="G5312" s="53" t="s">
        <v>651</v>
      </c>
      <c r="H5312" s="53">
        <v>0.7142857142857143</v>
      </c>
      <c r="I5312" s="53">
        <v>0.08506616257088846</v>
      </c>
      <c r="J5312" s="53">
        <v>0.0</v>
      </c>
      <c r="K5312" s="53" t="s">
        <v>53</v>
      </c>
      <c r="L5312" s="53" t="s">
        <v>4646</v>
      </c>
    </row>
    <row r="5313" ht="15.75" customHeight="1">
      <c r="A5313" s="53" t="s">
        <v>563</v>
      </c>
      <c r="B5313" s="53" t="s">
        <v>6574</v>
      </c>
      <c r="D5313" s="53" t="s">
        <v>717</v>
      </c>
      <c r="E5313" s="53" t="s">
        <v>4134</v>
      </c>
      <c r="F5313" s="53" t="s">
        <v>715</v>
      </c>
      <c r="G5313" s="53" t="s">
        <v>723</v>
      </c>
      <c r="H5313" s="53">
        <v>1.0</v>
      </c>
      <c r="I5313" s="53">
        <v>0.02127659574468085</v>
      </c>
      <c r="J5313" s="53">
        <v>0.0</v>
      </c>
      <c r="K5313" s="53" t="s">
        <v>53</v>
      </c>
      <c r="L5313" s="53" t="s">
        <v>53</v>
      </c>
    </row>
    <row r="5314" ht="15.75" customHeight="1">
      <c r="A5314" s="53" t="s">
        <v>563</v>
      </c>
      <c r="B5314" s="53" t="s">
        <v>6574</v>
      </c>
      <c r="D5314" s="53" t="s">
        <v>717</v>
      </c>
      <c r="E5314" s="53" t="s">
        <v>6638</v>
      </c>
      <c r="F5314" s="53" t="s">
        <v>715</v>
      </c>
      <c r="G5314" s="53" t="s">
        <v>711</v>
      </c>
      <c r="H5314" s="53">
        <v>1.0</v>
      </c>
      <c r="I5314" s="53">
        <v>0.3617021276595745</v>
      </c>
      <c r="J5314" s="53">
        <v>1.0</v>
      </c>
      <c r="K5314" s="53" t="s">
        <v>53</v>
      </c>
      <c r="L5314" s="53" t="s">
        <v>53</v>
      </c>
    </row>
    <row r="5315" ht="15.75" customHeight="1">
      <c r="A5315" s="53" t="s">
        <v>563</v>
      </c>
      <c r="B5315" s="53" t="s">
        <v>6574</v>
      </c>
      <c r="D5315" s="53" t="s">
        <v>723</v>
      </c>
      <c r="E5315" s="53" t="s">
        <v>6639</v>
      </c>
      <c r="F5315" s="53" t="s">
        <v>715</v>
      </c>
      <c r="G5315" s="53" t="s">
        <v>711</v>
      </c>
      <c r="H5315" s="53">
        <v>1.0</v>
      </c>
      <c r="I5315" s="53">
        <v>0.3617021276595745</v>
      </c>
      <c r="J5315" s="53">
        <v>0.0</v>
      </c>
      <c r="K5315" s="53" t="s">
        <v>53</v>
      </c>
      <c r="L5315" s="53" t="s">
        <v>53</v>
      </c>
    </row>
    <row r="5316" ht="15.75" customHeight="1">
      <c r="A5316" s="53" t="s">
        <v>563</v>
      </c>
      <c r="B5316" s="53" t="s">
        <v>6574</v>
      </c>
      <c r="D5316" s="53" t="s">
        <v>4136</v>
      </c>
      <c r="E5316" s="53" t="s">
        <v>4650</v>
      </c>
      <c r="F5316" s="53" t="s">
        <v>4651</v>
      </c>
      <c r="G5316" s="53" t="s">
        <v>4139</v>
      </c>
      <c r="H5316" s="53">
        <v>1.0</v>
      </c>
      <c r="I5316" s="53">
        <v>0.015625</v>
      </c>
      <c r="J5316" s="53">
        <v>0.0</v>
      </c>
      <c r="K5316" s="53" t="s">
        <v>53</v>
      </c>
      <c r="L5316" s="53" t="s">
        <v>53</v>
      </c>
    </row>
    <row r="5317" ht="15.75" customHeight="1">
      <c r="A5317" s="53" t="s">
        <v>563</v>
      </c>
      <c r="B5317" s="53" t="s">
        <v>6574</v>
      </c>
      <c r="D5317" s="53" t="s">
        <v>4447</v>
      </c>
      <c r="E5317" s="53" t="s">
        <v>4647</v>
      </c>
      <c r="F5317" s="53" t="s">
        <v>4648</v>
      </c>
      <c r="G5317" s="53" t="s">
        <v>4450</v>
      </c>
      <c r="H5317" s="53">
        <v>0.8333333333333334</v>
      </c>
      <c r="I5317" s="53">
        <v>0.34967320261437906</v>
      </c>
      <c r="J5317" s="53">
        <v>0.0</v>
      </c>
      <c r="K5317" s="53" t="s">
        <v>53</v>
      </c>
      <c r="L5317" s="53" t="s">
        <v>4452</v>
      </c>
    </row>
    <row r="5318" ht="15.75" customHeight="1">
      <c r="A5318" s="53" t="s">
        <v>563</v>
      </c>
      <c r="B5318" s="53" t="s">
        <v>6574</v>
      </c>
      <c r="D5318" s="53" t="s">
        <v>4447</v>
      </c>
      <c r="E5318" s="53" t="s">
        <v>4649</v>
      </c>
      <c r="F5318" s="53" t="s">
        <v>4648</v>
      </c>
      <c r="G5318" s="53" t="s">
        <v>4454</v>
      </c>
      <c r="H5318" s="53">
        <v>0.8333333333333334</v>
      </c>
      <c r="I5318" s="53">
        <v>0.35294117647058826</v>
      </c>
      <c r="J5318" s="53">
        <v>1.0</v>
      </c>
      <c r="K5318" s="53" t="s">
        <v>53</v>
      </c>
      <c r="L5318" s="53" t="s">
        <v>4452</v>
      </c>
    </row>
    <row r="5319" ht="15.75" customHeight="1">
      <c r="A5319" s="53" t="s">
        <v>563</v>
      </c>
      <c r="B5319" s="53" t="s">
        <v>6574</v>
      </c>
      <c r="D5319" s="53" t="s">
        <v>4450</v>
      </c>
      <c r="E5319" s="53" t="s">
        <v>4652</v>
      </c>
      <c r="F5319" s="53" t="s">
        <v>4653</v>
      </c>
      <c r="G5319" s="53" t="s">
        <v>4454</v>
      </c>
      <c r="H5319" s="53">
        <v>1.0</v>
      </c>
      <c r="I5319" s="53">
        <v>0.011764705882352941</v>
      </c>
      <c r="J5319" s="53">
        <v>0.0</v>
      </c>
      <c r="K5319" s="53" t="s">
        <v>53</v>
      </c>
      <c r="L5319" s="53" t="s">
        <v>53</v>
      </c>
    </row>
    <row r="5320" ht="15.75" customHeight="1">
      <c r="A5320" s="53" t="s">
        <v>563</v>
      </c>
      <c r="B5320" s="53" t="s">
        <v>6574</v>
      </c>
      <c r="D5320" s="53" t="s">
        <v>4881</v>
      </c>
      <c r="E5320" s="53" t="s">
        <v>6640</v>
      </c>
      <c r="F5320" s="53" t="s">
        <v>6641</v>
      </c>
      <c r="G5320" s="53" t="s">
        <v>4883</v>
      </c>
      <c r="H5320" s="53">
        <v>1.0</v>
      </c>
      <c r="I5320" s="53">
        <v>0.018957345971563982</v>
      </c>
      <c r="J5320" s="53">
        <v>0.0</v>
      </c>
      <c r="K5320" s="53" t="s">
        <v>53</v>
      </c>
      <c r="L5320" s="53" t="s">
        <v>53</v>
      </c>
    </row>
    <row r="5321" ht="15.75" customHeight="1">
      <c r="A5321" s="53" t="s">
        <v>515</v>
      </c>
      <c r="B5321" s="53" t="s">
        <v>6642</v>
      </c>
      <c r="C5321" s="53" t="s">
        <v>6643</v>
      </c>
      <c r="D5321" s="53" t="s">
        <v>1060</v>
      </c>
      <c r="E5321" s="53" t="s">
        <v>6644</v>
      </c>
      <c r="F5321" s="53" t="s">
        <v>6645</v>
      </c>
      <c r="G5321" s="53" t="s">
        <v>1066</v>
      </c>
      <c r="H5321" s="53">
        <v>0.875</v>
      </c>
      <c r="I5321" s="53">
        <v>0.03323836657169991</v>
      </c>
      <c r="J5321" s="53">
        <v>0.0</v>
      </c>
      <c r="K5321" s="53" t="s">
        <v>6646</v>
      </c>
      <c r="L5321" s="53" t="s">
        <v>6647</v>
      </c>
    </row>
    <row r="5322" ht="15.75" customHeight="1">
      <c r="A5322" s="53" t="s">
        <v>1093</v>
      </c>
      <c r="B5322" s="53" t="s">
        <v>1094</v>
      </c>
      <c r="C5322" s="53" t="s">
        <v>1011</v>
      </c>
      <c r="D5322" s="53" t="s">
        <v>1101</v>
      </c>
      <c r="E5322" s="53" t="s">
        <v>6648</v>
      </c>
      <c r="F5322" s="53" t="s">
        <v>1099</v>
      </c>
      <c r="G5322" s="53" t="s">
        <v>1107</v>
      </c>
      <c r="H5322" s="53">
        <v>1.0</v>
      </c>
      <c r="I5322" s="53">
        <v>0.04201680672268908</v>
      </c>
      <c r="J5322" s="53">
        <v>0.0</v>
      </c>
      <c r="K5322" s="53" t="s">
        <v>6649</v>
      </c>
      <c r="L5322" s="53" t="s">
        <v>53</v>
      </c>
    </row>
    <row r="5323" ht="15.75" customHeight="1">
      <c r="A5323" s="53" t="s">
        <v>1093</v>
      </c>
      <c r="B5323" s="53" t="s">
        <v>1094</v>
      </c>
      <c r="C5323" s="53" t="s">
        <v>1011</v>
      </c>
      <c r="D5323" s="53" t="s">
        <v>6650</v>
      </c>
      <c r="E5323" s="53" t="s">
        <v>6651</v>
      </c>
      <c r="F5323" s="53" t="s">
        <v>73</v>
      </c>
      <c r="G5323" s="53" t="s">
        <v>6652</v>
      </c>
      <c r="H5323" s="53">
        <v>1.0</v>
      </c>
      <c r="I5323" s="53">
        <v>0.4686907020872865</v>
      </c>
      <c r="J5323" s="53">
        <v>0.0</v>
      </c>
      <c r="K5323" s="53" t="s">
        <v>6649</v>
      </c>
      <c r="L5323" s="53" t="s">
        <v>53</v>
      </c>
    </row>
    <row r="5324" ht="15.75" customHeight="1">
      <c r="A5324" s="53" t="s">
        <v>2608</v>
      </c>
      <c r="B5324" s="53" t="s">
        <v>6653</v>
      </c>
      <c r="D5324" s="53" t="s">
        <v>4946</v>
      </c>
      <c r="E5324" s="53" t="s">
        <v>4947</v>
      </c>
      <c r="F5324" s="53" t="s">
        <v>73</v>
      </c>
      <c r="G5324" s="53" t="s">
        <v>4948</v>
      </c>
      <c r="H5324" s="53">
        <v>1.0</v>
      </c>
      <c r="I5324" s="53">
        <v>0.6302521008403361</v>
      </c>
      <c r="J5324" s="53">
        <v>4.0</v>
      </c>
      <c r="K5324" s="53" t="s">
        <v>53</v>
      </c>
      <c r="L5324" s="53" t="s">
        <v>53</v>
      </c>
    </row>
    <row r="5325" ht="15.75" customHeight="1">
      <c r="A5325" s="53" t="s">
        <v>2608</v>
      </c>
      <c r="B5325" s="53" t="s">
        <v>6653</v>
      </c>
      <c r="D5325" s="53" t="s">
        <v>4946</v>
      </c>
      <c r="E5325" s="53" t="s">
        <v>4949</v>
      </c>
      <c r="F5325" s="53" t="s">
        <v>73</v>
      </c>
      <c r="G5325" s="53" t="s">
        <v>4950</v>
      </c>
      <c r="H5325" s="53">
        <v>1.0</v>
      </c>
      <c r="I5325" s="53">
        <v>0.632</v>
      </c>
      <c r="J5325" s="53">
        <v>3.0</v>
      </c>
      <c r="K5325" s="53" t="s">
        <v>53</v>
      </c>
      <c r="L5325" s="53" t="s">
        <v>53</v>
      </c>
    </row>
    <row r="5326" ht="15.75" customHeight="1">
      <c r="A5326" s="53" t="s">
        <v>2608</v>
      </c>
      <c r="B5326" s="53" t="s">
        <v>6653</v>
      </c>
      <c r="D5326" s="53" t="s">
        <v>4950</v>
      </c>
      <c r="E5326" s="53" t="s">
        <v>6654</v>
      </c>
      <c r="F5326" s="53" t="s">
        <v>73</v>
      </c>
      <c r="G5326" s="53" t="s">
        <v>4948</v>
      </c>
      <c r="H5326" s="53">
        <v>1.0</v>
      </c>
      <c r="I5326" s="53">
        <v>0.048</v>
      </c>
      <c r="J5326" s="53">
        <v>0.0</v>
      </c>
      <c r="K5326" s="53" t="s">
        <v>53</v>
      </c>
      <c r="L5326" s="53" t="s">
        <v>53</v>
      </c>
    </row>
    <row r="5327" ht="15.75" customHeight="1">
      <c r="A5327" s="53" t="s">
        <v>2608</v>
      </c>
      <c r="B5327" s="53" t="s">
        <v>6653</v>
      </c>
      <c r="D5327" s="53" t="s">
        <v>1614</v>
      </c>
      <c r="E5327" s="53" t="s">
        <v>1988</v>
      </c>
      <c r="F5327" s="53" t="s">
        <v>1616</v>
      </c>
      <c r="G5327" s="53" t="s">
        <v>1617</v>
      </c>
      <c r="H5327" s="53">
        <v>1.0</v>
      </c>
      <c r="I5327" s="53">
        <v>0.4954545454545455</v>
      </c>
      <c r="J5327" s="53">
        <v>1.0</v>
      </c>
      <c r="K5327" s="53" t="s">
        <v>53</v>
      </c>
      <c r="L5327" s="53" t="s">
        <v>53</v>
      </c>
    </row>
    <row r="5328" ht="15.75" customHeight="1">
      <c r="A5328" s="53" t="s">
        <v>2608</v>
      </c>
      <c r="B5328" s="53" t="s">
        <v>6653</v>
      </c>
      <c r="D5328" s="53" t="s">
        <v>1614</v>
      </c>
      <c r="E5328" s="53" t="s">
        <v>1990</v>
      </c>
      <c r="F5328" s="53" t="s">
        <v>1619</v>
      </c>
      <c r="G5328" s="53" t="s">
        <v>1620</v>
      </c>
      <c r="H5328" s="53">
        <v>1.0</v>
      </c>
      <c r="I5328" s="53">
        <v>0.5981132075471698</v>
      </c>
      <c r="J5328" s="53">
        <v>0.0</v>
      </c>
      <c r="K5328" s="53" t="s">
        <v>53</v>
      </c>
      <c r="L5328" s="53" t="s">
        <v>53</v>
      </c>
    </row>
    <row r="5329" ht="15.75" customHeight="1">
      <c r="A5329" s="53" t="s">
        <v>2608</v>
      </c>
      <c r="B5329" s="53" t="s">
        <v>6653</v>
      </c>
      <c r="D5329" s="53" t="s">
        <v>1620</v>
      </c>
      <c r="E5329" s="53" t="s">
        <v>1992</v>
      </c>
      <c r="F5329" s="53" t="s">
        <v>1622</v>
      </c>
      <c r="G5329" s="53" t="s">
        <v>1617</v>
      </c>
      <c r="H5329" s="53">
        <v>1.0</v>
      </c>
      <c r="I5329" s="53">
        <v>0.7886792452830189</v>
      </c>
      <c r="J5329" s="53">
        <v>0.0</v>
      </c>
      <c r="K5329" s="53" t="s">
        <v>53</v>
      </c>
      <c r="L5329" s="53" t="s">
        <v>53</v>
      </c>
    </row>
    <row r="5330" ht="15.75" customHeight="1">
      <c r="A5330" s="53" t="s">
        <v>6655</v>
      </c>
      <c r="B5330" s="53" t="s">
        <v>6656</v>
      </c>
      <c r="D5330" s="53" t="s">
        <v>6657</v>
      </c>
      <c r="E5330" s="53" t="s">
        <v>6658</v>
      </c>
      <c r="F5330" s="53" t="s">
        <v>6659</v>
      </c>
      <c r="G5330" s="53" t="s">
        <v>6660</v>
      </c>
      <c r="H5330" s="53">
        <v>0.6</v>
      </c>
      <c r="I5330" s="53">
        <v>0.04040404040404041</v>
      </c>
      <c r="J5330" s="53">
        <v>1.0</v>
      </c>
      <c r="K5330" s="53" t="s">
        <v>53</v>
      </c>
      <c r="L5330" s="53" t="s">
        <v>6661</v>
      </c>
    </row>
    <row r="5331" ht="15.75" customHeight="1">
      <c r="A5331" s="53" t="s">
        <v>6655</v>
      </c>
      <c r="B5331" s="53" t="s">
        <v>6656</v>
      </c>
      <c r="D5331" s="53" t="s">
        <v>6657</v>
      </c>
      <c r="E5331" s="53" t="s">
        <v>6662</v>
      </c>
      <c r="F5331" s="53" t="s">
        <v>6663</v>
      </c>
      <c r="G5331" s="53" t="s">
        <v>6664</v>
      </c>
      <c r="H5331" s="53">
        <v>0.6</v>
      </c>
      <c r="I5331" s="53">
        <v>0.04713804713804714</v>
      </c>
      <c r="J5331" s="53">
        <v>2.0</v>
      </c>
      <c r="K5331" s="53" t="s">
        <v>53</v>
      </c>
      <c r="L5331" s="53" t="s">
        <v>6665</v>
      </c>
    </row>
    <row r="5332" ht="15.75" customHeight="1">
      <c r="A5332" s="53" t="s">
        <v>6655</v>
      </c>
      <c r="B5332" s="53" t="s">
        <v>6656</v>
      </c>
      <c r="D5332" s="53" t="s">
        <v>6657</v>
      </c>
      <c r="E5332" s="53" t="s">
        <v>6666</v>
      </c>
      <c r="F5332" s="53" t="s">
        <v>6667</v>
      </c>
      <c r="G5332" s="53" t="s">
        <v>6668</v>
      </c>
      <c r="H5332" s="53">
        <v>0.42857142857142855</v>
      </c>
      <c r="I5332" s="53">
        <v>0.0926517571884984</v>
      </c>
      <c r="J5332" s="53">
        <v>0.0</v>
      </c>
      <c r="K5332" s="53" t="s">
        <v>53</v>
      </c>
      <c r="L5332" s="53" t="s">
        <v>6669</v>
      </c>
    </row>
    <row r="5333" ht="15.75" customHeight="1">
      <c r="A5333" s="53" t="s">
        <v>6655</v>
      </c>
      <c r="B5333" s="53" t="s">
        <v>6656</v>
      </c>
      <c r="D5333" s="53" t="s">
        <v>6668</v>
      </c>
      <c r="E5333" s="53" t="s">
        <v>6670</v>
      </c>
      <c r="F5333" s="53" t="s">
        <v>6671</v>
      </c>
      <c r="G5333" s="53" t="s">
        <v>6660</v>
      </c>
      <c r="H5333" s="53">
        <v>0.42857142857142855</v>
      </c>
      <c r="I5333" s="53">
        <v>0.08945686900958466</v>
      </c>
      <c r="J5333" s="53">
        <v>0.0</v>
      </c>
      <c r="K5333" s="53" t="s">
        <v>53</v>
      </c>
      <c r="L5333" s="53" t="s">
        <v>6672</v>
      </c>
    </row>
    <row r="5334" ht="15.75" customHeight="1">
      <c r="A5334" s="53" t="s">
        <v>6655</v>
      </c>
      <c r="B5334" s="53" t="s">
        <v>6656</v>
      </c>
      <c r="D5334" s="53" t="s">
        <v>6660</v>
      </c>
      <c r="E5334" s="53" t="s">
        <v>6673</v>
      </c>
      <c r="F5334" s="53" t="s">
        <v>6674</v>
      </c>
      <c r="G5334" s="53" t="s">
        <v>6664</v>
      </c>
      <c r="H5334" s="53">
        <v>0.6</v>
      </c>
      <c r="I5334" s="53">
        <v>0.05723905723905724</v>
      </c>
      <c r="J5334" s="53">
        <v>0.0</v>
      </c>
      <c r="K5334" s="53" t="s">
        <v>53</v>
      </c>
      <c r="L5334" s="53" t="s">
        <v>6675</v>
      </c>
    </row>
    <row r="5335" ht="15.75" customHeight="1">
      <c r="A5335" s="53" t="s">
        <v>6655</v>
      </c>
      <c r="B5335" s="53" t="s">
        <v>6676</v>
      </c>
      <c r="C5335" s="53" t="s">
        <v>6656</v>
      </c>
      <c r="D5335" s="53" t="s">
        <v>6677</v>
      </c>
      <c r="E5335" s="53" t="s">
        <v>6678</v>
      </c>
      <c r="F5335" s="53" t="s">
        <v>6679</v>
      </c>
      <c r="G5335" s="53" t="s">
        <v>6680</v>
      </c>
      <c r="H5335" s="53">
        <v>0.6</v>
      </c>
      <c r="I5335" s="53">
        <v>0.039473684210526314</v>
      </c>
      <c r="J5335" s="53">
        <v>0.0</v>
      </c>
      <c r="K5335" s="53" t="s">
        <v>53</v>
      </c>
      <c r="L5335" s="53" t="s">
        <v>6681</v>
      </c>
    </row>
    <row r="5336" ht="15.75" customHeight="1">
      <c r="A5336" s="53" t="s">
        <v>6655</v>
      </c>
      <c r="B5336" s="53" t="s">
        <v>6676</v>
      </c>
      <c r="C5336" s="53" t="s">
        <v>6656</v>
      </c>
      <c r="D5336" s="53" t="s">
        <v>6682</v>
      </c>
      <c r="E5336" s="53" t="s">
        <v>6683</v>
      </c>
      <c r="F5336" s="53" t="s">
        <v>6684</v>
      </c>
      <c r="G5336" s="53" t="s">
        <v>6685</v>
      </c>
      <c r="H5336" s="53">
        <v>1.0</v>
      </c>
      <c r="I5336" s="53">
        <v>0.033426183844011144</v>
      </c>
      <c r="J5336" s="53">
        <v>1.0</v>
      </c>
      <c r="K5336" s="53" t="s">
        <v>53</v>
      </c>
      <c r="L5336" s="53" t="s">
        <v>53</v>
      </c>
    </row>
    <row r="5337" ht="15.75" customHeight="1">
      <c r="A5337" s="53" t="s">
        <v>6686</v>
      </c>
      <c r="B5337" s="53" t="s">
        <v>6687</v>
      </c>
      <c r="D5337" s="53" t="s">
        <v>6668</v>
      </c>
      <c r="E5337" s="53" t="s">
        <v>6688</v>
      </c>
      <c r="F5337" s="53" t="s">
        <v>6689</v>
      </c>
      <c r="G5337" s="53" t="s">
        <v>6682</v>
      </c>
      <c r="H5337" s="53">
        <v>1.0</v>
      </c>
      <c r="I5337" s="53">
        <v>0.037037037037037035</v>
      </c>
      <c r="J5337" s="53">
        <v>0.0</v>
      </c>
      <c r="K5337" s="53" t="s">
        <v>53</v>
      </c>
      <c r="L5337" s="53" t="s">
        <v>53</v>
      </c>
    </row>
    <row r="5338" ht="15.75" customHeight="1">
      <c r="A5338" s="53" t="s">
        <v>6686</v>
      </c>
      <c r="B5338" s="53" t="s">
        <v>6687</v>
      </c>
      <c r="D5338" s="53" t="s">
        <v>6668</v>
      </c>
      <c r="E5338" s="53" t="s">
        <v>6690</v>
      </c>
      <c r="F5338" s="53" t="s">
        <v>6689</v>
      </c>
      <c r="G5338" s="53" t="s">
        <v>6685</v>
      </c>
      <c r="H5338" s="53">
        <v>1.0</v>
      </c>
      <c r="I5338" s="53">
        <v>0.052980132450331126</v>
      </c>
      <c r="J5338" s="53">
        <v>2.0</v>
      </c>
      <c r="K5338" s="53" t="s">
        <v>53</v>
      </c>
      <c r="L5338" s="53" t="s">
        <v>53</v>
      </c>
    </row>
    <row r="5339" ht="15.75" customHeight="1">
      <c r="A5339" s="53" t="s">
        <v>6686</v>
      </c>
      <c r="B5339" s="53" t="s">
        <v>6687</v>
      </c>
      <c r="D5339" s="53" t="s">
        <v>6668</v>
      </c>
      <c r="E5339" s="53" t="s">
        <v>6691</v>
      </c>
      <c r="F5339" s="53" t="s">
        <v>6692</v>
      </c>
      <c r="G5339" s="53" t="s">
        <v>6693</v>
      </c>
      <c r="H5339" s="53">
        <v>0.875</v>
      </c>
      <c r="I5339" s="53">
        <v>0.4532871972318339</v>
      </c>
      <c r="J5339" s="53">
        <v>3.0</v>
      </c>
      <c r="K5339" s="53" t="s">
        <v>53</v>
      </c>
      <c r="L5339" s="53" t="s">
        <v>6694</v>
      </c>
    </row>
    <row r="5340" ht="15.75" customHeight="1">
      <c r="A5340" s="53" t="s">
        <v>6686</v>
      </c>
      <c r="B5340" s="53" t="s">
        <v>6687</v>
      </c>
      <c r="D5340" s="53" t="s">
        <v>6682</v>
      </c>
      <c r="E5340" s="53" t="s">
        <v>6695</v>
      </c>
      <c r="F5340" s="53" t="s">
        <v>6689</v>
      </c>
      <c r="G5340" s="53" t="s">
        <v>6685</v>
      </c>
      <c r="H5340" s="53">
        <v>1.0</v>
      </c>
      <c r="I5340" s="53">
        <v>0.039735099337748346</v>
      </c>
      <c r="J5340" s="53">
        <v>1.0</v>
      </c>
      <c r="K5340" s="53" t="s">
        <v>53</v>
      </c>
      <c r="L5340" s="53" t="s">
        <v>53</v>
      </c>
    </row>
    <row r="5341" ht="15.75" customHeight="1">
      <c r="A5341" s="53" t="s">
        <v>6686</v>
      </c>
      <c r="B5341" s="53" t="s">
        <v>6687</v>
      </c>
      <c r="D5341" s="53" t="s">
        <v>6682</v>
      </c>
      <c r="E5341" s="53" t="s">
        <v>6696</v>
      </c>
      <c r="F5341" s="53" t="s">
        <v>6692</v>
      </c>
      <c r="G5341" s="53" t="s">
        <v>6693</v>
      </c>
      <c r="H5341" s="53">
        <v>0.875</v>
      </c>
      <c r="I5341" s="53">
        <v>0.4444444444444444</v>
      </c>
      <c r="J5341" s="53">
        <v>2.0</v>
      </c>
      <c r="K5341" s="53" t="s">
        <v>53</v>
      </c>
      <c r="L5341" s="53" t="s">
        <v>6694</v>
      </c>
    </row>
    <row r="5342" ht="15.75" customHeight="1">
      <c r="A5342" s="53" t="s">
        <v>6686</v>
      </c>
      <c r="B5342" s="53" t="s">
        <v>6687</v>
      </c>
      <c r="D5342" s="53" t="s">
        <v>6685</v>
      </c>
      <c r="E5342" s="53" t="s">
        <v>6697</v>
      </c>
      <c r="F5342" s="53" t="s">
        <v>6692</v>
      </c>
      <c r="G5342" s="53" t="s">
        <v>6693</v>
      </c>
      <c r="H5342" s="53">
        <v>0.875</v>
      </c>
      <c r="I5342" s="53">
        <v>0.45364238410596025</v>
      </c>
      <c r="J5342" s="53">
        <v>0.0</v>
      </c>
      <c r="K5342" s="53" t="s">
        <v>53</v>
      </c>
      <c r="L5342" s="53" t="s">
        <v>6694</v>
      </c>
    </row>
    <row r="5343" ht="15.75" customHeight="1">
      <c r="A5343" s="53" t="s">
        <v>260</v>
      </c>
      <c r="B5343" s="53" t="s">
        <v>6698</v>
      </c>
      <c r="D5343" s="53" t="s">
        <v>2645</v>
      </c>
      <c r="E5343" s="53" t="s">
        <v>6699</v>
      </c>
      <c r="F5343" s="53" t="s">
        <v>2647</v>
      </c>
      <c r="G5343" s="53" t="s">
        <v>2648</v>
      </c>
      <c r="H5343" s="53">
        <v>1.0</v>
      </c>
      <c r="I5343" s="53">
        <v>0.0273972602739726</v>
      </c>
      <c r="J5343" s="53">
        <v>2.0</v>
      </c>
      <c r="K5343" s="53" t="s">
        <v>53</v>
      </c>
      <c r="L5343" s="53" t="s">
        <v>53</v>
      </c>
    </row>
    <row r="5344" ht="15.75" customHeight="1">
      <c r="A5344" s="53" t="s">
        <v>260</v>
      </c>
      <c r="B5344" s="53" t="s">
        <v>6698</v>
      </c>
      <c r="D5344" s="53" t="s">
        <v>2645</v>
      </c>
      <c r="E5344" s="53" t="s">
        <v>6700</v>
      </c>
      <c r="F5344" s="53" t="s">
        <v>2647</v>
      </c>
      <c r="G5344" s="53" t="s">
        <v>274</v>
      </c>
      <c r="H5344" s="53">
        <v>1.0</v>
      </c>
      <c r="I5344" s="53">
        <v>0.1038961038961039</v>
      </c>
      <c r="J5344" s="53">
        <v>0.0</v>
      </c>
      <c r="K5344" s="53" t="s">
        <v>53</v>
      </c>
      <c r="L5344" s="53" t="s">
        <v>53</v>
      </c>
    </row>
    <row r="5345" ht="15.75" customHeight="1">
      <c r="A5345" s="53" t="s">
        <v>260</v>
      </c>
      <c r="B5345" s="53" t="s">
        <v>6698</v>
      </c>
      <c r="D5345" s="53" t="s">
        <v>2645</v>
      </c>
      <c r="E5345" s="53" t="s">
        <v>6701</v>
      </c>
      <c r="F5345" s="53" t="s">
        <v>2647</v>
      </c>
      <c r="G5345" s="53" t="s">
        <v>2653</v>
      </c>
      <c r="H5345" s="53">
        <v>1.0</v>
      </c>
      <c r="I5345" s="53">
        <v>0.1095890410958904</v>
      </c>
      <c r="J5345" s="53">
        <v>14.0</v>
      </c>
      <c r="K5345" s="53" t="s">
        <v>53</v>
      </c>
      <c r="L5345" s="53" t="s">
        <v>53</v>
      </c>
    </row>
    <row r="5346" ht="15.75" customHeight="1">
      <c r="A5346" s="53" t="s">
        <v>260</v>
      </c>
      <c r="B5346" s="53" t="s">
        <v>6698</v>
      </c>
      <c r="D5346" s="53" t="s">
        <v>2645</v>
      </c>
      <c r="E5346" s="53" t="s">
        <v>6702</v>
      </c>
      <c r="F5346" s="53" t="s">
        <v>2647</v>
      </c>
      <c r="G5346" s="53" t="s">
        <v>2651</v>
      </c>
      <c r="H5346" s="53">
        <v>1.0</v>
      </c>
      <c r="I5346" s="53">
        <v>0.1095890410958904</v>
      </c>
      <c r="J5346" s="53">
        <v>16.0</v>
      </c>
      <c r="K5346" s="53" t="s">
        <v>53</v>
      </c>
      <c r="L5346" s="53" t="s">
        <v>53</v>
      </c>
    </row>
    <row r="5347" ht="15.75" customHeight="1">
      <c r="A5347" s="53" t="s">
        <v>260</v>
      </c>
      <c r="B5347" s="53" t="s">
        <v>6698</v>
      </c>
      <c r="D5347" s="53" t="s">
        <v>2645</v>
      </c>
      <c r="E5347" s="53" t="s">
        <v>6703</v>
      </c>
      <c r="F5347" s="53" t="s">
        <v>2647</v>
      </c>
      <c r="G5347" s="53" t="s">
        <v>2655</v>
      </c>
      <c r="H5347" s="53">
        <v>1.0</v>
      </c>
      <c r="I5347" s="53">
        <v>0.1780821917808219</v>
      </c>
      <c r="J5347" s="53">
        <v>1.0</v>
      </c>
      <c r="K5347" s="53" t="s">
        <v>53</v>
      </c>
      <c r="L5347" s="53" t="s">
        <v>53</v>
      </c>
    </row>
    <row r="5348" ht="15.75" customHeight="1">
      <c r="A5348" s="53" t="s">
        <v>260</v>
      </c>
      <c r="B5348" s="53" t="s">
        <v>6698</v>
      </c>
      <c r="D5348" s="53" t="s">
        <v>2645</v>
      </c>
      <c r="E5348" s="53" t="s">
        <v>6704</v>
      </c>
      <c r="F5348" s="53" t="s">
        <v>2647</v>
      </c>
      <c r="G5348" s="53" t="s">
        <v>2659</v>
      </c>
      <c r="H5348" s="53">
        <v>1.0</v>
      </c>
      <c r="I5348" s="53">
        <v>0.1780821917808219</v>
      </c>
      <c r="J5348" s="53">
        <v>4.0</v>
      </c>
      <c r="K5348" s="53" t="s">
        <v>53</v>
      </c>
      <c r="L5348" s="53" t="s">
        <v>53</v>
      </c>
    </row>
    <row r="5349" ht="15.75" customHeight="1">
      <c r="A5349" s="53" t="s">
        <v>260</v>
      </c>
      <c r="B5349" s="53" t="s">
        <v>6698</v>
      </c>
      <c r="D5349" s="53" t="s">
        <v>2645</v>
      </c>
      <c r="E5349" s="53" t="s">
        <v>6705</v>
      </c>
      <c r="F5349" s="53" t="s">
        <v>2647</v>
      </c>
      <c r="G5349" s="53" t="s">
        <v>2657</v>
      </c>
      <c r="H5349" s="53">
        <v>1.0</v>
      </c>
      <c r="I5349" s="53">
        <v>0.1780821917808219</v>
      </c>
      <c r="J5349" s="53">
        <v>13.0</v>
      </c>
      <c r="K5349" s="53" t="s">
        <v>53</v>
      </c>
      <c r="L5349" s="53" t="s">
        <v>53</v>
      </c>
    </row>
    <row r="5350" ht="15.75" customHeight="1">
      <c r="A5350" s="53" t="s">
        <v>260</v>
      </c>
      <c r="B5350" s="53" t="s">
        <v>6698</v>
      </c>
      <c r="D5350" s="53" t="s">
        <v>2645</v>
      </c>
      <c r="E5350" s="53" t="s">
        <v>6706</v>
      </c>
      <c r="F5350" s="53" t="s">
        <v>278</v>
      </c>
      <c r="G5350" s="53" t="s">
        <v>280</v>
      </c>
      <c r="H5350" s="53">
        <v>1.0</v>
      </c>
      <c r="I5350" s="53">
        <v>0.7582781456953642</v>
      </c>
      <c r="J5350" s="53">
        <v>15.0</v>
      </c>
      <c r="K5350" s="53" t="s">
        <v>53</v>
      </c>
      <c r="L5350" s="53" t="s">
        <v>6707</v>
      </c>
    </row>
    <row r="5351" ht="15.75" customHeight="1">
      <c r="A5351" s="53" t="s">
        <v>260</v>
      </c>
      <c r="B5351" s="53" t="s">
        <v>6698</v>
      </c>
      <c r="D5351" s="53" t="s">
        <v>274</v>
      </c>
      <c r="E5351" s="53" t="s">
        <v>6708</v>
      </c>
      <c r="F5351" s="53" t="s">
        <v>2647</v>
      </c>
      <c r="G5351" s="53" t="s">
        <v>2648</v>
      </c>
      <c r="H5351" s="53">
        <v>1.0</v>
      </c>
      <c r="I5351" s="53">
        <v>0.09090909090909091</v>
      </c>
      <c r="J5351" s="53">
        <v>1.0</v>
      </c>
      <c r="K5351" s="53" t="s">
        <v>53</v>
      </c>
      <c r="L5351" s="53" t="s">
        <v>53</v>
      </c>
    </row>
    <row r="5352" ht="15.75" customHeight="1">
      <c r="A5352" s="53" t="s">
        <v>260</v>
      </c>
      <c r="B5352" s="53" t="s">
        <v>6698</v>
      </c>
      <c r="D5352" s="53" t="s">
        <v>274</v>
      </c>
      <c r="E5352" s="53" t="s">
        <v>6709</v>
      </c>
      <c r="F5352" s="53" t="s">
        <v>2647</v>
      </c>
      <c r="G5352" s="53" t="s">
        <v>2653</v>
      </c>
      <c r="H5352" s="53">
        <v>1.0</v>
      </c>
      <c r="I5352" s="53">
        <v>0.16883116883116883</v>
      </c>
      <c r="J5352" s="53">
        <v>13.0</v>
      </c>
      <c r="K5352" s="53" t="s">
        <v>53</v>
      </c>
      <c r="L5352" s="53" t="s">
        <v>53</v>
      </c>
    </row>
    <row r="5353" ht="15.75" customHeight="1">
      <c r="A5353" s="53" t="s">
        <v>260</v>
      </c>
      <c r="B5353" s="53" t="s">
        <v>6698</v>
      </c>
      <c r="D5353" s="53" t="s">
        <v>274</v>
      </c>
      <c r="E5353" s="53" t="s">
        <v>6710</v>
      </c>
      <c r="F5353" s="53" t="s">
        <v>2647</v>
      </c>
      <c r="G5353" s="53" t="s">
        <v>2651</v>
      </c>
      <c r="H5353" s="53">
        <v>1.0</v>
      </c>
      <c r="I5353" s="53">
        <v>0.19480519480519481</v>
      </c>
      <c r="J5353" s="53">
        <v>15.0</v>
      </c>
      <c r="K5353" s="53" t="s">
        <v>53</v>
      </c>
      <c r="L5353" s="53" t="s">
        <v>53</v>
      </c>
    </row>
    <row r="5354" ht="15.75" customHeight="1">
      <c r="A5354" s="53" t="s">
        <v>260</v>
      </c>
      <c r="B5354" s="53" t="s">
        <v>6698</v>
      </c>
      <c r="D5354" s="53" t="s">
        <v>274</v>
      </c>
      <c r="E5354" s="53" t="s">
        <v>6711</v>
      </c>
      <c r="F5354" s="53" t="s">
        <v>2647</v>
      </c>
      <c r="G5354" s="53" t="s">
        <v>2655</v>
      </c>
      <c r="H5354" s="53">
        <v>1.0</v>
      </c>
      <c r="I5354" s="53">
        <v>0.22077922077922077</v>
      </c>
      <c r="J5354" s="53">
        <v>0.0</v>
      </c>
      <c r="K5354" s="53" t="s">
        <v>53</v>
      </c>
      <c r="L5354" s="53" t="s">
        <v>53</v>
      </c>
    </row>
    <row r="5355" ht="15.75" customHeight="1">
      <c r="A5355" s="53" t="s">
        <v>260</v>
      </c>
      <c r="B5355" s="53" t="s">
        <v>6698</v>
      </c>
      <c r="D5355" s="53" t="s">
        <v>274</v>
      </c>
      <c r="E5355" s="53" t="s">
        <v>6712</v>
      </c>
      <c r="F5355" s="53" t="s">
        <v>2647</v>
      </c>
      <c r="G5355" s="53" t="s">
        <v>2659</v>
      </c>
      <c r="H5355" s="53">
        <v>1.0</v>
      </c>
      <c r="I5355" s="53">
        <v>0.22077922077922077</v>
      </c>
      <c r="J5355" s="53">
        <v>3.0</v>
      </c>
      <c r="K5355" s="53" t="s">
        <v>53</v>
      </c>
      <c r="L5355" s="53" t="s">
        <v>53</v>
      </c>
    </row>
    <row r="5356" ht="15.75" customHeight="1">
      <c r="A5356" s="53" t="s">
        <v>260</v>
      </c>
      <c r="B5356" s="53" t="s">
        <v>6698</v>
      </c>
      <c r="D5356" s="53" t="s">
        <v>274</v>
      </c>
      <c r="E5356" s="53" t="s">
        <v>6713</v>
      </c>
      <c r="F5356" s="53" t="s">
        <v>2647</v>
      </c>
      <c r="G5356" s="53" t="s">
        <v>2657</v>
      </c>
      <c r="H5356" s="53">
        <v>1.0</v>
      </c>
      <c r="I5356" s="53">
        <v>0.23376623376623376</v>
      </c>
      <c r="J5356" s="53">
        <v>12.0</v>
      </c>
      <c r="K5356" s="53" t="s">
        <v>53</v>
      </c>
      <c r="L5356" s="53" t="s">
        <v>53</v>
      </c>
    </row>
    <row r="5357" ht="15.75" customHeight="1">
      <c r="A5357" s="53" t="s">
        <v>260</v>
      </c>
      <c r="B5357" s="53" t="s">
        <v>6698</v>
      </c>
      <c r="D5357" s="53" t="s">
        <v>274</v>
      </c>
      <c r="E5357" s="53" t="s">
        <v>6714</v>
      </c>
      <c r="F5357" s="53" t="s">
        <v>278</v>
      </c>
      <c r="G5357" s="53" t="s">
        <v>280</v>
      </c>
      <c r="H5357" s="53">
        <v>1.0</v>
      </c>
      <c r="I5357" s="53">
        <v>0.7516556291390728</v>
      </c>
      <c r="J5357" s="53">
        <v>14.0</v>
      </c>
      <c r="K5357" s="53" t="s">
        <v>53</v>
      </c>
      <c r="L5357" s="53" t="s">
        <v>6707</v>
      </c>
    </row>
    <row r="5358" ht="15.75" customHeight="1">
      <c r="A5358" s="53" t="s">
        <v>260</v>
      </c>
      <c r="B5358" s="53" t="s">
        <v>6698</v>
      </c>
      <c r="D5358" s="53" t="s">
        <v>2655</v>
      </c>
      <c r="E5358" s="53" t="s">
        <v>6715</v>
      </c>
      <c r="F5358" s="53" t="s">
        <v>2647</v>
      </c>
      <c r="G5358" s="53" t="s">
        <v>2657</v>
      </c>
      <c r="H5358" s="53">
        <v>1.0</v>
      </c>
      <c r="I5358" s="53">
        <v>0.031746031746031744</v>
      </c>
      <c r="J5358" s="53">
        <v>11.0</v>
      </c>
      <c r="K5358" s="53" t="s">
        <v>53</v>
      </c>
      <c r="L5358" s="53" t="s">
        <v>53</v>
      </c>
    </row>
    <row r="5359" ht="15.75" customHeight="1">
      <c r="A5359" s="53" t="s">
        <v>260</v>
      </c>
      <c r="B5359" s="53" t="s">
        <v>6698</v>
      </c>
      <c r="D5359" s="53" t="s">
        <v>2655</v>
      </c>
      <c r="E5359" s="53" t="s">
        <v>6716</v>
      </c>
      <c r="F5359" s="53" t="s">
        <v>2647</v>
      </c>
      <c r="G5359" s="53" t="s">
        <v>2659</v>
      </c>
      <c r="H5359" s="53">
        <v>1.0</v>
      </c>
      <c r="I5359" s="53">
        <v>0.03225806451612903</v>
      </c>
      <c r="J5359" s="53">
        <v>2.0</v>
      </c>
      <c r="K5359" s="53" t="s">
        <v>53</v>
      </c>
      <c r="L5359" s="53" t="s">
        <v>53</v>
      </c>
    </row>
    <row r="5360" ht="15.75" customHeight="1">
      <c r="A5360" s="53" t="s">
        <v>260</v>
      </c>
      <c r="B5360" s="53" t="s">
        <v>6698</v>
      </c>
      <c r="D5360" s="53" t="s">
        <v>2655</v>
      </c>
      <c r="E5360" s="53" t="s">
        <v>6717</v>
      </c>
      <c r="F5360" s="53" t="s">
        <v>2647</v>
      </c>
      <c r="G5360" s="53" t="s">
        <v>2653</v>
      </c>
      <c r="H5360" s="53">
        <v>1.0</v>
      </c>
      <c r="I5360" s="53">
        <v>0.11764705882352941</v>
      </c>
      <c r="J5360" s="53">
        <v>12.0</v>
      </c>
      <c r="K5360" s="53" t="s">
        <v>53</v>
      </c>
      <c r="L5360" s="53" t="s">
        <v>53</v>
      </c>
    </row>
    <row r="5361" ht="15.75" customHeight="1">
      <c r="A5361" s="53" t="s">
        <v>260</v>
      </c>
      <c r="B5361" s="53" t="s">
        <v>6698</v>
      </c>
      <c r="D5361" s="53" t="s">
        <v>2655</v>
      </c>
      <c r="E5361" s="53" t="s">
        <v>6718</v>
      </c>
      <c r="F5361" s="53" t="s">
        <v>2647</v>
      </c>
      <c r="G5361" s="53" t="s">
        <v>2651</v>
      </c>
      <c r="H5361" s="53">
        <v>1.0</v>
      </c>
      <c r="I5361" s="53">
        <v>0.14285714285714285</v>
      </c>
      <c r="J5361" s="53">
        <v>14.0</v>
      </c>
      <c r="K5361" s="53" t="s">
        <v>53</v>
      </c>
      <c r="L5361" s="53" t="s">
        <v>53</v>
      </c>
    </row>
    <row r="5362" ht="15.75" customHeight="1">
      <c r="A5362" s="53" t="s">
        <v>260</v>
      </c>
      <c r="B5362" s="53" t="s">
        <v>6698</v>
      </c>
      <c r="D5362" s="53" t="s">
        <v>2655</v>
      </c>
      <c r="E5362" s="53" t="s">
        <v>6719</v>
      </c>
      <c r="F5362" s="53" t="s">
        <v>2647</v>
      </c>
      <c r="G5362" s="53" t="s">
        <v>2648</v>
      </c>
      <c r="H5362" s="53">
        <v>1.0</v>
      </c>
      <c r="I5362" s="53">
        <v>0.1527777777777778</v>
      </c>
      <c r="J5362" s="53">
        <v>0.0</v>
      </c>
      <c r="K5362" s="53" t="s">
        <v>53</v>
      </c>
      <c r="L5362" s="53" t="s">
        <v>53</v>
      </c>
    </row>
    <row r="5363" ht="15.75" customHeight="1">
      <c r="A5363" s="53" t="s">
        <v>260</v>
      </c>
      <c r="B5363" s="53" t="s">
        <v>6698</v>
      </c>
      <c r="D5363" s="53" t="s">
        <v>2655</v>
      </c>
      <c r="E5363" s="53" t="s">
        <v>6720</v>
      </c>
      <c r="F5363" s="53" t="s">
        <v>278</v>
      </c>
      <c r="G5363" s="53" t="s">
        <v>280</v>
      </c>
      <c r="H5363" s="53">
        <v>1.0</v>
      </c>
      <c r="I5363" s="53">
        <v>0.7980132450331126</v>
      </c>
      <c r="J5363" s="53">
        <v>13.0</v>
      </c>
      <c r="K5363" s="53" t="s">
        <v>53</v>
      </c>
      <c r="L5363" s="53" t="s">
        <v>6707</v>
      </c>
    </row>
    <row r="5364" ht="15.75" customHeight="1">
      <c r="A5364" s="53" t="s">
        <v>260</v>
      </c>
      <c r="B5364" s="53" t="s">
        <v>6698</v>
      </c>
      <c r="D5364" s="53" t="s">
        <v>2648</v>
      </c>
      <c r="E5364" s="53" t="s">
        <v>6721</v>
      </c>
      <c r="F5364" s="53" t="s">
        <v>2647</v>
      </c>
      <c r="G5364" s="53" t="s">
        <v>2653</v>
      </c>
      <c r="H5364" s="53">
        <v>1.0</v>
      </c>
      <c r="I5364" s="53">
        <v>0.1111111111111111</v>
      </c>
      <c r="J5364" s="53">
        <v>11.0</v>
      </c>
      <c r="K5364" s="53" t="s">
        <v>53</v>
      </c>
      <c r="L5364" s="53" t="s">
        <v>53</v>
      </c>
    </row>
    <row r="5365" ht="15.75" customHeight="1">
      <c r="A5365" s="53" t="s">
        <v>260</v>
      </c>
      <c r="B5365" s="53" t="s">
        <v>6698</v>
      </c>
      <c r="D5365" s="53" t="s">
        <v>2648</v>
      </c>
      <c r="E5365" s="53" t="s">
        <v>6722</v>
      </c>
      <c r="F5365" s="53" t="s">
        <v>2647</v>
      </c>
      <c r="G5365" s="53" t="s">
        <v>2651</v>
      </c>
      <c r="H5365" s="53">
        <v>1.0</v>
      </c>
      <c r="I5365" s="53">
        <v>0.125</v>
      </c>
      <c r="J5365" s="53">
        <v>13.0</v>
      </c>
      <c r="K5365" s="53" t="s">
        <v>53</v>
      </c>
      <c r="L5365" s="53" t="s">
        <v>53</v>
      </c>
    </row>
    <row r="5366" ht="15.75" customHeight="1">
      <c r="A5366" s="53" t="s">
        <v>260</v>
      </c>
      <c r="B5366" s="53" t="s">
        <v>6698</v>
      </c>
      <c r="D5366" s="53" t="s">
        <v>2648</v>
      </c>
      <c r="E5366" s="53" t="s">
        <v>6723</v>
      </c>
      <c r="F5366" s="53" t="s">
        <v>2647</v>
      </c>
      <c r="G5366" s="53" t="s">
        <v>2659</v>
      </c>
      <c r="H5366" s="53">
        <v>1.0</v>
      </c>
      <c r="I5366" s="53">
        <v>0.16666666666666666</v>
      </c>
      <c r="J5366" s="53">
        <v>1.0</v>
      </c>
      <c r="K5366" s="53" t="s">
        <v>53</v>
      </c>
      <c r="L5366" s="53" t="s">
        <v>53</v>
      </c>
    </row>
    <row r="5367" ht="15.75" customHeight="1">
      <c r="A5367" s="53" t="s">
        <v>260</v>
      </c>
      <c r="B5367" s="53" t="s">
        <v>6698</v>
      </c>
      <c r="D5367" s="53" t="s">
        <v>2648</v>
      </c>
      <c r="E5367" s="53" t="s">
        <v>6724</v>
      </c>
      <c r="F5367" s="53" t="s">
        <v>2647</v>
      </c>
      <c r="G5367" s="53" t="s">
        <v>2657</v>
      </c>
      <c r="H5367" s="53">
        <v>1.0</v>
      </c>
      <c r="I5367" s="53">
        <v>0.18055555555555555</v>
      </c>
      <c r="J5367" s="53">
        <v>10.0</v>
      </c>
      <c r="K5367" s="53" t="s">
        <v>53</v>
      </c>
      <c r="L5367" s="53" t="s">
        <v>53</v>
      </c>
    </row>
    <row r="5368" ht="15.75" customHeight="1">
      <c r="A5368" s="53" t="s">
        <v>260</v>
      </c>
      <c r="B5368" s="53" t="s">
        <v>6698</v>
      </c>
      <c r="D5368" s="53" t="s">
        <v>2648</v>
      </c>
      <c r="E5368" s="53" t="s">
        <v>6725</v>
      </c>
      <c r="F5368" s="53" t="s">
        <v>278</v>
      </c>
      <c r="G5368" s="53" t="s">
        <v>280</v>
      </c>
      <c r="H5368" s="53">
        <v>1.0</v>
      </c>
      <c r="I5368" s="53">
        <v>0.7649006622516556</v>
      </c>
      <c r="J5368" s="53">
        <v>12.0</v>
      </c>
      <c r="K5368" s="53" t="s">
        <v>53</v>
      </c>
      <c r="L5368" s="53" t="s">
        <v>6707</v>
      </c>
    </row>
    <row r="5369" ht="15.75" customHeight="1">
      <c r="A5369" s="53" t="s">
        <v>260</v>
      </c>
      <c r="B5369" s="53" t="s">
        <v>6698</v>
      </c>
      <c r="D5369" s="53" t="s">
        <v>263</v>
      </c>
      <c r="E5369" s="53" t="s">
        <v>6726</v>
      </c>
      <c r="F5369" s="53" t="s">
        <v>73</v>
      </c>
      <c r="G5369" s="53" t="s">
        <v>2688</v>
      </c>
      <c r="H5369" s="53">
        <v>1.0</v>
      </c>
      <c r="I5369" s="53">
        <v>0.7063389391979301</v>
      </c>
      <c r="J5369" s="53">
        <v>3.0</v>
      </c>
      <c r="K5369" s="53" t="s">
        <v>53</v>
      </c>
      <c r="L5369" s="53" t="s">
        <v>53</v>
      </c>
    </row>
    <row r="5370" ht="15.75" customHeight="1">
      <c r="A5370" s="53" t="s">
        <v>260</v>
      </c>
      <c r="B5370" s="53" t="s">
        <v>6698</v>
      </c>
      <c r="D5370" s="53" t="s">
        <v>263</v>
      </c>
      <c r="E5370" s="53" t="s">
        <v>6727</v>
      </c>
      <c r="F5370" s="53" t="s">
        <v>73</v>
      </c>
      <c r="G5370" s="53" t="s">
        <v>2683</v>
      </c>
      <c r="H5370" s="53">
        <v>1.0</v>
      </c>
      <c r="I5370" s="53">
        <v>0.741267787839586</v>
      </c>
      <c r="J5370" s="53">
        <v>2.0</v>
      </c>
      <c r="K5370" s="53" t="s">
        <v>53</v>
      </c>
      <c r="L5370" s="53" t="s">
        <v>53</v>
      </c>
    </row>
    <row r="5371" ht="15.75" customHeight="1">
      <c r="A5371" s="53" t="s">
        <v>260</v>
      </c>
      <c r="B5371" s="53" t="s">
        <v>6698</v>
      </c>
      <c r="D5371" s="53" t="s">
        <v>263</v>
      </c>
      <c r="E5371" s="53" t="s">
        <v>6728</v>
      </c>
      <c r="F5371" s="53" t="s">
        <v>73</v>
      </c>
      <c r="G5371" s="53" t="s">
        <v>2644</v>
      </c>
      <c r="H5371" s="53">
        <v>1.0</v>
      </c>
      <c r="I5371" s="53">
        <v>0.741267787839586</v>
      </c>
      <c r="J5371" s="53">
        <v>1.0</v>
      </c>
      <c r="K5371" s="53" t="s">
        <v>53</v>
      </c>
      <c r="L5371" s="53" t="s">
        <v>53</v>
      </c>
    </row>
    <row r="5372" ht="15.75" customHeight="1">
      <c r="A5372" s="53" t="s">
        <v>260</v>
      </c>
      <c r="B5372" s="53" t="s">
        <v>6698</v>
      </c>
      <c r="D5372" s="53" t="s">
        <v>263</v>
      </c>
      <c r="E5372" s="53" t="s">
        <v>6729</v>
      </c>
      <c r="F5372" s="53" t="s">
        <v>73</v>
      </c>
      <c r="G5372" s="53" t="s">
        <v>2685</v>
      </c>
      <c r="H5372" s="53">
        <v>1.0</v>
      </c>
      <c r="I5372" s="53">
        <v>0.7451487710219923</v>
      </c>
      <c r="J5372" s="53">
        <v>4.0</v>
      </c>
      <c r="K5372" s="53" t="s">
        <v>53</v>
      </c>
      <c r="L5372" s="53" t="s">
        <v>53</v>
      </c>
    </row>
    <row r="5373" ht="15.75" customHeight="1">
      <c r="A5373" s="53" t="s">
        <v>260</v>
      </c>
      <c r="B5373" s="53" t="s">
        <v>6698</v>
      </c>
      <c r="D5373" s="53" t="s">
        <v>263</v>
      </c>
      <c r="E5373" s="53" t="s">
        <v>6730</v>
      </c>
      <c r="F5373" s="53" t="s">
        <v>73</v>
      </c>
      <c r="G5373" s="53" t="s">
        <v>291</v>
      </c>
      <c r="H5373" s="53">
        <v>1.0</v>
      </c>
      <c r="I5373" s="53">
        <v>0.8499353169469599</v>
      </c>
      <c r="J5373" s="53">
        <v>5.0</v>
      </c>
      <c r="K5373" s="53" t="s">
        <v>53</v>
      </c>
      <c r="L5373" s="53" t="s">
        <v>53</v>
      </c>
    </row>
    <row r="5374" ht="15.75" customHeight="1">
      <c r="A5374" s="53" t="s">
        <v>260</v>
      </c>
      <c r="B5374" s="53" t="s">
        <v>6698</v>
      </c>
      <c r="D5374" s="53" t="s">
        <v>263</v>
      </c>
      <c r="E5374" s="53" t="s">
        <v>6731</v>
      </c>
      <c r="F5374" s="53" t="s">
        <v>73</v>
      </c>
      <c r="G5374" s="53" t="s">
        <v>285</v>
      </c>
      <c r="H5374" s="53">
        <v>1.0</v>
      </c>
      <c r="I5374" s="53">
        <v>0.8809831824062095</v>
      </c>
      <c r="J5374" s="53">
        <v>6.0</v>
      </c>
      <c r="K5374" s="53" t="s">
        <v>53</v>
      </c>
      <c r="L5374" s="53" t="s">
        <v>53</v>
      </c>
    </row>
    <row r="5375" ht="15.75" customHeight="1">
      <c r="A5375" s="53" t="s">
        <v>260</v>
      </c>
      <c r="B5375" s="53" t="s">
        <v>6698</v>
      </c>
      <c r="D5375" s="53" t="s">
        <v>263</v>
      </c>
      <c r="E5375" s="53" t="s">
        <v>6732</v>
      </c>
      <c r="F5375" s="53" t="s">
        <v>73</v>
      </c>
      <c r="G5375" s="53" t="s">
        <v>2691</v>
      </c>
      <c r="H5375" s="53">
        <v>1.0</v>
      </c>
      <c r="I5375" s="53">
        <v>0.8809831824062095</v>
      </c>
      <c r="J5375" s="53">
        <v>7.0</v>
      </c>
      <c r="K5375" s="53" t="s">
        <v>53</v>
      </c>
      <c r="L5375" s="53" t="s">
        <v>53</v>
      </c>
    </row>
    <row r="5376" ht="15.75" customHeight="1">
      <c r="A5376" s="53" t="s">
        <v>260</v>
      </c>
      <c r="B5376" s="53" t="s">
        <v>6698</v>
      </c>
      <c r="D5376" s="53" t="s">
        <v>263</v>
      </c>
      <c r="E5376" s="53" t="s">
        <v>6733</v>
      </c>
      <c r="F5376" s="53" t="s">
        <v>73</v>
      </c>
      <c r="G5376" s="53" t="s">
        <v>2693</v>
      </c>
      <c r="H5376" s="53">
        <v>1.0</v>
      </c>
      <c r="I5376" s="53">
        <v>0.8809831824062095</v>
      </c>
      <c r="J5376" s="53">
        <v>8.0</v>
      </c>
      <c r="K5376" s="53" t="s">
        <v>53</v>
      </c>
      <c r="L5376" s="53" t="s">
        <v>53</v>
      </c>
    </row>
    <row r="5377" ht="15.75" customHeight="1">
      <c r="A5377" s="53" t="s">
        <v>260</v>
      </c>
      <c r="B5377" s="53" t="s">
        <v>6698</v>
      </c>
      <c r="D5377" s="53" t="s">
        <v>2659</v>
      </c>
      <c r="E5377" s="53" t="s">
        <v>6734</v>
      </c>
      <c r="F5377" s="53" t="s">
        <v>2647</v>
      </c>
      <c r="G5377" s="53" t="s">
        <v>2657</v>
      </c>
      <c r="H5377" s="53">
        <v>1.0</v>
      </c>
      <c r="I5377" s="53">
        <v>0.047619047619047616</v>
      </c>
      <c r="J5377" s="53">
        <v>8.0</v>
      </c>
      <c r="K5377" s="53" t="s">
        <v>53</v>
      </c>
      <c r="L5377" s="53" t="s">
        <v>53</v>
      </c>
    </row>
    <row r="5378" ht="15.75" customHeight="1">
      <c r="A5378" s="53" t="s">
        <v>260</v>
      </c>
      <c r="B5378" s="53" t="s">
        <v>6698</v>
      </c>
      <c r="D5378" s="53" t="s">
        <v>2659</v>
      </c>
      <c r="E5378" s="53" t="s">
        <v>6735</v>
      </c>
      <c r="F5378" s="53" t="s">
        <v>2647</v>
      </c>
      <c r="G5378" s="53" t="s">
        <v>2653</v>
      </c>
      <c r="H5378" s="53">
        <v>1.0</v>
      </c>
      <c r="I5378" s="53">
        <v>0.11764705882352941</v>
      </c>
      <c r="J5378" s="53">
        <v>9.0</v>
      </c>
      <c r="K5378" s="53" t="s">
        <v>53</v>
      </c>
      <c r="L5378" s="53" t="s">
        <v>53</v>
      </c>
    </row>
    <row r="5379" ht="15.75" customHeight="1">
      <c r="A5379" s="53" t="s">
        <v>260</v>
      </c>
      <c r="B5379" s="53" t="s">
        <v>6698</v>
      </c>
      <c r="D5379" s="53" t="s">
        <v>2659</v>
      </c>
      <c r="E5379" s="53" t="s">
        <v>6736</v>
      </c>
      <c r="F5379" s="53" t="s">
        <v>2647</v>
      </c>
      <c r="G5379" s="53" t="s">
        <v>2651</v>
      </c>
      <c r="H5379" s="53">
        <v>1.0</v>
      </c>
      <c r="I5379" s="53">
        <v>0.14285714285714285</v>
      </c>
      <c r="J5379" s="53">
        <v>11.0</v>
      </c>
      <c r="K5379" s="53" t="s">
        <v>53</v>
      </c>
      <c r="L5379" s="53" t="s">
        <v>53</v>
      </c>
    </row>
    <row r="5380" ht="15.75" customHeight="1">
      <c r="A5380" s="53" t="s">
        <v>260</v>
      </c>
      <c r="B5380" s="53" t="s">
        <v>6698</v>
      </c>
      <c r="D5380" s="53" t="s">
        <v>2659</v>
      </c>
      <c r="E5380" s="53" t="s">
        <v>6737</v>
      </c>
      <c r="F5380" s="53" t="s">
        <v>278</v>
      </c>
      <c r="G5380" s="53" t="s">
        <v>280</v>
      </c>
      <c r="H5380" s="53">
        <v>1.0</v>
      </c>
      <c r="I5380" s="53">
        <v>0.7980132450331126</v>
      </c>
      <c r="J5380" s="53">
        <v>10.0</v>
      </c>
      <c r="K5380" s="53" t="s">
        <v>53</v>
      </c>
      <c r="L5380" s="53" t="s">
        <v>6707</v>
      </c>
    </row>
    <row r="5381" ht="15.75" customHeight="1">
      <c r="A5381" s="53" t="s">
        <v>260</v>
      </c>
      <c r="B5381" s="53" t="s">
        <v>6698</v>
      </c>
      <c r="D5381" s="53" t="s">
        <v>2644</v>
      </c>
      <c r="E5381" s="53" t="s">
        <v>6738</v>
      </c>
      <c r="F5381" s="53" t="s">
        <v>73</v>
      </c>
      <c r="G5381" s="53" t="s">
        <v>2683</v>
      </c>
      <c r="H5381" s="53">
        <v>1.0</v>
      </c>
      <c r="I5381" s="53">
        <v>0.024271844660194174</v>
      </c>
      <c r="J5381" s="53">
        <v>0.0</v>
      </c>
      <c r="K5381" s="53" t="s">
        <v>53</v>
      </c>
      <c r="L5381" s="53" t="s">
        <v>53</v>
      </c>
    </row>
    <row r="5382" ht="15.75" customHeight="1">
      <c r="A5382" s="53" t="s">
        <v>260</v>
      </c>
      <c r="B5382" s="53" t="s">
        <v>6698</v>
      </c>
      <c r="D5382" s="53" t="s">
        <v>2644</v>
      </c>
      <c r="E5382" s="53" t="s">
        <v>6739</v>
      </c>
      <c r="F5382" s="53" t="s">
        <v>73</v>
      </c>
      <c r="G5382" s="53" t="s">
        <v>2685</v>
      </c>
      <c r="H5382" s="53">
        <v>1.0</v>
      </c>
      <c r="I5382" s="53">
        <v>0.03827751196172249</v>
      </c>
      <c r="J5382" s="53">
        <v>2.0</v>
      </c>
      <c r="K5382" s="53" t="s">
        <v>53</v>
      </c>
      <c r="L5382" s="53" t="s">
        <v>53</v>
      </c>
    </row>
    <row r="5383" ht="15.75" customHeight="1">
      <c r="A5383" s="53" t="s">
        <v>260</v>
      </c>
      <c r="B5383" s="53" t="s">
        <v>6698</v>
      </c>
      <c r="D5383" s="53" t="s">
        <v>2644</v>
      </c>
      <c r="E5383" s="53" t="s">
        <v>6740</v>
      </c>
      <c r="F5383" s="53" t="s">
        <v>73</v>
      </c>
      <c r="G5383" s="53" t="s">
        <v>2688</v>
      </c>
      <c r="H5383" s="53">
        <v>1.0</v>
      </c>
      <c r="I5383" s="53">
        <v>0.13793103448275862</v>
      </c>
      <c r="J5383" s="53">
        <v>1.0</v>
      </c>
      <c r="K5383" s="53" t="s">
        <v>53</v>
      </c>
      <c r="L5383" s="53" t="s">
        <v>53</v>
      </c>
    </row>
    <row r="5384" ht="15.75" customHeight="1">
      <c r="A5384" s="53" t="s">
        <v>260</v>
      </c>
      <c r="B5384" s="53" t="s">
        <v>6698</v>
      </c>
      <c r="D5384" s="53" t="s">
        <v>2644</v>
      </c>
      <c r="E5384" s="53" t="s">
        <v>6741</v>
      </c>
      <c r="F5384" s="53" t="s">
        <v>73</v>
      </c>
      <c r="G5384" s="53" t="s">
        <v>291</v>
      </c>
      <c r="H5384" s="53">
        <v>1.0</v>
      </c>
      <c r="I5384" s="53">
        <v>0.4320388349514563</v>
      </c>
      <c r="J5384" s="53">
        <v>3.0</v>
      </c>
      <c r="K5384" s="53" t="s">
        <v>53</v>
      </c>
      <c r="L5384" s="53" t="s">
        <v>53</v>
      </c>
    </row>
    <row r="5385" ht="15.75" customHeight="1">
      <c r="A5385" s="53" t="s">
        <v>260</v>
      </c>
      <c r="B5385" s="53" t="s">
        <v>6698</v>
      </c>
      <c r="D5385" s="53" t="s">
        <v>2644</v>
      </c>
      <c r="E5385" s="53" t="s">
        <v>6742</v>
      </c>
      <c r="F5385" s="53" t="s">
        <v>73</v>
      </c>
      <c r="G5385" s="53" t="s">
        <v>285</v>
      </c>
      <c r="H5385" s="53">
        <v>1.0</v>
      </c>
      <c r="I5385" s="53">
        <v>0.5485436893203883</v>
      </c>
      <c r="J5385" s="53">
        <v>4.0</v>
      </c>
      <c r="K5385" s="53" t="s">
        <v>53</v>
      </c>
      <c r="L5385" s="53" t="s">
        <v>53</v>
      </c>
    </row>
    <row r="5386" ht="15.75" customHeight="1">
      <c r="A5386" s="53" t="s">
        <v>260</v>
      </c>
      <c r="B5386" s="53" t="s">
        <v>6698</v>
      </c>
      <c r="D5386" s="53" t="s">
        <v>2644</v>
      </c>
      <c r="E5386" s="53" t="s">
        <v>6743</v>
      </c>
      <c r="F5386" s="53" t="s">
        <v>73</v>
      </c>
      <c r="G5386" s="53" t="s">
        <v>2691</v>
      </c>
      <c r="H5386" s="53">
        <v>1.0</v>
      </c>
      <c r="I5386" s="53">
        <v>0.5485436893203883</v>
      </c>
      <c r="J5386" s="53">
        <v>5.0</v>
      </c>
      <c r="K5386" s="53" t="s">
        <v>53</v>
      </c>
      <c r="L5386" s="53" t="s">
        <v>53</v>
      </c>
    </row>
    <row r="5387" ht="15.75" customHeight="1">
      <c r="A5387" s="53" t="s">
        <v>260</v>
      </c>
      <c r="B5387" s="53" t="s">
        <v>6698</v>
      </c>
      <c r="D5387" s="53" t="s">
        <v>2644</v>
      </c>
      <c r="E5387" s="53" t="s">
        <v>6744</v>
      </c>
      <c r="F5387" s="53" t="s">
        <v>73</v>
      </c>
      <c r="G5387" s="53" t="s">
        <v>2693</v>
      </c>
      <c r="H5387" s="53">
        <v>1.0</v>
      </c>
      <c r="I5387" s="53">
        <v>0.5485436893203883</v>
      </c>
      <c r="J5387" s="53">
        <v>6.0</v>
      </c>
      <c r="K5387" s="53" t="s">
        <v>53</v>
      </c>
      <c r="L5387" s="53" t="s">
        <v>53</v>
      </c>
    </row>
    <row r="5388" ht="15.75" customHeight="1">
      <c r="A5388" s="53" t="s">
        <v>260</v>
      </c>
      <c r="B5388" s="53" t="s">
        <v>6698</v>
      </c>
      <c r="D5388" s="53" t="s">
        <v>2683</v>
      </c>
      <c r="E5388" s="53" t="s">
        <v>6745</v>
      </c>
      <c r="F5388" s="53" t="s">
        <v>73</v>
      </c>
      <c r="G5388" s="53" t="s">
        <v>2685</v>
      </c>
      <c r="H5388" s="53">
        <v>1.0</v>
      </c>
      <c r="I5388" s="53">
        <v>0.019138755980861243</v>
      </c>
      <c r="J5388" s="53">
        <v>1.0</v>
      </c>
      <c r="K5388" s="53" t="s">
        <v>53</v>
      </c>
      <c r="L5388" s="53" t="s">
        <v>53</v>
      </c>
    </row>
    <row r="5389" ht="15.75" customHeight="1">
      <c r="A5389" s="53" t="s">
        <v>260</v>
      </c>
      <c r="B5389" s="53" t="s">
        <v>6698</v>
      </c>
      <c r="D5389" s="53" t="s">
        <v>2683</v>
      </c>
      <c r="E5389" s="53" t="s">
        <v>6746</v>
      </c>
      <c r="F5389" s="53" t="s">
        <v>73</v>
      </c>
      <c r="G5389" s="53" t="s">
        <v>2688</v>
      </c>
      <c r="H5389" s="53">
        <v>1.0</v>
      </c>
      <c r="I5389" s="53">
        <v>0.1206896551724138</v>
      </c>
      <c r="J5389" s="53">
        <v>0.0</v>
      </c>
      <c r="K5389" s="53" t="s">
        <v>53</v>
      </c>
      <c r="L5389" s="53" t="s">
        <v>53</v>
      </c>
    </row>
    <row r="5390" ht="15.75" customHeight="1">
      <c r="A5390" s="53" t="s">
        <v>260</v>
      </c>
      <c r="B5390" s="53" t="s">
        <v>6698</v>
      </c>
      <c r="D5390" s="53" t="s">
        <v>2683</v>
      </c>
      <c r="E5390" s="53" t="s">
        <v>6747</v>
      </c>
      <c r="F5390" s="53" t="s">
        <v>73</v>
      </c>
      <c r="G5390" s="53" t="s">
        <v>291</v>
      </c>
      <c r="H5390" s="53">
        <v>1.0</v>
      </c>
      <c r="I5390" s="53">
        <v>0.4195121951219512</v>
      </c>
      <c r="J5390" s="53">
        <v>2.0</v>
      </c>
      <c r="K5390" s="53" t="s">
        <v>53</v>
      </c>
      <c r="L5390" s="53" t="s">
        <v>53</v>
      </c>
    </row>
    <row r="5391" ht="15.75" customHeight="1">
      <c r="A5391" s="53" t="s">
        <v>260</v>
      </c>
      <c r="B5391" s="53" t="s">
        <v>6698</v>
      </c>
      <c r="D5391" s="53" t="s">
        <v>2683</v>
      </c>
      <c r="E5391" s="53" t="s">
        <v>6748</v>
      </c>
      <c r="F5391" s="53" t="s">
        <v>73</v>
      </c>
      <c r="G5391" s="53" t="s">
        <v>285</v>
      </c>
      <c r="H5391" s="53">
        <v>1.0</v>
      </c>
      <c r="I5391" s="53">
        <v>0.5317073170731708</v>
      </c>
      <c r="J5391" s="53">
        <v>3.0</v>
      </c>
      <c r="K5391" s="53" t="s">
        <v>53</v>
      </c>
      <c r="L5391" s="53" t="s">
        <v>53</v>
      </c>
    </row>
    <row r="5392" ht="15.75" customHeight="1">
      <c r="A5392" s="53" t="s">
        <v>260</v>
      </c>
      <c r="B5392" s="53" t="s">
        <v>6698</v>
      </c>
      <c r="D5392" s="53" t="s">
        <v>2683</v>
      </c>
      <c r="E5392" s="53" t="s">
        <v>6749</v>
      </c>
      <c r="F5392" s="53" t="s">
        <v>73</v>
      </c>
      <c r="G5392" s="53" t="s">
        <v>2691</v>
      </c>
      <c r="H5392" s="53">
        <v>1.0</v>
      </c>
      <c r="I5392" s="53">
        <v>0.5317073170731708</v>
      </c>
      <c r="J5392" s="53">
        <v>4.0</v>
      </c>
      <c r="K5392" s="53" t="s">
        <v>53</v>
      </c>
      <c r="L5392" s="53" t="s">
        <v>53</v>
      </c>
    </row>
    <row r="5393" ht="15.75" customHeight="1">
      <c r="A5393" s="53" t="s">
        <v>260</v>
      </c>
      <c r="B5393" s="53" t="s">
        <v>6698</v>
      </c>
      <c r="D5393" s="53" t="s">
        <v>2683</v>
      </c>
      <c r="E5393" s="53" t="s">
        <v>6750</v>
      </c>
      <c r="F5393" s="53" t="s">
        <v>73</v>
      </c>
      <c r="G5393" s="53" t="s">
        <v>2693</v>
      </c>
      <c r="H5393" s="53">
        <v>1.0</v>
      </c>
      <c r="I5393" s="53">
        <v>0.5317073170731708</v>
      </c>
      <c r="J5393" s="53">
        <v>5.0</v>
      </c>
      <c r="K5393" s="53" t="s">
        <v>53</v>
      </c>
      <c r="L5393" s="53" t="s">
        <v>53</v>
      </c>
    </row>
    <row r="5394" ht="15.75" customHeight="1">
      <c r="A5394" s="53" t="s">
        <v>260</v>
      </c>
      <c r="B5394" s="53" t="s">
        <v>6698</v>
      </c>
      <c r="D5394" s="53" t="s">
        <v>2688</v>
      </c>
      <c r="E5394" s="53" t="s">
        <v>6751</v>
      </c>
      <c r="F5394" s="53" t="s">
        <v>73</v>
      </c>
      <c r="G5394" s="53" t="s">
        <v>2685</v>
      </c>
      <c r="H5394" s="53">
        <v>1.0</v>
      </c>
      <c r="I5394" s="53">
        <v>0.13793103448275862</v>
      </c>
      <c r="J5394" s="53">
        <v>0.0</v>
      </c>
      <c r="K5394" s="53" t="s">
        <v>53</v>
      </c>
      <c r="L5394" s="53" t="s">
        <v>53</v>
      </c>
    </row>
    <row r="5395" ht="15.75" customHeight="1">
      <c r="A5395" s="53" t="s">
        <v>260</v>
      </c>
      <c r="B5395" s="53" t="s">
        <v>6698</v>
      </c>
      <c r="D5395" s="53" t="s">
        <v>2688</v>
      </c>
      <c r="E5395" s="53" t="s">
        <v>6752</v>
      </c>
      <c r="F5395" s="53" t="s">
        <v>73</v>
      </c>
      <c r="G5395" s="53" t="s">
        <v>291</v>
      </c>
      <c r="H5395" s="53">
        <v>1.0</v>
      </c>
      <c r="I5395" s="53">
        <v>0.4827586206896552</v>
      </c>
      <c r="J5395" s="53">
        <v>1.0</v>
      </c>
      <c r="K5395" s="53" t="s">
        <v>53</v>
      </c>
      <c r="L5395" s="53" t="s">
        <v>53</v>
      </c>
    </row>
    <row r="5396" ht="15.75" customHeight="1">
      <c r="A5396" s="53" t="s">
        <v>260</v>
      </c>
      <c r="B5396" s="53" t="s">
        <v>6698</v>
      </c>
      <c r="D5396" s="53" t="s">
        <v>2688</v>
      </c>
      <c r="E5396" s="53" t="s">
        <v>6753</v>
      </c>
      <c r="F5396" s="53" t="s">
        <v>73</v>
      </c>
      <c r="G5396" s="53" t="s">
        <v>285</v>
      </c>
      <c r="H5396" s="53">
        <v>1.0</v>
      </c>
      <c r="I5396" s="53">
        <v>0.5862068965517241</v>
      </c>
      <c r="J5396" s="53">
        <v>2.0</v>
      </c>
      <c r="K5396" s="53" t="s">
        <v>53</v>
      </c>
      <c r="L5396" s="53" t="s">
        <v>53</v>
      </c>
    </row>
    <row r="5397" ht="15.75" customHeight="1">
      <c r="A5397" s="53" t="s">
        <v>260</v>
      </c>
      <c r="B5397" s="53" t="s">
        <v>6698</v>
      </c>
      <c r="D5397" s="53" t="s">
        <v>2688</v>
      </c>
      <c r="E5397" s="53" t="s">
        <v>6754</v>
      </c>
      <c r="F5397" s="53" t="s">
        <v>73</v>
      </c>
      <c r="G5397" s="53" t="s">
        <v>2691</v>
      </c>
      <c r="H5397" s="53">
        <v>1.0</v>
      </c>
      <c r="I5397" s="53">
        <v>0.5862068965517241</v>
      </c>
      <c r="J5397" s="53">
        <v>3.0</v>
      </c>
      <c r="K5397" s="53" t="s">
        <v>53</v>
      </c>
      <c r="L5397" s="53" t="s">
        <v>53</v>
      </c>
    </row>
    <row r="5398" ht="15.75" customHeight="1">
      <c r="A5398" s="53" t="s">
        <v>260</v>
      </c>
      <c r="B5398" s="53" t="s">
        <v>6698</v>
      </c>
      <c r="D5398" s="53" t="s">
        <v>2688</v>
      </c>
      <c r="E5398" s="53" t="s">
        <v>6755</v>
      </c>
      <c r="F5398" s="53" t="s">
        <v>73</v>
      </c>
      <c r="G5398" s="53" t="s">
        <v>2693</v>
      </c>
      <c r="H5398" s="53">
        <v>1.0</v>
      </c>
      <c r="I5398" s="53">
        <v>0.5862068965517241</v>
      </c>
      <c r="J5398" s="53">
        <v>4.0</v>
      </c>
      <c r="K5398" s="53" t="s">
        <v>53</v>
      </c>
      <c r="L5398" s="53" t="s">
        <v>53</v>
      </c>
    </row>
    <row r="5399" ht="15.75" customHeight="1">
      <c r="A5399" s="53" t="s">
        <v>260</v>
      </c>
      <c r="B5399" s="53" t="s">
        <v>6698</v>
      </c>
      <c r="D5399" s="53" t="s">
        <v>2685</v>
      </c>
      <c r="E5399" s="53" t="s">
        <v>6756</v>
      </c>
      <c r="F5399" s="53" t="s">
        <v>73</v>
      </c>
      <c r="G5399" s="53" t="s">
        <v>291</v>
      </c>
      <c r="H5399" s="53">
        <v>1.0</v>
      </c>
      <c r="I5399" s="53">
        <v>0.3923444976076555</v>
      </c>
      <c r="J5399" s="53">
        <v>0.0</v>
      </c>
      <c r="K5399" s="53" t="s">
        <v>53</v>
      </c>
      <c r="L5399" s="53" t="s">
        <v>53</v>
      </c>
    </row>
    <row r="5400" ht="15.75" customHeight="1">
      <c r="A5400" s="53" t="s">
        <v>260</v>
      </c>
      <c r="B5400" s="53" t="s">
        <v>6698</v>
      </c>
      <c r="D5400" s="53" t="s">
        <v>2685</v>
      </c>
      <c r="E5400" s="53" t="s">
        <v>6757</v>
      </c>
      <c r="F5400" s="53" t="s">
        <v>73</v>
      </c>
      <c r="G5400" s="53" t="s">
        <v>285</v>
      </c>
      <c r="H5400" s="53">
        <v>1.0</v>
      </c>
      <c r="I5400" s="53">
        <v>0.5406698564593302</v>
      </c>
      <c r="J5400" s="53">
        <v>1.0</v>
      </c>
      <c r="K5400" s="53" t="s">
        <v>53</v>
      </c>
      <c r="L5400" s="53" t="s">
        <v>53</v>
      </c>
    </row>
    <row r="5401" ht="15.75" customHeight="1">
      <c r="A5401" s="53" t="s">
        <v>260</v>
      </c>
      <c r="B5401" s="53" t="s">
        <v>6698</v>
      </c>
      <c r="D5401" s="53" t="s">
        <v>2685</v>
      </c>
      <c r="E5401" s="53" t="s">
        <v>6758</v>
      </c>
      <c r="F5401" s="53" t="s">
        <v>73</v>
      </c>
      <c r="G5401" s="53" t="s">
        <v>2691</v>
      </c>
      <c r="H5401" s="53">
        <v>1.0</v>
      </c>
      <c r="I5401" s="53">
        <v>0.5406698564593302</v>
      </c>
      <c r="J5401" s="53">
        <v>2.0</v>
      </c>
      <c r="K5401" s="53" t="s">
        <v>53</v>
      </c>
      <c r="L5401" s="53" t="s">
        <v>53</v>
      </c>
    </row>
    <row r="5402" ht="15.75" customHeight="1">
      <c r="A5402" s="53" t="s">
        <v>260</v>
      </c>
      <c r="B5402" s="53" t="s">
        <v>6698</v>
      </c>
      <c r="D5402" s="53" t="s">
        <v>2685</v>
      </c>
      <c r="E5402" s="53" t="s">
        <v>6759</v>
      </c>
      <c r="F5402" s="53" t="s">
        <v>73</v>
      </c>
      <c r="G5402" s="53" t="s">
        <v>2693</v>
      </c>
      <c r="H5402" s="53">
        <v>1.0</v>
      </c>
      <c r="I5402" s="53">
        <v>0.5406698564593302</v>
      </c>
      <c r="J5402" s="53">
        <v>3.0</v>
      </c>
      <c r="K5402" s="53" t="s">
        <v>53</v>
      </c>
      <c r="L5402" s="53" t="s">
        <v>53</v>
      </c>
    </row>
    <row r="5403" ht="15.75" customHeight="1">
      <c r="A5403" s="53" t="s">
        <v>260</v>
      </c>
      <c r="B5403" s="53" t="s">
        <v>6698</v>
      </c>
      <c r="D5403" s="53" t="s">
        <v>291</v>
      </c>
      <c r="E5403" s="53" t="s">
        <v>6760</v>
      </c>
      <c r="F5403" s="53" t="s">
        <v>73</v>
      </c>
      <c r="G5403" s="53" t="s">
        <v>285</v>
      </c>
      <c r="H5403" s="53">
        <v>1.0</v>
      </c>
      <c r="I5403" s="53">
        <v>0.25</v>
      </c>
      <c r="J5403" s="53">
        <v>0.0</v>
      </c>
      <c r="K5403" s="53" t="s">
        <v>53</v>
      </c>
      <c r="L5403" s="53" t="s">
        <v>53</v>
      </c>
    </row>
    <row r="5404" ht="15.75" customHeight="1">
      <c r="A5404" s="53" t="s">
        <v>260</v>
      </c>
      <c r="B5404" s="53" t="s">
        <v>6698</v>
      </c>
      <c r="D5404" s="53" t="s">
        <v>291</v>
      </c>
      <c r="E5404" s="53" t="s">
        <v>6761</v>
      </c>
      <c r="F5404" s="53" t="s">
        <v>73</v>
      </c>
      <c r="G5404" s="53" t="s">
        <v>2691</v>
      </c>
      <c r="H5404" s="53">
        <v>1.0</v>
      </c>
      <c r="I5404" s="53">
        <v>0.25</v>
      </c>
      <c r="J5404" s="53">
        <v>1.0</v>
      </c>
      <c r="K5404" s="53" t="s">
        <v>53</v>
      </c>
      <c r="L5404" s="53" t="s">
        <v>53</v>
      </c>
    </row>
    <row r="5405" ht="15.75" customHeight="1">
      <c r="A5405" s="53" t="s">
        <v>260</v>
      </c>
      <c r="B5405" s="53" t="s">
        <v>6698</v>
      </c>
      <c r="D5405" s="53" t="s">
        <v>291</v>
      </c>
      <c r="E5405" s="53" t="s">
        <v>6762</v>
      </c>
      <c r="F5405" s="53" t="s">
        <v>73</v>
      </c>
      <c r="G5405" s="53" t="s">
        <v>2693</v>
      </c>
      <c r="H5405" s="53">
        <v>1.0</v>
      </c>
      <c r="I5405" s="53">
        <v>0.25</v>
      </c>
      <c r="J5405" s="53">
        <v>2.0</v>
      </c>
      <c r="K5405" s="53" t="s">
        <v>53</v>
      </c>
      <c r="L5405" s="53" t="s">
        <v>53</v>
      </c>
    </row>
    <row r="5406" ht="15.75" customHeight="1">
      <c r="A5406" s="53" t="s">
        <v>260</v>
      </c>
      <c r="B5406" s="53" t="s">
        <v>6698</v>
      </c>
      <c r="D5406" s="53" t="s">
        <v>285</v>
      </c>
      <c r="E5406" s="53" t="s">
        <v>6763</v>
      </c>
      <c r="F5406" s="53" t="s">
        <v>73</v>
      </c>
      <c r="G5406" s="53" t="s">
        <v>2691</v>
      </c>
      <c r="H5406" s="53">
        <v>1.0</v>
      </c>
      <c r="I5406" s="53">
        <v>0.010309278350515464</v>
      </c>
      <c r="J5406" s="53">
        <v>0.0</v>
      </c>
      <c r="K5406" s="53" t="s">
        <v>53</v>
      </c>
      <c r="L5406" s="53" t="s">
        <v>53</v>
      </c>
    </row>
    <row r="5407" ht="15.75" customHeight="1">
      <c r="A5407" s="53" t="s">
        <v>260</v>
      </c>
      <c r="B5407" s="53" t="s">
        <v>6698</v>
      </c>
      <c r="D5407" s="53" t="s">
        <v>285</v>
      </c>
      <c r="E5407" s="53" t="s">
        <v>6764</v>
      </c>
      <c r="F5407" s="53" t="s">
        <v>73</v>
      </c>
      <c r="G5407" s="53" t="s">
        <v>2693</v>
      </c>
      <c r="H5407" s="53">
        <v>1.0</v>
      </c>
      <c r="I5407" s="53">
        <v>0.010309278350515464</v>
      </c>
      <c r="J5407" s="53">
        <v>1.0</v>
      </c>
      <c r="K5407" s="53" t="s">
        <v>53</v>
      </c>
      <c r="L5407" s="53" t="s">
        <v>53</v>
      </c>
    </row>
    <row r="5408" ht="15.75" customHeight="1">
      <c r="A5408" s="53" t="s">
        <v>260</v>
      </c>
      <c r="B5408" s="53" t="s">
        <v>6698</v>
      </c>
      <c r="D5408" s="53" t="s">
        <v>2691</v>
      </c>
      <c r="E5408" s="53" t="s">
        <v>6765</v>
      </c>
      <c r="F5408" s="53" t="s">
        <v>73</v>
      </c>
      <c r="G5408" s="53" t="s">
        <v>2693</v>
      </c>
      <c r="H5408" s="53">
        <v>1.0</v>
      </c>
      <c r="I5408" s="53">
        <v>0.010309278350515464</v>
      </c>
      <c r="J5408" s="53">
        <v>0.0</v>
      </c>
      <c r="K5408" s="53" t="s">
        <v>53</v>
      </c>
      <c r="L5408" s="53" t="s">
        <v>53</v>
      </c>
    </row>
    <row r="5409" ht="15.75" customHeight="1">
      <c r="A5409" s="53" t="s">
        <v>260</v>
      </c>
      <c r="B5409" s="53" t="s">
        <v>6698</v>
      </c>
      <c r="D5409" s="53" t="s">
        <v>2657</v>
      </c>
      <c r="E5409" s="53" t="s">
        <v>6766</v>
      </c>
      <c r="F5409" s="53" t="s">
        <v>2647</v>
      </c>
      <c r="G5409" s="53" t="s">
        <v>2653</v>
      </c>
      <c r="H5409" s="53">
        <v>1.0</v>
      </c>
      <c r="I5409" s="53">
        <v>0.08823529411764706</v>
      </c>
      <c r="J5409" s="53">
        <v>0.0</v>
      </c>
      <c r="K5409" s="53" t="s">
        <v>53</v>
      </c>
      <c r="L5409" s="53" t="s">
        <v>53</v>
      </c>
    </row>
    <row r="5410" ht="15.75" customHeight="1">
      <c r="A5410" s="53" t="s">
        <v>260</v>
      </c>
      <c r="B5410" s="53" t="s">
        <v>6698</v>
      </c>
      <c r="D5410" s="53" t="s">
        <v>2657</v>
      </c>
      <c r="E5410" s="53" t="s">
        <v>6767</v>
      </c>
      <c r="F5410" s="53" t="s">
        <v>2647</v>
      </c>
      <c r="G5410" s="53" t="s">
        <v>2651</v>
      </c>
      <c r="H5410" s="53">
        <v>1.0</v>
      </c>
      <c r="I5410" s="53">
        <v>0.12857142857142856</v>
      </c>
      <c r="J5410" s="53">
        <v>2.0</v>
      </c>
      <c r="K5410" s="53" t="s">
        <v>53</v>
      </c>
      <c r="L5410" s="53" t="s">
        <v>53</v>
      </c>
    </row>
    <row r="5411" ht="15.75" customHeight="1">
      <c r="A5411" s="53" t="s">
        <v>260</v>
      </c>
      <c r="B5411" s="53" t="s">
        <v>6698</v>
      </c>
      <c r="D5411" s="53" t="s">
        <v>2657</v>
      </c>
      <c r="E5411" s="53" t="s">
        <v>6768</v>
      </c>
      <c r="F5411" s="53" t="s">
        <v>278</v>
      </c>
      <c r="G5411" s="53" t="s">
        <v>280</v>
      </c>
      <c r="H5411" s="53">
        <v>1.0</v>
      </c>
      <c r="I5411" s="53">
        <v>0.7947019867549668</v>
      </c>
      <c r="J5411" s="53">
        <v>1.0</v>
      </c>
      <c r="K5411" s="53" t="s">
        <v>53</v>
      </c>
      <c r="L5411" s="53" t="s">
        <v>6707</v>
      </c>
    </row>
    <row r="5412" ht="15.75" customHeight="1">
      <c r="A5412" s="53" t="s">
        <v>260</v>
      </c>
      <c r="B5412" s="53" t="s">
        <v>6698</v>
      </c>
      <c r="D5412" s="53" t="s">
        <v>2653</v>
      </c>
      <c r="E5412" s="53" t="s">
        <v>6769</v>
      </c>
      <c r="F5412" s="53" t="s">
        <v>2647</v>
      </c>
      <c r="G5412" s="53" t="s">
        <v>2651</v>
      </c>
      <c r="H5412" s="53">
        <v>1.0</v>
      </c>
      <c r="I5412" s="53">
        <v>0.05714285714285714</v>
      </c>
      <c r="J5412" s="53">
        <v>1.0</v>
      </c>
      <c r="K5412" s="53" t="s">
        <v>53</v>
      </c>
      <c r="L5412" s="53" t="s">
        <v>53</v>
      </c>
    </row>
    <row r="5413" ht="15.75" customHeight="1">
      <c r="A5413" s="53" t="s">
        <v>260</v>
      </c>
      <c r="B5413" s="53" t="s">
        <v>6698</v>
      </c>
      <c r="D5413" s="53" t="s">
        <v>2653</v>
      </c>
      <c r="E5413" s="53" t="s">
        <v>6770</v>
      </c>
      <c r="F5413" s="53" t="s">
        <v>278</v>
      </c>
      <c r="G5413" s="53" t="s">
        <v>280</v>
      </c>
      <c r="H5413" s="53">
        <v>1.0</v>
      </c>
      <c r="I5413" s="53">
        <v>0.7781456953642384</v>
      </c>
      <c r="J5413" s="53">
        <v>0.0</v>
      </c>
      <c r="K5413" s="53" t="s">
        <v>53</v>
      </c>
      <c r="L5413" s="53" t="s">
        <v>6707</v>
      </c>
    </row>
    <row r="5414" ht="15.75" customHeight="1">
      <c r="A5414" s="53" t="s">
        <v>260</v>
      </c>
      <c r="B5414" s="53" t="s">
        <v>6698</v>
      </c>
      <c r="D5414" s="53" t="s">
        <v>280</v>
      </c>
      <c r="E5414" s="53" t="s">
        <v>6771</v>
      </c>
      <c r="F5414" s="53" t="s">
        <v>6772</v>
      </c>
      <c r="G5414" s="53" t="s">
        <v>2651</v>
      </c>
      <c r="H5414" s="53">
        <v>1.0</v>
      </c>
      <c r="I5414" s="53">
        <v>0.7748344370860927</v>
      </c>
      <c r="J5414" s="53">
        <v>0.0</v>
      </c>
      <c r="K5414" s="53" t="s">
        <v>53</v>
      </c>
      <c r="L5414" s="53" t="s">
        <v>6707</v>
      </c>
    </row>
    <row r="5415" ht="15.75" customHeight="1">
      <c r="A5415" s="53" t="s">
        <v>808</v>
      </c>
      <c r="B5415" s="53" t="s">
        <v>6698</v>
      </c>
      <c r="D5415" s="53" t="s">
        <v>3998</v>
      </c>
      <c r="E5415" s="53" t="s">
        <v>6773</v>
      </c>
      <c r="F5415" s="53" t="s">
        <v>3997</v>
      </c>
      <c r="G5415" s="53" t="s">
        <v>4001</v>
      </c>
      <c r="H5415" s="53">
        <v>1.0</v>
      </c>
      <c r="I5415" s="53">
        <v>0.07462686567164178</v>
      </c>
      <c r="J5415" s="53">
        <v>0.0</v>
      </c>
      <c r="K5415" s="53" t="s">
        <v>53</v>
      </c>
      <c r="L5415" s="53" t="s">
        <v>53</v>
      </c>
    </row>
    <row r="5416" ht="15.75" customHeight="1">
      <c r="A5416" s="53" t="s">
        <v>808</v>
      </c>
      <c r="B5416" s="53" t="s">
        <v>6698</v>
      </c>
      <c r="D5416" s="53" t="s">
        <v>3998</v>
      </c>
      <c r="E5416" s="53" t="s">
        <v>6774</v>
      </c>
      <c r="F5416" s="53" t="s">
        <v>3997</v>
      </c>
      <c r="G5416" s="53" t="s">
        <v>3995</v>
      </c>
      <c r="H5416" s="53">
        <v>1.0</v>
      </c>
      <c r="I5416" s="53">
        <v>0.07575757575757576</v>
      </c>
      <c r="J5416" s="53">
        <v>1.0</v>
      </c>
      <c r="K5416" s="53" t="s">
        <v>53</v>
      </c>
      <c r="L5416" s="53" t="s">
        <v>53</v>
      </c>
    </row>
    <row r="5417" ht="15.75" customHeight="1">
      <c r="A5417" s="53" t="s">
        <v>808</v>
      </c>
      <c r="B5417" s="53" t="s">
        <v>6698</v>
      </c>
      <c r="D5417" s="53" t="s">
        <v>4001</v>
      </c>
      <c r="E5417" s="53" t="s">
        <v>6775</v>
      </c>
      <c r="F5417" s="53" t="s">
        <v>3997</v>
      </c>
      <c r="G5417" s="53" t="s">
        <v>3995</v>
      </c>
      <c r="H5417" s="53">
        <v>1.0</v>
      </c>
      <c r="I5417" s="53">
        <v>0.08955223880597014</v>
      </c>
      <c r="J5417" s="53">
        <v>0.0</v>
      </c>
      <c r="K5417" s="53" t="s">
        <v>53</v>
      </c>
      <c r="L5417" s="53" t="s">
        <v>53</v>
      </c>
    </row>
    <row r="5418" ht="15.75" customHeight="1">
      <c r="A5418" s="53" t="s">
        <v>808</v>
      </c>
      <c r="B5418" s="53" t="s">
        <v>6698</v>
      </c>
      <c r="D5418" s="53" t="s">
        <v>815</v>
      </c>
      <c r="E5418" s="53" t="s">
        <v>6776</v>
      </c>
      <c r="F5418" s="53" t="s">
        <v>73</v>
      </c>
      <c r="G5418" s="53" t="s">
        <v>820</v>
      </c>
      <c r="H5418" s="53">
        <v>1.0</v>
      </c>
      <c r="I5418" s="53">
        <v>0.011111111111111112</v>
      </c>
      <c r="J5418" s="53">
        <v>0.0</v>
      </c>
      <c r="K5418" s="53" t="s">
        <v>53</v>
      </c>
      <c r="L5418" s="53" t="s">
        <v>53</v>
      </c>
    </row>
    <row r="5419" ht="15.75" customHeight="1">
      <c r="A5419" s="53" t="s">
        <v>808</v>
      </c>
      <c r="B5419" s="53" t="s">
        <v>6698</v>
      </c>
      <c r="D5419" s="53" t="s">
        <v>815</v>
      </c>
      <c r="E5419" s="53" t="s">
        <v>6777</v>
      </c>
      <c r="F5419" s="53" t="s">
        <v>73</v>
      </c>
      <c r="G5419" s="53" t="s">
        <v>869</v>
      </c>
      <c r="H5419" s="53">
        <v>1.0</v>
      </c>
      <c r="I5419" s="53">
        <v>0.022222222222222223</v>
      </c>
      <c r="J5419" s="53">
        <v>1.0</v>
      </c>
      <c r="K5419" s="53" t="s">
        <v>53</v>
      </c>
      <c r="L5419" s="53" t="s">
        <v>53</v>
      </c>
    </row>
    <row r="5420" ht="15.75" customHeight="1">
      <c r="A5420" s="53" t="s">
        <v>808</v>
      </c>
      <c r="B5420" s="53" t="s">
        <v>6698</v>
      </c>
      <c r="D5420" s="53" t="s">
        <v>815</v>
      </c>
      <c r="E5420" s="53" t="s">
        <v>6778</v>
      </c>
      <c r="F5420" s="53" t="s">
        <v>73</v>
      </c>
      <c r="G5420" s="53" t="s">
        <v>69</v>
      </c>
      <c r="H5420" s="53">
        <v>1.0</v>
      </c>
      <c r="I5420" s="53">
        <v>0.6057692307692307</v>
      </c>
      <c r="J5420" s="53">
        <v>49.0</v>
      </c>
      <c r="K5420" s="53" t="s">
        <v>53</v>
      </c>
      <c r="L5420" s="53" t="s">
        <v>53</v>
      </c>
    </row>
    <row r="5421" ht="15.75" customHeight="1">
      <c r="A5421" s="53" t="s">
        <v>808</v>
      </c>
      <c r="B5421" s="53" t="s">
        <v>6698</v>
      </c>
      <c r="D5421" s="53" t="s">
        <v>815</v>
      </c>
      <c r="E5421" s="53" t="s">
        <v>6779</v>
      </c>
      <c r="F5421" s="53" t="s">
        <v>73</v>
      </c>
      <c r="G5421" s="53" t="s">
        <v>114</v>
      </c>
      <c r="H5421" s="53">
        <v>1.0</v>
      </c>
      <c r="I5421" s="53">
        <v>0.6213592233009708</v>
      </c>
      <c r="J5421" s="53">
        <v>47.0</v>
      </c>
      <c r="K5421" s="53" t="s">
        <v>53</v>
      </c>
      <c r="L5421" s="53" t="s">
        <v>53</v>
      </c>
    </row>
    <row r="5422" ht="15.75" customHeight="1">
      <c r="A5422" s="53" t="s">
        <v>808</v>
      </c>
      <c r="B5422" s="53" t="s">
        <v>6698</v>
      </c>
      <c r="D5422" s="53" t="s">
        <v>815</v>
      </c>
      <c r="E5422" s="53" t="s">
        <v>6780</v>
      </c>
      <c r="F5422" s="53" t="s">
        <v>73</v>
      </c>
      <c r="G5422" s="53" t="s">
        <v>4970</v>
      </c>
      <c r="H5422" s="53">
        <v>1.0</v>
      </c>
      <c r="I5422" s="53">
        <v>0.6363636363636364</v>
      </c>
      <c r="J5422" s="53">
        <v>41.0</v>
      </c>
      <c r="K5422" s="53" t="s">
        <v>53</v>
      </c>
      <c r="L5422" s="53" t="s">
        <v>53</v>
      </c>
    </row>
    <row r="5423" ht="15.75" customHeight="1">
      <c r="A5423" s="53" t="s">
        <v>808</v>
      </c>
      <c r="B5423" s="53" t="s">
        <v>6698</v>
      </c>
      <c r="D5423" s="53" t="s">
        <v>815</v>
      </c>
      <c r="E5423" s="53" t="s">
        <v>6781</v>
      </c>
      <c r="F5423" s="53" t="s">
        <v>73</v>
      </c>
      <c r="G5423" s="53" t="s">
        <v>880</v>
      </c>
      <c r="H5423" s="53">
        <v>1.0</v>
      </c>
      <c r="I5423" s="53">
        <v>0.6484375</v>
      </c>
      <c r="J5423" s="53">
        <v>44.0</v>
      </c>
      <c r="K5423" s="53" t="s">
        <v>53</v>
      </c>
      <c r="L5423" s="53" t="s">
        <v>53</v>
      </c>
    </row>
    <row r="5424" ht="15.75" customHeight="1">
      <c r="A5424" s="53" t="s">
        <v>808</v>
      </c>
      <c r="B5424" s="53" t="s">
        <v>6698</v>
      </c>
      <c r="D5424" s="53" t="s">
        <v>815</v>
      </c>
      <c r="E5424" s="53" t="s">
        <v>6782</v>
      </c>
      <c r="F5424" s="53" t="s">
        <v>73</v>
      </c>
      <c r="G5424" s="53" t="s">
        <v>4967</v>
      </c>
      <c r="H5424" s="53">
        <v>1.0</v>
      </c>
      <c r="I5424" s="53">
        <v>0.6495726495726496</v>
      </c>
      <c r="J5424" s="53">
        <v>18.0</v>
      </c>
      <c r="K5424" s="53" t="s">
        <v>53</v>
      </c>
      <c r="L5424" s="53" t="s">
        <v>53</v>
      </c>
    </row>
    <row r="5425" ht="15.75" customHeight="1">
      <c r="A5425" s="53" t="s">
        <v>808</v>
      </c>
      <c r="B5425" s="53" t="s">
        <v>6698</v>
      </c>
      <c r="D5425" s="53" t="s">
        <v>815</v>
      </c>
      <c r="E5425" s="53" t="s">
        <v>6783</v>
      </c>
      <c r="F5425" s="53" t="s">
        <v>73</v>
      </c>
      <c r="G5425" s="53" t="s">
        <v>4972</v>
      </c>
      <c r="H5425" s="53">
        <v>1.0</v>
      </c>
      <c r="I5425" s="53">
        <v>0.6639344262295082</v>
      </c>
      <c r="J5425" s="53">
        <v>48.0</v>
      </c>
      <c r="K5425" s="53" t="s">
        <v>53</v>
      </c>
      <c r="L5425" s="53" t="s">
        <v>53</v>
      </c>
    </row>
    <row r="5426" ht="15.75" customHeight="1">
      <c r="A5426" s="53" t="s">
        <v>808</v>
      </c>
      <c r="B5426" s="53" t="s">
        <v>6698</v>
      </c>
      <c r="D5426" s="53" t="s">
        <v>815</v>
      </c>
      <c r="E5426" s="53" t="s">
        <v>6784</v>
      </c>
      <c r="F5426" s="53" t="s">
        <v>73</v>
      </c>
      <c r="G5426" s="53" t="s">
        <v>75</v>
      </c>
      <c r="H5426" s="53">
        <v>1.0</v>
      </c>
      <c r="I5426" s="53">
        <v>0.6888888888888889</v>
      </c>
      <c r="J5426" s="53">
        <v>17.0</v>
      </c>
      <c r="K5426" s="53" t="s">
        <v>53</v>
      </c>
      <c r="L5426" s="53" t="s">
        <v>53</v>
      </c>
    </row>
    <row r="5427" ht="15.75" customHeight="1">
      <c r="A5427" s="53" t="s">
        <v>808</v>
      </c>
      <c r="B5427" s="53" t="s">
        <v>6698</v>
      </c>
      <c r="D5427" s="53" t="s">
        <v>815</v>
      </c>
      <c r="E5427" s="53" t="s">
        <v>6785</v>
      </c>
      <c r="F5427" s="53" t="s">
        <v>73</v>
      </c>
      <c r="G5427" s="53" t="s">
        <v>1053</v>
      </c>
      <c r="H5427" s="53">
        <v>1.0</v>
      </c>
      <c r="I5427" s="53">
        <v>0.7808764940239044</v>
      </c>
      <c r="J5427" s="53">
        <v>23.0</v>
      </c>
      <c r="K5427" s="53" t="s">
        <v>53</v>
      </c>
      <c r="L5427" s="53" t="s">
        <v>53</v>
      </c>
    </row>
    <row r="5428" ht="15.75" customHeight="1">
      <c r="A5428" s="53" t="s">
        <v>808</v>
      </c>
      <c r="B5428" s="53" t="s">
        <v>6698</v>
      </c>
      <c r="D5428" s="53" t="s">
        <v>820</v>
      </c>
      <c r="E5428" s="53" t="s">
        <v>6786</v>
      </c>
      <c r="F5428" s="53" t="s">
        <v>73</v>
      </c>
      <c r="G5428" s="53" t="s">
        <v>869</v>
      </c>
      <c r="H5428" s="53">
        <v>1.0</v>
      </c>
      <c r="I5428" s="53">
        <v>0.022222222222222223</v>
      </c>
      <c r="J5428" s="53">
        <v>0.0</v>
      </c>
      <c r="K5428" s="53" t="s">
        <v>53</v>
      </c>
      <c r="L5428" s="53" t="s">
        <v>53</v>
      </c>
    </row>
    <row r="5429" ht="15.75" customHeight="1">
      <c r="A5429" s="53" t="s">
        <v>808</v>
      </c>
      <c r="B5429" s="53" t="s">
        <v>6698</v>
      </c>
      <c r="D5429" s="53" t="s">
        <v>820</v>
      </c>
      <c r="E5429" s="53" t="s">
        <v>6787</v>
      </c>
      <c r="F5429" s="53" t="s">
        <v>73</v>
      </c>
      <c r="G5429" s="53" t="s">
        <v>69</v>
      </c>
      <c r="H5429" s="53">
        <v>1.0</v>
      </c>
      <c r="I5429" s="53">
        <v>0.6057692307692307</v>
      </c>
      <c r="J5429" s="53">
        <v>48.0</v>
      </c>
      <c r="K5429" s="53" t="s">
        <v>53</v>
      </c>
      <c r="L5429" s="53" t="s">
        <v>53</v>
      </c>
    </row>
    <row r="5430" ht="15.75" customHeight="1">
      <c r="A5430" s="53" t="s">
        <v>808</v>
      </c>
      <c r="B5430" s="53" t="s">
        <v>6698</v>
      </c>
      <c r="D5430" s="53" t="s">
        <v>820</v>
      </c>
      <c r="E5430" s="53" t="s">
        <v>6788</v>
      </c>
      <c r="F5430" s="53" t="s">
        <v>73</v>
      </c>
      <c r="G5430" s="53" t="s">
        <v>114</v>
      </c>
      <c r="H5430" s="53">
        <v>1.0</v>
      </c>
      <c r="I5430" s="53">
        <v>0.6213592233009708</v>
      </c>
      <c r="J5430" s="53">
        <v>46.0</v>
      </c>
      <c r="K5430" s="53" t="s">
        <v>53</v>
      </c>
      <c r="L5430" s="53" t="s">
        <v>53</v>
      </c>
    </row>
    <row r="5431" ht="15.75" customHeight="1">
      <c r="A5431" s="53" t="s">
        <v>808</v>
      </c>
      <c r="B5431" s="53" t="s">
        <v>6698</v>
      </c>
      <c r="D5431" s="53" t="s">
        <v>820</v>
      </c>
      <c r="E5431" s="53" t="s">
        <v>6789</v>
      </c>
      <c r="F5431" s="53" t="s">
        <v>73</v>
      </c>
      <c r="G5431" s="53" t="s">
        <v>4970</v>
      </c>
      <c r="H5431" s="53">
        <v>1.0</v>
      </c>
      <c r="I5431" s="53">
        <v>0.6363636363636364</v>
      </c>
      <c r="J5431" s="53">
        <v>40.0</v>
      </c>
      <c r="K5431" s="53" t="s">
        <v>53</v>
      </c>
      <c r="L5431" s="53" t="s">
        <v>53</v>
      </c>
    </row>
    <row r="5432" ht="15.75" customHeight="1">
      <c r="A5432" s="53" t="s">
        <v>808</v>
      </c>
      <c r="B5432" s="53" t="s">
        <v>6698</v>
      </c>
      <c r="D5432" s="53" t="s">
        <v>820</v>
      </c>
      <c r="E5432" s="53" t="s">
        <v>6790</v>
      </c>
      <c r="F5432" s="53" t="s">
        <v>73</v>
      </c>
      <c r="G5432" s="53" t="s">
        <v>880</v>
      </c>
      <c r="H5432" s="53">
        <v>1.0</v>
      </c>
      <c r="I5432" s="53">
        <v>0.6484375</v>
      </c>
      <c r="J5432" s="53">
        <v>43.0</v>
      </c>
      <c r="K5432" s="53" t="s">
        <v>53</v>
      </c>
      <c r="L5432" s="53" t="s">
        <v>53</v>
      </c>
    </row>
    <row r="5433" ht="15.75" customHeight="1">
      <c r="A5433" s="53" t="s">
        <v>808</v>
      </c>
      <c r="B5433" s="53" t="s">
        <v>6698</v>
      </c>
      <c r="D5433" s="53" t="s">
        <v>820</v>
      </c>
      <c r="E5433" s="53" t="s">
        <v>6791</v>
      </c>
      <c r="F5433" s="53" t="s">
        <v>73</v>
      </c>
      <c r="G5433" s="53" t="s">
        <v>4967</v>
      </c>
      <c r="H5433" s="53">
        <v>1.0</v>
      </c>
      <c r="I5433" s="53">
        <v>0.6495726495726496</v>
      </c>
      <c r="J5433" s="53">
        <v>17.0</v>
      </c>
      <c r="K5433" s="53" t="s">
        <v>53</v>
      </c>
      <c r="L5433" s="53" t="s">
        <v>53</v>
      </c>
    </row>
    <row r="5434" ht="15.75" customHeight="1">
      <c r="A5434" s="53" t="s">
        <v>808</v>
      </c>
      <c r="B5434" s="53" t="s">
        <v>6698</v>
      </c>
      <c r="D5434" s="53" t="s">
        <v>820</v>
      </c>
      <c r="E5434" s="53" t="s">
        <v>6792</v>
      </c>
      <c r="F5434" s="53" t="s">
        <v>73</v>
      </c>
      <c r="G5434" s="53" t="s">
        <v>4972</v>
      </c>
      <c r="H5434" s="53">
        <v>1.0</v>
      </c>
      <c r="I5434" s="53">
        <v>0.6639344262295082</v>
      </c>
      <c r="J5434" s="53">
        <v>47.0</v>
      </c>
      <c r="K5434" s="53" t="s">
        <v>53</v>
      </c>
      <c r="L5434" s="53" t="s">
        <v>53</v>
      </c>
    </row>
    <row r="5435" ht="15.75" customHeight="1">
      <c r="A5435" s="53" t="s">
        <v>808</v>
      </c>
      <c r="B5435" s="53" t="s">
        <v>6698</v>
      </c>
      <c r="D5435" s="53" t="s">
        <v>820</v>
      </c>
      <c r="E5435" s="53" t="s">
        <v>6793</v>
      </c>
      <c r="F5435" s="53" t="s">
        <v>73</v>
      </c>
      <c r="G5435" s="53" t="s">
        <v>75</v>
      </c>
      <c r="H5435" s="53">
        <v>1.0</v>
      </c>
      <c r="I5435" s="53">
        <v>0.6888888888888889</v>
      </c>
      <c r="J5435" s="53">
        <v>16.0</v>
      </c>
      <c r="K5435" s="53" t="s">
        <v>53</v>
      </c>
      <c r="L5435" s="53" t="s">
        <v>53</v>
      </c>
    </row>
    <row r="5436" ht="15.75" customHeight="1">
      <c r="A5436" s="53" t="s">
        <v>808</v>
      </c>
      <c r="B5436" s="53" t="s">
        <v>6698</v>
      </c>
      <c r="D5436" s="53" t="s">
        <v>820</v>
      </c>
      <c r="E5436" s="53" t="s">
        <v>6794</v>
      </c>
      <c r="F5436" s="53" t="s">
        <v>73</v>
      </c>
      <c r="G5436" s="53" t="s">
        <v>1053</v>
      </c>
      <c r="H5436" s="53">
        <v>1.0</v>
      </c>
      <c r="I5436" s="53">
        <v>0.7808764940239044</v>
      </c>
      <c r="J5436" s="53">
        <v>22.0</v>
      </c>
      <c r="K5436" s="53" t="s">
        <v>53</v>
      </c>
      <c r="L5436" s="53" t="s">
        <v>53</v>
      </c>
    </row>
    <row r="5437" ht="15.75" customHeight="1">
      <c r="A5437" s="53" t="s">
        <v>808</v>
      </c>
      <c r="B5437" s="53" t="s">
        <v>6698</v>
      </c>
      <c r="D5437" s="53" t="s">
        <v>869</v>
      </c>
      <c r="E5437" s="53" t="s">
        <v>6795</v>
      </c>
      <c r="F5437" s="53" t="s">
        <v>73</v>
      </c>
      <c r="G5437" s="53" t="s">
        <v>69</v>
      </c>
      <c r="H5437" s="53">
        <v>1.0</v>
      </c>
      <c r="I5437" s="53">
        <v>0.6057692307692307</v>
      </c>
      <c r="J5437" s="53">
        <v>47.0</v>
      </c>
      <c r="K5437" s="53" t="s">
        <v>53</v>
      </c>
      <c r="L5437" s="53" t="s">
        <v>53</v>
      </c>
    </row>
    <row r="5438" ht="15.75" customHeight="1">
      <c r="A5438" s="53" t="s">
        <v>808</v>
      </c>
      <c r="B5438" s="53" t="s">
        <v>6698</v>
      </c>
      <c r="D5438" s="53" t="s">
        <v>869</v>
      </c>
      <c r="E5438" s="53" t="s">
        <v>6796</v>
      </c>
      <c r="F5438" s="53" t="s">
        <v>73</v>
      </c>
      <c r="G5438" s="53" t="s">
        <v>114</v>
      </c>
      <c r="H5438" s="53">
        <v>1.0</v>
      </c>
      <c r="I5438" s="53">
        <v>0.6213592233009708</v>
      </c>
      <c r="J5438" s="53">
        <v>45.0</v>
      </c>
      <c r="K5438" s="53" t="s">
        <v>53</v>
      </c>
      <c r="L5438" s="53" t="s">
        <v>53</v>
      </c>
    </row>
    <row r="5439" ht="15.75" customHeight="1">
      <c r="A5439" s="53" t="s">
        <v>808</v>
      </c>
      <c r="B5439" s="53" t="s">
        <v>6698</v>
      </c>
      <c r="D5439" s="53" t="s">
        <v>869</v>
      </c>
      <c r="E5439" s="53" t="s">
        <v>6797</v>
      </c>
      <c r="F5439" s="53" t="s">
        <v>73</v>
      </c>
      <c r="G5439" s="53" t="s">
        <v>4970</v>
      </c>
      <c r="H5439" s="53">
        <v>1.0</v>
      </c>
      <c r="I5439" s="53">
        <v>0.6363636363636364</v>
      </c>
      <c r="J5439" s="53">
        <v>39.0</v>
      </c>
      <c r="K5439" s="53" t="s">
        <v>53</v>
      </c>
      <c r="L5439" s="53" t="s">
        <v>53</v>
      </c>
    </row>
    <row r="5440" ht="15.75" customHeight="1">
      <c r="A5440" s="53" t="s">
        <v>808</v>
      </c>
      <c r="B5440" s="53" t="s">
        <v>6698</v>
      </c>
      <c r="D5440" s="53" t="s">
        <v>869</v>
      </c>
      <c r="E5440" s="53" t="s">
        <v>6798</v>
      </c>
      <c r="F5440" s="53" t="s">
        <v>73</v>
      </c>
      <c r="G5440" s="53" t="s">
        <v>880</v>
      </c>
      <c r="H5440" s="53">
        <v>1.0</v>
      </c>
      <c r="I5440" s="53">
        <v>0.6484375</v>
      </c>
      <c r="J5440" s="53">
        <v>42.0</v>
      </c>
      <c r="K5440" s="53" t="s">
        <v>53</v>
      </c>
      <c r="L5440" s="53" t="s">
        <v>53</v>
      </c>
    </row>
    <row r="5441" ht="15.75" customHeight="1">
      <c r="A5441" s="53" t="s">
        <v>808</v>
      </c>
      <c r="B5441" s="53" t="s">
        <v>6698</v>
      </c>
      <c r="D5441" s="53" t="s">
        <v>869</v>
      </c>
      <c r="E5441" s="53" t="s">
        <v>6799</v>
      </c>
      <c r="F5441" s="53" t="s">
        <v>73</v>
      </c>
      <c r="G5441" s="53" t="s">
        <v>4967</v>
      </c>
      <c r="H5441" s="53">
        <v>1.0</v>
      </c>
      <c r="I5441" s="53">
        <v>0.6495726495726496</v>
      </c>
      <c r="J5441" s="53">
        <v>16.0</v>
      </c>
      <c r="K5441" s="53" t="s">
        <v>53</v>
      </c>
      <c r="L5441" s="53" t="s">
        <v>53</v>
      </c>
    </row>
    <row r="5442" ht="15.75" customHeight="1">
      <c r="A5442" s="53" t="s">
        <v>808</v>
      </c>
      <c r="B5442" s="53" t="s">
        <v>6698</v>
      </c>
      <c r="D5442" s="53" t="s">
        <v>869</v>
      </c>
      <c r="E5442" s="53" t="s">
        <v>6800</v>
      </c>
      <c r="F5442" s="53" t="s">
        <v>73</v>
      </c>
      <c r="G5442" s="53" t="s">
        <v>4972</v>
      </c>
      <c r="H5442" s="53">
        <v>1.0</v>
      </c>
      <c r="I5442" s="53">
        <v>0.6557377049180327</v>
      </c>
      <c r="J5442" s="53">
        <v>46.0</v>
      </c>
      <c r="K5442" s="53" t="s">
        <v>53</v>
      </c>
      <c r="L5442" s="53" t="s">
        <v>53</v>
      </c>
    </row>
    <row r="5443" ht="15.75" customHeight="1">
      <c r="A5443" s="53" t="s">
        <v>808</v>
      </c>
      <c r="B5443" s="53" t="s">
        <v>6698</v>
      </c>
      <c r="D5443" s="53" t="s">
        <v>869</v>
      </c>
      <c r="E5443" s="53" t="s">
        <v>6801</v>
      </c>
      <c r="F5443" s="53" t="s">
        <v>73</v>
      </c>
      <c r="G5443" s="53" t="s">
        <v>75</v>
      </c>
      <c r="H5443" s="53">
        <v>1.0</v>
      </c>
      <c r="I5443" s="53">
        <v>0.6853932584269663</v>
      </c>
      <c r="J5443" s="53">
        <v>15.0</v>
      </c>
      <c r="K5443" s="53" t="s">
        <v>53</v>
      </c>
      <c r="L5443" s="53" t="s">
        <v>53</v>
      </c>
    </row>
    <row r="5444" ht="15.75" customHeight="1">
      <c r="A5444" s="53" t="s">
        <v>808</v>
      </c>
      <c r="B5444" s="53" t="s">
        <v>6698</v>
      </c>
      <c r="D5444" s="53" t="s">
        <v>869</v>
      </c>
      <c r="E5444" s="53" t="s">
        <v>6802</v>
      </c>
      <c r="F5444" s="53" t="s">
        <v>73</v>
      </c>
      <c r="G5444" s="53" t="s">
        <v>1053</v>
      </c>
      <c r="H5444" s="53">
        <v>1.0</v>
      </c>
      <c r="I5444" s="53">
        <v>0.7808764940239044</v>
      </c>
      <c r="J5444" s="53">
        <v>21.0</v>
      </c>
      <c r="K5444" s="53" t="s">
        <v>53</v>
      </c>
      <c r="L5444" s="53" t="s">
        <v>53</v>
      </c>
    </row>
    <row r="5445" ht="15.75" customHeight="1">
      <c r="A5445" s="53" t="s">
        <v>808</v>
      </c>
      <c r="B5445" s="53" t="s">
        <v>6698</v>
      </c>
      <c r="D5445" s="53" t="s">
        <v>770</v>
      </c>
      <c r="E5445" s="53" t="s">
        <v>6803</v>
      </c>
      <c r="F5445" s="53" t="s">
        <v>6804</v>
      </c>
      <c r="G5445" s="53" t="s">
        <v>899</v>
      </c>
      <c r="H5445" s="53">
        <v>1.0</v>
      </c>
      <c r="I5445" s="53">
        <v>0.7731811697574893</v>
      </c>
      <c r="J5445" s="53">
        <v>18.0</v>
      </c>
      <c r="K5445" s="53" t="s">
        <v>53</v>
      </c>
      <c r="L5445" s="53" t="s">
        <v>4983</v>
      </c>
    </row>
    <row r="5446" ht="15.75" customHeight="1">
      <c r="A5446" s="53" t="s">
        <v>808</v>
      </c>
      <c r="B5446" s="53" t="s">
        <v>6698</v>
      </c>
      <c r="D5446" s="53" t="s">
        <v>1060</v>
      </c>
      <c r="E5446" s="53" t="s">
        <v>6805</v>
      </c>
      <c r="F5446" s="53" t="s">
        <v>1064</v>
      </c>
      <c r="G5446" s="53" t="s">
        <v>1066</v>
      </c>
      <c r="H5446" s="53">
        <v>0.875</v>
      </c>
      <c r="I5446" s="53">
        <v>0.09865470852017937</v>
      </c>
      <c r="J5446" s="53">
        <v>0.0</v>
      </c>
      <c r="K5446" s="53" t="s">
        <v>53</v>
      </c>
      <c r="L5446" s="53" t="s">
        <v>6806</v>
      </c>
    </row>
    <row r="5447" ht="15.75" customHeight="1">
      <c r="A5447" s="53" t="s">
        <v>808</v>
      </c>
      <c r="B5447" s="53" t="s">
        <v>6698</v>
      </c>
      <c r="D5447" s="53" t="s">
        <v>1181</v>
      </c>
      <c r="E5447" s="53" t="s">
        <v>6807</v>
      </c>
      <c r="F5447" s="53" t="s">
        <v>1183</v>
      </c>
      <c r="G5447" s="53" t="s">
        <v>1184</v>
      </c>
      <c r="H5447" s="53">
        <v>1.0</v>
      </c>
      <c r="I5447" s="53">
        <v>0.026515151515151516</v>
      </c>
      <c r="J5447" s="53">
        <v>0.0</v>
      </c>
      <c r="K5447" s="53" t="s">
        <v>53</v>
      </c>
      <c r="L5447" s="53" t="s">
        <v>53</v>
      </c>
    </row>
    <row r="5448" ht="15.75" customHeight="1">
      <c r="A5448" s="53" t="s">
        <v>808</v>
      </c>
      <c r="B5448" s="53" t="s">
        <v>6698</v>
      </c>
      <c r="D5448" s="53" t="s">
        <v>1181</v>
      </c>
      <c r="E5448" s="53" t="s">
        <v>6808</v>
      </c>
      <c r="F5448" s="53" t="s">
        <v>1183</v>
      </c>
      <c r="G5448" s="53" t="s">
        <v>1187</v>
      </c>
      <c r="H5448" s="53">
        <v>1.0</v>
      </c>
      <c r="I5448" s="53">
        <v>0.08865248226950355</v>
      </c>
      <c r="J5448" s="53">
        <v>1.0</v>
      </c>
      <c r="K5448" s="53" t="s">
        <v>53</v>
      </c>
      <c r="L5448" s="53" t="s">
        <v>53</v>
      </c>
    </row>
    <row r="5449" ht="15.75" customHeight="1">
      <c r="A5449" s="53" t="s">
        <v>808</v>
      </c>
      <c r="B5449" s="53" t="s">
        <v>6698</v>
      </c>
      <c r="D5449" s="53" t="s">
        <v>1181</v>
      </c>
      <c r="E5449" s="53" t="s">
        <v>6809</v>
      </c>
      <c r="F5449" s="53" t="s">
        <v>1183</v>
      </c>
      <c r="G5449" s="53" t="s">
        <v>1189</v>
      </c>
      <c r="H5449" s="53">
        <v>1.0</v>
      </c>
      <c r="I5449" s="53">
        <v>0.1762820512820513</v>
      </c>
      <c r="J5449" s="53">
        <v>2.0</v>
      </c>
      <c r="K5449" s="53" t="s">
        <v>53</v>
      </c>
      <c r="L5449" s="53" t="s">
        <v>53</v>
      </c>
    </row>
    <row r="5450" ht="15.75" customHeight="1">
      <c r="A5450" s="53" t="s">
        <v>808</v>
      </c>
      <c r="B5450" s="53" t="s">
        <v>6698</v>
      </c>
      <c r="D5450" s="53" t="s">
        <v>1184</v>
      </c>
      <c r="E5450" s="53" t="s">
        <v>6810</v>
      </c>
      <c r="F5450" s="53" t="s">
        <v>1183</v>
      </c>
      <c r="G5450" s="53" t="s">
        <v>1187</v>
      </c>
      <c r="H5450" s="53">
        <v>1.0</v>
      </c>
      <c r="I5450" s="53">
        <v>0.08865248226950355</v>
      </c>
      <c r="J5450" s="53">
        <v>0.0</v>
      </c>
      <c r="K5450" s="53" t="s">
        <v>53</v>
      </c>
      <c r="L5450" s="53" t="s">
        <v>53</v>
      </c>
    </row>
    <row r="5451" ht="15.75" customHeight="1">
      <c r="A5451" s="53" t="s">
        <v>808</v>
      </c>
      <c r="B5451" s="53" t="s">
        <v>6698</v>
      </c>
      <c r="D5451" s="53" t="s">
        <v>1184</v>
      </c>
      <c r="E5451" s="53" t="s">
        <v>6811</v>
      </c>
      <c r="F5451" s="53" t="s">
        <v>1183</v>
      </c>
      <c r="G5451" s="53" t="s">
        <v>1189</v>
      </c>
      <c r="H5451" s="53">
        <v>1.0</v>
      </c>
      <c r="I5451" s="53">
        <v>0.1762820512820513</v>
      </c>
      <c r="J5451" s="53">
        <v>1.0</v>
      </c>
      <c r="K5451" s="53" t="s">
        <v>53</v>
      </c>
      <c r="L5451" s="53" t="s">
        <v>53</v>
      </c>
    </row>
    <row r="5452" ht="15.75" customHeight="1">
      <c r="A5452" s="53" t="s">
        <v>808</v>
      </c>
      <c r="B5452" s="53" t="s">
        <v>6698</v>
      </c>
      <c r="D5452" s="53" t="s">
        <v>1187</v>
      </c>
      <c r="E5452" s="53" t="s">
        <v>6812</v>
      </c>
      <c r="F5452" s="53" t="s">
        <v>1183</v>
      </c>
      <c r="G5452" s="53" t="s">
        <v>1189</v>
      </c>
      <c r="H5452" s="53">
        <v>1.0</v>
      </c>
      <c r="I5452" s="53">
        <v>0.11858974358974358</v>
      </c>
      <c r="J5452" s="53">
        <v>0.0</v>
      </c>
      <c r="K5452" s="53" t="s">
        <v>53</v>
      </c>
      <c r="L5452" s="53" t="s">
        <v>53</v>
      </c>
    </row>
    <row r="5453" ht="15.75" customHeight="1">
      <c r="A5453" s="53" t="s">
        <v>808</v>
      </c>
      <c r="B5453" s="53" t="s">
        <v>6698</v>
      </c>
      <c r="D5453" s="53" t="s">
        <v>75</v>
      </c>
      <c r="E5453" s="53" t="s">
        <v>6813</v>
      </c>
      <c r="F5453" s="53" t="s">
        <v>73</v>
      </c>
      <c r="G5453" s="53" t="s">
        <v>4967</v>
      </c>
      <c r="H5453" s="53">
        <v>1.0</v>
      </c>
      <c r="I5453" s="53">
        <v>0.6923076923076923</v>
      </c>
      <c r="J5453" s="53">
        <v>0.0</v>
      </c>
      <c r="K5453" s="53" t="s">
        <v>53</v>
      </c>
      <c r="L5453" s="53" t="s">
        <v>53</v>
      </c>
    </row>
    <row r="5454" ht="15.75" customHeight="1">
      <c r="A5454" s="53" t="s">
        <v>808</v>
      </c>
      <c r="B5454" s="53" t="s">
        <v>6698</v>
      </c>
      <c r="D5454" s="53" t="s">
        <v>75</v>
      </c>
      <c r="E5454" s="53" t="s">
        <v>6814</v>
      </c>
      <c r="F5454" s="53" t="s">
        <v>73</v>
      </c>
      <c r="G5454" s="53" t="s">
        <v>880</v>
      </c>
      <c r="H5454" s="53">
        <v>1.0</v>
      </c>
      <c r="I5454" s="53">
        <v>0.71875</v>
      </c>
      <c r="J5454" s="53">
        <v>26.0</v>
      </c>
      <c r="K5454" s="53" t="s">
        <v>53</v>
      </c>
      <c r="L5454" s="53" t="s">
        <v>53</v>
      </c>
    </row>
    <row r="5455" ht="15.75" customHeight="1">
      <c r="A5455" s="53" t="s">
        <v>808</v>
      </c>
      <c r="B5455" s="53" t="s">
        <v>6698</v>
      </c>
      <c r="D5455" s="53" t="s">
        <v>75</v>
      </c>
      <c r="E5455" s="53" t="s">
        <v>6815</v>
      </c>
      <c r="F5455" s="53" t="s">
        <v>73</v>
      </c>
      <c r="G5455" s="53" t="s">
        <v>114</v>
      </c>
      <c r="H5455" s="53">
        <v>1.0</v>
      </c>
      <c r="I5455" s="53">
        <v>0.7281553398058253</v>
      </c>
      <c r="J5455" s="53">
        <v>29.0</v>
      </c>
      <c r="K5455" s="53" t="s">
        <v>53</v>
      </c>
      <c r="L5455" s="53" t="s">
        <v>53</v>
      </c>
    </row>
    <row r="5456" ht="15.75" customHeight="1">
      <c r="A5456" s="53" t="s">
        <v>808</v>
      </c>
      <c r="B5456" s="53" t="s">
        <v>6698</v>
      </c>
      <c r="D5456" s="53" t="s">
        <v>75</v>
      </c>
      <c r="E5456" s="53" t="s">
        <v>6816</v>
      </c>
      <c r="F5456" s="53" t="s">
        <v>73</v>
      </c>
      <c r="G5456" s="53" t="s">
        <v>69</v>
      </c>
      <c r="H5456" s="53">
        <v>1.0</v>
      </c>
      <c r="I5456" s="53">
        <v>0.7307692307692307</v>
      </c>
      <c r="J5456" s="53">
        <v>31.0</v>
      </c>
      <c r="K5456" s="53" t="s">
        <v>53</v>
      </c>
      <c r="L5456" s="53" t="s">
        <v>53</v>
      </c>
    </row>
    <row r="5457" ht="15.75" customHeight="1">
      <c r="A5457" s="53" t="s">
        <v>808</v>
      </c>
      <c r="B5457" s="53" t="s">
        <v>6698</v>
      </c>
      <c r="D5457" s="53" t="s">
        <v>75</v>
      </c>
      <c r="E5457" s="53" t="s">
        <v>6817</v>
      </c>
      <c r="F5457" s="53" t="s">
        <v>73</v>
      </c>
      <c r="G5457" s="53" t="s">
        <v>4970</v>
      </c>
      <c r="H5457" s="53">
        <v>1.0</v>
      </c>
      <c r="I5457" s="53">
        <v>0.7552447552447552</v>
      </c>
      <c r="J5457" s="53">
        <v>23.0</v>
      </c>
      <c r="K5457" s="53" t="s">
        <v>53</v>
      </c>
      <c r="L5457" s="53" t="s">
        <v>53</v>
      </c>
    </row>
    <row r="5458" ht="15.75" customHeight="1">
      <c r="A5458" s="53" t="s">
        <v>808</v>
      </c>
      <c r="B5458" s="53" t="s">
        <v>6698</v>
      </c>
      <c r="D5458" s="53" t="s">
        <v>75</v>
      </c>
      <c r="E5458" s="53" t="s">
        <v>6818</v>
      </c>
      <c r="F5458" s="53" t="s">
        <v>73</v>
      </c>
      <c r="G5458" s="53" t="s">
        <v>4972</v>
      </c>
      <c r="H5458" s="53">
        <v>1.0</v>
      </c>
      <c r="I5458" s="53">
        <v>0.7704918032786885</v>
      </c>
      <c r="J5458" s="53">
        <v>30.0</v>
      </c>
      <c r="K5458" s="53" t="s">
        <v>53</v>
      </c>
      <c r="L5458" s="53" t="s">
        <v>53</v>
      </c>
    </row>
    <row r="5459" ht="15.75" customHeight="1">
      <c r="A5459" s="53" t="s">
        <v>808</v>
      </c>
      <c r="B5459" s="53" t="s">
        <v>6698</v>
      </c>
      <c r="D5459" s="53" t="s">
        <v>75</v>
      </c>
      <c r="E5459" s="53" t="s">
        <v>6819</v>
      </c>
      <c r="F5459" s="53" t="s">
        <v>73</v>
      </c>
      <c r="G5459" s="53" t="s">
        <v>1053</v>
      </c>
      <c r="H5459" s="53">
        <v>1.0</v>
      </c>
      <c r="I5459" s="53">
        <v>0.8645418326693227</v>
      </c>
      <c r="J5459" s="53">
        <v>5.0</v>
      </c>
      <c r="K5459" s="53" t="s">
        <v>53</v>
      </c>
      <c r="L5459" s="53" t="s">
        <v>53</v>
      </c>
    </row>
    <row r="5460" ht="15.75" customHeight="1">
      <c r="A5460" s="53" t="s">
        <v>808</v>
      </c>
      <c r="B5460" s="53" t="s">
        <v>6698</v>
      </c>
      <c r="D5460" s="53" t="s">
        <v>4967</v>
      </c>
      <c r="E5460" s="53" t="s">
        <v>6820</v>
      </c>
      <c r="F5460" s="53" t="s">
        <v>73</v>
      </c>
      <c r="G5460" s="53" t="s">
        <v>4970</v>
      </c>
      <c r="H5460" s="53">
        <v>1.0</v>
      </c>
      <c r="I5460" s="53">
        <v>0.3706293706293706</v>
      </c>
      <c r="J5460" s="53">
        <v>22.0</v>
      </c>
      <c r="K5460" s="53" t="s">
        <v>53</v>
      </c>
      <c r="L5460" s="53" t="s">
        <v>53</v>
      </c>
    </row>
    <row r="5461" ht="15.75" customHeight="1">
      <c r="A5461" s="53" t="s">
        <v>808</v>
      </c>
      <c r="B5461" s="53" t="s">
        <v>6698</v>
      </c>
      <c r="D5461" s="53" t="s">
        <v>4967</v>
      </c>
      <c r="E5461" s="53" t="s">
        <v>6821</v>
      </c>
      <c r="F5461" s="53" t="s">
        <v>73</v>
      </c>
      <c r="G5461" s="53" t="s">
        <v>880</v>
      </c>
      <c r="H5461" s="53">
        <v>1.0</v>
      </c>
      <c r="I5461" s="53">
        <v>0.3984375</v>
      </c>
      <c r="J5461" s="53">
        <v>25.0</v>
      </c>
      <c r="K5461" s="53" t="s">
        <v>53</v>
      </c>
      <c r="L5461" s="53" t="s">
        <v>53</v>
      </c>
    </row>
    <row r="5462" ht="15.75" customHeight="1">
      <c r="A5462" s="53" t="s">
        <v>808</v>
      </c>
      <c r="B5462" s="53" t="s">
        <v>6698</v>
      </c>
      <c r="D5462" s="53" t="s">
        <v>4967</v>
      </c>
      <c r="E5462" s="53" t="s">
        <v>6822</v>
      </c>
      <c r="F5462" s="53" t="s">
        <v>73</v>
      </c>
      <c r="G5462" s="53" t="s">
        <v>1053</v>
      </c>
      <c r="H5462" s="53">
        <v>1.0</v>
      </c>
      <c r="I5462" s="53">
        <v>0.6533864541832669</v>
      </c>
      <c r="J5462" s="53">
        <v>4.0</v>
      </c>
      <c r="K5462" s="53" t="s">
        <v>53</v>
      </c>
      <c r="L5462" s="53" t="s">
        <v>53</v>
      </c>
    </row>
    <row r="5463" ht="15.75" customHeight="1">
      <c r="A5463" s="53" t="s">
        <v>808</v>
      </c>
      <c r="B5463" s="53" t="s">
        <v>6698</v>
      </c>
      <c r="D5463" s="53" t="s">
        <v>4967</v>
      </c>
      <c r="E5463" s="53" t="s">
        <v>6823</v>
      </c>
      <c r="F5463" s="53" t="s">
        <v>73</v>
      </c>
      <c r="G5463" s="53" t="s">
        <v>4972</v>
      </c>
      <c r="H5463" s="53">
        <v>1.0</v>
      </c>
      <c r="I5463" s="53">
        <v>0.6885245901639344</v>
      </c>
      <c r="J5463" s="53">
        <v>29.0</v>
      </c>
      <c r="K5463" s="53" t="s">
        <v>53</v>
      </c>
      <c r="L5463" s="53" t="s">
        <v>53</v>
      </c>
    </row>
    <row r="5464" ht="15.75" customHeight="1">
      <c r="A5464" s="53" t="s">
        <v>808</v>
      </c>
      <c r="B5464" s="53" t="s">
        <v>6698</v>
      </c>
      <c r="D5464" s="53" t="s">
        <v>4967</v>
      </c>
      <c r="E5464" s="53" t="s">
        <v>6824</v>
      </c>
      <c r="F5464" s="53" t="s">
        <v>73</v>
      </c>
      <c r="G5464" s="53" t="s">
        <v>114</v>
      </c>
      <c r="H5464" s="53">
        <v>1.0</v>
      </c>
      <c r="I5464" s="53">
        <v>0.717948717948718</v>
      </c>
      <c r="J5464" s="53">
        <v>28.0</v>
      </c>
      <c r="K5464" s="53" t="s">
        <v>53</v>
      </c>
      <c r="L5464" s="53" t="s">
        <v>53</v>
      </c>
    </row>
    <row r="5465" ht="15.75" customHeight="1">
      <c r="A5465" s="53" t="s">
        <v>808</v>
      </c>
      <c r="B5465" s="53" t="s">
        <v>6698</v>
      </c>
      <c r="D5465" s="53" t="s">
        <v>4967</v>
      </c>
      <c r="E5465" s="53" t="s">
        <v>6825</v>
      </c>
      <c r="F5465" s="53" t="s">
        <v>73</v>
      </c>
      <c r="G5465" s="53" t="s">
        <v>69</v>
      </c>
      <c r="H5465" s="53">
        <v>1.0</v>
      </c>
      <c r="I5465" s="53">
        <v>0.717948717948718</v>
      </c>
      <c r="J5465" s="53">
        <v>30.0</v>
      </c>
      <c r="K5465" s="53" t="s">
        <v>53</v>
      </c>
      <c r="L5465" s="53" t="s">
        <v>53</v>
      </c>
    </row>
    <row r="5466" ht="15.75" customHeight="1">
      <c r="A5466" s="53" t="s">
        <v>808</v>
      </c>
      <c r="B5466" s="53" t="s">
        <v>6698</v>
      </c>
      <c r="D5466" s="53" t="s">
        <v>1397</v>
      </c>
      <c r="E5466" s="53" t="s">
        <v>6826</v>
      </c>
      <c r="F5466" s="53" t="s">
        <v>4985</v>
      </c>
      <c r="G5466" s="53" t="s">
        <v>1400</v>
      </c>
      <c r="H5466" s="53">
        <v>1.0</v>
      </c>
      <c r="I5466" s="53">
        <v>0.3154121863799283</v>
      </c>
      <c r="J5466" s="53">
        <v>0.0</v>
      </c>
      <c r="K5466" s="53" t="s">
        <v>53</v>
      </c>
      <c r="L5466" s="53" t="s">
        <v>53</v>
      </c>
    </row>
    <row r="5467" ht="15.75" customHeight="1">
      <c r="A5467" s="53" t="s">
        <v>808</v>
      </c>
      <c r="B5467" s="53" t="s">
        <v>6698</v>
      </c>
      <c r="D5467" s="53" t="s">
        <v>1053</v>
      </c>
      <c r="E5467" s="53" t="s">
        <v>6827</v>
      </c>
      <c r="F5467" s="53" t="s">
        <v>73</v>
      </c>
      <c r="G5467" s="53" t="s">
        <v>880</v>
      </c>
      <c r="H5467" s="53">
        <v>1.0</v>
      </c>
      <c r="I5467" s="53">
        <v>0.6693227091633466</v>
      </c>
      <c r="J5467" s="53">
        <v>20.0</v>
      </c>
      <c r="K5467" s="53" t="s">
        <v>53</v>
      </c>
      <c r="L5467" s="53" t="s">
        <v>53</v>
      </c>
    </row>
    <row r="5468" ht="15.75" customHeight="1">
      <c r="A5468" s="53" t="s">
        <v>808</v>
      </c>
      <c r="B5468" s="53" t="s">
        <v>6698</v>
      </c>
      <c r="D5468" s="53" t="s">
        <v>1053</v>
      </c>
      <c r="E5468" s="53" t="s">
        <v>6828</v>
      </c>
      <c r="F5468" s="53" t="s">
        <v>73</v>
      </c>
      <c r="G5468" s="53" t="s">
        <v>4970</v>
      </c>
      <c r="H5468" s="53">
        <v>1.0</v>
      </c>
      <c r="I5468" s="53">
        <v>0.6772908366533864</v>
      </c>
      <c r="J5468" s="53">
        <v>17.0</v>
      </c>
      <c r="K5468" s="53" t="s">
        <v>53</v>
      </c>
      <c r="L5468" s="53" t="s">
        <v>53</v>
      </c>
    </row>
    <row r="5469" ht="15.75" customHeight="1">
      <c r="A5469" s="53" t="s">
        <v>808</v>
      </c>
      <c r="B5469" s="53" t="s">
        <v>6698</v>
      </c>
      <c r="D5469" s="53" t="s">
        <v>1053</v>
      </c>
      <c r="E5469" s="53" t="s">
        <v>6829</v>
      </c>
      <c r="F5469" s="53" t="s">
        <v>73</v>
      </c>
      <c r="G5469" s="53" t="s">
        <v>4972</v>
      </c>
      <c r="H5469" s="53">
        <v>1.0</v>
      </c>
      <c r="I5469" s="53">
        <v>0.7928286852589641</v>
      </c>
      <c r="J5469" s="53">
        <v>24.0</v>
      </c>
      <c r="K5469" s="53" t="s">
        <v>53</v>
      </c>
      <c r="L5469" s="53" t="s">
        <v>53</v>
      </c>
    </row>
    <row r="5470" ht="15.75" customHeight="1">
      <c r="A5470" s="53" t="s">
        <v>808</v>
      </c>
      <c r="B5470" s="53" t="s">
        <v>6698</v>
      </c>
      <c r="D5470" s="53" t="s">
        <v>1053</v>
      </c>
      <c r="E5470" s="53" t="s">
        <v>6830</v>
      </c>
      <c r="F5470" s="53" t="s">
        <v>73</v>
      </c>
      <c r="G5470" s="53" t="s">
        <v>114</v>
      </c>
      <c r="H5470" s="53">
        <v>1.0</v>
      </c>
      <c r="I5470" s="53">
        <v>0.8087649402390438</v>
      </c>
      <c r="J5470" s="53">
        <v>23.0</v>
      </c>
      <c r="K5470" s="53" t="s">
        <v>53</v>
      </c>
      <c r="L5470" s="53" t="s">
        <v>53</v>
      </c>
    </row>
    <row r="5471" ht="15.75" customHeight="1">
      <c r="A5471" s="53" t="s">
        <v>808</v>
      </c>
      <c r="B5471" s="53" t="s">
        <v>6698</v>
      </c>
      <c r="D5471" s="53" t="s">
        <v>1053</v>
      </c>
      <c r="E5471" s="53" t="s">
        <v>6831</v>
      </c>
      <c r="F5471" s="53" t="s">
        <v>73</v>
      </c>
      <c r="G5471" s="53" t="s">
        <v>69</v>
      </c>
      <c r="H5471" s="53">
        <v>1.0</v>
      </c>
      <c r="I5471" s="53">
        <v>0.8087649402390438</v>
      </c>
      <c r="J5471" s="53">
        <v>25.0</v>
      </c>
      <c r="K5471" s="53" t="s">
        <v>53</v>
      </c>
      <c r="L5471" s="53" t="s">
        <v>53</v>
      </c>
    </row>
    <row r="5472" ht="15.75" customHeight="1">
      <c r="A5472" s="53" t="s">
        <v>808</v>
      </c>
      <c r="B5472" s="53" t="s">
        <v>6698</v>
      </c>
      <c r="D5472" s="53" t="s">
        <v>1908</v>
      </c>
      <c r="E5472" s="53" t="s">
        <v>6832</v>
      </c>
      <c r="F5472" s="53" t="s">
        <v>2486</v>
      </c>
      <c r="G5472" s="53" t="s">
        <v>1911</v>
      </c>
      <c r="H5472" s="53">
        <v>1.0</v>
      </c>
      <c r="I5472" s="53">
        <v>0.3419354838709677</v>
      </c>
      <c r="J5472" s="53">
        <v>10.0</v>
      </c>
      <c r="K5472" s="53" t="s">
        <v>53</v>
      </c>
      <c r="L5472" s="53" t="s">
        <v>53</v>
      </c>
    </row>
    <row r="5473" ht="15.75" customHeight="1">
      <c r="A5473" s="53" t="s">
        <v>808</v>
      </c>
      <c r="B5473" s="53" t="s">
        <v>6698</v>
      </c>
      <c r="D5473" s="53" t="s">
        <v>1908</v>
      </c>
      <c r="E5473" s="53" t="s">
        <v>6833</v>
      </c>
      <c r="F5473" s="53" t="s">
        <v>2487</v>
      </c>
      <c r="G5473" s="53" t="s">
        <v>1914</v>
      </c>
      <c r="H5473" s="53">
        <v>1.0</v>
      </c>
      <c r="I5473" s="53">
        <v>0.400990099009901</v>
      </c>
      <c r="J5473" s="53">
        <v>0.0</v>
      </c>
      <c r="K5473" s="53" t="s">
        <v>53</v>
      </c>
      <c r="L5473" s="53" t="s">
        <v>1527</v>
      </c>
    </row>
    <row r="5474" ht="15.75" customHeight="1">
      <c r="A5474" s="53" t="s">
        <v>808</v>
      </c>
      <c r="B5474" s="53" t="s">
        <v>6698</v>
      </c>
      <c r="D5474" s="53" t="s">
        <v>1908</v>
      </c>
      <c r="E5474" s="53" t="s">
        <v>6834</v>
      </c>
      <c r="F5474" s="53" t="s">
        <v>2488</v>
      </c>
      <c r="G5474" s="53" t="s">
        <v>1919</v>
      </c>
      <c r="H5474" s="53">
        <v>1.0</v>
      </c>
      <c r="I5474" s="53">
        <v>0.7640918580375783</v>
      </c>
      <c r="J5474" s="53">
        <v>1.0</v>
      </c>
      <c r="K5474" s="53" t="s">
        <v>53</v>
      </c>
      <c r="L5474" s="53" t="s">
        <v>1527</v>
      </c>
    </row>
    <row r="5475" ht="15.75" customHeight="1">
      <c r="A5475" s="53" t="s">
        <v>808</v>
      </c>
      <c r="B5475" s="53" t="s">
        <v>6698</v>
      </c>
      <c r="D5475" s="53" t="s">
        <v>1908</v>
      </c>
      <c r="E5475" s="53" t="s">
        <v>6835</v>
      </c>
      <c r="F5475" s="53" t="s">
        <v>2488</v>
      </c>
      <c r="G5475" s="53" t="s">
        <v>1917</v>
      </c>
      <c r="H5475" s="53">
        <v>1.0</v>
      </c>
      <c r="I5475" s="53">
        <v>0.7674897119341564</v>
      </c>
      <c r="J5475" s="53">
        <v>2.0</v>
      </c>
      <c r="K5475" s="53" t="s">
        <v>53</v>
      </c>
      <c r="L5475" s="53" t="s">
        <v>1527</v>
      </c>
    </row>
    <row r="5476" ht="15.75" customHeight="1">
      <c r="A5476" s="53" t="s">
        <v>808</v>
      </c>
      <c r="B5476" s="53" t="s">
        <v>6698</v>
      </c>
      <c r="D5476" s="53" t="s">
        <v>1908</v>
      </c>
      <c r="E5476" s="53" t="s">
        <v>6836</v>
      </c>
      <c r="F5476" s="53" t="s">
        <v>2489</v>
      </c>
      <c r="G5476" s="53" t="s">
        <v>1922</v>
      </c>
      <c r="H5476" s="53">
        <v>1.0</v>
      </c>
      <c r="I5476" s="53">
        <v>0.7788461538461539</v>
      </c>
      <c r="J5476" s="53">
        <v>13.0</v>
      </c>
      <c r="K5476" s="53" t="s">
        <v>53</v>
      </c>
      <c r="L5476" s="53" t="s">
        <v>1527</v>
      </c>
    </row>
    <row r="5477" ht="15.75" customHeight="1">
      <c r="A5477" s="53" t="s">
        <v>808</v>
      </c>
      <c r="B5477" s="53" t="s">
        <v>6698</v>
      </c>
      <c r="D5477" s="53" t="s">
        <v>1914</v>
      </c>
      <c r="E5477" s="53" t="s">
        <v>6837</v>
      </c>
      <c r="F5477" s="53" t="s">
        <v>2490</v>
      </c>
      <c r="G5477" s="53" t="s">
        <v>1911</v>
      </c>
      <c r="H5477" s="53">
        <v>1.0</v>
      </c>
      <c r="I5477" s="53">
        <v>0.5148514851485149</v>
      </c>
      <c r="J5477" s="53">
        <v>9.0</v>
      </c>
      <c r="K5477" s="53" t="s">
        <v>53</v>
      </c>
      <c r="L5477" s="53" t="s">
        <v>1527</v>
      </c>
    </row>
    <row r="5478" ht="15.75" customHeight="1">
      <c r="A5478" s="53" t="s">
        <v>808</v>
      </c>
      <c r="B5478" s="53" t="s">
        <v>6698</v>
      </c>
      <c r="D5478" s="53" t="s">
        <v>1914</v>
      </c>
      <c r="E5478" s="53" t="s">
        <v>6838</v>
      </c>
      <c r="F5478" s="53" t="s">
        <v>2491</v>
      </c>
      <c r="G5478" s="53" t="s">
        <v>1919</v>
      </c>
      <c r="H5478" s="53">
        <v>1.0</v>
      </c>
      <c r="I5478" s="53">
        <v>0.605427974947808</v>
      </c>
      <c r="J5478" s="53">
        <v>0.0</v>
      </c>
      <c r="K5478" s="53" t="s">
        <v>53</v>
      </c>
      <c r="L5478" s="53" t="s">
        <v>53</v>
      </c>
    </row>
    <row r="5479" ht="15.75" customHeight="1">
      <c r="A5479" s="53" t="s">
        <v>808</v>
      </c>
      <c r="B5479" s="53" t="s">
        <v>6698</v>
      </c>
      <c r="D5479" s="53" t="s">
        <v>1914</v>
      </c>
      <c r="E5479" s="53" t="s">
        <v>6839</v>
      </c>
      <c r="F5479" s="53" t="s">
        <v>2491</v>
      </c>
      <c r="G5479" s="53" t="s">
        <v>1917</v>
      </c>
      <c r="H5479" s="53">
        <v>1.0</v>
      </c>
      <c r="I5479" s="53">
        <v>0.6111111111111112</v>
      </c>
      <c r="J5479" s="53">
        <v>1.0</v>
      </c>
      <c r="K5479" s="53" t="s">
        <v>53</v>
      </c>
      <c r="L5479" s="53" t="s">
        <v>53</v>
      </c>
    </row>
    <row r="5480" ht="15.75" customHeight="1">
      <c r="A5480" s="53" t="s">
        <v>808</v>
      </c>
      <c r="B5480" s="53" t="s">
        <v>6698</v>
      </c>
      <c r="D5480" s="53" t="s">
        <v>1914</v>
      </c>
      <c r="E5480" s="53" t="s">
        <v>6840</v>
      </c>
      <c r="F5480" s="53" t="s">
        <v>2492</v>
      </c>
      <c r="G5480" s="53" t="s">
        <v>1922</v>
      </c>
      <c r="H5480" s="53">
        <v>1.0</v>
      </c>
      <c r="I5480" s="53">
        <v>0.625</v>
      </c>
      <c r="J5480" s="53">
        <v>12.0</v>
      </c>
      <c r="K5480" s="53" t="s">
        <v>53</v>
      </c>
      <c r="L5480" s="53" t="s">
        <v>53</v>
      </c>
    </row>
    <row r="5481" ht="15.75" customHeight="1">
      <c r="A5481" s="53" t="s">
        <v>808</v>
      </c>
      <c r="B5481" s="53" t="s">
        <v>6698</v>
      </c>
      <c r="D5481" s="53" t="s">
        <v>1919</v>
      </c>
      <c r="E5481" s="53" t="s">
        <v>6841</v>
      </c>
      <c r="F5481" s="53" t="s">
        <v>2493</v>
      </c>
      <c r="G5481" s="53" t="s">
        <v>1917</v>
      </c>
      <c r="H5481" s="53">
        <v>1.0</v>
      </c>
      <c r="I5481" s="53">
        <v>0.01440329218106996</v>
      </c>
      <c r="J5481" s="53">
        <v>0.0</v>
      </c>
      <c r="K5481" s="53" t="s">
        <v>53</v>
      </c>
      <c r="L5481" s="53" t="s">
        <v>53</v>
      </c>
    </row>
    <row r="5482" ht="15.75" customHeight="1">
      <c r="A5482" s="53" t="s">
        <v>808</v>
      </c>
      <c r="B5482" s="53" t="s">
        <v>6698</v>
      </c>
      <c r="D5482" s="53" t="s">
        <v>1919</v>
      </c>
      <c r="E5482" s="53" t="s">
        <v>6842</v>
      </c>
      <c r="F5482" s="53" t="s">
        <v>2494</v>
      </c>
      <c r="G5482" s="53" t="s">
        <v>1922</v>
      </c>
      <c r="H5482" s="53">
        <v>1.0</v>
      </c>
      <c r="I5482" s="53">
        <v>0.2326923076923077</v>
      </c>
      <c r="J5482" s="53">
        <v>11.0</v>
      </c>
      <c r="K5482" s="53" t="s">
        <v>53</v>
      </c>
      <c r="L5482" s="53" t="s">
        <v>53</v>
      </c>
    </row>
    <row r="5483" ht="15.75" customHeight="1">
      <c r="A5483" s="53" t="s">
        <v>808</v>
      </c>
      <c r="B5483" s="53" t="s">
        <v>6698</v>
      </c>
      <c r="D5483" s="53" t="s">
        <v>1919</v>
      </c>
      <c r="E5483" s="53" t="s">
        <v>6843</v>
      </c>
      <c r="F5483" s="53" t="s">
        <v>2495</v>
      </c>
      <c r="G5483" s="53" t="s">
        <v>1911</v>
      </c>
      <c r="H5483" s="53">
        <v>1.0</v>
      </c>
      <c r="I5483" s="53">
        <v>0.7578288100208769</v>
      </c>
      <c r="J5483" s="53">
        <v>8.0</v>
      </c>
      <c r="K5483" s="53" t="s">
        <v>53</v>
      </c>
      <c r="L5483" s="53" t="s">
        <v>1527</v>
      </c>
    </row>
    <row r="5484" ht="15.75" customHeight="1">
      <c r="A5484" s="53" t="s">
        <v>808</v>
      </c>
      <c r="B5484" s="53" t="s">
        <v>6698</v>
      </c>
      <c r="D5484" s="53" t="s">
        <v>1917</v>
      </c>
      <c r="E5484" s="53" t="s">
        <v>6844</v>
      </c>
      <c r="F5484" s="53" t="s">
        <v>2494</v>
      </c>
      <c r="G5484" s="53" t="s">
        <v>1922</v>
      </c>
      <c r="H5484" s="53">
        <v>1.0</v>
      </c>
      <c r="I5484" s="53">
        <v>0.24615384615384617</v>
      </c>
      <c r="J5484" s="53">
        <v>10.0</v>
      </c>
      <c r="K5484" s="53" t="s">
        <v>53</v>
      </c>
      <c r="L5484" s="53" t="s">
        <v>53</v>
      </c>
    </row>
    <row r="5485" ht="15.75" customHeight="1">
      <c r="A5485" s="53" t="s">
        <v>808</v>
      </c>
      <c r="B5485" s="53" t="s">
        <v>6698</v>
      </c>
      <c r="D5485" s="53" t="s">
        <v>1917</v>
      </c>
      <c r="E5485" s="53" t="s">
        <v>6845</v>
      </c>
      <c r="F5485" s="53" t="s">
        <v>2495</v>
      </c>
      <c r="G5485" s="53" t="s">
        <v>1911</v>
      </c>
      <c r="H5485" s="53">
        <v>1.0</v>
      </c>
      <c r="I5485" s="53">
        <v>0.7592592592592593</v>
      </c>
      <c r="J5485" s="53">
        <v>7.0</v>
      </c>
      <c r="K5485" s="53" t="s">
        <v>53</v>
      </c>
      <c r="L5485" s="53" t="s">
        <v>1527</v>
      </c>
    </row>
    <row r="5486" ht="15.75" customHeight="1">
      <c r="A5486" s="53" t="s">
        <v>808</v>
      </c>
      <c r="B5486" s="53" t="s">
        <v>6698</v>
      </c>
      <c r="D5486" s="53" t="s">
        <v>1911</v>
      </c>
      <c r="E5486" s="53" t="s">
        <v>6846</v>
      </c>
      <c r="F5486" s="53" t="s">
        <v>2489</v>
      </c>
      <c r="G5486" s="53" t="s">
        <v>1922</v>
      </c>
      <c r="H5486" s="53">
        <v>1.0</v>
      </c>
      <c r="I5486" s="53">
        <v>0.7519230769230769</v>
      </c>
      <c r="J5486" s="53">
        <v>2.0</v>
      </c>
      <c r="K5486" s="53" t="s">
        <v>53</v>
      </c>
      <c r="L5486" s="53" t="s">
        <v>1527</v>
      </c>
    </row>
    <row r="5487" ht="15.75" customHeight="1">
      <c r="A5487" s="53" t="s">
        <v>808</v>
      </c>
      <c r="B5487" s="53" t="s">
        <v>6698</v>
      </c>
      <c r="D5487" s="53" t="s">
        <v>4970</v>
      </c>
      <c r="E5487" s="53" t="s">
        <v>6847</v>
      </c>
      <c r="F5487" s="53" t="s">
        <v>73</v>
      </c>
      <c r="G5487" s="53" t="s">
        <v>880</v>
      </c>
      <c r="H5487" s="53">
        <v>1.0</v>
      </c>
      <c r="I5487" s="53">
        <v>0.16783216783216784</v>
      </c>
      <c r="J5487" s="53">
        <v>2.0</v>
      </c>
      <c r="K5487" s="53" t="s">
        <v>53</v>
      </c>
      <c r="L5487" s="53" t="s">
        <v>53</v>
      </c>
    </row>
    <row r="5488" ht="15.75" customHeight="1">
      <c r="A5488" s="53" t="s">
        <v>808</v>
      </c>
      <c r="B5488" s="53" t="s">
        <v>6698</v>
      </c>
      <c r="D5488" s="53" t="s">
        <v>4970</v>
      </c>
      <c r="E5488" s="53" t="s">
        <v>6848</v>
      </c>
      <c r="F5488" s="53" t="s">
        <v>73</v>
      </c>
      <c r="G5488" s="53" t="s">
        <v>4972</v>
      </c>
      <c r="H5488" s="53">
        <v>1.0</v>
      </c>
      <c r="I5488" s="53">
        <v>0.6853146853146853</v>
      </c>
      <c r="J5488" s="53">
        <v>6.0</v>
      </c>
      <c r="K5488" s="53" t="s">
        <v>53</v>
      </c>
      <c r="L5488" s="53" t="s">
        <v>53</v>
      </c>
    </row>
    <row r="5489" ht="15.75" customHeight="1">
      <c r="A5489" s="53" t="s">
        <v>808</v>
      </c>
      <c r="B5489" s="53" t="s">
        <v>6698</v>
      </c>
      <c r="D5489" s="53" t="s">
        <v>4970</v>
      </c>
      <c r="E5489" s="53" t="s">
        <v>6849</v>
      </c>
      <c r="F5489" s="53" t="s">
        <v>73</v>
      </c>
      <c r="G5489" s="53" t="s">
        <v>114</v>
      </c>
      <c r="H5489" s="53">
        <v>1.0</v>
      </c>
      <c r="I5489" s="53">
        <v>0.6923076923076923</v>
      </c>
      <c r="J5489" s="53">
        <v>5.0</v>
      </c>
      <c r="K5489" s="53" t="s">
        <v>53</v>
      </c>
      <c r="L5489" s="53" t="s">
        <v>53</v>
      </c>
    </row>
    <row r="5490" ht="15.75" customHeight="1">
      <c r="A5490" s="53" t="s">
        <v>808</v>
      </c>
      <c r="B5490" s="53" t="s">
        <v>6698</v>
      </c>
      <c r="D5490" s="53" t="s">
        <v>4970</v>
      </c>
      <c r="E5490" s="53" t="s">
        <v>6850</v>
      </c>
      <c r="F5490" s="53" t="s">
        <v>73</v>
      </c>
      <c r="G5490" s="53" t="s">
        <v>69</v>
      </c>
      <c r="H5490" s="53">
        <v>1.0</v>
      </c>
      <c r="I5490" s="53">
        <v>0.6923076923076923</v>
      </c>
      <c r="J5490" s="53">
        <v>7.0</v>
      </c>
      <c r="K5490" s="53" t="s">
        <v>53</v>
      </c>
      <c r="L5490" s="53" t="s">
        <v>53</v>
      </c>
    </row>
    <row r="5491" ht="15.75" customHeight="1">
      <c r="A5491" s="53" t="s">
        <v>808</v>
      </c>
      <c r="B5491" s="53" t="s">
        <v>6698</v>
      </c>
      <c r="D5491" s="53" t="s">
        <v>4556</v>
      </c>
      <c r="E5491" s="53" t="s">
        <v>6851</v>
      </c>
      <c r="F5491" s="53" t="s">
        <v>6852</v>
      </c>
      <c r="G5491" s="53" t="s">
        <v>4553</v>
      </c>
      <c r="H5491" s="53">
        <v>0.8</v>
      </c>
      <c r="I5491" s="53">
        <v>0.6929347826086957</v>
      </c>
      <c r="J5491" s="53">
        <v>1.0</v>
      </c>
      <c r="K5491" s="53" t="s">
        <v>53</v>
      </c>
      <c r="L5491" s="53" t="s">
        <v>4557</v>
      </c>
    </row>
    <row r="5492" ht="15.75" customHeight="1">
      <c r="A5492" s="53" t="s">
        <v>808</v>
      </c>
      <c r="B5492" s="53" t="s">
        <v>6698</v>
      </c>
      <c r="D5492" s="53" t="s">
        <v>880</v>
      </c>
      <c r="E5492" s="53" t="s">
        <v>6853</v>
      </c>
      <c r="F5492" s="53" t="s">
        <v>73</v>
      </c>
      <c r="G5492" s="53" t="s">
        <v>4972</v>
      </c>
      <c r="H5492" s="53">
        <v>1.0</v>
      </c>
      <c r="I5492" s="53">
        <v>0.671875</v>
      </c>
      <c r="J5492" s="53">
        <v>3.0</v>
      </c>
      <c r="K5492" s="53" t="s">
        <v>53</v>
      </c>
      <c r="L5492" s="53" t="s">
        <v>53</v>
      </c>
    </row>
    <row r="5493" ht="15.75" customHeight="1">
      <c r="A5493" s="53" t="s">
        <v>808</v>
      </c>
      <c r="B5493" s="53" t="s">
        <v>6698</v>
      </c>
      <c r="D5493" s="53" t="s">
        <v>880</v>
      </c>
      <c r="E5493" s="53" t="s">
        <v>6854</v>
      </c>
      <c r="F5493" s="53" t="s">
        <v>73</v>
      </c>
      <c r="G5493" s="53" t="s">
        <v>114</v>
      </c>
      <c r="H5493" s="53">
        <v>1.0</v>
      </c>
      <c r="I5493" s="53">
        <v>0.6875</v>
      </c>
      <c r="J5493" s="53">
        <v>2.0</v>
      </c>
      <c r="K5493" s="53" t="s">
        <v>53</v>
      </c>
      <c r="L5493" s="53" t="s">
        <v>53</v>
      </c>
    </row>
    <row r="5494" ht="15.75" customHeight="1">
      <c r="A5494" s="53" t="s">
        <v>808</v>
      </c>
      <c r="B5494" s="53" t="s">
        <v>6698</v>
      </c>
      <c r="D5494" s="53" t="s">
        <v>880</v>
      </c>
      <c r="E5494" s="53" t="s">
        <v>6855</v>
      </c>
      <c r="F5494" s="53" t="s">
        <v>73</v>
      </c>
      <c r="G5494" s="53" t="s">
        <v>69</v>
      </c>
      <c r="H5494" s="53">
        <v>1.0</v>
      </c>
      <c r="I5494" s="53">
        <v>0.6953125</v>
      </c>
      <c r="J5494" s="53">
        <v>4.0</v>
      </c>
      <c r="K5494" s="53" t="s">
        <v>53</v>
      </c>
      <c r="L5494" s="53" t="s">
        <v>53</v>
      </c>
    </row>
    <row r="5495" ht="15.75" customHeight="1">
      <c r="A5495" s="53" t="s">
        <v>808</v>
      </c>
      <c r="B5495" s="53" t="s">
        <v>6698</v>
      </c>
      <c r="D5495" s="53" t="s">
        <v>1939</v>
      </c>
      <c r="E5495" s="53" t="s">
        <v>6856</v>
      </c>
      <c r="F5495" s="53" t="s">
        <v>5001</v>
      </c>
      <c r="G5495" s="53" t="s">
        <v>1942</v>
      </c>
      <c r="H5495" s="53">
        <v>1.0</v>
      </c>
      <c r="I5495" s="53">
        <v>0.9709337531791208</v>
      </c>
      <c r="J5495" s="53">
        <v>6.0</v>
      </c>
      <c r="K5495" s="53" t="s">
        <v>53</v>
      </c>
      <c r="L5495" s="53" t="s">
        <v>53</v>
      </c>
    </row>
    <row r="5496" ht="15.75" customHeight="1">
      <c r="A5496" s="53" t="s">
        <v>808</v>
      </c>
      <c r="B5496" s="53" t="s">
        <v>6698</v>
      </c>
      <c r="D5496" s="53" t="s">
        <v>114</v>
      </c>
      <c r="E5496" s="53" t="s">
        <v>6857</v>
      </c>
      <c r="F5496" s="53" t="s">
        <v>73</v>
      </c>
      <c r="G5496" s="53" t="s">
        <v>69</v>
      </c>
      <c r="H5496" s="53">
        <v>1.0</v>
      </c>
      <c r="I5496" s="53">
        <v>0.0673076923076923</v>
      </c>
      <c r="J5496" s="53">
        <v>1.0</v>
      </c>
      <c r="K5496" s="53" t="s">
        <v>53</v>
      </c>
      <c r="L5496" s="53" t="s">
        <v>53</v>
      </c>
    </row>
    <row r="5497" ht="15.75" customHeight="1">
      <c r="A5497" s="53" t="s">
        <v>808</v>
      </c>
      <c r="B5497" s="53" t="s">
        <v>6698</v>
      </c>
      <c r="D5497" s="53" t="s">
        <v>114</v>
      </c>
      <c r="E5497" s="53" t="s">
        <v>6858</v>
      </c>
      <c r="F5497" s="53" t="s">
        <v>73</v>
      </c>
      <c r="G5497" s="53" t="s">
        <v>4972</v>
      </c>
      <c r="H5497" s="53">
        <v>1.0</v>
      </c>
      <c r="I5497" s="53">
        <v>0.4016393442622951</v>
      </c>
      <c r="J5497" s="53">
        <v>0.0</v>
      </c>
      <c r="K5497" s="53" t="s">
        <v>53</v>
      </c>
      <c r="L5497" s="53" t="s">
        <v>53</v>
      </c>
    </row>
    <row r="5498" ht="15.75" customHeight="1">
      <c r="A5498" s="53" t="s">
        <v>808</v>
      </c>
      <c r="B5498" s="53" t="s">
        <v>6698</v>
      </c>
      <c r="D5498" s="53" t="s">
        <v>4972</v>
      </c>
      <c r="E5498" s="53" t="s">
        <v>6859</v>
      </c>
      <c r="F5498" s="53" t="s">
        <v>73</v>
      </c>
      <c r="G5498" s="53" t="s">
        <v>69</v>
      </c>
      <c r="H5498" s="53">
        <v>1.0</v>
      </c>
      <c r="I5498" s="53">
        <v>0.3770491803278688</v>
      </c>
      <c r="J5498" s="53">
        <v>0.0</v>
      </c>
      <c r="K5498" s="53" t="s">
        <v>53</v>
      </c>
      <c r="L5498" s="53" t="s">
        <v>53</v>
      </c>
    </row>
    <row r="5499" ht="15.75" customHeight="1">
      <c r="A5499" s="53" t="s">
        <v>808</v>
      </c>
      <c r="B5499" s="53" t="s">
        <v>6698</v>
      </c>
      <c r="D5499" s="53" t="s">
        <v>1942</v>
      </c>
      <c r="E5499" s="53" t="s">
        <v>6860</v>
      </c>
      <c r="F5499" s="53" t="s">
        <v>5008</v>
      </c>
      <c r="G5499" s="53" t="s">
        <v>1946</v>
      </c>
      <c r="H5499" s="53">
        <v>0.25</v>
      </c>
      <c r="I5499" s="53">
        <v>0.09911944005418831</v>
      </c>
      <c r="J5499" s="53">
        <v>0.0</v>
      </c>
      <c r="K5499" s="53" t="s">
        <v>53</v>
      </c>
      <c r="L5499" s="53" t="s">
        <v>5009</v>
      </c>
    </row>
    <row r="5500" ht="15.75" customHeight="1">
      <c r="A5500" s="53" t="s">
        <v>808</v>
      </c>
      <c r="B5500" s="53" t="s">
        <v>6698</v>
      </c>
      <c r="D5500" s="53" t="s">
        <v>1946</v>
      </c>
      <c r="E5500" s="53" t="s">
        <v>6861</v>
      </c>
      <c r="F5500" s="53" t="s">
        <v>2499</v>
      </c>
      <c r="G5500" s="53" t="s">
        <v>1950</v>
      </c>
      <c r="H5500" s="53">
        <v>1.0</v>
      </c>
      <c r="I5500" s="53">
        <v>0.3673515466245202</v>
      </c>
      <c r="J5500" s="53">
        <v>2.0</v>
      </c>
      <c r="K5500" s="53" t="s">
        <v>53</v>
      </c>
      <c r="L5500" s="53" t="s">
        <v>53</v>
      </c>
    </row>
    <row r="5501" ht="15.75" customHeight="1">
      <c r="A5501" s="53" t="s">
        <v>808</v>
      </c>
      <c r="B5501" s="53" t="s">
        <v>6698</v>
      </c>
      <c r="D5501" s="53" t="s">
        <v>1951</v>
      </c>
      <c r="E5501" s="53" t="s">
        <v>6862</v>
      </c>
      <c r="F5501" s="53" t="s">
        <v>2500</v>
      </c>
      <c r="G5501" s="53" t="s">
        <v>1950</v>
      </c>
      <c r="H5501" s="53">
        <v>0.3333333333333333</v>
      </c>
      <c r="I5501" s="53">
        <v>0.06799163179916318</v>
      </c>
      <c r="J5501" s="53">
        <v>0.0</v>
      </c>
      <c r="K5501" s="53" t="s">
        <v>53</v>
      </c>
      <c r="L5501" s="53" t="s">
        <v>2501</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0" customHeight="1">
      <c r="A1" s="1" t="s">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4" t="s">
        <v>27</v>
      </c>
      <c r="AB1" s="4" t="s">
        <v>28</v>
      </c>
      <c r="AC1" s="5" t="s">
        <v>29</v>
      </c>
      <c r="AD1" s="5" t="s">
        <v>30</v>
      </c>
      <c r="AE1" s="5" t="s">
        <v>31</v>
      </c>
      <c r="AF1" s="5" t="s">
        <v>33</v>
      </c>
      <c r="AG1" s="5" t="s">
        <v>34</v>
      </c>
      <c r="AH1" s="5" t="s">
        <v>35</v>
      </c>
      <c r="AI1" s="5" t="s">
        <v>36</v>
      </c>
      <c r="AJ1" s="5" t="s">
        <v>37</v>
      </c>
      <c r="AK1" s="5" t="s">
        <v>38</v>
      </c>
      <c r="AL1" s="5" t="s">
        <v>39</v>
      </c>
      <c r="AM1" s="5" t="s">
        <v>40</v>
      </c>
      <c r="AN1" s="5" t="s">
        <v>41</v>
      </c>
      <c r="AO1" s="56" t="s">
        <v>1139</v>
      </c>
    </row>
    <row r="2" ht="15.0" customHeight="1">
      <c r="A2" s="57">
        <v>1.0</v>
      </c>
      <c r="B2" s="35" t="s">
        <v>43</v>
      </c>
      <c r="C2" s="35" t="s">
        <v>44</v>
      </c>
      <c r="D2" s="35" t="s">
        <v>45</v>
      </c>
      <c r="E2" s="35" t="s">
        <v>46</v>
      </c>
      <c r="F2" s="35" t="s">
        <v>47</v>
      </c>
      <c r="G2" s="22" t="s">
        <v>48</v>
      </c>
      <c r="H2" s="35" t="s">
        <v>49</v>
      </c>
      <c r="I2" s="35" t="s">
        <v>50</v>
      </c>
      <c r="J2" s="35" t="s">
        <v>51</v>
      </c>
      <c r="K2" s="35" t="s">
        <v>52</v>
      </c>
      <c r="L2" s="35">
        <v>1.0</v>
      </c>
      <c r="M2" s="35">
        <v>0.0</v>
      </c>
      <c r="N2" s="35">
        <v>0.06097560975609756</v>
      </c>
      <c r="O2" s="35">
        <v>5.0</v>
      </c>
      <c r="P2" s="35">
        <v>29.0</v>
      </c>
      <c r="Q2" s="35" t="s">
        <v>53</v>
      </c>
      <c r="R2" s="35">
        <v>0.0</v>
      </c>
      <c r="S2" s="35" t="s">
        <v>53</v>
      </c>
      <c r="T2" s="35">
        <v>0.0</v>
      </c>
      <c r="U2" s="35">
        <v>0.0</v>
      </c>
      <c r="V2" s="35">
        <v>0.0</v>
      </c>
      <c r="W2" s="35" t="s">
        <v>53</v>
      </c>
      <c r="X2" s="35">
        <v>0.0</v>
      </c>
      <c r="Y2" s="35" t="s">
        <v>53</v>
      </c>
      <c r="Z2" s="35" t="s">
        <v>54</v>
      </c>
      <c r="AA2" s="58" t="s">
        <v>55</v>
      </c>
      <c r="AB2" s="58" t="b">
        <v>1</v>
      </c>
      <c r="AC2" s="28" t="s">
        <v>56</v>
      </c>
      <c r="AD2" s="28" t="s">
        <v>57</v>
      </c>
      <c r="AE2" s="59">
        <v>0.33</v>
      </c>
      <c r="AF2" s="28" t="s">
        <v>58</v>
      </c>
      <c r="AG2" s="28" t="s">
        <v>59</v>
      </c>
      <c r="AH2" s="28" t="s">
        <v>60</v>
      </c>
      <c r="AI2" s="28" t="s">
        <v>61</v>
      </c>
      <c r="AJ2" s="28" t="s">
        <v>62</v>
      </c>
      <c r="AK2" s="55" t="s">
        <v>1140</v>
      </c>
      <c r="AL2" s="60" t="s">
        <v>64</v>
      </c>
      <c r="AM2" s="61" t="s">
        <v>1141</v>
      </c>
      <c r="AN2" s="50"/>
      <c r="AO2" s="56" t="s">
        <v>1142</v>
      </c>
    </row>
    <row r="3" ht="15.0" customHeight="1">
      <c r="A3" s="57">
        <v>3.0</v>
      </c>
      <c r="B3" s="35" t="s">
        <v>82</v>
      </c>
      <c r="C3" s="35" t="s">
        <v>83</v>
      </c>
      <c r="D3" s="35" t="s">
        <v>45</v>
      </c>
      <c r="E3" s="35" t="s">
        <v>84</v>
      </c>
      <c r="F3" s="35" t="s">
        <v>85</v>
      </c>
      <c r="G3" s="22" t="s">
        <v>86</v>
      </c>
      <c r="H3" s="35" t="s">
        <v>87</v>
      </c>
      <c r="I3" s="35" t="s">
        <v>88</v>
      </c>
      <c r="J3" s="35" t="s">
        <v>89</v>
      </c>
      <c r="K3" s="35" t="s">
        <v>90</v>
      </c>
      <c r="L3" s="35">
        <v>1.0</v>
      </c>
      <c r="M3" s="35">
        <v>0.018867924528301886</v>
      </c>
      <c r="N3" s="35">
        <v>0.11353258613532587</v>
      </c>
      <c r="O3" s="35">
        <v>5.0</v>
      </c>
      <c r="P3" s="35">
        <v>9.0</v>
      </c>
      <c r="Q3" s="35" t="s">
        <v>91</v>
      </c>
      <c r="R3" s="35">
        <v>0.0</v>
      </c>
      <c r="S3" s="35" t="s">
        <v>53</v>
      </c>
      <c r="T3" s="35">
        <v>0.0</v>
      </c>
      <c r="U3" s="35">
        <v>0.0</v>
      </c>
      <c r="V3" s="35">
        <v>1.0</v>
      </c>
      <c r="W3" s="35" t="s">
        <v>92</v>
      </c>
      <c r="X3" s="35">
        <v>0.0</v>
      </c>
      <c r="Y3" s="35" t="s">
        <v>53</v>
      </c>
      <c r="Z3" s="35" t="s">
        <v>93</v>
      </c>
      <c r="AA3" s="58" t="s">
        <v>94</v>
      </c>
      <c r="AB3" s="58" t="b">
        <v>1</v>
      </c>
      <c r="AC3" s="28" t="s">
        <v>1143</v>
      </c>
      <c r="AD3" s="28" t="s">
        <v>1144</v>
      </c>
      <c r="AE3" s="59">
        <v>0.4</v>
      </c>
      <c r="AF3" s="28" t="s">
        <v>162</v>
      </c>
      <c r="AG3" s="28" t="s">
        <v>559</v>
      </c>
      <c r="AH3" s="28" t="s">
        <v>560</v>
      </c>
      <c r="AI3" s="28" t="s">
        <v>61</v>
      </c>
      <c r="AJ3" s="28" t="s">
        <v>62</v>
      </c>
      <c r="AK3" s="28" t="s">
        <v>1145</v>
      </c>
      <c r="AL3" s="60" t="s">
        <v>64</v>
      </c>
      <c r="AM3" s="61" t="s">
        <v>65</v>
      </c>
      <c r="AN3" s="61"/>
      <c r="AO3" s="56" t="s">
        <v>1146</v>
      </c>
    </row>
    <row r="4" ht="15.0" customHeight="1">
      <c r="A4" s="57">
        <v>4.0</v>
      </c>
      <c r="B4" s="35" t="s">
        <v>95</v>
      </c>
      <c r="C4" s="35" t="s">
        <v>96</v>
      </c>
      <c r="D4" s="35" t="s">
        <v>97</v>
      </c>
      <c r="E4" s="35" t="s">
        <v>98</v>
      </c>
      <c r="F4" s="35" t="s">
        <v>99</v>
      </c>
      <c r="G4" s="22" t="s">
        <v>100</v>
      </c>
      <c r="H4" s="35" t="s">
        <v>101</v>
      </c>
      <c r="I4" s="35" t="s">
        <v>102</v>
      </c>
      <c r="J4" s="35" t="s">
        <v>103</v>
      </c>
      <c r="K4" s="35" t="s">
        <v>104</v>
      </c>
      <c r="L4" s="35">
        <v>0.7142857142857143</v>
      </c>
      <c r="M4" s="35">
        <v>0.14285714285714285</v>
      </c>
      <c r="N4" s="35">
        <v>0.19</v>
      </c>
      <c r="O4" s="35">
        <v>0.0</v>
      </c>
      <c r="P4" s="35">
        <v>8.0</v>
      </c>
      <c r="Q4" s="35" t="s">
        <v>105</v>
      </c>
      <c r="R4" s="35">
        <v>1.0</v>
      </c>
      <c r="S4" s="35" t="s">
        <v>106</v>
      </c>
      <c r="T4" s="35">
        <v>1.0</v>
      </c>
      <c r="U4" s="35">
        <v>1.0</v>
      </c>
      <c r="V4" s="35">
        <v>0.0</v>
      </c>
      <c r="W4" s="35" t="s">
        <v>53</v>
      </c>
      <c r="X4" s="35">
        <v>0.0</v>
      </c>
      <c r="Y4" s="35" t="s">
        <v>53</v>
      </c>
      <c r="Z4" s="35" t="s">
        <v>107</v>
      </c>
      <c r="AA4" s="58" t="s">
        <v>108</v>
      </c>
      <c r="AB4" s="58" t="b">
        <v>1</v>
      </c>
      <c r="AC4" s="28" t="s">
        <v>57</v>
      </c>
      <c r="AD4" s="28" t="s">
        <v>1144</v>
      </c>
      <c r="AE4" s="59">
        <v>0.22</v>
      </c>
      <c r="AF4" s="28" t="s">
        <v>58</v>
      </c>
      <c r="AG4" s="28" t="s">
        <v>162</v>
      </c>
      <c r="AH4" s="28" t="s">
        <v>60</v>
      </c>
      <c r="AI4" s="28" t="s">
        <v>374</v>
      </c>
      <c r="AJ4" s="28" t="s">
        <v>62</v>
      </c>
      <c r="AK4" s="33" t="s">
        <v>1140</v>
      </c>
      <c r="AL4" s="61" t="s">
        <v>164</v>
      </c>
      <c r="AM4" s="61" t="s">
        <v>65</v>
      </c>
      <c r="AN4" s="61"/>
      <c r="AO4" s="56" t="s">
        <v>1164</v>
      </c>
    </row>
    <row r="5" ht="15.0" customHeight="1">
      <c r="A5" s="57">
        <v>7.0</v>
      </c>
      <c r="B5" s="35" t="s">
        <v>125</v>
      </c>
      <c r="C5" s="35" t="s">
        <v>126</v>
      </c>
      <c r="D5" s="35" t="s">
        <v>127</v>
      </c>
      <c r="E5" s="35" t="s">
        <v>128</v>
      </c>
      <c r="F5" s="35" t="s">
        <v>129</v>
      </c>
      <c r="G5" s="22" t="s">
        <v>130</v>
      </c>
      <c r="H5" s="35" t="s">
        <v>131</v>
      </c>
      <c r="I5" s="35" t="s">
        <v>132</v>
      </c>
      <c r="J5" s="35" t="s">
        <v>133</v>
      </c>
      <c r="K5" s="35" t="s">
        <v>134</v>
      </c>
      <c r="L5" s="35">
        <v>1.0</v>
      </c>
      <c r="M5" s="35">
        <v>0.0</v>
      </c>
      <c r="N5" s="35">
        <v>0.11877394636015326</v>
      </c>
      <c r="O5" s="35">
        <v>1.0</v>
      </c>
      <c r="P5" s="35">
        <v>6.0</v>
      </c>
      <c r="Q5" s="35" t="s">
        <v>135</v>
      </c>
      <c r="R5" s="35">
        <v>0.0</v>
      </c>
      <c r="S5" s="35" t="s">
        <v>53</v>
      </c>
      <c r="T5" s="35">
        <v>0.0</v>
      </c>
      <c r="U5" s="35">
        <v>0.0</v>
      </c>
      <c r="V5" s="35">
        <v>0.0</v>
      </c>
      <c r="W5" s="35" t="s">
        <v>53</v>
      </c>
      <c r="X5" s="35">
        <v>0.0</v>
      </c>
      <c r="Y5" s="35" t="s">
        <v>53</v>
      </c>
      <c r="Z5" s="35" t="s">
        <v>136</v>
      </c>
      <c r="AA5" s="58" t="s">
        <v>137</v>
      </c>
      <c r="AB5" s="58" t="b">
        <v>1</v>
      </c>
      <c r="AC5" s="28" t="s">
        <v>57</v>
      </c>
      <c r="AD5" s="28" t="s">
        <v>57</v>
      </c>
      <c r="AE5" s="59">
        <v>0.5</v>
      </c>
      <c r="AF5" s="28" t="s">
        <v>162</v>
      </c>
      <c r="AG5" s="28" t="s">
        <v>559</v>
      </c>
      <c r="AH5" s="28" t="s">
        <v>546</v>
      </c>
      <c r="AI5" s="28" t="s">
        <v>61</v>
      </c>
      <c r="AJ5" s="28" t="s">
        <v>62</v>
      </c>
      <c r="AK5" s="28" t="s">
        <v>1140</v>
      </c>
      <c r="AL5" s="61" t="s">
        <v>164</v>
      </c>
      <c r="AM5" s="61" t="s">
        <v>1147</v>
      </c>
      <c r="AN5" s="61"/>
      <c r="AO5" s="56" t="s">
        <v>1142</v>
      </c>
    </row>
    <row r="6" ht="15.0" customHeight="1">
      <c r="A6" s="57">
        <v>8.0</v>
      </c>
      <c r="B6" s="35" t="s">
        <v>138</v>
      </c>
      <c r="C6" s="35" t="s">
        <v>139</v>
      </c>
      <c r="D6" s="35" t="s">
        <v>140</v>
      </c>
      <c r="E6" s="35" t="s">
        <v>141</v>
      </c>
      <c r="F6" s="35" t="s">
        <v>142</v>
      </c>
      <c r="G6" s="22" t="s">
        <v>143</v>
      </c>
      <c r="H6" s="35" t="s">
        <v>144</v>
      </c>
      <c r="I6" s="35" t="s">
        <v>145</v>
      </c>
      <c r="J6" s="35" t="s">
        <v>146</v>
      </c>
      <c r="K6" s="35" t="s">
        <v>147</v>
      </c>
      <c r="L6" s="35">
        <v>1.0</v>
      </c>
      <c r="M6" s="35">
        <v>0.0</v>
      </c>
      <c r="N6" s="35">
        <v>0.40654205607476634</v>
      </c>
      <c r="O6" s="35">
        <v>0.0</v>
      </c>
      <c r="P6" s="35">
        <v>2.0</v>
      </c>
      <c r="Q6" s="35" t="s">
        <v>53</v>
      </c>
      <c r="R6" s="35">
        <v>0.0</v>
      </c>
      <c r="S6" s="35" t="s">
        <v>53</v>
      </c>
      <c r="T6" s="35">
        <v>0.0</v>
      </c>
      <c r="U6" s="35">
        <v>0.0</v>
      </c>
      <c r="V6" s="35">
        <v>0.0</v>
      </c>
      <c r="W6" s="35" t="s">
        <v>53</v>
      </c>
      <c r="X6" s="35">
        <v>0.0</v>
      </c>
      <c r="Y6" s="35" t="s">
        <v>53</v>
      </c>
      <c r="Z6" s="35" t="s">
        <v>148</v>
      </c>
      <c r="AA6" s="58" t="s">
        <v>137</v>
      </c>
      <c r="AB6" s="58" t="b">
        <v>1</v>
      </c>
      <c r="AC6" s="28" t="s">
        <v>56</v>
      </c>
      <c r="AD6" s="28" t="s">
        <v>57</v>
      </c>
      <c r="AE6" s="59">
        <v>0.33</v>
      </c>
      <c r="AF6" s="28" t="s">
        <v>162</v>
      </c>
      <c r="AG6" s="28" t="s">
        <v>559</v>
      </c>
      <c r="AH6" s="28" t="s">
        <v>60</v>
      </c>
      <c r="AI6" s="28" t="s">
        <v>61</v>
      </c>
      <c r="AJ6" s="28" t="s">
        <v>62</v>
      </c>
      <c r="AK6" s="28" t="s">
        <v>1140</v>
      </c>
      <c r="AL6" s="61" t="s">
        <v>164</v>
      </c>
      <c r="AM6" s="61" t="s">
        <v>65</v>
      </c>
      <c r="AN6" s="61"/>
      <c r="AO6" s="56" t="s">
        <v>1142</v>
      </c>
    </row>
    <row r="7" ht="15.0" customHeight="1">
      <c r="A7" s="57">
        <v>9.0</v>
      </c>
      <c r="B7" s="35" t="s">
        <v>138</v>
      </c>
      <c r="C7" s="35" t="s">
        <v>149</v>
      </c>
      <c r="D7" s="35" t="s">
        <v>150</v>
      </c>
      <c r="E7" s="35" t="s">
        <v>147</v>
      </c>
      <c r="F7" s="35" t="s">
        <v>146</v>
      </c>
      <c r="G7" s="22" t="s">
        <v>151</v>
      </c>
      <c r="H7" s="35" t="s">
        <v>152</v>
      </c>
      <c r="I7" s="35" t="s">
        <v>145</v>
      </c>
      <c r="J7" s="35" t="s">
        <v>153</v>
      </c>
      <c r="K7" s="35" t="s">
        <v>154</v>
      </c>
      <c r="L7" s="35">
        <v>1.0</v>
      </c>
      <c r="M7" s="35">
        <v>0.0</v>
      </c>
      <c r="N7" s="35">
        <v>0.16778523489932887</v>
      </c>
      <c r="O7" s="35">
        <v>4.0</v>
      </c>
      <c r="P7" s="35">
        <v>8.0</v>
      </c>
      <c r="Q7" s="35" t="s">
        <v>53</v>
      </c>
      <c r="R7" s="35">
        <v>0.0</v>
      </c>
      <c r="S7" s="35" t="s">
        <v>53</v>
      </c>
      <c r="T7" s="35">
        <v>0.0</v>
      </c>
      <c r="U7" s="35">
        <v>0.0</v>
      </c>
      <c r="V7" s="35">
        <v>0.0</v>
      </c>
      <c r="W7" s="35" t="s">
        <v>53</v>
      </c>
      <c r="X7" s="35">
        <v>0.0</v>
      </c>
      <c r="Y7" s="35" t="s">
        <v>53</v>
      </c>
      <c r="Z7" s="35" t="s">
        <v>155</v>
      </c>
      <c r="AA7" s="58" t="s">
        <v>137</v>
      </c>
      <c r="AB7" s="58" t="b">
        <v>1</v>
      </c>
      <c r="AC7" s="33" t="s">
        <v>77</v>
      </c>
      <c r="AD7" s="33" t="s">
        <v>57</v>
      </c>
      <c r="AE7" s="62">
        <v>0.14</v>
      </c>
      <c r="AF7" s="33" t="s">
        <v>162</v>
      </c>
      <c r="AG7" s="33" t="s">
        <v>59</v>
      </c>
      <c r="AH7" s="33" t="s">
        <v>60</v>
      </c>
      <c r="AI7" s="33" t="s">
        <v>61</v>
      </c>
      <c r="AJ7" s="33" t="s">
        <v>62</v>
      </c>
      <c r="AK7" s="33" t="s">
        <v>1140</v>
      </c>
      <c r="AL7" s="60" t="s">
        <v>164</v>
      </c>
      <c r="AM7" s="61" t="s">
        <v>65</v>
      </c>
      <c r="AN7" s="61"/>
      <c r="AO7" s="56" t="s">
        <v>1142</v>
      </c>
    </row>
    <row r="8" ht="15.0" customHeight="1">
      <c r="A8" s="57">
        <v>10.0</v>
      </c>
      <c r="B8" s="35" t="s">
        <v>138</v>
      </c>
      <c r="C8" s="35" t="s">
        <v>156</v>
      </c>
      <c r="D8" s="35" t="s">
        <v>149</v>
      </c>
      <c r="E8" s="35" t="s">
        <v>154</v>
      </c>
      <c r="F8" s="35" t="s">
        <v>153</v>
      </c>
      <c r="G8" s="22" t="s">
        <v>157</v>
      </c>
      <c r="H8" s="35" t="s">
        <v>158</v>
      </c>
      <c r="I8" s="35" t="s">
        <v>145</v>
      </c>
      <c r="J8" s="35" t="s">
        <v>159</v>
      </c>
      <c r="K8" s="35" t="s">
        <v>160</v>
      </c>
      <c r="L8" s="35">
        <v>1.0</v>
      </c>
      <c r="M8" s="35">
        <v>0.0</v>
      </c>
      <c r="N8" s="35">
        <v>0.16666666666666666</v>
      </c>
      <c r="O8" s="35">
        <v>0.0</v>
      </c>
      <c r="P8" s="35">
        <v>3.0</v>
      </c>
      <c r="Q8" s="35" t="s">
        <v>53</v>
      </c>
      <c r="R8" s="35">
        <v>0.0</v>
      </c>
      <c r="S8" s="35" t="s">
        <v>53</v>
      </c>
      <c r="T8" s="35">
        <v>0.0</v>
      </c>
      <c r="U8" s="35">
        <v>0.0</v>
      </c>
      <c r="V8" s="35">
        <v>0.0</v>
      </c>
      <c r="W8" s="35" t="s">
        <v>53</v>
      </c>
      <c r="X8" s="35">
        <v>0.0</v>
      </c>
      <c r="Y8" s="35" t="s">
        <v>53</v>
      </c>
      <c r="Z8" s="35" t="s">
        <v>161</v>
      </c>
      <c r="AA8" s="58" t="s">
        <v>137</v>
      </c>
      <c r="AB8" s="58" t="b">
        <v>1</v>
      </c>
      <c r="AC8" s="28" t="s">
        <v>56</v>
      </c>
      <c r="AD8" s="28" t="s">
        <v>57</v>
      </c>
      <c r="AE8" s="59">
        <v>0.17</v>
      </c>
      <c r="AF8" s="28" t="s">
        <v>162</v>
      </c>
      <c r="AG8" s="28" t="s">
        <v>59</v>
      </c>
      <c r="AH8" s="28" t="s">
        <v>60</v>
      </c>
      <c r="AI8" s="28" t="s">
        <v>61</v>
      </c>
      <c r="AJ8" s="28" t="s">
        <v>62</v>
      </c>
      <c r="AK8" s="28" t="s">
        <v>1140</v>
      </c>
      <c r="AL8" s="61" t="s">
        <v>164</v>
      </c>
      <c r="AM8" s="61" t="s">
        <v>65</v>
      </c>
      <c r="AN8" s="61"/>
      <c r="AO8" s="56" t="s">
        <v>1142</v>
      </c>
    </row>
    <row r="9" ht="15.0" customHeight="1">
      <c r="A9" s="57">
        <v>11.0</v>
      </c>
      <c r="B9" s="35" t="s">
        <v>166</v>
      </c>
      <c r="C9" s="35" t="s">
        <v>167</v>
      </c>
      <c r="D9" s="35" t="s">
        <v>168</v>
      </c>
      <c r="E9" s="35" t="s">
        <v>169</v>
      </c>
      <c r="F9" s="35" t="s">
        <v>170</v>
      </c>
      <c r="G9" s="22" t="s">
        <v>171</v>
      </c>
      <c r="H9" s="35" t="s">
        <v>172</v>
      </c>
      <c r="I9" s="35" t="s">
        <v>173</v>
      </c>
      <c r="J9" s="35" t="s">
        <v>174</v>
      </c>
      <c r="K9" s="35" t="s">
        <v>175</v>
      </c>
      <c r="L9" s="35">
        <v>1.0</v>
      </c>
      <c r="M9" s="35">
        <v>0.0</v>
      </c>
      <c r="N9" s="35">
        <v>0.6681818181818182</v>
      </c>
      <c r="O9" s="35">
        <v>4.0</v>
      </c>
      <c r="P9" s="35">
        <v>15.0</v>
      </c>
      <c r="Q9" s="35" t="s">
        <v>53</v>
      </c>
      <c r="R9" s="35">
        <v>0.0</v>
      </c>
      <c r="S9" s="35" t="s">
        <v>53</v>
      </c>
      <c r="T9" s="35">
        <v>0.0</v>
      </c>
      <c r="U9" s="35">
        <v>0.0</v>
      </c>
      <c r="V9" s="35">
        <v>0.0</v>
      </c>
      <c r="W9" s="35" t="s">
        <v>53</v>
      </c>
      <c r="X9" s="35">
        <v>0.0</v>
      </c>
      <c r="Y9" s="35" t="s">
        <v>53</v>
      </c>
      <c r="Z9" s="35" t="s">
        <v>176</v>
      </c>
      <c r="AA9" s="58" t="s">
        <v>177</v>
      </c>
      <c r="AB9" s="58" t="b">
        <v>1</v>
      </c>
      <c r="AC9" s="28" t="s">
        <v>56</v>
      </c>
      <c r="AD9" s="28" t="s">
        <v>57</v>
      </c>
      <c r="AE9" s="59">
        <v>0.25</v>
      </c>
      <c r="AF9" s="28" t="s">
        <v>59</v>
      </c>
      <c r="AG9" s="28" t="s">
        <v>59</v>
      </c>
      <c r="AH9" s="28" t="s">
        <v>209</v>
      </c>
      <c r="AI9" s="28" t="s">
        <v>629</v>
      </c>
      <c r="AJ9" s="28" t="s">
        <v>334</v>
      </c>
      <c r="AK9" s="28" t="s">
        <v>1140</v>
      </c>
      <c r="AL9" s="61" t="s">
        <v>164</v>
      </c>
      <c r="AM9" s="61"/>
      <c r="AN9" s="60" t="s">
        <v>1150</v>
      </c>
      <c r="AO9" s="56" t="s">
        <v>1142</v>
      </c>
    </row>
    <row r="10" ht="15.0" customHeight="1">
      <c r="A10" s="57">
        <v>13.0</v>
      </c>
      <c r="B10" s="35" t="s">
        <v>186</v>
      </c>
      <c r="C10" s="35" t="s">
        <v>187</v>
      </c>
      <c r="D10" s="35" t="s">
        <v>188</v>
      </c>
      <c r="E10" s="35" t="s">
        <v>189</v>
      </c>
      <c r="F10" s="35" t="s">
        <v>190</v>
      </c>
      <c r="G10" s="22" t="s">
        <v>191</v>
      </c>
      <c r="H10" s="35" t="s">
        <v>192</v>
      </c>
      <c r="I10" s="35" t="s">
        <v>193</v>
      </c>
      <c r="J10" s="35" t="s">
        <v>194</v>
      </c>
      <c r="K10" s="35" t="s">
        <v>195</v>
      </c>
      <c r="L10" s="35">
        <v>1.0</v>
      </c>
      <c r="M10" s="35">
        <v>0.0</v>
      </c>
      <c r="N10" s="35">
        <v>0.1568627450980392</v>
      </c>
      <c r="O10" s="35">
        <v>1.0</v>
      </c>
      <c r="P10" s="35">
        <v>8.0</v>
      </c>
      <c r="Q10" s="35" t="s">
        <v>53</v>
      </c>
      <c r="R10" s="35">
        <v>0.0</v>
      </c>
      <c r="S10" s="35" t="s">
        <v>53</v>
      </c>
      <c r="T10" s="35">
        <v>0.0</v>
      </c>
      <c r="U10" s="35">
        <v>0.0</v>
      </c>
      <c r="V10" s="35">
        <v>0.0</v>
      </c>
      <c r="W10" s="35" t="s">
        <v>53</v>
      </c>
      <c r="X10" s="35">
        <v>0.0</v>
      </c>
      <c r="Y10" s="35" t="s">
        <v>53</v>
      </c>
      <c r="Z10" s="35" t="s">
        <v>196</v>
      </c>
      <c r="AA10" s="58" t="s">
        <v>177</v>
      </c>
      <c r="AB10" s="58" t="b">
        <v>1</v>
      </c>
      <c r="AC10" s="28" t="s">
        <v>56</v>
      </c>
      <c r="AD10" s="28" t="s">
        <v>57</v>
      </c>
      <c r="AE10" s="59">
        <v>0.2</v>
      </c>
      <c r="AF10" s="28" t="s">
        <v>58</v>
      </c>
      <c r="AG10" s="28" t="s">
        <v>59</v>
      </c>
      <c r="AH10" s="28" t="s">
        <v>60</v>
      </c>
      <c r="AI10" s="28" t="s">
        <v>61</v>
      </c>
      <c r="AJ10" s="28" t="s">
        <v>62</v>
      </c>
      <c r="AK10" s="28" t="s">
        <v>1140</v>
      </c>
      <c r="AL10" s="61" t="s">
        <v>164</v>
      </c>
      <c r="AM10" s="61" t="s">
        <v>65</v>
      </c>
      <c r="AN10" s="61"/>
      <c r="AO10" s="56" t="s">
        <v>1142</v>
      </c>
    </row>
    <row r="11" ht="15.0" customHeight="1">
      <c r="A11" s="57">
        <v>14.0</v>
      </c>
      <c r="B11" s="35" t="s">
        <v>197</v>
      </c>
      <c r="C11" s="35" t="s">
        <v>198</v>
      </c>
      <c r="D11" s="35" t="s">
        <v>199</v>
      </c>
      <c r="E11" s="35" t="s">
        <v>200</v>
      </c>
      <c r="F11" s="35" t="s">
        <v>201</v>
      </c>
      <c r="G11" s="22" t="s">
        <v>202</v>
      </c>
      <c r="H11" s="35" t="s">
        <v>203</v>
      </c>
      <c r="I11" s="35" t="s">
        <v>204</v>
      </c>
      <c r="J11" s="35" t="s">
        <v>205</v>
      </c>
      <c r="K11" s="35" t="s">
        <v>206</v>
      </c>
      <c r="L11" s="35">
        <v>1.0</v>
      </c>
      <c r="M11" s="35">
        <v>0.0</v>
      </c>
      <c r="N11" s="35">
        <v>0.07657657657657657</v>
      </c>
      <c r="O11" s="35">
        <v>3.0</v>
      </c>
      <c r="P11" s="35">
        <v>10.0</v>
      </c>
      <c r="Q11" s="35" t="s">
        <v>53</v>
      </c>
      <c r="R11" s="35">
        <v>0.0</v>
      </c>
      <c r="S11" s="35" t="s">
        <v>53</v>
      </c>
      <c r="T11" s="35">
        <v>0.0</v>
      </c>
      <c r="U11" s="35">
        <v>0.0</v>
      </c>
      <c r="V11" s="35">
        <v>0.0</v>
      </c>
      <c r="W11" s="35" t="s">
        <v>53</v>
      </c>
      <c r="X11" s="35">
        <v>0.0</v>
      </c>
      <c r="Y11" s="35" t="s">
        <v>53</v>
      </c>
      <c r="Z11" s="35" t="s">
        <v>207</v>
      </c>
      <c r="AA11" s="58" t="s">
        <v>208</v>
      </c>
      <c r="AB11" s="58" t="b">
        <v>1</v>
      </c>
      <c r="AC11" s="28" t="s">
        <v>77</v>
      </c>
      <c r="AD11" s="28" t="s">
        <v>57</v>
      </c>
      <c r="AE11" s="59">
        <v>0.17</v>
      </c>
      <c r="AF11" s="28" t="s">
        <v>162</v>
      </c>
      <c r="AG11" s="28" t="s">
        <v>59</v>
      </c>
      <c r="AH11" s="28" t="s">
        <v>209</v>
      </c>
      <c r="AI11" s="28" t="s">
        <v>61</v>
      </c>
      <c r="AJ11" s="28" t="s">
        <v>62</v>
      </c>
      <c r="AK11" s="28" t="s">
        <v>1140</v>
      </c>
      <c r="AL11" s="61" t="s">
        <v>164</v>
      </c>
      <c r="AM11" s="61" t="s">
        <v>65</v>
      </c>
      <c r="AN11" s="61"/>
      <c r="AO11" s="56" t="s">
        <v>1142</v>
      </c>
    </row>
    <row r="12" ht="15.0" customHeight="1">
      <c r="A12" s="57">
        <v>15.0</v>
      </c>
      <c r="B12" s="35" t="s">
        <v>197</v>
      </c>
      <c r="C12" s="35" t="s">
        <v>210</v>
      </c>
      <c r="D12" s="35" t="s">
        <v>211</v>
      </c>
      <c r="E12" s="35" t="s">
        <v>200</v>
      </c>
      <c r="F12" s="35" t="s">
        <v>212</v>
      </c>
      <c r="G12" s="22" t="s">
        <v>213</v>
      </c>
      <c r="H12" s="35" t="s">
        <v>214</v>
      </c>
      <c r="I12" s="35" t="s">
        <v>215</v>
      </c>
      <c r="J12" s="35" t="s">
        <v>216</v>
      </c>
      <c r="K12" s="35" t="s">
        <v>217</v>
      </c>
      <c r="L12" s="35">
        <v>0.8</v>
      </c>
      <c r="M12" s="35">
        <v>0.42857142857142855</v>
      </c>
      <c r="N12" s="35">
        <v>0.3184931506849315</v>
      </c>
      <c r="O12" s="35">
        <v>0.0</v>
      </c>
      <c r="P12" s="35">
        <v>11.0</v>
      </c>
      <c r="Q12" s="35" t="s">
        <v>218</v>
      </c>
      <c r="R12" s="35">
        <v>1.0</v>
      </c>
      <c r="S12" s="35" t="s">
        <v>218</v>
      </c>
      <c r="T12" s="35">
        <v>0.0</v>
      </c>
      <c r="U12" s="35">
        <v>0.0</v>
      </c>
      <c r="V12" s="35">
        <v>1.0</v>
      </c>
      <c r="W12" s="35" t="s">
        <v>219</v>
      </c>
      <c r="X12" s="35">
        <v>0.0</v>
      </c>
      <c r="Y12" s="35" t="s">
        <v>53</v>
      </c>
      <c r="Z12" s="35" t="s">
        <v>220</v>
      </c>
      <c r="AA12" s="58" t="s">
        <v>208</v>
      </c>
      <c r="AB12" s="58" t="b">
        <v>1</v>
      </c>
      <c r="AC12" s="28" t="s">
        <v>77</v>
      </c>
      <c r="AD12" s="28" t="s">
        <v>57</v>
      </c>
      <c r="AE12" s="59">
        <v>0.5</v>
      </c>
      <c r="AF12" s="28" t="s">
        <v>162</v>
      </c>
      <c r="AG12" s="28" t="s">
        <v>59</v>
      </c>
      <c r="AH12" s="28" t="s">
        <v>209</v>
      </c>
      <c r="AI12" s="28" t="s">
        <v>249</v>
      </c>
      <c r="AJ12" s="28" t="s">
        <v>62</v>
      </c>
      <c r="AK12" s="55" t="s">
        <v>6863</v>
      </c>
      <c r="AL12" s="61" t="s">
        <v>164</v>
      </c>
      <c r="AM12" s="61" t="s">
        <v>65</v>
      </c>
      <c r="AN12" s="61"/>
      <c r="AO12" s="56" t="s">
        <v>6864</v>
      </c>
    </row>
    <row r="13" ht="15.0" customHeight="1">
      <c r="A13" s="57">
        <v>16.0</v>
      </c>
      <c r="B13" s="35" t="s">
        <v>197</v>
      </c>
      <c r="C13" s="35" t="s">
        <v>221</v>
      </c>
      <c r="D13" s="35" t="s">
        <v>222</v>
      </c>
      <c r="E13" s="35" t="s">
        <v>200</v>
      </c>
      <c r="F13" s="35" t="s">
        <v>212</v>
      </c>
      <c r="G13" s="22" t="s">
        <v>223</v>
      </c>
      <c r="H13" s="35" t="s">
        <v>224</v>
      </c>
      <c r="I13" s="35" t="s">
        <v>225</v>
      </c>
      <c r="J13" s="35" t="s">
        <v>226</v>
      </c>
      <c r="K13" s="35" t="s">
        <v>227</v>
      </c>
      <c r="L13" s="35">
        <v>0.8</v>
      </c>
      <c r="M13" s="35">
        <v>0.2</v>
      </c>
      <c r="N13" s="35">
        <v>0.3761755485893417</v>
      </c>
      <c r="O13" s="35">
        <v>0.0</v>
      </c>
      <c r="P13" s="35">
        <v>11.0</v>
      </c>
      <c r="Q13" s="35" t="s">
        <v>218</v>
      </c>
      <c r="R13" s="35">
        <v>1.0</v>
      </c>
      <c r="S13" s="35" t="s">
        <v>218</v>
      </c>
      <c r="T13" s="35">
        <v>0.0</v>
      </c>
      <c r="U13" s="35">
        <v>0.0</v>
      </c>
      <c r="V13" s="35">
        <v>0.0</v>
      </c>
      <c r="W13" s="35" t="s">
        <v>53</v>
      </c>
      <c r="X13" s="35">
        <v>0.0</v>
      </c>
      <c r="Y13" s="35" t="s">
        <v>53</v>
      </c>
      <c r="Z13" s="35" t="s">
        <v>228</v>
      </c>
      <c r="AA13" s="58" t="s">
        <v>208</v>
      </c>
      <c r="AB13" s="58" t="b">
        <v>1</v>
      </c>
      <c r="AC13" s="35" t="s">
        <v>77</v>
      </c>
      <c r="AD13" s="35" t="s">
        <v>57</v>
      </c>
      <c r="AE13" s="35">
        <v>0.33</v>
      </c>
      <c r="AF13" s="35" t="s">
        <v>559</v>
      </c>
      <c r="AG13" s="35" t="s">
        <v>59</v>
      </c>
      <c r="AH13" s="35" t="s">
        <v>209</v>
      </c>
      <c r="AI13" s="35" t="s">
        <v>61</v>
      </c>
      <c r="AJ13" s="35" t="s">
        <v>62</v>
      </c>
      <c r="AK13" s="22" t="s">
        <v>6863</v>
      </c>
      <c r="AL13" s="58" t="s">
        <v>164</v>
      </c>
      <c r="AM13" s="58" t="s">
        <v>1149</v>
      </c>
      <c r="AN13" s="58" t="s">
        <v>1150</v>
      </c>
      <c r="AO13" s="56" t="s">
        <v>1151</v>
      </c>
    </row>
    <row r="14" ht="15.0" customHeight="1">
      <c r="A14" s="57">
        <v>18.0</v>
      </c>
      <c r="B14" s="35" t="s">
        <v>229</v>
      </c>
      <c r="C14" s="35" t="s">
        <v>230</v>
      </c>
      <c r="D14" s="35" t="s">
        <v>231</v>
      </c>
      <c r="E14" s="35" t="s">
        <v>242</v>
      </c>
      <c r="F14" s="35" t="s">
        <v>243</v>
      </c>
      <c r="G14" s="22" t="s">
        <v>244</v>
      </c>
      <c r="H14" s="35" t="s">
        <v>245</v>
      </c>
      <c r="I14" s="35" t="s">
        <v>246</v>
      </c>
      <c r="J14" s="35" t="s">
        <v>247</v>
      </c>
      <c r="K14" s="35" t="s">
        <v>248</v>
      </c>
      <c r="L14" s="35">
        <v>1.0</v>
      </c>
      <c r="M14" s="35">
        <v>0.3333333333333333</v>
      </c>
      <c r="N14" s="35">
        <v>0.41237113402061853</v>
      </c>
      <c r="O14" s="35">
        <v>8.0</v>
      </c>
      <c r="P14" s="35">
        <v>15.0</v>
      </c>
      <c r="Q14" s="35" t="s">
        <v>53</v>
      </c>
      <c r="R14" s="35">
        <v>0.0</v>
      </c>
      <c r="S14" s="35" t="s">
        <v>53</v>
      </c>
      <c r="T14" s="35">
        <v>0.0</v>
      </c>
      <c r="U14" s="35">
        <v>0.0</v>
      </c>
      <c r="V14" s="35">
        <v>1.0</v>
      </c>
      <c r="W14" s="35" t="s">
        <v>185</v>
      </c>
      <c r="X14" s="35">
        <v>0.0</v>
      </c>
      <c r="Y14" s="35" t="s">
        <v>53</v>
      </c>
      <c r="Z14" s="35" t="s">
        <v>240</v>
      </c>
      <c r="AA14" s="58" t="s">
        <v>241</v>
      </c>
      <c r="AB14" s="58" t="b">
        <v>1</v>
      </c>
      <c r="AC14" s="35" t="s">
        <v>57</v>
      </c>
      <c r="AD14" s="35" t="s">
        <v>57</v>
      </c>
      <c r="AE14" s="35">
        <v>0.2</v>
      </c>
      <c r="AF14" s="35" t="s">
        <v>559</v>
      </c>
      <c r="AG14" s="35" t="s">
        <v>59</v>
      </c>
      <c r="AH14" s="35" t="s">
        <v>560</v>
      </c>
      <c r="AI14" s="35" t="s">
        <v>249</v>
      </c>
      <c r="AJ14" s="35" t="s">
        <v>62</v>
      </c>
      <c r="AK14" s="35" t="s">
        <v>1154</v>
      </c>
      <c r="AL14" s="58" t="s">
        <v>164</v>
      </c>
      <c r="AM14" s="58" t="s">
        <v>6865</v>
      </c>
      <c r="AN14" s="58" t="s">
        <v>1150</v>
      </c>
      <c r="AO14" s="56" t="s">
        <v>1146</v>
      </c>
    </row>
    <row r="15" ht="15.0" customHeight="1">
      <c r="A15" s="57">
        <v>21.0</v>
      </c>
      <c r="B15" s="35" t="s">
        <v>260</v>
      </c>
      <c r="C15" s="35" t="s">
        <v>261</v>
      </c>
      <c r="D15" s="35" t="s">
        <v>262</v>
      </c>
      <c r="E15" s="35" t="s">
        <v>263</v>
      </c>
      <c r="F15" s="35" t="s">
        <v>264</v>
      </c>
      <c r="G15" s="22" t="s">
        <v>265</v>
      </c>
      <c r="H15" s="35" t="s">
        <v>266</v>
      </c>
      <c r="I15" s="35" t="s">
        <v>267</v>
      </c>
      <c r="J15" s="35" t="s">
        <v>268</v>
      </c>
      <c r="K15" s="35" t="s">
        <v>269</v>
      </c>
      <c r="L15" s="35">
        <v>1.0</v>
      </c>
      <c r="M15" s="35">
        <v>0.0</v>
      </c>
      <c r="N15" s="35">
        <v>0.21158129175946547</v>
      </c>
      <c r="O15" s="35">
        <v>0.0</v>
      </c>
      <c r="P15" s="35">
        <v>9.0</v>
      </c>
      <c r="Q15" s="35" t="s">
        <v>270</v>
      </c>
      <c r="R15" s="35">
        <v>0.0</v>
      </c>
      <c r="S15" s="35" t="s">
        <v>53</v>
      </c>
      <c r="T15" s="35">
        <v>0.0</v>
      </c>
      <c r="U15" s="35">
        <v>0.0</v>
      </c>
      <c r="V15" s="35">
        <v>0.0</v>
      </c>
      <c r="W15" s="35" t="s">
        <v>53</v>
      </c>
      <c r="X15" s="35">
        <v>0.0</v>
      </c>
      <c r="Y15" s="35" t="s">
        <v>53</v>
      </c>
      <c r="Z15" s="35" t="s">
        <v>271</v>
      </c>
      <c r="AA15" s="58" t="s">
        <v>272</v>
      </c>
      <c r="AB15" s="58" t="b">
        <v>1</v>
      </c>
      <c r="AC15" s="35" t="s">
        <v>57</v>
      </c>
      <c r="AD15" s="35" t="s">
        <v>56</v>
      </c>
      <c r="AE15" s="35">
        <v>0.5</v>
      </c>
      <c r="AF15" s="35" t="s">
        <v>162</v>
      </c>
      <c r="AG15" s="35" t="s">
        <v>559</v>
      </c>
      <c r="AH15" s="35" t="s">
        <v>60</v>
      </c>
      <c r="AI15" s="35" t="s">
        <v>61</v>
      </c>
      <c r="AJ15" s="35" t="s">
        <v>62</v>
      </c>
      <c r="AK15" s="35" t="s">
        <v>1140</v>
      </c>
      <c r="AL15" s="58" t="s">
        <v>164</v>
      </c>
      <c r="AM15" s="58" t="s">
        <v>65</v>
      </c>
      <c r="AN15" s="58" t="s">
        <v>1152</v>
      </c>
      <c r="AO15" s="56" t="s">
        <v>1142</v>
      </c>
    </row>
    <row r="16" ht="15.0" customHeight="1">
      <c r="A16" s="57">
        <v>22.0</v>
      </c>
      <c r="B16" s="35" t="s">
        <v>260</v>
      </c>
      <c r="C16" s="35" t="s">
        <v>273</v>
      </c>
      <c r="D16" s="35" t="s">
        <v>261</v>
      </c>
      <c r="E16" s="35" t="s">
        <v>274</v>
      </c>
      <c r="F16" s="35" t="s">
        <v>275</v>
      </c>
      <c r="G16" s="22" t="s">
        <v>276</v>
      </c>
      <c r="H16" s="35" t="s">
        <v>277</v>
      </c>
      <c r="I16" s="35" t="s">
        <v>278</v>
      </c>
      <c r="J16" s="35" t="s">
        <v>279</v>
      </c>
      <c r="K16" s="35" t="s">
        <v>280</v>
      </c>
      <c r="L16" s="35">
        <v>1.0</v>
      </c>
      <c r="M16" s="35">
        <v>0.8571428571428571</v>
      </c>
      <c r="N16" s="35">
        <v>0.6983695652173914</v>
      </c>
      <c r="O16" s="35">
        <v>2.0</v>
      </c>
      <c r="P16" s="35">
        <v>10.0</v>
      </c>
      <c r="Q16" s="35" t="s">
        <v>53</v>
      </c>
      <c r="R16" s="35">
        <v>0.0</v>
      </c>
      <c r="S16" s="35" t="s">
        <v>53</v>
      </c>
      <c r="T16" s="35">
        <v>0.0</v>
      </c>
      <c r="U16" s="35">
        <v>0.0</v>
      </c>
      <c r="V16" s="35">
        <v>1.0</v>
      </c>
      <c r="W16" s="35" t="s">
        <v>281</v>
      </c>
      <c r="X16" s="35">
        <v>0.0</v>
      </c>
      <c r="Y16" s="35" t="s">
        <v>53</v>
      </c>
      <c r="Z16" s="35" t="s">
        <v>282</v>
      </c>
      <c r="AA16" s="58" t="s">
        <v>272</v>
      </c>
      <c r="AB16" s="58" t="b">
        <v>1</v>
      </c>
      <c r="AC16" s="35" t="s">
        <v>57</v>
      </c>
      <c r="AD16" s="35" t="s">
        <v>57</v>
      </c>
      <c r="AE16" s="35">
        <v>0.25</v>
      </c>
      <c r="AF16" s="35" t="s">
        <v>58</v>
      </c>
      <c r="AG16" s="35" t="s">
        <v>59</v>
      </c>
      <c r="AH16" s="35" t="s">
        <v>60</v>
      </c>
      <c r="AI16" s="35" t="s">
        <v>249</v>
      </c>
      <c r="AJ16" s="35" t="s">
        <v>62</v>
      </c>
      <c r="AK16" s="35" t="s">
        <v>1140</v>
      </c>
      <c r="AL16" s="58" t="s">
        <v>164</v>
      </c>
      <c r="AM16" s="58" t="s">
        <v>65</v>
      </c>
      <c r="AN16" s="58" t="s">
        <v>1153</v>
      </c>
      <c r="AO16" s="56" t="s">
        <v>1146</v>
      </c>
    </row>
    <row r="17" ht="15.0" customHeight="1">
      <c r="A17" s="57">
        <v>23.0</v>
      </c>
      <c r="B17" s="35" t="s">
        <v>260</v>
      </c>
      <c r="C17" s="35" t="s">
        <v>283</v>
      </c>
      <c r="D17" s="35" t="s">
        <v>284</v>
      </c>
      <c r="E17" s="35" t="s">
        <v>285</v>
      </c>
      <c r="F17" s="35" t="s">
        <v>286</v>
      </c>
      <c r="G17" s="22" t="s">
        <v>287</v>
      </c>
      <c r="H17" s="35" t="s">
        <v>288</v>
      </c>
      <c r="I17" s="35" t="s">
        <v>289</v>
      </c>
      <c r="J17" s="35" t="s">
        <v>290</v>
      </c>
      <c r="K17" s="35" t="s">
        <v>291</v>
      </c>
      <c r="L17" s="35">
        <v>1.0</v>
      </c>
      <c r="M17" s="35">
        <v>0.0</v>
      </c>
      <c r="N17" s="35">
        <v>0.10810810810810811</v>
      </c>
      <c r="O17" s="35">
        <v>0.0</v>
      </c>
      <c r="P17" s="35">
        <v>19.0</v>
      </c>
      <c r="Q17" s="35" t="s">
        <v>270</v>
      </c>
      <c r="R17" s="35">
        <v>0.0</v>
      </c>
      <c r="S17" s="35" t="s">
        <v>53</v>
      </c>
      <c r="T17" s="35">
        <v>0.0</v>
      </c>
      <c r="U17" s="35">
        <v>0.0</v>
      </c>
      <c r="V17" s="35">
        <v>0.0</v>
      </c>
      <c r="W17" s="35" t="s">
        <v>53</v>
      </c>
      <c r="X17" s="35">
        <v>0.0</v>
      </c>
      <c r="Y17" s="35" t="s">
        <v>53</v>
      </c>
      <c r="Z17" s="35" t="s">
        <v>292</v>
      </c>
      <c r="AA17" s="58" t="s">
        <v>293</v>
      </c>
      <c r="AB17" s="58" t="b">
        <v>1</v>
      </c>
      <c r="AC17" s="35" t="s">
        <v>1143</v>
      </c>
      <c r="AD17" s="35" t="s">
        <v>57</v>
      </c>
      <c r="AE17" s="35">
        <v>0.25</v>
      </c>
      <c r="AF17" s="35" t="s">
        <v>162</v>
      </c>
      <c r="AG17" s="35" t="s">
        <v>559</v>
      </c>
      <c r="AH17" s="35" t="s">
        <v>60</v>
      </c>
      <c r="AI17" s="35" t="s">
        <v>61</v>
      </c>
      <c r="AJ17" s="35" t="s">
        <v>62</v>
      </c>
      <c r="AK17" s="35" t="s">
        <v>1140</v>
      </c>
      <c r="AL17" s="58" t="s">
        <v>164</v>
      </c>
      <c r="AM17" s="58" t="s">
        <v>65</v>
      </c>
      <c r="AN17" s="58" t="s">
        <v>1153</v>
      </c>
      <c r="AO17" s="56" t="s">
        <v>1142</v>
      </c>
    </row>
    <row r="18" ht="15.0" customHeight="1">
      <c r="A18" s="57">
        <v>24.0</v>
      </c>
      <c r="B18" s="35" t="s">
        <v>296</v>
      </c>
      <c r="C18" s="35" t="s">
        <v>297</v>
      </c>
      <c r="D18" s="35" t="s">
        <v>298</v>
      </c>
      <c r="E18" s="35" t="s">
        <v>299</v>
      </c>
      <c r="F18" s="35" t="s">
        <v>300</v>
      </c>
      <c r="G18" s="22" t="s">
        <v>301</v>
      </c>
      <c r="H18" s="35" t="s">
        <v>302</v>
      </c>
      <c r="I18" s="35" t="s">
        <v>303</v>
      </c>
      <c r="J18" s="35" t="s">
        <v>304</v>
      </c>
      <c r="K18" s="35" t="s">
        <v>305</v>
      </c>
      <c r="L18" s="35">
        <v>0.8333333333333334</v>
      </c>
      <c r="M18" s="35">
        <v>0.3333333333333333</v>
      </c>
      <c r="N18" s="35">
        <v>0.3317757009345794</v>
      </c>
      <c r="O18" s="35">
        <v>7.0</v>
      </c>
      <c r="P18" s="35">
        <v>9.0</v>
      </c>
      <c r="Q18" s="35" t="s">
        <v>306</v>
      </c>
      <c r="R18" s="35">
        <v>1.0</v>
      </c>
      <c r="S18" s="35" t="s">
        <v>307</v>
      </c>
      <c r="T18" s="35">
        <v>0.0</v>
      </c>
      <c r="U18" s="35">
        <v>0.0</v>
      </c>
      <c r="V18" s="35">
        <v>0.0</v>
      </c>
      <c r="W18" s="35" t="s">
        <v>53</v>
      </c>
      <c r="X18" s="35">
        <v>0.0</v>
      </c>
      <c r="Y18" s="35" t="s">
        <v>53</v>
      </c>
      <c r="Z18" s="35" t="s">
        <v>308</v>
      </c>
      <c r="AA18" s="58" t="s">
        <v>293</v>
      </c>
      <c r="AB18" s="58" t="b">
        <v>1</v>
      </c>
      <c r="AC18" s="35" t="s">
        <v>1143</v>
      </c>
      <c r="AD18" s="35" t="s">
        <v>1144</v>
      </c>
      <c r="AE18" s="35">
        <v>0.25</v>
      </c>
      <c r="AF18" s="35" t="s">
        <v>162</v>
      </c>
      <c r="AG18" s="35" t="s">
        <v>59</v>
      </c>
      <c r="AH18" s="35" t="s">
        <v>209</v>
      </c>
      <c r="AI18" s="35" t="s">
        <v>6866</v>
      </c>
      <c r="AJ18" s="35" t="s">
        <v>334</v>
      </c>
      <c r="AK18" s="35" t="s">
        <v>6863</v>
      </c>
      <c r="AL18" s="58" t="s">
        <v>164</v>
      </c>
      <c r="AM18" s="58" t="s">
        <v>65</v>
      </c>
      <c r="AN18" s="58" t="s">
        <v>1155</v>
      </c>
      <c r="AO18" s="56" t="s">
        <v>1162</v>
      </c>
    </row>
    <row r="19" ht="15.0" customHeight="1">
      <c r="A19" s="57">
        <v>25.0</v>
      </c>
      <c r="B19" s="35" t="s">
        <v>296</v>
      </c>
      <c r="C19" s="35" t="s">
        <v>297</v>
      </c>
      <c r="D19" s="35" t="s">
        <v>298</v>
      </c>
      <c r="E19" s="35" t="s">
        <v>299</v>
      </c>
      <c r="F19" s="35" t="s">
        <v>300</v>
      </c>
      <c r="G19" s="22" t="s">
        <v>309</v>
      </c>
      <c r="H19" s="35" t="s">
        <v>310</v>
      </c>
      <c r="I19" s="35" t="s">
        <v>311</v>
      </c>
      <c r="J19" s="35" t="s">
        <v>312</v>
      </c>
      <c r="K19" s="35" t="s">
        <v>313</v>
      </c>
      <c r="L19" s="35">
        <v>1.0</v>
      </c>
      <c r="M19" s="35">
        <v>0.0</v>
      </c>
      <c r="N19" s="35">
        <v>0.3222748815165877</v>
      </c>
      <c r="O19" s="35">
        <v>0.0</v>
      </c>
      <c r="P19" s="35">
        <v>9.0</v>
      </c>
      <c r="Q19" s="35" t="s">
        <v>314</v>
      </c>
      <c r="R19" s="35">
        <v>0.0</v>
      </c>
      <c r="S19" s="35" t="s">
        <v>53</v>
      </c>
      <c r="T19" s="35">
        <v>0.0</v>
      </c>
      <c r="U19" s="35">
        <v>0.0</v>
      </c>
      <c r="V19" s="35">
        <v>0.0</v>
      </c>
      <c r="W19" s="35" t="s">
        <v>53</v>
      </c>
      <c r="X19" s="35">
        <v>0.0</v>
      </c>
      <c r="Y19" s="35" t="s">
        <v>53</v>
      </c>
      <c r="Z19" s="35" t="s">
        <v>308</v>
      </c>
      <c r="AA19" s="58" t="s">
        <v>293</v>
      </c>
      <c r="AB19" s="58" t="b">
        <v>1</v>
      </c>
      <c r="AC19" s="35" t="s">
        <v>1143</v>
      </c>
      <c r="AD19" s="35" t="s">
        <v>1144</v>
      </c>
      <c r="AE19" s="35">
        <v>0.5</v>
      </c>
      <c r="AF19" s="35" t="s">
        <v>162</v>
      </c>
      <c r="AG19" s="35" t="s">
        <v>559</v>
      </c>
      <c r="AH19" s="35" t="s">
        <v>209</v>
      </c>
      <c r="AI19" s="35" t="s">
        <v>61</v>
      </c>
      <c r="AJ19" s="35" t="s">
        <v>62</v>
      </c>
      <c r="AK19" s="35" t="s">
        <v>1154</v>
      </c>
      <c r="AL19" s="58" t="s">
        <v>164</v>
      </c>
      <c r="AM19" s="58" t="s">
        <v>65</v>
      </c>
      <c r="AN19" s="58" t="s">
        <v>1155</v>
      </c>
      <c r="AO19" s="56" t="s">
        <v>1142</v>
      </c>
    </row>
    <row r="20" ht="15.0" customHeight="1">
      <c r="A20" s="57">
        <v>26.0</v>
      </c>
      <c r="B20" s="35" t="s">
        <v>296</v>
      </c>
      <c r="C20" s="35" t="s">
        <v>297</v>
      </c>
      <c r="D20" s="35" t="s">
        <v>298</v>
      </c>
      <c r="E20" s="35" t="s">
        <v>299</v>
      </c>
      <c r="F20" s="35" t="s">
        <v>300</v>
      </c>
      <c r="G20" s="22" t="s">
        <v>315</v>
      </c>
      <c r="H20" s="35" t="s">
        <v>316</v>
      </c>
      <c r="I20" s="35" t="s">
        <v>317</v>
      </c>
      <c r="J20" s="35" t="s">
        <v>318</v>
      </c>
      <c r="K20" s="35" t="s">
        <v>319</v>
      </c>
      <c r="L20" s="35">
        <v>0.8</v>
      </c>
      <c r="M20" s="35">
        <v>0.3333333333333333</v>
      </c>
      <c r="N20" s="35">
        <v>0.6066350710900474</v>
      </c>
      <c r="O20" s="35">
        <v>0.0</v>
      </c>
      <c r="P20" s="35">
        <v>9.0</v>
      </c>
      <c r="Q20" s="35" t="s">
        <v>314</v>
      </c>
      <c r="R20" s="35">
        <v>0.0</v>
      </c>
      <c r="S20" s="35" t="s">
        <v>53</v>
      </c>
      <c r="T20" s="35">
        <v>1.0</v>
      </c>
      <c r="U20" s="35">
        <v>1.0</v>
      </c>
      <c r="V20" s="35">
        <v>0.0</v>
      </c>
      <c r="W20" s="35" t="s">
        <v>53</v>
      </c>
      <c r="X20" s="35">
        <v>0.0</v>
      </c>
      <c r="Y20" s="35" t="s">
        <v>53</v>
      </c>
      <c r="Z20" s="35" t="s">
        <v>308</v>
      </c>
      <c r="AA20" s="58" t="s">
        <v>293</v>
      </c>
      <c r="AB20" s="58" t="b">
        <v>1</v>
      </c>
      <c r="AC20" s="35" t="s">
        <v>1143</v>
      </c>
      <c r="AD20" s="35" t="s">
        <v>77</v>
      </c>
      <c r="AE20" s="35">
        <v>0.4</v>
      </c>
      <c r="AF20" s="35" t="s">
        <v>162</v>
      </c>
      <c r="AG20" s="35" t="s">
        <v>59</v>
      </c>
      <c r="AH20" s="35" t="s">
        <v>209</v>
      </c>
      <c r="AI20" s="35" t="s">
        <v>6867</v>
      </c>
      <c r="AJ20" s="35" t="s">
        <v>62</v>
      </c>
      <c r="AK20" s="35" t="s">
        <v>1140</v>
      </c>
      <c r="AL20" s="58" t="s">
        <v>889</v>
      </c>
      <c r="AM20" s="58" t="s">
        <v>65</v>
      </c>
      <c r="AN20" s="58" t="s">
        <v>6868</v>
      </c>
      <c r="AO20" s="56" t="s">
        <v>6869</v>
      </c>
    </row>
    <row r="21" ht="15.0" customHeight="1">
      <c r="A21" s="57">
        <v>27.0</v>
      </c>
      <c r="B21" s="35" t="s">
        <v>320</v>
      </c>
      <c r="C21" s="35" t="s">
        <v>297</v>
      </c>
      <c r="D21" s="35" t="s">
        <v>298</v>
      </c>
      <c r="E21" s="35" t="s">
        <v>299</v>
      </c>
      <c r="F21" s="35" t="s">
        <v>321</v>
      </c>
      <c r="G21" s="22" t="s">
        <v>322</v>
      </c>
      <c r="H21" s="35" t="s">
        <v>323</v>
      </c>
      <c r="I21" s="35" t="s">
        <v>324</v>
      </c>
      <c r="J21" s="35" t="s">
        <v>325</v>
      </c>
      <c r="K21" s="35" t="s">
        <v>305</v>
      </c>
      <c r="L21" s="35">
        <v>0.8333333333333334</v>
      </c>
      <c r="M21" s="35">
        <v>0.3333333333333333</v>
      </c>
      <c r="N21" s="35">
        <v>0.34085778781038373</v>
      </c>
      <c r="O21" s="35">
        <v>8.0</v>
      </c>
      <c r="P21" s="35">
        <v>13.0</v>
      </c>
      <c r="Q21" s="35" t="s">
        <v>326</v>
      </c>
      <c r="R21" s="35">
        <v>1.0</v>
      </c>
      <c r="S21" s="35" t="s">
        <v>327</v>
      </c>
      <c r="T21" s="35">
        <v>0.0</v>
      </c>
      <c r="U21" s="35">
        <v>0.0</v>
      </c>
      <c r="V21" s="35">
        <v>0.0</v>
      </c>
      <c r="W21" s="35" t="s">
        <v>53</v>
      </c>
      <c r="X21" s="35">
        <v>0.0</v>
      </c>
      <c r="Y21" s="35" t="s">
        <v>53</v>
      </c>
      <c r="Z21" s="35" t="s">
        <v>308</v>
      </c>
      <c r="AA21" s="58" t="s">
        <v>293</v>
      </c>
      <c r="AB21" s="58" t="b">
        <v>1</v>
      </c>
      <c r="AC21" s="35" t="s">
        <v>1143</v>
      </c>
      <c r="AD21" s="35" t="s">
        <v>1144</v>
      </c>
      <c r="AE21" s="35">
        <v>0.25</v>
      </c>
      <c r="AF21" s="35" t="s">
        <v>162</v>
      </c>
      <c r="AG21" s="35" t="s">
        <v>59</v>
      </c>
      <c r="AH21" s="35" t="s">
        <v>209</v>
      </c>
      <c r="AI21" s="35" t="s">
        <v>6866</v>
      </c>
      <c r="AJ21" s="35" t="s">
        <v>334</v>
      </c>
      <c r="AK21" s="35" t="s">
        <v>6863</v>
      </c>
      <c r="AL21" s="58" t="s">
        <v>164</v>
      </c>
      <c r="AM21" s="58" t="s">
        <v>65</v>
      </c>
      <c r="AN21" s="58" t="s">
        <v>1155</v>
      </c>
      <c r="AO21" s="56" t="s">
        <v>1162</v>
      </c>
    </row>
    <row r="22" ht="15.0" customHeight="1">
      <c r="A22" s="57">
        <v>28.0</v>
      </c>
      <c r="B22" s="35" t="s">
        <v>320</v>
      </c>
      <c r="C22" s="35" t="s">
        <v>297</v>
      </c>
      <c r="D22" s="35" t="s">
        <v>298</v>
      </c>
      <c r="E22" s="35" t="s">
        <v>299</v>
      </c>
      <c r="F22" s="35" t="s">
        <v>321</v>
      </c>
      <c r="G22" s="22" t="s">
        <v>328</v>
      </c>
      <c r="H22" s="35" t="s">
        <v>329</v>
      </c>
      <c r="I22" s="35" t="s">
        <v>330</v>
      </c>
      <c r="J22" s="35" t="s">
        <v>331</v>
      </c>
      <c r="K22" s="35" t="s">
        <v>313</v>
      </c>
      <c r="L22" s="35">
        <v>1.0</v>
      </c>
      <c r="M22" s="35">
        <v>0.0</v>
      </c>
      <c r="N22" s="35">
        <v>0.345372460496614</v>
      </c>
      <c r="O22" s="35">
        <v>0.0</v>
      </c>
      <c r="P22" s="35">
        <v>13.0</v>
      </c>
      <c r="Q22" s="35" t="s">
        <v>314</v>
      </c>
      <c r="R22" s="35">
        <v>0.0</v>
      </c>
      <c r="S22" s="35" t="s">
        <v>53</v>
      </c>
      <c r="T22" s="35">
        <v>0.0</v>
      </c>
      <c r="U22" s="35">
        <v>0.0</v>
      </c>
      <c r="V22" s="35">
        <v>0.0</v>
      </c>
      <c r="W22" s="35" t="s">
        <v>53</v>
      </c>
      <c r="X22" s="35">
        <v>0.0</v>
      </c>
      <c r="Y22" s="35" t="s">
        <v>53</v>
      </c>
      <c r="Z22" s="35" t="s">
        <v>308</v>
      </c>
      <c r="AA22" s="58" t="s">
        <v>293</v>
      </c>
      <c r="AB22" s="58" t="b">
        <v>1</v>
      </c>
      <c r="AC22" s="35" t="s">
        <v>1143</v>
      </c>
      <c r="AD22" s="35" t="s">
        <v>1144</v>
      </c>
      <c r="AE22" s="35">
        <v>0.5</v>
      </c>
      <c r="AF22" s="35" t="s">
        <v>162</v>
      </c>
      <c r="AG22" s="35" t="s">
        <v>559</v>
      </c>
      <c r="AH22" s="35" t="s">
        <v>209</v>
      </c>
      <c r="AI22" s="35" t="s">
        <v>61</v>
      </c>
      <c r="AJ22" s="35" t="s">
        <v>62</v>
      </c>
      <c r="AK22" s="35" t="s">
        <v>1154</v>
      </c>
      <c r="AL22" s="58" t="s">
        <v>164</v>
      </c>
      <c r="AM22" s="58" t="s">
        <v>65</v>
      </c>
      <c r="AN22" s="58" t="s">
        <v>1155</v>
      </c>
      <c r="AO22" s="56" t="s">
        <v>1142</v>
      </c>
    </row>
    <row r="23" ht="15.0" customHeight="1">
      <c r="A23" s="57">
        <v>29.0</v>
      </c>
      <c r="B23" s="35" t="s">
        <v>320</v>
      </c>
      <c r="C23" s="35" t="s">
        <v>297</v>
      </c>
      <c r="D23" s="35" t="s">
        <v>298</v>
      </c>
      <c r="E23" s="35" t="s">
        <v>299</v>
      </c>
      <c r="F23" s="35" t="s">
        <v>321</v>
      </c>
      <c r="G23" s="22" t="s">
        <v>336</v>
      </c>
      <c r="H23" s="35" t="s">
        <v>337</v>
      </c>
      <c r="I23" s="35" t="s">
        <v>338</v>
      </c>
      <c r="J23" s="35" t="s">
        <v>339</v>
      </c>
      <c r="K23" s="35" t="s">
        <v>319</v>
      </c>
      <c r="L23" s="35">
        <v>0.8</v>
      </c>
      <c r="M23" s="35">
        <v>0.3333333333333333</v>
      </c>
      <c r="N23" s="35">
        <v>0.6252821670428894</v>
      </c>
      <c r="O23" s="35">
        <v>0.0</v>
      </c>
      <c r="P23" s="35">
        <v>13.0</v>
      </c>
      <c r="Q23" s="35" t="s">
        <v>314</v>
      </c>
      <c r="R23" s="35">
        <v>0.0</v>
      </c>
      <c r="S23" s="35" t="s">
        <v>53</v>
      </c>
      <c r="T23" s="35">
        <v>1.0</v>
      </c>
      <c r="U23" s="35">
        <v>1.0</v>
      </c>
      <c r="V23" s="35">
        <v>0.0</v>
      </c>
      <c r="W23" s="35" t="s">
        <v>53</v>
      </c>
      <c r="X23" s="35">
        <v>0.0</v>
      </c>
      <c r="Y23" s="35" t="s">
        <v>53</v>
      </c>
      <c r="Z23" s="35" t="s">
        <v>308</v>
      </c>
      <c r="AA23" s="58" t="s">
        <v>293</v>
      </c>
      <c r="AB23" s="58" t="b">
        <v>1</v>
      </c>
      <c r="AC23" s="35" t="s">
        <v>1143</v>
      </c>
      <c r="AD23" s="35" t="s">
        <v>77</v>
      </c>
      <c r="AE23" s="35">
        <v>0.4</v>
      </c>
      <c r="AF23" s="35" t="s">
        <v>162</v>
      </c>
      <c r="AG23" s="35" t="s">
        <v>59</v>
      </c>
      <c r="AH23" s="35" t="s">
        <v>209</v>
      </c>
      <c r="AI23" s="35" t="s">
        <v>6867</v>
      </c>
      <c r="AJ23" s="35" t="s">
        <v>62</v>
      </c>
      <c r="AK23" s="35" t="s">
        <v>1140</v>
      </c>
      <c r="AL23" s="58" t="s">
        <v>889</v>
      </c>
      <c r="AM23" s="58" t="s">
        <v>65</v>
      </c>
      <c r="AN23" s="58" t="s">
        <v>6868</v>
      </c>
      <c r="AO23" s="56" t="s">
        <v>6869</v>
      </c>
    </row>
    <row r="24" ht="15.0" customHeight="1">
      <c r="A24" s="57">
        <v>30.0</v>
      </c>
      <c r="B24" s="35" t="s">
        <v>340</v>
      </c>
      <c r="C24" s="35" t="s">
        <v>341</v>
      </c>
      <c r="D24" s="35" t="s">
        <v>342</v>
      </c>
      <c r="E24" s="35" t="s">
        <v>343</v>
      </c>
      <c r="F24" s="35" t="s">
        <v>344</v>
      </c>
      <c r="G24" s="22" t="s">
        <v>345</v>
      </c>
      <c r="H24" s="35" t="s">
        <v>346</v>
      </c>
      <c r="I24" s="35" t="s">
        <v>347</v>
      </c>
      <c r="J24" s="35" t="s">
        <v>348</v>
      </c>
      <c r="K24" s="35" t="s">
        <v>349</v>
      </c>
      <c r="L24" s="35">
        <v>1.0</v>
      </c>
      <c r="M24" s="35">
        <v>0.0</v>
      </c>
      <c r="N24" s="35">
        <v>0.041666666666666664</v>
      </c>
      <c r="O24" s="35">
        <v>2.0</v>
      </c>
      <c r="P24" s="35">
        <v>4.0</v>
      </c>
      <c r="Q24" s="35" t="s">
        <v>53</v>
      </c>
      <c r="R24" s="35">
        <v>0.0</v>
      </c>
      <c r="S24" s="35" t="s">
        <v>53</v>
      </c>
      <c r="T24" s="35">
        <v>0.0</v>
      </c>
      <c r="U24" s="35">
        <v>0.0</v>
      </c>
      <c r="V24" s="35">
        <v>0.0</v>
      </c>
      <c r="W24" s="35" t="s">
        <v>53</v>
      </c>
      <c r="X24" s="35">
        <v>0.0</v>
      </c>
      <c r="Y24" s="35" t="s">
        <v>53</v>
      </c>
      <c r="Z24" s="35" t="s">
        <v>350</v>
      </c>
      <c r="AA24" s="58" t="s">
        <v>351</v>
      </c>
      <c r="AB24" s="58" t="b">
        <v>1</v>
      </c>
      <c r="AC24" s="35" t="s">
        <v>56</v>
      </c>
      <c r="AD24" s="35" t="s">
        <v>57</v>
      </c>
      <c r="AE24" s="35">
        <v>0.71</v>
      </c>
      <c r="AF24" s="35" t="s">
        <v>58</v>
      </c>
      <c r="AG24" s="35" t="s">
        <v>559</v>
      </c>
      <c r="AH24" s="35" t="s">
        <v>60</v>
      </c>
      <c r="AI24" s="35" t="s">
        <v>61</v>
      </c>
      <c r="AJ24" s="35" t="s">
        <v>62</v>
      </c>
      <c r="AK24" s="35" t="s">
        <v>1140</v>
      </c>
      <c r="AL24" s="58" t="s">
        <v>164</v>
      </c>
      <c r="AM24" s="58" t="s">
        <v>65</v>
      </c>
      <c r="AN24" s="58" t="s">
        <v>1156</v>
      </c>
      <c r="AO24" s="56" t="s">
        <v>1142</v>
      </c>
    </row>
    <row r="25" ht="15.0" customHeight="1">
      <c r="A25" s="57">
        <v>31.0</v>
      </c>
      <c r="B25" s="35" t="s">
        <v>352</v>
      </c>
      <c r="C25" s="35" t="s">
        <v>353</v>
      </c>
      <c r="D25" s="35" t="s">
        <v>354</v>
      </c>
      <c r="E25" s="35" t="s">
        <v>355</v>
      </c>
      <c r="F25" s="35" t="s">
        <v>356</v>
      </c>
      <c r="G25" s="22" t="s">
        <v>357</v>
      </c>
      <c r="H25" s="35" t="s">
        <v>358</v>
      </c>
      <c r="I25" s="35" t="s">
        <v>359</v>
      </c>
      <c r="J25" s="35" t="s">
        <v>360</v>
      </c>
      <c r="K25" s="35" t="s">
        <v>361</v>
      </c>
      <c r="L25" s="35">
        <v>0.3333333333333333</v>
      </c>
      <c r="M25" s="35">
        <v>0.9</v>
      </c>
      <c r="N25" s="35">
        <v>0.020876826722338204</v>
      </c>
      <c r="O25" s="35">
        <v>0.0</v>
      </c>
      <c r="P25" s="35">
        <v>13.0</v>
      </c>
      <c r="Q25" s="35" t="s">
        <v>362</v>
      </c>
      <c r="R25" s="35">
        <v>1.0</v>
      </c>
      <c r="S25" s="35" t="s">
        <v>363</v>
      </c>
      <c r="T25" s="35">
        <v>1.0</v>
      </c>
      <c r="U25" s="35">
        <v>1.0</v>
      </c>
      <c r="V25" s="35">
        <v>0.0</v>
      </c>
      <c r="W25" s="35" t="s">
        <v>53</v>
      </c>
      <c r="X25" s="35">
        <v>0.0</v>
      </c>
      <c r="Y25" s="35" t="s">
        <v>53</v>
      </c>
      <c r="Z25" s="35" t="s">
        <v>364</v>
      </c>
      <c r="AA25" s="58" t="s">
        <v>365</v>
      </c>
      <c r="AB25" s="58" t="b">
        <v>1</v>
      </c>
      <c r="AC25" s="35" t="s">
        <v>57</v>
      </c>
      <c r="AD25" s="35" t="s">
        <v>1143</v>
      </c>
      <c r="AE25" s="35">
        <v>0.5</v>
      </c>
      <c r="AF25" s="35" t="s">
        <v>58</v>
      </c>
      <c r="AG25" s="35" t="s">
        <v>162</v>
      </c>
      <c r="AH25" s="35" t="s">
        <v>209</v>
      </c>
      <c r="AI25" s="35" t="s">
        <v>374</v>
      </c>
      <c r="AJ25" s="35" t="s">
        <v>62</v>
      </c>
      <c r="AK25" s="35" t="s">
        <v>1154</v>
      </c>
      <c r="AL25" s="58" t="s">
        <v>164</v>
      </c>
      <c r="AM25" s="58" t="s">
        <v>65</v>
      </c>
      <c r="AN25" s="58" t="s">
        <v>1152</v>
      </c>
      <c r="AO25" s="56" t="s">
        <v>6870</v>
      </c>
    </row>
    <row r="26" ht="15.0" customHeight="1">
      <c r="A26" s="57">
        <v>32.0</v>
      </c>
      <c r="B26" s="35" t="s">
        <v>352</v>
      </c>
      <c r="C26" s="35" t="s">
        <v>353</v>
      </c>
      <c r="D26" s="35" t="s">
        <v>354</v>
      </c>
      <c r="E26" s="35" t="s">
        <v>366</v>
      </c>
      <c r="F26" s="35" t="s">
        <v>367</v>
      </c>
      <c r="G26" s="22" t="s">
        <v>368</v>
      </c>
      <c r="H26" s="35" t="s">
        <v>369</v>
      </c>
      <c r="I26" s="35" t="s">
        <v>370</v>
      </c>
      <c r="J26" s="35" t="s">
        <v>371</v>
      </c>
      <c r="K26" s="35" t="s">
        <v>372</v>
      </c>
      <c r="L26" s="35">
        <v>0.5</v>
      </c>
      <c r="M26" s="35">
        <v>0.3333333333333333</v>
      </c>
      <c r="N26" s="35">
        <v>0.01639344262295082</v>
      </c>
      <c r="O26" s="35">
        <v>0.0</v>
      </c>
      <c r="P26" s="35">
        <v>13.0</v>
      </c>
      <c r="Q26" s="35" t="s">
        <v>373</v>
      </c>
      <c r="R26" s="35">
        <v>1.0</v>
      </c>
      <c r="S26" s="35" t="s">
        <v>363</v>
      </c>
      <c r="T26" s="35">
        <v>1.0</v>
      </c>
      <c r="U26" s="35">
        <v>1.0</v>
      </c>
      <c r="V26" s="35">
        <v>0.0</v>
      </c>
      <c r="W26" s="35" t="s">
        <v>53</v>
      </c>
      <c r="X26" s="35">
        <v>0.0</v>
      </c>
      <c r="Y26" s="35" t="s">
        <v>53</v>
      </c>
      <c r="Z26" s="35" t="s">
        <v>364</v>
      </c>
      <c r="AA26" s="58" t="s">
        <v>365</v>
      </c>
      <c r="AB26" s="58" t="b">
        <v>1</v>
      </c>
      <c r="AC26" s="35" t="s">
        <v>1143</v>
      </c>
      <c r="AD26" s="35" t="s">
        <v>57</v>
      </c>
      <c r="AE26" s="35">
        <v>0.6</v>
      </c>
      <c r="AF26" s="35" t="s">
        <v>162</v>
      </c>
      <c r="AG26" s="35" t="s">
        <v>162</v>
      </c>
      <c r="AH26" s="35" t="s">
        <v>60</v>
      </c>
      <c r="AI26" s="35" t="s">
        <v>374</v>
      </c>
      <c r="AJ26" s="35" t="s">
        <v>62</v>
      </c>
      <c r="AK26" s="35" t="s">
        <v>1140</v>
      </c>
      <c r="AL26" s="58" t="s">
        <v>64</v>
      </c>
      <c r="AM26" s="58" t="s">
        <v>65</v>
      </c>
      <c r="AN26" s="58" t="s">
        <v>1152</v>
      </c>
      <c r="AO26" s="56" t="s">
        <v>6870</v>
      </c>
    </row>
    <row r="27" ht="15.0" customHeight="1">
      <c r="A27" s="57">
        <v>33.0</v>
      </c>
      <c r="B27" s="35" t="s">
        <v>352</v>
      </c>
      <c r="C27" s="35" t="s">
        <v>353</v>
      </c>
      <c r="D27" s="35" t="s">
        <v>354</v>
      </c>
      <c r="E27" s="35" t="s">
        <v>375</v>
      </c>
      <c r="F27" s="35" t="s">
        <v>376</v>
      </c>
      <c r="G27" s="22" t="s">
        <v>377</v>
      </c>
      <c r="H27" s="35" t="s">
        <v>378</v>
      </c>
      <c r="I27" s="35" t="s">
        <v>379</v>
      </c>
      <c r="J27" s="35" t="s">
        <v>380</v>
      </c>
      <c r="K27" s="35" t="s">
        <v>381</v>
      </c>
      <c r="L27" s="35">
        <v>0.3333333333333333</v>
      </c>
      <c r="M27" s="35">
        <v>0.5</v>
      </c>
      <c r="N27" s="35">
        <v>0.017316017316017316</v>
      </c>
      <c r="O27" s="35">
        <v>0.0</v>
      </c>
      <c r="P27" s="35">
        <v>13.0</v>
      </c>
      <c r="Q27" s="35" t="s">
        <v>382</v>
      </c>
      <c r="R27" s="35">
        <v>1.0</v>
      </c>
      <c r="S27" s="35" t="s">
        <v>382</v>
      </c>
      <c r="T27" s="35">
        <v>1.0</v>
      </c>
      <c r="U27" s="35">
        <v>1.0</v>
      </c>
      <c r="V27" s="35">
        <v>0.0</v>
      </c>
      <c r="W27" s="35" t="s">
        <v>53</v>
      </c>
      <c r="X27" s="35">
        <v>0.0</v>
      </c>
      <c r="Y27" s="35" t="s">
        <v>53</v>
      </c>
      <c r="Z27" s="35" t="s">
        <v>364</v>
      </c>
      <c r="AA27" s="58" t="s">
        <v>365</v>
      </c>
      <c r="AB27" s="58" t="b">
        <v>1</v>
      </c>
      <c r="AC27" s="35" t="s">
        <v>1143</v>
      </c>
      <c r="AD27" s="35" t="s">
        <v>57</v>
      </c>
      <c r="AE27" s="35">
        <v>0.5</v>
      </c>
      <c r="AF27" s="35" t="s">
        <v>162</v>
      </c>
      <c r="AG27" s="35" t="s">
        <v>162</v>
      </c>
      <c r="AH27" s="35" t="s">
        <v>60</v>
      </c>
      <c r="AI27" s="35" t="s">
        <v>374</v>
      </c>
      <c r="AJ27" s="35" t="s">
        <v>62</v>
      </c>
      <c r="AK27" s="35" t="s">
        <v>1140</v>
      </c>
      <c r="AL27" s="58" t="s">
        <v>64</v>
      </c>
      <c r="AM27" s="58" t="s">
        <v>65</v>
      </c>
      <c r="AN27" s="58" t="s">
        <v>1152</v>
      </c>
      <c r="AO27" s="56" t="s">
        <v>6870</v>
      </c>
    </row>
    <row r="28" ht="15.0" customHeight="1">
      <c r="A28" s="57">
        <v>34.0</v>
      </c>
      <c r="B28" s="35" t="s">
        <v>352</v>
      </c>
      <c r="C28" s="35" t="s">
        <v>383</v>
      </c>
      <c r="D28" s="35" t="s">
        <v>384</v>
      </c>
      <c r="E28" s="35" t="s">
        <v>385</v>
      </c>
      <c r="F28" s="35" t="s">
        <v>386</v>
      </c>
      <c r="G28" s="22" t="s">
        <v>387</v>
      </c>
      <c r="H28" s="35" t="s">
        <v>388</v>
      </c>
      <c r="I28" s="35" t="s">
        <v>389</v>
      </c>
      <c r="J28" s="35" t="s">
        <v>390</v>
      </c>
      <c r="K28" s="35" t="s">
        <v>391</v>
      </c>
      <c r="L28" s="35">
        <v>0.75</v>
      </c>
      <c r="M28" s="35">
        <v>0.2857142857142857</v>
      </c>
      <c r="N28" s="35">
        <v>0.00974025974025974</v>
      </c>
      <c r="O28" s="35">
        <v>0.0</v>
      </c>
      <c r="P28" s="35">
        <v>16.0</v>
      </c>
      <c r="Q28" s="35" t="s">
        <v>392</v>
      </c>
      <c r="R28" s="35">
        <v>1.0</v>
      </c>
      <c r="S28" s="35" t="s">
        <v>393</v>
      </c>
      <c r="T28" s="35">
        <v>0.0</v>
      </c>
      <c r="U28" s="35">
        <v>0.0</v>
      </c>
      <c r="V28" s="35">
        <v>0.0</v>
      </c>
      <c r="W28" s="35" t="s">
        <v>53</v>
      </c>
      <c r="X28" s="35">
        <v>1.0</v>
      </c>
      <c r="Y28" s="35" t="s">
        <v>394</v>
      </c>
      <c r="Z28" s="35" t="s">
        <v>395</v>
      </c>
      <c r="AA28" s="58" t="s">
        <v>365</v>
      </c>
      <c r="AB28" s="58" t="b">
        <v>1</v>
      </c>
      <c r="AC28" s="35" t="s">
        <v>57</v>
      </c>
      <c r="AD28" s="35" t="s">
        <v>1144</v>
      </c>
      <c r="AE28" s="35">
        <v>0.5</v>
      </c>
      <c r="AF28" s="35" t="s">
        <v>58</v>
      </c>
      <c r="AG28" s="35" t="s">
        <v>162</v>
      </c>
      <c r="AH28" s="35" t="s">
        <v>209</v>
      </c>
      <c r="AI28" s="35" t="s">
        <v>374</v>
      </c>
      <c r="AJ28" s="35" t="s">
        <v>62</v>
      </c>
      <c r="AK28" s="35" t="s">
        <v>1140</v>
      </c>
      <c r="AL28" s="58" t="s">
        <v>164</v>
      </c>
      <c r="AM28" s="58" t="s">
        <v>65</v>
      </c>
      <c r="AN28" s="58" t="s">
        <v>1152</v>
      </c>
      <c r="AO28" s="56" t="s">
        <v>6871</v>
      </c>
    </row>
    <row r="29" ht="15.0" customHeight="1">
      <c r="A29" s="57">
        <v>35.0</v>
      </c>
      <c r="B29" s="35" t="s">
        <v>352</v>
      </c>
      <c r="C29" s="35" t="s">
        <v>396</v>
      </c>
      <c r="D29" s="35" t="s">
        <v>383</v>
      </c>
      <c r="E29" s="35" t="s">
        <v>372</v>
      </c>
      <c r="F29" s="35" t="s">
        <v>371</v>
      </c>
      <c r="G29" s="22" t="s">
        <v>397</v>
      </c>
      <c r="H29" s="35" t="s">
        <v>398</v>
      </c>
      <c r="I29" s="35" t="s">
        <v>399</v>
      </c>
      <c r="J29" s="35" t="s">
        <v>400</v>
      </c>
      <c r="K29" s="35" t="s">
        <v>401</v>
      </c>
      <c r="L29" s="35">
        <v>0.5</v>
      </c>
      <c r="M29" s="35">
        <v>0.3333333333333333</v>
      </c>
      <c r="N29" s="35">
        <v>0.012295081967213115</v>
      </c>
      <c r="O29" s="35">
        <v>0.0</v>
      </c>
      <c r="P29" s="35">
        <v>15.0</v>
      </c>
      <c r="Q29" s="35" t="s">
        <v>402</v>
      </c>
      <c r="R29" s="35">
        <v>1.0</v>
      </c>
      <c r="S29" s="35" t="s">
        <v>403</v>
      </c>
      <c r="T29" s="35">
        <v>1.0</v>
      </c>
      <c r="U29" s="35">
        <v>1.0</v>
      </c>
      <c r="V29" s="35">
        <v>0.0</v>
      </c>
      <c r="W29" s="35" t="s">
        <v>53</v>
      </c>
      <c r="X29" s="35">
        <v>0.0</v>
      </c>
      <c r="Y29" s="35" t="s">
        <v>53</v>
      </c>
      <c r="Z29" s="35" t="s">
        <v>404</v>
      </c>
      <c r="AA29" s="58" t="s">
        <v>365</v>
      </c>
      <c r="AB29" s="58" t="b">
        <v>1</v>
      </c>
      <c r="AC29" s="35" t="s">
        <v>1143</v>
      </c>
      <c r="AD29" s="35" t="s">
        <v>57</v>
      </c>
      <c r="AE29" s="35">
        <v>0.6</v>
      </c>
      <c r="AF29" s="35" t="s">
        <v>162</v>
      </c>
      <c r="AG29" s="35" t="s">
        <v>162</v>
      </c>
      <c r="AH29" s="35" t="s">
        <v>60</v>
      </c>
      <c r="AI29" s="35" t="s">
        <v>374</v>
      </c>
      <c r="AJ29" s="35" t="s">
        <v>62</v>
      </c>
      <c r="AK29" s="35" t="s">
        <v>1140</v>
      </c>
      <c r="AL29" s="58" t="s">
        <v>64</v>
      </c>
      <c r="AM29" s="58" t="s">
        <v>65</v>
      </c>
      <c r="AN29" s="58" t="s">
        <v>1152</v>
      </c>
      <c r="AO29" s="56" t="s">
        <v>6870</v>
      </c>
    </row>
    <row r="30" ht="15.0" customHeight="1">
      <c r="A30" s="57">
        <v>36.0</v>
      </c>
      <c r="B30" s="35" t="s">
        <v>352</v>
      </c>
      <c r="C30" s="35" t="s">
        <v>396</v>
      </c>
      <c r="D30" s="35" t="s">
        <v>383</v>
      </c>
      <c r="E30" s="35" t="s">
        <v>381</v>
      </c>
      <c r="F30" s="35" t="s">
        <v>380</v>
      </c>
      <c r="G30" s="22" t="s">
        <v>405</v>
      </c>
      <c r="H30" s="35" t="s">
        <v>406</v>
      </c>
      <c r="I30" s="35" t="s">
        <v>407</v>
      </c>
      <c r="J30" s="35" t="s">
        <v>408</v>
      </c>
      <c r="K30" s="35" t="s">
        <v>409</v>
      </c>
      <c r="L30" s="35">
        <v>0.3333333333333333</v>
      </c>
      <c r="M30" s="35">
        <v>0.5</v>
      </c>
      <c r="N30" s="35">
        <v>0.012987012987012988</v>
      </c>
      <c r="O30" s="35">
        <v>0.0</v>
      </c>
      <c r="P30" s="35">
        <v>15.0</v>
      </c>
      <c r="Q30" s="35" t="s">
        <v>410</v>
      </c>
      <c r="R30" s="35">
        <v>1.0</v>
      </c>
      <c r="S30" s="35" t="s">
        <v>410</v>
      </c>
      <c r="T30" s="35">
        <v>1.0</v>
      </c>
      <c r="U30" s="35">
        <v>1.0</v>
      </c>
      <c r="V30" s="35">
        <v>0.0</v>
      </c>
      <c r="W30" s="35" t="s">
        <v>53</v>
      </c>
      <c r="X30" s="35">
        <v>0.0</v>
      </c>
      <c r="Y30" s="35" t="s">
        <v>53</v>
      </c>
      <c r="Z30" s="35" t="s">
        <v>404</v>
      </c>
      <c r="AA30" s="58" t="s">
        <v>365</v>
      </c>
      <c r="AB30" s="58" t="b">
        <v>1</v>
      </c>
      <c r="AC30" s="35" t="s">
        <v>1143</v>
      </c>
      <c r="AD30" s="35" t="s">
        <v>57</v>
      </c>
      <c r="AE30" s="35">
        <v>0.5</v>
      </c>
      <c r="AF30" s="35" t="s">
        <v>162</v>
      </c>
      <c r="AG30" s="35" t="s">
        <v>162</v>
      </c>
      <c r="AH30" s="35" t="s">
        <v>60</v>
      </c>
      <c r="AI30" s="35" t="s">
        <v>374</v>
      </c>
      <c r="AJ30" s="35" t="s">
        <v>62</v>
      </c>
      <c r="AK30" s="35" t="s">
        <v>1140</v>
      </c>
      <c r="AL30" s="58" t="s">
        <v>64</v>
      </c>
      <c r="AM30" s="58" t="s">
        <v>65</v>
      </c>
      <c r="AN30" s="58" t="s">
        <v>1152</v>
      </c>
      <c r="AO30" s="56" t="s">
        <v>6870</v>
      </c>
    </row>
    <row r="31" ht="15.0" customHeight="1">
      <c r="A31" s="57">
        <v>37.0</v>
      </c>
      <c r="B31" s="35" t="s">
        <v>411</v>
      </c>
      <c r="C31" s="35" t="s">
        <v>412</v>
      </c>
      <c r="D31" s="35" t="s">
        <v>413</v>
      </c>
      <c r="E31" s="35" t="s">
        <v>414</v>
      </c>
      <c r="F31" s="35" t="s">
        <v>415</v>
      </c>
      <c r="G31" s="22" t="s">
        <v>416</v>
      </c>
      <c r="H31" s="35" t="s">
        <v>417</v>
      </c>
      <c r="I31" s="35" t="s">
        <v>418</v>
      </c>
      <c r="J31" s="35" t="s">
        <v>419</v>
      </c>
      <c r="K31" s="35" t="s">
        <v>420</v>
      </c>
      <c r="L31" s="35">
        <v>1.0</v>
      </c>
      <c r="M31" s="35">
        <v>0.0</v>
      </c>
      <c r="N31" s="35">
        <v>0.21379310344827587</v>
      </c>
      <c r="O31" s="35">
        <v>7.0</v>
      </c>
      <c r="P31" s="35">
        <v>72.0</v>
      </c>
      <c r="Q31" s="35" t="s">
        <v>53</v>
      </c>
      <c r="R31" s="35">
        <v>0.0</v>
      </c>
      <c r="S31" s="35" t="s">
        <v>53</v>
      </c>
      <c r="T31" s="35">
        <v>0.0</v>
      </c>
      <c r="U31" s="35">
        <v>0.0</v>
      </c>
      <c r="V31" s="35">
        <v>0.0</v>
      </c>
      <c r="W31" s="35" t="s">
        <v>53</v>
      </c>
      <c r="X31" s="35">
        <v>0.0</v>
      </c>
      <c r="Y31" s="35" t="s">
        <v>53</v>
      </c>
      <c r="Z31" s="35" t="s">
        <v>421</v>
      </c>
      <c r="AA31" s="58" t="s">
        <v>422</v>
      </c>
      <c r="AB31" s="58" t="b">
        <v>1</v>
      </c>
      <c r="AC31" s="35" t="s">
        <v>77</v>
      </c>
      <c r="AD31" s="35" t="s">
        <v>57</v>
      </c>
      <c r="AE31" s="35">
        <v>0.4</v>
      </c>
      <c r="AF31" s="35" t="s">
        <v>58</v>
      </c>
      <c r="AG31" s="35" t="s">
        <v>59</v>
      </c>
      <c r="AH31" s="35" t="s">
        <v>60</v>
      </c>
      <c r="AI31" s="35" t="s">
        <v>61</v>
      </c>
      <c r="AJ31" s="35" t="s">
        <v>62</v>
      </c>
      <c r="AK31" s="35" t="s">
        <v>1140</v>
      </c>
      <c r="AL31" s="58" t="s">
        <v>64</v>
      </c>
      <c r="AM31" s="61" t="s">
        <v>1141</v>
      </c>
      <c r="AN31" s="50" t="s">
        <v>1150</v>
      </c>
      <c r="AO31" s="56" t="s">
        <v>1142</v>
      </c>
    </row>
    <row r="32" ht="15.0" customHeight="1">
      <c r="A32" s="57">
        <v>38.0</v>
      </c>
      <c r="B32" s="35" t="s">
        <v>411</v>
      </c>
      <c r="C32" s="35" t="s">
        <v>423</v>
      </c>
      <c r="D32" s="35" t="s">
        <v>424</v>
      </c>
      <c r="E32" s="35" t="s">
        <v>425</v>
      </c>
      <c r="F32" s="35" t="s">
        <v>426</v>
      </c>
      <c r="G32" s="22" t="s">
        <v>427</v>
      </c>
      <c r="H32" s="35" t="s">
        <v>428</v>
      </c>
      <c r="I32" s="35" t="s">
        <v>429</v>
      </c>
      <c r="J32" s="35" t="s">
        <v>430</v>
      </c>
      <c r="K32" s="35" t="s">
        <v>431</v>
      </c>
      <c r="L32" s="35">
        <v>1.0</v>
      </c>
      <c r="M32" s="35">
        <v>0.0</v>
      </c>
      <c r="N32" s="35">
        <v>0.0078125</v>
      </c>
      <c r="O32" s="35">
        <v>0.0</v>
      </c>
      <c r="P32" s="35">
        <v>74.0</v>
      </c>
      <c r="Q32" s="35" t="s">
        <v>53</v>
      </c>
      <c r="R32" s="35">
        <v>0.0</v>
      </c>
      <c r="S32" s="35" t="s">
        <v>53</v>
      </c>
      <c r="T32" s="35">
        <v>0.0</v>
      </c>
      <c r="U32" s="35">
        <v>0.0</v>
      </c>
      <c r="V32" s="35">
        <v>0.0</v>
      </c>
      <c r="W32" s="35" t="s">
        <v>53</v>
      </c>
      <c r="X32" s="35">
        <v>0.0</v>
      </c>
      <c r="Y32" s="35" t="s">
        <v>53</v>
      </c>
      <c r="Z32" s="35" t="s">
        <v>432</v>
      </c>
      <c r="AA32" s="58" t="s">
        <v>422</v>
      </c>
      <c r="AB32" s="58" t="b">
        <v>1</v>
      </c>
      <c r="AC32" s="35" t="s">
        <v>57</v>
      </c>
      <c r="AD32" s="35" t="s">
        <v>57</v>
      </c>
      <c r="AE32" s="35">
        <v>0.75</v>
      </c>
      <c r="AF32" s="35" t="s">
        <v>58</v>
      </c>
      <c r="AG32" s="35" t="s">
        <v>559</v>
      </c>
      <c r="AH32" s="35" t="s">
        <v>60</v>
      </c>
      <c r="AI32" s="35" t="s">
        <v>61</v>
      </c>
      <c r="AJ32" s="35" t="s">
        <v>62</v>
      </c>
      <c r="AK32" s="35" t="s">
        <v>1140</v>
      </c>
      <c r="AL32" s="58" t="s">
        <v>64</v>
      </c>
      <c r="AM32" s="58" t="s">
        <v>65</v>
      </c>
      <c r="AN32" s="58" t="s">
        <v>1152</v>
      </c>
      <c r="AO32" s="56" t="s">
        <v>1142</v>
      </c>
    </row>
    <row r="33" ht="15.0" customHeight="1">
      <c r="A33" s="57">
        <v>39.0</v>
      </c>
      <c r="B33" s="35" t="s">
        <v>411</v>
      </c>
      <c r="C33" s="35" t="s">
        <v>423</v>
      </c>
      <c r="D33" s="35" t="s">
        <v>424</v>
      </c>
      <c r="E33" s="35" t="s">
        <v>425</v>
      </c>
      <c r="F33" s="35" t="s">
        <v>426</v>
      </c>
      <c r="G33" s="22" t="s">
        <v>433</v>
      </c>
      <c r="H33" s="35" t="s">
        <v>434</v>
      </c>
      <c r="I33" s="35" t="s">
        <v>429</v>
      </c>
      <c r="J33" s="35" t="s">
        <v>435</v>
      </c>
      <c r="K33" s="35" t="s">
        <v>436</v>
      </c>
      <c r="L33" s="35">
        <v>1.0</v>
      </c>
      <c r="M33" s="35">
        <v>0.0</v>
      </c>
      <c r="N33" s="35">
        <v>0.0234375</v>
      </c>
      <c r="O33" s="35">
        <v>0.0</v>
      </c>
      <c r="P33" s="35">
        <v>74.0</v>
      </c>
      <c r="Q33" s="35" t="s">
        <v>53</v>
      </c>
      <c r="R33" s="35">
        <v>0.0</v>
      </c>
      <c r="S33" s="35" t="s">
        <v>53</v>
      </c>
      <c r="T33" s="35">
        <v>0.0</v>
      </c>
      <c r="U33" s="35">
        <v>0.0</v>
      </c>
      <c r="V33" s="35">
        <v>0.0</v>
      </c>
      <c r="W33" s="35" t="s">
        <v>53</v>
      </c>
      <c r="X33" s="35">
        <v>0.0</v>
      </c>
      <c r="Y33" s="35" t="s">
        <v>53</v>
      </c>
      <c r="Z33" s="35" t="s">
        <v>432</v>
      </c>
      <c r="AA33" s="58" t="s">
        <v>422</v>
      </c>
      <c r="AB33" s="58" t="b">
        <v>1</v>
      </c>
      <c r="AC33" s="35" t="s">
        <v>57</v>
      </c>
      <c r="AD33" s="35" t="s">
        <v>57</v>
      </c>
      <c r="AE33" s="35">
        <v>0.75</v>
      </c>
      <c r="AF33" s="35" t="s">
        <v>58</v>
      </c>
      <c r="AG33" s="35" t="s">
        <v>59</v>
      </c>
      <c r="AH33" s="35" t="s">
        <v>60</v>
      </c>
      <c r="AI33" s="35" t="s">
        <v>61</v>
      </c>
      <c r="AJ33" s="35" t="s">
        <v>62</v>
      </c>
      <c r="AK33" s="35" t="s">
        <v>1140</v>
      </c>
      <c r="AL33" s="58" t="s">
        <v>64</v>
      </c>
      <c r="AM33" s="58" t="s">
        <v>65</v>
      </c>
      <c r="AN33" s="58" t="s">
        <v>1152</v>
      </c>
      <c r="AO33" s="56" t="s">
        <v>1142</v>
      </c>
    </row>
    <row r="34" ht="15.0" customHeight="1">
      <c r="A34" s="57">
        <v>40.0</v>
      </c>
      <c r="B34" s="35" t="s">
        <v>411</v>
      </c>
      <c r="C34" s="35" t="s">
        <v>423</v>
      </c>
      <c r="D34" s="35" t="s">
        <v>424</v>
      </c>
      <c r="E34" s="35" t="s">
        <v>425</v>
      </c>
      <c r="F34" s="35" t="s">
        <v>426</v>
      </c>
      <c r="G34" s="22" t="s">
        <v>437</v>
      </c>
      <c r="H34" s="35" t="s">
        <v>438</v>
      </c>
      <c r="I34" s="35" t="s">
        <v>429</v>
      </c>
      <c r="J34" s="35" t="s">
        <v>439</v>
      </c>
      <c r="K34" s="35" t="s">
        <v>440</v>
      </c>
      <c r="L34" s="35">
        <v>1.0</v>
      </c>
      <c r="M34" s="35">
        <v>0.0</v>
      </c>
      <c r="N34" s="35">
        <v>0.031007751937984496</v>
      </c>
      <c r="O34" s="35">
        <v>0.0</v>
      </c>
      <c r="P34" s="35">
        <v>74.0</v>
      </c>
      <c r="Q34" s="35" t="s">
        <v>53</v>
      </c>
      <c r="R34" s="35">
        <v>0.0</v>
      </c>
      <c r="S34" s="35" t="s">
        <v>53</v>
      </c>
      <c r="T34" s="35">
        <v>0.0</v>
      </c>
      <c r="U34" s="35">
        <v>0.0</v>
      </c>
      <c r="V34" s="35">
        <v>0.0</v>
      </c>
      <c r="W34" s="35" t="s">
        <v>53</v>
      </c>
      <c r="X34" s="35">
        <v>0.0</v>
      </c>
      <c r="Y34" s="35" t="s">
        <v>53</v>
      </c>
      <c r="Z34" s="35" t="s">
        <v>432</v>
      </c>
      <c r="AA34" s="58" t="s">
        <v>422</v>
      </c>
      <c r="AB34" s="58" t="b">
        <v>1</v>
      </c>
      <c r="AC34" s="35" t="s">
        <v>57</v>
      </c>
      <c r="AD34" s="35" t="s">
        <v>57</v>
      </c>
      <c r="AE34" s="35">
        <v>0.75</v>
      </c>
      <c r="AF34" s="35" t="s">
        <v>58</v>
      </c>
      <c r="AG34" s="35" t="s">
        <v>59</v>
      </c>
      <c r="AH34" s="35" t="s">
        <v>60</v>
      </c>
      <c r="AI34" s="35" t="s">
        <v>61</v>
      </c>
      <c r="AJ34" s="35" t="s">
        <v>62</v>
      </c>
      <c r="AK34" s="35" t="s">
        <v>1140</v>
      </c>
      <c r="AL34" s="58" t="s">
        <v>64</v>
      </c>
      <c r="AM34" s="58" t="s">
        <v>65</v>
      </c>
      <c r="AN34" s="58" t="s">
        <v>1152</v>
      </c>
      <c r="AO34" s="56" t="s">
        <v>1142</v>
      </c>
    </row>
    <row r="35" ht="15.0" customHeight="1">
      <c r="A35" s="57">
        <v>41.0</v>
      </c>
      <c r="B35" s="35" t="s">
        <v>411</v>
      </c>
      <c r="C35" s="35" t="s">
        <v>423</v>
      </c>
      <c r="D35" s="35" t="s">
        <v>424</v>
      </c>
      <c r="E35" s="35" t="s">
        <v>425</v>
      </c>
      <c r="F35" s="35" t="s">
        <v>426</v>
      </c>
      <c r="G35" s="22" t="s">
        <v>441</v>
      </c>
      <c r="H35" s="35" t="s">
        <v>442</v>
      </c>
      <c r="I35" s="35" t="s">
        <v>429</v>
      </c>
      <c r="J35" s="35" t="s">
        <v>443</v>
      </c>
      <c r="K35" s="35" t="s">
        <v>444</v>
      </c>
      <c r="L35" s="35">
        <v>1.0</v>
      </c>
      <c r="M35" s="35">
        <v>0.0</v>
      </c>
      <c r="N35" s="35">
        <v>0.0234375</v>
      </c>
      <c r="O35" s="35">
        <v>0.0</v>
      </c>
      <c r="P35" s="35">
        <v>74.0</v>
      </c>
      <c r="Q35" s="35" t="s">
        <v>53</v>
      </c>
      <c r="R35" s="35">
        <v>0.0</v>
      </c>
      <c r="S35" s="35" t="s">
        <v>53</v>
      </c>
      <c r="T35" s="35">
        <v>0.0</v>
      </c>
      <c r="U35" s="35">
        <v>0.0</v>
      </c>
      <c r="V35" s="35">
        <v>0.0</v>
      </c>
      <c r="W35" s="35" t="s">
        <v>53</v>
      </c>
      <c r="X35" s="35">
        <v>0.0</v>
      </c>
      <c r="Y35" s="35" t="s">
        <v>53</v>
      </c>
      <c r="Z35" s="35" t="s">
        <v>432</v>
      </c>
      <c r="AA35" s="58" t="s">
        <v>422</v>
      </c>
      <c r="AB35" s="58" t="b">
        <v>1</v>
      </c>
      <c r="AC35" s="35" t="s">
        <v>57</v>
      </c>
      <c r="AD35" s="35" t="s">
        <v>57</v>
      </c>
      <c r="AE35" s="35">
        <v>0.75</v>
      </c>
      <c r="AF35" s="35" t="s">
        <v>58</v>
      </c>
      <c r="AG35" s="35" t="s">
        <v>59</v>
      </c>
      <c r="AH35" s="35" t="s">
        <v>60</v>
      </c>
      <c r="AI35" s="35" t="s">
        <v>61</v>
      </c>
      <c r="AJ35" s="35" t="s">
        <v>62</v>
      </c>
      <c r="AK35" s="35" t="s">
        <v>1140</v>
      </c>
      <c r="AL35" s="58" t="s">
        <v>64</v>
      </c>
      <c r="AM35" s="58" t="s">
        <v>65</v>
      </c>
      <c r="AN35" s="58" t="s">
        <v>1152</v>
      </c>
      <c r="AO35" s="56" t="s">
        <v>1142</v>
      </c>
    </row>
    <row r="36" ht="15.0" customHeight="1">
      <c r="A36" s="57">
        <v>42.0</v>
      </c>
      <c r="B36" s="35" t="s">
        <v>411</v>
      </c>
      <c r="C36" s="35" t="s">
        <v>423</v>
      </c>
      <c r="D36" s="35" t="s">
        <v>424</v>
      </c>
      <c r="E36" s="35" t="s">
        <v>445</v>
      </c>
      <c r="F36" s="35" t="s">
        <v>446</v>
      </c>
      <c r="G36" s="22" t="s">
        <v>447</v>
      </c>
      <c r="H36" s="35" t="s">
        <v>448</v>
      </c>
      <c r="I36" s="35" t="s">
        <v>429</v>
      </c>
      <c r="J36" s="35" t="s">
        <v>449</v>
      </c>
      <c r="K36" s="35" t="s">
        <v>450</v>
      </c>
      <c r="L36" s="35">
        <v>1.0</v>
      </c>
      <c r="M36" s="35">
        <v>0.0</v>
      </c>
      <c r="N36" s="35">
        <v>0.015625</v>
      </c>
      <c r="O36" s="35">
        <v>1.0</v>
      </c>
      <c r="P36" s="35">
        <v>74.0</v>
      </c>
      <c r="Q36" s="35" t="s">
        <v>53</v>
      </c>
      <c r="R36" s="35">
        <v>0.0</v>
      </c>
      <c r="S36" s="35" t="s">
        <v>53</v>
      </c>
      <c r="T36" s="35">
        <v>0.0</v>
      </c>
      <c r="U36" s="35">
        <v>0.0</v>
      </c>
      <c r="V36" s="35">
        <v>0.0</v>
      </c>
      <c r="W36" s="35" t="s">
        <v>53</v>
      </c>
      <c r="X36" s="35">
        <v>0.0</v>
      </c>
      <c r="Y36" s="35" t="s">
        <v>53</v>
      </c>
      <c r="Z36" s="35" t="s">
        <v>432</v>
      </c>
      <c r="AA36" s="58" t="s">
        <v>422</v>
      </c>
      <c r="AB36" s="58" t="b">
        <v>1</v>
      </c>
      <c r="AC36" s="35" t="s">
        <v>57</v>
      </c>
      <c r="AD36" s="35" t="s">
        <v>57</v>
      </c>
      <c r="AE36" s="35">
        <v>0.75</v>
      </c>
      <c r="AF36" s="35" t="s">
        <v>58</v>
      </c>
      <c r="AG36" s="35" t="s">
        <v>559</v>
      </c>
      <c r="AH36" s="35" t="s">
        <v>60</v>
      </c>
      <c r="AI36" s="35" t="s">
        <v>61</v>
      </c>
      <c r="AJ36" s="35" t="s">
        <v>62</v>
      </c>
      <c r="AK36" s="35" t="s">
        <v>1140</v>
      </c>
      <c r="AL36" s="58" t="s">
        <v>64</v>
      </c>
      <c r="AM36" s="58" t="s">
        <v>65</v>
      </c>
      <c r="AN36" s="58" t="s">
        <v>1152</v>
      </c>
      <c r="AO36" s="56" t="s">
        <v>1142</v>
      </c>
    </row>
    <row r="37" ht="15.0" customHeight="1">
      <c r="A37" s="57">
        <v>43.0</v>
      </c>
      <c r="B37" s="35" t="s">
        <v>411</v>
      </c>
      <c r="C37" s="35" t="s">
        <v>423</v>
      </c>
      <c r="D37" s="35" t="s">
        <v>424</v>
      </c>
      <c r="E37" s="35" t="s">
        <v>425</v>
      </c>
      <c r="F37" s="35" t="s">
        <v>426</v>
      </c>
      <c r="G37" s="22" t="s">
        <v>451</v>
      </c>
      <c r="H37" s="35" t="s">
        <v>452</v>
      </c>
      <c r="I37" s="35" t="s">
        <v>429</v>
      </c>
      <c r="J37" s="35" t="s">
        <v>453</v>
      </c>
      <c r="K37" s="35" t="s">
        <v>454</v>
      </c>
      <c r="L37" s="35">
        <v>1.0</v>
      </c>
      <c r="M37" s="35">
        <v>0.0</v>
      </c>
      <c r="N37" s="35">
        <v>0.0234375</v>
      </c>
      <c r="O37" s="35">
        <v>0.0</v>
      </c>
      <c r="P37" s="35">
        <v>74.0</v>
      </c>
      <c r="Q37" s="35" t="s">
        <v>53</v>
      </c>
      <c r="R37" s="35">
        <v>0.0</v>
      </c>
      <c r="S37" s="35" t="s">
        <v>53</v>
      </c>
      <c r="T37" s="35">
        <v>0.0</v>
      </c>
      <c r="U37" s="35">
        <v>0.0</v>
      </c>
      <c r="V37" s="35">
        <v>0.0</v>
      </c>
      <c r="W37" s="35" t="s">
        <v>53</v>
      </c>
      <c r="X37" s="35">
        <v>0.0</v>
      </c>
      <c r="Y37" s="35" t="s">
        <v>53</v>
      </c>
      <c r="Z37" s="35" t="s">
        <v>432</v>
      </c>
      <c r="AA37" s="58" t="s">
        <v>422</v>
      </c>
      <c r="AB37" s="58" t="b">
        <v>1</v>
      </c>
      <c r="AC37" s="35" t="s">
        <v>57</v>
      </c>
      <c r="AD37" s="35" t="s">
        <v>57</v>
      </c>
      <c r="AE37" s="35">
        <v>0.75</v>
      </c>
      <c r="AF37" s="35" t="s">
        <v>58</v>
      </c>
      <c r="AG37" s="35" t="s">
        <v>59</v>
      </c>
      <c r="AH37" s="35" t="s">
        <v>60</v>
      </c>
      <c r="AI37" s="35" t="s">
        <v>61</v>
      </c>
      <c r="AJ37" s="35" t="s">
        <v>62</v>
      </c>
      <c r="AK37" s="35" t="s">
        <v>1140</v>
      </c>
      <c r="AL37" s="58" t="s">
        <v>64</v>
      </c>
      <c r="AM37" s="58" t="s">
        <v>65</v>
      </c>
      <c r="AN37" s="58" t="s">
        <v>1152</v>
      </c>
      <c r="AO37" s="56" t="s">
        <v>1142</v>
      </c>
    </row>
    <row r="38" ht="15.0" customHeight="1">
      <c r="A38" s="57">
        <v>44.0</v>
      </c>
      <c r="B38" s="35" t="s">
        <v>411</v>
      </c>
      <c r="C38" s="35" t="s">
        <v>423</v>
      </c>
      <c r="D38" s="35" t="s">
        <v>424</v>
      </c>
      <c r="E38" s="35" t="s">
        <v>425</v>
      </c>
      <c r="F38" s="35" t="s">
        <v>426</v>
      </c>
      <c r="G38" s="22" t="s">
        <v>455</v>
      </c>
      <c r="H38" s="35" t="s">
        <v>456</v>
      </c>
      <c r="I38" s="35" t="s">
        <v>429</v>
      </c>
      <c r="J38" s="35" t="s">
        <v>457</v>
      </c>
      <c r="K38" s="35" t="s">
        <v>458</v>
      </c>
      <c r="L38" s="35">
        <v>1.0</v>
      </c>
      <c r="M38" s="35">
        <v>0.0</v>
      </c>
      <c r="N38" s="35">
        <v>0.031007751937984496</v>
      </c>
      <c r="O38" s="35">
        <v>0.0</v>
      </c>
      <c r="P38" s="35">
        <v>74.0</v>
      </c>
      <c r="Q38" s="35" t="s">
        <v>53</v>
      </c>
      <c r="R38" s="35">
        <v>0.0</v>
      </c>
      <c r="S38" s="35" t="s">
        <v>53</v>
      </c>
      <c r="T38" s="35">
        <v>0.0</v>
      </c>
      <c r="U38" s="35">
        <v>0.0</v>
      </c>
      <c r="V38" s="35">
        <v>0.0</v>
      </c>
      <c r="W38" s="35" t="s">
        <v>53</v>
      </c>
      <c r="X38" s="35">
        <v>0.0</v>
      </c>
      <c r="Y38" s="35" t="s">
        <v>53</v>
      </c>
      <c r="Z38" s="35" t="s">
        <v>432</v>
      </c>
      <c r="AA38" s="58" t="s">
        <v>422</v>
      </c>
      <c r="AB38" s="58" t="b">
        <v>1</v>
      </c>
      <c r="AC38" s="35" t="s">
        <v>57</v>
      </c>
      <c r="AD38" s="35" t="s">
        <v>57</v>
      </c>
      <c r="AE38" s="35">
        <v>0.75</v>
      </c>
      <c r="AF38" s="35" t="s">
        <v>58</v>
      </c>
      <c r="AG38" s="35" t="s">
        <v>59</v>
      </c>
      <c r="AH38" s="35" t="s">
        <v>60</v>
      </c>
      <c r="AI38" s="35" t="s">
        <v>61</v>
      </c>
      <c r="AJ38" s="35" t="s">
        <v>62</v>
      </c>
      <c r="AK38" s="35" t="s">
        <v>1140</v>
      </c>
      <c r="AL38" s="58" t="s">
        <v>64</v>
      </c>
      <c r="AM38" s="58" t="s">
        <v>65</v>
      </c>
      <c r="AN38" s="58" t="s">
        <v>1152</v>
      </c>
      <c r="AO38" s="56" t="s">
        <v>1142</v>
      </c>
    </row>
    <row r="39" ht="15.0" customHeight="1">
      <c r="A39" s="57">
        <v>45.0</v>
      </c>
      <c r="B39" s="35" t="s">
        <v>411</v>
      </c>
      <c r="C39" s="35" t="s">
        <v>423</v>
      </c>
      <c r="D39" s="35" t="s">
        <v>424</v>
      </c>
      <c r="E39" s="35" t="s">
        <v>425</v>
      </c>
      <c r="F39" s="35" t="s">
        <v>426</v>
      </c>
      <c r="G39" s="22" t="s">
        <v>459</v>
      </c>
      <c r="H39" s="35" t="s">
        <v>460</v>
      </c>
      <c r="I39" s="35" t="s">
        <v>429</v>
      </c>
      <c r="J39" s="35" t="s">
        <v>461</v>
      </c>
      <c r="K39" s="35" t="s">
        <v>462</v>
      </c>
      <c r="L39" s="35">
        <v>1.0</v>
      </c>
      <c r="M39" s="35">
        <v>0.0</v>
      </c>
      <c r="N39" s="35">
        <v>0.038461538461538464</v>
      </c>
      <c r="O39" s="35">
        <v>0.0</v>
      </c>
      <c r="P39" s="35">
        <v>74.0</v>
      </c>
      <c r="Q39" s="35" t="s">
        <v>53</v>
      </c>
      <c r="R39" s="35">
        <v>0.0</v>
      </c>
      <c r="S39" s="35" t="s">
        <v>53</v>
      </c>
      <c r="T39" s="35">
        <v>0.0</v>
      </c>
      <c r="U39" s="35">
        <v>0.0</v>
      </c>
      <c r="V39" s="35">
        <v>0.0</v>
      </c>
      <c r="W39" s="35" t="s">
        <v>53</v>
      </c>
      <c r="X39" s="35">
        <v>0.0</v>
      </c>
      <c r="Y39" s="35" t="s">
        <v>53</v>
      </c>
      <c r="Z39" s="35" t="s">
        <v>432</v>
      </c>
      <c r="AA39" s="58" t="s">
        <v>422</v>
      </c>
      <c r="AB39" s="58" t="b">
        <v>1</v>
      </c>
      <c r="AC39" s="35" t="s">
        <v>57</v>
      </c>
      <c r="AD39" s="35" t="s">
        <v>57</v>
      </c>
      <c r="AE39" s="35">
        <v>0.75</v>
      </c>
      <c r="AF39" s="35" t="s">
        <v>58</v>
      </c>
      <c r="AG39" s="35" t="s">
        <v>59</v>
      </c>
      <c r="AH39" s="35" t="s">
        <v>60</v>
      </c>
      <c r="AI39" s="35" t="s">
        <v>61</v>
      </c>
      <c r="AJ39" s="35" t="s">
        <v>62</v>
      </c>
      <c r="AK39" s="35" t="s">
        <v>1140</v>
      </c>
      <c r="AL39" s="58" t="s">
        <v>64</v>
      </c>
      <c r="AM39" s="58" t="s">
        <v>65</v>
      </c>
      <c r="AN39" s="58" t="s">
        <v>1152</v>
      </c>
      <c r="AO39" s="56" t="s">
        <v>1142</v>
      </c>
    </row>
    <row r="40" ht="15.0" customHeight="1">
      <c r="A40" s="57">
        <v>46.0</v>
      </c>
      <c r="B40" s="35" t="s">
        <v>411</v>
      </c>
      <c r="C40" s="35" t="s">
        <v>423</v>
      </c>
      <c r="D40" s="35" t="s">
        <v>424</v>
      </c>
      <c r="E40" s="35" t="s">
        <v>425</v>
      </c>
      <c r="F40" s="35" t="s">
        <v>426</v>
      </c>
      <c r="G40" s="22" t="s">
        <v>463</v>
      </c>
      <c r="H40" s="35" t="s">
        <v>464</v>
      </c>
      <c r="I40" s="35" t="s">
        <v>429</v>
      </c>
      <c r="J40" s="35" t="s">
        <v>465</v>
      </c>
      <c r="K40" s="35" t="s">
        <v>466</v>
      </c>
      <c r="L40" s="35">
        <v>1.0</v>
      </c>
      <c r="M40" s="35">
        <v>0.0</v>
      </c>
      <c r="N40" s="35">
        <v>0.03076923076923077</v>
      </c>
      <c r="O40" s="35">
        <v>0.0</v>
      </c>
      <c r="P40" s="35">
        <v>74.0</v>
      </c>
      <c r="Q40" s="35" t="s">
        <v>53</v>
      </c>
      <c r="R40" s="35">
        <v>0.0</v>
      </c>
      <c r="S40" s="35" t="s">
        <v>53</v>
      </c>
      <c r="T40" s="35">
        <v>0.0</v>
      </c>
      <c r="U40" s="35">
        <v>0.0</v>
      </c>
      <c r="V40" s="35">
        <v>0.0</v>
      </c>
      <c r="W40" s="35" t="s">
        <v>53</v>
      </c>
      <c r="X40" s="35">
        <v>0.0</v>
      </c>
      <c r="Y40" s="35" t="s">
        <v>53</v>
      </c>
      <c r="Z40" s="35" t="s">
        <v>432</v>
      </c>
      <c r="AA40" s="58" t="s">
        <v>422</v>
      </c>
      <c r="AB40" s="58" t="b">
        <v>1</v>
      </c>
      <c r="AC40" s="35" t="s">
        <v>57</v>
      </c>
      <c r="AD40" s="35" t="s">
        <v>57</v>
      </c>
      <c r="AE40" s="35">
        <v>0.75</v>
      </c>
      <c r="AF40" s="35" t="s">
        <v>58</v>
      </c>
      <c r="AG40" s="35" t="s">
        <v>59</v>
      </c>
      <c r="AH40" s="35" t="s">
        <v>60</v>
      </c>
      <c r="AI40" s="35" t="s">
        <v>61</v>
      </c>
      <c r="AJ40" s="35" t="s">
        <v>62</v>
      </c>
      <c r="AK40" s="35" t="s">
        <v>1140</v>
      </c>
      <c r="AL40" s="58" t="s">
        <v>64</v>
      </c>
      <c r="AM40" s="58" t="s">
        <v>65</v>
      </c>
      <c r="AN40" s="58" t="s">
        <v>1152</v>
      </c>
      <c r="AO40" s="56" t="s">
        <v>1142</v>
      </c>
    </row>
    <row r="41" ht="15.0" customHeight="1">
      <c r="A41" s="57">
        <v>47.0</v>
      </c>
      <c r="B41" s="35" t="s">
        <v>411</v>
      </c>
      <c r="C41" s="35" t="s">
        <v>423</v>
      </c>
      <c r="D41" s="35" t="s">
        <v>424</v>
      </c>
      <c r="E41" s="35" t="s">
        <v>467</v>
      </c>
      <c r="F41" s="35" t="s">
        <v>468</v>
      </c>
      <c r="G41" s="22" t="s">
        <v>469</v>
      </c>
      <c r="H41" s="35" t="s">
        <v>470</v>
      </c>
      <c r="I41" s="35" t="s">
        <v>471</v>
      </c>
      <c r="J41" s="35" t="s">
        <v>472</v>
      </c>
      <c r="K41" s="35" t="s">
        <v>473</v>
      </c>
      <c r="L41" s="35">
        <v>1.0</v>
      </c>
      <c r="M41" s="35">
        <v>0.0</v>
      </c>
      <c r="N41" s="35">
        <v>0.17094017094017094</v>
      </c>
      <c r="O41" s="35">
        <v>10.0</v>
      </c>
      <c r="P41" s="35">
        <v>74.0</v>
      </c>
      <c r="Q41" s="35" t="s">
        <v>53</v>
      </c>
      <c r="R41" s="35">
        <v>0.0</v>
      </c>
      <c r="S41" s="35" t="s">
        <v>53</v>
      </c>
      <c r="T41" s="35">
        <v>0.0</v>
      </c>
      <c r="U41" s="35">
        <v>0.0</v>
      </c>
      <c r="V41" s="35">
        <v>0.0</v>
      </c>
      <c r="W41" s="35" t="s">
        <v>53</v>
      </c>
      <c r="X41" s="35">
        <v>0.0</v>
      </c>
      <c r="Y41" s="35" t="s">
        <v>53</v>
      </c>
      <c r="Z41" s="35" t="s">
        <v>432</v>
      </c>
      <c r="AA41" s="58" t="s">
        <v>422</v>
      </c>
      <c r="AB41" s="58" t="b">
        <v>1</v>
      </c>
      <c r="AC41" s="35" t="s">
        <v>57</v>
      </c>
      <c r="AD41" s="35" t="s">
        <v>57</v>
      </c>
      <c r="AE41" s="35">
        <v>0.2</v>
      </c>
      <c r="AF41" s="35" t="s">
        <v>58</v>
      </c>
      <c r="AG41" s="35" t="s">
        <v>59</v>
      </c>
      <c r="AH41" s="35" t="s">
        <v>60</v>
      </c>
      <c r="AI41" s="35" t="s">
        <v>61</v>
      </c>
      <c r="AJ41" s="35" t="s">
        <v>62</v>
      </c>
      <c r="AK41" s="35" t="s">
        <v>1140</v>
      </c>
      <c r="AL41" s="58" t="s">
        <v>64</v>
      </c>
      <c r="AM41" s="58" t="s">
        <v>65</v>
      </c>
      <c r="AN41" s="58" t="s">
        <v>1152</v>
      </c>
      <c r="AO41" s="56" t="s">
        <v>1142</v>
      </c>
    </row>
    <row r="42" ht="15.0" customHeight="1">
      <c r="A42" s="57">
        <v>48.0</v>
      </c>
      <c r="B42" s="35" t="s">
        <v>411</v>
      </c>
      <c r="C42" s="35" t="s">
        <v>423</v>
      </c>
      <c r="D42" s="35" t="s">
        <v>424</v>
      </c>
      <c r="E42" s="35" t="s">
        <v>474</v>
      </c>
      <c r="F42" s="35" t="s">
        <v>475</v>
      </c>
      <c r="G42" s="22" t="s">
        <v>476</v>
      </c>
      <c r="H42" s="35" t="s">
        <v>477</v>
      </c>
      <c r="I42" s="35" t="s">
        <v>478</v>
      </c>
      <c r="J42" s="35" t="s">
        <v>479</v>
      </c>
      <c r="K42" s="35" t="s">
        <v>480</v>
      </c>
      <c r="L42" s="35">
        <v>1.0</v>
      </c>
      <c r="M42" s="35">
        <v>0.0</v>
      </c>
      <c r="N42" s="35">
        <v>0.26143790849673204</v>
      </c>
      <c r="O42" s="35">
        <v>45.0</v>
      </c>
      <c r="P42" s="35">
        <v>74.0</v>
      </c>
      <c r="Q42" s="35" t="s">
        <v>53</v>
      </c>
      <c r="R42" s="35">
        <v>0.0</v>
      </c>
      <c r="S42" s="35" t="s">
        <v>53</v>
      </c>
      <c r="T42" s="35">
        <v>0.0</v>
      </c>
      <c r="U42" s="35">
        <v>0.0</v>
      </c>
      <c r="V42" s="35">
        <v>0.0</v>
      </c>
      <c r="W42" s="35" t="s">
        <v>53</v>
      </c>
      <c r="X42" s="35">
        <v>0.0</v>
      </c>
      <c r="Y42" s="35" t="s">
        <v>53</v>
      </c>
      <c r="Z42" s="35" t="s">
        <v>432</v>
      </c>
      <c r="AA42" s="58" t="s">
        <v>422</v>
      </c>
      <c r="AB42" s="58" t="b">
        <v>1</v>
      </c>
      <c r="AC42" s="35" t="s">
        <v>57</v>
      </c>
      <c r="AD42" s="35" t="s">
        <v>57</v>
      </c>
      <c r="AE42" s="35">
        <v>0.12</v>
      </c>
      <c r="AF42" s="35" t="s">
        <v>58</v>
      </c>
      <c r="AG42" s="35" t="s">
        <v>59</v>
      </c>
      <c r="AH42" s="35" t="s">
        <v>60</v>
      </c>
      <c r="AI42" s="35" t="s">
        <v>61</v>
      </c>
      <c r="AJ42" s="35" t="s">
        <v>62</v>
      </c>
      <c r="AK42" s="35" t="s">
        <v>1140</v>
      </c>
      <c r="AL42" s="58" t="s">
        <v>64</v>
      </c>
      <c r="AM42" s="58" t="s">
        <v>65</v>
      </c>
      <c r="AN42" s="58" t="s">
        <v>1152</v>
      </c>
      <c r="AO42" s="56" t="s">
        <v>1142</v>
      </c>
    </row>
    <row r="43" ht="15.0" customHeight="1">
      <c r="A43" s="57">
        <v>49.0</v>
      </c>
      <c r="B43" s="35" t="s">
        <v>411</v>
      </c>
      <c r="C43" s="35" t="s">
        <v>423</v>
      </c>
      <c r="D43" s="35" t="s">
        <v>424</v>
      </c>
      <c r="E43" s="35" t="s">
        <v>474</v>
      </c>
      <c r="F43" s="35" t="s">
        <v>475</v>
      </c>
      <c r="G43" s="22" t="s">
        <v>481</v>
      </c>
      <c r="H43" s="35" t="s">
        <v>482</v>
      </c>
      <c r="I43" s="35" t="s">
        <v>478</v>
      </c>
      <c r="J43" s="35" t="s">
        <v>483</v>
      </c>
      <c r="K43" s="35" t="s">
        <v>484</v>
      </c>
      <c r="L43" s="35">
        <v>1.0</v>
      </c>
      <c r="M43" s="35">
        <v>0.0</v>
      </c>
      <c r="N43" s="35">
        <v>0.2565789473684211</v>
      </c>
      <c r="O43" s="35">
        <v>45.0</v>
      </c>
      <c r="P43" s="35">
        <v>74.0</v>
      </c>
      <c r="Q43" s="35" t="s">
        <v>53</v>
      </c>
      <c r="R43" s="35">
        <v>0.0</v>
      </c>
      <c r="S43" s="35" t="s">
        <v>53</v>
      </c>
      <c r="T43" s="35">
        <v>0.0</v>
      </c>
      <c r="U43" s="35">
        <v>0.0</v>
      </c>
      <c r="V43" s="35">
        <v>0.0</v>
      </c>
      <c r="W43" s="35" t="s">
        <v>53</v>
      </c>
      <c r="X43" s="35">
        <v>0.0</v>
      </c>
      <c r="Y43" s="35" t="s">
        <v>53</v>
      </c>
      <c r="Z43" s="35" t="s">
        <v>432</v>
      </c>
      <c r="AA43" s="58" t="s">
        <v>422</v>
      </c>
      <c r="AB43" s="58" t="b">
        <v>1</v>
      </c>
      <c r="AC43" s="35" t="s">
        <v>57</v>
      </c>
      <c r="AD43" s="35" t="s">
        <v>57</v>
      </c>
      <c r="AE43" s="35">
        <v>0.12</v>
      </c>
      <c r="AF43" s="35" t="s">
        <v>58</v>
      </c>
      <c r="AG43" s="35" t="s">
        <v>59</v>
      </c>
      <c r="AH43" s="35" t="s">
        <v>60</v>
      </c>
      <c r="AI43" s="35" t="s">
        <v>61</v>
      </c>
      <c r="AJ43" s="35" t="s">
        <v>62</v>
      </c>
      <c r="AK43" s="35" t="s">
        <v>1140</v>
      </c>
      <c r="AL43" s="58" t="s">
        <v>64</v>
      </c>
      <c r="AM43" s="58" t="s">
        <v>65</v>
      </c>
      <c r="AN43" s="58" t="s">
        <v>1152</v>
      </c>
      <c r="AO43" s="56" t="s">
        <v>1142</v>
      </c>
    </row>
    <row r="44" ht="15.0" customHeight="1">
      <c r="A44" s="57">
        <v>50.0</v>
      </c>
      <c r="B44" s="35" t="s">
        <v>411</v>
      </c>
      <c r="C44" s="35" t="s">
        <v>423</v>
      </c>
      <c r="D44" s="35" t="s">
        <v>424</v>
      </c>
      <c r="E44" s="35" t="s">
        <v>485</v>
      </c>
      <c r="F44" s="35" t="s">
        <v>486</v>
      </c>
      <c r="G44" s="22" t="s">
        <v>487</v>
      </c>
      <c r="H44" s="35" t="s">
        <v>488</v>
      </c>
      <c r="I44" s="35" t="s">
        <v>478</v>
      </c>
      <c r="J44" s="35" t="s">
        <v>489</v>
      </c>
      <c r="K44" s="35" t="s">
        <v>490</v>
      </c>
      <c r="L44" s="35">
        <v>1.0</v>
      </c>
      <c r="M44" s="35">
        <v>0.0</v>
      </c>
      <c r="N44" s="35">
        <v>0.25161290322580643</v>
      </c>
      <c r="O44" s="35">
        <v>44.0</v>
      </c>
      <c r="P44" s="35">
        <v>74.0</v>
      </c>
      <c r="Q44" s="35" t="s">
        <v>53</v>
      </c>
      <c r="R44" s="35">
        <v>0.0</v>
      </c>
      <c r="S44" s="35" t="s">
        <v>53</v>
      </c>
      <c r="T44" s="35">
        <v>0.0</v>
      </c>
      <c r="U44" s="35">
        <v>0.0</v>
      </c>
      <c r="V44" s="35">
        <v>0.0</v>
      </c>
      <c r="W44" s="35" t="s">
        <v>53</v>
      </c>
      <c r="X44" s="35">
        <v>0.0</v>
      </c>
      <c r="Y44" s="35" t="s">
        <v>53</v>
      </c>
      <c r="Z44" s="35" t="s">
        <v>432</v>
      </c>
      <c r="AA44" s="58" t="s">
        <v>422</v>
      </c>
      <c r="AB44" s="58" t="b">
        <v>1</v>
      </c>
      <c r="AC44" s="35" t="s">
        <v>57</v>
      </c>
      <c r="AD44" s="35" t="s">
        <v>57</v>
      </c>
      <c r="AE44" s="35">
        <v>0.12</v>
      </c>
      <c r="AF44" s="35" t="s">
        <v>58</v>
      </c>
      <c r="AG44" s="35" t="s">
        <v>59</v>
      </c>
      <c r="AH44" s="35" t="s">
        <v>60</v>
      </c>
      <c r="AI44" s="35" t="s">
        <v>61</v>
      </c>
      <c r="AJ44" s="35" t="s">
        <v>62</v>
      </c>
      <c r="AK44" s="35" t="s">
        <v>1140</v>
      </c>
      <c r="AL44" s="58" t="s">
        <v>64</v>
      </c>
      <c r="AM44" s="58" t="s">
        <v>65</v>
      </c>
      <c r="AN44" s="58" t="s">
        <v>1152</v>
      </c>
      <c r="AO44" s="56" t="s">
        <v>1142</v>
      </c>
    </row>
    <row r="45" ht="15.0" customHeight="1">
      <c r="A45" s="57">
        <v>51.0</v>
      </c>
      <c r="B45" s="35" t="s">
        <v>411</v>
      </c>
      <c r="C45" s="35" t="s">
        <v>423</v>
      </c>
      <c r="D45" s="35" t="s">
        <v>424</v>
      </c>
      <c r="E45" s="35" t="s">
        <v>485</v>
      </c>
      <c r="F45" s="35" t="s">
        <v>486</v>
      </c>
      <c r="G45" s="22" t="s">
        <v>491</v>
      </c>
      <c r="H45" s="35" t="s">
        <v>492</v>
      </c>
      <c r="I45" s="35" t="s">
        <v>478</v>
      </c>
      <c r="J45" s="35" t="s">
        <v>493</v>
      </c>
      <c r="K45" s="35" t="s">
        <v>494</v>
      </c>
      <c r="L45" s="35">
        <v>1.0</v>
      </c>
      <c r="M45" s="35">
        <v>0.0</v>
      </c>
      <c r="N45" s="35">
        <v>0.24675324675324675</v>
      </c>
      <c r="O45" s="35">
        <v>44.0</v>
      </c>
      <c r="P45" s="35">
        <v>74.0</v>
      </c>
      <c r="Q45" s="35" t="s">
        <v>53</v>
      </c>
      <c r="R45" s="35">
        <v>0.0</v>
      </c>
      <c r="S45" s="35" t="s">
        <v>53</v>
      </c>
      <c r="T45" s="35">
        <v>0.0</v>
      </c>
      <c r="U45" s="35">
        <v>0.0</v>
      </c>
      <c r="V45" s="35">
        <v>0.0</v>
      </c>
      <c r="W45" s="35" t="s">
        <v>53</v>
      </c>
      <c r="X45" s="35">
        <v>0.0</v>
      </c>
      <c r="Y45" s="35" t="s">
        <v>53</v>
      </c>
      <c r="Z45" s="35" t="s">
        <v>432</v>
      </c>
      <c r="AA45" s="58" t="s">
        <v>422</v>
      </c>
      <c r="AB45" s="58" t="b">
        <v>1</v>
      </c>
      <c r="AC45" s="35" t="s">
        <v>57</v>
      </c>
      <c r="AD45" s="35" t="s">
        <v>57</v>
      </c>
      <c r="AE45" s="35">
        <v>0.18</v>
      </c>
      <c r="AF45" s="35" t="s">
        <v>58</v>
      </c>
      <c r="AG45" s="35" t="s">
        <v>59</v>
      </c>
      <c r="AH45" s="35" t="s">
        <v>60</v>
      </c>
      <c r="AI45" s="35" t="s">
        <v>61</v>
      </c>
      <c r="AJ45" s="35" t="s">
        <v>62</v>
      </c>
      <c r="AK45" s="35" t="s">
        <v>1140</v>
      </c>
      <c r="AL45" s="58" t="s">
        <v>64</v>
      </c>
      <c r="AM45" s="58" t="s">
        <v>65</v>
      </c>
      <c r="AN45" s="58" t="s">
        <v>1152</v>
      </c>
      <c r="AO45" s="56" t="s">
        <v>1142</v>
      </c>
    </row>
    <row r="46" ht="15.0" customHeight="1">
      <c r="A46" s="57">
        <v>52.0</v>
      </c>
      <c r="B46" s="35" t="s">
        <v>411</v>
      </c>
      <c r="C46" s="35" t="s">
        <v>423</v>
      </c>
      <c r="D46" s="35" t="s">
        <v>424</v>
      </c>
      <c r="E46" s="35" t="s">
        <v>495</v>
      </c>
      <c r="F46" s="35" t="s">
        <v>496</v>
      </c>
      <c r="G46" s="22" t="s">
        <v>497</v>
      </c>
      <c r="H46" s="35" t="s">
        <v>498</v>
      </c>
      <c r="I46" s="35" t="s">
        <v>478</v>
      </c>
      <c r="J46" s="35" t="s">
        <v>499</v>
      </c>
      <c r="K46" s="35" t="s">
        <v>500</v>
      </c>
      <c r="L46" s="35">
        <v>1.0</v>
      </c>
      <c r="M46" s="35">
        <v>0.0</v>
      </c>
      <c r="N46" s="35">
        <v>0.26490066225165565</v>
      </c>
      <c r="O46" s="35">
        <v>46.0</v>
      </c>
      <c r="P46" s="35">
        <v>74.0</v>
      </c>
      <c r="Q46" s="35" t="s">
        <v>53</v>
      </c>
      <c r="R46" s="35">
        <v>0.0</v>
      </c>
      <c r="S46" s="35" t="s">
        <v>53</v>
      </c>
      <c r="T46" s="35">
        <v>0.0</v>
      </c>
      <c r="U46" s="35">
        <v>0.0</v>
      </c>
      <c r="V46" s="35">
        <v>0.0</v>
      </c>
      <c r="W46" s="35" t="s">
        <v>53</v>
      </c>
      <c r="X46" s="35">
        <v>0.0</v>
      </c>
      <c r="Y46" s="35" t="s">
        <v>53</v>
      </c>
      <c r="Z46" s="35" t="s">
        <v>432</v>
      </c>
      <c r="AA46" s="58" t="s">
        <v>422</v>
      </c>
      <c r="AB46" s="58" t="b">
        <v>1</v>
      </c>
      <c r="AC46" s="35" t="s">
        <v>57</v>
      </c>
      <c r="AD46" s="35" t="s">
        <v>57</v>
      </c>
      <c r="AE46" s="35">
        <v>0.18</v>
      </c>
      <c r="AF46" s="35" t="s">
        <v>58</v>
      </c>
      <c r="AG46" s="35" t="s">
        <v>559</v>
      </c>
      <c r="AH46" s="35" t="s">
        <v>60</v>
      </c>
      <c r="AI46" s="35" t="s">
        <v>61</v>
      </c>
      <c r="AJ46" s="35" t="s">
        <v>62</v>
      </c>
      <c r="AK46" s="35" t="s">
        <v>1140</v>
      </c>
      <c r="AL46" s="58" t="s">
        <v>64</v>
      </c>
      <c r="AM46" s="58" t="s">
        <v>65</v>
      </c>
      <c r="AN46" s="58" t="s">
        <v>1157</v>
      </c>
      <c r="AO46" s="56" t="s">
        <v>1142</v>
      </c>
    </row>
    <row r="47" ht="15.0" customHeight="1">
      <c r="A47" s="57">
        <v>53.0</v>
      </c>
      <c r="B47" s="35" t="s">
        <v>411</v>
      </c>
      <c r="C47" s="35" t="s">
        <v>423</v>
      </c>
      <c r="D47" s="35" t="s">
        <v>424</v>
      </c>
      <c r="E47" s="35" t="s">
        <v>495</v>
      </c>
      <c r="F47" s="35" t="s">
        <v>496</v>
      </c>
      <c r="G47" s="22" t="s">
        <v>501</v>
      </c>
      <c r="H47" s="35" t="s">
        <v>502</v>
      </c>
      <c r="I47" s="35" t="s">
        <v>478</v>
      </c>
      <c r="J47" s="35" t="s">
        <v>503</v>
      </c>
      <c r="K47" s="35" t="s">
        <v>504</v>
      </c>
      <c r="L47" s="35">
        <v>1.0</v>
      </c>
      <c r="M47" s="35">
        <v>0.0</v>
      </c>
      <c r="N47" s="35">
        <v>0.26</v>
      </c>
      <c r="O47" s="35">
        <v>46.0</v>
      </c>
      <c r="P47" s="35">
        <v>74.0</v>
      </c>
      <c r="Q47" s="35" t="s">
        <v>53</v>
      </c>
      <c r="R47" s="35">
        <v>0.0</v>
      </c>
      <c r="S47" s="35" t="s">
        <v>53</v>
      </c>
      <c r="T47" s="35">
        <v>0.0</v>
      </c>
      <c r="U47" s="35">
        <v>0.0</v>
      </c>
      <c r="V47" s="35">
        <v>0.0</v>
      </c>
      <c r="W47" s="35" t="s">
        <v>53</v>
      </c>
      <c r="X47" s="35">
        <v>0.0</v>
      </c>
      <c r="Y47" s="35" t="s">
        <v>53</v>
      </c>
      <c r="Z47" s="35" t="s">
        <v>432</v>
      </c>
      <c r="AA47" s="58" t="s">
        <v>422</v>
      </c>
      <c r="AB47" s="58" t="b">
        <v>1</v>
      </c>
      <c r="AC47" s="35" t="s">
        <v>57</v>
      </c>
      <c r="AD47" s="35" t="s">
        <v>57</v>
      </c>
      <c r="AE47" s="35">
        <v>0.18</v>
      </c>
      <c r="AF47" s="35" t="s">
        <v>58</v>
      </c>
      <c r="AG47" s="35" t="s">
        <v>559</v>
      </c>
      <c r="AH47" s="35" t="s">
        <v>60</v>
      </c>
      <c r="AI47" s="35" t="s">
        <v>61</v>
      </c>
      <c r="AJ47" s="35" t="s">
        <v>62</v>
      </c>
      <c r="AK47" s="35" t="s">
        <v>1140</v>
      </c>
      <c r="AL47" s="58" t="s">
        <v>64</v>
      </c>
      <c r="AM47" s="58" t="s">
        <v>65</v>
      </c>
      <c r="AN47" s="58" t="s">
        <v>1157</v>
      </c>
      <c r="AO47" s="56" t="s">
        <v>1142</v>
      </c>
    </row>
    <row r="48" ht="15.0" customHeight="1">
      <c r="A48" s="57">
        <v>54.0</v>
      </c>
      <c r="B48" s="35" t="s">
        <v>411</v>
      </c>
      <c r="C48" s="35" t="s">
        <v>423</v>
      </c>
      <c r="D48" s="35" t="s">
        <v>424</v>
      </c>
      <c r="E48" s="35" t="s">
        <v>485</v>
      </c>
      <c r="F48" s="35" t="s">
        <v>486</v>
      </c>
      <c r="G48" s="22" t="s">
        <v>505</v>
      </c>
      <c r="H48" s="35" t="s">
        <v>506</v>
      </c>
      <c r="I48" s="35" t="s">
        <v>478</v>
      </c>
      <c r="J48" s="35" t="s">
        <v>507</v>
      </c>
      <c r="K48" s="35" t="s">
        <v>508</v>
      </c>
      <c r="L48" s="35">
        <v>1.0</v>
      </c>
      <c r="M48" s="35">
        <v>0.0</v>
      </c>
      <c r="N48" s="35">
        <v>0.28205128205128205</v>
      </c>
      <c r="O48" s="35">
        <v>44.0</v>
      </c>
      <c r="P48" s="35">
        <v>74.0</v>
      </c>
      <c r="Q48" s="35" t="s">
        <v>53</v>
      </c>
      <c r="R48" s="35">
        <v>0.0</v>
      </c>
      <c r="S48" s="35" t="s">
        <v>53</v>
      </c>
      <c r="T48" s="35">
        <v>0.0</v>
      </c>
      <c r="U48" s="35">
        <v>0.0</v>
      </c>
      <c r="V48" s="35">
        <v>0.0</v>
      </c>
      <c r="W48" s="35" t="s">
        <v>53</v>
      </c>
      <c r="X48" s="35">
        <v>0.0</v>
      </c>
      <c r="Y48" s="35" t="s">
        <v>53</v>
      </c>
      <c r="Z48" s="35" t="s">
        <v>432</v>
      </c>
      <c r="AA48" s="58" t="s">
        <v>422</v>
      </c>
      <c r="AB48" s="58" t="b">
        <v>1</v>
      </c>
      <c r="AC48" s="35" t="s">
        <v>57</v>
      </c>
      <c r="AD48" s="35" t="s">
        <v>57</v>
      </c>
      <c r="AE48" s="35">
        <v>0.18</v>
      </c>
      <c r="AF48" s="35" t="s">
        <v>58</v>
      </c>
      <c r="AG48" s="35" t="s">
        <v>59</v>
      </c>
      <c r="AH48" s="35" t="s">
        <v>60</v>
      </c>
      <c r="AI48" s="35" t="s">
        <v>61</v>
      </c>
      <c r="AJ48" s="35" t="s">
        <v>62</v>
      </c>
      <c r="AK48" s="35" t="s">
        <v>1140</v>
      </c>
      <c r="AL48" s="58" t="s">
        <v>64</v>
      </c>
      <c r="AM48" s="58" t="s">
        <v>65</v>
      </c>
      <c r="AN48" s="58" t="s">
        <v>1152</v>
      </c>
      <c r="AO48" s="56" t="s">
        <v>1142</v>
      </c>
    </row>
    <row r="49" ht="15.0" customHeight="1">
      <c r="A49" s="57">
        <v>55.0</v>
      </c>
      <c r="B49" s="35" t="s">
        <v>411</v>
      </c>
      <c r="C49" s="35" t="s">
        <v>423</v>
      </c>
      <c r="D49" s="35" t="s">
        <v>424</v>
      </c>
      <c r="E49" s="35" t="s">
        <v>509</v>
      </c>
      <c r="F49" s="35" t="s">
        <v>510</v>
      </c>
      <c r="G49" s="22" t="s">
        <v>511</v>
      </c>
      <c r="H49" s="35" t="s">
        <v>512</v>
      </c>
      <c r="I49" s="35" t="s">
        <v>478</v>
      </c>
      <c r="J49" s="35" t="s">
        <v>513</v>
      </c>
      <c r="K49" s="35" t="s">
        <v>514</v>
      </c>
      <c r="L49" s="35">
        <v>1.0</v>
      </c>
      <c r="M49" s="35">
        <v>0.0</v>
      </c>
      <c r="N49" s="35">
        <v>0.2620689655172414</v>
      </c>
      <c r="O49" s="35">
        <v>11.0</v>
      </c>
      <c r="P49" s="35">
        <v>74.0</v>
      </c>
      <c r="Q49" s="35" t="s">
        <v>53</v>
      </c>
      <c r="R49" s="35">
        <v>0.0</v>
      </c>
      <c r="S49" s="35" t="s">
        <v>53</v>
      </c>
      <c r="T49" s="35">
        <v>0.0</v>
      </c>
      <c r="U49" s="35">
        <v>0.0</v>
      </c>
      <c r="V49" s="35">
        <v>0.0</v>
      </c>
      <c r="W49" s="35" t="s">
        <v>53</v>
      </c>
      <c r="X49" s="35">
        <v>0.0</v>
      </c>
      <c r="Y49" s="35" t="s">
        <v>53</v>
      </c>
      <c r="Z49" s="35" t="s">
        <v>432</v>
      </c>
      <c r="AA49" s="58" t="s">
        <v>422</v>
      </c>
      <c r="AB49" s="58" t="b">
        <v>1</v>
      </c>
      <c r="AC49" s="35" t="s">
        <v>57</v>
      </c>
      <c r="AD49" s="35" t="s">
        <v>57</v>
      </c>
      <c r="AE49" s="35">
        <v>0.18</v>
      </c>
      <c r="AF49" s="35" t="s">
        <v>58</v>
      </c>
      <c r="AG49" s="35" t="s">
        <v>59</v>
      </c>
      <c r="AH49" s="35" t="s">
        <v>60</v>
      </c>
      <c r="AI49" s="35" t="s">
        <v>61</v>
      </c>
      <c r="AJ49" s="35" t="s">
        <v>62</v>
      </c>
      <c r="AK49" s="35" t="s">
        <v>1140</v>
      </c>
      <c r="AL49" s="58" t="s">
        <v>64</v>
      </c>
      <c r="AM49" s="58" t="s">
        <v>65</v>
      </c>
      <c r="AN49" s="58" t="s">
        <v>1152</v>
      </c>
      <c r="AO49" s="56" t="s">
        <v>1142</v>
      </c>
    </row>
    <row r="50" ht="15.0" customHeight="1">
      <c r="A50" s="57">
        <v>56.0</v>
      </c>
      <c r="B50" s="35" t="s">
        <v>515</v>
      </c>
      <c r="C50" s="35" t="s">
        <v>516</v>
      </c>
      <c r="D50" s="35" t="s">
        <v>517</v>
      </c>
      <c r="E50" s="35" t="s">
        <v>128</v>
      </c>
      <c r="F50" s="35" t="s">
        <v>518</v>
      </c>
      <c r="G50" s="22" t="s">
        <v>519</v>
      </c>
      <c r="H50" s="35" t="s">
        <v>520</v>
      </c>
      <c r="I50" s="35" t="s">
        <v>132</v>
      </c>
      <c r="J50" s="35" t="s">
        <v>521</v>
      </c>
      <c r="K50" s="35" t="s">
        <v>522</v>
      </c>
      <c r="L50" s="35">
        <v>1.0</v>
      </c>
      <c r="M50" s="35">
        <v>0.0</v>
      </c>
      <c r="N50" s="35">
        <v>0.11153846153846154</v>
      </c>
      <c r="O50" s="35">
        <v>6.0</v>
      </c>
      <c r="P50" s="35">
        <v>7.0</v>
      </c>
      <c r="Q50" s="35" t="s">
        <v>135</v>
      </c>
      <c r="R50" s="35">
        <v>0.0</v>
      </c>
      <c r="S50" s="35" t="s">
        <v>53</v>
      </c>
      <c r="T50" s="35">
        <v>0.0</v>
      </c>
      <c r="U50" s="35">
        <v>0.0</v>
      </c>
      <c r="V50" s="35">
        <v>0.0</v>
      </c>
      <c r="W50" s="35" t="s">
        <v>53</v>
      </c>
      <c r="X50" s="35">
        <v>0.0</v>
      </c>
      <c r="Y50" s="35" t="s">
        <v>53</v>
      </c>
      <c r="Z50" s="35" t="s">
        <v>523</v>
      </c>
      <c r="AA50" s="58" t="s">
        <v>524</v>
      </c>
      <c r="AB50" s="58" t="b">
        <v>1</v>
      </c>
      <c r="AC50" s="35" t="s">
        <v>57</v>
      </c>
      <c r="AD50" s="35" t="s">
        <v>56</v>
      </c>
      <c r="AE50" s="35">
        <v>0.5</v>
      </c>
      <c r="AF50" s="35" t="s">
        <v>162</v>
      </c>
      <c r="AG50" s="35" t="s">
        <v>79</v>
      </c>
      <c r="AH50" s="35" t="s">
        <v>546</v>
      </c>
      <c r="AI50" s="35" t="s">
        <v>61</v>
      </c>
      <c r="AJ50" s="35" t="s">
        <v>62</v>
      </c>
      <c r="AK50" s="35" t="s">
        <v>1140</v>
      </c>
      <c r="AL50" s="58" t="s">
        <v>164</v>
      </c>
      <c r="AM50" s="58" t="s">
        <v>65</v>
      </c>
      <c r="AN50" s="58" t="s">
        <v>1158</v>
      </c>
      <c r="AO50" s="56" t="s">
        <v>1142</v>
      </c>
    </row>
    <row r="51" ht="15.0" customHeight="1">
      <c r="A51" s="57">
        <v>57.0</v>
      </c>
      <c r="B51" s="35" t="s">
        <v>525</v>
      </c>
      <c r="C51" s="35" t="s">
        <v>526</v>
      </c>
      <c r="D51" s="35" t="s">
        <v>517</v>
      </c>
      <c r="E51" s="35" t="s">
        <v>527</v>
      </c>
      <c r="F51" s="35" t="s">
        <v>528</v>
      </c>
      <c r="G51" s="22" t="s">
        <v>529</v>
      </c>
      <c r="H51" s="35" t="s">
        <v>530</v>
      </c>
      <c r="I51" s="35" t="s">
        <v>531</v>
      </c>
      <c r="J51" s="35" t="s">
        <v>532</v>
      </c>
      <c r="K51" s="35" t="s">
        <v>533</v>
      </c>
      <c r="L51" s="35">
        <v>1.0</v>
      </c>
      <c r="M51" s="35">
        <v>0.8888888888888888</v>
      </c>
      <c r="N51" s="35">
        <v>0.8594554819720382</v>
      </c>
      <c r="O51" s="35">
        <v>1.0</v>
      </c>
      <c r="P51" s="35">
        <v>2.0</v>
      </c>
      <c r="Q51" s="35" t="s">
        <v>534</v>
      </c>
      <c r="R51" s="35">
        <v>0.0</v>
      </c>
      <c r="S51" s="35" t="s">
        <v>53</v>
      </c>
      <c r="T51" s="35">
        <v>0.0</v>
      </c>
      <c r="U51" s="35">
        <v>0.0</v>
      </c>
      <c r="V51" s="35">
        <v>0.0</v>
      </c>
      <c r="W51" s="35" t="s">
        <v>53</v>
      </c>
      <c r="X51" s="35">
        <v>3.0</v>
      </c>
      <c r="Y51" s="35" t="s">
        <v>535</v>
      </c>
      <c r="Z51" s="35" t="s">
        <v>536</v>
      </c>
      <c r="AA51" s="58" t="s">
        <v>537</v>
      </c>
      <c r="AB51" s="58" t="b">
        <v>1</v>
      </c>
      <c r="AC51" s="35" t="s">
        <v>57</v>
      </c>
      <c r="AD51" s="35" t="s">
        <v>6872</v>
      </c>
      <c r="AE51" s="35">
        <v>0.14</v>
      </c>
      <c r="AF51" s="35" t="s">
        <v>162</v>
      </c>
      <c r="AG51" s="35" t="s">
        <v>559</v>
      </c>
      <c r="AH51" s="35" t="s">
        <v>60</v>
      </c>
      <c r="AI51" s="35" t="s">
        <v>561</v>
      </c>
      <c r="AJ51" s="35" t="s">
        <v>62</v>
      </c>
      <c r="AK51" s="35" t="s">
        <v>1140</v>
      </c>
      <c r="AL51" s="58" t="s">
        <v>64</v>
      </c>
      <c r="AM51" s="58" t="s">
        <v>65</v>
      </c>
      <c r="AN51" s="58" t="s">
        <v>1150</v>
      </c>
      <c r="AO51" s="56" t="s">
        <v>6873</v>
      </c>
    </row>
    <row r="52" ht="15.0" customHeight="1">
      <c r="A52" s="57">
        <v>59.0</v>
      </c>
      <c r="B52" s="35" t="s">
        <v>229</v>
      </c>
      <c r="C52" s="35" t="s">
        <v>538</v>
      </c>
      <c r="D52" s="35" t="s">
        <v>517</v>
      </c>
      <c r="E52" s="35" t="s">
        <v>242</v>
      </c>
      <c r="F52" s="35" t="s">
        <v>548</v>
      </c>
      <c r="G52" s="22" t="s">
        <v>549</v>
      </c>
      <c r="H52" s="35" t="s">
        <v>550</v>
      </c>
      <c r="I52" s="35" t="s">
        <v>246</v>
      </c>
      <c r="J52" s="35" t="s">
        <v>551</v>
      </c>
      <c r="K52" s="35" t="s">
        <v>248</v>
      </c>
      <c r="L52" s="35">
        <v>1.0</v>
      </c>
      <c r="M52" s="35">
        <v>0.3333333333333333</v>
      </c>
      <c r="N52" s="35">
        <v>0.40878378378378377</v>
      </c>
      <c r="O52" s="35">
        <v>8.0</v>
      </c>
      <c r="P52" s="35">
        <v>15.0</v>
      </c>
      <c r="Q52" s="35" t="s">
        <v>53</v>
      </c>
      <c r="R52" s="35">
        <v>0.0</v>
      </c>
      <c r="S52" s="35" t="s">
        <v>53</v>
      </c>
      <c r="T52" s="35">
        <v>0.0</v>
      </c>
      <c r="U52" s="35">
        <v>0.0</v>
      </c>
      <c r="V52" s="35">
        <v>1.0</v>
      </c>
      <c r="W52" s="35" t="s">
        <v>185</v>
      </c>
      <c r="X52" s="35">
        <v>0.0</v>
      </c>
      <c r="Y52" s="35" t="s">
        <v>53</v>
      </c>
      <c r="Z52" s="35" t="s">
        <v>544</v>
      </c>
      <c r="AA52" s="58" t="s">
        <v>545</v>
      </c>
      <c r="AB52" s="58" t="b">
        <v>1</v>
      </c>
      <c r="AC52" s="35" t="s">
        <v>57</v>
      </c>
      <c r="AD52" s="35" t="s">
        <v>57</v>
      </c>
      <c r="AE52" s="35">
        <v>0.2</v>
      </c>
      <c r="AF52" s="35" t="s">
        <v>559</v>
      </c>
      <c r="AG52" s="35" t="s">
        <v>59</v>
      </c>
      <c r="AH52" s="35" t="s">
        <v>546</v>
      </c>
      <c r="AI52" s="35" t="s">
        <v>249</v>
      </c>
      <c r="AJ52" s="35" t="s">
        <v>62</v>
      </c>
      <c r="AK52" s="35" t="s">
        <v>1154</v>
      </c>
      <c r="AL52" s="58" t="s">
        <v>164</v>
      </c>
      <c r="AM52" s="58" t="s">
        <v>6865</v>
      </c>
      <c r="AN52" s="58" t="s">
        <v>1150</v>
      </c>
      <c r="AO52" s="56" t="s">
        <v>1146</v>
      </c>
    </row>
    <row r="53" ht="15.0" customHeight="1">
      <c r="A53" s="57">
        <v>60.0</v>
      </c>
      <c r="B53" s="35" t="s">
        <v>229</v>
      </c>
      <c r="C53" s="35" t="s">
        <v>538</v>
      </c>
      <c r="D53" s="35" t="s">
        <v>517</v>
      </c>
      <c r="E53" s="35" t="s">
        <v>178</v>
      </c>
      <c r="F53" s="35" t="s">
        <v>552</v>
      </c>
      <c r="G53" s="22" t="s">
        <v>553</v>
      </c>
      <c r="H53" s="35" t="s">
        <v>554</v>
      </c>
      <c r="I53" s="35" t="s">
        <v>253</v>
      </c>
      <c r="J53" s="35" t="s">
        <v>555</v>
      </c>
      <c r="K53" s="35" t="s">
        <v>255</v>
      </c>
      <c r="L53" s="35">
        <v>1.0</v>
      </c>
      <c r="M53" s="35">
        <v>0.2</v>
      </c>
      <c r="N53" s="35">
        <v>0.5444444444444444</v>
      </c>
      <c r="O53" s="35">
        <v>0.0</v>
      </c>
      <c r="P53" s="35">
        <v>15.0</v>
      </c>
      <c r="Q53" s="35" t="s">
        <v>53</v>
      </c>
      <c r="R53" s="35">
        <v>0.0</v>
      </c>
      <c r="S53" s="35" t="s">
        <v>53</v>
      </c>
      <c r="T53" s="35">
        <v>0.0</v>
      </c>
      <c r="U53" s="35">
        <v>0.0</v>
      </c>
      <c r="V53" s="35">
        <v>1.0</v>
      </c>
      <c r="W53" s="35" t="s">
        <v>185</v>
      </c>
      <c r="X53" s="35">
        <v>0.0</v>
      </c>
      <c r="Y53" s="35" t="s">
        <v>53</v>
      </c>
      <c r="Z53" s="35" t="s">
        <v>544</v>
      </c>
      <c r="AA53" s="58" t="s">
        <v>545</v>
      </c>
      <c r="AB53" s="58" t="b">
        <v>1</v>
      </c>
      <c r="AC53" s="35" t="s">
        <v>57</v>
      </c>
      <c r="AD53" s="35" t="s">
        <v>57</v>
      </c>
      <c r="AE53" s="35">
        <v>0.2</v>
      </c>
      <c r="AF53" s="35" t="s">
        <v>559</v>
      </c>
      <c r="AG53" s="35" t="s">
        <v>59</v>
      </c>
      <c r="AH53" s="35" t="s">
        <v>560</v>
      </c>
      <c r="AI53" s="35" t="s">
        <v>249</v>
      </c>
      <c r="AJ53" s="35" t="s">
        <v>62</v>
      </c>
      <c r="AK53" s="35" t="s">
        <v>1154</v>
      </c>
      <c r="AL53" s="58" t="s">
        <v>164</v>
      </c>
      <c r="AM53" s="58" t="s">
        <v>6865</v>
      </c>
      <c r="AN53" s="58" t="s">
        <v>1150</v>
      </c>
      <c r="AO53" s="56" t="s">
        <v>1146</v>
      </c>
    </row>
    <row r="54" ht="15.0" customHeight="1">
      <c r="A54" s="57">
        <v>61.0</v>
      </c>
      <c r="B54" s="35" t="s">
        <v>229</v>
      </c>
      <c r="C54" s="35" t="s">
        <v>538</v>
      </c>
      <c r="D54" s="35" t="s">
        <v>517</v>
      </c>
      <c r="E54" s="35" t="s">
        <v>178</v>
      </c>
      <c r="F54" s="35" t="s">
        <v>552</v>
      </c>
      <c r="G54" s="22" t="s">
        <v>556</v>
      </c>
      <c r="H54" s="35" t="s">
        <v>557</v>
      </c>
      <c r="I54" s="35" t="s">
        <v>182</v>
      </c>
      <c r="J54" s="35" t="s">
        <v>558</v>
      </c>
      <c r="K54" s="35" t="s">
        <v>259</v>
      </c>
      <c r="L54" s="35">
        <v>1.0</v>
      </c>
      <c r="M54" s="35">
        <v>0.5</v>
      </c>
      <c r="N54" s="35">
        <v>0.5774193548387097</v>
      </c>
      <c r="O54" s="35">
        <v>0.0</v>
      </c>
      <c r="P54" s="35">
        <v>15.0</v>
      </c>
      <c r="Q54" s="35" t="s">
        <v>53</v>
      </c>
      <c r="R54" s="35">
        <v>0.0</v>
      </c>
      <c r="S54" s="35" t="s">
        <v>53</v>
      </c>
      <c r="T54" s="35">
        <v>0.0</v>
      </c>
      <c r="U54" s="35">
        <v>0.0</v>
      </c>
      <c r="V54" s="35">
        <v>0.0</v>
      </c>
      <c r="W54" s="35" t="s">
        <v>53</v>
      </c>
      <c r="X54" s="35">
        <v>1.0</v>
      </c>
      <c r="Y54" s="35" t="s">
        <v>185</v>
      </c>
      <c r="Z54" s="35" t="s">
        <v>544</v>
      </c>
      <c r="AA54" s="58" t="s">
        <v>545</v>
      </c>
      <c r="AB54" s="58" t="b">
        <v>1</v>
      </c>
      <c r="AC54" s="35" t="s">
        <v>57</v>
      </c>
      <c r="AD54" s="35" t="s">
        <v>56</v>
      </c>
      <c r="AE54" s="35">
        <v>0.2</v>
      </c>
      <c r="AF54" s="35" t="s">
        <v>559</v>
      </c>
      <c r="AG54" s="35" t="s">
        <v>59</v>
      </c>
      <c r="AH54" s="35" t="s">
        <v>560</v>
      </c>
      <c r="AI54" s="35" t="s">
        <v>561</v>
      </c>
      <c r="AJ54" s="35" t="s">
        <v>62</v>
      </c>
      <c r="AK54" s="35" t="s">
        <v>1140</v>
      </c>
      <c r="AL54" s="58" t="s">
        <v>164</v>
      </c>
      <c r="AM54" s="58" t="s">
        <v>65</v>
      </c>
      <c r="AN54" s="58" t="s">
        <v>1150</v>
      </c>
      <c r="AO54" s="56" t="s">
        <v>6873</v>
      </c>
    </row>
    <row r="55" ht="15.0" customHeight="1">
      <c r="A55" s="57">
        <v>62.0</v>
      </c>
      <c r="B55" s="35" t="s">
        <v>563</v>
      </c>
      <c r="C55" s="35" t="s">
        <v>564</v>
      </c>
      <c r="D55" s="35" t="s">
        <v>565</v>
      </c>
      <c r="E55" s="35" t="s">
        <v>566</v>
      </c>
      <c r="F55" s="35" t="s">
        <v>567</v>
      </c>
      <c r="G55" s="22" t="s">
        <v>568</v>
      </c>
      <c r="H55" s="35" t="s">
        <v>569</v>
      </c>
      <c r="I55" s="35" t="s">
        <v>570</v>
      </c>
      <c r="J55" s="35" t="s">
        <v>571</v>
      </c>
      <c r="K55" s="35" t="s">
        <v>572</v>
      </c>
      <c r="L55" s="35">
        <v>0.3333333333333333</v>
      </c>
      <c r="M55" s="35">
        <v>0.375</v>
      </c>
      <c r="N55" s="35">
        <v>0.0948905109489051</v>
      </c>
      <c r="O55" s="35">
        <v>2.0</v>
      </c>
      <c r="P55" s="35">
        <v>18.0</v>
      </c>
      <c r="Q55" s="35" t="s">
        <v>573</v>
      </c>
      <c r="R55" s="35">
        <v>2.0</v>
      </c>
      <c r="S55" s="35" t="s">
        <v>574</v>
      </c>
      <c r="T55" s="35">
        <v>2.0</v>
      </c>
      <c r="U55" s="35">
        <v>2.0</v>
      </c>
      <c r="V55" s="35">
        <v>0.0</v>
      </c>
      <c r="W55" s="35" t="s">
        <v>53</v>
      </c>
      <c r="X55" s="35">
        <v>0.0</v>
      </c>
      <c r="Y55" s="35" t="s">
        <v>53</v>
      </c>
      <c r="Z55" s="35" t="s">
        <v>575</v>
      </c>
      <c r="AA55" s="58" t="s">
        <v>545</v>
      </c>
      <c r="AB55" s="58" t="b">
        <v>1</v>
      </c>
      <c r="AC55" s="35" t="s">
        <v>57</v>
      </c>
      <c r="AD55" s="35" t="s">
        <v>57</v>
      </c>
      <c r="AE55" s="35">
        <v>0.5</v>
      </c>
      <c r="AF55" s="35" t="s">
        <v>58</v>
      </c>
      <c r="AG55" s="35" t="s">
        <v>559</v>
      </c>
      <c r="AH55" s="35" t="s">
        <v>209</v>
      </c>
      <c r="AI55" s="35" t="s">
        <v>374</v>
      </c>
      <c r="AJ55" s="35" t="s">
        <v>62</v>
      </c>
      <c r="AK55" s="35" t="s">
        <v>1140</v>
      </c>
      <c r="AL55" s="58" t="s">
        <v>587</v>
      </c>
      <c r="AM55" s="58" t="s">
        <v>65</v>
      </c>
      <c r="AN55" s="58" t="s">
        <v>1161</v>
      </c>
      <c r="AO55" s="56" t="s">
        <v>6870</v>
      </c>
    </row>
    <row r="56" ht="15.0" customHeight="1">
      <c r="A56" s="57">
        <v>63.0</v>
      </c>
      <c r="B56" s="35" t="s">
        <v>563</v>
      </c>
      <c r="C56" s="35" t="s">
        <v>576</v>
      </c>
      <c r="D56" s="35" t="s">
        <v>577</v>
      </c>
      <c r="E56" s="35" t="s">
        <v>578</v>
      </c>
      <c r="F56" s="35" t="s">
        <v>579</v>
      </c>
      <c r="G56" s="22" t="s">
        <v>580</v>
      </c>
      <c r="H56" s="35" t="s">
        <v>581</v>
      </c>
      <c r="I56" s="35" t="s">
        <v>582</v>
      </c>
      <c r="J56" s="35" t="s">
        <v>583</v>
      </c>
      <c r="K56" s="35" t="s">
        <v>584</v>
      </c>
      <c r="L56" s="35">
        <v>0.5</v>
      </c>
      <c r="M56" s="35">
        <v>0.3333333333333333</v>
      </c>
      <c r="N56" s="35">
        <v>0.09929078014184398</v>
      </c>
      <c r="O56" s="35">
        <v>3.0</v>
      </c>
      <c r="P56" s="35">
        <v>19.0</v>
      </c>
      <c r="Q56" s="35" t="s">
        <v>573</v>
      </c>
      <c r="R56" s="35">
        <v>1.0</v>
      </c>
      <c r="S56" s="35" t="s">
        <v>585</v>
      </c>
      <c r="T56" s="35">
        <v>1.0</v>
      </c>
      <c r="U56" s="35">
        <v>1.0</v>
      </c>
      <c r="V56" s="35">
        <v>0.0</v>
      </c>
      <c r="W56" s="35" t="s">
        <v>53</v>
      </c>
      <c r="X56" s="35">
        <v>0.0</v>
      </c>
      <c r="Y56" s="35" t="s">
        <v>53</v>
      </c>
      <c r="Z56" s="35" t="s">
        <v>586</v>
      </c>
      <c r="AA56" s="58" t="s">
        <v>545</v>
      </c>
      <c r="AB56" s="58" t="b">
        <v>1</v>
      </c>
      <c r="AC56" s="35" t="s">
        <v>57</v>
      </c>
      <c r="AD56" s="35" t="s">
        <v>57</v>
      </c>
      <c r="AE56" s="35">
        <v>0.6</v>
      </c>
      <c r="AF56" s="35" t="s">
        <v>58</v>
      </c>
      <c r="AG56" s="35" t="s">
        <v>559</v>
      </c>
      <c r="AH56" s="35" t="s">
        <v>209</v>
      </c>
      <c r="AI56" s="35" t="s">
        <v>374</v>
      </c>
      <c r="AJ56" s="35" t="s">
        <v>62</v>
      </c>
      <c r="AK56" s="35" t="s">
        <v>1140</v>
      </c>
      <c r="AL56" s="58" t="s">
        <v>587</v>
      </c>
      <c r="AM56" s="61" t="s">
        <v>1141</v>
      </c>
      <c r="AN56" s="58" t="s">
        <v>1161</v>
      </c>
      <c r="AO56" s="56" t="s">
        <v>1164</v>
      </c>
    </row>
    <row r="57" ht="15.0" customHeight="1">
      <c r="A57" s="57">
        <v>64.0</v>
      </c>
      <c r="B57" s="35" t="s">
        <v>563</v>
      </c>
      <c r="C57" s="35" t="s">
        <v>588</v>
      </c>
      <c r="D57" s="35" t="s">
        <v>576</v>
      </c>
      <c r="E57" s="35" t="s">
        <v>589</v>
      </c>
      <c r="F57" s="35" t="s">
        <v>590</v>
      </c>
      <c r="G57" s="22" t="s">
        <v>591</v>
      </c>
      <c r="H57" s="35" t="s">
        <v>592</v>
      </c>
      <c r="I57" s="35" t="s">
        <v>593</v>
      </c>
      <c r="J57" s="35" t="s">
        <v>594</v>
      </c>
      <c r="K57" s="35" t="s">
        <v>595</v>
      </c>
      <c r="L57" s="35">
        <v>1.0</v>
      </c>
      <c r="M57" s="35">
        <v>0.0</v>
      </c>
      <c r="N57" s="35">
        <v>0.1037037037037037</v>
      </c>
      <c r="O57" s="35">
        <v>5.0</v>
      </c>
      <c r="P57" s="35">
        <v>20.0</v>
      </c>
      <c r="Q57" s="35" t="s">
        <v>53</v>
      </c>
      <c r="R57" s="35">
        <v>0.0</v>
      </c>
      <c r="S57" s="35" t="s">
        <v>53</v>
      </c>
      <c r="T57" s="35">
        <v>0.0</v>
      </c>
      <c r="U57" s="35">
        <v>0.0</v>
      </c>
      <c r="V57" s="35">
        <v>0.0</v>
      </c>
      <c r="W57" s="35" t="s">
        <v>53</v>
      </c>
      <c r="X57" s="35">
        <v>0.0</v>
      </c>
      <c r="Y57" s="35" t="s">
        <v>53</v>
      </c>
      <c r="Z57" s="35" t="s">
        <v>596</v>
      </c>
      <c r="AA57" s="58" t="s">
        <v>545</v>
      </c>
      <c r="AB57" s="58" t="b">
        <v>1</v>
      </c>
      <c r="AC57" s="35" t="s">
        <v>57</v>
      </c>
      <c r="AD57" s="35" t="s">
        <v>1144</v>
      </c>
      <c r="AE57" s="35">
        <v>0.22</v>
      </c>
      <c r="AF57" s="35" t="s">
        <v>58</v>
      </c>
      <c r="AG57" s="35" t="s">
        <v>1159</v>
      </c>
      <c r="AH57" s="35" t="s">
        <v>209</v>
      </c>
      <c r="AI57" s="35" t="s">
        <v>61</v>
      </c>
      <c r="AJ57" s="35" t="s">
        <v>62</v>
      </c>
      <c r="AK57" s="35" t="s">
        <v>1140</v>
      </c>
      <c r="AL57" s="58" t="s">
        <v>164</v>
      </c>
      <c r="AM57" s="58" t="s">
        <v>1160</v>
      </c>
      <c r="AN57" s="58" t="s">
        <v>1161</v>
      </c>
      <c r="AO57" s="56" t="s">
        <v>1142</v>
      </c>
    </row>
    <row r="58" ht="15.0" customHeight="1">
      <c r="A58" s="57">
        <v>65.0</v>
      </c>
      <c r="B58" s="35" t="s">
        <v>563</v>
      </c>
      <c r="C58" s="35" t="s">
        <v>597</v>
      </c>
      <c r="D58" s="35" t="s">
        <v>588</v>
      </c>
      <c r="E58" s="35" t="s">
        <v>598</v>
      </c>
      <c r="F58" s="35" t="s">
        <v>599</v>
      </c>
      <c r="G58" s="22" t="s">
        <v>600</v>
      </c>
      <c r="H58" s="35" t="s">
        <v>601</v>
      </c>
      <c r="I58" s="35" t="s">
        <v>593</v>
      </c>
      <c r="J58" s="35" t="s">
        <v>602</v>
      </c>
      <c r="K58" s="35" t="s">
        <v>603</v>
      </c>
      <c r="L58" s="35">
        <v>1.0</v>
      </c>
      <c r="M58" s="35">
        <v>0.0</v>
      </c>
      <c r="N58" s="35">
        <v>0.1554054054054054</v>
      </c>
      <c r="O58" s="35">
        <v>2.0</v>
      </c>
      <c r="P58" s="35">
        <v>16.0</v>
      </c>
      <c r="Q58" s="35" t="s">
        <v>53</v>
      </c>
      <c r="R58" s="35">
        <v>0.0</v>
      </c>
      <c r="S58" s="35" t="s">
        <v>53</v>
      </c>
      <c r="T58" s="35">
        <v>0.0</v>
      </c>
      <c r="U58" s="35">
        <v>0.0</v>
      </c>
      <c r="V58" s="35">
        <v>0.0</v>
      </c>
      <c r="W58" s="35" t="s">
        <v>53</v>
      </c>
      <c r="X58" s="35">
        <v>0.0</v>
      </c>
      <c r="Y58" s="35" t="s">
        <v>53</v>
      </c>
      <c r="Z58" s="35" t="s">
        <v>604</v>
      </c>
      <c r="AA58" s="58" t="s">
        <v>545</v>
      </c>
      <c r="AB58" s="58" t="b">
        <v>1</v>
      </c>
      <c r="AC58" s="35" t="s">
        <v>57</v>
      </c>
      <c r="AD58" s="35" t="s">
        <v>1144</v>
      </c>
      <c r="AE58" s="35">
        <v>0.22</v>
      </c>
      <c r="AF58" s="35" t="s">
        <v>58</v>
      </c>
      <c r="AG58" s="35" t="s">
        <v>162</v>
      </c>
      <c r="AH58" s="35" t="s">
        <v>209</v>
      </c>
      <c r="AI58" s="35" t="s">
        <v>61</v>
      </c>
      <c r="AJ58" s="35" t="s">
        <v>630</v>
      </c>
      <c r="AK58" s="35" t="s">
        <v>1140</v>
      </c>
      <c r="AL58" s="58" t="s">
        <v>164</v>
      </c>
      <c r="AM58" s="58" t="s">
        <v>65</v>
      </c>
      <c r="AN58" s="58" t="s">
        <v>1161</v>
      </c>
      <c r="AO58" s="56" t="s">
        <v>1142</v>
      </c>
    </row>
    <row r="59" ht="15.0" customHeight="1">
      <c r="A59" s="57">
        <v>66.0</v>
      </c>
      <c r="B59" s="35" t="s">
        <v>563</v>
      </c>
      <c r="C59" s="35" t="s">
        <v>597</v>
      </c>
      <c r="D59" s="35" t="s">
        <v>588</v>
      </c>
      <c r="E59" s="35" t="s">
        <v>605</v>
      </c>
      <c r="F59" s="35" t="s">
        <v>606</v>
      </c>
      <c r="G59" s="22" t="s">
        <v>607</v>
      </c>
      <c r="H59" s="35" t="s">
        <v>608</v>
      </c>
      <c r="I59" s="35" t="s">
        <v>609</v>
      </c>
      <c r="J59" s="35" t="s">
        <v>610</v>
      </c>
      <c r="K59" s="35" t="s">
        <v>611</v>
      </c>
      <c r="L59" s="35">
        <v>0.3333333333333333</v>
      </c>
      <c r="M59" s="35">
        <v>0.4</v>
      </c>
      <c r="N59" s="35">
        <v>0.08878504672897196</v>
      </c>
      <c r="O59" s="35">
        <v>3.0</v>
      </c>
      <c r="P59" s="35">
        <v>16.0</v>
      </c>
      <c r="Q59" s="35" t="s">
        <v>573</v>
      </c>
      <c r="R59" s="35">
        <v>2.0</v>
      </c>
      <c r="S59" s="35" t="s">
        <v>612</v>
      </c>
      <c r="T59" s="35">
        <v>2.0</v>
      </c>
      <c r="U59" s="35">
        <v>2.0</v>
      </c>
      <c r="V59" s="35">
        <v>0.0</v>
      </c>
      <c r="W59" s="35" t="s">
        <v>53</v>
      </c>
      <c r="X59" s="35">
        <v>0.0</v>
      </c>
      <c r="Y59" s="35" t="s">
        <v>53</v>
      </c>
      <c r="Z59" s="35" t="s">
        <v>604</v>
      </c>
      <c r="AA59" s="58" t="s">
        <v>545</v>
      </c>
      <c r="AB59" s="58" t="b">
        <v>1</v>
      </c>
      <c r="AC59" s="35" t="s">
        <v>57</v>
      </c>
      <c r="AD59" s="35" t="s">
        <v>57</v>
      </c>
      <c r="AE59" s="35">
        <v>0.57</v>
      </c>
      <c r="AF59" s="35" t="s">
        <v>58</v>
      </c>
      <c r="AG59" s="35" t="s">
        <v>559</v>
      </c>
      <c r="AH59" s="35" t="s">
        <v>209</v>
      </c>
      <c r="AI59" s="35" t="s">
        <v>374</v>
      </c>
      <c r="AJ59" s="35" t="s">
        <v>62</v>
      </c>
      <c r="AK59" s="35" t="s">
        <v>1140</v>
      </c>
      <c r="AL59" s="58" t="s">
        <v>587</v>
      </c>
      <c r="AM59" s="58" t="s">
        <v>65</v>
      </c>
      <c r="AN59" s="58" t="s">
        <v>1161</v>
      </c>
      <c r="AO59" s="56" t="s">
        <v>1164</v>
      </c>
    </row>
    <row r="60" ht="15.0" customHeight="1">
      <c r="A60" s="57">
        <v>67.0</v>
      </c>
      <c r="B60" s="35" t="s">
        <v>563</v>
      </c>
      <c r="C60" s="35" t="s">
        <v>613</v>
      </c>
      <c r="D60" s="35" t="s">
        <v>614</v>
      </c>
      <c r="E60" s="35" t="s">
        <v>605</v>
      </c>
      <c r="F60" s="35" t="s">
        <v>615</v>
      </c>
      <c r="G60" s="22" t="s">
        <v>616</v>
      </c>
      <c r="H60" s="35" t="s">
        <v>617</v>
      </c>
      <c r="I60" s="35" t="s">
        <v>618</v>
      </c>
      <c r="J60" s="35" t="s">
        <v>619</v>
      </c>
      <c r="K60" s="35" t="s">
        <v>620</v>
      </c>
      <c r="L60" s="35">
        <v>0.75</v>
      </c>
      <c r="M60" s="35">
        <v>0.25</v>
      </c>
      <c r="N60" s="35">
        <v>0.15483870967741936</v>
      </c>
      <c r="O60" s="35">
        <v>0.0</v>
      </c>
      <c r="P60" s="35">
        <v>22.0</v>
      </c>
      <c r="Q60" s="35" t="s">
        <v>621</v>
      </c>
      <c r="R60" s="35">
        <v>1.0</v>
      </c>
      <c r="S60" s="35" t="s">
        <v>622</v>
      </c>
      <c r="T60" s="35">
        <v>0.0</v>
      </c>
      <c r="U60" s="35">
        <v>0.0</v>
      </c>
      <c r="V60" s="35">
        <v>0.0</v>
      </c>
      <c r="W60" s="35" t="s">
        <v>53</v>
      </c>
      <c r="X60" s="35">
        <v>0.0</v>
      </c>
      <c r="Y60" s="35" t="s">
        <v>53</v>
      </c>
      <c r="Z60" s="35" t="s">
        <v>623</v>
      </c>
      <c r="AA60" s="58" t="s">
        <v>545</v>
      </c>
      <c r="AB60" s="58" t="b">
        <v>1</v>
      </c>
      <c r="AC60" s="35" t="s">
        <v>57</v>
      </c>
      <c r="AD60" s="35" t="s">
        <v>57</v>
      </c>
      <c r="AE60" s="35">
        <v>0.67</v>
      </c>
      <c r="AF60" s="35" t="s">
        <v>58</v>
      </c>
      <c r="AG60" s="35" t="s">
        <v>162</v>
      </c>
      <c r="AH60" s="35" t="s">
        <v>209</v>
      </c>
      <c r="AI60" s="35" t="s">
        <v>61</v>
      </c>
      <c r="AJ60" s="35" t="s">
        <v>630</v>
      </c>
      <c r="AK60" s="35" t="s">
        <v>1140</v>
      </c>
      <c r="AL60" s="58" t="s">
        <v>164</v>
      </c>
      <c r="AM60" s="58" t="s">
        <v>65</v>
      </c>
      <c r="AN60" s="58" t="s">
        <v>1158</v>
      </c>
      <c r="AO60" s="56" t="s">
        <v>1151</v>
      </c>
    </row>
    <row r="61" ht="15.0" customHeight="1">
      <c r="A61" s="57">
        <v>68.0</v>
      </c>
      <c r="B61" s="35" t="s">
        <v>563</v>
      </c>
      <c r="C61" s="35" t="s">
        <v>613</v>
      </c>
      <c r="D61" s="35" t="s">
        <v>614</v>
      </c>
      <c r="E61" s="35" t="s">
        <v>605</v>
      </c>
      <c r="F61" s="35" t="s">
        <v>615</v>
      </c>
      <c r="G61" s="22" t="s">
        <v>624</v>
      </c>
      <c r="H61" s="35" t="s">
        <v>625</v>
      </c>
      <c r="I61" s="35" t="s">
        <v>626</v>
      </c>
      <c r="J61" s="35" t="s">
        <v>627</v>
      </c>
      <c r="K61" s="35" t="s">
        <v>628</v>
      </c>
      <c r="L61" s="35">
        <v>1.0</v>
      </c>
      <c r="M61" s="35">
        <v>0.0</v>
      </c>
      <c r="N61" s="35">
        <v>0.1437125748502994</v>
      </c>
      <c r="O61" s="35">
        <v>8.0</v>
      </c>
      <c r="P61" s="35">
        <v>22.0</v>
      </c>
      <c r="Q61" s="35" t="s">
        <v>573</v>
      </c>
      <c r="R61" s="35">
        <v>0.0</v>
      </c>
      <c r="S61" s="35" t="s">
        <v>53</v>
      </c>
      <c r="T61" s="35">
        <v>0.0</v>
      </c>
      <c r="U61" s="35">
        <v>0.0</v>
      </c>
      <c r="V61" s="35">
        <v>0.0</v>
      </c>
      <c r="W61" s="35" t="s">
        <v>53</v>
      </c>
      <c r="X61" s="35">
        <v>0.0</v>
      </c>
      <c r="Y61" s="35" t="s">
        <v>53</v>
      </c>
      <c r="Z61" s="35" t="s">
        <v>623</v>
      </c>
      <c r="AA61" s="58" t="s">
        <v>545</v>
      </c>
      <c r="AB61" s="58" t="b">
        <v>1</v>
      </c>
      <c r="AC61" s="35" t="s">
        <v>57</v>
      </c>
      <c r="AD61" s="35" t="s">
        <v>57</v>
      </c>
      <c r="AE61" s="35">
        <v>0.83</v>
      </c>
      <c r="AF61" s="35" t="s">
        <v>58</v>
      </c>
      <c r="AG61" s="35" t="s">
        <v>162</v>
      </c>
      <c r="AH61" s="35" t="s">
        <v>209</v>
      </c>
      <c r="AI61" s="35" t="s">
        <v>61</v>
      </c>
      <c r="AJ61" s="35" t="s">
        <v>630</v>
      </c>
      <c r="AK61" s="35" t="s">
        <v>1140</v>
      </c>
      <c r="AL61" s="58" t="s">
        <v>164</v>
      </c>
      <c r="AM61" s="58" t="s">
        <v>65</v>
      </c>
      <c r="AN61" s="58" t="s">
        <v>1158</v>
      </c>
      <c r="AO61" s="56" t="s">
        <v>1142</v>
      </c>
    </row>
    <row r="62" ht="15.0" customHeight="1">
      <c r="A62" s="57">
        <v>69.0</v>
      </c>
      <c r="B62" s="35" t="s">
        <v>563</v>
      </c>
      <c r="C62" s="35" t="s">
        <v>613</v>
      </c>
      <c r="D62" s="35" t="s">
        <v>614</v>
      </c>
      <c r="E62" s="35" t="s">
        <v>611</v>
      </c>
      <c r="F62" s="35" t="s">
        <v>610</v>
      </c>
      <c r="G62" s="22" t="s">
        <v>631</v>
      </c>
      <c r="H62" s="35" t="s">
        <v>632</v>
      </c>
      <c r="I62" s="35" t="s">
        <v>633</v>
      </c>
      <c r="J62" s="35" t="s">
        <v>634</v>
      </c>
      <c r="K62" s="35" t="s">
        <v>635</v>
      </c>
      <c r="L62" s="35">
        <v>0.8</v>
      </c>
      <c r="M62" s="35">
        <v>0.2857142857142857</v>
      </c>
      <c r="N62" s="35">
        <v>0.17721518987341772</v>
      </c>
      <c r="O62" s="35">
        <v>0.0</v>
      </c>
      <c r="P62" s="35">
        <v>22.0</v>
      </c>
      <c r="Q62" s="35" t="s">
        <v>621</v>
      </c>
      <c r="R62" s="35">
        <v>1.0</v>
      </c>
      <c r="S62" s="35" t="s">
        <v>622</v>
      </c>
      <c r="T62" s="35">
        <v>0.0</v>
      </c>
      <c r="U62" s="35">
        <v>0.0</v>
      </c>
      <c r="V62" s="35">
        <v>0.0</v>
      </c>
      <c r="W62" s="35" t="s">
        <v>53</v>
      </c>
      <c r="X62" s="35">
        <v>0.0</v>
      </c>
      <c r="Y62" s="35" t="s">
        <v>53</v>
      </c>
      <c r="Z62" s="35" t="s">
        <v>623</v>
      </c>
      <c r="AA62" s="58" t="s">
        <v>545</v>
      </c>
      <c r="AB62" s="58" t="b">
        <v>1</v>
      </c>
      <c r="AC62" s="35" t="s">
        <v>57</v>
      </c>
      <c r="AD62" s="35" t="s">
        <v>57</v>
      </c>
      <c r="AE62" s="35">
        <v>0.71</v>
      </c>
      <c r="AF62" s="35" t="s">
        <v>58</v>
      </c>
      <c r="AG62" s="35" t="s">
        <v>162</v>
      </c>
      <c r="AH62" s="35" t="s">
        <v>209</v>
      </c>
      <c r="AI62" s="35" t="s">
        <v>61</v>
      </c>
      <c r="AJ62" s="35" t="s">
        <v>630</v>
      </c>
      <c r="AK62" s="35" t="s">
        <v>1140</v>
      </c>
      <c r="AL62" s="58" t="s">
        <v>164</v>
      </c>
      <c r="AM62" s="58" t="s">
        <v>65</v>
      </c>
      <c r="AN62" s="58" t="s">
        <v>1158</v>
      </c>
      <c r="AO62" s="56" t="s">
        <v>1162</v>
      </c>
    </row>
    <row r="63" ht="15.0" customHeight="1">
      <c r="A63" s="57">
        <v>70.0</v>
      </c>
      <c r="B63" s="35" t="s">
        <v>563</v>
      </c>
      <c r="C63" s="35" t="s">
        <v>613</v>
      </c>
      <c r="D63" s="35" t="s">
        <v>614</v>
      </c>
      <c r="E63" s="35" t="s">
        <v>636</v>
      </c>
      <c r="F63" s="35" t="s">
        <v>637</v>
      </c>
      <c r="G63" s="22" t="s">
        <v>638</v>
      </c>
      <c r="H63" s="35" t="s">
        <v>639</v>
      </c>
      <c r="I63" s="35" t="s">
        <v>640</v>
      </c>
      <c r="J63" s="35" t="s">
        <v>641</v>
      </c>
      <c r="K63" s="35" t="s">
        <v>642</v>
      </c>
      <c r="L63" s="35">
        <v>0.6</v>
      </c>
      <c r="M63" s="35">
        <v>0.125</v>
      </c>
      <c r="N63" s="35">
        <v>0.04714640198511166</v>
      </c>
      <c r="O63" s="35">
        <v>0.0</v>
      </c>
      <c r="P63" s="35">
        <v>22.0</v>
      </c>
      <c r="Q63" s="35" t="s">
        <v>643</v>
      </c>
      <c r="R63" s="35">
        <v>1.0</v>
      </c>
      <c r="S63" s="35" t="s">
        <v>644</v>
      </c>
      <c r="T63" s="35">
        <v>1.0</v>
      </c>
      <c r="U63" s="35">
        <v>1.0</v>
      </c>
      <c r="V63" s="35">
        <v>0.0</v>
      </c>
      <c r="W63" s="35" t="s">
        <v>53</v>
      </c>
      <c r="X63" s="35">
        <v>0.0</v>
      </c>
      <c r="Y63" s="35" t="s">
        <v>53</v>
      </c>
      <c r="Z63" s="35" t="s">
        <v>623</v>
      </c>
      <c r="AA63" s="58" t="s">
        <v>545</v>
      </c>
      <c r="AB63" s="58" t="b">
        <v>1</v>
      </c>
      <c r="AC63" s="35" t="s">
        <v>57</v>
      </c>
      <c r="AD63" s="35" t="s">
        <v>57</v>
      </c>
      <c r="AE63" s="35">
        <v>0.8</v>
      </c>
      <c r="AF63" s="35" t="s">
        <v>162</v>
      </c>
      <c r="AG63" s="35" t="s">
        <v>162</v>
      </c>
      <c r="AH63" s="35" t="s">
        <v>60</v>
      </c>
      <c r="AI63" s="35" t="s">
        <v>1163</v>
      </c>
      <c r="AJ63" s="35" t="s">
        <v>630</v>
      </c>
      <c r="AK63" s="35" t="s">
        <v>1140</v>
      </c>
      <c r="AL63" s="58" t="s">
        <v>64</v>
      </c>
      <c r="AM63" s="58" t="s">
        <v>65</v>
      </c>
      <c r="AN63" s="58" t="s">
        <v>1158</v>
      </c>
      <c r="AO63" s="56" t="s">
        <v>1164</v>
      </c>
    </row>
    <row r="64" ht="15.0" customHeight="1">
      <c r="A64" s="57">
        <v>71.0</v>
      </c>
      <c r="B64" s="35" t="s">
        <v>563</v>
      </c>
      <c r="C64" s="35" t="s">
        <v>613</v>
      </c>
      <c r="D64" s="35" t="s">
        <v>614</v>
      </c>
      <c r="E64" s="35" t="s">
        <v>645</v>
      </c>
      <c r="F64" s="35" t="s">
        <v>646</v>
      </c>
      <c r="G64" s="22" t="s">
        <v>647</v>
      </c>
      <c r="H64" s="35" t="s">
        <v>648</v>
      </c>
      <c r="I64" s="35" t="s">
        <v>649</v>
      </c>
      <c r="J64" s="35" t="s">
        <v>650</v>
      </c>
      <c r="K64" s="35" t="s">
        <v>651</v>
      </c>
      <c r="L64" s="35">
        <v>0.6</v>
      </c>
      <c r="M64" s="35">
        <v>0.1</v>
      </c>
      <c r="N64" s="35">
        <v>0.04589371980676329</v>
      </c>
      <c r="O64" s="35">
        <v>0.0</v>
      </c>
      <c r="P64" s="35">
        <v>22.0</v>
      </c>
      <c r="Q64" s="35" t="s">
        <v>643</v>
      </c>
      <c r="R64" s="35">
        <v>1.0</v>
      </c>
      <c r="S64" s="35" t="s">
        <v>644</v>
      </c>
      <c r="T64" s="35">
        <v>1.0</v>
      </c>
      <c r="U64" s="35">
        <v>1.0</v>
      </c>
      <c r="V64" s="35">
        <v>0.0</v>
      </c>
      <c r="W64" s="35" t="s">
        <v>53</v>
      </c>
      <c r="X64" s="35">
        <v>0.0</v>
      </c>
      <c r="Y64" s="35" t="s">
        <v>53</v>
      </c>
      <c r="Z64" s="35" t="s">
        <v>623</v>
      </c>
      <c r="AA64" s="58" t="s">
        <v>545</v>
      </c>
      <c r="AB64" s="58" t="b">
        <v>1</v>
      </c>
      <c r="AC64" s="35" t="s">
        <v>57</v>
      </c>
      <c r="AD64" s="35" t="s">
        <v>57</v>
      </c>
      <c r="AE64" s="35">
        <v>0.8</v>
      </c>
      <c r="AF64" s="35" t="s">
        <v>162</v>
      </c>
      <c r="AG64" s="35" t="s">
        <v>162</v>
      </c>
      <c r="AH64" s="35" t="s">
        <v>60</v>
      </c>
      <c r="AI64" s="35" t="s">
        <v>1163</v>
      </c>
      <c r="AJ64" s="35" t="s">
        <v>630</v>
      </c>
      <c r="AK64" s="35" t="s">
        <v>1140</v>
      </c>
      <c r="AL64" s="58" t="s">
        <v>64</v>
      </c>
      <c r="AM64" s="58" t="s">
        <v>65</v>
      </c>
      <c r="AN64" s="58" t="s">
        <v>1158</v>
      </c>
      <c r="AO64" s="56" t="s">
        <v>1164</v>
      </c>
    </row>
    <row r="65" ht="15.0" customHeight="1">
      <c r="A65" s="57">
        <v>72.0</v>
      </c>
      <c r="B65" s="35" t="s">
        <v>563</v>
      </c>
      <c r="C65" s="35" t="s">
        <v>613</v>
      </c>
      <c r="D65" s="35" t="s">
        <v>614</v>
      </c>
      <c r="E65" s="35" t="s">
        <v>605</v>
      </c>
      <c r="F65" s="35" t="s">
        <v>615</v>
      </c>
      <c r="G65" s="22" t="s">
        <v>652</v>
      </c>
      <c r="H65" s="35" t="s">
        <v>653</v>
      </c>
      <c r="I65" s="35" t="s">
        <v>654</v>
      </c>
      <c r="J65" s="35" t="s">
        <v>655</v>
      </c>
      <c r="K65" s="35" t="s">
        <v>656</v>
      </c>
      <c r="L65" s="35">
        <v>0.5</v>
      </c>
      <c r="M65" s="35">
        <v>0.3333333333333333</v>
      </c>
      <c r="N65" s="35">
        <v>0.04195804195804196</v>
      </c>
      <c r="O65" s="35">
        <v>15.0</v>
      </c>
      <c r="P65" s="35">
        <v>22.0</v>
      </c>
      <c r="Q65" s="35" t="s">
        <v>573</v>
      </c>
      <c r="R65" s="35">
        <v>1.0</v>
      </c>
      <c r="S65" s="35" t="s">
        <v>657</v>
      </c>
      <c r="T65" s="35">
        <v>1.0</v>
      </c>
      <c r="U65" s="35">
        <v>1.0</v>
      </c>
      <c r="V65" s="35">
        <v>0.0</v>
      </c>
      <c r="W65" s="35" t="s">
        <v>53</v>
      </c>
      <c r="X65" s="35">
        <v>0.0</v>
      </c>
      <c r="Y65" s="35" t="s">
        <v>53</v>
      </c>
      <c r="Z65" s="35" t="s">
        <v>623</v>
      </c>
      <c r="AA65" s="58" t="s">
        <v>545</v>
      </c>
      <c r="AB65" s="58" t="b">
        <v>1</v>
      </c>
      <c r="AC65" s="35" t="s">
        <v>57</v>
      </c>
      <c r="AD65" s="35" t="s">
        <v>57</v>
      </c>
      <c r="AE65" s="35">
        <v>0.67</v>
      </c>
      <c r="AF65" s="35" t="s">
        <v>58</v>
      </c>
      <c r="AG65" s="35" t="s">
        <v>162</v>
      </c>
      <c r="AH65" s="35" t="s">
        <v>209</v>
      </c>
      <c r="AI65" s="35" t="s">
        <v>374</v>
      </c>
      <c r="AJ65" s="35" t="s">
        <v>62</v>
      </c>
      <c r="AK65" s="35" t="s">
        <v>1140</v>
      </c>
      <c r="AL65" s="58" t="s">
        <v>587</v>
      </c>
      <c r="AM65" s="58" t="s">
        <v>65</v>
      </c>
      <c r="AN65" s="58" t="s">
        <v>1158</v>
      </c>
      <c r="AO65" s="56" t="s">
        <v>1164</v>
      </c>
    </row>
    <row r="66" ht="15.0" customHeight="1">
      <c r="A66" s="57">
        <v>73.0</v>
      </c>
      <c r="B66" s="35" t="s">
        <v>563</v>
      </c>
      <c r="C66" s="35" t="s">
        <v>613</v>
      </c>
      <c r="D66" s="35" t="s">
        <v>614</v>
      </c>
      <c r="E66" s="35" t="s">
        <v>578</v>
      </c>
      <c r="F66" s="35" t="s">
        <v>579</v>
      </c>
      <c r="G66" s="22" t="s">
        <v>658</v>
      </c>
      <c r="H66" s="35" t="s">
        <v>659</v>
      </c>
      <c r="I66" s="35" t="s">
        <v>660</v>
      </c>
      <c r="J66" s="35" t="s">
        <v>661</v>
      </c>
      <c r="K66" s="35" t="s">
        <v>662</v>
      </c>
      <c r="L66" s="35">
        <v>1.0</v>
      </c>
      <c r="M66" s="35">
        <v>0.0</v>
      </c>
      <c r="N66" s="35">
        <v>0.19760479041916168</v>
      </c>
      <c r="O66" s="35">
        <v>0.0</v>
      </c>
      <c r="P66" s="35">
        <v>22.0</v>
      </c>
      <c r="Q66" s="35" t="s">
        <v>573</v>
      </c>
      <c r="R66" s="35">
        <v>0.0</v>
      </c>
      <c r="S66" s="35" t="s">
        <v>53</v>
      </c>
      <c r="T66" s="35">
        <v>0.0</v>
      </c>
      <c r="U66" s="35">
        <v>0.0</v>
      </c>
      <c r="V66" s="35">
        <v>0.0</v>
      </c>
      <c r="W66" s="35" t="s">
        <v>53</v>
      </c>
      <c r="X66" s="35">
        <v>0.0</v>
      </c>
      <c r="Y66" s="35" t="s">
        <v>53</v>
      </c>
      <c r="Z66" s="35" t="s">
        <v>623</v>
      </c>
      <c r="AA66" s="58" t="s">
        <v>545</v>
      </c>
      <c r="AB66" s="58" t="b">
        <v>1</v>
      </c>
      <c r="AC66" s="35" t="s">
        <v>57</v>
      </c>
      <c r="AD66" s="35" t="s">
        <v>57</v>
      </c>
      <c r="AE66" s="35">
        <v>0.43</v>
      </c>
      <c r="AF66" s="35" t="s">
        <v>58</v>
      </c>
      <c r="AG66" s="35" t="s">
        <v>559</v>
      </c>
      <c r="AH66" s="35" t="s">
        <v>209</v>
      </c>
      <c r="AI66" s="35" t="s">
        <v>629</v>
      </c>
      <c r="AJ66" s="35" t="s">
        <v>630</v>
      </c>
      <c r="AK66" s="35" t="s">
        <v>1140</v>
      </c>
      <c r="AL66" s="58" t="s">
        <v>164</v>
      </c>
      <c r="AM66" s="58" t="s">
        <v>65</v>
      </c>
      <c r="AN66" s="58" t="s">
        <v>1158</v>
      </c>
      <c r="AO66" s="56" t="s">
        <v>1142</v>
      </c>
    </row>
    <row r="67" ht="15.0" customHeight="1">
      <c r="A67" s="57">
        <v>74.0</v>
      </c>
      <c r="B67" s="35" t="s">
        <v>352</v>
      </c>
      <c r="C67" s="35" t="s">
        <v>663</v>
      </c>
      <c r="D67" s="35" t="s">
        <v>664</v>
      </c>
      <c r="E67" s="35" t="s">
        <v>372</v>
      </c>
      <c r="F67" s="35" t="s">
        <v>371</v>
      </c>
      <c r="G67" s="22" t="s">
        <v>665</v>
      </c>
      <c r="H67" s="35" t="s">
        <v>666</v>
      </c>
      <c r="I67" s="35" t="s">
        <v>667</v>
      </c>
      <c r="J67" s="35" t="s">
        <v>668</v>
      </c>
      <c r="K67" s="35" t="s">
        <v>669</v>
      </c>
      <c r="L67" s="35">
        <v>0.5</v>
      </c>
      <c r="M67" s="35">
        <v>0.3333333333333333</v>
      </c>
      <c r="N67" s="35">
        <v>0.04365079365079365</v>
      </c>
      <c r="O67" s="35">
        <v>1.0</v>
      </c>
      <c r="P67" s="35">
        <v>9.0</v>
      </c>
      <c r="Q67" s="35" t="s">
        <v>670</v>
      </c>
      <c r="R67" s="35">
        <v>1.0</v>
      </c>
      <c r="S67" s="35" t="s">
        <v>403</v>
      </c>
      <c r="T67" s="35">
        <v>1.0</v>
      </c>
      <c r="U67" s="35">
        <v>1.0</v>
      </c>
      <c r="V67" s="35">
        <v>0.0</v>
      </c>
      <c r="W67" s="35" t="s">
        <v>53</v>
      </c>
      <c r="X67" s="35">
        <v>0.0</v>
      </c>
      <c r="Y67" s="35" t="s">
        <v>53</v>
      </c>
      <c r="Z67" s="35" t="s">
        <v>671</v>
      </c>
      <c r="AA67" s="58" t="s">
        <v>545</v>
      </c>
      <c r="AB67" s="58" t="b">
        <v>1</v>
      </c>
      <c r="AC67" s="35" t="s">
        <v>1143</v>
      </c>
      <c r="AD67" s="35" t="s">
        <v>57</v>
      </c>
      <c r="AE67" s="35">
        <v>0.43</v>
      </c>
      <c r="AF67" s="35" t="s">
        <v>162</v>
      </c>
      <c r="AG67" s="35" t="s">
        <v>162</v>
      </c>
      <c r="AH67" s="35" t="s">
        <v>60</v>
      </c>
      <c r="AI67" s="35" t="s">
        <v>374</v>
      </c>
      <c r="AJ67" s="35" t="s">
        <v>62</v>
      </c>
      <c r="AK67" s="35" t="s">
        <v>1140</v>
      </c>
      <c r="AL67" s="58" t="s">
        <v>64</v>
      </c>
      <c r="AM67" s="58" t="s">
        <v>65</v>
      </c>
      <c r="AN67" s="58" t="s">
        <v>1158</v>
      </c>
      <c r="AO67" s="56" t="s">
        <v>6870</v>
      </c>
    </row>
    <row r="68" ht="15.0" customHeight="1">
      <c r="A68" s="57">
        <v>75.0</v>
      </c>
      <c r="B68" s="35" t="s">
        <v>352</v>
      </c>
      <c r="C68" s="35" t="s">
        <v>663</v>
      </c>
      <c r="D68" s="35" t="s">
        <v>664</v>
      </c>
      <c r="E68" s="35" t="s">
        <v>381</v>
      </c>
      <c r="F68" s="35" t="s">
        <v>380</v>
      </c>
      <c r="G68" s="22" t="s">
        <v>672</v>
      </c>
      <c r="H68" s="35" t="s">
        <v>673</v>
      </c>
      <c r="I68" s="35" t="s">
        <v>674</v>
      </c>
      <c r="J68" s="35" t="s">
        <v>675</v>
      </c>
      <c r="K68" s="35" t="s">
        <v>676</v>
      </c>
      <c r="L68" s="35">
        <v>0.3333333333333333</v>
      </c>
      <c r="M68" s="35">
        <v>0.5</v>
      </c>
      <c r="N68" s="35">
        <v>0.04602510460251046</v>
      </c>
      <c r="O68" s="35">
        <v>0.0</v>
      </c>
      <c r="P68" s="35">
        <v>9.0</v>
      </c>
      <c r="Q68" s="35" t="s">
        <v>410</v>
      </c>
      <c r="R68" s="35">
        <v>1.0</v>
      </c>
      <c r="S68" s="35" t="s">
        <v>410</v>
      </c>
      <c r="T68" s="35">
        <v>1.0</v>
      </c>
      <c r="U68" s="35">
        <v>1.0</v>
      </c>
      <c r="V68" s="35">
        <v>0.0</v>
      </c>
      <c r="W68" s="35" t="s">
        <v>53</v>
      </c>
      <c r="X68" s="35">
        <v>0.0</v>
      </c>
      <c r="Y68" s="35" t="s">
        <v>53</v>
      </c>
      <c r="Z68" s="35" t="s">
        <v>671</v>
      </c>
      <c r="AA68" s="58" t="s">
        <v>545</v>
      </c>
      <c r="AB68" s="58" t="b">
        <v>1</v>
      </c>
      <c r="AC68" s="35" t="s">
        <v>1143</v>
      </c>
      <c r="AD68" s="35" t="s">
        <v>57</v>
      </c>
      <c r="AE68" s="35">
        <v>0.33</v>
      </c>
      <c r="AF68" s="35" t="s">
        <v>162</v>
      </c>
      <c r="AG68" s="35" t="s">
        <v>162</v>
      </c>
      <c r="AH68" s="35" t="s">
        <v>60</v>
      </c>
      <c r="AI68" s="35" t="s">
        <v>374</v>
      </c>
      <c r="AJ68" s="35" t="s">
        <v>62</v>
      </c>
      <c r="AK68" s="35" t="s">
        <v>1140</v>
      </c>
      <c r="AL68" s="58" t="s">
        <v>64</v>
      </c>
      <c r="AM68" s="58" t="s">
        <v>65</v>
      </c>
      <c r="AN68" s="58" t="s">
        <v>1158</v>
      </c>
      <c r="AO68" s="56" t="s">
        <v>6870</v>
      </c>
    </row>
    <row r="69" ht="15.0" customHeight="1">
      <c r="A69" s="57">
        <v>76.0</v>
      </c>
      <c r="B69" s="35" t="s">
        <v>352</v>
      </c>
      <c r="C69" s="35" t="s">
        <v>663</v>
      </c>
      <c r="D69" s="35" t="s">
        <v>664</v>
      </c>
      <c r="E69" s="35" t="s">
        <v>677</v>
      </c>
      <c r="F69" s="35" t="s">
        <v>678</v>
      </c>
      <c r="G69" s="22" t="s">
        <v>679</v>
      </c>
      <c r="H69" s="35" t="s">
        <v>680</v>
      </c>
      <c r="I69" s="35" t="s">
        <v>681</v>
      </c>
      <c r="J69" s="35" t="s">
        <v>682</v>
      </c>
      <c r="K69" s="35" t="s">
        <v>683</v>
      </c>
      <c r="L69" s="35">
        <v>0.8571428571428571</v>
      </c>
      <c r="M69" s="35">
        <v>0.125</v>
      </c>
      <c r="N69" s="35">
        <v>0.06514657980456026</v>
      </c>
      <c r="O69" s="35">
        <v>0.0</v>
      </c>
      <c r="P69" s="35">
        <v>9.0</v>
      </c>
      <c r="Q69" s="35" t="s">
        <v>684</v>
      </c>
      <c r="R69" s="35">
        <v>1.0</v>
      </c>
      <c r="S69" s="35" t="s">
        <v>685</v>
      </c>
      <c r="T69" s="35">
        <v>0.0</v>
      </c>
      <c r="U69" s="35">
        <v>0.0</v>
      </c>
      <c r="V69" s="35">
        <v>0.0</v>
      </c>
      <c r="W69" s="35" t="s">
        <v>53</v>
      </c>
      <c r="X69" s="35">
        <v>0.0</v>
      </c>
      <c r="Y69" s="35" t="s">
        <v>53</v>
      </c>
      <c r="Z69" s="35" t="s">
        <v>671</v>
      </c>
      <c r="AA69" s="58" t="s">
        <v>545</v>
      </c>
      <c r="AB69" s="58" t="b">
        <v>1</v>
      </c>
      <c r="AC69" s="35" t="s">
        <v>57</v>
      </c>
      <c r="AD69" s="35" t="s">
        <v>57</v>
      </c>
      <c r="AE69" s="35">
        <v>0.71</v>
      </c>
      <c r="AF69" s="35" t="s">
        <v>162</v>
      </c>
      <c r="AG69" s="35" t="s">
        <v>162</v>
      </c>
      <c r="AH69" s="35" t="s">
        <v>60</v>
      </c>
      <c r="AI69" s="35" t="s">
        <v>1165</v>
      </c>
      <c r="AJ69" s="35" t="s">
        <v>630</v>
      </c>
      <c r="AK69" s="35" t="s">
        <v>1140</v>
      </c>
      <c r="AL69" s="58" t="s">
        <v>64</v>
      </c>
      <c r="AM69" s="58" t="s">
        <v>65</v>
      </c>
      <c r="AN69" s="58" t="s">
        <v>1158</v>
      </c>
      <c r="AO69" s="56" t="s">
        <v>1162</v>
      </c>
    </row>
    <row r="70" ht="15.0" customHeight="1">
      <c r="A70" s="57">
        <v>77.0</v>
      </c>
      <c r="B70" s="35" t="s">
        <v>686</v>
      </c>
      <c r="C70" s="35" t="s">
        <v>687</v>
      </c>
      <c r="D70" s="35" t="s">
        <v>688</v>
      </c>
      <c r="E70" s="35" t="s">
        <v>689</v>
      </c>
      <c r="F70" s="35" t="s">
        <v>690</v>
      </c>
      <c r="G70" s="22" t="s">
        <v>691</v>
      </c>
      <c r="H70" s="35" t="s">
        <v>692</v>
      </c>
      <c r="I70" s="35" t="s">
        <v>693</v>
      </c>
      <c r="J70" s="35" t="s">
        <v>694</v>
      </c>
      <c r="K70" s="35" t="s">
        <v>695</v>
      </c>
      <c r="L70" s="35">
        <v>1.0</v>
      </c>
      <c r="M70" s="35">
        <v>0.14285714285714285</v>
      </c>
      <c r="N70" s="35">
        <v>0.14137214137214138</v>
      </c>
      <c r="O70" s="35">
        <v>17.0</v>
      </c>
      <c r="P70" s="35">
        <v>23.0</v>
      </c>
      <c r="Q70" s="35" t="s">
        <v>53</v>
      </c>
      <c r="R70" s="35">
        <v>0.0</v>
      </c>
      <c r="S70" s="35" t="s">
        <v>53</v>
      </c>
      <c r="T70" s="35">
        <v>0.0</v>
      </c>
      <c r="U70" s="35">
        <v>0.0</v>
      </c>
      <c r="V70" s="35">
        <v>0.0</v>
      </c>
      <c r="W70" s="35" t="s">
        <v>53</v>
      </c>
      <c r="X70" s="35">
        <v>2.0</v>
      </c>
      <c r="Y70" s="35" t="s">
        <v>696</v>
      </c>
      <c r="Z70" s="35" t="s">
        <v>697</v>
      </c>
      <c r="AA70" s="58" t="s">
        <v>545</v>
      </c>
      <c r="AB70" s="58" t="b">
        <v>1</v>
      </c>
      <c r="AC70" s="35" t="s">
        <v>6872</v>
      </c>
      <c r="AD70" s="35" t="s">
        <v>77</v>
      </c>
      <c r="AE70" s="35">
        <v>0.17</v>
      </c>
      <c r="AF70" s="35" t="s">
        <v>58</v>
      </c>
      <c r="AG70" s="35" t="s">
        <v>559</v>
      </c>
      <c r="AH70" s="35" t="s">
        <v>60</v>
      </c>
      <c r="AI70" s="35" t="s">
        <v>561</v>
      </c>
      <c r="AJ70" s="35" t="s">
        <v>62</v>
      </c>
      <c r="AK70" s="35" t="s">
        <v>1140</v>
      </c>
      <c r="AL70" s="58" t="s">
        <v>64</v>
      </c>
      <c r="AM70" s="58" t="s">
        <v>65</v>
      </c>
      <c r="AN70" s="58" t="s">
        <v>1150</v>
      </c>
      <c r="AO70" s="56" t="s">
        <v>6873</v>
      </c>
    </row>
    <row r="71" ht="15.0" customHeight="1">
      <c r="A71" s="57">
        <v>78.0</v>
      </c>
      <c r="B71" s="35" t="s">
        <v>563</v>
      </c>
      <c r="C71" s="35" t="s">
        <v>699</v>
      </c>
      <c r="D71" s="35" t="s">
        <v>700</v>
      </c>
      <c r="E71" s="35" t="s">
        <v>701</v>
      </c>
      <c r="F71" s="35" t="s">
        <v>702</v>
      </c>
      <c r="G71" s="22" t="s">
        <v>703</v>
      </c>
      <c r="H71" s="35" t="s">
        <v>704</v>
      </c>
      <c r="I71" s="35" t="s">
        <v>705</v>
      </c>
      <c r="J71" s="35" t="s">
        <v>706</v>
      </c>
      <c r="K71" s="35" t="s">
        <v>707</v>
      </c>
      <c r="L71" s="35">
        <v>1.0</v>
      </c>
      <c r="M71" s="35">
        <v>0.0</v>
      </c>
      <c r="N71" s="35">
        <v>0.22033898305084745</v>
      </c>
      <c r="O71" s="35">
        <v>0.0</v>
      </c>
      <c r="P71" s="35">
        <v>34.0</v>
      </c>
      <c r="Q71" s="35" t="s">
        <v>53</v>
      </c>
      <c r="R71" s="35">
        <v>0.0</v>
      </c>
      <c r="S71" s="35" t="s">
        <v>53</v>
      </c>
      <c r="T71" s="35">
        <v>0.0</v>
      </c>
      <c r="U71" s="35">
        <v>0.0</v>
      </c>
      <c r="V71" s="35">
        <v>0.0</v>
      </c>
      <c r="W71" s="35" t="s">
        <v>53</v>
      </c>
      <c r="X71" s="35">
        <v>0.0</v>
      </c>
      <c r="Y71" s="35" t="s">
        <v>53</v>
      </c>
      <c r="Z71" s="35" t="s">
        <v>708</v>
      </c>
      <c r="AA71" s="58" t="s">
        <v>545</v>
      </c>
      <c r="AB71" s="58" t="b">
        <v>1</v>
      </c>
      <c r="AC71" s="35" t="s">
        <v>57</v>
      </c>
      <c r="AD71" s="35" t="s">
        <v>57</v>
      </c>
      <c r="AE71" s="35">
        <v>0.63</v>
      </c>
      <c r="AF71" s="35" t="s">
        <v>58</v>
      </c>
      <c r="AG71" s="35" t="s">
        <v>59</v>
      </c>
      <c r="AH71" s="35" t="s">
        <v>60</v>
      </c>
      <c r="AI71" s="35" t="s">
        <v>629</v>
      </c>
      <c r="AJ71" s="35" t="s">
        <v>630</v>
      </c>
      <c r="AK71" s="35" t="s">
        <v>1140</v>
      </c>
      <c r="AL71" s="58" t="s">
        <v>64</v>
      </c>
      <c r="AM71" s="58" t="s">
        <v>65</v>
      </c>
      <c r="AN71" s="58" t="s">
        <v>1158</v>
      </c>
      <c r="AO71" s="56" t="s">
        <v>1142</v>
      </c>
    </row>
    <row r="72" ht="15.0" customHeight="1">
      <c r="A72" s="57">
        <v>79.0</v>
      </c>
      <c r="B72" s="35" t="s">
        <v>563</v>
      </c>
      <c r="C72" s="35" t="s">
        <v>709</v>
      </c>
      <c r="D72" s="35" t="s">
        <v>710</v>
      </c>
      <c r="E72" s="35" t="s">
        <v>711</v>
      </c>
      <c r="F72" s="35" t="s">
        <v>712</v>
      </c>
      <c r="G72" s="22" t="s">
        <v>713</v>
      </c>
      <c r="H72" s="35" t="s">
        <v>714</v>
      </c>
      <c r="I72" s="35" t="s">
        <v>715</v>
      </c>
      <c r="J72" s="35" t="s">
        <v>716</v>
      </c>
      <c r="K72" s="35" t="s">
        <v>717</v>
      </c>
      <c r="L72" s="35">
        <v>1.0</v>
      </c>
      <c r="M72" s="35">
        <v>0.0</v>
      </c>
      <c r="N72" s="35">
        <v>0.3617021276595745</v>
      </c>
      <c r="O72" s="35">
        <v>0.0</v>
      </c>
      <c r="P72" s="35">
        <v>40.0</v>
      </c>
      <c r="Q72" s="35" t="s">
        <v>53</v>
      </c>
      <c r="R72" s="35">
        <v>0.0</v>
      </c>
      <c r="S72" s="35" t="s">
        <v>53</v>
      </c>
      <c r="T72" s="35">
        <v>0.0</v>
      </c>
      <c r="U72" s="35">
        <v>0.0</v>
      </c>
      <c r="V72" s="35">
        <v>0.0</v>
      </c>
      <c r="W72" s="35" t="s">
        <v>53</v>
      </c>
      <c r="X72" s="35">
        <v>0.0</v>
      </c>
      <c r="Y72" s="35" t="s">
        <v>53</v>
      </c>
      <c r="Z72" s="35" t="s">
        <v>718</v>
      </c>
      <c r="AA72" s="58" t="s">
        <v>719</v>
      </c>
      <c r="AB72" s="58" t="b">
        <v>1</v>
      </c>
      <c r="AC72" s="35" t="s">
        <v>57</v>
      </c>
      <c r="AD72" s="35" t="s">
        <v>57</v>
      </c>
      <c r="AE72" s="35">
        <v>0.5</v>
      </c>
      <c r="AF72" s="35" t="s">
        <v>58</v>
      </c>
      <c r="AG72" s="35" t="s">
        <v>59</v>
      </c>
      <c r="AH72" s="35" t="s">
        <v>60</v>
      </c>
      <c r="AI72" s="35" t="s">
        <v>629</v>
      </c>
      <c r="AJ72" s="35" t="s">
        <v>334</v>
      </c>
      <c r="AK72" s="35" t="s">
        <v>1140</v>
      </c>
      <c r="AL72" s="58" t="s">
        <v>64</v>
      </c>
      <c r="AM72" s="58" t="s">
        <v>65</v>
      </c>
      <c r="AN72" s="58" t="s">
        <v>1158</v>
      </c>
      <c r="AO72" s="56" t="s">
        <v>1142</v>
      </c>
    </row>
    <row r="73" ht="15.0" customHeight="1">
      <c r="A73" s="57">
        <v>80.0</v>
      </c>
      <c r="B73" s="35" t="s">
        <v>563</v>
      </c>
      <c r="C73" s="35" t="s">
        <v>709</v>
      </c>
      <c r="D73" s="35" t="s">
        <v>710</v>
      </c>
      <c r="E73" s="35" t="s">
        <v>711</v>
      </c>
      <c r="F73" s="35" t="s">
        <v>712</v>
      </c>
      <c r="G73" s="22" t="s">
        <v>720</v>
      </c>
      <c r="H73" s="35" t="s">
        <v>721</v>
      </c>
      <c r="I73" s="35" t="s">
        <v>715</v>
      </c>
      <c r="J73" s="35" t="s">
        <v>722</v>
      </c>
      <c r="K73" s="35" t="s">
        <v>723</v>
      </c>
      <c r="L73" s="35">
        <v>1.0</v>
      </c>
      <c r="M73" s="35">
        <v>0.0</v>
      </c>
      <c r="N73" s="35">
        <v>0.3617021276595745</v>
      </c>
      <c r="O73" s="35">
        <v>0.0</v>
      </c>
      <c r="P73" s="35">
        <v>40.0</v>
      </c>
      <c r="Q73" s="35" t="s">
        <v>53</v>
      </c>
      <c r="R73" s="35">
        <v>0.0</v>
      </c>
      <c r="S73" s="35" t="s">
        <v>53</v>
      </c>
      <c r="T73" s="35">
        <v>0.0</v>
      </c>
      <c r="U73" s="35">
        <v>0.0</v>
      </c>
      <c r="V73" s="35">
        <v>0.0</v>
      </c>
      <c r="W73" s="35" t="s">
        <v>53</v>
      </c>
      <c r="X73" s="35">
        <v>0.0</v>
      </c>
      <c r="Y73" s="35" t="s">
        <v>53</v>
      </c>
      <c r="Z73" s="35" t="s">
        <v>718</v>
      </c>
      <c r="AA73" s="58" t="s">
        <v>719</v>
      </c>
      <c r="AB73" s="58" t="b">
        <v>1</v>
      </c>
      <c r="AC73" s="35" t="s">
        <v>57</v>
      </c>
      <c r="AD73" s="35" t="s">
        <v>57</v>
      </c>
      <c r="AE73" s="35">
        <v>0.5</v>
      </c>
      <c r="AF73" s="35" t="s">
        <v>58</v>
      </c>
      <c r="AG73" s="35" t="s">
        <v>59</v>
      </c>
      <c r="AH73" s="35" t="s">
        <v>60</v>
      </c>
      <c r="AI73" s="35" t="s">
        <v>629</v>
      </c>
      <c r="AJ73" s="35" t="s">
        <v>334</v>
      </c>
      <c r="AK73" s="35" t="s">
        <v>1140</v>
      </c>
      <c r="AL73" s="58" t="s">
        <v>64</v>
      </c>
      <c r="AM73" s="58" t="s">
        <v>65</v>
      </c>
      <c r="AN73" s="58" t="s">
        <v>1158</v>
      </c>
      <c r="AO73" s="56" t="s">
        <v>1142</v>
      </c>
    </row>
    <row r="74" ht="15.0" customHeight="1">
      <c r="A74" s="57">
        <v>81.0</v>
      </c>
      <c r="B74" s="35" t="s">
        <v>724</v>
      </c>
      <c r="C74" s="35" t="s">
        <v>725</v>
      </c>
      <c r="D74" s="35" t="s">
        <v>726</v>
      </c>
      <c r="E74" s="35" t="s">
        <v>727</v>
      </c>
      <c r="F74" s="35" t="s">
        <v>728</v>
      </c>
      <c r="G74" s="22" t="s">
        <v>729</v>
      </c>
      <c r="H74" s="35" t="s">
        <v>730</v>
      </c>
      <c r="I74" s="35" t="s">
        <v>193</v>
      </c>
      <c r="J74" s="35" t="s">
        <v>731</v>
      </c>
      <c r="K74" s="35" t="s">
        <v>732</v>
      </c>
      <c r="L74" s="35">
        <v>1.0</v>
      </c>
      <c r="M74" s="35">
        <v>0.0</v>
      </c>
      <c r="N74" s="35">
        <v>0.37777777777777777</v>
      </c>
      <c r="O74" s="35">
        <v>1.0</v>
      </c>
      <c r="P74" s="35">
        <v>8.0</v>
      </c>
      <c r="Q74" s="35" t="s">
        <v>53</v>
      </c>
      <c r="R74" s="35">
        <v>0.0</v>
      </c>
      <c r="S74" s="35" t="s">
        <v>53</v>
      </c>
      <c r="T74" s="35">
        <v>0.0</v>
      </c>
      <c r="U74" s="35">
        <v>0.0</v>
      </c>
      <c r="V74" s="35">
        <v>0.0</v>
      </c>
      <c r="W74" s="35" t="s">
        <v>53</v>
      </c>
      <c r="X74" s="35">
        <v>0.0</v>
      </c>
      <c r="Y74" s="35" t="s">
        <v>53</v>
      </c>
      <c r="Z74" s="35" t="s">
        <v>733</v>
      </c>
      <c r="AA74" s="58" t="s">
        <v>734</v>
      </c>
      <c r="AB74" s="58" t="b">
        <v>1</v>
      </c>
      <c r="AC74" s="35" t="s">
        <v>56</v>
      </c>
      <c r="AD74" s="35" t="s">
        <v>57</v>
      </c>
      <c r="AE74" s="35">
        <v>0.25</v>
      </c>
      <c r="AF74" s="35" t="s">
        <v>58</v>
      </c>
      <c r="AG74" s="35" t="s">
        <v>59</v>
      </c>
      <c r="AH74" s="35" t="s">
        <v>60</v>
      </c>
      <c r="AI74" s="35" t="s">
        <v>61</v>
      </c>
      <c r="AJ74" s="35" t="s">
        <v>62</v>
      </c>
      <c r="AK74" s="35" t="s">
        <v>1140</v>
      </c>
      <c r="AL74" s="58" t="s">
        <v>889</v>
      </c>
      <c r="AM74" s="58" t="s">
        <v>65</v>
      </c>
      <c r="AN74" s="58" t="s">
        <v>1153</v>
      </c>
      <c r="AO74" s="56" t="s">
        <v>1142</v>
      </c>
    </row>
    <row r="75" ht="15.0" customHeight="1">
      <c r="A75" s="57">
        <v>82.0</v>
      </c>
      <c r="B75" s="35" t="s">
        <v>724</v>
      </c>
      <c r="C75" s="35" t="s">
        <v>735</v>
      </c>
      <c r="D75" s="35" t="s">
        <v>736</v>
      </c>
      <c r="E75" s="35" t="s">
        <v>737</v>
      </c>
      <c r="F75" s="35" t="s">
        <v>738</v>
      </c>
      <c r="G75" s="22" t="s">
        <v>739</v>
      </c>
      <c r="H75" s="35" t="s">
        <v>740</v>
      </c>
      <c r="I75" s="35" t="s">
        <v>741</v>
      </c>
      <c r="J75" s="35" t="s">
        <v>742</v>
      </c>
      <c r="K75" s="35" t="s">
        <v>743</v>
      </c>
      <c r="L75" s="35">
        <v>1.0</v>
      </c>
      <c r="M75" s="35">
        <v>0.0</v>
      </c>
      <c r="N75" s="35">
        <v>0.1724137931034483</v>
      </c>
      <c r="O75" s="35">
        <v>1.0</v>
      </c>
      <c r="P75" s="35">
        <v>10.0</v>
      </c>
      <c r="Q75" s="35" t="s">
        <v>53</v>
      </c>
      <c r="R75" s="35">
        <v>0.0</v>
      </c>
      <c r="S75" s="35" t="s">
        <v>53</v>
      </c>
      <c r="T75" s="35">
        <v>0.0</v>
      </c>
      <c r="U75" s="35">
        <v>0.0</v>
      </c>
      <c r="V75" s="35">
        <v>0.0</v>
      </c>
      <c r="W75" s="35" t="s">
        <v>53</v>
      </c>
      <c r="X75" s="35">
        <v>0.0</v>
      </c>
      <c r="Y75" s="35" t="s">
        <v>53</v>
      </c>
      <c r="Z75" s="35" t="s">
        <v>744</v>
      </c>
      <c r="AA75" s="58" t="s">
        <v>734</v>
      </c>
      <c r="AB75" s="58" t="b">
        <v>1</v>
      </c>
      <c r="AC75" s="35" t="s">
        <v>57</v>
      </c>
      <c r="AD75" s="35" t="s">
        <v>57</v>
      </c>
      <c r="AE75" s="35">
        <v>0.13</v>
      </c>
      <c r="AF75" s="35" t="s">
        <v>162</v>
      </c>
      <c r="AG75" s="35" t="s">
        <v>59</v>
      </c>
      <c r="AH75" s="35" t="s">
        <v>60</v>
      </c>
      <c r="AI75" s="35" t="s">
        <v>61</v>
      </c>
      <c r="AJ75" s="35" t="s">
        <v>62</v>
      </c>
      <c r="AK75" s="35" t="s">
        <v>1140</v>
      </c>
      <c r="AL75" s="58" t="s">
        <v>164</v>
      </c>
      <c r="AM75" s="58" t="s">
        <v>65</v>
      </c>
      <c r="AN75" s="58" t="s">
        <v>1150</v>
      </c>
      <c r="AO75" s="56" t="s">
        <v>1142</v>
      </c>
    </row>
    <row r="76" ht="15.0" customHeight="1">
      <c r="A76" s="57">
        <v>83.0</v>
      </c>
      <c r="B76" s="35" t="s">
        <v>352</v>
      </c>
      <c r="C76" s="35" t="s">
        <v>745</v>
      </c>
      <c r="D76" s="35" t="s">
        <v>746</v>
      </c>
      <c r="E76" s="35" t="s">
        <v>747</v>
      </c>
      <c r="F76" s="35" t="s">
        <v>748</v>
      </c>
      <c r="G76" s="22" t="s">
        <v>749</v>
      </c>
      <c r="H76" s="35" t="s">
        <v>750</v>
      </c>
      <c r="I76" s="35" t="s">
        <v>751</v>
      </c>
      <c r="J76" s="35" t="s">
        <v>752</v>
      </c>
      <c r="K76" s="35" t="s">
        <v>753</v>
      </c>
      <c r="L76" s="35">
        <v>0.3333333333333333</v>
      </c>
      <c r="M76" s="35">
        <v>0.6666666666666666</v>
      </c>
      <c r="N76" s="35">
        <v>0.05202312138728324</v>
      </c>
      <c r="O76" s="35">
        <v>0.0</v>
      </c>
      <c r="P76" s="35">
        <v>19.0</v>
      </c>
      <c r="Q76" s="35" t="s">
        <v>314</v>
      </c>
      <c r="R76" s="35">
        <v>1.0</v>
      </c>
      <c r="S76" s="35" t="s">
        <v>754</v>
      </c>
      <c r="T76" s="35">
        <v>1.0</v>
      </c>
      <c r="U76" s="35">
        <v>1.0</v>
      </c>
      <c r="V76" s="35">
        <v>0.0</v>
      </c>
      <c r="W76" s="35" t="s">
        <v>53</v>
      </c>
      <c r="X76" s="35">
        <v>0.0</v>
      </c>
      <c r="Y76" s="35" t="s">
        <v>53</v>
      </c>
      <c r="Z76" s="35" t="s">
        <v>755</v>
      </c>
      <c r="AA76" s="58" t="s">
        <v>734</v>
      </c>
      <c r="AB76" s="58" t="b">
        <v>1</v>
      </c>
      <c r="AC76" s="35" t="s">
        <v>57</v>
      </c>
      <c r="AD76" s="35" t="s">
        <v>57</v>
      </c>
      <c r="AE76" s="35">
        <v>0.67</v>
      </c>
      <c r="AF76" s="35" t="s">
        <v>58</v>
      </c>
      <c r="AG76" s="35" t="s">
        <v>79</v>
      </c>
      <c r="AH76" s="35" t="s">
        <v>60</v>
      </c>
      <c r="AI76" s="35" t="s">
        <v>374</v>
      </c>
      <c r="AJ76" s="35" t="s">
        <v>62</v>
      </c>
      <c r="AK76" s="35" t="s">
        <v>1140</v>
      </c>
      <c r="AL76" s="58" t="s">
        <v>164</v>
      </c>
      <c r="AM76" s="58" t="s">
        <v>65</v>
      </c>
      <c r="AN76" s="58" t="s">
        <v>1158</v>
      </c>
      <c r="AO76" s="56" t="s">
        <v>6870</v>
      </c>
    </row>
    <row r="77" ht="15.0" customHeight="1">
      <c r="A77" s="57">
        <v>84.0</v>
      </c>
      <c r="B77" s="35" t="s">
        <v>352</v>
      </c>
      <c r="C77" s="35" t="s">
        <v>745</v>
      </c>
      <c r="D77" s="35" t="s">
        <v>746</v>
      </c>
      <c r="E77" s="35" t="s">
        <v>747</v>
      </c>
      <c r="F77" s="35" t="s">
        <v>748</v>
      </c>
      <c r="G77" s="22" t="s">
        <v>756</v>
      </c>
      <c r="H77" s="35" t="s">
        <v>757</v>
      </c>
      <c r="I77" s="35" t="s">
        <v>758</v>
      </c>
      <c r="J77" s="35" t="s">
        <v>759</v>
      </c>
      <c r="K77" s="35" t="s">
        <v>760</v>
      </c>
      <c r="L77" s="35">
        <v>0.3333333333333333</v>
      </c>
      <c r="M77" s="35">
        <v>0.6666666666666666</v>
      </c>
      <c r="N77" s="35">
        <v>0.05202312138728324</v>
      </c>
      <c r="O77" s="35">
        <v>0.0</v>
      </c>
      <c r="P77" s="35">
        <v>19.0</v>
      </c>
      <c r="Q77" s="35" t="s">
        <v>314</v>
      </c>
      <c r="R77" s="35">
        <v>1.0</v>
      </c>
      <c r="S77" s="35" t="s">
        <v>761</v>
      </c>
      <c r="T77" s="35">
        <v>1.0</v>
      </c>
      <c r="U77" s="35">
        <v>1.0</v>
      </c>
      <c r="V77" s="35">
        <v>0.0</v>
      </c>
      <c r="W77" s="35" t="s">
        <v>53</v>
      </c>
      <c r="X77" s="35">
        <v>0.0</v>
      </c>
      <c r="Y77" s="35" t="s">
        <v>53</v>
      </c>
      <c r="Z77" s="35" t="s">
        <v>755</v>
      </c>
      <c r="AA77" s="58" t="s">
        <v>734</v>
      </c>
      <c r="AB77" s="58" t="b">
        <v>1</v>
      </c>
      <c r="AC77" s="35" t="s">
        <v>57</v>
      </c>
      <c r="AD77" s="35" t="s">
        <v>57</v>
      </c>
      <c r="AE77" s="35">
        <v>0.67</v>
      </c>
      <c r="AF77" s="35" t="s">
        <v>58</v>
      </c>
      <c r="AG77" s="35" t="s">
        <v>79</v>
      </c>
      <c r="AH77" s="35" t="s">
        <v>60</v>
      </c>
      <c r="AI77" s="35" t="s">
        <v>374</v>
      </c>
      <c r="AJ77" s="35" t="s">
        <v>62</v>
      </c>
      <c r="AK77" s="35" t="s">
        <v>1140</v>
      </c>
      <c r="AL77" s="58" t="s">
        <v>164</v>
      </c>
      <c r="AM77" s="58" t="s">
        <v>65</v>
      </c>
      <c r="AN77" s="58" t="s">
        <v>1158</v>
      </c>
      <c r="AO77" s="56" t="s">
        <v>6870</v>
      </c>
    </row>
    <row r="78" ht="15.0" customHeight="1">
      <c r="A78" s="57">
        <v>85.0</v>
      </c>
      <c r="B78" s="35" t="s">
        <v>762</v>
      </c>
      <c r="C78" s="35" t="s">
        <v>763</v>
      </c>
      <c r="D78" s="35" t="s">
        <v>764</v>
      </c>
      <c r="E78" s="35" t="s">
        <v>169</v>
      </c>
      <c r="F78" s="35" t="s">
        <v>765</v>
      </c>
      <c r="G78" s="22" t="s">
        <v>766</v>
      </c>
      <c r="H78" s="35" t="s">
        <v>767</v>
      </c>
      <c r="I78" s="35" t="s">
        <v>768</v>
      </c>
      <c r="J78" s="35" t="s">
        <v>769</v>
      </c>
      <c r="K78" s="35" t="s">
        <v>770</v>
      </c>
      <c r="L78" s="35">
        <v>1.0</v>
      </c>
      <c r="M78" s="35">
        <v>0.0</v>
      </c>
      <c r="N78" s="35">
        <v>0.6108374384236454</v>
      </c>
      <c r="O78" s="35">
        <v>3.0</v>
      </c>
      <c r="P78" s="35">
        <v>9.0</v>
      </c>
      <c r="Q78" s="35" t="s">
        <v>53</v>
      </c>
      <c r="R78" s="35">
        <v>0.0</v>
      </c>
      <c r="S78" s="35" t="s">
        <v>53</v>
      </c>
      <c r="T78" s="35">
        <v>0.0</v>
      </c>
      <c r="U78" s="35">
        <v>0.0</v>
      </c>
      <c r="V78" s="35">
        <v>0.0</v>
      </c>
      <c r="W78" s="35" t="s">
        <v>53</v>
      </c>
      <c r="X78" s="35">
        <v>0.0</v>
      </c>
      <c r="Y78" s="35" t="s">
        <v>53</v>
      </c>
      <c r="Z78" s="35" t="s">
        <v>771</v>
      </c>
      <c r="AA78" s="58" t="s">
        <v>772</v>
      </c>
      <c r="AB78" s="58" t="b">
        <v>1</v>
      </c>
      <c r="AC78" s="35" t="s">
        <v>57</v>
      </c>
      <c r="AD78" s="35" t="s">
        <v>56</v>
      </c>
      <c r="AE78" s="35">
        <v>0.13</v>
      </c>
      <c r="AF78" s="35" t="s">
        <v>559</v>
      </c>
      <c r="AG78" s="35" t="s">
        <v>59</v>
      </c>
      <c r="AH78" s="35" t="s">
        <v>209</v>
      </c>
      <c r="AI78" s="35" t="s">
        <v>61</v>
      </c>
      <c r="AJ78" s="35" t="s">
        <v>62</v>
      </c>
      <c r="AK78" s="35" t="s">
        <v>1140</v>
      </c>
      <c r="AL78" s="58" t="s">
        <v>1166</v>
      </c>
      <c r="AM78" s="58" t="s">
        <v>1149</v>
      </c>
      <c r="AN78" s="58" t="s">
        <v>1167</v>
      </c>
      <c r="AO78" s="56" t="s">
        <v>1142</v>
      </c>
    </row>
    <row r="79" ht="15.0" customHeight="1">
      <c r="A79" s="57">
        <v>86.0</v>
      </c>
      <c r="B79" s="35" t="s">
        <v>773</v>
      </c>
      <c r="C79" s="35" t="s">
        <v>774</v>
      </c>
      <c r="D79" s="35" t="s">
        <v>775</v>
      </c>
      <c r="E79" s="35" t="s">
        <v>776</v>
      </c>
      <c r="F79" s="35" t="s">
        <v>777</v>
      </c>
      <c r="G79" s="22" t="s">
        <v>778</v>
      </c>
      <c r="H79" s="35" t="s">
        <v>779</v>
      </c>
      <c r="I79" s="35" t="s">
        <v>780</v>
      </c>
      <c r="J79" s="35" t="s">
        <v>781</v>
      </c>
      <c r="K79" s="35" t="s">
        <v>782</v>
      </c>
      <c r="L79" s="35">
        <v>1.0</v>
      </c>
      <c r="M79" s="35">
        <v>0.0</v>
      </c>
      <c r="N79" s="35">
        <v>0.04823151125401929</v>
      </c>
      <c r="O79" s="35">
        <v>0.0</v>
      </c>
      <c r="P79" s="35">
        <v>17.0</v>
      </c>
      <c r="Q79" s="35" t="s">
        <v>783</v>
      </c>
      <c r="R79" s="35">
        <v>0.0</v>
      </c>
      <c r="S79" s="35" t="s">
        <v>53</v>
      </c>
      <c r="T79" s="35">
        <v>0.0</v>
      </c>
      <c r="U79" s="35">
        <v>0.0</v>
      </c>
      <c r="V79" s="35">
        <v>0.0</v>
      </c>
      <c r="W79" s="35" t="s">
        <v>53</v>
      </c>
      <c r="X79" s="35">
        <v>0.0</v>
      </c>
      <c r="Y79" s="35" t="s">
        <v>53</v>
      </c>
      <c r="Z79" s="35" t="s">
        <v>784</v>
      </c>
      <c r="AA79" s="58" t="s">
        <v>785</v>
      </c>
      <c r="AB79" s="58" t="b">
        <v>1</v>
      </c>
      <c r="AC79" s="35" t="s">
        <v>1143</v>
      </c>
      <c r="AD79" s="35" t="s">
        <v>1144</v>
      </c>
      <c r="AE79" s="35">
        <v>0.5</v>
      </c>
      <c r="AF79" s="35" t="s">
        <v>162</v>
      </c>
      <c r="AG79" s="35" t="s">
        <v>162</v>
      </c>
      <c r="AH79" s="35" t="s">
        <v>60</v>
      </c>
      <c r="AI79" s="35" t="s">
        <v>374</v>
      </c>
      <c r="AJ79" s="35" t="s">
        <v>62</v>
      </c>
      <c r="AK79" s="35" t="s">
        <v>1140</v>
      </c>
      <c r="AL79" s="58" t="s">
        <v>64</v>
      </c>
      <c r="AM79" s="35" t="s">
        <v>65</v>
      </c>
      <c r="AN79" s="58" t="s">
        <v>6874</v>
      </c>
      <c r="AO79" s="56" t="s">
        <v>1142</v>
      </c>
    </row>
    <row r="80" ht="15.0" customHeight="1">
      <c r="A80" s="57">
        <v>87.0</v>
      </c>
      <c r="B80" s="35" t="s">
        <v>773</v>
      </c>
      <c r="C80" s="35" t="s">
        <v>786</v>
      </c>
      <c r="D80" s="35" t="s">
        <v>774</v>
      </c>
      <c r="E80" s="35" t="s">
        <v>787</v>
      </c>
      <c r="F80" s="35" t="s">
        <v>788</v>
      </c>
      <c r="G80" s="22" t="s">
        <v>789</v>
      </c>
      <c r="H80" s="35" t="s">
        <v>790</v>
      </c>
      <c r="I80" s="35" t="s">
        <v>791</v>
      </c>
      <c r="J80" s="35" t="s">
        <v>792</v>
      </c>
      <c r="K80" s="35" t="s">
        <v>793</v>
      </c>
      <c r="L80" s="35">
        <v>0.3333333333333333</v>
      </c>
      <c r="M80" s="35">
        <v>0.6666666666666666</v>
      </c>
      <c r="N80" s="35">
        <v>0.06756756756756757</v>
      </c>
      <c r="O80" s="35">
        <v>2.0</v>
      </c>
      <c r="P80" s="35">
        <v>22.0</v>
      </c>
      <c r="Q80" s="35" t="s">
        <v>794</v>
      </c>
      <c r="R80" s="35">
        <v>1.0</v>
      </c>
      <c r="S80" s="35" t="s">
        <v>795</v>
      </c>
      <c r="T80" s="35">
        <v>1.0</v>
      </c>
      <c r="U80" s="35">
        <v>1.0</v>
      </c>
      <c r="V80" s="35">
        <v>0.0</v>
      </c>
      <c r="W80" s="35" t="s">
        <v>53</v>
      </c>
      <c r="X80" s="35">
        <v>0.0</v>
      </c>
      <c r="Y80" s="35" t="s">
        <v>53</v>
      </c>
      <c r="Z80" s="35" t="s">
        <v>796</v>
      </c>
      <c r="AA80" s="58" t="s">
        <v>785</v>
      </c>
      <c r="AB80" s="58" t="b">
        <v>1</v>
      </c>
      <c r="AC80" s="35" t="s">
        <v>1143</v>
      </c>
      <c r="AD80" s="35" t="s">
        <v>1143</v>
      </c>
      <c r="AE80" s="35">
        <v>0.33</v>
      </c>
      <c r="AF80" s="35" t="s">
        <v>162</v>
      </c>
      <c r="AG80" s="35" t="s">
        <v>1159</v>
      </c>
      <c r="AH80" s="35" t="s">
        <v>60</v>
      </c>
      <c r="AI80" s="35" t="s">
        <v>374</v>
      </c>
      <c r="AJ80" s="35" t="s">
        <v>62</v>
      </c>
      <c r="AK80" s="35" t="s">
        <v>1140</v>
      </c>
      <c r="AL80" s="58" t="s">
        <v>64</v>
      </c>
      <c r="AM80" s="35" t="s">
        <v>65</v>
      </c>
      <c r="AN80" s="58" t="s">
        <v>6874</v>
      </c>
      <c r="AO80" s="56" t="s">
        <v>6870</v>
      </c>
    </row>
    <row r="81" ht="15.0" customHeight="1">
      <c r="A81" s="57">
        <v>88.0</v>
      </c>
      <c r="B81" s="35" t="s">
        <v>773</v>
      </c>
      <c r="C81" s="35" t="s">
        <v>797</v>
      </c>
      <c r="D81" s="35" t="s">
        <v>798</v>
      </c>
      <c r="E81" s="35" t="s">
        <v>799</v>
      </c>
      <c r="F81" s="35" t="s">
        <v>800</v>
      </c>
      <c r="G81" s="22" t="s">
        <v>801</v>
      </c>
      <c r="H81" s="35" t="s">
        <v>802</v>
      </c>
      <c r="I81" s="35" t="s">
        <v>803</v>
      </c>
      <c r="J81" s="35" t="s">
        <v>804</v>
      </c>
      <c r="K81" s="35" t="s">
        <v>805</v>
      </c>
      <c r="L81" s="35">
        <v>0.6</v>
      </c>
      <c r="M81" s="35">
        <v>0.2</v>
      </c>
      <c r="N81" s="35">
        <v>0.06134094151212553</v>
      </c>
      <c r="O81" s="35">
        <v>2.0</v>
      </c>
      <c r="P81" s="35">
        <v>23.0</v>
      </c>
      <c r="Q81" s="35" t="s">
        <v>806</v>
      </c>
      <c r="R81" s="35">
        <v>1.0</v>
      </c>
      <c r="S81" s="35" t="s">
        <v>795</v>
      </c>
      <c r="T81" s="35">
        <v>1.0</v>
      </c>
      <c r="U81" s="35">
        <v>1.0</v>
      </c>
      <c r="V81" s="35">
        <v>0.0</v>
      </c>
      <c r="W81" s="35" t="s">
        <v>53</v>
      </c>
      <c r="X81" s="35">
        <v>0.0</v>
      </c>
      <c r="Y81" s="35" t="s">
        <v>53</v>
      </c>
      <c r="Z81" s="35" t="s">
        <v>807</v>
      </c>
      <c r="AA81" s="58" t="s">
        <v>785</v>
      </c>
      <c r="AB81" s="58" t="b">
        <v>1</v>
      </c>
      <c r="AC81" s="35" t="s">
        <v>1143</v>
      </c>
      <c r="AD81" s="35" t="s">
        <v>1143</v>
      </c>
      <c r="AE81" s="35">
        <v>0.67</v>
      </c>
      <c r="AF81" s="35" t="s">
        <v>162</v>
      </c>
      <c r="AG81" s="35" t="s">
        <v>559</v>
      </c>
      <c r="AH81" s="35" t="s">
        <v>60</v>
      </c>
      <c r="AI81" s="35" t="s">
        <v>374</v>
      </c>
      <c r="AJ81" s="35" t="s">
        <v>62</v>
      </c>
      <c r="AK81" s="35" t="s">
        <v>1140</v>
      </c>
      <c r="AL81" s="58" t="s">
        <v>64</v>
      </c>
      <c r="AM81" s="35" t="s">
        <v>65</v>
      </c>
      <c r="AN81" s="58" t="s">
        <v>1153</v>
      </c>
      <c r="AO81" s="56" t="s">
        <v>1164</v>
      </c>
    </row>
    <row r="82" ht="15.0" customHeight="1">
      <c r="A82" s="57">
        <v>91.0</v>
      </c>
      <c r="B82" s="35" t="s">
        <v>563</v>
      </c>
      <c r="C82" s="35" t="s">
        <v>821</v>
      </c>
      <c r="D82" s="35" t="s">
        <v>822</v>
      </c>
      <c r="E82" s="35" t="s">
        <v>620</v>
      </c>
      <c r="F82" s="35" t="s">
        <v>823</v>
      </c>
      <c r="G82" s="22" t="s">
        <v>824</v>
      </c>
      <c r="H82" s="35" t="s">
        <v>825</v>
      </c>
      <c r="I82" s="35" t="s">
        <v>826</v>
      </c>
      <c r="J82" s="35" t="s">
        <v>827</v>
      </c>
      <c r="K82" s="35" t="s">
        <v>828</v>
      </c>
      <c r="L82" s="35">
        <v>0.8</v>
      </c>
      <c r="M82" s="35">
        <v>0.6</v>
      </c>
      <c r="N82" s="35">
        <v>0.35751295336787564</v>
      </c>
      <c r="O82" s="35">
        <v>0.0</v>
      </c>
      <c r="P82" s="35">
        <v>43.0</v>
      </c>
      <c r="Q82" s="35" t="s">
        <v>829</v>
      </c>
      <c r="R82" s="35">
        <v>1.0</v>
      </c>
      <c r="S82" s="35" t="s">
        <v>830</v>
      </c>
      <c r="T82" s="35">
        <v>0.0</v>
      </c>
      <c r="U82" s="35">
        <v>0.0</v>
      </c>
      <c r="V82" s="35">
        <v>0.0</v>
      </c>
      <c r="W82" s="35" t="s">
        <v>53</v>
      </c>
      <c r="X82" s="35">
        <v>0.0</v>
      </c>
      <c r="Y82" s="35" t="s">
        <v>53</v>
      </c>
      <c r="Z82" s="35" t="s">
        <v>831</v>
      </c>
      <c r="AA82" s="58" t="s">
        <v>785</v>
      </c>
      <c r="AB82" s="58" t="b">
        <v>1</v>
      </c>
      <c r="AC82" s="35" t="s">
        <v>57</v>
      </c>
      <c r="AD82" s="35" t="s">
        <v>56</v>
      </c>
      <c r="AE82" s="35">
        <v>0.71</v>
      </c>
      <c r="AF82" s="35" t="s">
        <v>58</v>
      </c>
      <c r="AG82" s="35" t="s">
        <v>59</v>
      </c>
      <c r="AH82" s="35" t="s">
        <v>209</v>
      </c>
      <c r="AI82" s="35" t="s">
        <v>839</v>
      </c>
      <c r="AJ82" s="35" t="s">
        <v>62</v>
      </c>
      <c r="AK82" s="35" t="s">
        <v>1140</v>
      </c>
      <c r="AL82" s="58" t="s">
        <v>164</v>
      </c>
      <c r="AM82" s="35" t="s">
        <v>65</v>
      </c>
      <c r="AN82" s="58" t="s">
        <v>6875</v>
      </c>
      <c r="AO82" s="56" t="s">
        <v>1151</v>
      </c>
    </row>
    <row r="83" ht="15.0" customHeight="1">
      <c r="A83" s="57">
        <v>92.0</v>
      </c>
      <c r="B83" s="35" t="s">
        <v>563</v>
      </c>
      <c r="C83" s="35" t="s">
        <v>821</v>
      </c>
      <c r="D83" s="35" t="s">
        <v>822</v>
      </c>
      <c r="E83" s="35" t="s">
        <v>832</v>
      </c>
      <c r="F83" s="35" t="s">
        <v>833</v>
      </c>
      <c r="G83" s="22" t="s">
        <v>834</v>
      </c>
      <c r="H83" s="35" t="s">
        <v>835</v>
      </c>
      <c r="I83" s="35" t="s">
        <v>836</v>
      </c>
      <c r="J83" s="35" t="s">
        <v>837</v>
      </c>
      <c r="K83" s="35" t="s">
        <v>838</v>
      </c>
      <c r="L83" s="35">
        <v>0.8</v>
      </c>
      <c r="M83" s="35">
        <v>0.6</v>
      </c>
      <c r="N83" s="35">
        <v>0.40828402366863903</v>
      </c>
      <c r="O83" s="35">
        <v>0.0</v>
      </c>
      <c r="P83" s="35">
        <v>43.0</v>
      </c>
      <c r="Q83" s="35" t="s">
        <v>829</v>
      </c>
      <c r="R83" s="35">
        <v>1.0</v>
      </c>
      <c r="S83" s="35" t="s">
        <v>830</v>
      </c>
      <c r="T83" s="35">
        <v>0.0</v>
      </c>
      <c r="U83" s="35">
        <v>0.0</v>
      </c>
      <c r="V83" s="35">
        <v>0.0</v>
      </c>
      <c r="W83" s="35" t="s">
        <v>53</v>
      </c>
      <c r="X83" s="35">
        <v>0.0</v>
      </c>
      <c r="Y83" s="35" t="s">
        <v>53</v>
      </c>
      <c r="Z83" s="35" t="s">
        <v>831</v>
      </c>
      <c r="AA83" s="58" t="s">
        <v>785</v>
      </c>
      <c r="AB83" s="58" t="b">
        <v>1</v>
      </c>
      <c r="AC83" s="35" t="s">
        <v>57</v>
      </c>
      <c r="AD83" s="35" t="s">
        <v>56</v>
      </c>
      <c r="AE83" s="35">
        <v>0.71</v>
      </c>
      <c r="AF83" s="35" t="s">
        <v>58</v>
      </c>
      <c r="AG83" s="35" t="s">
        <v>559</v>
      </c>
      <c r="AH83" s="35" t="s">
        <v>209</v>
      </c>
      <c r="AI83" s="35" t="s">
        <v>839</v>
      </c>
      <c r="AJ83" s="35" t="s">
        <v>62</v>
      </c>
      <c r="AK83" s="35" t="s">
        <v>1140</v>
      </c>
      <c r="AL83" s="58" t="s">
        <v>64</v>
      </c>
      <c r="AM83" s="35" t="s">
        <v>65</v>
      </c>
      <c r="AN83" s="58" t="s">
        <v>6875</v>
      </c>
      <c r="AO83" s="56" t="s">
        <v>1151</v>
      </c>
    </row>
    <row r="84" ht="15.0" customHeight="1">
      <c r="A84" s="57">
        <v>93.0</v>
      </c>
      <c r="B84" s="35" t="s">
        <v>840</v>
      </c>
      <c r="C84" s="35" t="s">
        <v>841</v>
      </c>
      <c r="D84" s="35" t="s">
        <v>842</v>
      </c>
      <c r="E84" s="35" t="s">
        <v>843</v>
      </c>
      <c r="F84" s="35" t="s">
        <v>844</v>
      </c>
      <c r="G84" s="22" t="s">
        <v>845</v>
      </c>
      <c r="H84" s="35" t="s">
        <v>846</v>
      </c>
      <c r="I84" s="35" t="s">
        <v>847</v>
      </c>
      <c r="J84" s="35" t="s">
        <v>848</v>
      </c>
      <c r="K84" s="35" t="s">
        <v>849</v>
      </c>
      <c r="L84" s="35">
        <v>0.9230769230769231</v>
      </c>
      <c r="M84" s="35">
        <v>0.22727272727272727</v>
      </c>
      <c r="N84" s="35">
        <v>0.2608695652173913</v>
      </c>
      <c r="O84" s="35">
        <v>0.0</v>
      </c>
      <c r="P84" s="35">
        <v>1.0</v>
      </c>
      <c r="Q84" s="35" t="s">
        <v>850</v>
      </c>
      <c r="R84" s="35">
        <v>1.0</v>
      </c>
      <c r="S84" s="35" t="s">
        <v>851</v>
      </c>
      <c r="T84" s="35">
        <v>0.0</v>
      </c>
      <c r="U84" s="35">
        <v>0.0</v>
      </c>
      <c r="V84" s="35">
        <v>1.0</v>
      </c>
      <c r="W84" s="35" t="s">
        <v>852</v>
      </c>
      <c r="X84" s="35">
        <v>0.0</v>
      </c>
      <c r="Y84" s="35" t="s">
        <v>53</v>
      </c>
      <c r="Z84" s="35" t="s">
        <v>853</v>
      </c>
      <c r="AA84" s="58" t="s">
        <v>785</v>
      </c>
      <c r="AB84" s="58" t="b">
        <v>1</v>
      </c>
      <c r="AC84" s="35" t="s">
        <v>57</v>
      </c>
      <c r="AD84" s="35" t="s">
        <v>56</v>
      </c>
      <c r="AE84" s="35">
        <v>0.67</v>
      </c>
      <c r="AF84" s="35" t="s">
        <v>162</v>
      </c>
      <c r="AG84" s="35" t="s">
        <v>559</v>
      </c>
      <c r="AH84" s="35" t="s">
        <v>209</v>
      </c>
      <c r="AI84" s="35" t="s">
        <v>6876</v>
      </c>
      <c r="AJ84" s="35" t="s">
        <v>334</v>
      </c>
      <c r="AK84" s="35" t="s">
        <v>1140</v>
      </c>
      <c r="AL84" s="58" t="s">
        <v>164</v>
      </c>
      <c r="AM84" s="35" t="s">
        <v>6877</v>
      </c>
      <c r="AN84" s="58" t="s">
        <v>1153</v>
      </c>
      <c r="AO84" s="56" t="s">
        <v>6878</v>
      </c>
    </row>
    <row r="85" ht="15.0" customHeight="1">
      <c r="A85" s="57">
        <v>94.0</v>
      </c>
      <c r="B85" s="35" t="s">
        <v>773</v>
      </c>
      <c r="C85" s="35" t="s">
        <v>854</v>
      </c>
      <c r="D85" s="35" t="s">
        <v>855</v>
      </c>
      <c r="E85" s="35" t="s">
        <v>805</v>
      </c>
      <c r="F85" s="35" t="s">
        <v>804</v>
      </c>
      <c r="G85" s="22" t="s">
        <v>856</v>
      </c>
      <c r="H85" s="35" t="s">
        <v>857</v>
      </c>
      <c r="I85" s="35" t="s">
        <v>858</v>
      </c>
      <c r="J85" s="35" t="s">
        <v>859</v>
      </c>
      <c r="K85" s="35" t="s">
        <v>860</v>
      </c>
      <c r="L85" s="35">
        <v>0.6</v>
      </c>
      <c r="M85" s="35">
        <v>0.2</v>
      </c>
      <c r="N85" s="35">
        <v>0.05270655270655271</v>
      </c>
      <c r="O85" s="35">
        <v>3.0</v>
      </c>
      <c r="P85" s="35">
        <v>26.0</v>
      </c>
      <c r="Q85" s="35" t="s">
        <v>806</v>
      </c>
      <c r="R85" s="35">
        <v>1.0</v>
      </c>
      <c r="S85" s="35" t="s">
        <v>861</v>
      </c>
      <c r="T85" s="35">
        <v>1.0</v>
      </c>
      <c r="U85" s="35">
        <v>1.0</v>
      </c>
      <c r="V85" s="35">
        <v>0.0</v>
      </c>
      <c r="W85" s="35" t="s">
        <v>53</v>
      </c>
      <c r="X85" s="35">
        <v>0.0</v>
      </c>
      <c r="Y85" s="35" t="s">
        <v>53</v>
      </c>
      <c r="Z85" s="35" t="s">
        <v>862</v>
      </c>
      <c r="AA85" s="58" t="s">
        <v>863</v>
      </c>
      <c r="AB85" s="58" t="b">
        <v>1</v>
      </c>
      <c r="AC85" s="35" t="s">
        <v>1143</v>
      </c>
      <c r="AD85" s="35" t="s">
        <v>1143</v>
      </c>
      <c r="AE85" s="35">
        <v>0.78</v>
      </c>
      <c r="AF85" s="35" t="s">
        <v>162</v>
      </c>
      <c r="AG85" s="35" t="s">
        <v>559</v>
      </c>
      <c r="AH85" s="35" t="s">
        <v>60</v>
      </c>
      <c r="AI85" s="35" t="s">
        <v>374</v>
      </c>
      <c r="AJ85" s="35" t="s">
        <v>62</v>
      </c>
      <c r="AK85" s="35" t="s">
        <v>1140</v>
      </c>
      <c r="AL85" s="58" t="s">
        <v>64</v>
      </c>
      <c r="AM85" s="35" t="s">
        <v>65</v>
      </c>
      <c r="AN85" s="58" t="s">
        <v>1150</v>
      </c>
      <c r="AO85" s="56" t="s">
        <v>1164</v>
      </c>
    </row>
    <row r="86" ht="15.0" customHeight="1">
      <c r="A86" s="57">
        <v>95.0</v>
      </c>
      <c r="B86" s="35" t="s">
        <v>808</v>
      </c>
      <c r="C86" s="35" t="s">
        <v>864</v>
      </c>
      <c r="D86" s="35" t="s">
        <v>865</v>
      </c>
      <c r="E86" s="35" t="s">
        <v>820</v>
      </c>
      <c r="F86" s="35" t="s">
        <v>819</v>
      </c>
      <c r="G86" s="22" t="s">
        <v>866</v>
      </c>
      <c r="H86" s="35" t="s">
        <v>867</v>
      </c>
      <c r="I86" s="35" t="s">
        <v>73</v>
      </c>
      <c r="J86" s="35" t="s">
        <v>868</v>
      </c>
      <c r="K86" s="35" t="s">
        <v>869</v>
      </c>
      <c r="L86" s="35">
        <v>1.0</v>
      </c>
      <c r="M86" s="35">
        <v>0.0</v>
      </c>
      <c r="N86" s="35">
        <v>0.020618556701030927</v>
      </c>
      <c r="O86" s="35">
        <v>1.0</v>
      </c>
      <c r="P86" s="35">
        <v>59.0</v>
      </c>
      <c r="Q86" s="35" t="s">
        <v>53</v>
      </c>
      <c r="R86" s="35">
        <v>0.0</v>
      </c>
      <c r="S86" s="35" t="s">
        <v>53</v>
      </c>
      <c r="T86" s="35">
        <v>0.0</v>
      </c>
      <c r="U86" s="35">
        <v>0.0</v>
      </c>
      <c r="V86" s="35">
        <v>0.0</v>
      </c>
      <c r="W86" s="35" t="s">
        <v>53</v>
      </c>
      <c r="X86" s="35">
        <v>0.0</v>
      </c>
      <c r="Y86" s="35" t="s">
        <v>53</v>
      </c>
      <c r="Z86" s="35" t="s">
        <v>870</v>
      </c>
      <c r="AA86" s="58" t="s">
        <v>863</v>
      </c>
      <c r="AB86" s="58" t="b">
        <v>1</v>
      </c>
      <c r="AC86" s="35" t="s">
        <v>57</v>
      </c>
      <c r="AD86" s="35" t="s">
        <v>57</v>
      </c>
      <c r="AE86" s="35">
        <v>0.71</v>
      </c>
      <c r="AF86" s="35" t="s">
        <v>58</v>
      </c>
      <c r="AG86" s="35" t="s">
        <v>59</v>
      </c>
      <c r="AH86" s="35" t="s">
        <v>60</v>
      </c>
      <c r="AI86" s="35" t="s">
        <v>61</v>
      </c>
      <c r="AJ86" s="35" t="s">
        <v>62</v>
      </c>
      <c r="AK86" s="35" t="s">
        <v>1140</v>
      </c>
      <c r="AL86" s="58" t="s">
        <v>64</v>
      </c>
      <c r="AM86" s="35" t="s">
        <v>65</v>
      </c>
      <c r="AN86" s="58" t="s">
        <v>1158</v>
      </c>
      <c r="AO86" s="56" t="s">
        <v>1142</v>
      </c>
    </row>
    <row r="87" ht="15.0" customHeight="1">
      <c r="A87" s="57">
        <v>96.0</v>
      </c>
      <c r="B87" s="35" t="s">
        <v>515</v>
      </c>
      <c r="C87" s="35" t="s">
        <v>864</v>
      </c>
      <c r="D87" s="35" t="s">
        <v>865</v>
      </c>
      <c r="E87" s="35" t="s">
        <v>871</v>
      </c>
      <c r="F87" s="35" t="s">
        <v>872</v>
      </c>
      <c r="G87" s="22" t="s">
        <v>873</v>
      </c>
      <c r="H87" s="35" t="s">
        <v>874</v>
      </c>
      <c r="I87" s="35" t="s">
        <v>73</v>
      </c>
      <c r="J87" s="35" t="s">
        <v>875</v>
      </c>
      <c r="K87" s="35" t="s">
        <v>876</v>
      </c>
      <c r="L87" s="35">
        <v>1.0</v>
      </c>
      <c r="M87" s="35">
        <v>0.0</v>
      </c>
      <c r="N87" s="35">
        <v>0.010309278350515464</v>
      </c>
      <c r="O87" s="35">
        <v>1.0</v>
      </c>
      <c r="P87" s="35">
        <v>25.0</v>
      </c>
      <c r="Q87" s="35" t="s">
        <v>53</v>
      </c>
      <c r="R87" s="35">
        <v>0.0</v>
      </c>
      <c r="S87" s="35" t="s">
        <v>53</v>
      </c>
      <c r="T87" s="35">
        <v>0.0</v>
      </c>
      <c r="U87" s="35">
        <v>0.0</v>
      </c>
      <c r="V87" s="35">
        <v>0.0</v>
      </c>
      <c r="W87" s="35" t="s">
        <v>53</v>
      </c>
      <c r="X87" s="35">
        <v>0.0</v>
      </c>
      <c r="Y87" s="35" t="s">
        <v>53</v>
      </c>
      <c r="Z87" s="35" t="s">
        <v>870</v>
      </c>
      <c r="AA87" s="58" t="s">
        <v>863</v>
      </c>
      <c r="AB87" s="58" t="b">
        <v>1</v>
      </c>
      <c r="AC87" s="35" t="s">
        <v>57</v>
      </c>
      <c r="AD87" s="35" t="s">
        <v>57</v>
      </c>
      <c r="AE87" s="35">
        <v>0.71</v>
      </c>
      <c r="AF87" s="35" t="s">
        <v>58</v>
      </c>
      <c r="AG87" s="35" t="s">
        <v>59</v>
      </c>
      <c r="AH87" s="35" t="s">
        <v>60</v>
      </c>
      <c r="AI87" s="35" t="s">
        <v>61</v>
      </c>
      <c r="AJ87" s="35" t="s">
        <v>62</v>
      </c>
      <c r="AK87" s="35" t="s">
        <v>1140</v>
      </c>
      <c r="AL87" s="58" t="s">
        <v>64</v>
      </c>
      <c r="AM87" s="35" t="s">
        <v>65</v>
      </c>
      <c r="AN87" s="58" t="s">
        <v>1158</v>
      </c>
      <c r="AO87" s="56" t="s">
        <v>1142</v>
      </c>
    </row>
    <row r="88" ht="15.0" customHeight="1">
      <c r="A88" s="57">
        <v>97.0</v>
      </c>
      <c r="B88" s="35" t="s">
        <v>877</v>
      </c>
      <c r="C88" s="35" t="s">
        <v>878</v>
      </c>
      <c r="D88" s="35" t="s">
        <v>879</v>
      </c>
      <c r="E88" s="35" t="s">
        <v>880</v>
      </c>
      <c r="F88" s="35" t="s">
        <v>881</v>
      </c>
      <c r="G88" s="22" t="s">
        <v>882</v>
      </c>
      <c r="H88" s="35" t="s">
        <v>883</v>
      </c>
      <c r="I88" s="35" t="s">
        <v>884</v>
      </c>
      <c r="J88" s="35" t="s">
        <v>885</v>
      </c>
      <c r="K88" s="35" t="s">
        <v>886</v>
      </c>
      <c r="L88" s="35">
        <v>1.0</v>
      </c>
      <c r="M88" s="35">
        <v>0.0</v>
      </c>
      <c r="N88" s="35">
        <v>0.7590361445783133</v>
      </c>
      <c r="O88" s="35">
        <v>7.0</v>
      </c>
      <c r="P88" s="35">
        <v>29.0</v>
      </c>
      <c r="Q88" s="35" t="s">
        <v>53</v>
      </c>
      <c r="R88" s="35">
        <v>0.0</v>
      </c>
      <c r="S88" s="35" t="s">
        <v>53</v>
      </c>
      <c r="T88" s="35">
        <v>0.0</v>
      </c>
      <c r="U88" s="35">
        <v>0.0</v>
      </c>
      <c r="V88" s="35">
        <v>0.0</v>
      </c>
      <c r="W88" s="35" t="s">
        <v>53</v>
      </c>
      <c r="X88" s="35">
        <v>0.0</v>
      </c>
      <c r="Y88" s="35" t="s">
        <v>53</v>
      </c>
      <c r="Z88" s="35" t="s">
        <v>887</v>
      </c>
      <c r="AA88" s="58" t="s">
        <v>888</v>
      </c>
      <c r="AB88" s="58" t="b">
        <v>1</v>
      </c>
      <c r="AC88" s="35" t="s">
        <v>57</v>
      </c>
      <c r="AD88" s="35" t="s">
        <v>77</v>
      </c>
      <c r="AE88" s="35">
        <v>0.11</v>
      </c>
      <c r="AF88" s="35" t="s">
        <v>59</v>
      </c>
      <c r="AG88" s="35" t="s">
        <v>59</v>
      </c>
      <c r="AH88" s="35" t="s">
        <v>209</v>
      </c>
      <c r="AI88" s="35" t="s">
        <v>629</v>
      </c>
      <c r="AJ88" s="35" t="s">
        <v>334</v>
      </c>
      <c r="AK88" s="35" t="s">
        <v>1140</v>
      </c>
      <c r="AL88" s="58" t="s">
        <v>889</v>
      </c>
      <c r="AM88" s="35" t="s">
        <v>6879</v>
      </c>
      <c r="AN88" s="58" t="s">
        <v>6880</v>
      </c>
      <c r="AO88" s="56" t="s">
        <v>1142</v>
      </c>
    </row>
    <row r="89" ht="15.0" customHeight="1">
      <c r="A89" s="63">
        <v>98.0</v>
      </c>
      <c r="B89" s="46" t="s">
        <v>515</v>
      </c>
      <c r="C89" s="46" t="s">
        <v>891</v>
      </c>
      <c r="D89" s="46" t="s">
        <v>892</v>
      </c>
      <c r="E89" s="46" t="s">
        <v>893</v>
      </c>
      <c r="F89" s="46" t="s">
        <v>894</v>
      </c>
      <c r="G89" s="22" t="s">
        <v>895</v>
      </c>
      <c r="H89" s="46" t="s">
        <v>896</v>
      </c>
      <c r="I89" s="46" t="s">
        <v>897</v>
      </c>
      <c r="J89" s="46" t="s">
        <v>898</v>
      </c>
      <c r="K89" s="46" t="s">
        <v>899</v>
      </c>
      <c r="L89" s="46">
        <v>1.0</v>
      </c>
      <c r="M89" s="46">
        <v>0.9166666666666666</v>
      </c>
      <c r="N89" s="46">
        <v>0.8789659224441834</v>
      </c>
      <c r="O89" s="46">
        <v>0.0</v>
      </c>
      <c r="P89" s="46">
        <v>27.0</v>
      </c>
      <c r="Q89" s="46" t="s">
        <v>53</v>
      </c>
      <c r="R89" s="46">
        <v>0.0</v>
      </c>
      <c r="S89" s="46" t="s">
        <v>53</v>
      </c>
      <c r="T89" s="46">
        <v>0.0</v>
      </c>
      <c r="U89" s="46">
        <v>0.0</v>
      </c>
      <c r="V89" s="46">
        <v>1.0</v>
      </c>
      <c r="W89" s="46" t="s">
        <v>900</v>
      </c>
      <c r="X89" s="46">
        <v>0.0</v>
      </c>
      <c r="Y89" s="46" t="s">
        <v>53</v>
      </c>
      <c r="Z89" s="46" t="s">
        <v>901</v>
      </c>
      <c r="AA89" s="64" t="s">
        <v>902</v>
      </c>
      <c r="AB89" s="64" t="b">
        <v>1</v>
      </c>
      <c r="AC89" s="46" t="s">
        <v>57</v>
      </c>
      <c r="AD89" s="46" t="s">
        <v>56</v>
      </c>
      <c r="AE89" s="46">
        <v>0.33</v>
      </c>
      <c r="AF89" s="46" t="s">
        <v>59</v>
      </c>
      <c r="AG89" s="46" t="s">
        <v>59</v>
      </c>
      <c r="AH89" s="46" t="s">
        <v>1168</v>
      </c>
      <c r="AI89" s="46" t="s">
        <v>61</v>
      </c>
      <c r="AJ89" s="46" t="s">
        <v>62</v>
      </c>
      <c r="AK89" s="46" t="s">
        <v>1140</v>
      </c>
      <c r="AL89" s="64" t="s">
        <v>1166</v>
      </c>
      <c r="AM89" s="46" t="s">
        <v>1169</v>
      </c>
      <c r="AN89" s="64" t="s">
        <v>1153</v>
      </c>
      <c r="AO89" s="56" t="s">
        <v>1146</v>
      </c>
    </row>
    <row r="90" ht="15.0" customHeight="1">
      <c r="A90" s="57">
        <v>99.0</v>
      </c>
      <c r="B90" s="35" t="s">
        <v>877</v>
      </c>
      <c r="C90" s="35" t="s">
        <v>903</v>
      </c>
      <c r="D90" s="35" t="s">
        <v>904</v>
      </c>
      <c r="E90" s="35" t="s">
        <v>905</v>
      </c>
      <c r="F90" s="35" t="s">
        <v>906</v>
      </c>
      <c r="G90" s="22" t="s">
        <v>907</v>
      </c>
      <c r="H90" s="35" t="s">
        <v>908</v>
      </c>
      <c r="I90" s="35" t="s">
        <v>909</v>
      </c>
      <c r="J90" s="35" t="s">
        <v>910</v>
      </c>
      <c r="K90" s="35" t="s">
        <v>911</v>
      </c>
      <c r="L90" s="35">
        <v>1.0</v>
      </c>
      <c r="M90" s="35">
        <v>0.38461538461538464</v>
      </c>
      <c r="N90" s="35">
        <v>0.2828535669586984</v>
      </c>
      <c r="O90" s="35">
        <v>3.0</v>
      </c>
      <c r="P90" s="35">
        <v>30.0</v>
      </c>
      <c r="Q90" s="35" t="s">
        <v>912</v>
      </c>
      <c r="R90" s="35">
        <v>0.0</v>
      </c>
      <c r="S90" s="35" t="s">
        <v>53</v>
      </c>
      <c r="T90" s="35">
        <v>0.0</v>
      </c>
      <c r="U90" s="35">
        <v>0.0</v>
      </c>
      <c r="V90" s="35">
        <v>0.0</v>
      </c>
      <c r="W90" s="35" t="s">
        <v>53</v>
      </c>
      <c r="X90" s="35">
        <v>1.0</v>
      </c>
      <c r="Y90" s="35" t="s">
        <v>913</v>
      </c>
      <c r="Z90" s="35" t="s">
        <v>914</v>
      </c>
      <c r="AA90" s="58" t="s">
        <v>915</v>
      </c>
      <c r="AB90" s="58" t="b">
        <v>1</v>
      </c>
      <c r="AC90" s="35" t="s">
        <v>57</v>
      </c>
      <c r="AD90" s="35" t="s">
        <v>6872</v>
      </c>
      <c r="AE90" s="35">
        <v>0.14</v>
      </c>
      <c r="AF90" s="35" t="s">
        <v>559</v>
      </c>
      <c r="AG90" s="35" t="s">
        <v>1159</v>
      </c>
      <c r="AH90" s="35" t="s">
        <v>209</v>
      </c>
      <c r="AI90" s="35" t="s">
        <v>249</v>
      </c>
      <c r="AJ90" s="35" t="s">
        <v>62</v>
      </c>
      <c r="AK90" s="35" t="s">
        <v>1140</v>
      </c>
      <c r="AL90" s="58" t="s">
        <v>64</v>
      </c>
      <c r="AM90" s="35" t="s">
        <v>65</v>
      </c>
      <c r="AN90" s="58" t="s">
        <v>1150</v>
      </c>
      <c r="AO90" s="56" t="s">
        <v>6873</v>
      </c>
    </row>
    <row r="91" ht="15.0" customHeight="1">
      <c r="A91" s="57">
        <v>100.0</v>
      </c>
      <c r="B91" s="35" t="s">
        <v>340</v>
      </c>
      <c r="C91" s="35" t="s">
        <v>916</v>
      </c>
      <c r="D91" s="35" t="s">
        <v>917</v>
      </c>
      <c r="E91" s="35" t="s">
        <v>343</v>
      </c>
      <c r="F91" s="35" t="s">
        <v>918</v>
      </c>
      <c r="G91" s="22" t="s">
        <v>919</v>
      </c>
      <c r="H91" s="35" t="s">
        <v>920</v>
      </c>
      <c r="I91" s="35" t="s">
        <v>73</v>
      </c>
      <c r="J91" s="35" t="s">
        <v>921</v>
      </c>
      <c r="K91" s="35" t="s">
        <v>922</v>
      </c>
      <c r="L91" s="35">
        <v>1.0</v>
      </c>
      <c r="M91" s="35">
        <v>0.0</v>
      </c>
      <c r="N91" s="35">
        <v>0.06976744186046512</v>
      </c>
      <c r="O91" s="35">
        <v>1.0</v>
      </c>
      <c r="P91" s="35">
        <v>7.0</v>
      </c>
      <c r="Q91" s="35" t="s">
        <v>53</v>
      </c>
      <c r="R91" s="35">
        <v>0.0</v>
      </c>
      <c r="S91" s="35" t="s">
        <v>53</v>
      </c>
      <c r="T91" s="35">
        <v>0.0</v>
      </c>
      <c r="U91" s="35">
        <v>0.0</v>
      </c>
      <c r="V91" s="35">
        <v>0.0</v>
      </c>
      <c r="W91" s="35" t="s">
        <v>53</v>
      </c>
      <c r="X91" s="35">
        <v>0.0</v>
      </c>
      <c r="Y91" s="35" t="s">
        <v>53</v>
      </c>
      <c r="Z91" s="35" t="s">
        <v>923</v>
      </c>
      <c r="AA91" s="58" t="s">
        <v>915</v>
      </c>
      <c r="AB91" s="58" t="b">
        <v>1</v>
      </c>
      <c r="AC91" s="35" t="s">
        <v>56</v>
      </c>
      <c r="AD91" s="35" t="s">
        <v>57</v>
      </c>
      <c r="AE91" s="35">
        <v>0.57</v>
      </c>
      <c r="AF91" s="35" t="s">
        <v>58</v>
      </c>
      <c r="AG91" s="35" t="s">
        <v>559</v>
      </c>
      <c r="AH91" s="35" t="s">
        <v>60</v>
      </c>
      <c r="AI91" s="35" t="s">
        <v>61</v>
      </c>
      <c r="AJ91" s="35" t="s">
        <v>62</v>
      </c>
      <c r="AK91" s="35" t="s">
        <v>1140</v>
      </c>
      <c r="AL91" s="58" t="s">
        <v>64</v>
      </c>
      <c r="AM91" s="35" t="s">
        <v>65</v>
      </c>
      <c r="AN91" s="58" t="s">
        <v>1161</v>
      </c>
      <c r="AO91" s="56" t="s">
        <v>1142</v>
      </c>
    </row>
    <row r="92" ht="15.0" customHeight="1">
      <c r="A92" s="57">
        <v>101.0</v>
      </c>
      <c r="B92" s="35" t="s">
        <v>924</v>
      </c>
      <c r="C92" s="35" t="s">
        <v>916</v>
      </c>
      <c r="D92" s="35" t="s">
        <v>917</v>
      </c>
      <c r="E92" s="35" t="s">
        <v>925</v>
      </c>
      <c r="F92" s="35" t="s">
        <v>926</v>
      </c>
      <c r="G92" s="22" t="s">
        <v>927</v>
      </c>
      <c r="H92" s="35" t="s">
        <v>928</v>
      </c>
      <c r="I92" s="35" t="s">
        <v>929</v>
      </c>
      <c r="J92" s="35" t="s">
        <v>930</v>
      </c>
      <c r="K92" s="35" t="s">
        <v>931</v>
      </c>
      <c r="L92" s="35">
        <v>0.8333333333333334</v>
      </c>
      <c r="M92" s="35">
        <v>0.2</v>
      </c>
      <c r="N92" s="35">
        <v>0.15991902834008098</v>
      </c>
      <c r="O92" s="35">
        <v>0.0</v>
      </c>
      <c r="P92" s="35">
        <v>21.0</v>
      </c>
      <c r="Q92" s="35" t="s">
        <v>932</v>
      </c>
      <c r="R92" s="35">
        <v>1.0</v>
      </c>
      <c r="S92" s="35" t="s">
        <v>314</v>
      </c>
      <c r="T92" s="35">
        <v>0.0</v>
      </c>
      <c r="U92" s="35">
        <v>0.0</v>
      </c>
      <c r="V92" s="35">
        <v>0.0</v>
      </c>
      <c r="W92" s="35" t="s">
        <v>53</v>
      </c>
      <c r="X92" s="35">
        <v>0.0</v>
      </c>
      <c r="Y92" s="35" t="s">
        <v>53</v>
      </c>
      <c r="Z92" s="35" t="s">
        <v>923</v>
      </c>
      <c r="AA92" s="58" t="s">
        <v>915</v>
      </c>
      <c r="AB92" s="58" t="b">
        <v>1</v>
      </c>
      <c r="AC92" s="35" t="s">
        <v>1144</v>
      </c>
      <c r="AD92" s="35" t="s">
        <v>57</v>
      </c>
      <c r="AE92" s="35">
        <v>0.56</v>
      </c>
      <c r="AF92" s="35" t="s">
        <v>162</v>
      </c>
      <c r="AG92" s="35" t="s">
        <v>162</v>
      </c>
      <c r="AH92" s="35" t="s">
        <v>60</v>
      </c>
      <c r="AI92" s="35" t="s">
        <v>629</v>
      </c>
      <c r="AJ92" s="35" t="s">
        <v>630</v>
      </c>
      <c r="AK92" s="35" t="s">
        <v>1140</v>
      </c>
      <c r="AL92" s="58" t="s">
        <v>64</v>
      </c>
      <c r="AM92" s="35" t="s">
        <v>65</v>
      </c>
      <c r="AN92" s="58" t="s">
        <v>1153</v>
      </c>
      <c r="AO92" s="56" t="s">
        <v>1162</v>
      </c>
    </row>
    <row r="93" ht="15.0" customHeight="1">
      <c r="A93" s="57">
        <v>103.0</v>
      </c>
      <c r="B93" s="35" t="s">
        <v>411</v>
      </c>
      <c r="C93" s="35" t="s">
        <v>916</v>
      </c>
      <c r="D93" s="35" t="s">
        <v>917</v>
      </c>
      <c r="E93" s="35" t="s">
        <v>941</v>
      </c>
      <c r="F93" s="35" t="s">
        <v>942</v>
      </c>
      <c r="G93" s="22" t="s">
        <v>943</v>
      </c>
      <c r="H93" s="35" t="s">
        <v>944</v>
      </c>
      <c r="I93" s="35" t="s">
        <v>418</v>
      </c>
      <c r="J93" s="35" t="s">
        <v>945</v>
      </c>
      <c r="K93" s="35" t="s">
        <v>946</v>
      </c>
      <c r="L93" s="35">
        <v>1.0</v>
      </c>
      <c r="M93" s="35">
        <v>0.0</v>
      </c>
      <c r="N93" s="35">
        <v>0.1</v>
      </c>
      <c r="O93" s="35">
        <v>0.0</v>
      </c>
      <c r="P93" s="35">
        <v>78.0</v>
      </c>
      <c r="Q93" s="35" t="s">
        <v>53</v>
      </c>
      <c r="R93" s="35">
        <v>0.0</v>
      </c>
      <c r="S93" s="35" t="s">
        <v>53</v>
      </c>
      <c r="T93" s="35">
        <v>0.0</v>
      </c>
      <c r="U93" s="35">
        <v>0.0</v>
      </c>
      <c r="V93" s="35">
        <v>0.0</v>
      </c>
      <c r="W93" s="35" t="s">
        <v>53</v>
      </c>
      <c r="X93" s="35">
        <v>0.0</v>
      </c>
      <c r="Y93" s="35" t="s">
        <v>53</v>
      </c>
      <c r="Z93" s="35" t="s">
        <v>923</v>
      </c>
      <c r="AA93" s="58" t="s">
        <v>915</v>
      </c>
      <c r="AB93" s="58" t="b">
        <v>1</v>
      </c>
      <c r="AC93" s="35" t="s">
        <v>57</v>
      </c>
      <c r="AD93" s="35" t="s">
        <v>57</v>
      </c>
      <c r="AE93" s="35">
        <v>0.58</v>
      </c>
      <c r="AF93" s="35" t="s">
        <v>58</v>
      </c>
      <c r="AG93" s="35" t="s">
        <v>559</v>
      </c>
      <c r="AH93" s="35" t="s">
        <v>60</v>
      </c>
      <c r="AI93" s="35" t="s">
        <v>61</v>
      </c>
      <c r="AJ93" s="35" t="s">
        <v>62</v>
      </c>
      <c r="AK93" s="35" t="s">
        <v>1140</v>
      </c>
      <c r="AL93" s="58" t="s">
        <v>64</v>
      </c>
      <c r="AM93" s="35" t="s">
        <v>65</v>
      </c>
      <c r="AN93" s="58" t="s">
        <v>1153</v>
      </c>
      <c r="AO93" s="56" t="s">
        <v>1142</v>
      </c>
    </row>
    <row r="94" ht="15.0" customHeight="1">
      <c r="A94" s="57">
        <v>104.0</v>
      </c>
      <c r="B94" s="35" t="s">
        <v>411</v>
      </c>
      <c r="C94" s="35" t="s">
        <v>916</v>
      </c>
      <c r="D94" s="35" t="s">
        <v>917</v>
      </c>
      <c r="E94" s="35" t="s">
        <v>941</v>
      </c>
      <c r="F94" s="35" t="s">
        <v>942</v>
      </c>
      <c r="G94" s="22" t="s">
        <v>947</v>
      </c>
      <c r="H94" s="35" t="s">
        <v>948</v>
      </c>
      <c r="I94" s="35" t="s">
        <v>418</v>
      </c>
      <c r="J94" s="35" t="s">
        <v>949</v>
      </c>
      <c r="K94" s="35" t="s">
        <v>950</v>
      </c>
      <c r="L94" s="35">
        <v>1.0</v>
      </c>
      <c r="M94" s="35">
        <v>0.0</v>
      </c>
      <c r="N94" s="35">
        <v>0.15469613259668508</v>
      </c>
      <c r="O94" s="35">
        <v>0.0</v>
      </c>
      <c r="P94" s="35">
        <v>78.0</v>
      </c>
      <c r="Q94" s="35" t="s">
        <v>53</v>
      </c>
      <c r="R94" s="35">
        <v>0.0</v>
      </c>
      <c r="S94" s="35" t="s">
        <v>53</v>
      </c>
      <c r="T94" s="35">
        <v>0.0</v>
      </c>
      <c r="U94" s="35">
        <v>0.0</v>
      </c>
      <c r="V94" s="35">
        <v>0.0</v>
      </c>
      <c r="W94" s="35" t="s">
        <v>53</v>
      </c>
      <c r="X94" s="35">
        <v>0.0</v>
      </c>
      <c r="Y94" s="35" t="s">
        <v>53</v>
      </c>
      <c r="Z94" s="35" t="s">
        <v>923</v>
      </c>
      <c r="AA94" s="58" t="s">
        <v>915</v>
      </c>
      <c r="AB94" s="58" t="b">
        <v>1</v>
      </c>
      <c r="AC94" s="35" t="s">
        <v>57</v>
      </c>
      <c r="AD94" s="35" t="s">
        <v>57</v>
      </c>
      <c r="AE94" s="35">
        <v>0.58</v>
      </c>
      <c r="AF94" s="35" t="s">
        <v>58</v>
      </c>
      <c r="AG94" s="35" t="s">
        <v>559</v>
      </c>
      <c r="AH94" s="35" t="s">
        <v>60</v>
      </c>
      <c r="AI94" s="35" t="s">
        <v>61</v>
      </c>
      <c r="AJ94" s="35" t="s">
        <v>62</v>
      </c>
      <c r="AK94" s="35" t="s">
        <v>1140</v>
      </c>
      <c r="AL94" s="58" t="s">
        <v>64</v>
      </c>
      <c r="AM94" s="35" t="s">
        <v>65</v>
      </c>
      <c r="AN94" s="58" t="s">
        <v>1153</v>
      </c>
      <c r="AO94" s="56" t="s">
        <v>1142</v>
      </c>
    </row>
    <row r="95" ht="15.0" customHeight="1">
      <c r="A95" s="57">
        <v>105.0</v>
      </c>
      <c r="B95" s="35" t="s">
        <v>411</v>
      </c>
      <c r="C95" s="35" t="s">
        <v>916</v>
      </c>
      <c r="D95" s="35" t="s">
        <v>917</v>
      </c>
      <c r="E95" s="35" t="s">
        <v>951</v>
      </c>
      <c r="F95" s="35" t="s">
        <v>952</v>
      </c>
      <c r="G95" s="22" t="s">
        <v>953</v>
      </c>
      <c r="H95" s="35" t="s">
        <v>954</v>
      </c>
      <c r="I95" s="35" t="s">
        <v>471</v>
      </c>
      <c r="J95" s="35" t="s">
        <v>955</v>
      </c>
      <c r="K95" s="35" t="s">
        <v>956</v>
      </c>
      <c r="L95" s="35">
        <v>1.0</v>
      </c>
      <c r="M95" s="35">
        <v>0.0</v>
      </c>
      <c r="N95" s="35">
        <v>0.1111111111111111</v>
      </c>
      <c r="O95" s="35">
        <v>17.0</v>
      </c>
      <c r="P95" s="35">
        <v>78.0</v>
      </c>
      <c r="Q95" s="35" t="s">
        <v>53</v>
      </c>
      <c r="R95" s="35">
        <v>0.0</v>
      </c>
      <c r="S95" s="35" t="s">
        <v>53</v>
      </c>
      <c r="T95" s="35">
        <v>0.0</v>
      </c>
      <c r="U95" s="35">
        <v>0.0</v>
      </c>
      <c r="V95" s="35">
        <v>0.0</v>
      </c>
      <c r="W95" s="35" t="s">
        <v>53</v>
      </c>
      <c r="X95" s="35">
        <v>0.0</v>
      </c>
      <c r="Y95" s="35" t="s">
        <v>53</v>
      </c>
      <c r="Z95" s="35" t="s">
        <v>923</v>
      </c>
      <c r="AA95" s="58" t="s">
        <v>915</v>
      </c>
      <c r="AB95" s="58" t="b">
        <v>1</v>
      </c>
      <c r="AC95" s="35" t="s">
        <v>57</v>
      </c>
      <c r="AD95" s="35" t="s">
        <v>57</v>
      </c>
      <c r="AE95" s="35">
        <v>0.63</v>
      </c>
      <c r="AF95" s="35" t="s">
        <v>58</v>
      </c>
      <c r="AG95" s="35" t="s">
        <v>59</v>
      </c>
      <c r="AH95" s="35" t="s">
        <v>60</v>
      </c>
      <c r="AI95" s="35" t="s">
        <v>61</v>
      </c>
      <c r="AJ95" s="35" t="s">
        <v>62</v>
      </c>
      <c r="AK95" s="35" t="s">
        <v>1140</v>
      </c>
      <c r="AL95" s="58" t="s">
        <v>64</v>
      </c>
      <c r="AM95" s="35" t="s">
        <v>65</v>
      </c>
      <c r="AN95" s="58" t="s">
        <v>1153</v>
      </c>
      <c r="AO95" s="56" t="s">
        <v>1142</v>
      </c>
    </row>
    <row r="96" ht="15.0" customHeight="1">
      <c r="A96" s="57">
        <v>106.0</v>
      </c>
      <c r="B96" s="35" t="s">
        <v>411</v>
      </c>
      <c r="C96" s="35" t="s">
        <v>916</v>
      </c>
      <c r="D96" s="35" t="s">
        <v>917</v>
      </c>
      <c r="E96" s="35" t="s">
        <v>474</v>
      </c>
      <c r="F96" s="35" t="s">
        <v>475</v>
      </c>
      <c r="G96" s="22" t="s">
        <v>957</v>
      </c>
      <c r="H96" s="35" t="s">
        <v>958</v>
      </c>
      <c r="I96" s="35" t="s">
        <v>478</v>
      </c>
      <c r="J96" s="35" t="s">
        <v>959</v>
      </c>
      <c r="K96" s="35" t="s">
        <v>960</v>
      </c>
      <c r="L96" s="35">
        <v>1.0</v>
      </c>
      <c r="M96" s="35">
        <v>0.0</v>
      </c>
      <c r="N96" s="35">
        <v>0.26143790849673204</v>
      </c>
      <c r="O96" s="35">
        <v>45.0</v>
      </c>
      <c r="P96" s="35">
        <v>78.0</v>
      </c>
      <c r="Q96" s="35" t="s">
        <v>53</v>
      </c>
      <c r="R96" s="35">
        <v>0.0</v>
      </c>
      <c r="S96" s="35" t="s">
        <v>53</v>
      </c>
      <c r="T96" s="35">
        <v>0.0</v>
      </c>
      <c r="U96" s="35">
        <v>0.0</v>
      </c>
      <c r="V96" s="35">
        <v>0.0</v>
      </c>
      <c r="W96" s="35" t="s">
        <v>53</v>
      </c>
      <c r="X96" s="35">
        <v>0.0</v>
      </c>
      <c r="Y96" s="35" t="s">
        <v>53</v>
      </c>
      <c r="Z96" s="35" t="s">
        <v>923</v>
      </c>
      <c r="AA96" s="58" t="s">
        <v>915</v>
      </c>
      <c r="AB96" s="58" t="b">
        <v>1</v>
      </c>
      <c r="AC96" s="35" t="s">
        <v>57</v>
      </c>
      <c r="AD96" s="35" t="s">
        <v>57</v>
      </c>
      <c r="AE96" s="35">
        <v>0.63</v>
      </c>
      <c r="AF96" s="35" t="s">
        <v>58</v>
      </c>
      <c r="AG96" s="35" t="s">
        <v>59</v>
      </c>
      <c r="AH96" s="35" t="s">
        <v>60</v>
      </c>
      <c r="AI96" s="35" t="s">
        <v>61</v>
      </c>
      <c r="AJ96" s="35" t="s">
        <v>62</v>
      </c>
      <c r="AK96" s="35" t="s">
        <v>1140</v>
      </c>
      <c r="AL96" s="58" t="s">
        <v>64</v>
      </c>
      <c r="AM96" s="35" t="s">
        <v>1170</v>
      </c>
      <c r="AN96" s="58" t="s">
        <v>1153</v>
      </c>
      <c r="AO96" s="56" t="s">
        <v>1142</v>
      </c>
    </row>
    <row r="97" ht="15.0" customHeight="1">
      <c r="A97" s="57">
        <v>107.0</v>
      </c>
      <c r="B97" s="35" t="s">
        <v>411</v>
      </c>
      <c r="C97" s="35" t="s">
        <v>916</v>
      </c>
      <c r="D97" s="35" t="s">
        <v>917</v>
      </c>
      <c r="E97" s="35" t="s">
        <v>474</v>
      </c>
      <c r="F97" s="35" t="s">
        <v>475</v>
      </c>
      <c r="G97" s="22" t="s">
        <v>961</v>
      </c>
      <c r="H97" s="35" t="s">
        <v>962</v>
      </c>
      <c r="I97" s="35" t="s">
        <v>478</v>
      </c>
      <c r="J97" s="35" t="s">
        <v>963</v>
      </c>
      <c r="K97" s="35" t="s">
        <v>964</v>
      </c>
      <c r="L97" s="35">
        <v>1.0</v>
      </c>
      <c r="M97" s="35">
        <v>0.0</v>
      </c>
      <c r="N97" s="35">
        <v>0.2565789473684211</v>
      </c>
      <c r="O97" s="35">
        <v>45.0</v>
      </c>
      <c r="P97" s="35">
        <v>78.0</v>
      </c>
      <c r="Q97" s="35" t="s">
        <v>53</v>
      </c>
      <c r="R97" s="35">
        <v>0.0</v>
      </c>
      <c r="S97" s="35" t="s">
        <v>53</v>
      </c>
      <c r="T97" s="35">
        <v>0.0</v>
      </c>
      <c r="U97" s="35">
        <v>0.0</v>
      </c>
      <c r="V97" s="35">
        <v>0.0</v>
      </c>
      <c r="W97" s="35" t="s">
        <v>53</v>
      </c>
      <c r="X97" s="35">
        <v>0.0</v>
      </c>
      <c r="Y97" s="35" t="s">
        <v>53</v>
      </c>
      <c r="Z97" s="35" t="s">
        <v>923</v>
      </c>
      <c r="AA97" s="58" t="s">
        <v>915</v>
      </c>
      <c r="AB97" s="58" t="b">
        <v>1</v>
      </c>
      <c r="AC97" s="35" t="s">
        <v>57</v>
      </c>
      <c r="AD97" s="35" t="s">
        <v>57</v>
      </c>
      <c r="AE97" s="35">
        <v>0.63</v>
      </c>
      <c r="AF97" s="35" t="s">
        <v>58</v>
      </c>
      <c r="AG97" s="35" t="s">
        <v>59</v>
      </c>
      <c r="AH97" s="35" t="s">
        <v>60</v>
      </c>
      <c r="AI97" s="35" t="s">
        <v>61</v>
      </c>
      <c r="AJ97" s="35" t="s">
        <v>62</v>
      </c>
      <c r="AK97" s="35" t="s">
        <v>1140</v>
      </c>
      <c r="AL97" s="58" t="s">
        <v>64</v>
      </c>
      <c r="AM97" s="35" t="s">
        <v>1170</v>
      </c>
      <c r="AN97" s="58" t="s">
        <v>1153</v>
      </c>
      <c r="AO97" s="56" t="s">
        <v>1142</v>
      </c>
    </row>
    <row r="98" ht="15.0" customHeight="1">
      <c r="A98" s="57">
        <v>108.0</v>
      </c>
      <c r="B98" s="35" t="s">
        <v>411</v>
      </c>
      <c r="C98" s="35" t="s">
        <v>916</v>
      </c>
      <c r="D98" s="35" t="s">
        <v>917</v>
      </c>
      <c r="E98" s="35" t="s">
        <v>485</v>
      </c>
      <c r="F98" s="35" t="s">
        <v>486</v>
      </c>
      <c r="G98" s="22" t="s">
        <v>965</v>
      </c>
      <c r="H98" s="35" t="s">
        <v>966</v>
      </c>
      <c r="I98" s="35" t="s">
        <v>478</v>
      </c>
      <c r="J98" s="35" t="s">
        <v>967</v>
      </c>
      <c r="K98" s="35" t="s">
        <v>968</v>
      </c>
      <c r="L98" s="35">
        <v>1.0</v>
      </c>
      <c r="M98" s="35">
        <v>0.0</v>
      </c>
      <c r="N98" s="35">
        <v>0.25161290322580643</v>
      </c>
      <c r="O98" s="35">
        <v>44.0</v>
      </c>
      <c r="P98" s="35">
        <v>78.0</v>
      </c>
      <c r="Q98" s="35" t="s">
        <v>53</v>
      </c>
      <c r="R98" s="35">
        <v>0.0</v>
      </c>
      <c r="S98" s="35" t="s">
        <v>53</v>
      </c>
      <c r="T98" s="35">
        <v>0.0</v>
      </c>
      <c r="U98" s="35">
        <v>0.0</v>
      </c>
      <c r="V98" s="35">
        <v>0.0</v>
      </c>
      <c r="W98" s="35" t="s">
        <v>53</v>
      </c>
      <c r="X98" s="35">
        <v>0.0</v>
      </c>
      <c r="Y98" s="35" t="s">
        <v>53</v>
      </c>
      <c r="Z98" s="35" t="s">
        <v>923</v>
      </c>
      <c r="AA98" s="58" t="s">
        <v>915</v>
      </c>
      <c r="AB98" s="58" t="b">
        <v>1</v>
      </c>
      <c r="AC98" s="35" t="s">
        <v>57</v>
      </c>
      <c r="AD98" s="35" t="s">
        <v>57</v>
      </c>
      <c r="AE98" s="35">
        <v>0.63</v>
      </c>
      <c r="AF98" s="35" t="s">
        <v>58</v>
      </c>
      <c r="AG98" s="35" t="s">
        <v>59</v>
      </c>
      <c r="AH98" s="35" t="s">
        <v>60</v>
      </c>
      <c r="AI98" s="35" t="s">
        <v>61</v>
      </c>
      <c r="AJ98" s="35" t="s">
        <v>62</v>
      </c>
      <c r="AK98" s="35" t="s">
        <v>1140</v>
      </c>
      <c r="AL98" s="58" t="s">
        <v>64</v>
      </c>
      <c r="AM98" s="35" t="s">
        <v>1170</v>
      </c>
      <c r="AN98" s="58" t="s">
        <v>1153</v>
      </c>
      <c r="AO98" s="56" t="s">
        <v>1142</v>
      </c>
    </row>
    <row r="99" ht="15.0" customHeight="1">
      <c r="A99" s="57">
        <v>109.0</v>
      </c>
      <c r="B99" s="35" t="s">
        <v>411</v>
      </c>
      <c r="C99" s="35" t="s">
        <v>916</v>
      </c>
      <c r="D99" s="35" t="s">
        <v>917</v>
      </c>
      <c r="E99" s="35" t="s">
        <v>485</v>
      </c>
      <c r="F99" s="35" t="s">
        <v>486</v>
      </c>
      <c r="G99" s="22" t="s">
        <v>969</v>
      </c>
      <c r="H99" s="35" t="s">
        <v>970</v>
      </c>
      <c r="I99" s="35" t="s">
        <v>478</v>
      </c>
      <c r="J99" s="35" t="s">
        <v>971</v>
      </c>
      <c r="K99" s="35" t="s">
        <v>972</v>
      </c>
      <c r="L99" s="35">
        <v>1.0</v>
      </c>
      <c r="M99" s="35">
        <v>0.0</v>
      </c>
      <c r="N99" s="35">
        <v>0.24675324675324675</v>
      </c>
      <c r="O99" s="35">
        <v>44.0</v>
      </c>
      <c r="P99" s="35">
        <v>78.0</v>
      </c>
      <c r="Q99" s="35" t="s">
        <v>53</v>
      </c>
      <c r="R99" s="35">
        <v>0.0</v>
      </c>
      <c r="S99" s="35" t="s">
        <v>53</v>
      </c>
      <c r="T99" s="35">
        <v>0.0</v>
      </c>
      <c r="U99" s="35">
        <v>0.0</v>
      </c>
      <c r="V99" s="35">
        <v>0.0</v>
      </c>
      <c r="W99" s="35" t="s">
        <v>53</v>
      </c>
      <c r="X99" s="35">
        <v>0.0</v>
      </c>
      <c r="Y99" s="35" t="s">
        <v>53</v>
      </c>
      <c r="Z99" s="35" t="s">
        <v>923</v>
      </c>
      <c r="AA99" s="58" t="s">
        <v>915</v>
      </c>
      <c r="AB99" s="58" t="b">
        <v>1</v>
      </c>
      <c r="AC99" s="35" t="s">
        <v>57</v>
      </c>
      <c r="AD99" s="35" t="s">
        <v>57</v>
      </c>
      <c r="AE99" s="35">
        <v>0.63</v>
      </c>
      <c r="AF99" s="35" t="s">
        <v>58</v>
      </c>
      <c r="AG99" s="35" t="s">
        <v>59</v>
      </c>
      <c r="AH99" s="35" t="s">
        <v>60</v>
      </c>
      <c r="AI99" s="35" t="s">
        <v>61</v>
      </c>
      <c r="AJ99" s="35" t="s">
        <v>62</v>
      </c>
      <c r="AK99" s="35" t="s">
        <v>1140</v>
      </c>
      <c r="AL99" s="58" t="s">
        <v>64</v>
      </c>
      <c r="AM99" s="35" t="s">
        <v>1170</v>
      </c>
      <c r="AN99" s="58" t="s">
        <v>1153</v>
      </c>
      <c r="AO99" s="56" t="s">
        <v>1142</v>
      </c>
    </row>
    <row r="100" ht="15.0" customHeight="1">
      <c r="A100" s="57">
        <v>110.0</v>
      </c>
      <c r="B100" s="35" t="s">
        <v>411</v>
      </c>
      <c r="C100" s="35" t="s">
        <v>916</v>
      </c>
      <c r="D100" s="35" t="s">
        <v>917</v>
      </c>
      <c r="E100" s="35" t="s">
        <v>495</v>
      </c>
      <c r="F100" s="35" t="s">
        <v>496</v>
      </c>
      <c r="G100" s="22" t="s">
        <v>973</v>
      </c>
      <c r="H100" s="35" t="s">
        <v>974</v>
      </c>
      <c r="I100" s="35" t="s">
        <v>478</v>
      </c>
      <c r="J100" s="35" t="s">
        <v>975</v>
      </c>
      <c r="K100" s="35" t="s">
        <v>976</v>
      </c>
      <c r="L100" s="35">
        <v>1.0</v>
      </c>
      <c r="M100" s="35">
        <v>0.0</v>
      </c>
      <c r="N100" s="35">
        <v>0.26490066225165565</v>
      </c>
      <c r="O100" s="35">
        <v>46.0</v>
      </c>
      <c r="P100" s="35">
        <v>78.0</v>
      </c>
      <c r="Q100" s="35" t="s">
        <v>53</v>
      </c>
      <c r="R100" s="35">
        <v>0.0</v>
      </c>
      <c r="S100" s="35" t="s">
        <v>53</v>
      </c>
      <c r="T100" s="35">
        <v>0.0</v>
      </c>
      <c r="U100" s="35">
        <v>0.0</v>
      </c>
      <c r="V100" s="35">
        <v>0.0</v>
      </c>
      <c r="W100" s="35" t="s">
        <v>53</v>
      </c>
      <c r="X100" s="35">
        <v>0.0</v>
      </c>
      <c r="Y100" s="35" t="s">
        <v>53</v>
      </c>
      <c r="Z100" s="35" t="s">
        <v>923</v>
      </c>
      <c r="AA100" s="58" t="s">
        <v>915</v>
      </c>
      <c r="AB100" s="58" t="b">
        <v>1</v>
      </c>
      <c r="AC100" s="35" t="s">
        <v>57</v>
      </c>
      <c r="AD100" s="35" t="s">
        <v>57</v>
      </c>
      <c r="AE100" s="35">
        <v>0.63</v>
      </c>
      <c r="AF100" s="35" t="s">
        <v>58</v>
      </c>
      <c r="AG100" s="35" t="s">
        <v>59</v>
      </c>
      <c r="AH100" s="35" t="s">
        <v>60</v>
      </c>
      <c r="AI100" s="35" t="s">
        <v>61</v>
      </c>
      <c r="AJ100" s="35" t="s">
        <v>62</v>
      </c>
      <c r="AK100" s="35" t="s">
        <v>1140</v>
      </c>
      <c r="AL100" s="58" t="s">
        <v>64</v>
      </c>
      <c r="AM100" s="35" t="s">
        <v>1171</v>
      </c>
      <c r="AN100" s="58" t="s">
        <v>1153</v>
      </c>
      <c r="AO100" s="56" t="s">
        <v>1142</v>
      </c>
    </row>
    <row r="101" ht="15.0" customHeight="1">
      <c r="A101" s="57">
        <v>111.0</v>
      </c>
      <c r="B101" s="35" t="s">
        <v>411</v>
      </c>
      <c r="C101" s="35" t="s">
        <v>916</v>
      </c>
      <c r="D101" s="35" t="s">
        <v>917</v>
      </c>
      <c r="E101" s="35" t="s">
        <v>495</v>
      </c>
      <c r="F101" s="35" t="s">
        <v>496</v>
      </c>
      <c r="G101" s="22" t="s">
        <v>977</v>
      </c>
      <c r="H101" s="35" t="s">
        <v>978</v>
      </c>
      <c r="I101" s="35" t="s">
        <v>478</v>
      </c>
      <c r="J101" s="35" t="s">
        <v>979</v>
      </c>
      <c r="K101" s="35" t="s">
        <v>980</v>
      </c>
      <c r="L101" s="35">
        <v>1.0</v>
      </c>
      <c r="M101" s="35">
        <v>0.0</v>
      </c>
      <c r="N101" s="35">
        <v>0.26</v>
      </c>
      <c r="O101" s="35">
        <v>46.0</v>
      </c>
      <c r="P101" s="35">
        <v>78.0</v>
      </c>
      <c r="Q101" s="35" t="s">
        <v>53</v>
      </c>
      <c r="R101" s="35">
        <v>0.0</v>
      </c>
      <c r="S101" s="35" t="s">
        <v>53</v>
      </c>
      <c r="T101" s="35">
        <v>0.0</v>
      </c>
      <c r="U101" s="35">
        <v>0.0</v>
      </c>
      <c r="V101" s="35">
        <v>0.0</v>
      </c>
      <c r="W101" s="35" t="s">
        <v>53</v>
      </c>
      <c r="X101" s="35">
        <v>0.0</v>
      </c>
      <c r="Y101" s="35" t="s">
        <v>53</v>
      </c>
      <c r="Z101" s="35" t="s">
        <v>923</v>
      </c>
      <c r="AA101" s="58" t="s">
        <v>915</v>
      </c>
      <c r="AB101" s="58" t="b">
        <v>1</v>
      </c>
      <c r="AC101" s="35" t="s">
        <v>57</v>
      </c>
      <c r="AD101" s="35" t="s">
        <v>57</v>
      </c>
      <c r="AE101" s="35">
        <v>0.63</v>
      </c>
      <c r="AF101" s="35" t="s">
        <v>58</v>
      </c>
      <c r="AG101" s="35" t="s">
        <v>59</v>
      </c>
      <c r="AH101" s="35" t="s">
        <v>60</v>
      </c>
      <c r="AI101" s="35" t="s">
        <v>61</v>
      </c>
      <c r="AJ101" s="35" t="s">
        <v>62</v>
      </c>
      <c r="AK101" s="35" t="s">
        <v>1140</v>
      </c>
      <c r="AL101" s="58" t="s">
        <v>64</v>
      </c>
      <c r="AM101" s="35" t="s">
        <v>1171</v>
      </c>
      <c r="AN101" s="58" t="s">
        <v>1153</v>
      </c>
      <c r="AO101" s="56" t="s">
        <v>1142</v>
      </c>
    </row>
    <row r="102" ht="15.0" customHeight="1">
      <c r="A102" s="57">
        <v>112.0</v>
      </c>
      <c r="B102" s="35" t="s">
        <v>411</v>
      </c>
      <c r="C102" s="35" t="s">
        <v>916</v>
      </c>
      <c r="D102" s="35" t="s">
        <v>917</v>
      </c>
      <c r="E102" s="35" t="s">
        <v>485</v>
      </c>
      <c r="F102" s="35" t="s">
        <v>486</v>
      </c>
      <c r="G102" s="22" t="s">
        <v>981</v>
      </c>
      <c r="H102" s="35" t="s">
        <v>982</v>
      </c>
      <c r="I102" s="35" t="s">
        <v>478</v>
      </c>
      <c r="J102" s="35" t="s">
        <v>983</v>
      </c>
      <c r="K102" s="35" t="s">
        <v>984</v>
      </c>
      <c r="L102" s="35">
        <v>1.0</v>
      </c>
      <c r="M102" s="35">
        <v>0.0</v>
      </c>
      <c r="N102" s="35">
        <v>0.28205128205128205</v>
      </c>
      <c r="O102" s="35">
        <v>44.0</v>
      </c>
      <c r="P102" s="35">
        <v>78.0</v>
      </c>
      <c r="Q102" s="35" t="s">
        <v>53</v>
      </c>
      <c r="R102" s="35">
        <v>0.0</v>
      </c>
      <c r="S102" s="35" t="s">
        <v>53</v>
      </c>
      <c r="T102" s="35">
        <v>0.0</v>
      </c>
      <c r="U102" s="35">
        <v>0.0</v>
      </c>
      <c r="V102" s="35">
        <v>0.0</v>
      </c>
      <c r="W102" s="35" t="s">
        <v>53</v>
      </c>
      <c r="X102" s="35">
        <v>0.0</v>
      </c>
      <c r="Y102" s="35" t="s">
        <v>53</v>
      </c>
      <c r="Z102" s="35" t="s">
        <v>923</v>
      </c>
      <c r="AA102" s="58" t="s">
        <v>915</v>
      </c>
      <c r="AB102" s="58" t="b">
        <v>1</v>
      </c>
      <c r="AC102" s="35" t="s">
        <v>57</v>
      </c>
      <c r="AD102" s="35" t="s">
        <v>57</v>
      </c>
      <c r="AE102" s="35">
        <v>0.63</v>
      </c>
      <c r="AF102" s="35" t="s">
        <v>58</v>
      </c>
      <c r="AG102" s="35" t="s">
        <v>59</v>
      </c>
      <c r="AH102" s="35" t="s">
        <v>60</v>
      </c>
      <c r="AI102" s="35" t="s">
        <v>61</v>
      </c>
      <c r="AJ102" s="35" t="s">
        <v>62</v>
      </c>
      <c r="AK102" s="35" t="s">
        <v>1140</v>
      </c>
      <c r="AL102" s="58" t="s">
        <v>64</v>
      </c>
      <c r="AM102" s="35"/>
      <c r="AN102" s="58" t="s">
        <v>1153</v>
      </c>
      <c r="AO102" s="56" t="s">
        <v>1142</v>
      </c>
    </row>
    <row r="103" ht="15.0" customHeight="1">
      <c r="A103" s="57">
        <v>113.0</v>
      </c>
      <c r="B103" s="35" t="s">
        <v>411</v>
      </c>
      <c r="C103" s="35" t="s">
        <v>916</v>
      </c>
      <c r="D103" s="35" t="s">
        <v>917</v>
      </c>
      <c r="E103" s="35" t="s">
        <v>509</v>
      </c>
      <c r="F103" s="35" t="s">
        <v>510</v>
      </c>
      <c r="G103" s="22" t="s">
        <v>985</v>
      </c>
      <c r="H103" s="35" t="s">
        <v>986</v>
      </c>
      <c r="I103" s="35" t="s">
        <v>478</v>
      </c>
      <c r="J103" s="35" t="s">
        <v>987</v>
      </c>
      <c r="K103" s="35" t="s">
        <v>988</v>
      </c>
      <c r="L103" s="35">
        <v>1.0</v>
      </c>
      <c r="M103" s="35">
        <v>0.0</v>
      </c>
      <c r="N103" s="35">
        <v>0.2620689655172414</v>
      </c>
      <c r="O103" s="35">
        <v>11.0</v>
      </c>
      <c r="P103" s="35">
        <v>78.0</v>
      </c>
      <c r="Q103" s="35" t="s">
        <v>53</v>
      </c>
      <c r="R103" s="35">
        <v>0.0</v>
      </c>
      <c r="S103" s="35" t="s">
        <v>53</v>
      </c>
      <c r="T103" s="35">
        <v>0.0</v>
      </c>
      <c r="U103" s="35">
        <v>0.0</v>
      </c>
      <c r="V103" s="35">
        <v>0.0</v>
      </c>
      <c r="W103" s="35" t="s">
        <v>53</v>
      </c>
      <c r="X103" s="35">
        <v>0.0</v>
      </c>
      <c r="Y103" s="35" t="s">
        <v>53</v>
      </c>
      <c r="Z103" s="35" t="s">
        <v>923</v>
      </c>
      <c r="AA103" s="58" t="s">
        <v>915</v>
      </c>
      <c r="AB103" s="58" t="b">
        <v>1</v>
      </c>
      <c r="AC103" s="35" t="s">
        <v>57</v>
      </c>
      <c r="AD103" s="35" t="s">
        <v>57</v>
      </c>
      <c r="AE103" s="35">
        <v>0.63</v>
      </c>
      <c r="AF103" s="35" t="s">
        <v>58</v>
      </c>
      <c r="AG103" s="35" t="s">
        <v>59</v>
      </c>
      <c r="AH103" s="35" t="s">
        <v>60</v>
      </c>
      <c r="AI103" s="35" t="s">
        <v>61</v>
      </c>
      <c r="AJ103" s="35" t="s">
        <v>62</v>
      </c>
      <c r="AK103" s="35" t="s">
        <v>1140</v>
      </c>
      <c r="AL103" s="58" t="s">
        <v>64</v>
      </c>
      <c r="AM103" s="35"/>
      <c r="AN103" s="58" t="s">
        <v>1153</v>
      </c>
      <c r="AO103" s="56" t="s">
        <v>1142</v>
      </c>
    </row>
    <row r="104" ht="15.0" customHeight="1">
      <c r="A104" s="57">
        <v>114.0</v>
      </c>
      <c r="B104" s="35" t="s">
        <v>989</v>
      </c>
      <c r="C104" s="35" t="s">
        <v>990</v>
      </c>
      <c r="D104" s="35" t="s">
        <v>991</v>
      </c>
      <c r="E104" s="35" t="s">
        <v>992</v>
      </c>
      <c r="F104" s="35" t="s">
        <v>993</v>
      </c>
      <c r="G104" s="22" t="s">
        <v>994</v>
      </c>
      <c r="H104" s="35" t="s">
        <v>995</v>
      </c>
      <c r="I104" s="35" t="s">
        <v>996</v>
      </c>
      <c r="J104" s="35" t="s">
        <v>997</v>
      </c>
      <c r="K104" s="35" t="s">
        <v>998</v>
      </c>
      <c r="L104" s="35">
        <v>1.0</v>
      </c>
      <c r="M104" s="35">
        <v>0.0</v>
      </c>
      <c r="N104" s="35">
        <v>0.2264957264957265</v>
      </c>
      <c r="O104" s="35">
        <v>0.0</v>
      </c>
      <c r="P104" s="35">
        <v>10.0</v>
      </c>
      <c r="Q104" s="35" t="s">
        <v>999</v>
      </c>
      <c r="R104" s="35">
        <v>0.0</v>
      </c>
      <c r="S104" s="35" t="s">
        <v>53</v>
      </c>
      <c r="T104" s="35">
        <v>0.0</v>
      </c>
      <c r="U104" s="35">
        <v>0.0</v>
      </c>
      <c r="V104" s="35">
        <v>0.0</v>
      </c>
      <c r="W104" s="35" t="s">
        <v>53</v>
      </c>
      <c r="X104" s="35">
        <v>0.0</v>
      </c>
      <c r="Y104" s="35" t="s">
        <v>53</v>
      </c>
      <c r="Z104" s="35" t="s">
        <v>1000</v>
      </c>
      <c r="AA104" s="58" t="s">
        <v>1001</v>
      </c>
      <c r="AB104" s="58" t="b">
        <v>1</v>
      </c>
      <c r="AC104" s="35" t="s">
        <v>57</v>
      </c>
      <c r="AD104" s="35" t="s">
        <v>1144</v>
      </c>
      <c r="AE104" s="35">
        <v>0.13</v>
      </c>
      <c r="AF104" s="35" t="s">
        <v>162</v>
      </c>
      <c r="AG104" s="35" t="s">
        <v>559</v>
      </c>
      <c r="AH104" s="35" t="s">
        <v>60</v>
      </c>
      <c r="AI104" s="35" t="s">
        <v>629</v>
      </c>
      <c r="AJ104" s="35" t="s">
        <v>334</v>
      </c>
      <c r="AK104" s="35" t="s">
        <v>1140</v>
      </c>
      <c r="AL104" s="58" t="s">
        <v>64</v>
      </c>
      <c r="AM104" s="35" t="s">
        <v>65</v>
      </c>
      <c r="AN104" s="58" t="s">
        <v>1153</v>
      </c>
      <c r="AO104" s="56" t="s">
        <v>1142</v>
      </c>
    </row>
    <row r="105" ht="15.0" customHeight="1">
      <c r="A105" s="57">
        <v>115.0</v>
      </c>
      <c r="B105" s="35" t="s">
        <v>1002</v>
      </c>
      <c r="C105" s="35" t="s">
        <v>990</v>
      </c>
      <c r="D105" s="35" t="s">
        <v>1003</v>
      </c>
      <c r="E105" s="35" t="s">
        <v>1004</v>
      </c>
      <c r="F105" s="35" t="s">
        <v>1005</v>
      </c>
      <c r="G105" s="22" t="s">
        <v>1006</v>
      </c>
      <c r="H105" s="35" t="s">
        <v>1007</v>
      </c>
      <c r="I105" s="35" t="s">
        <v>1008</v>
      </c>
      <c r="J105" s="35" t="s">
        <v>1009</v>
      </c>
      <c r="K105" s="35" t="s">
        <v>998</v>
      </c>
      <c r="L105" s="35">
        <v>1.0</v>
      </c>
      <c r="M105" s="35">
        <v>0.0</v>
      </c>
      <c r="N105" s="35">
        <v>0.225531914893617</v>
      </c>
      <c r="O105" s="35">
        <v>0.0</v>
      </c>
      <c r="P105" s="35">
        <v>8.0</v>
      </c>
      <c r="Q105" s="35" t="s">
        <v>999</v>
      </c>
      <c r="R105" s="35">
        <v>0.0</v>
      </c>
      <c r="S105" s="35" t="s">
        <v>53</v>
      </c>
      <c r="T105" s="35">
        <v>0.0</v>
      </c>
      <c r="U105" s="35">
        <v>0.0</v>
      </c>
      <c r="V105" s="35">
        <v>0.0</v>
      </c>
      <c r="W105" s="35" t="s">
        <v>53</v>
      </c>
      <c r="X105" s="35">
        <v>0.0</v>
      </c>
      <c r="Y105" s="35" t="s">
        <v>53</v>
      </c>
      <c r="Z105" s="35" t="s">
        <v>1000</v>
      </c>
      <c r="AA105" s="58" t="s">
        <v>1001</v>
      </c>
      <c r="AB105" s="58" t="b">
        <v>1</v>
      </c>
      <c r="AC105" s="35" t="s">
        <v>57</v>
      </c>
      <c r="AD105" s="35" t="s">
        <v>1144</v>
      </c>
      <c r="AE105" s="35">
        <v>0.13</v>
      </c>
      <c r="AF105" s="35" t="s">
        <v>162</v>
      </c>
      <c r="AG105" s="35" t="s">
        <v>559</v>
      </c>
      <c r="AH105" s="35" t="s">
        <v>60</v>
      </c>
      <c r="AI105" s="35" t="s">
        <v>629</v>
      </c>
      <c r="AJ105" s="35" t="s">
        <v>334</v>
      </c>
      <c r="AK105" s="35" t="s">
        <v>1140</v>
      </c>
      <c r="AL105" s="58" t="s">
        <v>64</v>
      </c>
      <c r="AM105" s="58"/>
      <c r="AN105" s="58" t="s">
        <v>1153</v>
      </c>
      <c r="AO105" s="56" t="s">
        <v>1142</v>
      </c>
    </row>
    <row r="106" ht="15.0" customHeight="1">
      <c r="A106" s="57">
        <v>116.0</v>
      </c>
      <c r="B106" s="35" t="s">
        <v>877</v>
      </c>
      <c r="C106" s="35" t="s">
        <v>1010</v>
      </c>
      <c r="D106" s="35" t="s">
        <v>1011</v>
      </c>
      <c r="E106" s="35" t="s">
        <v>1012</v>
      </c>
      <c r="F106" s="35" t="s">
        <v>1013</v>
      </c>
      <c r="G106" s="22" t="s">
        <v>1014</v>
      </c>
      <c r="H106" s="35" t="s">
        <v>1015</v>
      </c>
      <c r="I106" s="35" t="s">
        <v>1016</v>
      </c>
      <c r="J106" s="35" t="s">
        <v>1017</v>
      </c>
      <c r="K106" s="35" t="s">
        <v>1018</v>
      </c>
      <c r="L106" s="35">
        <v>1.0</v>
      </c>
      <c r="M106" s="35">
        <v>0.0</v>
      </c>
      <c r="N106" s="35">
        <v>0.5449438202247191</v>
      </c>
      <c r="O106" s="35">
        <v>5.0</v>
      </c>
      <c r="P106" s="35">
        <v>30.0</v>
      </c>
      <c r="Q106" s="35" t="s">
        <v>53</v>
      </c>
      <c r="R106" s="35">
        <v>0.0</v>
      </c>
      <c r="S106" s="35" t="s">
        <v>53</v>
      </c>
      <c r="T106" s="35">
        <v>0.0</v>
      </c>
      <c r="U106" s="35">
        <v>0.0</v>
      </c>
      <c r="V106" s="35">
        <v>0.0</v>
      </c>
      <c r="W106" s="35" t="s">
        <v>53</v>
      </c>
      <c r="X106" s="35">
        <v>0.0</v>
      </c>
      <c r="Y106" s="35" t="s">
        <v>53</v>
      </c>
      <c r="Z106" s="35" t="s">
        <v>1019</v>
      </c>
      <c r="AA106" s="58" t="s">
        <v>1020</v>
      </c>
      <c r="AB106" s="58" t="b">
        <v>1</v>
      </c>
      <c r="AC106" s="35" t="s">
        <v>77</v>
      </c>
      <c r="AD106" s="35" t="s">
        <v>57</v>
      </c>
      <c r="AE106" s="35">
        <v>0.17</v>
      </c>
      <c r="AF106" s="35" t="s">
        <v>59</v>
      </c>
      <c r="AG106" s="35" t="s">
        <v>59</v>
      </c>
      <c r="AH106" s="35" t="s">
        <v>209</v>
      </c>
      <c r="AI106" s="35" t="s">
        <v>374</v>
      </c>
      <c r="AJ106" s="35" t="s">
        <v>62</v>
      </c>
      <c r="AK106" s="35" t="s">
        <v>1140</v>
      </c>
      <c r="AL106" s="58" t="s">
        <v>64</v>
      </c>
      <c r="AM106" s="35" t="s">
        <v>65</v>
      </c>
      <c r="AN106" s="58" t="s">
        <v>1172</v>
      </c>
      <c r="AO106" s="56" t="s">
        <v>1142</v>
      </c>
    </row>
    <row r="107" ht="15.0" customHeight="1">
      <c r="A107" s="57">
        <v>117.0</v>
      </c>
      <c r="B107" s="35" t="s">
        <v>229</v>
      </c>
      <c r="C107" s="35" t="s">
        <v>1021</v>
      </c>
      <c r="D107" s="35" t="s">
        <v>1011</v>
      </c>
      <c r="E107" s="35" t="s">
        <v>1022</v>
      </c>
      <c r="F107" s="35" t="s">
        <v>1023</v>
      </c>
      <c r="G107" s="22" t="s">
        <v>1024</v>
      </c>
      <c r="H107" s="35" t="s">
        <v>1025</v>
      </c>
      <c r="I107" s="35" t="s">
        <v>1026</v>
      </c>
      <c r="J107" s="35" t="s">
        <v>1027</v>
      </c>
      <c r="K107" s="35" t="s">
        <v>1028</v>
      </c>
      <c r="L107" s="35">
        <v>1.0</v>
      </c>
      <c r="M107" s="35">
        <v>0.0</v>
      </c>
      <c r="N107" s="35">
        <v>0.3652173913043478</v>
      </c>
      <c r="O107" s="35">
        <v>7.0</v>
      </c>
      <c r="P107" s="35">
        <v>21.0</v>
      </c>
      <c r="Q107" s="35" t="s">
        <v>53</v>
      </c>
      <c r="R107" s="35">
        <v>0.0</v>
      </c>
      <c r="S107" s="35" t="s">
        <v>53</v>
      </c>
      <c r="T107" s="35">
        <v>0.0</v>
      </c>
      <c r="U107" s="35">
        <v>0.0</v>
      </c>
      <c r="V107" s="35">
        <v>0.0</v>
      </c>
      <c r="W107" s="35" t="s">
        <v>53</v>
      </c>
      <c r="X107" s="35">
        <v>0.0</v>
      </c>
      <c r="Y107" s="35" t="s">
        <v>53</v>
      </c>
      <c r="Z107" s="35" t="s">
        <v>1029</v>
      </c>
      <c r="AA107" s="58" t="s">
        <v>1020</v>
      </c>
      <c r="AB107" s="58" t="b">
        <v>1</v>
      </c>
      <c r="AC107" s="35" t="s">
        <v>57</v>
      </c>
      <c r="AD107" s="35" t="s">
        <v>57</v>
      </c>
      <c r="AE107" s="35">
        <v>0.11</v>
      </c>
      <c r="AF107" s="35" t="s">
        <v>559</v>
      </c>
      <c r="AG107" s="35" t="s">
        <v>59</v>
      </c>
      <c r="AH107" s="35" t="s">
        <v>546</v>
      </c>
      <c r="AI107" s="35" t="s">
        <v>629</v>
      </c>
      <c r="AJ107" s="35" t="s">
        <v>334</v>
      </c>
      <c r="AK107" s="35" t="s">
        <v>1140</v>
      </c>
      <c r="AL107" s="58" t="s">
        <v>1166</v>
      </c>
      <c r="AM107" s="35" t="s">
        <v>65</v>
      </c>
      <c r="AN107" s="35" t="s">
        <v>1150</v>
      </c>
      <c r="AO107" s="56" t="s">
        <v>1142</v>
      </c>
    </row>
    <row r="108" ht="15.0" customHeight="1">
      <c r="A108" s="57">
        <v>118.0</v>
      </c>
      <c r="B108" s="35" t="s">
        <v>411</v>
      </c>
      <c r="C108" s="35" t="s">
        <v>1030</v>
      </c>
      <c r="D108" s="35" t="s">
        <v>1011</v>
      </c>
      <c r="E108" s="35" t="s">
        <v>1031</v>
      </c>
      <c r="F108" s="35" t="s">
        <v>1032</v>
      </c>
      <c r="G108" s="22" t="s">
        <v>1033</v>
      </c>
      <c r="H108" s="35" t="s">
        <v>1034</v>
      </c>
      <c r="I108" s="35" t="s">
        <v>1035</v>
      </c>
      <c r="J108" s="35" t="s">
        <v>1036</v>
      </c>
      <c r="K108" s="35" t="s">
        <v>1037</v>
      </c>
      <c r="L108" s="35">
        <v>1.0</v>
      </c>
      <c r="M108" s="35">
        <v>0.0</v>
      </c>
      <c r="N108" s="35">
        <v>0.2743362831858407</v>
      </c>
      <c r="O108" s="35">
        <v>38.0</v>
      </c>
      <c r="P108" s="35">
        <v>92.0</v>
      </c>
      <c r="Q108" s="35" t="s">
        <v>53</v>
      </c>
      <c r="R108" s="35">
        <v>0.0</v>
      </c>
      <c r="S108" s="35" t="s">
        <v>53</v>
      </c>
      <c r="T108" s="35">
        <v>0.0</v>
      </c>
      <c r="U108" s="35">
        <v>0.0</v>
      </c>
      <c r="V108" s="35">
        <v>0.0</v>
      </c>
      <c r="W108" s="35" t="s">
        <v>53</v>
      </c>
      <c r="X108" s="35">
        <v>0.0</v>
      </c>
      <c r="Y108" s="35" t="s">
        <v>53</v>
      </c>
      <c r="Z108" s="35" t="s">
        <v>1038</v>
      </c>
      <c r="AA108" s="58" t="s">
        <v>1020</v>
      </c>
      <c r="AB108" s="58" t="b">
        <v>1</v>
      </c>
      <c r="AC108" s="35" t="s">
        <v>56</v>
      </c>
      <c r="AD108" s="35" t="s">
        <v>57</v>
      </c>
      <c r="AE108" s="35">
        <v>0.14</v>
      </c>
      <c r="AF108" s="35" t="s">
        <v>58</v>
      </c>
      <c r="AG108" s="35" t="s">
        <v>59</v>
      </c>
      <c r="AH108" s="35" t="s">
        <v>60</v>
      </c>
      <c r="AI108" s="35" t="s">
        <v>61</v>
      </c>
      <c r="AJ108" s="35" t="s">
        <v>62</v>
      </c>
      <c r="AK108" s="35" t="s">
        <v>1140</v>
      </c>
      <c r="AL108" s="58" t="s">
        <v>64</v>
      </c>
      <c r="AM108" s="35" t="s">
        <v>65</v>
      </c>
      <c r="AN108" s="35" t="s">
        <v>1150</v>
      </c>
      <c r="AO108" s="56" t="s">
        <v>1142</v>
      </c>
    </row>
    <row r="109" ht="15.0" customHeight="1">
      <c r="A109" s="57">
        <v>119.0</v>
      </c>
      <c r="B109" s="35" t="s">
        <v>411</v>
      </c>
      <c r="C109" s="35" t="s">
        <v>1030</v>
      </c>
      <c r="D109" s="35" t="s">
        <v>1011</v>
      </c>
      <c r="E109" s="35" t="s">
        <v>1031</v>
      </c>
      <c r="F109" s="35" t="s">
        <v>1032</v>
      </c>
      <c r="G109" s="22" t="s">
        <v>1039</v>
      </c>
      <c r="H109" s="35" t="s">
        <v>1040</v>
      </c>
      <c r="I109" s="35" t="s">
        <v>1035</v>
      </c>
      <c r="J109" s="35" t="s">
        <v>1041</v>
      </c>
      <c r="K109" s="35" t="s">
        <v>1042</v>
      </c>
      <c r="L109" s="35">
        <v>1.0</v>
      </c>
      <c r="M109" s="35">
        <v>0.0</v>
      </c>
      <c r="N109" s="35">
        <v>0.2831858407079646</v>
      </c>
      <c r="O109" s="35">
        <v>38.0</v>
      </c>
      <c r="P109" s="35">
        <v>92.0</v>
      </c>
      <c r="Q109" s="35" t="s">
        <v>53</v>
      </c>
      <c r="R109" s="35">
        <v>0.0</v>
      </c>
      <c r="S109" s="35" t="s">
        <v>53</v>
      </c>
      <c r="T109" s="35">
        <v>0.0</v>
      </c>
      <c r="U109" s="35">
        <v>0.0</v>
      </c>
      <c r="V109" s="35">
        <v>0.0</v>
      </c>
      <c r="W109" s="35" t="s">
        <v>53</v>
      </c>
      <c r="X109" s="35">
        <v>0.0</v>
      </c>
      <c r="Y109" s="35" t="s">
        <v>53</v>
      </c>
      <c r="Z109" s="35" t="s">
        <v>1038</v>
      </c>
      <c r="AA109" s="58" t="s">
        <v>1020</v>
      </c>
      <c r="AB109" s="58" t="b">
        <v>1</v>
      </c>
      <c r="AC109" s="35" t="s">
        <v>57</v>
      </c>
      <c r="AD109" s="35" t="s">
        <v>57</v>
      </c>
      <c r="AE109" s="35">
        <v>0.14</v>
      </c>
      <c r="AF109" s="35" t="s">
        <v>58</v>
      </c>
      <c r="AG109" s="35" t="s">
        <v>59</v>
      </c>
      <c r="AH109" s="35" t="s">
        <v>60</v>
      </c>
      <c r="AI109" s="35" t="s">
        <v>61</v>
      </c>
      <c r="AJ109" s="35" t="s">
        <v>62</v>
      </c>
      <c r="AK109" s="35" t="s">
        <v>1140</v>
      </c>
      <c r="AL109" s="58" t="s">
        <v>64</v>
      </c>
      <c r="AM109" s="35" t="s">
        <v>65</v>
      </c>
      <c r="AN109" s="35" t="s">
        <v>1150</v>
      </c>
      <c r="AO109" s="56" t="s">
        <v>1142</v>
      </c>
    </row>
    <row r="110" ht="15.0" customHeight="1">
      <c r="A110" s="57">
        <v>120.0</v>
      </c>
      <c r="B110" s="35" t="s">
        <v>411</v>
      </c>
      <c r="C110" s="35" t="s">
        <v>1030</v>
      </c>
      <c r="D110" s="35" t="s">
        <v>1011</v>
      </c>
      <c r="E110" s="35" t="s">
        <v>1031</v>
      </c>
      <c r="F110" s="35" t="s">
        <v>1032</v>
      </c>
      <c r="G110" s="22" t="s">
        <v>1043</v>
      </c>
      <c r="H110" s="35" t="s">
        <v>1044</v>
      </c>
      <c r="I110" s="35" t="s">
        <v>1035</v>
      </c>
      <c r="J110" s="35" t="s">
        <v>1045</v>
      </c>
      <c r="K110" s="35" t="s">
        <v>1046</v>
      </c>
      <c r="L110" s="35">
        <v>1.0</v>
      </c>
      <c r="M110" s="35">
        <v>0.0</v>
      </c>
      <c r="N110" s="35">
        <v>0.2831858407079646</v>
      </c>
      <c r="O110" s="35">
        <v>38.0</v>
      </c>
      <c r="P110" s="35">
        <v>92.0</v>
      </c>
      <c r="Q110" s="35" t="s">
        <v>53</v>
      </c>
      <c r="R110" s="35">
        <v>0.0</v>
      </c>
      <c r="S110" s="35" t="s">
        <v>53</v>
      </c>
      <c r="T110" s="35">
        <v>0.0</v>
      </c>
      <c r="U110" s="35">
        <v>0.0</v>
      </c>
      <c r="V110" s="35">
        <v>0.0</v>
      </c>
      <c r="W110" s="35" t="s">
        <v>53</v>
      </c>
      <c r="X110" s="35">
        <v>0.0</v>
      </c>
      <c r="Y110" s="35" t="s">
        <v>53</v>
      </c>
      <c r="Z110" s="35" t="s">
        <v>1038</v>
      </c>
      <c r="AA110" s="58" t="s">
        <v>1020</v>
      </c>
      <c r="AB110" s="58" t="b">
        <v>1</v>
      </c>
      <c r="AC110" s="35" t="s">
        <v>57</v>
      </c>
      <c r="AD110" s="35" t="s">
        <v>57</v>
      </c>
      <c r="AE110" s="35">
        <v>0.14</v>
      </c>
      <c r="AF110" s="35" t="s">
        <v>58</v>
      </c>
      <c r="AG110" s="35" t="s">
        <v>59</v>
      </c>
      <c r="AH110" s="35" t="s">
        <v>60</v>
      </c>
      <c r="AI110" s="35" t="s">
        <v>61</v>
      </c>
      <c r="AJ110" s="35" t="s">
        <v>62</v>
      </c>
      <c r="AK110" s="35" t="s">
        <v>1140</v>
      </c>
      <c r="AL110" s="58" t="s">
        <v>64</v>
      </c>
      <c r="AM110" s="35" t="s">
        <v>65</v>
      </c>
      <c r="AN110" s="35" t="s">
        <v>1150</v>
      </c>
      <c r="AO110" s="56" t="s">
        <v>1142</v>
      </c>
    </row>
    <row r="111" ht="15.0" customHeight="1">
      <c r="A111" s="65">
        <v>122.0</v>
      </c>
      <c r="B111" s="22" t="s">
        <v>808</v>
      </c>
      <c r="C111" s="22" t="s">
        <v>1058</v>
      </c>
      <c r="D111" s="22" t="s">
        <v>1059</v>
      </c>
      <c r="E111" s="22" t="s">
        <v>1060</v>
      </c>
      <c r="F111" s="22" t="s">
        <v>1061</v>
      </c>
      <c r="G111" s="22" t="s">
        <v>1062</v>
      </c>
      <c r="H111" s="22" t="s">
        <v>1063</v>
      </c>
      <c r="I111" s="22" t="s">
        <v>1064</v>
      </c>
      <c r="J111" s="22" t="s">
        <v>1065</v>
      </c>
      <c r="K111" s="22" t="s">
        <v>1066</v>
      </c>
      <c r="L111" s="22">
        <v>0.875</v>
      </c>
      <c r="M111" s="22">
        <v>0.10869565217391304</v>
      </c>
      <c r="N111" s="22">
        <v>0.09803921568627451</v>
      </c>
      <c r="O111" s="22">
        <v>0.0</v>
      </c>
      <c r="P111" s="22">
        <v>66.0</v>
      </c>
      <c r="Q111" s="22" t="s">
        <v>1067</v>
      </c>
      <c r="R111" s="22">
        <v>1.0</v>
      </c>
      <c r="S111" s="22" t="s">
        <v>1068</v>
      </c>
      <c r="T111" s="22">
        <v>0.0</v>
      </c>
      <c r="U111" s="22">
        <v>0.0</v>
      </c>
      <c r="V111" s="22">
        <v>4.0</v>
      </c>
      <c r="W111" s="22" t="s">
        <v>1069</v>
      </c>
      <c r="X111" s="22">
        <v>1.0</v>
      </c>
      <c r="Y111" s="22" t="s">
        <v>1070</v>
      </c>
      <c r="Z111" s="22" t="s">
        <v>1071</v>
      </c>
      <c r="AA111" s="66" t="s">
        <v>1055</v>
      </c>
      <c r="AB111" s="66" t="b">
        <v>1</v>
      </c>
      <c r="AC111" s="22" t="s">
        <v>57</v>
      </c>
      <c r="AD111" s="22" t="s">
        <v>57</v>
      </c>
      <c r="AE111" s="22">
        <v>0.33</v>
      </c>
      <c r="AF111" s="22" t="s">
        <v>58</v>
      </c>
      <c r="AG111" s="22" t="s">
        <v>1159</v>
      </c>
      <c r="AH111" s="22" t="s">
        <v>60</v>
      </c>
      <c r="AI111" s="22" t="s">
        <v>839</v>
      </c>
      <c r="AJ111" s="22" t="s">
        <v>62</v>
      </c>
      <c r="AK111" s="22" t="s">
        <v>6863</v>
      </c>
      <c r="AL111" s="66" t="s">
        <v>64</v>
      </c>
      <c r="AM111" s="22" t="s">
        <v>65</v>
      </c>
      <c r="AN111" s="66" t="s">
        <v>1158</v>
      </c>
      <c r="AO111" s="51" t="s">
        <v>6881</v>
      </c>
    </row>
    <row r="112" ht="15.0" customHeight="1">
      <c r="A112" s="57">
        <v>123.0</v>
      </c>
      <c r="B112" s="35" t="s">
        <v>1072</v>
      </c>
      <c r="C112" s="35" t="s">
        <v>1073</v>
      </c>
      <c r="D112" s="35" t="s">
        <v>1074</v>
      </c>
      <c r="E112" s="35" t="s">
        <v>1075</v>
      </c>
      <c r="F112" s="35" t="s">
        <v>1076</v>
      </c>
      <c r="G112" s="22" t="s">
        <v>1077</v>
      </c>
      <c r="H112" s="35" t="s">
        <v>1078</v>
      </c>
      <c r="I112" s="35" t="s">
        <v>1079</v>
      </c>
      <c r="J112" s="35" t="s">
        <v>1080</v>
      </c>
      <c r="K112" s="35" t="s">
        <v>1081</v>
      </c>
      <c r="L112" s="35">
        <v>1.0</v>
      </c>
      <c r="M112" s="35">
        <v>0.8333333333333334</v>
      </c>
      <c r="N112" s="35">
        <v>0.7795918367346939</v>
      </c>
      <c r="O112" s="35">
        <v>0.0</v>
      </c>
      <c r="P112" s="35">
        <v>12.0</v>
      </c>
      <c r="Q112" s="35" t="s">
        <v>53</v>
      </c>
      <c r="R112" s="35">
        <v>0.0</v>
      </c>
      <c r="S112" s="35" t="s">
        <v>53</v>
      </c>
      <c r="T112" s="35">
        <v>0.0</v>
      </c>
      <c r="U112" s="35">
        <v>0.0</v>
      </c>
      <c r="V112" s="35">
        <v>0.0</v>
      </c>
      <c r="W112" s="35" t="s">
        <v>53</v>
      </c>
      <c r="X112" s="35">
        <v>2.0</v>
      </c>
      <c r="Y112" s="35" t="s">
        <v>1082</v>
      </c>
      <c r="Z112" s="35" t="s">
        <v>1083</v>
      </c>
      <c r="AA112" s="58" t="s">
        <v>1055</v>
      </c>
      <c r="AB112" s="58" t="b">
        <v>1</v>
      </c>
      <c r="AC112" s="35" t="s">
        <v>57</v>
      </c>
      <c r="AD112" s="35" t="s">
        <v>57</v>
      </c>
      <c r="AE112" s="35">
        <v>0.33</v>
      </c>
      <c r="AF112" s="35" t="s">
        <v>58</v>
      </c>
      <c r="AG112" s="35" t="s">
        <v>59</v>
      </c>
      <c r="AH112" s="35" t="s">
        <v>209</v>
      </c>
      <c r="AI112" s="35" t="s">
        <v>561</v>
      </c>
      <c r="AJ112" s="35" t="s">
        <v>62</v>
      </c>
      <c r="AK112" s="35" t="s">
        <v>1140</v>
      </c>
      <c r="AL112" s="35" t="s">
        <v>64</v>
      </c>
      <c r="AM112" s="35" t="s">
        <v>65</v>
      </c>
      <c r="AN112" s="58" t="s">
        <v>1150</v>
      </c>
      <c r="AO112" s="56" t="s">
        <v>6873</v>
      </c>
    </row>
    <row r="113" ht="15.0" customHeight="1">
      <c r="A113" s="57">
        <v>124.0</v>
      </c>
      <c r="B113" s="35" t="s">
        <v>1084</v>
      </c>
      <c r="C113" s="35" t="s">
        <v>1085</v>
      </c>
      <c r="D113" s="35" t="s">
        <v>1011</v>
      </c>
      <c r="E113" s="35" t="s">
        <v>1086</v>
      </c>
      <c r="F113" s="35" t="s">
        <v>1087</v>
      </c>
      <c r="G113" s="22" t="s">
        <v>1088</v>
      </c>
      <c r="H113" s="35" t="s">
        <v>1089</v>
      </c>
      <c r="I113" s="35" t="s">
        <v>73</v>
      </c>
      <c r="J113" s="35" t="s">
        <v>1090</v>
      </c>
      <c r="K113" s="35" t="s">
        <v>1091</v>
      </c>
      <c r="L113" s="35">
        <v>1.0</v>
      </c>
      <c r="M113" s="35">
        <v>0.0</v>
      </c>
      <c r="N113" s="35">
        <v>0.6657754010695187</v>
      </c>
      <c r="O113" s="35">
        <v>6.0</v>
      </c>
      <c r="P113" s="35">
        <v>9.0</v>
      </c>
      <c r="Q113" s="35" t="s">
        <v>53</v>
      </c>
      <c r="R113" s="35">
        <v>0.0</v>
      </c>
      <c r="S113" s="35" t="s">
        <v>53</v>
      </c>
      <c r="T113" s="35">
        <v>0.0</v>
      </c>
      <c r="U113" s="35">
        <v>0.0</v>
      </c>
      <c r="V113" s="35">
        <v>0.0</v>
      </c>
      <c r="W113" s="35" t="s">
        <v>53</v>
      </c>
      <c r="X113" s="35">
        <v>0.0</v>
      </c>
      <c r="Y113" s="35" t="s">
        <v>53</v>
      </c>
      <c r="Z113" s="35" t="s">
        <v>1092</v>
      </c>
      <c r="AA113" s="58" t="s">
        <v>1055</v>
      </c>
      <c r="AB113" s="58" t="b">
        <v>1</v>
      </c>
      <c r="AC113" s="35" t="s">
        <v>57</v>
      </c>
      <c r="AD113" s="35" t="s">
        <v>57</v>
      </c>
      <c r="AE113" s="35">
        <v>0.13</v>
      </c>
      <c r="AF113" s="35" t="s">
        <v>58</v>
      </c>
      <c r="AG113" s="35" t="s">
        <v>59</v>
      </c>
      <c r="AH113" s="35" t="s">
        <v>60</v>
      </c>
      <c r="AI113" s="35" t="s">
        <v>629</v>
      </c>
      <c r="AJ113" s="35" t="s">
        <v>334</v>
      </c>
      <c r="AK113" s="35" t="s">
        <v>1154</v>
      </c>
      <c r="AL113" s="35" t="s">
        <v>64</v>
      </c>
      <c r="AM113" s="35" t="s">
        <v>6865</v>
      </c>
      <c r="AN113" s="58" t="s">
        <v>1150</v>
      </c>
      <c r="AO113" s="56" t="s">
        <v>1142</v>
      </c>
    </row>
    <row r="114" ht="15.0" customHeight="1">
      <c r="A114" s="57">
        <v>125.0</v>
      </c>
      <c r="B114" s="35" t="s">
        <v>1093</v>
      </c>
      <c r="C114" s="35" t="s">
        <v>1094</v>
      </c>
      <c r="D114" s="35" t="s">
        <v>1011</v>
      </c>
      <c r="E114" s="35" t="s">
        <v>1095</v>
      </c>
      <c r="F114" s="35" t="s">
        <v>1096</v>
      </c>
      <c r="G114" s="22" t="s">
        <v>1097</v>
      </c>
      <c r="H114" s="35" t="s">
        <v>1098</v>
      </c>
      <c r="I114" s="35" t="s">
        <v>1099</v>
      </c>
      <c r="J114" s="35" t="s">
        <v>1100</v>
      </c>
      <c r="K114" s="35" t="s">
        <v>1101</v>
      </c>
      <c r="L114" s="35">
        <v>1.0</v>
      </c>
      <c r="M114" s="35">
        <v>0.0</v>
      </c>
      <c r="N114" s="35">
        <v>0.5084745762711864</v>
      </c>
      <c r="O114" s="35">
        <v>1.0</v>
      </c>
      <c r="P114" s="35">
        <v>3.0</v>
      </c>
      <c r="Q114" s="35" t="s">
        <v>53</v>
      </c>
      <c r="R114" s="35">
        <v>0.0</v>
      </c>
      <c r="S114" s="35" t="s">
        <v>53</v>
      </c>
      <c r="T114" s="35">
        <v>0.0</v>
      </c>
      <c r="U114" s="35">
        <v>0.0</v>
      </c>
      <c r="V114" s="35">
        <v>0.0</v>
      </c>
      <c r="W114" s="35" t="s">
        <v>53</v>
      </c>
      <c r="X114" s="35">
        <v>0.0</v>
      </c>
      <c r="Y114" s="35" t="s">
        <v>53</v>
      </c>
      <c r="Z114" s="35" t="s">
        <v>1102</v>
      </c>
      <c r="AA114" s="58" t="s">
        <v>1055</v>
      </c>
      <c r="AB114" s="58" t="b">
        <v>1</v>
      </c>
      <c r="AC114" s="35" t="s">
        <v>57</v>
      </c>
      <c r="AD114" s="35" t="s">
        <v>56</v>
      </c>
      <c r="AE114" s="35">
        <v>0.2</v>
      </c>
      <c r="AF114" s="35" t="s">
        <v>58</v>
      </c>
      <c r="AG114" s="35" t="s">
        <v>59</v>
      </c>
      <c r="AH114" s="35" t="s">
        <v>60</v>
      </c>
      <c r="AI114" s="35" t="s">
        <v>1165</v>
      </c>
      <c r="AJ114" s="35" t="s">
        <v>630</v>
      </c>
      <c r="AK114" s="22" t="s">
        <v>1154</v>
      </c>
      <c r="AL114" s="35" t="s">
        <v>64</v>
      </c>
      <c r="AM114" s="35" t="s">
        <v>65</v>
      </c>
      <c r="AN114" s="58" t="s">
        <v>1153</v>
      </c>
      <c r="AO114" s="56" t="s">
        <v>1142</v>
      </c>
    </row>
    <row r="115" ht="15.0" customHeight="1">
      <c r="A115" s="57">
        <v>126.0</v>
      </c>
      <c r="B115" s="35" t="s">
        <v>1093</v>
      </c>
      <c r="C115" s="35" t="s">
        <v>1094</v>
      </c>
      <c r="D115" s="35" t="s">
        <v>1011</v>
      </c>
      <c r="E115" s="35" t="s">
        <v>1095</v>
      </c>
      <c r="F115" s="35" t="s">
        <v>1096</v>
      </c>
      <c r="G115" s="22" t="s">
        <v>1104</v>
      </c>
      <c r="H115" s="35" t="s">
        <v>1105</v>
      </c>
      <c r="I115" s="35" t="s">
        <v>1099</v>
      </c>
      <c r="J115" s="35" t="s">
        <v>1106</v>
      </c>
      <c r="K115" s="35" t="s">
        <v>1107</v>
      </c>
      <c r="L115" s="35">
        <v>1.0</v>
      </c>
      <c r="M115" s="35">
        <v>0.0</v>
      </c>
      <c r="N115" s="35">
        <v>0.5141242937853108</v>
      </c>
      <c r="O115" s="35">
        <v>1.0</v>
      </c>
      <c r="P115" s="35">
        <v>3.0</v>
      </c>
      <c r="Q115" s="35" t="s">
        <v>53</v>
      </c>
      <c r="R115" s="35">
        <v>0.0</v>
      </c>
      <c r="S115" s="35" t="s">
        <v>53</v>
      </c>
      <c r="T115" s="35">
        <v>0.0</v>
      </c>
      <c r="U115" s="35">
        <v>0.0</v>
      </c>
      <c r="V115" s="35">
        <v>0.0</v>
      </c>
      <c r="W115" s="35" t="s">
        <v>53</v>
      </c>
      <c r="X115" s="35">
        <v>0.0</v>
      </c>
      <c r="Y115" s="35" t="s">
        <v>53</v>
      </c>
      <c r="Z115" s="35" t="s">
        <v>1102</v>
      </c>
      <c r="AA115" s="58" t="s">
        <v>1055</v>
      </c>
      <c r="AB115" s="58" t="b">
        <v>1</v>
      </c>
      <c r="AC115" s="35" t="s">
        <v>57</v>
      </c>
      <c r="AD115" s="35" t="s">
        <v>56</v>
      </c>
      <c r="AE115" s="35">
        <v>0.2</v>
      </c>
      <c r="AF115" s="35" t="s">
        <v>58</v>
      </c>
      <c r="AG115" s="35" t="s">
        <v>59</v>
      </c>
      <c r="AH115" s="35" t="s">
        <v>60</v>
      </c>
      <c r="AI115" s="35" t="s">
        <v>1165</v>
      </c>
      <c r="AJ115" s="35" t="s">
        <v>630</v>
      </c>
      <c r="AK115" s="22" t="s">
        <v>1154</v>
      </c>
      <c r="AL115" s="35" t="s">
        <v>64</v>
      </c>
      <c r="AM115" s="35" t="s">
        <v>65</v>
      </c>
      <c r="AN115" s="58" t="s">
        <v>1153</v>
      </c>
      <c r="AO115" s="56" t="s">
        <v>1142</v>
      </c>
    </row>
    <row r="116" ht="15.0" customHeight="1">
      <c r="A116" s="57">
        <v>127.0</v>
      </c>
      <c r="B116" s="35" t="s">
        <v>411</v>
      </c>
      <c r="C116" s="35" t="s">
        <v>1108</v>
      </c>
      <c r="D116" s="35" t="s">
        <v>1109</v>
      </c>
      <c r="E116" s="35" t="s">
        <v>968</v>
      </c>
      <c r="F116" s="35" t="s">
        <v>1110</v>
      </c>
      <c r="G116" s="22" t="s">
        <v>1111</v>
      </c>
      <c r="H116" s="35" t="s">
        <v>1112</v>
      </c>
      <c r="I116" s="35" t="s">
        <v>1113</v>
      </c>
      <c r="J116" s="35" t="s">
        <v>1114</v>
      </c>
      <c r="K116" s="35" t="s">
        <v>1115</v>
      </c>
      <c r="L116" s="35">
        <v>1.0</v>
      </c>
      <c r="M116" s="35">
        <v>0.8571428571428571</v>
      </c>
      <c r="N116" s="35">
        <v>0.7158590308370044</v>
      </c>
      <c r="O116" s="35">
        <v>24.0</v>
      </c>
      <c r="P116" s="35">
        <v>94.0</v>
      </c>
      <c r="Q116" s="35" t="s">
        <v>53</v>
      </c>
      <c r="R116" s="35">
        <v>0.0</v>
      </c>
      <c r="S116" s="35" t="s">
        <v>53</v>
      </c>
      <c r="T116" s="35">
        <v>0.0</v>
      </c>
      <c r="U116" s="35">
        <v>0.0</v>
      </c>
      <c r="V116" s="35">
        <v>2.0</v>
      </c>
      <c r="W116" s="35" t="s">
        <v>1116</v>
      </c>
      <c r="X116" s="35">
        <v>0.0</v>
      </c>
      <c r="Y116" s="35" t="s">
        <v>53</v>
      </c>
      <c r="Z116" s="35" t="s">
        <v>1117</v>
      </c>
      <c r="AA116" s="58" t="s">
        <v>1118</v>
      </c>
      <c r="AB116" s="58" t="b">
        <v>1</v>
      </c>
      <c r="AC116" s="35" t="s">
        <v>57</v>
      </c>
      <c r="AD116" s="35" t="s">
        <v>56</v>
      </c>
      <c r="AE116" s="35">
        <v>0.07</v>
      </c>
      <c r="AF116" s="35" t="s">
        <v>58</v>
      </c>
      <c r="AG116" s="35" t="s">
        <v>59</v>
      </c>
      <c r="AH116" s="35" t="s">
        <v>60</v>
      </c>
      <c r="AI116" s="35" t="s">
        <v>249</v>
      </c>
      <c r="AJ116" s="35" t="s">
        <v>62</v>
      </c>
      <c r="AK116" s="35" t="s">
        <v>1154</v>
      </c>
      <c r="AL116" s="35" t="s">
        <v>64</v>
      </c>
      <c r="AM116" s="35" t="s">
        <v>65</v>
      </c>
      <c r="AN116" s="58" t="s">
        <v>1153</v>
      </c>
      <c r="AO116" s="56" t="s">
        <v>1146</v>
      </c>
    </row>
    <row r="117" ht="15.0" customHeight="1">
      <c r="A117" s="57">
        <v>128.0</v>
      </c>
      <c r="B117" s="35" t="s">
        <v>724</v>
      </c>
      <c r="C117" s="35" t="s">
        <v>1119</v>
      </c>
      <c r="D117" s="35" t="s">
        <v>1120</v>
      </c>
      <c r="E117" s="35" t="s">
        <v>189</v>
      </c>
      <c r="F117" s="35" t="s">
        <v>1121</v>
      </c>
      <c r="G117" s="22" t="s">
        <v>1122</v>
      </c>
      <c r="H117" s="35" t="s">
        <v>1123</v>
      </c>
      <c r="I117" s="35" t="s">
        <v>193</v>
      </c>
      <c r="J117" s="35" t="s">
        <v>1124</v>
      </c>
      <c r="K117" s="35" t="s">
        <v>1125</v>
      </c>
      <c r="L117" s="35">
        <v>1.0</v>
      </c>
      <c r="M117" s="35">
        <v>0.0</v>
      </c>
      <c r="N117" s="35">
        <v>0.14942528735632185</v>
      </c>
      <c r="O117" s="35">
        <v>1.0</v>
      </c>
      <c r="P117" s="35">
        <v>10.0</v>
      </c>
      <c r="Q117" s="35" t="s">
        <v>53</v>
      </c>
      <c r="R117" s="35">
        <v>0.0</v>
      </c>
      <c r="S117" s="35" t="s">
        <v>53</v>
      </c>
      <c r="T117" s="35">
        <v>0.0</v>
      </c>
      <c r="U117" s="35">
        <v>0.0</v>
      </c>
      <c r="V117" s="35">
        <v>0.0</v>
      </c>
      <c r="W117" s="35" t="s">
        <v>53</v>
      </c>
      <c r="X117" s="35">
        <v>0.0</v>
      </c>
      <c r="Y117" s="35" t="s">
        <v>53</v>
      </c>
      <c r="Z117" s="35" t="s">
        <v>1126</v>
      </c>
      <c r="AA117" s="58" t="s">
        <v>1127</v>
      </c>
      <c r="AB117" s="58" t="b">
        <v>1</v>
      </c>
      <c r="AC117" s="35" t="s">
        <v>56</v>
      </c>
      <c r="AD117" s="35" t="s">
        <v>57</v>
      </c>
      <c r="AE117" s="35">
        <v>0.25</v>
      </c>
      <c r="AF117" s="35" t="s">
        <v>58</v>
      </c>
      <c r="AG117" s="35" t="s">
        <v>59</v>
      </c>
      <c r="AH117" s="35" t="s">
        <v>60</v>
      </c>
      <c r="AI117" s="35" t="s">
        <v>61</v>
      </c>
      <c r="AJ117" s="35" t="s">
        <v>62</v>
      </c>
      <c r="AK117" s="35" t="s">
        <v>1140</v>
      </c>
      <c r="AL117" s="35" t="s">
        <v>164</v>
      </c>
      <c r="AM117" s="35" t="s">
        <v>65</v>
      </c>
      <c r="AN117" s="58" t="s">
        <v>1172</v>
      </c>
      <c r="AO117" s="56" t="s">
        <v>1142</v>
      </c>
    </row>
    <row r="118" ht="15.0" customHeight="1">
      <c r="A118" s="57">
        <v>129.0</v>
      </c>
      <c r="B118" s="35" t="s">
        <v>1128</v>
      </c>
      <c r="C118" s="35" t="s">
        <v>1129</v>
      </c>
      <c r="D118" s="35" t="s">
        <v>1120</v>
      </c>
      <c r="E118" s="35" t="s">
        <v>1130</v>
      </c>
      <c r="F118" s="35" t="s">
        <v>1131</v>
      </c>
      <c r="G118" s="22" t="s">
        <v>1132</v>
      </c>
      <c r="H118" s="35" t="s">
        <v>1133</v>
      </c>
      <c r="I118" s="35" t="s">
        <v>1134</v>
      </c>
      <c r="J118" s="35" t="s">
        <v>1135</v>
      </c>
      <c r="K118" s="35" t="s">
        <v>1136</v>
      </c>
      <c r="L118" s="35">
        <v>1.0</v>
      </c>
      <c r="M118" s="35">
        <v>0.0</v>
      </c>
      <c r="N118" s="35">
        <v>0.11834319526627218</v>
      </c>
      <c r="O118" s="35">
        <v>0.0</v>
      </c>
      <c r="P118" s="35">
        <v>4.0</v>
      </c>
      <c r="Q118" s="35" t="s">
        <v>53</v>
      </c>
      <c r="R118" s="35">
        <v>0.0</v>
      </c>
      <c r="S118" s="35" t="s">
        <v>53</v>
      </c>
      <c r="T118" s="35">
        <v>0.0</v>
      </c>
      <c r="U118" s="35">
        <v>0.0</v>
      </c>
      <c r="V118" s="35">
        <v>0.0</v>
      </c>
      <c r="W118" s="35" t="s">
        <v>53</v>
      </c>
      <c r="X118" s="35">
        <v>0.0</v>
      </c>
      <c r="Y118" s="35" t="s">
        <v>53</v>
      </c>
      <c r="Z118" s="35" t="s">
        <v>1137</v>
      </c>
      <c r="AA118" s="58" t="s">
        <v>1138</v>
      </c>
      <c r="AB118" s="58" t="b">
        <v>1</v>
      </c>
      <c r="AC118" s="35" t="s">
        <v>57</v>
      </c>
      <c r="AD118" s="35" t="s">
        <v>57</v>
      </c>
      <c r="AE118" s="35">
        <v>0.6</v>
      </c>
      <c r="AF118" s="35" t="s">
        <v>162</v>
      </c>
      <c r="AG118" s="35" t="s">
        <v>59</v>
      </c>
      <c r="AH118" s="35" t="s">
        <v>546</v>
      </c>
      <c r="AI118" s="35" t="s">
        <v>61</v>
      </c>
      <c r="AJ118" s="35" t="s">
        <v>62</v>
      </c>
      <c r="AK118" s="35" t="s">
        <v>1140</v>
      </c>
      <c r="AL118" s="35" t="s">
        <v>64</v>
      </c>
      <c r="AM118" s="35" t="s">
        <v>65</v>
      </c>
      <c r="AN118" s="58" t="s">
        <v>1158</v>
      </c>
      <c r="AO118" s="56" t="s">
        <v>1142</v>
      </c>
    </row>
    <row r="119" ht="15.0" customHeight="1">
      <c r="A119" s="49"/>
      <c r="G119" s="22"/>
      <c r="O119" s="53">
        <f>countif(O2:O118,0)</f>
        <v>52</v>
      </c>
      <c r="AA119" s="50"/>
      <c r="AB119" s="50"/>
      <c r="AI119" s="53">
        <f>COUNTIF(AI2:AI118,"identical")</f>
        <v>62</v>
      </c>
      <c r="AL119" s="50"/>
      <c r="AM119" s="50"/>
      <c r="AN119" s="50"/>
    </row>
    <row r="120" ht="15.0" customHeight="1">
      <c r="A120" s="49"/>
      <c r="G120" s="22"/>
      <c r="O120" s="53">
        <f>countif(O2:O118,1)</f>
        <v>13</v>
      </c>
      <c r="AA120" s="50"/>
      <c r="AB120" s="50"/>
      <c r="AE120" s="67"/>
      <c r="AF120" s="67"/>
      <c r="AL120" s="50"/>
      <c r="AM120" s="50"/>
      <c r="AN120" s="50"/>
    </row>
    <row r="121">
      <c r="AE121" s="67"/>
      <c r="AF121" s="68"/>
    </row>
    <row r="122">
      <c r="AE122" s="67"/>
      <c r="AF122" s="68"/>
    </row>
    <row r="123">
      <c r="AE123" s="67"/>
      <c r="AF123" s="68"/>
    </row>
    <row r="124">
      <c r="AE124" s="67"/>
      <c r="AF124" s="68"/>
    </row>
    <row r="126">
      <c r="AE126" s="67" t="s">
        <v>6882</v>
      </c>
      <c r="AF126" s="67"/>
      <c r="AG126" s="67" t="s">
        <v>6883</v>
      </c>
      <c r="AH126" s="67"/>
      <c r="AI126" s="69" t="s">
        <v>6884</v>
      </c>
      <c r="AJ126" s="67"/>
      <c r="AK126" s="67" t="s">
        <v>6885</v>
      </c>
      <c r="AL126" s="67"/>
      <c r="AM126" s="67" t="s">
        <v>6886</v>
      </c>
      <c r="AN126" s="67"/>
    </row>
    <row r="127">
      <c r="AE127" s="67" t="s">
        <v>6887</v>
      </c>
      <c r="AF127" s="68">
        <f>countif(AF2:AF118,"no variable declaration")</f>
        <v>69</v>
      </c>
      <c r="AG127" s="67" t="s">
        <v>79</v>
      </c>
      <c r="AH127" s="68">
        <f>countif(AG2:AG118,"no literal value")</f>
        <v>3</v>
      </c>
      <c r="AI127" s="69" t="s">
        <v>6888</v>
      </c>
      <c r="AJ127" s="68">
        <f>countif(AH2:AH118,"no constructor")</f>
        <v>77</v>
      </c>
      <c r="AK127" s="67" t="s">
        <v>61</v>
      </c>
      <c r="AL127" s="68">
        <f>countif(AI2:AI118,"identical")</f>
        <v>62</v>
      </c>
      <c r="AM127" s="67" t="s">
        <v>6889</v>
      </c>
      <c r="AN127" s="68">
        <f>countif(AK2:AK118,"new method in assertion")</f>
        <v>5</v>
      </c>
    </row>
    <row r="128">
      <c r="AE128" s="67" t="s">
        <v>162</v>
      </c>
      <c r="AF128" s="68">
        <f>countif(AF2:AF118,"exact same")</f>
        <v>36</v>
      </c>
      <c r="AG128" s="67" t="s">
        <v>162</v>
      </c>
      <c r="AH128" s="68">
        <f>countif(AG2:AG118,"exact same")</f>
        <v>19</v>
      </c>
      <c r="AI128" s="69" t="s">
        <v>6890</v>
      </c>
      <c r="AJ128" s="68">
        <f>countif(AH2:AH118,"same constructor")</f>
        <v>30</v>
      </c>
      <c r="AK128" s="67" t="s">
        <v>6891</v>
      </c>
      <c r="AL128" s="68">
        <f>countif(AI2:AI118,"method replaced")+countif(AI2:AI118,"method replaced with overload")</f>
        <v>31</v>
      </c>
      <c r="AM128" s="67" t="s">
        <v>6892</v>
      </c>
      <c r="AN128" s="68">
        <f>countif(AK2:AK118,"new attribute in assertion")</f>
        <v>1</v>
      </c>
    </row>
    <row r="129">
      <c r="AE129" s="67" t="s">
        <v>559</v>
      </c>
      <c r="AF129" s="68">
        <f>countif(AF2:AF118,"similar")</f>
        <v>8</v>
      </c>
      <c r="AG129" s="67" t="s">
        <v>163</v>
      </c>
      <c r="AH129" s="68">
        <f>countif(AG2:AG118,"similar")+countif(AG2:AG118,"changed and similar")</f>
        <v>31</v>
      </c>
      <c r="AI129" s="69" t="s">
        <v>6893</v>
      </c>
      <c r="AJ129" s="68">
        <v>10.0</v>
      </c>
      <c r="AK129" s="67" t="s">
        <v>6894</v>
      </c>
      <c r="AL129" s="68">
        <f>countif(AI2:AI118,"new method added")</f>
        <v>3</v>
      </c>
      <c r="AM129" s="67" t="s">
        <v>6895</v>
      </c>
      <c r="AN129" s="68">
        <f>countif(AK2:AK118,"similar assertion added")</f>
        <v>10</v>
      </c>
    </row>
    <row r="130">
      <c r="AE130" s="67" t="s">
        <v>59</v>
      </c>
      <c r="AF130" s="68">
        <f>countif(AF2:AF118,"changed")</f>
        <v>4</v>
      </c>
      <c r="AG130" s="67" t="s">
        <v>59</v>
      </c>
      <c r="AH130" s="68">
        <f>countif(AG2:AG118,"changed")</f>
        <v>64</v>
      </c>
      <c r="AI130" s="69" t="s">
        <v>6896</v>
      </c>
      <c r="AJ130" s="68">
        <f>countif(AH2:AH118,"constructor changed to different constructor")</f>
        <v>0</v>
      </c>
      <c r="AK130" s="67" t="s">
        <v>6897</v>
      </c>
      <c r="AL130" s="68">
        <f>countif(AI2:AI118,"method deleted")</f>
        <v>2</v>
      </c>
      <c r="AM130" s="67" t="s">
        <v>6898</v>
      </c>
      <c r="AN130" s="68">
        <f>countif(AK2:AK118,"no assertion addition")</f>
        <v>101</v>
      </c>
    </row>
    <row r="131">
      <c r="AE131" s="67"/>
      <c r="AF131" s="68">
        <f>sum(AF127:AF130)</f>
        <v>117</v>
      </c>
      <c r="AG131" s="67"/>
      <c r="AH131" s="68">
        <f>SUM(AH127:AH130)</f>
        <v>117</v>
      </c>
      <c r="AI131" s="67"/>
      <c r="AJ131" s="67">
        <f>SUM(AJ127:AJ130)</f>
        <v>117</v>
      </c>
      <c r="AK131" s="67" t="s">
        <v>6899</v>
      </c>
      <c r="AL131" s="68">
        <f>countif(AI2:AI118,"common method increased")</f>
        <v>7</v>
      </c>
      <c r="AM131" s="67"/>
      <c r="AN131" s="67"/>
    </row>
    <row r="132">
      <c r="AE132" s="67"/>
      <c r="AF132" s="67"/>
      <c r="AG132" s="67"/>
      <c r="AH132" s="67"/>
      <c r="AI132" s="67"/>
      <c r="AJ132" s="67"/>
      <c r="AK132" s="67" t="s">
        <v>6900</v>
      </c>
      <c r="AL132" s="68">
        <f>countif(AI2:AI118,"common method decreased")</f>
        <v>4</v>
      </c>
      <c r="AM132" s="67"/>
      <c r="AN132" s="67"/>
    </row>
    <row r="133">
      <c r="AE133" s="67"/>
      <c r="AF133" s="67"/>
      <c r="AG133" s="67"/>
      <c r="AH133" s="67"/>
      <c r="AI133" s="67"/>
      <c r="AJ133" s="67"/>
      <c r="AK133" s="67" t="s">
        <v>6901</v>
      </c>
      <c r="AL133" s="68">
        <v>8.0</v>
      </c>
      <c r="AM133" s="67"/>
      <c r="AN133" s="67"/>
    </row>
    <row r="134">
      <c r="AE134" s="67"/>
      <c r="AF134" s="67"/>
      <c r="AG134" s="67"/>
      <c r="AH134" s="67"/>
      <c r="AI134" s="67"/>
      <c r="AJ134" s="67"/>
      <c r="AK134" s="67"/>
      <c r="AL134" s="68">
        <f>sum(AL127:AL132)</f>
        <v>109</v>
      </c>
      <c r="AM134" s="67"/>
      <c r="AN134" s="6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29"/>
  </cols>
  <sheetData>
    <row r="3">
      <c r="A3" s="52" t="s">
        <v>6902</v>
      </c>
      <c r="B3" s="53" t="str">
        <f t="array" ref="B3:B9">unique(A3:A119)</f>
        <v>no addition</v>
      </c>
      <c r="C3" s="33" t="s">
        <v>59</v>
      </c>
      <c r="D3" s="53" t="str">
        <f t="array" ref="D3:D7">unique(C3:C119)</f>
        <v>changed</v>
      </c>
    </row>
    <row r="4">
      <c r="A4" s="28" t="s">
        <v>1145</v>
      </c>
      <c r="B4" s="53" t="s">
        <v>1145</v>
      </c>
      <c r="C4" s="28" t="s">
        <v>559</v>
      </c>
      <c r="D4" s="53" t="s">
        <v>559</v>
      </c>
    </row>
    <row r="5">
      <c r="A5" s="33" t="s">
        <v>1140</v>
      </c>
      <c r="B5" s="53" t="s">
        <v>1140</v>
      </c>
      <c r="C5" s="28" t="s">
        <v>162</v>
      </c>
      <c r="D5" s="53" t="s">
        <v>162</v>
      </c>
    </row>
    <row r="6">
      <c r="A6" s="28" t="s">
        <v>1140</v>
      </c>
      <c r="B6" s="53" t="s">
        <v>1148</v>
      </c>
      <c r="C6" s="28" t="s">
        <v>559</v>
      </c>
      <c r="D6" s="53" t="s">
        <v>79</v>
      </c>
    </row>
    <row r="7">
      <c r="A7" s="28" t="s">
        <v>1140</v>
      </c>
      <c r="B7" s="53" t="s">
        <v>1154</v>
      </c>
      <c r="C7" s="28" t="s">
        <v>559</v>
      </c>
      <c r="D7" s="53" t="s">
        <v>1159</v>
      </c>
    </row>
    <row r="8">
      <c r="A8" s="33" t="s">
        <v>1140</v>
      </c>
      <c r="B8" s="53" t="s">
        <v>6863</v>
      </c>
      <c r="C8" s="33" t="s">
        <v>59</v>
      </c>
    </row>
    <row r="9">
      <c r="A9" s="28" t="s">
        <v>1140</v>
      </c>
      <c r="B9" s="53" t="s">
        <v>6903</v>
      </c>
      <c r="C9" s="28" t="s">
        <v>59</v>
      </c>
      <c r="G9" s="22" t="s">
        <v>6882</v>
      </c>
      <c r="H9" s="22"/>
      <c r="I9" s="22" t="s">
        <v>6883</v>
      </c>
      <c r="J9" s="22"/>
      <c r="K9" s="22" t="s">
        <v>6884</v>
      </c>
      <c r="L9" s="22"/>
      <c r="M9" s="53" t="s">
        <v>6885</v>
      </c>
      <c r="O9" s="53" t="s">
        <v>6886</v>
      </c>
    </row>
    <row r="10">
      <c r="A10" s="28" t="s">
        <v>1140</v>
      </c>
      <c r="C10" s="28" t="s">
        <v>59</v>
      </c>
      <c r="G10" s="22" t="s">
        <v>6887</v>
      </c>
      <c r="H10" s="22">
        <v>17.0</v>
      </c>
      <c r="I10" s="22" t="s">
        <v>79</v>
      </c>
      <c r="J10" s="22">
        <v>0.0</v>
      </c>
      <c r="K10" s="22" t="s">
        <v>6888</v>
      </c>
      <c r="L10" s="22">
        <v>19.0</v>
      </c>
      <c r="M10" s="53" t="s">
        <v>61</v>
      </c>
      <c r="N10" s="53">
        <v>21.0</v>
      </c>
      <c r="O10" s="53" t="s">
        <v>6889</v>
      </c>
      <c r="P10" s="53">
        <v>0.0</v>
      </c>
    </row>
    <row r="11">
      <c r="A11" s="28" t="s">
        <v>1140</v>
      </c>
      <c r="C11" s="28" t="s">
        <v>59</v>
      </c>
      <c r="G11" s="22" t="s">
        <v>162</v>
      </c>
      <c r="H11" s="22">
        <v>20.0</v>
      </c>
      <c r="I11" s="22" t="s">
        <v>162</v>
      </c>
      <c r="J11" s="22">
        <v>1.0</v>
      </c>
      <c r="K11" s="22" t="s">
        <v>6893</v>
      </c>
      <c r="L11" s="22">
        <v>19.0</v>
      </c>
      <c r="M11" s="53" t="s">
        <v>6891</v>
      </c>
      <c r="N11" s="53">
        <v>1.0</v>
      </c>
      <c r="O11" s="53" t="s">
        <v>6892</v>
      </c>
      <c r="P11" s="53">
        <v>0.0</v>
      </c>
    </row>
    <row r="12">
      <c r="A12" s="28" t="s">
        <v>1140</v>
      </c>
      <c r="C12" s="28" t="s">
        <v>59</v>
      </c>
      <c r="G12" s="22" t="s">
        <v>559</v>
      </c>
      <c r="H12" s="22">
        <v>7.0</v>
      </c>
      <c r="I12" s="22" t="s">
        <v>163</v>
      </c>
      <c r="J12" s="22">
        <v>7.0</v>
      </c>
      <c r="K12" s="22" t="s">
        <v>6890</v>
      </c>
      <c r="L12" s="22">
        <v>7.0</v>
      </c>
      <c r="M12" s="53" t="s">
        <v>6894</v>
      </c>
      <c r="N12" s="53">
        <v>0.0</v>
      </c>
      <c r="O12" s="53" t="s">
        <v>6895</v>
      </c>
      <c r="P12" s="53">
        <v>5.0</v>
      </c>
    </row>
    <row r="13">
      <c r="A13" s="55" t="s">
        <v>1148</v>
      </c>
      <c r="C13" s="28" t="s">
        <v>59</v>
      </c>
      <c r="G13" s="22" t="s">
        <v>59</v>
      </c>
      <c r="H13" s="22">
        <v>1.0</v>
      </c>
      <c r="I13" s="22" t="s">
        <v>59</v>
      </c>
      <c r="J13" s="22">
        <v>37.0</v>
      </c>
      <c r="K13" s="22" t="s">
        <v>6896</v>
      </c>
      <c r="L13" s="22">
        <v>0.0</v>
      </c>
      <c r="M13" s="53" t="s">
        <v>6897</v>
      </c>
      <c r="N13" s="53">
        <v>0.0</v>
      </c>
      <c r="O13" s="53" t="s">
        <v>6898</v>
      </c>
      <c r="P13" s="53">
        <v>40.0</v>
      </c>
    </row>
    <row r="14">
      <c r="A14" s="22" t="s">
        <v>1148</v>
      </c>
      <c r="C14" s="35" t="s">
        <v>59</v>
      </c>
      <c r="G14" s="22"/>
      <c r="H14" s="22">
        <v>45.0</v>
      </c>
      <c r="I14" s="22"/>
      <c r="J14" s="22">
        <v>45.0</v>
      </c>
      <c r="K14" s="22"/>
      <c r="L14" s="22"/>
      <c r="M14" s="53" t="s">
        <v>6899</v>
      </c>
      <c r="N14" s="53">
        <v>9.0</v>
      </c>
    </row>
    <row r="15">
      <c r="A15" s="35" t="s">
        <v>1154</v>
      </c>
      <c r="C15" s="35" t="s">
        <v>59</v>
      </c>
      <c r="G15" s="22"/>
      <c r="H15" s="22"/>
      <c r="I15" s="22"/>
      <c r="J15" s="22"/>
      <c r="K15" s="22"/>
      <c r="L15" s="22"/>
      <c r="M15" s="53" t="s">
        <v>6900</v>
      </c>
      <c r="N15" s="53">
        <v>12.0</v>
      </c>
    </row>
    <row r="16">
      <c r="A16" s="35" t="s">
        <v>1140</v>
      </c>
      <c r="C16" s="35" t="s">
        <v>559</v>
      </c>
      <c r="G16" s="22"/>
      <c r="H16" s="22"/>
      <c r="I16" s="22"/>
      <c r="J16" s="22"/>
      <c r="K16" s="22"/>
      <c r="L16" s="22"/>
      <c r="M16" s="53" t="s">
        <v>6901</v>
      </c>
      <c r="N16" s="53">
        <v>2.0</v>
      </c>
    </row>
    <row r="17">
      <c r="A17" s="35" t="s">
        <v>1140</v>
      </c>
      <c r="C17" s="35" t="s">
        <v>59</v>
      </c>
      <c r="G17" s="22"/>
      <c r="H17" s="22"/>
      <c r="I17" s="22"/>
      <c r="J17" s="22"/>
      <c r="K17" s="22"/>
      <c r="L17" s="22"/>
      <c r="N17" s="53">
        <v>43.0</v>
      </c>
    </row>
    <row r="18">
      <c r="A18" s="35" t="s">
        <v>1140</v>
      </c>
      <c r="C18" s="35" t="s">
        <v>559</v>
      </c>
      <c r="G18" s="22"/>
      <c r="H18" s="22"/>
      <c r="I18" s="22"/>
      <c r="J18" s="22"/>
      <c r="K18" s="22"/>
      <c r="L18" s="22"/>
    </row>
    <row r="19">
      <c r="A19" s="35" t="s">
        <v>6863</v>
      </c>
      <c r="C19" s="35" t="s">
        <v>59</v>
      </c>
      <c r="G19" s="22"/>
      <c r="H19" s="22"/>
      <c r="I19" s="22"/>
      <c r="J19" s="22"/>
      <c r="K19" s="22"/>
      <c r="L19" s="22"/>
    </row>
    <row r="20">
      <c r="A20" s="35" t="s">
        <v>1154</v>
      </c>
      <c r="C20" s="35" t="s">
        <v>559</v>
      </c>
      <c r="G20" s="22"/>
      <c r="H20" s="22"/>
      <c r="I20" s="22"/>
      <c r="J20" s="22"/>
      <c r="K20" s="22"/>
      <c r="L20" s="22"/>
    </row>
    <row r="21">
      <c r="A21" s="35" t="s">
        <v>1140</v>
      </c>
      <c r="C21" s="35" t="s">
        <v>59</v>
      </c>
      <c r="G21" s="22"/>
      <c r="H21" s="22"/>
      <c r="I21" s="22"/>
      <c r="J21" s="22"/>
      <c r="K21" s="22"/>
      <c r="L21" s="22"/>
    </row>
    <row r="22">
      <c r="A22" s="35" t="s">
        <v>6863</v>
      </c>
      <c r="C22" s="35" t="s">
        <v>59</v>
      </c>
      <c r="G22" s="22" t="s">
        <v>6882</v>
      </c>
      <c r="H22" s="22"/>
      <c r="I22" s="22" t="s">
        <v>6883</v>
      </c>
      <c r="J22" s="22"/>
      <c r="K22" s="22" t="s">
        <v>6884</v>
      </c>
      <c r="L22" s="22"/>
      <c r="M22" s="53" t="s">
        <v>6885</v>
      </c>
      <c r="O22" s="53" t="s">
        <v>6886</v>
      </c>
    </row>
    <row r="23">
      <c r="A23" s="35" t="s">
        <v>1154</v>
      </c>
      <c r="C23" s="35" t="s">
        <v>559</v>
      </c>
      <c r="G23" s="22" t="s">
        <v>6887</v>
      </c>
      <c r="H23" s="22">
        <v>69.0</v>
      </c>
      <c r="I23" s="22" t="s">
        <v>79</v>
      </c>
      <c r="J23" s="22">
        <v>3.0</v>
      </c>
      <c r="K23" s="22" t="s">
        <v>6888</v>
      </c>
      <c r="L23" s="22">
        <v>77.0</v>
      </c>
      <c r="M23" s="53" t="s">
        <v>61</v>
      </c>
      <c r="N23" s="53">
        <v>62.0</v>
      </c>
      <c r="O23" s="53" t="s">
        <v>6889</v>
      </c>
      <c r="P23" s="53">
        <v>5.0</v>
      </c>
    </row>
    <row r="24">
      <c r="A24" s="35" t="s">
        <v>1140</v>
      </c>
      <c r="C24" s="35" t="s">
        <v>59</v>
      </c>
      <c r="G24" s="22" t="s">
        <v>162</v>
      </c>
      <c r="H24" s="22">
        <v>36.0</v>
      </c>
      <c r="I24" s="22" t="s">
        <v>162</v>
      </c>
      <c r="J24" s="22">
        <v>19.0</v>
      </c>
      <c r="K24" s="22" t="s">
        <v>6890</v>
      </c>
      <c r="L24" s="22">
        <v>30.0</v>
      </c>
      <c r="M24" s="53" t="s">
        <v>6891</v>
      </c>
      <c r="N24" s="53">
        <v>31.0</v>
      </c>
      <c r="O24" s="53" t="s">
        <v>6892</v>
      </c>
      <c r="P24" s="53">
        <v>1.0</v>
      </c>
    </row>
    <row r="25">
      <c r="A25" s="35" t="s">
        <v>1140</v>
      </c>
      <c r="C25" s="35" t="s">
        <v>559</v>
      </c>
      <c r="G25" s="22" t="s">
        <v>559</v>
      </c>
      <c r="H25" s="22">
        <v>8.0</v>
      </c>
      <c r="I25" s="22" t="s">
        <v>163</v>
      </c>
      <c r="J25" s="22">
        <v>31.0</v>
      </c>
      <c r="K25" s="22" t="s">
        <v>6893</v>
      </c>
      <c r="L25" s="22">
        <v>10.0</v>
      </c>
      <c r="M25" s="53" t="s">
        <v>6894</v>
      </c>
      <c r="N25" s="53">
        <v>3.0</v>
      </c>
      <c r="O25" s="53" t="s">
        <v>6895</v>
      </c>
      <c r="P25" s="53">
        <v>10.0</v>
      </c>
    </row>
    <row r="26">
      <c r="A26" s="35" t="s">
        <v>1154</v>
      </c>
      <c r="C26" s="35" t="s">
        <v>162</v>
      </c>
      <c r="G26" s="22" t="s">
        <v>59</v>
      </c>
      <c r="H26" s="22">
        <v>4.0</v>
      </c>
      <c r="I26" s="22" t="s">
        <v>59</v>
      </c>
      <c r="J26" s="22">
        <v>64.0</v>
      </c>
      <c r="K26" s="22" t="s">
        <v>6896</v>
      </c>
      <c r="L26" s="22">
        <v>0.0</v>
      </c>
      <c r="M26" s="53" t="s">
        <v>6897</v>
      </c>
      <c r="N26" s="53">
        <v>2.0</v>
      </c>
      <c r="O26" s="53" t="s">
        <v>6898</v>
      </c>
      <c r="P26" s="53">
        <v>101.0</v>
      </c>
    </row>
    <row r="27">
      <c r="A27" s="35" t="s">
        <v>1140</v>
      </c>
      <c r="C27" s="35" t="s">
        <v>162</v>
      </c>
      <c r="G27" s="22"/>
      <c r="H27" s="22">
        <v>117.0</v>
      </c>
      <c r="I27" s="22"/>
      <c r="J27" s="22">
        <v>117.0</v>
      </c>
      <c r="K27" s="22"/>
      <c r="L27" s="22">
        <v>117.0</v>
      </c>
      <c r="M27" s="53" t="s">
        <v>6899</v>
      </c>
      <c r="N27" s="53">
        <v>7.0</v>
      </c>
    </row>
    <row r="28">
      <c r="A28" s="35" t="s">
        <v>1140</v>
      </c>
      <c r="C28" s="35" t="s">
        <v>162</v>
      </c>
      <c r="G28" s="22"/>
      <c r="H28" s="22"/>
      <c r="I28" s="22"/>
      <c r="J28" s="22"/>
      <c r="K28" s="22"/>
      <c r="L28" s="22"/>
      <c r="M28" s="53" t="s">
        <v>6900</v>
      </c>
      <c r="N28" s="53">
        <v>4.0</v>
      </c>
    </row>
    <row r="29">
      <c r="A29" s="35" t="s">
        <v>1140</v>
      </c>
      <c r="C29" s="35" t="s">
        <v>162</v>
      </c>
      <c r="G29" s="22"/>
      <c r="H29" s="22"/>
      <c r="I29" s="22"/>
      <c r="J29" s="22"/>
      <c r="K29" s="22"/>
      <c r="L29" s="22"/>
      <c r="M29" s="53" t="s">
        <v>6901</v>
      </c>
      <c r="N29" s="53">
        <v>8.0</v>
      </c>
    </row>
    <row r="30">
      <c r="A30" s="35" t="s">
        <v>1140</v>
      </c>
      <c r="C30" s="35" t="s">
        <v>162</v>
      </c>
      <c r="G30" s="22"/>
      <c r="H30" s="22"/>
      <c r="I30" s="22"/>
      <c r="J30" s="22"/>
      <c r="K30" s="22"/>
      <c r="L30" s="22"/>
      <c r="N30" s="53">
        <v>109.0</v>
      </c>
    </row>
    <row r="31">
      <c r="A31" s="35" t="s">
        <v>1140</v>
      </c>
      <c r="C31" s="35" t="s">
        <v>162</v>
      </c>
      <c r="G31" s="22"/>
      <c r="H31" s="22"/>
      <c r="I31" s="22"/>
      <c r="J31" s="22"/>
      <c r="K31" s="22"/>
    </row>
    <row r="32">
      <c r="A32" s="35" t="s">
        <v>1140</v>
      </c>
      <c r="C32" s="35" t="s">
        <v>59</v>
      </c>
      <c r="G32" s="53" t="s">
        <v>6904</v>
      </c>
    </row>
    <row r="33">
      <c r="A33" s="35" t="s">
        <v>1140</v>
      </c>
      <c r="C33" s="35" t="s">
        <v>559</v>
      </c>
      <c r="G33" s="53" t="s">
        <v>162</v>
      </c>
      <c r="H33" s="53">
        <v>95.0</v>
      </c>
      <c r="I33" s="53" t="s">
        <v>162</v>
      </c>
      <c r="J33" s="53">
        <v>20.0</v>
      </c>
      <c r="K33" s="53" t="s">
        <v>209</v>
      </c>
      <c r="L33" s="53">
        <v>76.0</v>
      </c>
      <c r="M33" s="53" t="s">
        <v>61</v>
      </c>
      <c r="N33" s="53">
        <v>76.0</v>
      </c>
      <c r="O33" s="53" t="s">
        <v>63</v>
      </c>
      <c r="P33" s="53">
        <v>137.0</v>
      </c>
    </row>
    <row r="34">
      <c r="A34" s="35" t="s">
        <v>1140</v>
      </c>
      <c r="C34" s="35" t="s">
        <v>59</v>
      </c>
      <c r="G34" s="53" t="s">
        <v>559</v>
      </c>
      <c r="H34" s="53">
        <v>19.0</v>
      </c>
      <c r="I34" s="53" t="s">
        <v>163</v>
      </c>
      <c r="J34" s="53">
        <v>64.0</v>
      </c>
      <c r="K34" s="53" t="s">
        <v>546</v>
      </c>
      <c r="L34" s="53">
        <v>19.0</v>
      </c>
      <c r="M34" s="53" t="s">
        <v>374</v>
      </c>
      <c r="N34" s="53">
        <v>42.0</v>
      </c>
      <c r="O34" s="53" t="s">
        <v>6905</v>
      </c>
      <c r="P34" s="53">
        <v>2.0</v>
      </c>
    </row>
    <row r="35">
      <c r="A35" s="35" t="s">
        <v>1140</v>
      </c>
      <c r="C35" s="35" t="s">
        <v>59</v>
      </c>
      <c r="G35" s="53" t="s">
        <v>59</v>
      </c>
      <c r="H35" s="53">
        <v>4.0</v>
      </c>
      <c r="I35" s="53" t="s">
        <v>59</v>
      </c>
      <c r="J35" s="53">
        <v>75.0</v>
      </c>
      <c r="M35" s="53" t="s">
        <v>839</v>
      </c>
      <c r="N35" s="53">
        <v>19.0</v>
      </c>
      <c r="O35" s="53" t="s">
        <v>6906</v>
      </c>
      <c r="P35" s="53">
        <v>13.0</v>
      </c>
    </row>
    <row r="36">
      <c r="A36" s="35" t="s">
        <v>1140</v>
      </c>
      <c r="C36" s="35" t="s">
        <v>59</v>
      </c>
      <c r="G36" s="53" t="s">
        <v>58</v>
      </c>
      <c r="M36" s="53" t="s">
        <v>6867</v>
      </c>
      <c r="N36" s="53">
        <v>3.0</v>
      </c>
      <c r="P36" s="53">
        <v>8.0</v>
      </c>
    </row>
    <row r="37">
      <c r="A37" s="35" t="s">
        <v>1140</v>
      </c>
      <c r="C37" s="35" t="s">
        <v>559</v>
      </c>
      <c r="M37" s="53" t="s">
        <v>249</v>
      </c>
      <c r="N37" s="53">
        <v>4.0</v>
      </c>
    </row>
    <row r="38">
      <c r="A38" s="35" t="s">
        <v>1140</v>
      </c>
      <c r="C38" s="35" t="s">
        <v>59</v>
      </c>
      <c r="M38" s="53" t="s">
        <v>561</v>
      </c>
      <c r="N38" s="53">
        <v>3.0</v>
      </c>
    </row>
    <row r="39">
      <c r="A39" s="35" t="s">
        <v>1140</v>
      </c>
      <c r="C39" s="35" t="s">
        <v>59</v>
      </c>
      <c r="M39" s="53" t="s">
        <v>6907</v>
      </c>
      <c r="N39" s="53">
        <v>13.0</v>
      </c>
    </row>
    <row r="40">
      <c r="A40" s="35" t="s">
        <v>1140</v>
      </c>
      <c r="C40" s="35" t="s">
        <v>59</v>
      </c>
    </row>
    <row r="41">
      <c r="A41" s="35" t="s">
        <v>1140</v>
      </c>
      <c r="C41" s="35" t="s">
        <v>59</v>
      </c>
    </row>
    <row r="42">
      <c r="A42" s="35" t="s">
        <v>1140</v>
      </c>
      <c r="C42" s="35" t="s">
        <v>59</v>
      </c>
    </row>
    <row r="43">
      <c r="A43" s="35" t="s">
        <v>1140</v>
      </c>
      <c r="C43" s="35" t="s">
        <v>59</v>
      </c>
    </row>
    <row r="44">
      <c r="A44" s="35" t="s">
        <v>1140</v>
      </c>
      <c r="C44" s="35" t="s">
        <v>59</v>
      </c>
    </row>
    <row r="45">
      <c r="A45" s="35" t="s">
        <v>1140</v>
      </c>
      <c r="C45" s="35" t="s">
        <v>59</v>
      </c>
    </row>
    <row r="46">
      <c r="A46" s="35" t="s">
        <v>1140</v>
      </c>
      <c r="C46" s="35" t="s">
        <v>59</v>
      </c>
    </row>
    <row r="47">
      <c r="A47" s="35" t="s">
        <v>1140</v>
      </c>
      <c r="C47" s="35" t="s">
        <v>559</v>
      </c>
    </row>
    <row r="48">
      <c r="A48" s="35" t="s">
        <v>1140</v>
      </c>
      <c r="C48" s="35" t="s">
        <v>559</v>
      </c>
    </row>
    <row r="49">
      <c r="A49" s="35" t="s">
        <v>1140</v>
      </c>
      <c r="C49" s="35" t="s">
        <v>59</v>
      </c>
      <c r="G49" s="53" t="s">
        <v>6904</v>
      </c>
      <c r="J49" s="53" t="s">
        <v>6908</v>
      </c>
      <c r="L49" s="53" t="s">
        <v>6909</v>
      </c>
      <c r="P49" s="53" t="s">
        <v>6910</v>
      </c>
      <c r="S49" s="53" t="s">
        <v>6886</v>
      </c>
    </row>
    <row r="50">
      <c r="A50" s="35" t="s">
        <v>1140</v>
      </c>
      <c r="C50" s="35" t="s">
        <v>59</v>
      </c>
      <c r="G50" s="53" t="s">
        <v>162</v>
      </c>
      <c r="I50" s="53">
        <v>95.0</v>
      </c>
      <c r="J50" s="53" t="s">
        <v>162</v>
      </c>
      <c r="K50" s="53">
        <v>20.0</v>
      </c>
      <c r="L50" s="53" t="s">
        <v>209</v>
      </c>
      <c r="M50" s="53">
        <v>76.0</v>
      </c>
      <c r="P50" s="53" t="s">
        <v>61</v>
      </c>
      <c r="R50" s="53">
        <v>76.0</v>
      </c>
      <c r="S50" s="53" t="s">
        <v>63</v>
      </c>
      <c r="T50" s="53">
        <v>145.0</v>
      </c>
    </row>
    <row r="51">
      <c r="A51" s="35" t="s">
        <v>1140</v>
      </c>
      <c r="C51" s="35" t="s">
        <v>79</v>
      </c>
      <c r="G51" s="53" t="s">
        <v>559</v>
      </c>
      <c r="I51" s="53">
        <v>19.0</v>
      </c>
      <c r="J51" s="53" t="s">
        <v>163</v>
      </c>
      <c r="K51" s="53">
        <v>64.0</v>
      </c>
      <c r="L51" s="53" t="s">
        <v>546</v>
      </c>
      <c r="M51" s="53">
        <v>19.0</v>
      </c>
      <c r="P51" s="53" t="s">
        <v>374</v>
      </c>
      <c r="R51" s="53">
        <v>42.0</v>
      </c>
      <c r="S51" s="53" t="s">
        <v>6905</v>
      </c>
      <c r="T51" s="53">
        <v>2.0</v>
      </c>
    </row>
    <row r="52">
      <c r="A52" s="35" t="s">
        <v>1140</v>
      </c>
      <c r="C52" s="35" t="s">
        <v>559</v>
      </c>
      <c r="G52" s="53" t="s">
        <v>59</v>
      </c>
      <c r="P52" s="53" t="s">
        <v>839</v>
      </c>
      <c r="R52" s="53">
        <v>19.0</v>
      </c>
      <c r="S52" s="53" t="s">
        <v>6906</v>
      </c>
      <c r="T52" s="53">
        <v>13.0</v>
      </c>
    </row>
    <row r="53">
      <c r="A53" s="35" t="s">
        <v>1154</v>
      </c>
      <c r="C53" s="35" t="s">
        <v>59</v>
      </c>
      <c r="G53" s="53" t="s">
        <v>58</v>
      </c>
      <c r="I53" s="53">
        <v>4.0</v>
      </c>
      <c r="J53" s="53" t="s">
        <v>59</v>
      </c>
      <c r="K53" s="53">
        <v>75.0</v>
      </c>
      <c r="P53" s="53" t="s">
        <v>6867</v>
      </c>
      <c r="R53" s="53">
        <v>3.0</v>
      </c>
    </row>
    <row r="54">
      <c r="A54" s="35" t="s">
        <v>1154</v>
      </c>
      <c r="C54" s="35" t="s">
        <v>59</v>
      </c>
      <c r="P54" s="53" t="s">
        <v>249</v>
      </c>
      <c r="R54" s="53">
        <v>4.0</v>
      </c>
    </row>
    <row r="55">
      <c r="A55" s="35" t="s">
        <v>1140</v>
      </c>
      <c r="C55" s="35" t="s">
        <v>59</v>
      </c>
      <c r="P55" s="53" t="s">
        <v>561</v>
      </c>
      <c r="R55" s="53">
        <v>3.0</v>
      </c>
    </row>
    <row r="56">
      <c r="A56" s="35" t="s">
        <v>1140</v>
      </c>
      <c r="C56" s="35" t="s">
        <v>559</v>
      </c>
      <c r="P56" s="53" t="s">
        <v>6907</v>
      </c>
      <c r="R56" s="53">
        <v>13.0</v>
      </c>
    </row>
    <row r="57">
      <c r="A57" s="35" t="s">
        <v>1140</v>
      </c>
      <c r="C57" s="35" t="s">
        <v>559</v>
      </c>
    </row>
    <row r="58">
      <c r="A58" s="35" t="s">
        <v>1140</v>
      </c>
      <c r="C58" s="35" t="s">
        <v>1159</v>
      </c>
    </row>
    <row r="59">
      <c r="A59" s="35" t="s">
        <v>1140</v>
      </c>
      <c r="C59" s="35" t="s">
        <v>162</v>
      </c>
    </row>
    <row r="60">
      <c r="A60" s="35" t="s">
        <v>1140</v>
      </c>
      <c r="C60" s="35" t="s">
        <v>559</v>
      </c>
    </row>
    <row r="61">
      <c r="A61" s="35" t="s">
        <v>1140</v>
      </c>
      <c r="C61" s="35" t="s">
        <v>162</v>
      </c>
    </row>
    <row r="62">
      <c r="A62" s="35" t="s">
        <v>1140</v>
      </c>
      <c r="C62" s="35" t="s">
        <v>162</v>
      </c>
    </row>
    <row r="63">
      <c r="A63" s="35" t="s">
        <v>1140</v>
      </c>
      <c r="C63" s="35" t="s">
        <v>162</v>
      </c>
    </row>
    <row r="64">
      <c r="A64" s="35" t="s">
        <v>1140</v>
      </c>
      <c r="C64" s="35" t="s">
        <v>162</v>
      </c>
    </row>
    <row r="65">
      <c r="A65" s="35" t="s">
        <v>1140</v>
      </c>
      <c r="C65" s="35" t="s">
        <v>162</v>
      </c>
    </row>
    <row r="66">
      <c r="A66" s="35" t="s">
        <v>1140</v>
      </c>
      <c r="C66" s="35" t="s">
        <v>162</v>
      </c>
    </row>
    <row r="67">
      <c r="A67" s="35" t="s">
        <v>1140</v>
      </c>
      <c r="C67" s="35" t="s">
        <v>559</v>
      </c>
    </row>
    <row r="68">
      <c r="A68" s="35" t="s">
        <v>1140</v>
      </c>
      <c r="C68" s="35" t="s">
        <v>162</v>
      </c>
    </row>
    <row r="69">
      <c r="A69" s="35" t="s">
        <v>1140</v>
      </c>
      <c r="C69" s="35" t="s">
        <v>162</v>
      </c>
    </row>
    <row r="70">
      <c r="A70" s="35" t="s">
        <v>1140</v>
      </c>
      <c r="C70" s="35" t="s">
        <v>162</v>
      </c>
    </row>
    <row r="71">
      <c r="A71" s="35" t="s">
        <v>1140</v>
      </c>
      <c r="C71" s="35" t="s">
        <v>559</v>
      </c>
    </row>
    <row r="72">
      <c r="A72" s="35" t="s">
        <v>1140</v>
      </c>
      <c r="C72" s="35" t="s">
        <v>59</v>
      </c>
    </row>
    <row r="73">
      <c r="A73" s="35" t="s">
        <v>1140</v>
      </c>
      <c r="C73" s="35" t="s">
        <v>59</v>
      </c>
    </row>
    <row r="74">
      <c r="A74" s="35" t="s">
        <v>1140</v>
      </c>
      <c r="C74" s="35" t="s">
        <v>59</v>
      </c>
    </row>
    <row r="75">
      <c r="A75" s="35" t="s">
        <v>1140</v>
      </c>
      <c r="C75" s="35" t="s">
        <v>59</v>
      </c>
    </row>
    <row r="76">
      <c r="A76" s="35" t="s">
        <v>1140</v>
      </c>
      <c r="C76" s="35" t="s">
        <v>59</v>
      </c>
    </row>
    <row r="77">
      <c r="A77" s="35" t="s">
        <v>1140</v>
      </c>
      <c r="C77" s="35" t="s">
        <v>79</v>
      </c>
    </row>
    <row r="78">
      <c r="A78" s="35" t="s">
        <v>1140</v>
      </c>
      <c r="C78" s="35" t="s">
        <v>79</v>
      </c>
    </row>
    <row r="79">
      <c r="A79" s="35" t="s">
        <v>1140</v>
      </c>
      <c r="C79" s="35" t="s">
        <v>59</v>
      </c>
    </row>
    <row r="80">
      <c r="A80" s="35" t="s">
        <v>1140</v>
      </c>
      <c r="C80" s="35" t="s">
        <v>162</v>
      </c>
    </row>
    <row r="81">
      <c r="A81" s="35" t="s">
        <v>1140</v>
      </c>
      <c r="C81" s="35" t="s">
        <v>1159</v>
      </c>
    </row>
    <row r="82">
      <c r="A82" s="35" t="s">
        <v>1140</v>
      </c>
      <c r="C82" s="35" t="s">
        <v>559</v>
      </c>
    </row>
    <row r="83">
      <c r="A83" s="35" t="s">
        <v>1140</v>
      </c>
      <c r="C83" s="35" t="s">
        <v>59</v>
      </c>
    </row>
    <row r="84">
      <c r="A84" s="35" t="s">
        <v>1140</v>
      </c>
      <c r="C84" s="35" t="s">
        <v>559</v>
      </c>
    </row>
    <row r="85">
      <c r="A85" s="35" t="s">
        <v>1140</v>
      </c>
      <c r="C85" s="35" t="s">
        <v>559</v>
      </c>
    </row>
    <row r="86">
      <c r="A86" s="35" t="s">
        <v>1140</v>
      </c>
      <c r="C86" s="35" t="s">
        <v>559</v>
      </c>
    </row>
    <row r="87">
      <c r="A87" s="35" t="s">
        <v>1140</v>
      </c>
      <c r="C87" s="35" t="s">
        <v>59</v>
      </c>
    </row>
    <row r="88">
      <c r="A88" s="35" t="s">
        <v>1140</v>
      </c>
      <c r="C88" s="35" t="s">
        <v>59</v>
      </c>
    </row>
    <row r="89">
      <c r="A89" s="35" t="s">
        <v>1140</v>
      </c>
      <c r="C89" s="35" t="s">
        <v>59</v>
      </c>
    </row>
    <row r="90">
      <c r="A90" s="46" t="s">
        <v>1140</v>
      </c>
      <c r="C90" s="46" t="s">
        <v>59</v>
      </c>
    </row>
    <row r="91">
      <c r="A91" s="35" t="s">
        <v>1140</v>
      </c>
      <c r="C91" s="35" t="s">
        <v>1159</v>
      </c>
    </row>
    <row r="92">
      <c r="A92" s="35" t="s">
        <v>1140</v>
      </c>
      <c r="C92" s="35" t="s">
        <v>559</v>
      </c>
    </row>
    <row r="93">
      <c r="A93" s="35" t="s">
        <v>1140</v>
      </c>
      <c r="C93" s="35" t="s">
        <v>162</v>
      </c>
    </row>
    <row r="94">
      <c r="A94" s="35" t="s">
        <v>1140</v>
      </c>
      <c r="C94" s="35" t="s">
        <v>559</v>
      </c>
    </row>
    <row r="95">
      <c r="A95" s="35" t="s">
        <v>1140</v>
      </c>
      <c r="C95" s="35" t="s">
        <v>559</v>
      </c>
    </row>
    <row r="96">
      <c r="A96" s="35" t="s">
        <v>1140</v>
      </c>
      <c r="C96" s="35" t="s">
        <v>59</v>
      </c>
    </row>
    <row r="97">
      <c r="A97" s="35" t="s">
        <v>1140</v>
      </c>
      <c r="C97" s="35" t="s">
        <v>59</v>
      </c>
    </row>
    <row r="98">
      <c r="A98" s="35" t="s">
        <v>1140</v>
      </c>
      <c r="C98" s="35" t="s">
        <v>59</v>
      </c>
    </row>
    <row r="99">
      <c r="A99" s="35" t="s">
        <v>1140</v>
      </c>
      <c r="C99" s="35" t="s">
        <v>59</v>
      </c>
    </row>
    <row r="100">
      <c r="A100" s="35" t="s">
        <v>1140</v>
      </c>
      <c r="C100" s="35" t="s">
        <v>59</v>
      </c>
    </row>
    <row r="101">
      <c r="A101" s="35" t="s">
        <v>1140</v>
      </c>
      <c r="C101" s="35" t="s">
        <v>59</v>
      </c>
    </row>
    <row r="102">
      <c r="A102" s="35" t="s">
        <v>1140</v>
      </c>
      <c r="C102" s="35" t="s">
        <v>59</v>
      </c>
    </row>
    <row r="103">
      <c r="A103" s="35" t="s">
        <v>1140</v>
      </c>
      <c r="C103" s="35" t="s">
        <v>59</v>
      </c>
    </row>
    <row r="104">
      <c r="A104" s="35" t="s">
        <v>1140</v>
      </c>
      <c r="C104" s="35" t="s">
        <v>59</v>
      </c>
    </row>
    <row r="105">
      <c r="A105" s="35" t="s">
        <v>1140</v>
      </c>
      <c r="C105" s="35" t="s">
        <v>559</v>
      </c>
    </row>
    <row r="106">
      <c r="A106" s="35" t="s">
        <v>1140</v>
      </c>
      <c r="C106" s="35" t="s">
        <v>559</v>
      </c>
    </row>
    <row r="107">
      <c r="A107" s="35" t="s">
        <v>1140</v>
      </c>
      <c r="C107" s="35" t="s">
        <v>59</v>
      </c>
    </row>
    <row r="108">
      <c r="A108" s="35" t="s">
        <v>1140</v>
      </c>
      <c r="C108" s="35" t="s">
        <v>59</v>
      </c>
    </row>
    <row r="109">
      <c r="A109" s="35" t="s">
        <v>1140</v>
      </c>
      <c r="C109" s="35" t="s">
        <v>59</v>
      </c>
    </row>
    <row r="110">
      <c r="A110" s="35" t="s">
        <v>1140</v>
      </c>
      <c r="C110" s="35" t="s">
        <v>59</v>
      </c>
    </row>
    <row r="111">
      <c r="A111" s="35" t="s">
        <v>1140</v>
      </c>
      <c r="C111" s="35" t="s">
        <v>59</v>
      </c>
    </row>
    <row r="112">
      <c r="A112" s="70" t="s">
        <v>6903</v>
      </c>
      <c r="C112" s="35" t="s">
        <v>1159</v>
      </c>
    </row>
    <row r="113">
      <c r="A113" s="35" t="s">
        <v>1140</v>
      </c>
      <c r="C113" s="35" t="s">
        <v>59</v>
      </c>
    </row>
    <row r="114">
      <c r="A114" s="35" t="s">
        <v>1154</v>
      </c>
      <c r="C114" s="35" t="s">
        <v>59</v>
      </c>
    </row>
    <row r="115">
      <c r="A115" s="35" t="s">
        <v>1148</v>
      </c>
      <c r="C115" s="35" t="s">
        <v>59</v>
      </c>
    </row>
    <row r="116">
      <c r="A116" s="35" t="s">
        <v>1148</v>
      </c>
      <c r="C116" s="35" t="s">
        <v>59</v>
      </c>
    </row>
    <row r="117">
      <c r="A117" s="35" t="s">
        <v>1154</v>
      </c>
      <c r="C117" s="35" t="s">
        <v>59</v>
      </c>
    </row>
    <row r="118">
      <c r="A118" s="35" t="s">
        <v>1140</v>
      </c>
      <c r="C118" s="35" t="s">
        <v>59</v>
      </c>
    </row>
    <row r="119">
      <c r="A119" s="35" t="s">
        <v>1140</v>
      </c>
      <c r="C119" s="35" t="s">
        <v>59</v>
      </c>
    </row>
  </sheetData>
  <autoFilter ref="$C$3:$C$119"/>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2026-02-15T21:24:02Z</dcterms:created>
  <dc:creator>Apache POI</dc:creator>
</cp:coreProperties>
</file>